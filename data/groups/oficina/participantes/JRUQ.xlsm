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 documentId="13_ncr:1_{EE75792B-FD6B-4019-A5D0-E31FCEE4B3D2}" xr6:coauthVersionLast="47" xr6:coauthVersionMax="47" xr10:uidLastSave="{BBBA4F84-8C2E-4C89-8C94-CAAD8FA9533A}"/>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AA11" i="5" s="1"/>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L106" i="9" l="1"/>
  <c r="BO18" i="5"/>
  <c r="Y8" i="5"/>
  <c r="BI8" i="5"/>
  <c r="Y30" i="5"/>
  <c r="BI30" i="5"/>
  <c r="Y17" i="5"/>
  <c r="BI17" i="5"/>
  <c r="Y39" i="5"/>
  <c r="BI39" i="5"/>
  <c r="BN39" i="5" s="1"/>
  <c r="Y10" i="5"/>
  <c r="BI10" i="5"/>
  <c r="Y13" i="5"/>
  <c r="BI13" i="5"/>
  <c r="Y11" i="5"/>
  <c r="BI11" i="5"/>
  <c r="BN11" i="5" s="1"/>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11" i="5" l="1"/>
  <c r="BM18" i="5"/>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7" i="5" l="1"/>
  <c r="W7" i="5" s="1"/>
  <c r="AU35" i="5" s="1"/>
  <c r="T17" i="5"/>
  <c r="W17" i="5" s="1"/>
  <c r="AU27" i="5" s="1"/>
  <c r="T9" i="5"/>
  <c r="W9" i="5" s="1"/>
  <c r="AU40" i="5" s="1"/>
  <c r="T10" i="5"/>
  <c r="W10" i="5" s="1"/>
  <c r="Z10" i="5" s="1"/>
  <c r="T4" i="5"/>
  <c r="W4" i="5" s="1"/>
  <c r="AU18"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7" i="5"/>
  <c r="T46" i="5"/>
  <c r="W46" i="5" s="1"/>
  <c r="AU44" i="5" s="1"/>
  <c r="T23" i="5"/>
  <c r="W23" i="5" s="1"/>
  <c r="AU23" i="5" s="1"/>
  <c r="T14" i="5"/>
  <c r="W14" i="5" s="1"/>
  <c r="AU50" i="5" s="1"/>
  <c r="Z17" i="5" l="1"/>
  <c r="Z9" i="5"/>
  <c r="Z4" i="5"/>
  <c r="Z18" i="5"/>
  <c r="AU45" i="5"/>
  <c r="Z44"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<sst xmlns="http://schemas.openxmlformats.org/spreadsheetml/2006/main" count="5997" uniqueCount="866">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</sst>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T15" sqref="CT1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7</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7.3035002999999996</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7.3035002999999996</v>
      </c>
      <c r="AI3" s="51"/>
      <c r="AL3" s="45">
        <f>+LARGE(V3:V6,1)</f>
        <v>7.3035002999999996</v>
      </c>
      <c r="AM3" s="52">
        <f>+(AH3-AL3)*100000000000000000000</f>
        <v>0</v>
      </c>
      <c r="AP3" s="53" t="str">
        <f>+O3</f>
        <v>Mexico</v>
      </c>
      <c r="AQ3" s="23">
        <f>+P3*3+Q3*1+BT3+CN3+S3/1000+T3/10000</f>
        <v>7.3034999999999997</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1</v>
      </c>
      <c r="Q4" s="24">
        <f>+COUNTIF(K3:L8,"="&amp;$O4)</f>
        <v>0</v>
      </c>
      <c r="R4" s="24">
        <f>+COUNTIF(M3:M8,"="&amp;$O4)</f>
        <v>2</v>
      </c>
      <c r="S4" s="24">
        <f t="shared" ref="S4:S6" si="9">+T4-U4</f>
        <v>-1</v>
      </c>
      <c r="T4" s="24">
        <f>+SUMIF(E3:E8,$O4,F3:F8)+SUMIF(H3:H8,$O4,G3:G8)</f>
        <v>3</v>
      </c>
      <c r="U4" s="24">
        <f>+SUMIF(E3:E8,$O4,G3:G8)+SUMIF(H3:H8,$O4,F3:F8)</f>
        <v>4</v>
      </c>
      <c r="V4" s="45">
        <f t="shared" ref="V4:V6" si="10">+P4*3+Q4*1+BT4+CN4+S4/1000+T4/10000+AV4/1000000+ROW()/10000000</f>
        <v>2.9993004000000001</v>
      </c>
      <c r="W4" s="26" t="str">
        <f t="shared" ref="W4:W6" si="11">+O4</f>
        <v>Sudafrica</v>
      </c>
      <c r="Y4" s="61" t="str">
        <f>+CONCATENATE("2",RIGHT(E2,1))</f>
        <v>2A</v>
      </c>
      <c r="Z4" s="62" t="str">
        <f>+VLOOKUP(AL4,V3:W6,2,FALSE)</f>
        <v>Corea del Sur</v>
      </c>
      <c r="AA4" s="63">
        <f t="shared" ref="AA4:AA6" si="12">+SUM(AB4:AD4)</f>
        <v>3</v>
      </c>
      <c r="AB4" s="64">
        <f t="shared" si="0"/>
        <v>2</v>
      </c>
      <c r="AC4" s="64">
        <f t="shared" si="0"/>
        <v>1</v>
      </c>
      <c r="AD4" s="64">
        <f t="shared" si="0"/>
        <v>0</v>
      </c>
      <c r="AE4" s="64">
        <f t="shared" si="0"/>
        <v>2</v>
      </c>
      <c r="AF4" s="64">
        <f t="shared" si="0"/>
        <v>5</v>
      </c>
      <c r="AG4" s="64">
        <f t="shared" si="0"/>
        <v>3</v>
      </c>
      <c r="AH4" s="65">
        <f>+VLOOKUP($Z4,$O$3:$V$6,COLUMN()-26,FALSE)</f>
        <v>7.302500499999999</v>
      </c>
      <c r="AI4" s="51"/>
      <c r="AL4" s="45">
        <f>+LARGE(V3:V6,2)</f>
        <v>7.302500499999999</v>
      </c>
      <c r="AM4" s="52">
        <f t="shared" ref="AM4:AM6" si="13">+(AH4-AL4)*100000000000000000000</f>
        <v>0</v>
      </c>
      <c r="AP4" s="53" t="str">
        <f>+O4</f>
        <v>Sudafrica</v>
      </c>
      <c r="AQ4" s="23">
        <f>+P4*3+Q4*1+BT4+CN4+S4/1000+T4/10000</f>
        <v>2.9993000000000003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Corea del Sur</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0</v>
      </c>
      <c r="G5" s="43">
        <v>1</v>
      </c>
      <c r="H5" s="44" t="s">
        <v>82</v>
      </c>
      <c r="J5" s="24" t="str">
        <f t="shared" si="5"/>
        <v>Sudafrica</v>
      </c>
      <c r="K5" s="24" t="str">
        <f t="shared" si="6"/>
        <v/>
      </c>
      <c r="L5" s="24" t="str">
        <f t="shared" si="7"/>
        <v/>
      </c>
      <c r="M5" s="24" t="str">
        <f t="shared" si="8"/>
        <v>Repubilca Checa</v>
      </c>
      <c r="O5" s="26" t="str">
        <f>+E4</f>
        <v>Corea del Sur</v>
      </c>
      <c r="P5" s="24">
        <f>+COUNTIF(J3:J8,"="&amp;$O5)</f>
        <v>2</v>
      </c>
      <c r="Q5" s="24">
        <f>+COUNTIF(K3:L8,"="&amp;$O5)</f>
        <v>1</v>
      </c>
      <c r="R5" s="24">
        <f>+COUNTIF(M3:M8,"="&amp;$O5)</f>
        <v>0</v>
      </c>
      <c r="S5" s="24">
        <f t="shared" si="9"/>
        <v>2</v>
      </c>
      <c r="T5" s="24">
        <f>+SUMIF(E3:E8,$O5,F3:F8)+SUMIF(H3:H8,$O5,G3:G8)</f>
        <v>5</v>
      </c>
      <c r="U5" s="24">
        <f>+SUMIF(E3:E8,$O5,G3:G8)+SUMIF(H3:H8,$O5,F3:F8)</f>
        <v>3</v>
      </c>
      <c r="V5" s="45">
        <f t="shared" si="10"/>
        <v>7.302500499999999</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-1</v>
      </c>
      <c r="AF5" s="71">
        <f t="shared" si="0"/>
        <v>3</v>
      </c>
      <c r="AG5" s="71">
        <f t="shared" si="0"/>
        <v>4</v>
      </c>
      <c r="AH5" s="72">
        <f>+VLOOKUP($Z5,$O$3:$V$6,COLUMN()-26,FALSE)</f>
        <v>2.9993004000000001</v>
      </c>
      <c r="AI5" s="73">
        <f>+(COUNTIFS($CV$2:$CV$13,Z5,$CX$2:$CX$13,"IN")+COUNTIFS($CV$2:$CV$13,Z5,$CW$2:$CW$13,"IN"))*IF(SUM(AA3:AA6)=12,1,0)</f>
        <v>1</v>
      </c>
      <c r="AL5" s="45">
        <f>+LARGE(V3:V6,3)</f>
        <v>2.9993004000000001</v>
      </c>
      <c r="AM5" s="52">
        <f t="shared" si="13"/>
        <v>0</v>
      </c>
      <c r="AP5" s="53" t="str">
        <f>+O5</f>
        <v>Corea del Sur</v>
      </c>
      <c r="AQ5" s="23">
        <f>+P5*3+Q5*1+BT5+CN5+S5/1000+T5/10000</f>
        <v>7.3024999999999993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0</v>
      </c>
      <c r="BH5" s="59">
        <f t="shared" si="2"/>
        <v>1</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0</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0</v>
      </c>
      <c r="R6" s="24">
        <f>+COUNTIF(M3:M8,"="&amp;$O6)</f>
        <v>3</v>
      </c>
      <c r="S6" s="24">
        <f t="shared" si="9"/>
        <v>-4</v>
      </c>
      <c r="T6" s="24">
        <f>+SUMIF(E3:E8,$O6,F3:F8)+SUMIF(H3:H8,$O6,G3:G8)</f>
        <v>1</v>
      </c>
      <c r="U6" s="24">
        <f>+SUMIF(E3:E8,$O6,G3:G8)+SUMIF(H3:H8,$O6,F3:F8)</f>
        <v>5</v>
      </c>
      <c r="V6" s="45">
        <f t="shared" si="10"/>
        <v>-3.8994000000000003E-3</v>
      </c>
      <c r="W6" s="26" t="str">
        <f t="shared" si="11"/>
        <v>Repubilca Checa</v>
      </c>
      <c r="Y6" s="74" t="str">
        <f>+CONCATENATE("4",RIGHT(E2,1))</f>
        <v>4A</v>
      </c>
      <c r="Z6" s="75" t="str">
        <f>+VLOOKUP(AL6,V3:W6,2,FALSE)</f>
        <v>Repubilca Checa</v>
      </c>
      <c r="AA6" s="76">
        <f t="shared" si="12"/>
        <v>3</v>
      </c>
      <c r="AB6" s="77">
        <f t="shared" si="0"/>
        <v>0</v>
      </c>
      <c r="AC6" s="77">
        <f t="shared" si="0"/>
        <v>0</v>
      </c>
      <c r="AD6" s="77">
        <f t="shared" si="0"/>
        <v>3</v>
      </c>
      <c r="AE6" s="77">
        <f t="shared" si="0"/>
        <v>-4</v>
      </c>
      <c r="AF6" s="77">
        <f t="shared" si="0"/>
        <v>1</v>
      </c>
      <c r="AG6" s="77">
        <f t="shared" si="0"/>
        <v>5</v>
      </c>
      <c r="AH6" s="78">
        <f>+VLOOKUP($Z6,$O$3:$V$6,COLUMN()-26,FALSE)</f>
        <v>-3.8994000000000003E-3</v>
      </c>
      <c r="AI6" s="73"/>
      <c r="AL6" s="45">
        <f>+LARGE(V3:V6,4)</f>
        <v>-3.8994000000000003E-3</v>
      </c>
      <c r="AM6" s="52">
        <f t="shared" si="13"/>
        <v>0</v>
      </c>
      <c r="AP6" s="53" t="str">
        <f>+O6</f>
        <v>Repubilca Checa</v>
      </c>
      <c r="AQ6" s="23">
        <f>+P6*3+Q6*1+BT6+CN6+S6/1000+T6/10000</f>
        <v>-3.9000000000000003E-3</v>
      </c>
      <c r="AS6" s="54">
        <f t="shared" si="14"/>
        <v>0</v>
      </c>
      <c r="AT6" s="54">
        <f>+IF(AND(AM7="si",OR(AR3=1,AR4=1,AR5=1)),1,0)</f>
        <v>0</v>
      </c>
      <c r="AU6" s="79" t="str">
        <f t="shared" si="15"/>
        <v>Repubilca Checa</v>
      </c>
      <c r="AV6" s="80"/>
      <c r="AX6" s="23" t="str">
        <f>+Y2</f>
        <v>Grupo A</v>
      </c>
      <c r="AY6" s="24" t="str">
        <f t="shared" si="16"/>
        <v>Repubilca Checa</v>
      </c>
      <c r="AZ6" s="29">
        <f t="shared" si="17"/>
        <v>0</v>
      </c>
      <c r="BA6" s="29">
        <f>+COUNTIFS($AX$1:AX6,AX6,$AZ$1:AZ6,AZ6)</f>
        <v>1</v>
      </c>
      <c r="BB6" s="29">
        <f>+IF(AZ6=BF1,ROW()*0.001,AZ6)</f>
        <v>0</v>
      </c>
      <c r="BC6" s="29">
        <f>+COUNTIFS($AX$1:AZ6,AZ6,$AZ$1:BB6,BB6)</f>
        <v>1</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0</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0</v>
      </c>
      <c r="BH7" s="59">
        <f t="shared" si="2"/>
        <v>2</v>
      </c>
      <c r="BI7" s="57" t="str">
        <f>+IF(_xlfn.XLOOKUP($H7,$AY:$AY,$AZ:$AZ,"-",0)=BF1,$H7,"-")</f>
        <v>Mexico</v>
      </c>
      <c r="BY7" s="25" t="str">
        <f t="shared" si="26"/>
        <v>-</v>
      </c>
      <c r="BZ7" s="57" t="str">
        <f>+IF(_xlfn.XLOOKUP($E7,$AY:$AY,$AZ:$AZ,"-",0)=BZ1,$E7,"-")</f>
        <v>-</v>
      </c>
      <c r="CA7" s="58">
        <f t="shared" si="3"/>
        <v>0</v>
      </c>
      <c r="CB7" s="59">
        <f t="shared" si="4"/>
        <v>2</v>
      </c>
      <c r="CC7" s="57" t="str">
        <f>+IF(_xlfn.XLOOKUP($H7,$AY:$AY,$AZ:$AZ,"-",0)=BZ1,$H7,"-")</f>
        <v>-</v>
      </c>
      <c r="CV7" s="35" t="str">
        <f>+'Mejores 3eros'!AP7</f>
        <v>Suecia</v>
      </c>
      <c r="CW7" s="36" t="str">
        <f>+_xlfn.XLOOKUP(CV7,'Mejores 3eros'!$BD$2:$BD$13,'Mejores 3eros'!$BG$2:$BG$13,"-",0)</f>
        <v>OUT</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Corea del Sur</v>
      </c>
      <c r="BY8" s="25" t="str">
        <f t="shared" si="26"/>
        <v>-</v>
      </c>
      <c r="BZ8" s="57" t="str">
        <f>+IF(_xlfn.XLOOKUP($E8,$AY:$AY,$AZ:$AZ,"-",0)=BZ1,$E8,"-")</f>
        <v>-</v>
      </c>
      <c r="CA8" s="58">
        <f t="shared" si="3"/>
        <v>1</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7</v>
      </c>
      <c r="BW10" s="23">
        <v>10</v>
      </c>
      <c r="BZ10" s="29">
        <f>+IF(BC12&gt;1,BB12,IF(BC13&gt;1,BB13,IF(BC14&gt;1,BB14,IF(BC15&gt;1,BB15,"-"))))</f>
        <v>3</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5</v>
      </c>
      <c r="U12" s="24">
        <f t="shared" ref="U12" si="37">+SUMIF(E12:E17,$O12,G12:G17)+SUMIF(H12:H17,$O12,F12:F17)</f>
        <v>2</v>
      </c>
      <c r="V12" s="45">
        <f>+P12*3+Q12*1+BT12+CN12+S12/1000+T12/10000+AV12/1000000+ROW()/10000000</f>
        <v>7.3035041999999999</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7.3035054999999991</v>
      </c>
      <c r="AI12" s="51"/>
      <c r="AL12" s="45">
        <f>+LARGE(V12:V15,1)</f>
        <v>7.3035054999999991</v>
      </c>
      <c r="AM12" s="52">
        <f>+(AH12-AL12)*100000000000000000000</f>
        <v>0</v>
      </c>
      <c r="AP12" s="53" t="str">
        <f>+O12</f>
        <v>Canada</v>
      </c>
      <c r="AQ12" s="23">
        <f>+P12*3+Q12*1+BT12+CN12+S12/1000+T12/10000</f>
        <v>7.3034999999999997</v>
      </c>
      <c r="AR12" s="23">
        <f>+IF(OR(AQ12=AQ13,AQ12=AQ14,AQ12=AQ15),1)</f>
        <v>1</v>
      </c>
      <c r="AS12" s="54">
        <f>+AV12</f>
        <v>3</v>
      </c>
      <c r="AT12" s="54">
        <f>+IF(AND(AM16="si",OR(AR12=1,AR13=1,AR14=1)),1,0)</f>
        <v>1</v>
      </c>
      <c r="AU12" s="55" t="str">
        <f>+O12</f>
        <v>Canada</v>
      </c>
      <c r="AV12" s="56">
        <v>3</v>
      </c>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-1</v>
      </c>
      <c r="T13" s="24">
        <f t="shared" ref="T13" si="48">+SUMIF(E12:E17,$O13,F12:F17)+SUMIF(H12:H17,$O13,G12:G17)</f>
        <v>4</v>
      </c>
      <c r="U13" s="24">
        <f t="shared" ref="U13" si="49">+SUMIF(E12:E17,$O13,G12:G17)+SUMIF(H12:H17,$O13,F12:F17)</f>
        <v>5</v>
      </c>
      <c r="V13" s="45">
        <f t="shared" ref="V13:V15" si="50">+P13*3+Q13*1+BT13+CN13+S13/1000+T13/10000+AV13/1000000+ROW()/10000000</f>
        <v>2.9994033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3</v>
      </c>
      <c r="AF13" s="64">
        <f t="shared" si="38"/>
        <v>5</v>
      </c>
      <c r="AG13" s="64">
        <f t="shared" si="38"/>
        <v>2</v>
      </c>
      <c r="AH13" s="65">
        <f>+VLOOKUP($Z13,$O$12:$V$15,COLUMN()-26,FALSE)</f>
        <v>7.3035041999999999</v>
      </c>
      <c r="AI13" s="51"/>
      <c r="AL13" s="45">
        <f>+LARGE(V12:V15,2)</f>
        <v>7.3035041999999999</v>
      </c>
      <c r="AM13" s="52">
        <f t="shared" ref="AM13:AM15" si="53">+(AH13-AL13)*100000000000000000000</f>
        <v>0</v>
      </c>
      <c r="AP13" s="53" t="str">
        <f>+O13</f>
        <v>Bosnia</v>
      </c>
      <c r="AQ13" s="23">
        <f>+P13*3+Q13*1+BT13+CN13+S13/1000+T13/10000</f>
        <v>2.9994000000000001</v>
      </c>
      <c r="AR13" s="23" t="b">
        <f>+IF(OR(AQ13=AQ14,AQ13=AQ15),1)</f>
        <v>0</v>
      </c>
      <c r="AS13" s="54">
        <f t="shared" ref="AS13:AS15" si="54">+AV13</f>
        <v>2</v>
      </c>
      <c r="AT13" s="54">
        <f>+IF(AND(AM16="si",OR(AR12=1,AR13=1,AR14=1)),1,0)</f>
        <v>1</v>
      </c>
      <c r="AU13" s="66" t="str">
        <f t="shared" ref="AU13:AU15" si="55">+O13</f>
        <v>Bosnia</v>
      </c>
      <c r="AV13" s="67">
        <v>2</v>
      </c>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2</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-5</v>
      </c>
      <c r="T14" s="24">
        <f t="shared" ref="T14" si="76">+SUMIF(E12:E17,$O14,F12:F17)+SUMIF(H12:H17,$O14,G12:G17)</f>
        <v>1</v>
      </c>
      <c r="U14" s="24">
        <f t="shared" ref="U14" si="77">+SUMIF(E12:E17,$O14,G12:G17)+SUMIF(H12:H17,$O14,F12:F17)</f>
        <v>6</v>
      </c>
      <c r="V14" s="45">
        <f t="shared" si="50"/>
        <v>-4.8975999999999993E-3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-1</v>
      </c>
      <c r="AF14" s="71">
        <f t="shared" si="38"/>
        <v>4</v>
      </c>
      <c r="AG14" s="71">
        <f t="shared" si="38"/>
        <v>5</v>
      </c>
      <c r="AH14" s="72">
        <f>+VLOOKUP($Z14,$O$12:$V$15,COLUMN()-26,FALSE)</f>
        <v>2.9994033</v>
      </c>
      <c r="AI14" s="73">
        <f>+(COUNTIFS($CV$2:$CV$13,Z14,$CX$2:$CX$13,"IN")+COUNTIFS($CV$2:$CV$13,Z14,$CW$2:$CW$13,"IN"))*IF(SUM(AA12:AA15)=12,1,0)</f>
        <v>1</v>
      </c>
      <c r="AL14" s="45">
        <f>+LARGE(V12:V15,3)</f>
        <v>2.9994033</v>
      </c>
      <c r="AM14" s="52">
        <f t="shared" si="53"/>
        <v>0</v>
      </c>
      <c r="AP14" s="53" t="str">
        <f>+O14</f>
        <v>Qatar</v>
      </c>
      <c r="AQ14" s="23">
        <f>+P14*3+Q14*1+BT14+CN14+S14/1000+T14/10000</f>
        <v>-4.8999999999999998E-3</v>
      </c>
      <c r="AR14" s="23" t="b">
        <f>+IF(OR(AQ14=AQ15),1)</f>
        <v>0</v>
      </c>
      <c r="AS14" s="54">
        <f t="shared" si="54"/>
        <v>1</v>
      </c>
      <c r="AT14" s="54">
        <f>+IF(AND(AM16="si",OR(AR12=1,AR13=1,AR14=1)),1,0)</f>
        <v>1</v>
      </c>
      <c r="AU14" s="66" t="str">
        <f t="shared" si="55"/>
        <v>Qatar</v>
      </c>
      <c r="AV14" s="67">
        <v>1</v>
      </c>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7.3035054999999991</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1</v>
      </c>
      <c r="AG15" s="77">
        <f t="shared" si="38"/>
        <v>6</v>
      </c>
      <c r="AH15" s="78">
        <f>+VLOOKUP($Z15,$O$12:$V$15,COLUMN()-26,FALSE)</f>
        <v>-4.8975999999999993E-3</v>
      </c>
      <c r="AI15" s="73"/>
      <c r="AL15" s="45">
        <f>+LARGE(V12:V15,4)</f>
        <v>-4.8975999999999993E-3</v>
      </c>
      <c r="AM15" s="52">
        <f t="shared" si="53"/>
        <v>0</v>
      </c>
      <c r="AP15" s="53" t="str">
        <f>+O15</f>
        <v>Suiza</v>
      </c>
      <c r="AQ15" s="23">
        <f>+P15*3+Q15*1+BT15+CN15+S15/1000+T15/10000</f>
        <v>7.3034999999999997</v>
      </c>
      <c r="AS15" s="54">
        <f t="shared" si="54"/>
        <v>4</v>
      </c>
      <c r="AT15" s="54">
        <f>+IF(AND(AM16="si",OR(AR12=1,AR13=1,AR14=1)),1,0)</f>
        <v>1</v>
      </c>
      <c r="AU15" s="79" t="str">
        <f t="shared" si="55"/>
        <v>Suiza</v>
      </c>
      <c r="AV15" s="80">
        <v>4</v>
      </c>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2</v>
      </c>
      <c r="G17" s="43">
        <v>1</v>
      </c>
      <c r="H17" s="44" t="s">
        <v>89</v>
      </c>
      <c r="J17" s="24" t="str">
        <f t="shared" si="43"/>
        <v>Bosnia</v>
      </c>
      <c r="K17" s="24" t="str">
        <f t="shared" si="44"/>
        <v/>
      </c>
      <c r="L17" s="24" t="str">
        <f t="shared" si="45"/>
        <v/>
      </c>
      <c r="M17" s="24" t="str">
        <f t="shared" si="46"/>
        <v>Qatar</v>
      </c>
      <c r="Y17" s="53" t="s">
        <v>124</v>
      </c>
      <c r="AR17" s="23">
        <f>+IF(AND(AM16="si",OR(AR12=1,AR13=1,AR14=1)),1,0)</f>
        <v>1</v>
      </c>
      <c r="BE17" s="25" t="str">
        <f>+IF(OR(BF17="-",BI17="-",BF10=0),"-","OK")</f>
        <v>-</v>
      </c>
      <c r="BF17" s="57" t="str">
        <f>+IF(_xlfn.XLOOKUP($E17,$AY:$AY,$AZ:$AZ,"-",0)=BF10,$E17,"-")</f>
        <v>-</v>
      </c>
      <c r="BG17" s="58">
        <f t="shared" si="39"/>
        <v>2</v>
      </c>
      <c r="BH17" s="59">
        <f t="shared" si="40"/>
        <v>1</v>
      </c>
      <c r="BI17" s="57" t="str">
        <f>+IF(_xlfn.XLOOKUP($H17,$AY:$AY,$AZ:$AZ,"-",0)=BF10,$H17,"-")</f>
        <v>-</v>
      </c>
      <c r="BY17" s="25" t="str">
        <f t="shared" si="66"/>
        <v>-</v>
      </c>
      <c r="BZ17" s="57" t="str">
        <f>+IF(_xlfn.XLOOKUP($E17,$AY:$AY,$AZ:$AZ,"-",0)=BZ10,$E17,"-")</f>
        <v>Bosnia</v>
      </c>
      <c r="CA17" s="58">
        <f t="shared" si="41"/>
        <v>2</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10</v>
      </c>
      <c r="U21" s="24">
        <f t="shared" ref="U21" si="81">+SUMIF(E21:E26,$O21,G21:G26)+SUMIF(H21:H26,$O21,F21:F26)</f>
        <v>2</v>
      </c>
      <c r="V21" s="45">
        <f>+P21*3+Q21*1+BT21+CN21+S21/1000+T21/10000+AV21/1000000+ROW()/10000000</f>
        <v>9.0090020999999982</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10</v>
      </c>
      <c r="AG21" s="49">
        <f t="shared" si="82"/>
        <v>2</v>
      </c>
      <c r="AH21" s="50">
        <f>+VLOOKUP($Z21,$O$21:$V$24,COLUMN()-26,FALSE)</f>
        <v>9.0090020999999982</v>
      </c>
      <c r="AI21" s="51"/>
      <c r="AL21" s="45">
        <f>+LARGE(V21:V24,1)</f>
        <v>9.0090020999999982</v>
      </c>
      <c r="AM21" s="52">
        <f>+(AH21-AL21)*100000000000000000000</f>
        <v>0</v>
      </c>
      <c r="AP21" s="53" t="str">
        <f>+O21</f>
        <v>Brasil</v>
      </c>
      <c r="AQ21" s="23">
        <f>+P21*3+Q21*1+BT21+CN21+S21/1000+T21/10000</f>
        <v>9.0089999999999986</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1</v>
      </c>
      <c r="T22" s="24">
        <f t="shared" ref="T22" si="92">+SUMIF(E21:E26,$O22,F21:F26)+SUMIF(H21:H26,$O22,G21:G26)</f>
        <v>5</v>
      </c>
      <c r="U22" s="24">
        <f t="shared" ref="U22" si="93">+SUMIF(E21:E26,$O22,G21:G26)+SUMIF(H21:H26,$O22,F21:F26)</f>
        <v>4</v>
      </c>
      <c r="V22" s="45">
        <f t="shared" ref="V22:V24" si="94">+P22*3+Q22*1+BT22+CN22+S22/1000+T22/10000+AV22/1000000+ROW()/10000000</f>
        <v>6.0015022</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1</v>
      </c>
      <c r="AF22" s="64">
        <f t="shared" si="82"/>
        <v>5</v>
      </c>
      <c r="AG22" s="64">
        <f t="shared" si="82"/>
        <v>4</v>
      </c>
      <c r="AH22" s="65">
        <f>+VLOOKUP($Z22,$O$21:$V$24,COLUMN()-26,FALSE)</f>
        <v>6.0015022</v>
      </c>
      <c r="AI22" s="51"/>
      <c r="AL22" s="45">
        <f>+LARGE(V21:V24,2)</f>
        <v>6.0015022</v>
      </c>
      <c r="AM22" s="52">
        <f t="shared" ref="AM22:AM24" si="97">+(AH22-AL22)*100000000000000000000</f>
        <v>0</v>
      </c>
      <c r="AP22" s="53" t="str">
        <f>+O22</f>
        <v>Marruecos</v>
      </c>
      <c r="AQ22" s="23">
        <f>+P22*3+Q22*1+BT22+CN22+S22/1000+T22/10000</f>
        <v>6.0015000000000001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4</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5</v>
      </c>
      <c r="U30" s="24">
        <f t="shared" ref="U30" si="125">+SUMIF(E30:E35,$O30,G30:G35)+SUMIF(H30:H35,$O30,F30:F35)</f>
        <v>5</v>
      </c>
      <c r="V30" s="45">
        <f>+P30*3+Q30*1+BT30+CN30+S30/1000+T30/10000+AV30/1000000+ROW()/10000000</f>
        <v>4.300503</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9.0036031000000012</v>
      </c>
      <c r="AI30" s="51"/>
      <c r="AL30" s="45">
        <f>+LARGE(V30:V33,1)</f>
        <v>9.0036031000000012</v>
      </c>
      <c r="AM30" s="52">
        <f>+(AH30-AL30)*100000000000000000000</f>
        <v>0</v>
      </c>
      <c r="AP30" s="53" t="str">
        <f>+O30</f>
        <v>Estados Unidos</v>
      </c>
      <c r="AQ30" s="23">
        <f>+P30*3+Q30*1+BT30+CN30+S30/1000+T30/10000</f>
        <v>4.3004999999999995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0.03</v>
      </c>
      <c r="BC30" s="29">
        <f>+COUNTIFS($AX$1:AZ30,AZ30,$AZ$1:BB30,BB30)</f>
        <v>1</v>
      </c>
      <c r="BD30" s="29"/>
      <c r="BE30" s="25" t="str">
        <f>+IF(OR(BF30="-",BI30="-",BF28=0),"-","OK")</f>
        <v>-</v>
      </c>
      <c r="BF30" s="57" t="str">
        <f>+IF(_xlfn.XLOOKUP($E30,$AY:$AY,$AZ:$AZ,"-",0)=BF28,$E30,"-")</f>
        <v>Estados Unidos</v>
      </c>
      <c r="BG30" s="58">
        <f t="shared" ref="BG30:BG35" si="127">+$F30</f>
        <v>1</v>
      </c>
      <c r="BH30" s="59">
        <f t="shared" ref="BH30:BH35" si="128">+$G30</f>
        <v>2</v>
      </c>
      <c r="BI30" s="57" t="str">
        <f>+IF(_xlfn.XLOOKUP($H30,$AY:$AY,$AZ:$AZ,"-",0)=BF28,$H30,"-")</f>
        <v>-</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1</v>
      </c>
      <c r="BR30" s="24">
        <f>+SUMIFS(BH:BH,$BE:$BE,"OK",BF:BF,$BK30)+SUMIFS(BG:BG,$BE:$BE,"OK",BI:BI,$BK30)</f>
        <v>1</v>
      </c>
      <c r="BS30" s="60">
        <f>+BM30*3+BN30*1+BP30/100+BQ30/10000</f>
        <v>1.0001</v>
      </c>
      <c r="BT30" s="29">
        <f>+IF(BL30=0,0,_xlfn.XLOOKUP(BS30,BV30:BV33,BW30:BW33))</f>
        <v>0.3</v>
      </c>
      <c r="BU30" s="45"/>
      <c r="BV30" s="24">
        <f>+LARGE(BS30:BS33,1)</f>
        <v>1.0001</v>
      </c>
      <c r="BW30" s="24">
        <f>+BX30/$BW$1</f>
        <v>0.3</v>
      </c>
      <c r="BX30" s="23">
        <v>3</v>
      </c>
      <c r="BY30" s="25" t="str">
        <f>+IF(OR(BZ30="-",CC30="-"),"-","OK")</f>
        <v>-</v>
      </c>
      <c r="BZ30" s="57" t="str">
        <f>+IF(_xlfn.XLOOKUP($E30,$AY:$AY,$AZ:$AZ,"-",0)=BZ28,$E30,"-")</f>
        <v>-</v>
      </c>
      <c r="CA30" s="58">
        <f t="shared" ref="CA30:CA35" si="129">+$F30</f>
        <v>1</v>
      </c>
      <c r="CB30" s="59">
        <f t="shared" ref="CB30:CB35" si="130">+$G30</f>
        <v>2</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1</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3</v>
      </c>
      <c r="Q31" s="24">
        <f>+COUNTIF(K30:L35,"="&amp;$O31)</f>
        <v>0</v>
      </c>
      <c r="R31" s="24">
        <f>+COUNTIF(M30:M35,"="&amp;$O31)</f>
        <v>0</v>
      </c>
      <c r="S31" s="24">
        <f t="shared" ref="S31:S33" si="135">+T31-U31</f>
        <v>3</v>
      </c>
      <c r="T31" s="24">
        <f t="shared" ref="T31" si="136">+SUMIF(E30:E35,$O31,F30:F35)+SUMIF(H30:H35,$O31,G30:G35)</f>
        <v>6</v>
      </c>
      <c r="U31" s="24">
        <f t="shared" ref="U31" si="137">+SUMIF(E30:E35,$O31,G30:G35)+SUMIF(H30:H35,$O31,F30:F35)</f>
        <v>3</v>
      </c>
      <c r="V31" s="45">
        <f t="shared" ref="V31:V33" si="138">+P31*3+Q31*1+BT31+CN31+S31/1000+T31/10000+AV31/1000000+ROW()/10000000</f>
        <v>9.0036031000000012</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1</v>
      </c>
      <c r="AD31" s="64">
        <f t="shared" si="126"/>
        <v>1</v>
      </c>
      <c r="AE31" s="64">
        <f t="shared" si="126"/>
        <v>0</v>
      </c>
      <c r="AF31" s="64">
        <f t="shared" si="126"/>
        <v>5</v>
      </c>
      <c r="AG31" s="64">
        <f t="shared" si="126"/>
        <v>5</v>
      </c>
      <c r="AH31" s="65">
        <f>+VLOOKUP($Z31,$O$30:$V$33,COLUMN()-26,FALSE)</f>
        <v>4.300503</v>
      </c>
      <c r="AI31" s="51"/>
      <c r="AL31" s="45">
        <f>+LARGE(V30:V33,2)</f>
        <v>4.300503</v>
      </c>
      <c r="AM31" s="52">
        <f t="shared" ref="AM31:AM33" si="141">+(AH31-AL31)*100000000000000000000</f>
        <v>0</v>
      </c>
      <c r="AP31" s="53" t="str">
        <f>+O31</f>
        <v>Paraguay</v>
      </c>
      <c r="AQ31" s="23">
        <f>+P31*3+Q31*1+BT31+CN31+S31/1000+T31/10000</f>
        <v>9.0036000000000005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Australia</v>
      </c>
      <c r="BG31" s="58">
        <f t="shared" si="127"/>
        <v>2</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1.0001</v>
      </c>
      <c r="BW31" s="24">
        <f>+BX31/$BW$1</f>
        <v>0.2</v>
      </c>
      <c r="BX31" s="23">
        <v>2</v>
      </c>
      <c r="BY31" s="25" t="str">
        <f t="shared" ref="BY31:BY35" si="154">+IF(OR(BZ31="-",CC31="-"),"-","OK")</f>
        <v>-</v>
      </c>
      <c r="BZ31" s="57" t="str">
        <f>+IF(_xlfn.XLOOKUP($E31,$AY:$AY,$AZ:$AZ,"-",0)=BZ28,$E31,"-")</f>
        <v>-</v>
      </c>
      <c r="CA31" s="58">
        <f t="shared" si="129"/>
        <v>2</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2</v>
      </c>
      <c r="H32" s="44" t="s">
        <v>71</v>
      </c>
      <c r="J32" s="24" t="str">
        <f t="shared" si="131"/>
        <v>Paraguay</v>
      </c>
      <c r="K32" s="24" t="str">
        <f t="shared" si="132"/>
        <v/>
      </c>
      <c r="L32" s="24" t="str">
        <f t="shared" si="133"/>
        <v/>
      </c>
      <c r="M32" s="24" t="str">
        <f t="shared" si="134"/>
        <v>Turquia</v>
      </c>
      <c r="O32" s="26" t="str">
        <f>+E31</f>
        <v>Australia</v>
      </c>
      <c r="P32" s="24">
        <f>+COUNTIF(J30:J35,"="&amp;$O32)</f>
        <v>1</v>
      </c>
      <c r="Q32" s="24">
        <f>+COUNTIF(K30:L35,"="&amp;$O32)</f>
        <v>1</v>
      </c>
      <c r="R32" s="24">
        <f>+COUNTIF(M30:M35,"="&amp;$O32)</f>
        <v>1</v>
      </c>
      <c r="S32" s="24">
        <f t="shared" si="135"/>
        <v>0</v>
      </c>
      <c r="T32" s="24">
        <f t="shared" ref="T32" si="164">+SUMIF(E30:E35,$O32,F30:F35)+SUMIF(H30:H35,$O32,G30:G35)</f>
        <v>4</v>
      </c>
      <c r="U32" s="24">
        <f t="shared" ref="U32" si="165">+SUMIF(E30:E35,$O32,G30:G35)+SUMIF(H30:H35,$O32,F30:F35)</f>
        <v>4</v>
      </c>
      <c r="V32" s="45">
        <f t="shared" si="138"/>
        <v>4.3004031999999999</v>
      </c>
      <c r="W32" s="26" t="str">
        <f t="shared" si="139"/>
        <v>Australia</v>
      </c>
      <c r="Y32" s="68" t="str">
        <f>+CONCATENATE("3",RIGHT(E29,1))</f>
        <v>3D</v>
      </c>
      <c r="Z32" s="69" t="str">
        <f>+VLOOKUP(AL32,V30:W33,2,FALSE)</f>
        <v>Australia</v>
      </c>
      <c r="AA32" s="70">
        <f t="shared" si="140"/>
        <v>3</v>
      </c>
      <c r="AB32" s="71">
        <f t="shared" si="126"/>
        <v>1</v>
      </c>
      <c r="AC32" s="71">
        <f t="shared" si="126"/>
        <v>1</v>
      </c>
      <c r="AD32" s="71">
        <f t="shared" si="126"/>
        <v>1</v>
      </c>
      <c r="AE32" s="71">
        <f t="shared" si="126"/>
        <v>0</v>
      </c>
      <c r="AF32" s="71">
        <f t="shared" si="126"/>
        <v>4</v>
      </c>
      <c r="AG32" s="71">
        <f t="shared" si="126"/>
        <v>4</v>
      </c>
      <c r="AH32" s="72">
        <f>+VLOOKUP($Z32,$O$30:$V$33,COLUMN()-26,FALSE)</f>
        <v>4.3004031999999999</v>
      </c>
      <c r="AI32" s="73">
        <f>+(COUNTIFS($CV$2:$CV$13,Z32,$CX$2:$CX$13,"IN")+COUNTIFS($CV$2:$CV$13,Z32,$CW$2:$CW$13,"IN"))*IF(SUM(AA30:AA33)=12,1,0)</f>
        <v>1</v>
      </c>
      <c r="AL32" s="45">
        <f>+LARGE(V30:V33,3)</f>
        <v>4.3004031999999999</v>
      </c>
      <c r="AM32" s="52">
        <f t="shared" si="141"/>
        <v>0</v>
      </c>
      <c r="AP32" s="53" t="str">
        <f>+O32</f>
        <v>Australia</v>
      </c>
      <c r="AQ32" s="23">
        <f>+P32*3+Q32*1+BT32+CN32+S32/1000+T32/10000</f>
        <v>4.3003999999999998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4</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1</v>
      </c>
      <c r="BH32" s="59">
        <f t="shared" si="128"/>
        <v>2</v>
      </c>
      <c r="BI32" s="57" t="str">
        <f>+IF(_xlfn.XLOOKUP($H32,$AY:$AY,$AZ:$AZ,"-",0)=BF28,$H32,"-")</f>
        <v>-</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1</v>
      </c>
      <c r="BR32" s="24">
        <f t="shared" si="152"/>
        <v>1</v>
      </c>
      <c r="BS32" s="60">
        <f t="shared" si="153"/>
        <v>1.0001</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1</v>
      </c>
      <c r="H33" s="44" t="s">
        <v>73</v>
      </c>
      <c r="J33" s="24" t="str">
        <f t="shared" si="131"/>
        <v/>
      </c>
      <c r="K33" s="24" t="str">
        <f t="shared" si="132"/>
        <v>Estados Unidos</v>
      </c>
      <c r="L33" s="24" t="str">
        <f t="shared" si="133"/>
        <v>Australia</v>
      </c>
      <c r="M33" s="24" t="str">
        <f t="shared" si="134"/>
        <v/>
      </c>
      <c r="O33" s="26" t="str">
        <f>+H31</f>
        <v>Turquia</v>
      </c>
      <c r="P33" s="24">
        <f>+COUNTIF(J30:J35,"="&amp;$O33)</f>
        <v>0</v>
      </c>
      <c r="Q33" s="24">
        <f>+COUNTIF(K30:L35,"="&amp;$O33)</f>
        <v>0</v>
      </c>
      <c r="R33" s="24">
        <f>+COUNTIF(M30:M35,"="&amp;$O33)</f>
        <v>3</v>
      </c>
      <c r="S33" s="24">
        <f t="shared" si="135"/>
        <v>-3</v>
      </c>
      <c r="T33" s="24">
        <f t="shared" ref="T33" si="166">+SUMIF(E30:E35,$O33,F30:F35)+SUMIF(H30:H35,$O33,G30:G35)</f>
        <v>4</v>
      </c>
      <c r="U33" s="24">
        <f t="shared" ref="U33" si="167">+SUMIF(E30:E35,$O33,G30:G35)+SUMIF(H30:H35,$O33,F30:F35)</f>
        <v>7</v>
      </c>
      <c r="V33" s="45">
        <f t="shared" si="138"/>
        <v>-2.5967E-3</v>
      </c>
      <c r="W33" s="26" t="str">
        <f t="shared" si="139"/>
        <v>Turquia</v>
      </c>
      <c r="Y33" s="74" t="str">
        <f>+CONCATENATE("4",RIGHT(E29,1))</f>
        <v>4D</v>
      </c>
      <c r="Z33" s="75" t="str">
        <f>+VLOOKUP(AL33,V30:W33,2,FALSE)</f>
        <v>Turquia</v>
      </c>
      <c r="AA33" s="76">
        <f t="shared" si="140"/>
        <v>3</v>
      </c>
      <c r="AB33" s="77">
        <f t="shared" si="126"/>
        <v>0</v>
      </c>
      <c r="AC33" s="77">
        <f t="shared" si="126"/>
        <v>0</v>
      </c>
      <c r="AD33" s="77">
        <f t="shared" si="126"/>
        <v>3</v>
      </c>
      <c r="AE33" s="77">
        <f t="shared" si="126"/>
        <v>-3</v>
      </c>
      <c r="AF33" s="77">
        <f t="shared" si="126"/>
        <v>4</v>
      </c>
      <c r="AG33" s="77">
        <f t="shared" si="126"/>
        <v>7</v>
      </c>
      <c r="AH33" s="78">
        <f>+VLOOKUP($Z33,$O$30:$V$33,COLUMN()-26,FALSE)</f>
        <v>-2.5967E-3</v>
      </c>
      <c r="AI33" s="73"/>
      <c r="AL33" s="45">
        <f>+LARGE(V30:V33,4)</f>
        <v>-2.5967E-3</v>
      </c>
      <c r="AM33" s="52">
        <f t="shared" si="141"/>
        <v>0</v>
      </c>
      <c r="AP33" s="53" t="str">
        <f>+O33</f>
        <v>Turquia</v>
      </c>
      <c r="AQ33" s="23">
        <f>+P33*3+Q33*1+BT33+CN33+S33/1000+T33/10000</f>
        <v>-2.5999999999999999E-3</v>
      </c>
      <c r="AS33" s="54">
        <f t="shared" si="142"/>
        <v>0</v>
      </c>
      <c r="AT33" s="54">
        <f>+IF(AND(AM34="si",OR(AR30=1,AR31=1,AR32=1)),1,0)</f>
        <v>0</v>
      </c>
      <c r="AU33" s="79" t="str">
        <f t="shared" si="143"/>
        <v>Turquia</v>
      </c>
      <c r="AV33" s="80"/>
      <c r="AX33" s="23" t="str">
        <f>+Y29</f>
        <v>Grupo D</v>
      </c>
      <c r="AY33" s="24" t="str">
        <f t="shared" si="144"/>
        <v>Turquia</v>
      </c>
      <c r="AZ33" s="29">
        <f t="shared" si="145"/>
        <v>0</v>
      </c>
      <c r="BA33" s="29">
        <f>+COUNTIFS($AX$1:AX33,AX33,$AZ$1:AZ33,AZ33)</f>
        <v>1</v>
      </c>
      <c r="BB33" s="29">
        <f>+IF(AZ33=BF28,ROW()*0.001,AZ33)</f>
        <v>0</v>
      </c>
      <c r="BC33" s="29">
        <f>+COUNTIFS($AX$1:AZ33,AZ33,$AZ$1:BB33,BB33)</f>
        <v>4</v>
      </c>
      <c r="BD33" s="29"/>
      <c r="BE33" s="25" t="str">
        <f>+IF(OR(BF33="-",BI33="-",BF28=0),"-","OK")</f>
        <v>OK</v>
      </c>
      <c r="BF33" s="57" t="str">
        <f>+IF(_xlfn.XLOOKUP($E33,$AY:$AY,$AZ:$AZ,"-",0)=BF28,$E33,"-")</f>
        <v>Estados Unidos</v>
      </c>
      <c r="BG33" s="58">
        <f t="shared" si="127"/>
        <v>1</v>
      </c>
      <c r="BH33" s="59">
        <f t="shared" si="128"/>
        <v>1</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1</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2</v>
      </c>
      <c r="BH34" s="59">
        <f t="shared" si="128"/>
        <v>3</v>
      </c>
      <c r="BI34" s="57" t="str">
        <f>+IF(_xlfn.XLOOKUP($H34,$AY:$AY,$AZ:$AZ,"-",0)=BF28,$H34,"-")</f>
        <v>Estados Unidos</v>
      </c>
      <c r="BY34" s="25" t="str">
        <f t="shared" si="154"/>
        <v>-</v>
      </c>
      <c r="BZ34" s="57" t="str">
        <f>+IF(_xlfn.XLOOKUP($E34,$AY:$AY,$AZ:$AZ,"-",0)=BZ28,$E34,"-")</f>
        <v>-</v>
      </c>
      <c r="CA34" s="58">
        <f t="shared" si="129"/>
        <v>2</v>
      </c>
      <c r="CB34" s="59">
        <f t="shared" si="130"/>
        <v>3</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Australia</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0</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2</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3</v>
      </c>
      <c r="T39" s="24">
        <f t="shared" ref="T39" si="168">+SUMIF(E39:E44,$O39,F39:F44)+SUMIF(H39:H44,$O39,G39:G44)</f>
        <v>6</v>
      </c>
      <c r="U39" s="24">
        <f t="shared" ref="U39" si="169">+SUMIF(E39:E44,$O39,G39:G44)+SUMIF(H39:H44,$O39,F39:F44)</f>
        <v>3</v>
      </c>
      <c r="V39" s="45">
        <f>+P39*3+Q39*1+BT39+CN39+S39/1000+T39/10000+AV39/1000000+ROW()/10000000</f>
        <v>7.0036039000000008</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3</v>
      </c>
      <c r="AF39" s="49">
        <f t="shared" si="170"/>
        <v>6</v>
      </c>
      <c r="AG39" s="49">
        <f t="shared" si="170"/>
        <v>3</v>
      </c>
      <c r="AH39" s="50">
        <f>+VLOOKUP($Z39,$O$39:$V$42,COLUMN()-26,FALSE)</f>
        <v>7.0036039000000008</v>
      </c>
      <c r="AI39" s="51"/>
      <c r="AL39" s="45">
        <f>+LARGE(V39:V42,1)</f>
        <v>7.0036039000000008</v>
      </c>
      <c r="AM39" s="52">
        <f>+(AH39-AL39)*100000000000000000000</f>
        <v>0</v>
      </c>
      <c r="AP39" s="53" t="str">
        <f>+O39</f>
        <v>Alemania</v>
      </c>
      <c r="AQ39" s="23">
        <f>+P39*3+Q39*1+BT39+CN39+S39/1000+T39/10000</f>
        <v>7.0036000000000005</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1</v>
      </c>
      <c r="BD39" s="29"/>
      <c r="BE39" s="25" t="str">
        <f>+IF(OR(BF39="-",BI39="-",BF37=0),"-","OK")</f>
        <v>-</v>
      </c>
      <c r="BF39" s="57" t="str">
        <f>+IF(_xlfn.XLOOKUP($E39,$AY:$AY,$AZ:$AZ,"-",0)=BF37,$E39,"-")</f>
        <v>-</v>
      </c>
      <c r="BG39" s="58">
        <f t="shared" ref="BG39:BG44" si="171">+$F39</f>
        <v>2</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2</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-6</v>
      </c>
      <c r="T40" s="24">
        <f t="shared" ref="T40" si="180">+SUMIF(E39:E44,$O40,F39:F44)+SUMIF(H39:H44,$O40,G39:G44)</f>
        <v>1</v>
      </c>
      <c r="U40" s="24">
        <f t="shared" ref="U40" si="181">+SUMIF(E39:E44,$O40,G39:G44)+SUMIF(H39:H44,$O40,F39:F44)</f>
        <v>7</v>
      </c>
      <c r="V40" s="45">
        <f t="shared" ref="V40:V42" si="182">+P40*3+Q40*1+BT40+CN40+S40/1000+T40/10000+AV40/1000000+ROW()/10000000</f>
        <v>-5.8960000000000002E-3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1</v>
      </c>
      <c r="AF40" s="64">
        <f t="shared" si="170"/>
        <v>5</v>
      </c>
      <c r="AG40" s="64">
        <f t="shared" si="170"/>
        <v>4</v>
      </c>
      <c r="AH40" s="65">
        <f>+VLOOKUP($Z40,$O$39:$V$42,COLUMN()-26,FALSE)</f>
        <v>5.0015042000000003</v>
      </c>
      <c r="AI40" s="51"/>
      <c r="AL40" s="45">
        <f>+LARGE(V39:V42,2)</f>
        <v>5.0015042000000003</v>
      </c>
      <c r="AM40" s="52">
        <f t="shared" ref="AM40:AM42" si="185">+(AH40-AL40)*100000000000000000000</f>
        <v>0</v>
      </c>
      <c r="AP40" s="53" t="str">
        <f>+O40</f>
        <v>Curazao</v>
      </c>
      <c r="AQ40" s="23">
        <f>+P40*3+Q40*1+BT40+CN40+S40/1000+T40/10000</f>
        <v>-5.8999999999999999E-3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2</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2</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7</v>
      </c>
      <c r="U41" s="24">
        <f t="shared" ref="U41" si="209">+SUMIF(E39:E44,$O41,G39:G44)+SUMIF(H39:H44,$O41,F39:F44)</f>
        <v>5</v>
      </c>
      <c r="V41" s="45">
        <f t="shared" si="182"/>
        <v>4.0027040999999999</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2</v>
      </c>
      <c r="AF41" s="71">
        <f t="shared" si="170"/>
        <v>7</v>
      </c>
      <c r="AG41" s="71">
        <f t="shared" si="170"/>
        <v>5</v>
      </c>
      <c r="AH41" s="72">
        <f>+VLOOKUP($Z41,$O$39:$V$42,COLUMN()-26,FALSE)</f>
        <v>4.0027040999999999</v>
      </c>
      <c r="AI41" s="73">
        <f>+(COUNTIFS($CV$2:$CV$13,Z41,$CX$2:$CX$13,"IN")+COUNTIFS($CV$2:$CV$13,Z41,$CW$2:$CW$13,"IN"))*IF(SUM(AA39:AA42)=12,1,0)</f>
        <v>1</v>
      </c>
      <c r="AL41" s="45">
        <f>+LARGE(V39:V42,3)</f>
        <v>4.0027040999999999</v>
      </c>
      <c r="AM41" s="52">
        <f t="shared" si="185"/>
        <v>0</v>
      </c>
      <c r="AP41" s="53" t="str">
        <f>+O41</f>
        <v>Costa de Marfil</v>
      </c>
      <c r="AQ41" s="23">
        <f>+P41*3+Q41*1+BT41+CN41+S41/1000+T41/10000</f>
        <v>4.0026999999999999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1</v>
      </c>
      <c r="BD41" s="29"/>
      <c r="BE41" s="25" t="str">
        <f>+IF(OR(BF41="-",BI41="-",BF37=0),"-","OK")</f>
        <v>-</v>
      </c>
      <c r="BF41" s="57" t="str">
        <f>+IF(_xlfn.XLOOKUP($E41,$AY:$AY,$AZ:$AZ,"-",0)=BF37,$E41,"-")</f>
        <v>-</v>
      </c>
      <c r="BG41" s="58">
        <f t="shared" si="171"/>
        <v>3</v>
      </c>
      <c r="BH41" s="59">
        <f t="shared" si="172"/>
        <v>2</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3</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1</v>
      </c>
      <c r="T42" s="24">
        <f t="shared" ref="T42" si="210">+SUMIF(E39:E44,$O42,F39:F44)+SUMIF(H39:H44,$O42,G39:G44)</f>
        <v>5</v>
      </c>
      <c r="U42" s="24">
        <f t="shared" ref="U42" si="211">+SUMIF(E39:E44,$O42,G39:G44)+SUMIF(H39:H44,$O42,F39:F44)</f>
        <v>4</v>
      </c>
      <c r="V42" s="45">
        <f t="shared" si="182"/>
        <v>5.0015042000000003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-6</v>
      </c>
      <c r="AF42" s="77">
        <f t="shared" si="170"/>
        <v>1</v>
      </c>
      <c r="AG42" s="77">
        <f t="shared" si="170"/>
        <v>7</v>
      </c>
      <c r="AH42" s="78">
        <f>+VLOOKUP($Z42,$O$39:$V$42,COLUMN()-26,FALSE)</f>
        <v>-5.8960000000000002E-3</v>
      </c>
      <c r="AI42" s="73"/>
      <c r="AL42" s="45">
        <f>+LARGE(V39:V42,4)</f>
        <v>-5.8960000000000002E-3</v>
      </c>
      <c r="AM42" s="52">
        <f t="shared" si="185"/>
        <v>0</v>
      </c>
      <c r="AP42" s="53" t="str">
        <f>+O42</f>
        <v>Ecuador</v>
      </c>
      <c r="AQ42" s="23">
        <f>+P42*3+Q42*1+BT42+CN42+S42/1000+T42/10000</f>
        <v>5.0015000000000001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2</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1</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v>
      </c>
    </row>
    <row r="44" spans="1:102" x14ac:dyDescent="0.2">
      <c r="A44" s="38" t="s">
        <v>152</v>
      </c>
      <c r="B44" s="39">
        <v>46198</v>
      </c>
      <c r="C44" s="40"/>
      <c r="D44" s="41"/>
      <c r="E44" s="42" t="s">
        <v>93</v>
      </c>
      <c r="F44" s="43">
        <v>0</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3</v>
      </c>
      <c r="BI44" s="57" t="str">
        <f>+IF(_xlfn.XLOOKUP($H44,$AY:$AY,$AZ:$AZ,"-",0)=BF37,$H44,"-")</f>
        <v>-</v>
      </c>
      <c r="BY44" s="25" t="str">
        <f t="shared" si="198"/>
        <v>-</v>
      </c>
      <c r="BZ44" s="57" t="str">
        <f>+IF(_xlfn.XLOOKUP($E44,$AY:$AY,$AZ:$AZ,"-",0)=BZ37,$E44,"-")</f>
        <v>Curazao</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1</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7</v>
      </c>
      <c r="U48" s="24">
        <f t="shared" ref="U48" si="213">+SUMIF(E48:E53,$O48,G48:G53)+SUMIF(H48:H53,$O48,F48:F53)</f>
        <v>3</v>
      </c>
      <c r="V48" s="45">
        <f>+P48*3+Q48*1+BT48+CN48+S48/1000+T48/10000+AV48/1000000+ROW()/10000000</f>
        <v>9.004704799999999</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7</v>
      </c>
      <c r="AG48" s="49">
        <f t="shared" si="214"/>
        <v>3</v>
      </c>
      <c r="AH48" s="50">
        <f>+VLOOKUP($Z48,$O$48:$V$51,COLUMN()-26,FALSE)</f>
        <v>9.004704799999999</v>
      </c>
      <c r="AI48" s="51"/>
      <c r="AL48" s="45">
        <f>+LARGE(V48:V51,1)</f>
        <v>9.004704799999999</v>
      </c>
      <c r="AM48" s="52">
        <f>+(AH48-AL48)*100000000000000000000</f>
        <v>0</v>
      </c>
      <c r="AP48" s="53" t="str">
        <f>+O48</f>
        <v>Paises Bajos</v>
      </c>
      <c r="AQ48" s="23">
        <f>+P48*3+Q48*1+BT48+CN48+S48/1000+T48/10000</f>
        <v>9.0046999999999997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3</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2</v>
      </c>
      <c r="Q49" s="24">
        <f>+COUNTIF(K48:L53,"="&amp;$O49)</f>
        <v>0</v>
      </c>
      <c r="R49" s="24">
        <f>+COUNTIF(M48:M53,"="&amp;$O49)</f>
        <v>1</v>
      </c>
      <c r="S49" s="24">
        <f t="shared" ref="S49:S51" si="223">+T49-U49</f>
        <v>1</v>
      </c>
      <c r="T49" s="24">
        <f t="shared" ref="T49" si="224">+SUMIF(E48:E53,$O49,F48:F53)+SUMIF(H48:H53,$O49,G48:G53)</f>
        <v>5</v>
      </c>
      <c r="U49" s="24">
        <f t="shared" ref="U49" si="225">+SUMIF(E48:E53,$O49,G48:G53)+SUMIF(H48:H53,$O49,F48:F53)</f>
        <v>4</v>
      </c>
      <c r="V49" s="45">
        <f t="shared" ref="V49:V51" si="226">+P49*3+Q49*1+BT49+CN49+S49/1000+T49/10000+AV49/1000000+ROW()/10000000</f>
        <v>6.0015049000000005</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5</v>
      </c>
      <c r="AG49" s="64">
        <f t="shared" si="214"/>
        <v>4</v>
      </c>
      <c r="AH49" s="65">
        <f>+VLOOKUP($Z49,$O$48:$V$51,COLUMN()-26,FALSE)</f>
        <v>6.0015049000000005</v>
      </c>
      <c r="AI49" s="51"/>
      <c r="AL49" s="45">
        <f>+LARGE(V48:V51,2)</f>
        <v>6.0015049000000005</v>
      </c>
      <c r="AM49" s="52">
        <f t="shared" ref="AM49:AM51" si="229">+(AH49-AL49)*100000000000000000000</f>
        <v>0</v>
      </c>
      <c r="AP49" s="53" t="str">
        <f>+O49</f>
        <v>Japon</v>
      </c>
      <c r="AQ49" s="23">
        <f>+P49*3+Q49*1+BT49+CN49+S49/1000+T49/10000</f>
        <v>6.0015000000000001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2</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-2</v>
      </c>
      <c r="T50" s="24">
        <f t="shared" ref="T50" si="252">+SUMIF(E48:E53,$O50,F48:F53)+SUMIF(H48:H53,$O50,G48:G53)</f>
        <v>3</v>
      </c>
      <c r="U50" s="24">
        <f t="shared" ref="U50" si="253">+SUMIF(E48:E53,$O50,G48:G53)+SUMIF(H48:H53,$O50,F48:F53)</f>
        <v>5</v>
      </c>
      <c r="V50" s="45">
        <f t="shared" si="226"/>
        <v>1.298305</v>
      </c>
      <c r="W50" s="26" t="str">
        <f t="shared" si="227"/>
        <v>Suecia</v>
      </c>
      <c r="Y50" s="68" t="str">
        <f>+CONCATENATE("3",RIGHT(E47,1))</f>
        <v>3F</v>
      </c>
      <c r="Z50" s="69" t="str">
        <f>+VLOOKUP(AL50,V48:W51,2,FALSE)</f>
        <v>Suecia</v>
      </c>
      <c r="AA50" s="70">
        <f t="shared" si="228"/>
        <v>3</v>
      </c>
      <c r="AB50" s="71">
        <f t="shared" si="214"/>
        <v>0</v>
      </c>
      <c r="AC50" s="71">
        <f t="shared" si="214"/>
        <v>1</v>
      </c>
      <c r="AD50" s="71">
        <f t="shared" si="214"/>
        <v>2</v>
      </c>
      <c r="AE50" s="71">
        <f t="shared" si="214"/>
        <v>-2</v>
      </c>
      <c r="AF50" s="71">
        <f t="shared" si="214"/>
        <v>3</v>
      </c>
      <c r="AG50" s="71">
        <f t="shared" si="214"/>
        <v>5</v>
      </c>
      <c r="AH50" s="72">
        <f>+VLOOKUP($Z50,$O$48:$V$51,COLUMN()-26,FALSE)</f>
        <v>1.298305</v>
      </c>
      <c r="AI50" s="73">
        <f>+(COUNTIFS($CV$2:$CV$13,Z50,$CX$2:$CX$13,"IN")+COUNTIFS($CV$2:$CV$13,Z50,$CW$2:$CW$13,"IN"))*IF(SUM(AA48:AA51)=12,1,0)</f>
        <v>0</v>
      </c>
      <c r="AL50" s="45">
        <f>+LARGE(V48:V51,3)</f>
        <v>1.298305</v>
      </c>
      <c r="AM50" s="52">
        <f t="shared" si="229"/>
        <v>0</v>
      </c>
      <c r="AP50" s="53" t="str">
        <f>+O50</f>
        <v>Suecia</v>
      </c>
      <c r="AQ50" s="23">
        <f>+P50*3+Q50*1+BT50+CN50+S50/1000+T50/10000</f>
        <v>1.2983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3</v>
      </c>
      <c r="U51" s="24">
        <f t="shared" ref="U51" si="255">+SUMIF(E48:E53,$O51,G48:G53)+SUMIF(H48:H53,$O51,F48:F53)</f>
        <v>6</v>
      </c>
      <c r="V51" s="45">
        <f t="shared" si="226"/>
        <v>1.2973051000000002</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3</v>
      </c>
      <c r="AG51" s="77">
        <f t="shared" si="214"/>
        <v>6</v>
      </c>
      <c r="AH51" s="78">
        <f>+VLOOKUP($Z51,$O$48:$V$51,COLUMN()-26,FALSE)</f>
        <v>1.2973051000000002</v>
      </c>
      <c r="AI51" s="73"/>
      <c r="AL51" s="45">
        <f>+LARGE(V48:V51,4)</f>
        <v>1.2973051000000002</v>
      </c>
      <c r="AM51" s="52">
        <f t="shared" si="229"/>
        <v>0</v>
      </c>
      <c r="AP51" s="53" t="str">
        <f>+O51</f>
        <v>Tunez</v>
      </c>
      <c r="AQ51" s="23">
        <f>+P51*3+Q51*1+BT51+CN51+S51/1000+T51/10000</f>
        <v>1.2973000000000001</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1</v>
      </c>
      <c r="BH51" s="59">
        <f t="shared" si="216"/>
        <v>2</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1</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0</v>
      </c>
      <c r="R57" s="24">
        <f>+COUNTIF(M57:M62,"="&amp;$O57)</f>
        <v>3</v>
      </c>
      <c r="S57" s="24">
        <f>+T57-U57</f>
        <v>-4</v>
      </c>
      <c r="T57" s="24">
        <f t="shared" ref="T57" si="256">+SUMIF(E57:E62,$O57,F57:F62)+SUMIF(H57:H62,$O57,G57:G62)</f>
        <v>1</v>
      </c>
      <c r="U57" s="24">
        <f t="shared" ref="U57" si="257">+SUMIF(E57:E62,$O57,G57:G62)+SUMIF(H57:H62,$O57,F57:F62)</f>
        <v>5</v>
      </c>
      <c r="V57" s="45">
        <f>+P57*3+Q57*1+BT57+CN57+S57/1000+T57/10000+AV57/1000000+ROW()/10000000</f>
        <v>-3.8943000000000003E-3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6</v>
      </c>
      <c r="AG57" s="49">
        <f t="shared" si="258"/>
        <v>0</v>
      </c>
      <c r="AH57" s="50">
        <f>+VLOOKUP($Z57,$O$57:$V$60,COLUMN()-26,FALSE)</f>
        <v>9.0066059000000003</v>
      </c>
      <c r="AI57" s="51"/>
      <c r="AL57" s="45">
        <f>+LARGE(V57:V60,1)</f>
        <v>9.0066059000000003</v>
      </c>
      <c r="AM57" s="52">
        <f>+(AH57-AL57)*100000000000000000000</f>
        <v>0</v>
      </c>
      <c r="AP57" s="53" t="str">
        <f>+O57</f>
        <v>Iran</v>
      </c>
      <c r="AQ57" s="23">
        <f>+P57*3+Q57*1+BT57+CN57+S57/1000+T57/10000</f>
        <v>-3.9000000000000003E-3</v>
      </c>
      <c r="AR57" s="23" t="b">
        <f>+IF(OR(AQ57=AQ58,AQ57=AQ59,AQ57=AQ60),1)</f>
        <v>0</v>
      </c>
      <c r="AS57" s="54">
        <f>+AV57</f>
        <v>0</v>
      </c>
      <c r="AT57" s="54">
        <f>+IF(AND(AM61="si",OR(AR57=1,AR58=1,AR59=1)),1,0)</f>
        <v>0</v>
      </c>
      <c r="AU57" s="55" t="str">
        <f>+O57</f>
        <v>Iran</v>
      </c>
      <c r="AV57" s="56"/>
      <c r="AX57" s="23" t="str">
        <f>+Y56</f>
        <v>Grupo G</v>
      </c>
      <c r="AY57" s="24" t="str">
        <f>+O57</f>
        <v>Iran</v>
      </c>
      <c r="AZ57" s="29">
        <f>+P57*3+Q57</f>
        <v>0</v>
      </c>
      <c r="BA57" s="29">
        <f>+COUNTIFS($AX$1:AX57,AX57,$AZ$1:AZ57,AZ57)</f>
        <v>1</v>
      </c>
      <c r="BB57" s="29">
        <f>+IF(AZ57=BF55,ROW()*0.001,AZ57)</f>
        <v>0</v>
      </c>
      <c r="BC57" s="29">
        <f>+COUNTIFS($AX$1:AZ57,AZ57,$AZ$1:BB57,BB57)</f>
        <v>6</v>
      </c>
      <c r="BD57" s="29"/>
      <c r="BE57" s="25" t="str">
        <f>+IF(OR(BF57="-",BI57="-",BF55=0),"-","OK")</f>
        <v>-</v>
      </c>
      <c r="BF57" s="57" t="str">
        <f>+IF(_xlfn.XLOOKUP($E57,$AY:$AY,$AZ:$AZ,"-",0)=BF55,$E57,"-")</f>
        <v>-</v>
      </c>
      <c r="BG57" s="58">
        <f t="shared" ref="BG57:BG62" si="259">+$F57</f>
        <v>0</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1</v>
      </c>
      <c r="Q58" s="24">
        <f>+COUNTIF(K57:L62,"="&amp;$O58)</f>
        <v>0</v>
      </c>
      <c r="R58" s="24">
        <f>+COUNTIF(M57:M62,"="&amp;$O58)</f>
        <v>2</v>
      </c>
      <c r="S58" s="24">
        <f t="shared" ref="S58:S60" si="267">+T58-U58</f>
        <v>-2</v>
      </c>
      <c r="T58" s="24">
        <f t="shared" ref="T58" si="268">+SUMIF(E57:E62,$O58,F57:F62)+SUMIF(H57:H62,$O58,G57:G62)</f>
        <v>2</v>
      </c>
      <c r="U58" s="24">
        <f t="shared" ref="U58" si="269">+SUMIF(E57:E62,$O58,G57:G62)+SUMIF(H57:H62,$O58,F57:F62)</f>
        <v>4</v>
      </c>
      <c r="V58" s="45">
        <f t="shared" ref="V58:V60" si="270">+P58*3+Q58*1+BT58+CN58+S58/1000+T58/10000+AV58/1000000+ROW()/10000000</f>
        <v>2.9982058</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0</v>
      </c>
      <c r="AF58" s="64">
        <f t="shared" si="258"/>
        <v>4</v>
      </c>
      <c r="AG58" s="64">
        <f t="shared" si="258"/>
        <v>4</v>
      </c>
      <c r="AH58" s="65">
        <f>+VLOOKUP($Z58,$O$57:$V$60,COLUMN()-26,FALSE)</f>
        <v>6.0004059999999999</v>
      </c>
      <c r="AI58" s="51"/>
      <c r="AL58" s="45">
        <f>+LARGE(V57:V60,2)</f>
        <v>6.0004059999999999</v>
      </c>
      <c r="AM58" s="52">
        <f t="shared" ref="AM58:AM60" si="273">+(AH58-AL58)*100000000000000000000</f>
        <v>0</v>
      </c>
      <c r="AP58" s="53" t="str">
        <f>+O58</f>
        <v>Nueva Zelanda</v>
      </c>
      <c r="AQ58" s="23">
        <f>+P58*3+Q58*1+BT58+CN58+S58/1000+T58/10000</f>
        <v>2.9982000000000002</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3</v>
      </c>
      <c r="BA58" s="29">
        <f>+COUNTIFS($AX$1:AX58,AX58,$AZ$1:AZ58,AZ58)</f>
        <v>1</v>
      </c>
      <c r="BB58" s="29">
        <f>+IF(AZ58=BF55,ROW()*0.001,AZ58)</f>
        <v>3</v>
      </c>
      <c r="BC58" s="29">
        <f>+COUNTIFS($AX$1:AZ58,AZ58,$AZ$1:BB58,BB58)</f>
        <v>4</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6</v>
      </c>
      <c r="U59" s="24">
        <f t="shared" ref="U59" si="297">+SUMIF(E57:E62,$O59,G57:G62)+SUMIF(H57:H62,$O59,F57:F62)</f>
        <v>0</v>
      </c>
      <c r="V59" s="45">
        <f t="shared" si="270"/>
        <v>9.0066059000000003</v>
      </c>
      <c r="W59" s="26" t="str">
        <f t="shared" si="271"/>
        <v>Belgica</v>
      </c>
      <c r="Y59" s="68" t="str">
        <f>+CONCATENATE("3",RIGHT(E56,1))</f>
        <v>3G</v>
      </c>
      <c r="Z59" s="69" t="str">
        <f>+VLOOKUP(AL59,V57:W60,2,FALSE)</f>
        <v>Nueva Zelanda</v>
      </c>
      <c r="AA59" s="70">
        <f t="shared" si="272"/>
        <v>3</v>
      </c>
      <c r="AB59" s="71">
        <f t="shared" si="258"/>
        <v>1</v>
      </c>
      <c r="AC59" s="71">
        <f t="shared" si="258"/>
        <v>0</v>
      </c>
      <c r="AD59" s="71">
        <f t="shared" si="258"/>
        <v>2</v>
      </c>
      <c r="AE59" s="71">
        <f t="shared" si="258"/>
        <v>-2</v>
      </c>
      <c r="AF59" s="71">
        <f t="shared" si="258"/>
        <v>2</v>
      </c>
      <c r="AG59" s="71">
        <f t="shared" si="258"/>
        <v>4</v>
      </c>
      <c r="AH59" s="72">
        <f>+VLOOKUP($Z59,$O$57:$V$60,COLUMN()-26,FALSE)</f>
        <v>2.9982058</v>
      </c>
      <c r="AI59" s="73">
        <f>+(COUNTIFS($CV$2:$CV$13,Z59,$CX$2:$CX$13,"IN")+COUNTIFS($CV$2:$CV$13,Z59,$CW$2:$CW$13,"IN"))*IF(SUM(AA57:AA60)=12,1,0)</f>
        <v>0</v>
      </c>
      <c r="AL59" s="45">
        <f>+LARGE(V57:V60,3)</f>
        <v>2.9982058</v>
      </c>
      <c r="AM59" s="52">
        <f t="shared" si="273"/>
        <v>0</v>
      </c>
      <c r="AP59" s="53" t="str">
        <f>+O59</f>
        <v>Belgica</v>
      </c>
      <c r="AQ59" s="23">
        <f>+P59*3+Q59*1+BT59+CN59+S59/1000+T59/10000</f>
        <v>9.0066000000000006</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4</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0</v>
      </c>
      <c r="T60" s="24">
        <f t="shared" ref="T60" si="298">+SUMIF(E57:E62,$O60,F57:F62)+SUMIF(H57:H62,$O60,G57:G62)</f>
        <v>4</v>
      </c>
      <c r="U60" s="24">
        <f t="shared" ref="U60" si="299">+SUMIF(E57:E62,$O60,G57:G62)+SUMIF(H57:H62,$O60,F57:F62)</f>
        <v>4</v>
      </c>
      <c r="V60" s="45">
        <f t="shared" si="270"/>
        <v>6.0004059999999999</v>
      </c>
      <c r="W60" s="26" t="str">
        <f t="shared" si="271"/>
        <v>Egipto</v>
      </c>
      <c r="Y60" s="74" t="str">
        <f>+CONCATENATE("4",RIGHT(E56,1))</f>
        <v>4G</v>
      </c>
      <c r="Z60" s="75" t="str">
        <f>+VLOOKUP(AL60,V57:W60,2,FALSE)</f>
        <v>Iran</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-3.8943000000000003E-3</v>
      </c>
      <c r="AI60" s="73"/>
      <c r="AL60" s="45">
        <f>+LARGE(V57:V60,4)</f>
        <v>-3.8943000000000003E-3</v>
      </c>
      <c r="AM60" s="52">
        <f t="shared" si="273"/>
        <v>0</v>
      </c>
      <c r="AP60" s="53" t="str">
        <f>+O60</f>
        <v>Egipto</v>
      </c>
      <c r="AQ60" s="23">
        <f>+P60*3+Q60*1+BT60+CN60+S60/1000+T60/10000</f>
        <v>6.0004</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3</v>
      </c>
      <c r="BD60" s="29"/>
      <c r="BE60" s="25" t="str">
        <f>+IF(OR(BF60="-",BI60="-",BF55=0),"-","OK")</f>
        <v>-</v>
      </c>
      <c r="BF60" s="57" t="str">
        <f>+IF(_xlfn.XLOOKUP($E60,$AY:$AY,$AZ:$AZ,"-",0)=BF55,$E60,"-")</f>
        <v>-</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7</v>
      </c>
      <c r="U66" s="24">
        <f t="shared" ref="U66" si="301">+SUMIF(E66:E71,$O66,G66:G71)+SUMIF(H66:H71,$O66,F66:F71)</f>
        <v>3</v>
      </c>
      <c r="V66" s="45">
        <f>+P66*3+Q66*1+BT66+CN66+S66/1000+T66/10000+AV66/1000000+ROW()/10000000</f>
        <v>7.3047065999999994</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7</v>
      </c>
      <c r="AG66" s="49">
        <f t="shared" si="302"/>
        <v>3</v>
      </c>
      <c r="AH66" s="50">
        <f>+VLOOKUP($Z66,$O$66:$V$69,COLUMN()-26,FALSE)</f>
        <v>7.3047065999999994</v>
      </c>
      <c r="AI66" s="51"/>
      <c r="AL66" s="45">
        <f>+LARGE(V66:V69,1)</f>
        <v>7.3047065999999994</v>
      </c>
      <c r="AM66" s="52">
        <f>+(AH66-AL66)*100000000000000000000</f>
        <v>0</v>
      </c>
      <c r="AP66" s="53" t="str">
        <f>+O66</f>
        <v>España</v>
      </c>
      <c r="AQ66" s="23">
        <f>+P66*3+Q66*1+BT66+CN66+S66/1000+T66/10000</f>
        <v>7.3046999999999995</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1</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1</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2</v>
      </c>
      <c r="U67" s="24">
        <f t="shared" ref="U67" si="313">+SUMIF(E66:E71,$O67,G66:G71)+SUMIF(H66:H71,$O67,F66:F71)</f>
        <v>7</v>
      </c>
      <c r="V67" s="45">
        <f t="shared" ref="V67:V69" si="314">+P67*3+Q67*1+BT67+CN67+S67/1000+T67/10000+AV67/1000000+ROW()/10000000</f>
        <v>-4.7933000000000003E-3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5</v>
      </c>
      <c r="AG67" s="64">
        <f t="shared" si="302"/>
        <v>2</v>
      </c>
      <c r="AH67" s="65">
        <f>+VLOOKUP($Z67,$O$66:$V$69,COLUMN()-26,FALSE)</f>
        <v>7.3035068999999995</v>
      </c>
      <c r="AI67" s="51"/>
      <c r="AL67" s="45">
        <f>+LARGE(V66:V69,2)</f>
        <v>7.3035068999999995</v>
      </c>
      <c r="AM67" s="52">
        <f t="shared" ref="AM67:AM69" si="317">+(AH67-AL67)*100000000000000000000</f>
        <v>0</v>
      </c>
      <c r="AP67" s="53" t="str">
        <f>+O67</f>
        <v>Cabo Verde</v>
      </c>
      <c r="AQ67" s="23">
        <f>+P67*3+Q67*1+BT67+CN67+S67/1000+T67/10000</f>
        <v>-4.8000000000000004E-3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7</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3</v>
      </c>
      <c r="U68" s="24">
        <f t="shared" ref="U68" si="341">+SUMIF(E66:E71,$O68,G66:G71)+SUMIF(H66:H71,$O68,F66:F71)</f>
        <v>5</v>
      </c>
      <c r="V68" s="45">
        <f t="shared" si="314"/>
        <v>2.9983068000000004</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2.9983068000000004</v>
      </c>
      <c r="AI68" s="73">
        <f>+(COUNTIFS($CV$2:$CV$13,Z68,$CX$2:$CX$13,"IN")+COUNTIFS($CV$2:$CV$13,Z68,$CW$2:$CW$13,"IN"))*IF(SUM(AA66:AA69)=12,1,0)</f>
        <v>1</v>
      </c>
      <c r="AL68" s="45">
        <f>+LARGE(V66:V69,3)</f>
        <v>2.9983068000000004</v>
      </c>
      <c r="AM68" s="52">
        <f t="shared" si="317"/>
        <v>0</v>
      </c>
      <c r="AP68" s="53" t="str">
        <f>+O68</f>
        <v>Arabia Saudita</v>
      </c>
      <c r="AQ68" s="23">
        <f>+P68*3+Q68*1+BT68+CN68+S68/1000+T68/10000</f>
        <v>2.9983000000000004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España</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5</v>
      </c>
      <c r="U69" s="24">
        <f t="shared" ref="U69" si="343">+SUMIF(E66:E71,$O69,G66:G71)+SUMIF(H66:H71,$O69,F66:F71)</f>
        <v>2</v>
      </c>
      <c r="V69" s="45">
        <f t="shared" si="314"/>
        <v>7.3035068999999995</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2</v>
      </c>
      <c r="AG69" s="77">
        <f t="shared" si="302"/>
        <v>7</v>
      </c>
      <c r="AH69" s="78">
        <f>+VLOOKUP($Z69,$O$66:$V$69,COLUMN()-26,FALSE)</f>
        <v>-4.7933000000000003E-3</v>
      </c>
      <c r="AI69" s="73"/>
      <c r="AL69" s="45">
        <f>+LARGE(V66:V69,4)</f>
        <v>-4.7933000000000003E-3</v>
      </c>
      <c r="AM69" s="52">
        <f t="shared" si="317"/>
        <v>0</v>
      </c>
      <c r="AP69" s="53" t="str">
        <f>+O69</f>
        <v>Uruguay</v>
      </c>
      <c r="AQ69" s="23">
        <f>+P69*3+Q69*1+BT69+CN69+S69/1000+T69/10000</f>
        <v>7.3034999999999997</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1</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1</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Cabo Verde</v>
      </c>
      <c r="CA71" s="58">
        <f t="shared" si="305"/>
        <v>0</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4</v>
      </c>
      <c r="T75" s="24">
        <f t="shared" ref="T75" si="344">+SUMIF(E75:E80,$O75,F75:F80)+SUMIF(H75:H80,$O75,G75:G80)</f>
        <v>6</v>
      </c>
      <c r="U75" s="24">
        <f t="shared" ref="U75" si="345">+SUMIF(E75:E80,$O75,G75:G80)+SUMIF(H75:H80,$O75,F75:F80)</f>
        <v>2</v>
      </c>
      <c r="V75" s="45">
        <f>+P75*3+Q75*1+BT75+CN75+S75/1000+T75/10000+AV75/1000000+ROW()/10000000</f>
        <v>7.0046074999999997</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6</v>
      </c>
      <c r="AG75" s="49">
        <f t="shared" ref="AG75:AG78" si="350">+_xlfn.XLOOKUP($Z75,$O:$O,U:U,"Error",0)</f>
        <v>2</v>
      </c>
      <c r="AH75" s="50">
        <f t="shared" ref="AH75:AH78" si="351">+_xlfn.XLOOKUP($Z75,$O:$O,V:V,"Error",0)</f>
        <v>7.0046074999999997</v>
      </c>
      <c r="AI75" s="51"/>
      <c r="AL75" s="45">
        <f>+LARGE(V75:V78,1)</f>
        <v>7.0046074999999997</v>
      </c>
      <c r="AM75" s="52">
        <f>+(AH75-AL75)*100000000000000000000</f>
        <v>0</v>
      </c>
      <c r="AP75" s="53" t="str">
        <f>+O75</f>
        <v>Francia</v>
      </c>
      <c r="AQ75" s="23">
        <f>+P75*3+Q75*1+BT75+CN75+S75/1000+T75/10000</f>
        <v>7.0045999999999999</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3.9994076000000001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1</v>
      </c>
      <c r="AF76" s="64">
        <f t="shared" si="349"/>
        <v>5</v>
      </c>
      <c r="AG76" s="64">
        <f t="shared" si="350"/>
        <v>4</v>
      </c>
      <c r="AH76" s="65">
        <f t="shared" si="351"/>
        <v>5.0015077999999997</v>
      </c>
      <c r="AI76" s="51"/>
      <c r="AL76" s="45">
        <f>+LARGE(V75:V78,2)</f>
        <v>5.0015077999999997</v>
      </c>
      <c r="AM76" s="52">
        <f t="shared" ref="AM76:AM78" si="367">+(AH76-AL76)*100000000000000000000</f>
        <v>0</v>
      </c>
      <c r="AP76" s="53" t="str">
        <f>+O76</f>
        <v>Senegal</v>
      </c>
      <c r="AQ76" s="23">
        <f>+P76*3+Q76*1+BT76+CN76+S76/1000+T76/10000</f>
        <v>3.9994000000000001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4</v>
      </c>
      <c r="BC76" s="29">
        <f>+COUNTIFS($AX$1:AZ76,AZ76,$AZ$1:BB76,BB76)</f>
        <v>2</v>
      </c>
      <c r="BD76" s="29"/>
      <c r="BE76" s="25" t="str">
        <f>+IF(OR(BF76="-",BI76="-",BF73=0),"-","OK")</f>
        <v>-</v>
      </c>
      <c r="BF76" s="57" t="str">
        <f>+IF(_xlfn.XLOOKUP($E76,$AY:$AY,$AZ:$AZ,"-",0)=BF73,$E76,"-")</f>
        <v>-</v>
      </c>
      <c r="BG76" s="58">
        <f t="shared" si="352"/>
        <v>1</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3</v>
      </c>
      <c r="U77" s="24">
        <f t="shared" ref="U77" si="391">+SUMIF(E75:E80,$O77,G75:G80)+SUMIF(H75:H80,$O77,F75:F80)</f>
        <v>7</v>
      </c>
      <c r="V77" s="45">
        <f t="shared" si="363"/>
        <v>-3.6923000000000004E-3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3.9994076000000001</v>
      </c>
      <c r="AI77" s="73">
        <f>+(COUNTIFS($CV$2:$CV$13,Z77,$CX$2:$CX$13,"IN")+COUNTIFS($CV$2:$CV$13,Z77,$CW$2:$CW$13,"IN"))*IF(SUM(AA75:AA78)=12,1,0)</f>
        <v>1</v>
      </c>
      <c r="AL77" s="45">
        <f>+LARGE(V75:V78,3)</f>
        <v>3.9994076000000001</v>
      </c>
      <c r="AM77" s="52">
        <f t="shared" si="367"/>
        <v>0</v>
      </c>
      <c r="AP77" s="53" t="str">
        <f>+O77</f>
        <v>Irak</v>
      </c>
      <c r="AQ77" s="23">
        <f>+P77*3+Q77*1+BT77+CN77+S77/1000+T77/10000</f>
        <v>-3.7000000000000002E-3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1</v>
      </c>
      <c r="T78" s="24">
        <f t="shared" ref="T78" si="392">+SUMIF(E75:E80,$O78,F75:F80)+SUMIF(H75:H80,$O78,G75:G80)</f>
        <v>5</v>
      </c>
      <c r="U78" s="24">
        <f t="shared" ref="U78" si="393">+SUMIF(E75:E80,$O78,G75:G80)+SUMIF(H75:H80,$O78,F75:F80)</f>
        <v>4</v>
      </c>
      <c r="V78" s="45">
        <f t="shared" si="363"/>
        <v>5.0015077999999997</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3</v>
      </c>
      <c r="AG78" s="77">
        <f t="shared" si="350"/>
        <v>7</v>
      </c>
      <c r="AH78" s="78">
        <f t="shared" si="351"/>
        <v>-3.6923000000000004E-3</v>
      </c>
      <c r="AI78" s="73"/>
      <c r="AL78" s="45">
        <f>+LARGE(V75:V78,4)</f>
        <v>-3.6923000000000004E-3</v>
      </c>
      <c r="AM78" s="52">
        <f t="shared" si="367"/>
        <v>0</v>
      </c>
      <c r="AP78" s="53" t="str">
        <f>+O78</f>
        <v>Noruega</v>
      </c>
      <c r="AQ78" s="23">
        <f>+P78*3+Q78*1+BT78+CN78+S78/1000+T78/10000</f>
        <v>5.0015000000000001</v>
      </c>
      <c r="AS78" s="54">
        <f t="shared" si="368"/>
        <v>0</v>
      </c>
      <c r="AT78" s="54">
        <f>+IF(AND(AM79="si",OR(AR75=1,AR76=1,AR77=1)),1,0)</f>
        <v>0</v>
      </c>
      <c r="AU78" s="79" t="str">
        <f t="shared" si="369"/>
        <v>Noruega</v>
      </c>
      <c r="AV78" s="80"/>
      <c r="AX78" s="23" t="str">
        <f>+Y74</f>
        <v>Grupo I</v>
      </c>
      <c r="AY78" s="24" t="str">
        <f t="shared" si="370"/>
        <v>Noruega</v>
      </c>
      <c r="AZ78" s="29">
        <f t="shared" si="371"/>
        <v>5</v>
      </c>
      <c r="BA78" s="29">
        <f>+COUNTIFS($AX$1:AX78,AX78,$AZ$1:AZ78,AZ78)</f>
        <v>1</v>
      </c>
      <c r="BB78" s="29">
        <f>+IF(AZ78=BF73,ROW()*0.001,AZ78)</f>
        <v>5</v>
      </c>
      <c r="BC78" s="29">
        <f>+COUNTIFS($AX$1:AZ78,AZ78,$AZ$1:BB78,BB78)</f>
        <v>2</v>
      </c>
      <c r="BD78" s="29"/>
      <c r="BE78" s="25" t="str">
        <f>+IF(OR(BF78="-",BI78="-",BF73=0),"-","OK")</f>
        <v>-</v>
      </c>
      <c r="BF78" s="57" t="str">
        <f>+IF(_xlfn.XLOOKUP($E78,$AY:$AY,$AZ:$AZ,"-",0)=BF73,$E78,"-")</f>
        <v>-</v>
      </c>
      <c r="BG78" s="58">
        <f t="shared" si="352"/>
        <v>2</v>
      </c>
      <c r="BH78" s="59">
        <f t="shared" si="353"/>
        <v>2</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1</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1</v>
      </c>
      <c r="BH79" s="59">
        <f t="shared" si="353"/>
        <v>1</v>
      </c>
      <c r="BI79" s="57" t="str">
        <f>+IF(_xlfn.XLOOKUP($H79,$AY:$AY,$AZ:$AZ,"-",0)=BF73,$H79,"-")</f>
        <v>-</v>
      </c>
      <c r="BY79" s="25" t="str">
        <f t="shared" si="380"/>
        <v>-</v>
      </c>
      <c r="BZ79" s="57" t="str">
        <f>+IF(_xlfn.XLOOKUP($E79,$AY:$AY,$AZ:$AZ,"-",0)=BZ73,$E79,"-")</f>
        <v>-</v>
      </c>
      <c r="CA79" s="58">
        <f t="shared" si="354"/>
        <v>1</v>
      </c>
      <c r="CB79" s="59">
        <f t="shared" si="355"/>
        <v>1</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7</v>
      </c>
      <c r="BW82" s="23">
        <v>10</v>
      </c>
      <c r="BZ82" s="29">
        <f>+IF(BC84&gt;1,BB84,IF(BC85&gt;1,BB85,IF(BC86&gt;1,BB86,IF(BC87&gt;1,BB87,"-"))))</f>
        <v>0</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2</v>
      </c>
      <c r="Q84" s="24">
        <f>+COUNTIF(K84:L89,"="&amp;$O84)</f>
        <v>1</v>
      </c>
      <c r="R84" s="24">
        <f>+COUNTIF(M84:M89,"="&amp;$O84)</f>
        <v>0</v>
      </c>
      <c r="S84" s="24">
        <f>+T84-U84</f>
        <v>3</v>
      </c>
      <c r="T84" s="24">
        <f t="shared" ref="T84" si="394">+SUMIF(E84:E89,$O84,F84:F89)+SUMIF(H84:H89,$O84,G84:G89)</f>
        <v>7</v>
      </c>
      <c r="U84" s="24">
        <f t="shared" ref="U84" si="395">+SUMIF(E84:E89,$O84,G84:G89)+SUMIF(H84:H89,$O84,F84:F89)</f>
        <v>4</v>
      </c>
      <c r="V84" s="45">
        <f>+P84*3+Q84*1+BT84+CN84+S84/1000+T84/10000+AV84/1000000+ROW()/10000000</f>
        <v>7.3037083999999997</v>
      </c>
      <c r="W84" s="26" t="str">
        <f>+O84</f>
        <v>Argentina</v>
      </c>
      <c r="Y84" s="46" t="str">
        <f>+CONCATENATE("1",RIGHT(E83,1))</f>
        <v>1J</v>
      </c>
      <c r="Z84" s="47" t="str">
        <f>+VLOOKUP(AL84,V84:W87,2,FALSE)</f>
        <v>Argentina</v>
      </c>
      <c r="AA84" s="48">
        <f>+SUM(AB84:AD84)</f>
        <v>3</v>
      </c>
      <c r="AB84" s="49">
        <f>+_xlfn.XLOOKUP($Z84,$O:$O,P:P,"Error",0)</f>
        <v>2</v>
      </c>
      <c r="AC84" s="49">
        <f t="shared" ref="AC84:AC87" si="396">+_xlfn.XLOOKUP($Z84,$O:$O,Q:Q,"Error",0)</f>
        <v>1</v>
      </c>
      <c r="AD84" s="49">
        <f t="shared" ref="AD84:AD87" si="397">+_xlfn.XLOOKUP($Z84,$O:$O,R:R,"Error",0)</f>
        <v>0</v>
      </c>
      <c r="AE84" s="49">
        <f t="shared" ref="AE84:AE87" si="398">+_xlfn.XLOOKUP($Z84,$O:$O,S:S,"Error",0)</f>
        <v>3</v>
      </c>
      <c r="AF84" s="49">
        <f t="shared" ref="AF84:AF87" si="399">+_xlfn.XLOOKUP($Z84,$O:$O,T:T,"Error",0)</f>
        <v>7</v>
      </c>
      <c r="AG84" s="49">
        <f t="shared" ref="AG84:AH87" si="400">+_xlfn.XLOOKUP($Z84,$O:$O,U:U,"Error",0)</f>
        <v>4</v>
      </c>
      <c r="AH84" s="50">
        <f t="shared" si="400"/>
        <v>7.3037083999999997</v>
      </c>
      <c r="AI84" s="51"/>
      <c r="AL84" s="45">
        <f>+LARGE(V84:V87,1)</f>
        <v>7.3037083999999997</v>
      </c>
      <c r="AM84" s="52">
        <f>+(AH84-AL84)*100000000000000000000</f>
        <v>0</v>
      </c>
      <c r="AP84" s="53" t="str">
        <f>+O84</f>
        <v>Argentina</v>
      </c>
      <c r="AQ84" s="23">
        <f>+P84*3+Q84*1+BT84+CN84+S84/1000+T84/10000</f>
        <v>7.3037000000000001</v>
      </c>
      <c r="AR84" s="23" t="b">
        <f>+IF(OR(AQ84=AQ85,AQ84=AQ86,AQ84=AQ87),1)</f>
        <v>0</v>
      </c>
      <c r="AS84" s="54">
        <f>+AV84</f>
        <v>0</v>
      </c>
      <c r="AT84" s="54">
        <f>+IF(AND(AM88="si",OR(AR84=1,AR85=1,AR86=1)),1,0)</f>
        <v>0</v>
      </c>
      <c r="AU84" s="55" t="str">
        <f>+O84</f>
        <v>Argentina</v>
      </c>
      <c r="AV84" s="56"/>
      <c r="AX84" s="23" t="str">
        <f>+Y83</f>
        <v>Grupo J</v>
      </c>
      <c r="AY84" s="24" t="str">
        <f>+O84</f>
        <v>Argentina</v>
      </c>
      <c r="AZ84" s="29">
        <f>+P84*3+Q84</f>
        <v>7</v>
      </c>
      <c r="BA84" s="29">
        <f>+COUNTIFS($AX$1:AX84,AX84,$AZ$1:AZ84,AZ84)</f>
        <v>1</v>
      </c>
      <c r="BB84" s="29">
        <f>+IF(AZ84=BF82,ROW()*0.001,AZ84)</f>
        <v>8.4000000000000005E-2</v>
      </c>
      <c r="BC84" s="29">
        <f>+COUNTIFS($AX$1:AZ84,AZ84,$AZ$1:BB84,BB84)</f>
        <v>1</v>
      </c>
      <c r="BD84" s="29"/>
      <c r="BE84" s="25" t="str">
        <f>+IF(OR(BF84="-",BI84="-",BF82=0),"-","OK")</f>
        <v>-</v>
      </c>
      <c r="BF84" s="57" t="str">
        <f>+IF(_xlfn.XLOOKUP($E84,$AY:$AY,$AZ:$AZ,"-",0)=BF82,$E84,"-")</f>
        <v>Argentina</v>
      </c>
      <c r="BG84" s="58">
        <f t="shared" ref="BG84:BG89" si="401">+$F84</f>
        <v>2</v>
      </c>
      <c r="BH84" s="59">
        <f t="shared" ref="BH84:BH89" si="402">+$G84</f>
        <v>1</v>
      </c>
      <c r="BI84" s="57" t="str">
        <f>+IF(_xlfn.XLOOKUP($H84,$AY:$AY,$AZ:$AZ,"-",0)=BF82,$H84,"-")</f>
        <v>-</v>
      </c>
      <c r="BK84" s="26" t="str">
        <f>+O84</f>
        <v>Argentina</v>
      </c>
      <c r="BL84" s="26">
        <f>+COUNTIFS($BE:$BE,"OK",$BI:$BI,BK84)+COUNTIFS($BE:$BE,"OK",$BF:$BF,BK84)</f>
        <v>1</v>
      </c>
      <c r="BM84" s="24">
        <f>+COUNTIFS(J:J,$BK84,$BE:$BE,"OK")</f>
        <v>0</v>
      </c>
      <c r="BN84" s="24">
        <f>+COUNTIFS(K:K,$BK84,$BE:$BE,"OK")+COUNTIFS(L:L,$BK84,$BE:$BE,"OK")</f>
        <v>1</v>
      </c>
      <c r="BO84" s="24">
        <f>+COUNTIFS(M:M,$BK84,$BE:$BE,"OK")</f>
        <v>0</v>
      </c>
      <c r="BP84" s="24">
        <f>+BQ84-BR84</f>
        <v>0</v>
      </c>
      <c r="BQ84" s="24">
        <f>+SUMIFS(BG:BG,$BE:$BE,"OK",BF:BF,$BK84)+SUMIFS(BH:BH,$BE:$BE,"OK",BI:BI,$BK84)</f>
        <v>2</v>
      </c>
      <c r="BR84" s="24">
        <f>+SUMIFS(BH:BH,$BE:$BE,"OK",BF:BF,$BK84)+SUMIFS(BG:BG,$BE:$BE,"OK",BI:BI,$BK84)</f>
        <v>2</v>
      </c>
      <c r="BS84" s="60">
        <f>+BM84*3+BN84*1+BP84/100+BQ84/10000</f>
        <v>1.0002</v>
      </c>
      <c r="BT84" s="29">
        <f>+IF(BL84=0,0,_xlfn.XLOOKUP(BS84,BV84:BV87,BW84:BW87))</f>
        <v>0.3</v>
      </c>
      <c r="BU84" s="45"/>
      <c r="BV84" s="24">
        <f>+LARGE(BS84:BS87,1)</f>
        <v>1.0002</v>
      </c>
      <c r="BW84" s="24">
        <f>+BX84/$BW$1</f>
        <v>0.3</v>
      </c>
      <c r="BX84" s="23">
        <v>3</v>
      </c>
      <c r="BY84" s="25" t="str">
        <f t="shared" ref="BY84:BY89" si="403">+IF(OR(BZ84="-",CC84="-"),"-","OK")</f>
        <v>-</v>
      </c>
      <c r="BZ84" s="57" t="str">
        <f>+IF(_xlfn.XLOOKUP($E84,$AY:$AY,$AZ:$AZ,"-",0)=BZ82,$E84,"-")</f>
        <v>-</v>
      </c>
      <c r="CA84" s="58">
        <f t="shared" ref="CA84:CA89" si="404">+$F84</f>
        <v>2</v>
      </c>
      <c r="CB84" s="59">
        <f t="shared" ref="CB84:CB89" si="405">+$G84</f>
        <v>1</v>
      </c>
      <c r="CC84" s="57" t="str">
        <f>+IF(_xlfn.XLOOKUP($H84,$AY:$AY,$AZ:$AZ,"-",0)=BZ82,$H84,"-")</f>
        <v>Argelia</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0</v>
      </c>
      <c r="R85" s="24">
        <f>+COUNTIF(M84:M89,"="&amp;$O85)</f>
        <v>3</v>
      </c>
      <c r="S85" s="24">
        <f t="shared" ref="S85:S87" si="410">+T85-U85</f>
        <v>-3</v>
      </c>
      <c r="T85" s="24">
        <f t="shared" ref="T85" si="411">+SUMIF(E84:E89,$O85,F84:F89)+SUMIF(H84:H89,$O85,G84:G89)</f>
        <v>3</v>
      </c>
      <c r="U85" s="24">
        <f t="shared" ref="U85" si="412">+SUMIF(E84:E89,$O85,G84:G89)+SUMIF(H84:H89,$O85,F84:F89)</f>
        <v>6</v>
      </c>
      <c r="V85" s="45">
        <f>+P85*3+Q85*1+BT85+CN85+S85/1000+T85/10000+AV85/1000000+ROW()/10000000</f>
        <v>-2.6915000000000003E-3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1</v>
      </c>
      <c r="AD85" s="49">
        <f t="shared" si="397"/>
        <v>0</v>
      </c>
      <c r="AE85" s="49">
        <f t="shared" si="398"/>
        <v>3</v>
      </c>
      <c r="AF85" s="49">
        <f t="shared" si="399"/>
        <v>6</v>
      </c>
      <c r="AG85" s="49">
        <f t="shared" si="400"/>
        <v>3</v>
      </c>
      <c r="AH85" s="65">
        <f t="shared" si="400"/>
        <v>7.3036086000000005</v>
      </c>
      <c r="AI85" s="51"/>
      <c r="AL85" s="45">
        <f>+LARGE(V84:V87,2)</f>
        <v>7.3036086000000005</v>
      </c>
      <c r="AM85" s="52">
        <f>+(AH85-AL85)*100000000000000000000</f>
        <v>0</v>
      </c>
      <c r="AP85" s="53" t="str">
        <f>+O85</f>
        <v>Argelia</v>
      </c>
      <c r="AQ85" s="23">
        <f>+P85*3+Q85*1+BT85+CN85+S85/1000+T85/10000</f>
        <v>-2.7000000000000001E-3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1</v>
      </c>
      <c r="BB85" s="29">
        <f>+IF(AZ85=BF82,ROW()*0.001,AZ85)</f>
        <v>0</v>
      </c>
      <c r="BC85" s="29">
        <f>+COUNTIFS($AX$1:AZ85,AZ85,$AZ$1:BB85,BB85)</f>
        <v>9</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1.0002</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2</v>
      </c>
      <c r="H86" s="44" t="s">
        <v>72</v>
      </c>
      <c r="J86" s="24" t="str">
        <f t="shared" si="406"/>
        <v/>
      </c>
      <c r="K86" s="24" t="str">
        <f t="shared" si="407"/>
        <v>Argentina</v>
      </c>
      <c r="L86" s="24" t="str">
        <f t="shared" si="408"/>
        <v>Austria</v>
      </c>
      <c r="M86" s="24" t="str">
        <f t="shared" si="409"/>
        <v/>
      </c>
      <c r="O86" s="26" t="str">
        <f>+E85</f>
        <v>Austria</v>
      </c>
      <c r="P86" s="24">
        <f>+COUNTIF(J84:J89,"="&amp;$O86)</f>
        <v>2</v>
      </c>
      <c r="Q86" s="24">
        <f>+COUNTIF(K84:L89,"="&amp;$O86)</f>
        <v>1</v>
      </c>
      <c r="R86" s="24">
        <f>+COUNTIF(M84:M89,"="&amp;$O86)</f>
        <v>0</v>
      </c>
      <c r="S86" s="24">
        <f t="shared" si="410"/>
        <v>3</v>
      </c>
      <c r="T86" s="24">
        <f t="shared" ref="T86" si="419">+SUMIF(E84:E89,$O86,F84:F89)+SUMIF(H84:H89,$O86,G84:G89)</f>
        <v>6</v>
      </c>
      <c r="U86" s="24">
        <f t="shared" ref="U86" si="420">+SUMIF(E84:E89,$O86,G84:G89)+SUMIF(H84:H89,$O86,F84:F89)</f>
        <v>3</v>
      </c>
      <c r="V86" s="45">
        <f>+P86*3+Q86*1+BT86+CN86+S86/1000+T86/10000+AV86/1000000+ROW()/10000000</f>
        <v>7.3036086000000005</v>
      </c>
      <c r="W86" s="26" t="str">
        <f t="shared" si="413"/>
        <v>Austria</v>
      </c>
      <c r="Y86" s="68" t="str">
        <f>+CONCATENATE("3",RIGHT(E83,1))</f>
        <v>3J</v>
      </c>
      <c r="Z86" s="69" t="str">
        <f>+VLOOKUP(AL86,V84:W87,2,FALSE)</f>
        <v>Jordania</v>
      </c>
      <c r="AA86" s="70">
        <f t="shared" si="414"/>
        <v>3</v>
      </c>
      <c r="AB86" s="71">
        <f t="shared" si="415"/>
        <v>1</v>
      </c>
      <c r="AC86" s="71">
        <f t="shared" si="396"/>
        <v>0</v>
      </c>
      <c r="AD86" s="71">
        <f t="shared" si="397"/>
        <v>2</v>
      </c>
      <c r="AE86" s="71">
        <f t="shared" si="398"/>
        <v>-3</v>
      </c>
      <c r="AF86" s="71">
        <f t="shared" si="399"/>
        <v>3</v>
      </c>
      <c r="AG86" s="71">
        <f t="shared" si="400"/>
        <v>6</v>
      </c>
      <c r="AH86" s="72">
        <f t="shared" si="400"/>
        <v>2.9973087</v>
      </c>
      <c r="AI86" s="73">
        <f>+(COUNTIFS($CV$2:$CV$13,Z86,$CX$2:$CX$13,"IN")+COUNTIFS($CV$2:$CV$13,Z86,$CW$2:$CW$13,"IN"))*IF(SUM(AA84:AA87)=12,1,0)</f>
        <v>0</v>
      </c>
      <c r="AL86" s="45">
        <f>+LARGE(V84:V87,3)</f>
        <v>2.9973087</v>
      </c>
      <c r="AM86" s="52">
        <f>+(AH86-AL86)*100000000000000000000</f>
        <v>0</v>
      </c>
      <c r="AP86" s="53" t="str">
        <f>+O86</f>
        <v>Austria</v>
      </c>
      <c r="AQ86" s="23">
        <f>+P86*3+Q86*1+BT86+CN86+S86/1000+T86/10000</f>
        <v>7.3036000000000003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7</v>
      </c>
      <c r="BA86" s="29">
        <f>+COUNTIFS($AX$1:AX86,AX86,$AZ$1:AZ86,AZ86)</f>
        <v>2</v>
      </c>
      <c r="BB86" s="29">
        <f>+IF(AZ86=BF82,ROW()*0.001,AZ86)</f>
        <v>8.6000000000000007E-2</v>
      </c>
      <c r="BC86" s="29">
        <f>+COUNTIFS($AX$1:AZ86,AZ86,$AZ$1:BB86,BB86)</f>
        <v>1</v>
      </c>
      <c r="BD86" s="29"/>
      <c r="BE86" s="25" t="str">
        <f>+IF(OR(BF86="-",BI86="-",BF82=0),"-","OK")</f>
        <v>OK</v>
      </c>
      <c r="BF86" s="57" t="str">
        <f>+IF(_xlfn.XLOOKUP($E86,$AY:$AY,$AZ:$AZ,"-",0)=BF82,$E86,"-")</f>
        <v>Argentina</v>
      </c>
      <c r="BG86" s="58">
        <f t="shared" si="401"/>
        <v>2</v>
      </c>
      <c r="BH86" s="59">
        <f t="shared" si="402"/>
        <v>2</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403"/>
        <v>-</v>
      </c>
      <c r="BZ86" s="57" t="str">
        <f>+IF(_xlfn.XLOOKUP($E86,$AY:$AY,$AZ:$AZ,"-",0)=BZ82,$E86,"-")</f>
        <v>-</v>
      </c>
      <c r="CA86" s="58">
        <f t="shared" si="404"/>
        <v>2</v>
      </c>
      <c r="CB86" s="59">
        <f t="shared" si="405"/>
        <v>2</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0</v>
      </c>
      <c r="R87" s="24">
        <f>+COUNTIF(M84:M89,"="&amp;$O87)</f>
        <v>2</v>
      </c>
      <c r="S87" s="24">
        <f t="shared" si="410"/>
        <v>-3</v>
      </c>
      <c r="T87" s="24">
        <f t="shared" ref="T87" si="421">+SUMIF(E84:E89,$O87,F84:F89)+SUMIF(H84:H89,$O87,G84:G89)</f>
        <v>3</v>
      </c>
      <c r="U87" s="24">
        <f t="shared" ref="U87" si="422">+SUMIF(E84:E89,$O87,G84:G89)+SUMIF(H84:H89,$O87,F84:F89)</f>
        <v>6</v>
      </c>
      <c r="V87" s="45">
        <f>+P87*3+Q87*1+BT87+CN87+S87/1000+T87/10000+AV87/1000000+ROW()/10000000</f>
        <v>2.9973087</v>
      </c>
      <c r="W87" s="26" t="str">
        <f t="shared" si="413"/>
        <v>Jordania</v>
      </c>
      <c r="Y87" s="74" t="str">
        <f>+CONCATENATE("4",RIGHT(E83,1))</f>
        <v>4J</v>
      </c>
      <c r="Z87" s="75" t="str">
        <f>+VLOOKUP(AL87,V84:W87,2,FALSE)</f>
        <v>Argelia</v>
      </c>
      <c r="AA87" s="76">
        <f t="shared" si="414"/>
        <v>3</v>
      </c>
      <c r="AB87" s="77">
        <f t="shared" si="415"/>
        <v>0</v>
      </c>
      <c r="AC87" s="77">
        <f t="shared" si="396"/>
        <v>0</v>
      </c>
      <c r="AD87" s="77">
        <f t="shared" si="397"/>
        <v>3</v>
      </c>
      <c r="AE87" s="77">
        <f t="shared" si="398"/>
        <v>-3</v>
      </c>
      <c r="AF87" s="77">
        <f t="shared" si="399"/>
        <v>3</v>
      </c>
      <c r="AG87" s="77">
        <f t="shared" si="400"/>
        <v>6</v>
      </c>
      <c r="AH87" s="78">
        <f t="shared" si="400"/>
        <v>-2.6915000000000003E-3</v>
      </c>
      <c r="AI87" s="73"/>
      <c r="AL87" s="45">
        <f>+LARGE(V84:V87,4)</f>
        <v>-2.6915000000000003E-3</v>
      </c>
      <c r="AM87" s="52">
        <f>+(AH87-AL87)*100000000000000000000</f>
        <v>0</v>
      </c>
      <c r="AP87" s="53" t="str">
        <f>+O87</f>
        <v>Jordania</v>
      </c>
      <c r="AQ87" s="23">
        <f>+P87*3+Q87*1+BT87+CN87+S87/1000+T87/10000</f>
        <v>2.9973000000000001</v>
      </c>
      <c r="AS87" s="54">
        <f t="shared" si="416"/>
        <v>0</v>
      </c>
      <c r="AT87" s="54">
        <f>+IF(AND(AM88="si",OR(AR84=1,AR85=1,AR86=1)),1,0)</f>
        <v>0</v>
      </c>
      <c r="AU87" s="79" t="str">
        <f t="shared" si="417"/>
        <v>Jordania</v>
      </c>
      <c r="AV87" s="80"/>
      <c r="AX87" s="23" t="str">
        <f>+Y83</f>
        <v>Grupo J</v>
      </c>
      <c r="AY87" s="24" t="str">
        <f>+O87</f>
        <v>Jordania</v>
      </c>
      <c r="AZ87" s="29">
        <f>+P87*3+Q87</f>
        <v>3</v>
      </c>
      <c r="BA87" s="29">
        <f>+COUNTIFS($AX$1:AX87,AX87,$AZ$1:AZ87,AZ87)</f>
        <v>1</v>
      </c>
      <c r="BB87" s="29">
        <f>+IF(AZ87=BF82,ROW()*0.001,AZ87)</f>
        <v>3</v>
      </c>
      <c r="BC87" s="29">
        <f>+COUNTIFS($AX$1:AZ87,AZ87,$AZ$1:BB87,BB87)</f>
        <v>6</v>
      </c>
      <c r="BD87" s="29"/>
      <c r="BE87" s="25" t="str">
        <f>+IF(OR(BF87="-",BI87="-",BF82=0),"-","OK")</f>
        <v>-</v>
      </c>
      <c r="BF87" s="57" t="str">
        <f>+IF(_xlfn.XLOOKUP($E87,$AY:$AY,$AZ:$AZ,"-",0)=BF82,$E87,"-")</f>
        <v>-</v>
      </c>
      <c r="BG87" s="58">
        <f t="shared" si="401"/>
        <v>2</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Argelia</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Argentina</v>
      </c>
      <c r="BY88" s="25" t="str">
        <f t="shared" si="403"/>
        <v>-</v>
      </c>
      <c r="BZ88" s="57" t="str">
        <f>+IF(_xlfn.XLOOKUP($E88,$AY:$AY,$AZ:$AZ,"-",0)=BZ82,$E88,"-")</f>
        <v>-</v>
      </c>
      <c r="CA88" s="58">
        <f t="shared" si="404"/>
        <v>1</v>
      </c>
      <c r="CB88" s="59">
        <f t="shared" si="405"/>
        <v>3</v>
      </c>
      <c r="CC88" s="57" t="str">
        <f>+IF(_xlfn.XLOOKUP($H88,$AY:$AY,$AZ:$AZ,"-",0)=BZ82,$H88,"-")</f>
        <v>-</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Austria</v>
      </c>
      <c r="BY89" s="25" t="str">
        <f t="shared" si="403"/>
        <v>-</v>
      </c>
      <c r="BZ89" s="57" t="str">
        <f>+IF(_xlfn.XLOOKUP($E89,$AY:$AY,$AZ:$AZ,"-",0)=BZ82,$E89,"-")</f>
        <v>Argelia</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7</v>
      </c>
      <c r="U93" s="24">
        <f t="shared" ref="U93" si="424">+SUMIF(E93:E98,$O93,G93:G98)+SUMIF(H93:H98,$O93,F93:F98)</f>
        <v>3</v>
      </c>
      <c r="V93" s="45">
        <f>+P93*3+Q93*1+BT93+CN93+S93/1000+T93/10000+AV93/1000000+ROW()/10000000</f>
        <v>7.3047092999999998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7</v>
      </c>
      <c r="AG93" s="49">
        <f t="shared" ref="AG93:AH96" si="429">+_xlfn.XLOOKUP($Z93,$O:$O,U:U,"Error",0)</f>
        <v>3</v>
      </c>
      <c r="AH93" s="50">
        <f t="shared" si="429"/>
        <v>7.3047092999999998</v>
      </c>
      <c r="AI93" s="51"/>
      <c r="AL93" s="45">
        <f>+LARGE(V93:V96,1)</f>
        <v>7.3047092999999998</v>
      </c>
      <c r="AM93" s="52">
        <f>+(AH93-AL93)*100000000000000000000</f>
        <v>0</v>
      </c>
      <c r="AP93" s="53" t="str">
        <f>+O93</f>
        <v>Portugal</v>
      </c>
      <c r="AQ93" s="23">
        <f>+P93*3+Q93*1+BT93+CN93+S93/1000+T93/10000</f>
        <v>7.3046999999999995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3</v>
      </c>
      <c r="BH93" s="59">
        <f t="shared" ref="BH93:BH98" si="431">+$G93</f>
        <v>1</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-3</v>
      </c>
      <c r="T94" s="24">
        <f t="shared" ref="T94" si="440">+SUMIF(E93:E98,$O94,F93:F98)+SUMIF(H93:H98,$O94,G93:G98)</f>
        <v>4</v>
      </c>
      <c r="U94" s="24">
        <f t="shared" ref="U94" si="441">+SUMIF(E93:E98,$O94,G93:G98)+SUMIF(H93:H98,$O94,F93:F98)</f>
        <v>7</v>
      </c>
      <c r="V94" s="45">
        <f t="shared" ref="V94:V96" si="442">+P94*3+Q94*1+BT94+CN94+S94/1000+T94/10000+AV94/1000000+ROW()/10000000</f>
        <v>1.2974094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7</v>
      </c>
      <c r="AG94" s="49">
        <f t="shared" si="429"/>
        <v>5</v>
      </c>
      <c r="AH94" s="65">
        <f t="shared" si="429"/>
        <v>7.3027096</v>
      </c>
      <c r="AI94" s="51"/>
      <c r="AL94" s="45">
        <f>+LARGE(V93:V96,2)</f>
        <v>7.3027096</v>
      </c>
      <c r="AM94" s="52">
        <f>+(AH94-AL94)*100000000000000000000</f>
        <v>0</v>
      </c>
      <c r="AP94" s="53" t="str">
        <f>+O94</f>
        <v>Congo</v>
      </c>
      <c r="AQ94" s="23">
        <f>+P94*3+Q94*1+BT94+CN94+S94/1000+T94/10000</f>
        <v>1.2974000000000001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2</v>
      </c>
      <c r="U95" s="24">
        <f t="shared" ref="U95" si="450">+SUMIF(E93:E98,$O95,G93:G98)+SUMIF(H93:H98,$O95,F93:F98)</f>
        <v>5</v>
      </c>
      <c r="V95" s="45">
        <f t="shared" si="442"/>
        <v>1.2972095000000001</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-3</v>
      </c>
      <c r="AF95" s="71">
        <f t="shared" si="428"/>
        <v>4</v>
      </c>
      <c r="AG95" s="71">
        <f t="shared" si="429"/>
        <v>7</v>
      </c>
      <c r="AH95" s="72">
        <f t="shared" si="429"/>
        <v>1.2974094</v>
      </c>
      <c r="AI95" s="73">
        <f>+(COUNTIFS($CV$2:$CV$13,Z95,$CX$2:$CX$13,"IN")+COUNTIFS($CV$2:$CV$13,Z95,$CW$2:$CW$13,"IN"))*IF(SUM(AA93:AA96)=12,1,0)</f>
        <v>0</v>
      </c>
      <c r="AL95" s="45">
        <f>+LARGE(V93:V96,3)</f>
        <v>1.2974094</v>
      </c>
      <c r="AM95" s="52">
        <f>+(AH95-AL95)*100000000000000000000</f>
        <v>0</v>
      </c>
      <c r="AP95" s="53" t="str">
        <f>+O95</f>
        <v>Uzbekistan</v>
      </c>
      <c r="AQ95" s="23">
        <f>+P95*3+Q95*1+BT95+CN95+S95/1000+T95/10000</f>
        <v>1.2972000000000001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2</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7</v>
      </c>
      <c r="U96" s="24">
        <f t="shared" ref="U96" si="452">+SUMIF(E93:E98,$O96,G93:G98)+SUMIF(H93:H98,$O96,F93:F98)</f>
        <v>5</v>
      </c>
      <c r="V96" s="45">
        <f t="shared" si="442"/>
        <v>7.3027096</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-3</v>
      </c>
      <c r="AF96" s="77">
        <f t="shared" si="428"/>
        <v>2</v>
      </c>
      <c r="AG96" s="77">
        <f t="shared" si="429"/>
        <v>5</v>
      </c>
      <c r="AH96" s="78">
        <f t="shared" si="429"/>
        <v>1.2972095000000001</v>
      </c>
      <c r="AI96" s="73"/>
      <c r="AL96" s="45">
        <f>+LARGE(V93:V96,4)</f>
        <v>1.2972095000000001</v>
      </c>
      <c r="AM96" s="52">
        <f>+(AH96-AL96)*100000000000000000000</f>
        <v>0</v>
      </c>
      <c r="AP96" s="53" t="str">
        <f>+O96</f>
        <v>Colombia</v>
      </c>
      <c r="AQ96" s="23">
        <f>+P96*3+Q96*1+BT96+CN96+S96/1000+T96/10000</f>
        <v>7.3026999999999997</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3</v>
      </c>
      <c r="BH96" s="59">
        <f t="shared" si="431"/>
        <v>2</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3</v>
      </c>
      <c r="CB96" s="59">
        <f t="shared" si="434"/>
        <v>2</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7</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7</v>
      </c>
      <c r="U102" s="24">
        <f t="shared" ref="U102" si="454">+SUMIF(E102:E107,$O102,G102:G107)+SUMIF(H102:H107,$O102,F102:F107)</f>
        <v>4</v>
      </c>
      <c r="V102" s="45">
        <f>+P102*3+Q102*1+BT102+CN102+S102/1000+T102/10000+AV102/1000000+ROW()/10000000</f>
        <v>7.0037132000000009</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7</v>
      </c>
      <c r="AG102" s="49">
        <f t="shared" ref="AG102:AH105" si="459">+_xlfn.XLOOKUP($Z102,$O:$O,U:U,"Error",0)</f>
        <v>4</v>
      </c>
      <c r="AH102" s="50">
        <f t="shared" si="459"/>
        <v>7.0037132000000009</v>
      </c>
      <c r="AI102" s="51"/>
      <c r="AL102" s="45">
        <f>+LARGE(V102:V105,1)</f>
        <v>7.0037132000000009</v>
      </c>
      <c r="AM102" s="52">
        <f>+(AH102-AL102)*100000000000000000000</f>
        <v>0</v>
      </c>
      <c r="AP102" s="53" t="str">
        <f>+O102</f>
        <v>Inglaterra</v>
      </c>
      <c r="AQ102" s="23">
        <f>+P102*3+Q102*1+BT102+CN102+S102/1000+T102/10000</f>
        <v>7.0037000000000003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5</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5</v>
      </c>
      <c r="U103" s="24">
        <f t="shared" ref="U103" si="471">+SUMIF(E102:E107,$O103,G102:G107)+SUMIF(H102:H107,$O103,F102:F107)</f>
        <v>4</v>
      </c>
      <c r="V103" s="45">
        <f t="shared" ref="V103:V105" si="472">+P103*3+Q103*1+BT103+CN103+S103/1000+T103/10000+AV103/1000000+ROW()/10000000</f>
        <v>6.0015102999999996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5</v>
      </c>
      <c r="AG103" s="49">
        <f t="shared" si="459"/>
        <v>4</v>
      </c>
      <c r="AH103" s="65">
        <f t="shared" si="459"/>
        <v>6.0015102999999996</v>
      </c>
      <c r="AI103" s="51"/>
      <c r="AL103" s="45">
        <f>+LARGE(V102:V105,2)</f>
        <v>6.0015102999999996</v>
      </c>
      <c r="AM103" s="52">
        <f>+(AH103-AL103)*100000000000000000000</f>
        <v>0</v>
      </c>
      <c r="AP103" s="53" t="str">
        <f>+O103</f>
        <v>Croacia</v>
      </c>
      <c r="AQ103" s="23">
        <f>+P103*3+Q103*1+BT103+CN103+S103/1000+T103/10000</f>
        <v>6.0015000000000001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4</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2</v>
      </c>
      <c r="H104" s="44" t="s">
        <v>85</v>
      </c>
      <c r="J104" s="24" t="str">
        <f t="shared" si="465"/>
        <v/>
      </c>
      <c r="K104" s="24" t="str">
        <f t="shared" si="466"/>
        <v>Inglaterra</v>
      </c>
      <c r="L104" s="24" t="str">
        <f t="shared" si="467"/>
        <v>Ghana</v>
      </c>
      <c r="M104" s="24" t="str">
        <f t="shared" si="468"/>
        <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5</v>
      </c>
      <c r="U104" s="24">
        <f t="shared" ref="U104" si="480">+SUMIF(E102:E107,$O104,G102:G107)+SUMIF(H102:H107,$O104,F102:F107)</f>
        <v>4</v>
      </c>
      <c r="V104" s="45">
        <f t="shared" si="472"/>
        <v>4.0015103999999999</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1</v>
      </c>
      <c r="AF104" s="71">
        <f t="shared" si="458"/>
        <v>5</v>
      </c>
      <c r="AG104" s="71">
        <f t="shared" si="459"/>
        <v>4</v>
      </c>
      <c r="AH104" s="72">
        <f t="shared" si="459"/>
        <v>4.0015103999999999</v>
      </c>
      <c r="AI104" s="73">
        <f>+(COUNTIFS($CV$2:$CV$13,Z104,$CX$2:$CX$13,"IN")+COUNTIFS($CV$2:$CV$13,Z104,$CW$2:$CW$13,"IN"))*IF(SUM(AA102:AA105)=12,1,0)</f>
        <v>1</v>
      </c>
      <c r="AL104" s="45">
        <f>+LARGE(V102:V105,3)</f>
        <v>4.0015103999999999</v>
      </c>
      <c r="AM104" s="52">
        <f>+(AH104-AL104)*100000000000000000000</f>
        <v>0</v>
      </c>
      <c r="AP104" s="53" t="str">
        <f>+O104</f>
        <v>Ghana</v>
      </c>
      <c r="AQ104" s="23">
        <f>+P104*3+Q104*1+BT104+CN104+S104/1000+T104/10000</f>
        <v>4.0015000000000001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4</v>
      </c>
      <c r="BC104" s="29">
        <f>+COUNTIFS($AX$1:AZ104,AZ104,$AZ$1:BB104,BB104)</f>
        <v>3</v>
      </c>
      <c r="BD104" s="29"/>
      <c r="BE104" s="25" t="str">
        <f>+IF(OR(BF104="-",BI104="-",BF100=0),"-","OK")</f>
        <v>-</v>
      </c>
      <c r="BF104" s="57" t="str">
        <f>+IF(_xlfn.XLOOKUP($E104,$AY:$AY,$AZ:$AZ,"-",0)=BF100,$E104,"-")</f>
        <v>-</v>
      </c>
      <c r="BG104" s="58">
        <f t="shared" si="460"/>
        <v>2</v>
      </c>
      <c r="BH104" s="59">
        <f t="shared" si="461"/>
        <v>2</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1</v>
      </c>
      <c r="U105" s="24">
        <f t="shared" ref="U105" si="482">+SUMIF(E102:E107,$O105,G102:G107)+SUMIF(H102:H107,$O105,F102:F107)</f>
        <v>6</v>
      </c>
      <c r="V105" s="45">
        <f t="shared" si="472"/>
        <v>-4.8894999999999997E-3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1</v>
      </c>
      <c r="AG105" s="77">
        <f t="shared" si="459"/>
        <v>6</v>
      </c>
      <c r="AH105" s="78">
        <f t="shared" si="459"/>
        <v>-4.8894999999999997E-3</v>
      </c>
      <c r="AI105" s="73"/>
      <c r="AL105" s="45">
        <f>+LARGE(V102:V105,4)</f>
        <v>-4.8894999999999997E-3</v>
      </c>
      <c r="AM105" s="52">
        <f>+(AH105-AL105)*100000000000000000000</f>
        <v>0</v>
      </c>
      <c r="AP105" s="53" t="str">
        <f>+O105</f>
        <v>Panama</v>
      </c>
      <c r="AQ105" s="23">
        <f>+P105*3+Q105*1+BT105+CN105+S105/1000+T105/10000</f>
        <v>-4.8999999999999998E-3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S37" sqref="S37"/>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Paraguay</v>
      </c>
      <c r="I5" s="112">
        <v>4</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v>4</v>
      </c>
      <c r="X6" s="441">
        <v>5</v>
      </c>
      <c r="Y6" s="442" t="str">
        <f>+IF(AND(ISNUMBER(W5),ISNUMBER(X5),W5=X5),"Y","N")</f>
        <v>Y</v>
      </c>
    </row>
    <row r="7" spans="1:25" ht="15.75" thickTop="1" thickBot="1" x14ac:dyDescent="0.25">
      <c r="B7" s="117" t="str">
        <f>+IF(AND(ISNUMBER(C5),ISNUMBER(D5)),IF((C5+C6)&gt;(D5+D6),B5,E5),"-")</f>
        <v>Corea del Sur</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Corea del Sur</v>
      </c>
      <c r="Q13" s="112">
        <v>0</v>
      </c>
      <c r="R13" s="113">
        <v>2</v>
      </c>
      <c r="S13" s="428" t="str">
        <f>+_xlfn.XLOOKUP(R12,$C:$C,$B:$B,_xlfn.XLOOKUP(R12,$I:$I,$H:$H,"-",0),0)</f>
        <v>Paises Bajos</v>
      </c>
      <c r="T13" s="108"/>
      <c r="U13" s="437" t="s">
        <v>233</v>
      </c>
      <c r="V13" s="111" t="str">
        <f>+_xlfn.XLOOKUP(W12,$C:$C,$B:$B,_xlfn.XLOOKUP(W12,$I:$I,$H:$H,"-",0),0)</f>
        <v>Paraguay</v>
      </c>
      <c r="W13" s="112">
        <v>2</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0</v>
      </c>
      <c r="E17" s="448" t="str">
        <f>+_xlfn.XLOOKUP(D16,'Groups Stage'!$Y:$Y,'Groups Stage'!$Z:$Z,"-",0)</f>
        <v>Japon</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Australia</v>
      </c>
      <c r="F21" s="110"/>
      <c r="G21" s="417" t="s">
        <v>250</v>
      </c>
      <c r="H21" s="111" t="str">
        <f>+_xlfn.XLOOKUP(I20,'Groups Stage'!$Y:$Y,'Groups Stage'!$Z:$Z,"-",0)</f>
        <v>Suiza</v>
      </c>
      <c r="I21" s="112">
        <v>1</v>
      </c>
      <c r="J21" s="113">
        <v>0</v>
      </c>
      <c r="K21" s="418" t="str">
        <f>+_xlfn.XLOOKUP(J20,'Groups Stage'!$Y:$Y,'Groups Stage'!$Z:$Z,"-",0)</f>
        <v>Costa de Marfil</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3</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Y</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3</v>
      </c>
      <c r="D29" s="113">
        <v>0</v>
      </c>
      <c r="E29" s="448" t="str">
        <f>+_xlfn.XLOOKUP(D28,'Groups Stage'!$Y:$Y,'Groups Stage'!$Z:$Z,"-",0)</f>
        <v>Arabia Saudita</v>
      </c>
      <c r="F29" s="110"/>
      <c r="G29" s="417" t="s">
        <v>267</v>
      </c>
      <c r="H29" s="111" t="str">
        <f>+_xlfn.XLOOKUP(I28,'Groups Stage'!$Y:$Y,'Groups Stage'!$Z:$Z,"-",0)</f>
        <v>Portugal</v>
      </c>
      <c r="I29" s="112">
        <v>3</v>
      </c>
      <c r="J29" s="113">
        <v>0</v>
      </c>
      <c r="K29" s="418" t="str">
        <f>+_xlfn.XLOOKUP(J28,'Groups Stage'!$Y:$Y,'Groups Stage'!$Z:$Z,"-",0)</f>
        <v>Ghana</v>
      </c>
      <c r="O29" s="447" t="s">
        <v>268</v>
      </c>
      <c r="P29" s="111" t="str">
        <f>+_xlfn.XLOOKUP(Q28,$C:$C,$B:$B,_xlfn.XLOOKUP(Q28,$I:$I,$H:$H,"-",0),0)</f>
        <v>Mexico</v>
      </c>
      <c r="Q29" s="112">
        <v>2</v>
      </c>
      <c r="R29" s="113">
        <v>3</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1</v>
      </c>
      <c r="E33" s="448" t="str">
        <f>+_xlfn.XLOOKUP(D32,'Groups Stage'!$Y:$Y,'Groups Stage'!$Z:$Z,"-",0)</f>
        <v>Senegal</v>
      </c>
      <c r="F33" s="110"/>
      <c r="G33" s="417" t="s">
        <v>274</v>
      </c>
      <c r="H33" s="111" t="str">
        <f>+_xlfn.XLOOKUP(I32,'Groups Stage'!$Y:$Y,'Groups Stage'!$Z:$Z,"-",0)</f>
        <v>Estados Unidos</v>
      </c>
      <c r="I33" s="112">
        <v>1</v>
      </c>
      <c r="J33" s="113">
        <v>0</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3</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5</v>
      </c>
      <c r="J10" s="137">
        <v>4</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0</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Francia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
      <c r="A19" s="180" t="s">
        <v>288</v>
      </c>
      <c r="B19" s="111" t="str">
        <f>+B7</f>
        <v>Francia</v>
      </c>
      <c r="C19" s="112">
        <v>1</v>
      </c>
      <c r="D19" s="113">
        <v>2</v>
      </c>
      <c r="E19" s="114" t="str">
        <f>+B11</f>
        <v>España</v>
      </c>
      <c r="F19" s="121"/>
      <c r="G19" s="180" t="s">
        <v>289</v>
      </c>
      <c r="H19" s="111" t="str">
        <f>+H7</f>
        <v>Brasil</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290</v>
      </c>
      <c r="C1" s="238" t="s">
        <v>291</v>
      </c>
      <c r="D1" s="239" t="s">
        <v>45</v>
      </c>
      <c r="E1" s="240" t="s">
        <v>292</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820.09170000333336</v>
      </c>
      <c r="D2" s="189" t="str">
        <f>+_xlfn.XLOOKUP($C2,Aux!$W:$W,Aux!H:H,"-",0)</f>
        <v>Argentina</v>
      </c>
      <c r="E2" s="191">
        <f>+F2*3+G2</f>
        <v>20</v>
      </c>
      <c r="F2" s="191">
        <f>+_xlfn.XLOOKUP($C2,Aux!$W:$W,Aux!Q:Q,"-",0)</f>
        <v>6</v>
      </c>
      <c r="G2" s="191">
        <f>+_xlfn.XLOOKUP($C2,Aux!$W:$W,Aux!R:R,"-",0)</f>
        <v>2</v>
      </c>
      <c r="H2" s="191">
        <f>+_xlfn.XLOOKUP($C2,Aux!$W:$W,Aux!S:S,"-",0)</f>
        <v>0</v>
      </c>
      <c r="I2" s="191">
        <f>+_xlfn.XLOOKUP($C2,Aux!$W:$W,Aux!T:T,"-",0)</f>
        <v>9</v>
      </c>
      <c r="J2" s="191">
        <f>+_xlfn.XLOOKUP($C2,Aux!$W:$W,Aux!U:U,"-",0)</f>
        <v>17</v>
      </c>
      <c r="K2" s="192">
        <f>+_xlfn.XLOOKUP($C2,Aux!$W:$W,Aux!V:V,"-",0)</f>
        <v>8</v>
      </c>
    </row>
    <row r="3" spans="1:31" ht="18" x14ac:dyDescent="0.25">
      <c r="A3" s="401">
        <v>2</v>
      </c>
      <c r="B3" s="386" t="s">
        <v>293</v>
      </c>
      <c r="C3" s="194">
        <f>+LARGE(Aux!$W$4:$W$51,A3)</f>
        <v>617.06160000499995</v>
      </c>
      <c r="D3" s="193" t="str">
        <f>+_xlfn.XLOOKUP($C3,Aux!$W:$W,Aux!H:H,"-",0)</f>
        <v>España</v>
      </c>
      <c r="E3" s="195">
        <f t="shared" ref="E3:E49" si="0">+F3*3+G3</f>
        <v>17</v>
      </c>
      <c r="F3" s="195">
        <f>+_xlfn.XLOOKUP($C3,Aux!$W:$W,Aux!Q:Q,"-",0)</f>
        <v>5</v>
      </c>
      <c r="G3" s="195">
        <f>+_xlfn.XLOOKUP($C3,Aux!$W:$W,Aux!R:R,"-",0)</f>
        <v>2</v>
      </c>
      <c r="H3" s="195">
        <f>+_xlfn.XLOOKUP($C3,Aux!$W:$W,Aux!S:S,"-",0)</f>
        <v>1</v>
      </c>
      <c r="I3" s="195">
        <f>+_xlfn.XLOOKUP($C3,Aux!$W:$W,Aux!T:T,"-",0)</f>
        <v>6</v>
      </c>
      <c r="J3" s="195">
        <f>+_xlfn.XLOOKUP($C3,Aux!$W:$W,Aux!U:U,"-",0)</f>
        <v>16</v>
      </c>
      <c r="K3" s="196">
        <f>+_xlfn.XLOOKUP($C3,Aux!$W:$W,Aux!V:V,"-",0)</f>
        <v>10</v>
      </c>
    </row>
    <row r="4" spans="1:31" x14ac:dyDescent="0.2">
      <c r="A4" s="402">
        <v>3</v>
      </c>
      <c r="B4" s="387" t="s">
        <v>294</v>
      </c>
      <c r="C4" s="199">
        <f>+LARGE(Aux!$W$4:$W$51,A4)</f>
        <v>521.14210000166668</v>
      </c>
      <c r="D4" s="198" t="str">
        <f>+_xlfn.XLOOKUP($C4,Aux!$W:$W,Aux!H:H,"-",0)</f>
        <v>Brasil</v>
      </c>
      <c r="E4" s="200">
        <f t="shared" si="0"/>
        <v>21</v>
      </c>
      <c r="F4" s="200">
        <f>+_xlfn.XLOOKUP($C4,Aux!$W:$W,Aux!Q:Q,"-",0)</f>
        <v>7</v>
      </c>
      <c r="G4" s="200">
        <f>+_xlfn.XLOOKUP($C4,Aux!$W:$W,Aux!R:R,"-",0)</f>
        <v>0</v>
      </c>
      <c r="H4" s="200">
        <f>+_xlfn.XLOOKUP($C4,Aux!$W:$W,Aux!S:S,"-",0)</f>
        <v>1</v>
      </c>
      <c r="I4" s="200">
        <f>+_xlfn.XLOOKUP($C4,Aux!$W:$W,Aux!T:T,"-",0)</f>
        <v>14</v>
      </c>
      <c r="J4" s="200">
        <f>+_xlfn.XLOOKUP($C4,Aux!$W:$W,Aux!U:U,"-",0)</f>
        <v>21</v>
      </c>
      <c r="K4" s="201">
        <f>+_xlfn.XLOOKUP($C4,Aux!$W:$W,Aux!V:V,"-",0)</f>
        <v>7</v>
      </c>
    </row>
    <row r="5" spans="1:31" x14ac:dyDescent="0.2">
      <c r="A5" s="403">
        <v>4</v>
      </c>
      <c r="B5" s="388" t="s">
        <v>295</v>
      </c>
      <c r="C5" s="203">
        <f>+LARGE(Aux!$W$4:$W$51,A5)</f>
        <v>416.05140001000001</v>
      </c>
      <c r="D5" s="202" t="str">
        <f>+_xlfn.XLOOKUP($C5,Aux!$W:$W,Aux!H:H,"-",0)</f>
        <v>Francia</v>
      </c>
      <c r="E5" s="204">
        <f t="shared" si="0"/>
        <v>16</v>
      </c>
      <c r="F5" s="204">
        <f>+_xlfn.XLOOKUP($C5,Aux!$W:$W,Aux!Q:Q,"-",0)</f>
        <v>5</v>
      </c>
      <c r="G5" s="204">
        <f>+_xlfn.XLOOKUP($C5,Aux!$W:$W,Aux!R:R,"-",0)</f>
        <v>1</v>
      </c>
      <c r="H5" s="204">
        <f>+_xlfn.XLOOKUP($C5,Aux!$W:$W,Aux!S:S,"-",0)</f>
        <v>2</v>
      </c>
      <c r="I5" s="204">
        <f>+_xlfn.XLOOKUP($C5,Aux!$W:$W,Aux!T:T,"-",0)</f>
        <v>5</v>
      </c>
      <c r="J5" s="204">
        <f>+_xlfn.XLOOKUP($C5,Aux!$W:$W,Aux!U:U,"-",0)</f>
        <v>14</v>
      </c>
      <c r="K5" s="205">
        <f>+_xlfn.XLOOKUP($C5,Aux!$W:$W,Aux!V:V,"-",0)</f>
        <v>9</v>
      </c>
    </row>
    <row r="6" spans="1:31" x14ac:dyDescent="0.2">
      <c r="A6" s="404">
        <v>5</v>
      </c>
      <c r="B6" s="390" t="s">
        <v>296</v>
      </c>
      <c r="C6" s="207">
        <f>+LARGE(Aux!$W$4:$W$51,A6)</f>
        <v>315.07130000025001</v>
      </c>
      <c r="D6" s="206" t="str">
        <f>+_xlfn.XLOOKUP($C6,Aux!$W:$W,Aux!H:H,"-",0)</f>
        <v>Paraguay</v>
      </c>
      <c r="E6" s="208">
        <f t="shared" si="0"/>
        <v>15</v>
      </c>
      <c r="F6" s="208">
        <f>+_xlfn.XLOOKUP($C6,Aux!$W:$W,Aux!Q:Q,"-",0)</f>
        <v>5</v>
      </c>
      <c r="G6" s="208">
        <f>+_xlfn.XLOOKUP($C6,Aux!$W:$W,Aux!R:R,"-",0)</f>
        <v>0</v>
      </c>
      <c r="H6" s="208">
        <f>+_xlfn.XLOOKUP($C6,Aux!$W:$W,Aux!S:S,"-",0)</f>
        <v>1</v>
      </c>
      <c r="I6" s="208">
        <f>+_xlfn.XLOOKUP($C6,Aux!$W:$W,Aux!T:T,"-",0)</f>
        <v>7</v>
      </c>
      <c r="J6" s="208">
        <f>+_xlfn.XLOOKUP($C6,Aux!$W:$W,Aux!U:U,"-",0)</f>
        <v>13</v>
      </c>
      <c r="K6" s="209">
        <f>+_xlfn.XLOOKUP($C6,Aux!$W:$W,Aux!V:V,"-",0)</f>
        <v>6</v>
      </c>
    </row>
    <row r="7" spans="1:31" x14ac:dyDescent="0.2">
      <c r="A7" s="404">
        <v>6</v>
      </c>
      <c r="B7" s="390" t="s">
        <v>296</v>
      </c>
      <c r="C7" s="207">
        <f>+LARGE(Aux!$W$4:$W$51,A7)</f>
        <v>315.07120000142856</v>
      </c>
      <c r="D7" s="206" t="str">
        <f>+_xlfn.XLOOKUP($C7,Aux!$W:$W,Aux!H:H,"-",0)</f>
        <v>Paises Bajos</v>
      </c>
      <c r="E7" s="208">
        <f t="shared" si="0"/>
        <v>15</v>
      </c>
      <c r="F7" s="208">
        <f>+_xlfn.XLOOKUP($C7,Aux!$W:$W,Aux!Q:Q,"-",0)</f>
        <v>5</v>
      </c>
      <c r="G7" s="208">
        <f>+_xlfn.XLOOKUP($C7,Aux!$W:$W,Aux!R:R,"-",0)</f>
        <v>0</v>
      </c>
      <c r="H7" s="208">
        <f>+_xlfn.XLOOKUP($C7,Aux!$W:$W,Aux!S:S,"-",0)</f>
        <v>1</v>
      </c>
      <c r="I7" s="208">
        <f>+_xlfn.XLOOKUP($C7,Aux!$W:$W,Aux!T:T,"-",0)</f>
        <v>7</v>
      </c>
      <c r="J7" s="208">
        <f>+_xlfn.XLOOKUP($C7,Aux!$W:$W,Aux!U:U,"-",0)</f>
        <v>12</v>
      </c>
      <c r="K7" s="209">
        <f>+_xlfn.XLOOKUP($C7,Aux!$W:$W,Aux!V:V,"-",0)</f>
        <v>5</v>
      </c>
    </row>
    <row r="8" spans="1:31" x14ac:dyDescent="0.2">
      <c r="A8" s="404">
        <v>7</v>
      </c>
      <c r="B8" s="390" t="s">
        <v>296</v>
      </c>
      <c r="C8" s="207">
        <f>+LARGE(Aux!$W$4:$W$51,A8)</f>
        <v>314.09140000199994</v>
      </c>
      <c r="D8" s="206" t="str">
        <f>+_xlfn.XLOOKUP($C8,Aux!$W:$W,Aux!H:H,"-",0)</f>
        <v>Portugal</v>
      </c>
      <c r="E8" s="208">
        <f t="shared" si="0"/>
        <v>14</v>
      </c>
      <c r="F8" s="208">
        <f>+_xlfn.XLOOKUP($C8,Aux!$W:$W,Aux!Q:Q,"-",0)</f>
        <v>4</v>
      </c>
      <c r="G8" s="208">
        <f>+_xlfn.XLOOKUP($C8,Aux!$W:$W,Aux!R:R,"-",0)</f>
        <v>2</v>
      </c>
      <c r="H8" s="208">
        <f>+_xlfn.XLOOKUP($C8,Aux!$W:$W,Aux!S:S,"-",0)</f>
        <v>0</v>
      </c>
      <c r="I8" s="208">
        <f>+_xlfn.XLOOKUP($C8,Aux!$W:$W,Aux!T:T,"-",0)</f>
        <v>9</v>
      </c>
      <c r="J8" s="208">
        <f>+_xlfn.XLOOKUP($C8,Aux!$W:$W,Aux!U:U,"-",0)</f>
        <v>14</v>
      </c>
      <c r="K8" s="209">
        <f>+_xlfn.XLOOKUP($C8,Aux!$W:$W,Aux!V:V,"-",0)</f>
        <v>5</v>
      </c>
    </row>
    <row r="9" spans="1:31" x14ac:dyDescent="0.2">
      <c r="A9" s="405">
        <v>8</v>
      </c>
      <c r="B9" s="391" t="s">
        <v>296</v>
      </c>
      <c r="C9" s="227">
        <f>+LARGE(Aux!$W$4:$W$51,A9)</f>
        <v>313.04140000249998</v>
      </c>
      <c r="D9" s="226" t="str">
        <f>+_xlfn.XLOOKUP($C9,Aux!$W:$W,Aux!H:H,"-",0)</f>
        <v>Inglaterra</v>
      </c>
      <c r="E9" s="228">
        <f t="shared" si="0"/>
        <v>13</v>
      </c>
      <c r="F9" s="228">
        <f>+_xlfn.XLOOKUP($C9,Aux!$W:$W,Aux!Q:Q,"-",0)</f>
        <v>4</v>
      </c>
      <c r="G9" s="228">
        <f>+_xlfn.XLOOKUP($C9,Aux!$W:$W,Aux!R:R,"-",0)</f>
        <v>1</v>
      </c>
      <c r="H9" s="228">
        <f>+_xlfn.XLOOKUP($C9,Aux!$W:$W,Aux!S:S,"-",0)</f>
        <v>1</v>
      </c>
      <c r="I9" s="228">
        <f>+_xlfn.XLOOKUP($C9,Aux!$W:$W,Aux!T:T,"-",0)</f>
        <v>4</v>
      </c>
      <c r="J9" s="228">
        <f>+_xlfn.XLOOKUP($C9,Aux!$W:$W,Aux!U:U,"-",0)</f>
        <v>14</v>
      </c>
      <c r="K9" s="229">
        <f>+_xlfn.XLOOKUP($C9,Aux!$W:$W,Aux!V:V,"-",0)</f>
        <v>10</v>
      </c>
    </row>
    <row r="10" spans="1:31" x14ac:dyDescent="0.2">
      <c r="A10" s="406">
        <v>9</v>
      </c>
      <c r="B10" s="392" t="s">
        <v>297</v>
      </c>
      <c r="C10" s="231">
        <f>+LARGE(Aux!$W$4:$W$51,A10)</f>
        <v>212.06080000111112</v>
      </c>
      <c r="D10" s="230" t="str">
        <f>+_xlfn.XLOOKUP($C10,Aux!$W:$W,Aux!H:H,"-",0)</f>
        <v>Belgica</v>
      </c>
      <c r="E10" s="232">
        <f t="shared" si="0"/>
        <v>12</v>
      </c>
      <c r="F10" s="232">
        <f>+_xlfn.XLOOKUP($C10,Aux!$W:$W,Aux!Q:Q,"-",0)</f>
        <v>4</v>
      </c>
      <c r="G10" s="232">
        <f>+_xlfn.XLOOKUP($C10,Aux!$W:$W,Aux!R:R,"-",0)</f>
        <v>0</v>
      </c>
      <c r="H10" s="232">
        <f>+_xlfn.XLOOKUP($C10,Aux!$W:$W,Aux!S:S,"-",0)</f>
        <v>1</v>
      </c>
      <c r="I10" s="232">
        <f>+_xlfn.XLOOKUP($C10,Aux!$W:$W,Aux!T:T,"-",0)</f>
        <v>6</v>
      </c>
      <c r="J10" s="232">
        <f>+_xlfn.XLOOKUP($C10,Aux!$W:$W,Aux!U:U,"-",0)</f>
        <v>8</v>
      </c>
      <c r="K10" s="233">
        <f>+_xlfn.XLOOKUP($C10,Aux!$W:$W,Aux!V:V,"-",0)</f>
        <v>2</v>
      </c>
    </row>
    <row r="11" spans="1:31" x14ac:dyDescent="0.2">
      <c r="A11" s="406">
        <v>10</v>
      </c>
      <c r="B11" s="392" t="s">
        <v>297</v>
      </c>
      <c r="C11" s="231">
        <f>+LARGE(Aux!$W$4:$W$51,A11)</f>
        <v>211.03110000076924</v>
      </c>
      <c r="D11" s="230" t="str">
        <f>+_xlfn.XLOOKUP($C11,Aux!$W:$W,Aux!H:H,"-",0)</f>
        <v>Colombia</v>
      </c>
      <c r="E11" s="232">
        <f t="shared" si="0"/>
        <v>11</v>
      </c>
      <c r="F11" s="232">
        <f>+_xlfn.XLOOKUP($C11,Aux!$W:$W,Aux!Q:Q,"-",0)</f>
        <v>3</v>
      </c>
      <c r="G11" s="232">
        <f>+_xlfn.XLOOKUP($C11,Aux!$W:$W,Aux!R:R,"-",0)</f>
        <v>2</v>
      </c>
      <c r="H11" s="232">
        <f>+_xlfn.XLOOKUP($C11,Aux!$W:$W,Aux!S:S,"-",0)</f>
        <v>0</v>
      </c>
      <c r="I11" s="232">
        <f>+_xlfn.XLOOKUP($C11,Aux!$W:$W,Aux!T:T,"-",0)</f>
        <v>3</v>
      </c>
      <c r="J11" s="232">
        <f>+_xlfn.XLOOKUP($C11,Aux!$W:$W,Aux!U:U,"-",0)</f>
        <v>11</v>
      </c>
      <c r="K11" s="233">
        <f>+_xlfn.XLOOKUP($C11,Aux!$W:$W,Aux!V:V,"-",0)</f>
        <v>8</v>
      </c>
    </row>
    <row r="12" spans="1:31" x14ac:dyDescent="0.2">
      <c r="A12" s="406">
        <v>11</v>
      </c>
      <c r="B12" s="392" t="s">
        <v>297</v>
      </c>
      <c r="C12" s="231">
        <f>+LARGE(Aux!$W$4:$W$51,A12)</f>
        <v>210.05100000066668</v>
      </c>
      <c r="D12" s="230" t="str">
        <f>+_xlfn.XLOOKUP($C12,Aux!$W:$W,Aux!H:H,"-",0)</f>
        <v>Mexico</v>
      </c>
      <c r="E12" s="232">
        <f t="shared" si="0"/>
        <v>10</v>
      </c>
      <c r="F12" s="232">
        <f>+_xlfn.XLOOKUP($C12,Aux!$W:$W,Aux!Q:Q,"-",0)</f>
        <v>3</v>
      </c>
      <c r="G12" s="232">
        <f>+_xlfn.XLOOKUP($C12,Aux!$W:$W,Aux!R:R,"-",0)</f>
        <v>1</v>
      </c>
      <c r="H12" s="232">
        <f>+_xlfn.XLOOKUP($C12,Aux!$W:$W,Aux!S:S,"-",0)</f>
        <v>1</v>
      </c>
      <c r="I12" s="232">
        <f>+_xlfn.XLOOKUP($C12,Aux!$W:$W,Aux!T:T,"-",0)</f>
        <v>5</v>
      </c>
      <c r="J12" s="232">
        <f>+_xlfn.XLOOKUP($C12,Aux!$W:$W,Aux!U:U,"-",0)</f>
        <v>10</v>
      </c>
      <c r="K12" s="233">
        <f>+_xlfn.XLOOKUP($C12,Aux!$W:$W,Aux!V:V,"-",0)</f>
        <v>5</v>
      </c>
    </row>
    <row r="13" spans="1:31" x14ac:dyDescent="0.2">
      <c r="A13" s="406">
        <v>12</v>
      </c>
      <c r="B13" s="392" t="s">
        <v>297</v>
      </c>
      <c r="C13" s="231">
        <f>+LARGE(Aux!$W$4:$W$51,A13)</f>
        <v>210.04100000099999</v>
      </c>
      <c r="D13" s="230" t="str">
        <f>+_xlfn.XLOOKUP($C13,Aux!$W:$W,Aux!H:H,"-",0)</f>
        <v>Alemania</v>
      </c>
      <c r="E13" s="232">
        <f t="shared" si="0"/>
        <v>10</v>
      </c>
      <c r="F13" s="232">
        <f>+_xlfn.XLOOKUP($C13,Aux!$W:$W,Aux!Q:Q,"-",0)</f>
        <v>3</v>
      </c>
      <c r="G13" s="232">
        <f>+_xlfn.XLOOKUP($C13,Aux!$W:$W,Aux!R:R,"-",0)</f>
        <v>1</v>
      </c>
      <c r="H13" s="232">
        <f>+_xlfn.XLOOKUP($C13,Aux!$W:$W,Aux!S:S,"-",0)</f>
        <v>1</v>
      </c>
      <c r="I13" s="232">
        <f>+_xlfn.XLOOKUP($C13,Aux!$W:$W,Aux!T:T,"-",0)</f>
        <v>4</v>
      </c>
      <c r="J13" s="232">
        <f>+_xlfn.XLOOKUP($C13,Aux!$W:$W,Aux!U:U,"-",0)</f>
        <v>10</v>
      </c>
      <c r="K13" s="233">
        <f>+_xlfn.XLOOKUP($C13,Aux!$W:$W,Aux!V:V,"-",0)</f>
        <v>6</v>
      </c>
    </row>
    <row r="14" spans="1:31" x14ac:dyDescent="0.2">
      <c r="A14" s="406">
        <v>13</v>
      </c>
      <c r="B14" s="392" t="s">
        <v>297</v>
      </c>
      <c r="C14" s="231">
        <f>+LARGE(Aux!$W$4:$W$51,A14)</f>
        <v>210.02070000052632</v>
      </c>
      <c r="D14" s="230" t="str">
        <f>+_xlfn.XLOOKUP($C14,Aux!$W:$W,Aux!H:H,"-",0)</f>
        <v>Suiza</v>
      </c>
      <c r="E14" s="232">
        <f t="shared" si="0"/>
        <v>10</v>
      </c>
      <c r="F14" s="232">
        <f>+_xlfn.XLOOKUP($C14,Aux!$W:$W,Aux!Q:Q,"-",0)</f>
        <v>3</v>
      </c>
      <c r="G14" s="232">
        <f>+_xlfn.XLOOKUP($C14,Aux!$W:$W,Aux!R:R,"-",0)</f>
        <v>1</v>
      </c>
      <c r="H14" s="232">
        <f>+_xlfn.XLOOKUP($C14,Aux!$W:$W,Aux!S:S,"-",0)</f>
        <v>1</v>
      </c>
      <c r="I14" s="232">
        <f>+_xlfn.XLOOKUP($C14,Aux!$W:$W,Aux!T:T,"-",0)</f>
        <v>2</v>
      </c>
      <c r="J14" s="232">
        <f>+_xlfn.XLOOKUP($C14,Aux!$W:$W,Aux!U:U,"-",0)</f>
        <v>7</v>
      </c>
      <c r="K14" s="233">
        <f>+_xlfn.XLOOKUP($C14,Aux!$W:$W,Aux!V:V,"-",0)</f>
        <v>5</v>
      </c>
    </row>
    <row r="15" spans="1:31" x14ac:dyDescent="0.2">
      <c r="A15" s="406">
        <v>14</v>
      </c>
      <c r="B15" s="392" t="s">
        <v>297</v>
      </c>
      <c r="C15" s="231">
        <f>+LARGE(Aux!$W$4:$W$51,A15)</f>
        <v>210.01070000039999</v>
      </c>
      <c r="D15" s="230" t="str">
        <f>+_xlfn.XLOOKUP($C15,Aux!$W:$W,Aux!H:H,"-",0)</f>
        <v>Corea del Sur</v>
      </c>
      <c r="E15" s="232">
        <f t="shared" si="0"/>
        <v>10</v>
      </c>
      <c r="F15" s="232">
        <f>+_xlfn.XLOOKUP($C15,Aux!$W:$W,Aux!Q:Q,"-",0)</f>
        <v>3</v>
      </c>
      <c r="G15" s="232">
        <f>+_xlfn.XLOOKUP($C15,Aux!$W:$W,Aux!R:R,"-",0)</f>
        <v>1</v>
      </c>
      <c r="H15" s="232">
        <f>+_xlfn.XLOOKUP($C15,Aux!$W:$W,Aux!S:S,"-",0)</f>
        <v>1</v>
      </c>
      <c r="I15" s="232">
        <f>+_xlfn.XLOOKUP($C15,Aux!$W:$W,Aux!T:T,"-",0)</f>
        <v>1</v>
      </c>
      <c r="J15" s="232">
        <f>+_xlfn.XLOOKUP($C15,Aux!$W:$W,Aux!U:U,"-",0)</f>
        <v>7</v>
      </c>
      <c r="K15" s="233">
        <f>+_xlfn.XLOOKUP($C15,Aux!$W:$W,Aux!V:V,"-",0)</f>
        <v>6</v>
      </c>
    </row>
    <row r="16" spans="1:31" x14ac:dyDescent="0.2">
      <c r="A16" s="406">
        <v>15</v>
      </c>
      <c r="B16" s="392" t="s">
        <v>297</v>
      </c>
      <c r="C16" s="231">
        <f>+LARGE(Aux!$W$4:$W$51,A16)</f>
        <v>206.98060000062497</v>
      </c>
      <c r="D16" s="230" t="str">
        <f>+_xlfn.XLOOKUP($C16,Aux!$W:$W,Aux!H:H,"-",0)</f>
        <v>Estados Unidos</v>
      </c>
      <c r="E16" s="232">
        <f t="shared" si="0"/>
        <v>7</v>
      </c>
      <c r="F16" s="232">
        <f>+_xlfn.XLOOKUP($C16,Aux!$W:$W,Aux!Q:Q,"-",0)</f>
        <v>2</v>
      </c>
      <c r="G16" s="232">
        <f>+_xlfn.XLOOKUP($C16,Aux!$W:$W,Aux!R:R,"-",0)</f>
        <v>1</v>
      </c>
      <c r="H16" s="232">
        <f>+_xlfn.XLOOKUP($C16,Aux!$W:$W,Aux!S:S,"-",0)</f>
        <v>2</v>
      </c>
      <c r="I16" s="232">
        <f>+_xlfn.XLOOKUP($C16,Aux!$W:$W,Aux!T:T,"-",0)</f>
        <v>-2</v>
      </c>
      <c r="J16" s="232">
        <f>+_xlfn.XLOOKUP($C16,Aux!$W:$W,Aux!U:U,"-",0)</f>
        <v>6</v>
      </c>
      <c r="K16" s="233">
        <f>+_xlfn.XLOOKUP($C16,Aux!$W:$W,Aux!V:V,"-",0)</f>
        <v>8</v>
      </c>
    </row>
    <row r="17" spans="1:11" x14ac:dyDescent="0.2">
      <c r="A17" s="407">
        <v>16</v>
      </c>
      <c r="B17" s="393" t="s">
        <v>297</v>
      </c>
      <c r="C17" s="235">
        <f>+LARGE(Aux!$W$4:$W$51,A17)</f>
        <v>206.00070000032258</v>
      </c>
      <c r="D17" s="234" t="str">
        <f>+_xlfn.XLOOKUP($C17,Aux!$W:$W,Aux!H:H,"-",0)</f>
        <v>Noruega</v>
      </c>
      <c r="E17" s="236">
        <f t="shared" si="0"/>
        <v>6</v>
      </c>
      <c r="F17" s="236">
        <f>+_xlfn.XLOOKUP($C17,Aux!$W:$W,Aux!Q:Q,"-",0)</f>
        <v>1</v>
      </c>
      <c r="G17" s="236">
        <f>+_xlfn.XLOOKUP($C17,Aux!$W:$W,Aux!R:R,"-",0)</f>
        <v>3</v>
      </c>
      <c r="H17" s="236">
        <f>+_xlfn.XLOOKUP($C17,Aux!$W:$W,Aux!S:S,"-",0)</f>
        <v>1</v>
      </c>
      <c r="I17" s="236">
        <f>+_xlfn.XLOOKUP($C17,Aux!$W:$W,Aux!T:T,"-",0)</f>
        <v>0</v>
      </c>
      <c r="J17" s="236">
        <f>+_xlfn.XLOOKUP($C17,Aux!$W:$W,Aux!U:U,"-",0)</f>
        <v>7</v>
      </c>
      <c r="K17" s="237">
        <f>+_xlfn.XLOOKUP($C17,Aux!$W:$W,Aux!V:V,"-",0)</f>
        <v>7</v>
      </c>
    </row>
    <row r="18" spans="1:11" x14ac:dyDescent="0.2">
      <c r="A18" s="408">
        <v>17</v>
      </c>
      <c r="B18" s="394" t="s">
        <v>298</v>
      </c>
      <c r="C18" s="212">
        <f>+LARGE(Aux!$W$4:$W$51,A18)</f>
        <v>107.02070000041665</v>
      </c>
      <c r="D18" s="210" t="str">
        <f>+_xlfn.XLOOKUP($C18,Aux!$W:$W,Aux!H:H,"-",0)</f>
        <v>Austria</v>
      </c>
      <c r="E18" s="213">
        <f t="shared" si="0"/>
        <v>7</v>
      </c>
      <c r="F18" s="213">
        <f>+_xlfn.XLOOKUP($C18,Aux!$W:$W,Aux!Q:Q,"-",0)</f>
        <v>2</v>
      </c>
      <c r="G18" s="213">
        <f>+_xlfn.XLOOKUP($C18,Aux!$W:$W,Aux!R:R,"-",0)</f>
        <v>1</v>
      </c>
      <c r="H18" s="213">
        <f>+_xlfn.XLOOKUP($C18,Aux!$W:$W,Aux!S:S,"-",0)</f>
        <v>1</v>
      </c>
      <c r="I18" s="213">
        <f>+_xlfn.XLOOKUP($C18,Aux!$W:$W,Aux!T:T,"-",0)</f>
        <v>2</v>
      </c>
      <c r="J18" s="213">
        <f>+_xlfn.XLOOKUP($C18,Aux!$W:$W,Aux!U:U,"-",0)</f>
        <v>7</v>
      </c>
      <c r="K18" s="197">
        <f>+_xlfn.XLOOKUP($C18,Aux!$W:$W,Aux!V:V,"-",0)</f>
        <v>5</v>
      </c>
    </row>
    <row r="19" spans="1:11" x14ac:dyDescent="0.2">
      <c r="A19" s="408">
        <v>18</v>
      </c>
      <c r="B19" s="394" t="s">
        <v>298</v>
      </c>
      <c r="C19" s="212">
        <f>+LARGE(Aux!$W$4:$W$51,A19)</f>
        <v>107.02060000058823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
      <c r="A20" s="408">
        <v>19</v>
      </c>
      <c r="B20" s="394" t="s">
        <v>298</v>
      </c>
      <c r="C20" s="212">
        <f>+LARGE(Aux!$W$4:$W$51,A20)</f>
        <v>107.02060000033333</v>
      </c>
      <c r="D20" s="210" t="str">
        <f>+_xlfn.XLOOKUP($C20,Aux!$W:$W,Aux!H:H,"-",0)</f>
        <v>Canada</v>
      </c>
      <c r="E20" s="213">
        <f t="shared" si="0"/>
        <v>7</v>
      </c>
      <c r="F20" s="213">
        <f>+_xlfn.XLOOKUP($C20,Aux!$W:$W,Aux!Q:Q,"-",0)</f>
        <v>2</v>
      </c>
      <c r="G20" s="213">
        <f>+_xlfn.XLOOKUP($C20,Aux!$W:$W,Aux!R:R,"-",0)</f>
        <v>1</v>
      </c>
      <c r="H20" s="213">
        <f>+_xlfn.XLOOKUP($C20,Aux!$W:$W,Aux!S:S,"-",0)</f>
        <v>1</v>
      </c>
      <c r="I20" s="213">
        <f>+_xlfn.XLOOKUP($C20,Aux!$W:$W,Aux!T:T,"-",0)</f>
        <v>2</v>
      </c>
      <c r="J20" s="213">
        <f>+_xlfn.XLOOKUP($C20,Aux!$W:$W,Aux!U:U,"-",0)</f>
        <v>6</v>
      </c>
      <c r="K20" s="197">
        <f>+_xlfn.XLOOKUP($C20,Aux!$W:$W,Aux!V:V,"-",0)</f>
        <v>4</v>
      </c>
    </row>
    <row r="21" spans="1:11" x14ac:dyDescent="0.2">
      <c r="A21" s="408">
        <v>20</v>
      </c>
      <c r="B21" s="394" t="s">
        <v>298</v>
      </c>
      <c r="C21" s="212">
        <f>+LARGE(Aux!$W$4:$W$51,A21)</f>
        <v>106.01060000043479</v>
      </c>
      <c r="D21" s="210" t="str">
        <f>+_xlfn.XLOOKUP($C21,Aux!$W:$W,Aux!H:H,"-",0)</f>
        <v>Ecuador</v>
      </c>
      <c r="E21" s="213">
        <f t="shared" si="0"/>
        <v>6</v>
      </c>
      <c r="F21" s="213">
        <f>+_xlfn.XLOOKUP($C21,Aux!$W:$W,Aux!Q:Q,"-",0)</f>
        <v>1</v>
      </c>
      <c r="G21" s="213">
        <f>+_xlfn.XLOOKUP($C21,Aux!$W:$W,Aux!R:R,"-",0)</f>
        <v>3</v>
      </c>
      <c r="H21" s="213">
        <f>+_xlfn.XLOOKUP($C21,Aux!$W:$W,Aux!S:S,"-",0)</f>
        <v>0</v>
      </c>
      <c r="I21" s="213">
        <f>+_xlfn.XLOOKUP($C21,Aux!$W:$W,Aux!T:T,"-",0)</f>
        <v>1</v>
      </c>
      <c r="J21" s="213">
        <f>+_xlfn.XLOOKUP($C21,Aux!$W:$W,Aux!U:U,"-",0)</f>
        <v>6</v>
      </c>
      <c r="K21" s="197">
        <f>+_xlfn.XLOOKUP($C21,Aux!$W:$W,Aux!V:V,"-",0)</f>
        <v>5</v>
      </c>
    </row>
    <row r="22" spans="1:11" x14ac:dyDescent="0.2">
      <c r="A22" s="408">
        <v>21</v>
      </c>
      <c r="B22" s="394" t="s">
        <v>298</v>
      </c>
      <c r="C22" s="212">
        <f>+LARGE(Aux!$W$4:$W$51,A22)</f>
        <v>106.0006000009091</v>
      </c>
      <c r="D22" s="210" t="str">
        <f>+_xlfn.XLOOKUP($C22,Aux!$W:$W,Aux!H:H,"-",0)</f>
        <v>Croacia</v>
      </c>
      <c r="E22" s="213">
        <f t="shared" si="0"/>
        <v>6</v>
      </c>
      <c r="F22" s="213">
        <f>+_xlfn.XLOOKUP($C22,Aux!$W:$W,Aux!Q:Q,"-",0)</f>
        <v>2</v>
      </c>
      <c r="G22" s="213">
        <f>+_xlfn.XLOOKUP($C22,Aux!$W:$W,Aux!R:R,"-",0)</f>
        <v>0</v>
      </c>
      <c r="H22" s="213">
        <f>+_xlfn.XLOOKUP($C22,Aux!$W:$W,Aux!S:S,"-",0)</f>
        <v>2</v>
      </c>
      <c r="I22" s="213">
        <f>+_xlfn.XLOOKUP($C22,Aux!$W:$W,Aux!T:T,"-",0)</f>
        <v>0</v>
      </c>
      <c r="J22" s="213">
        <f>+_xlfn.XLOOKUP($C22,Aux!$W:$W,Aux!U:U,"-",0)</f>
        <v>6</v>
      </c>
      <c r="K22" s="197">
        <f>+_xlfn.XLOOKUP($C22,Aux!$W:$W,Aux!V:V,"-",0)</f>
        <v>6</v>
      </c>
    </row>
    <row r="23" spans="1:11" x14ac:dyDescent="0.2">
      <c r="A23" s="408">
        <v>22</v>
      </c>
      <c r="B23" s="394" t="s">
        <v>298</v>
      </c>
      <c r="C23" s="212">
        <f>+LARGE(Aux!$W$4:$W$51,A23)</f>
        <v>105.99050000125</v>
      </c>
      <c r="D23" s="210" t="str">
        <f>+_xlfn.XLOOKUP($C23,Aux!$W:$W,Aux!H:H,"-",0)</f>
        <v>Marruecos</v>
      </c>
      <c r="E23" s="213">
        <f t="shared" si="0"/>
        <v>6</v>
      </c>
      <c r="F23" s="213">
        <f>+_xlfn.XLOOKUP($C23,Aux!$W:$W,Aux!Q:Q,"-",0)</f>
        <v>2</v>
      </c>
      <c r="G23" s="213">
        <f>+_xlfn.XLOOKUP($C23,Aux!$W:$W,Aux!R:R,"-",0)</f>
        <v>0</v>
      </c>
      <c r="H23" s="213">
        <f>+_xlfn.XLOOKUP($C23,Aux!$W:$W,Aux!S:S,"-",0)</f>
        <v>2</v>
      </c>
      <c r="I23" s="213">
        <f>+_xlfn.XLOOKUP($C23,Aux!$W:$W,Aux!T:T,"-",0)</f>
        <v>-1</v>
      </c>
      <c r="J23" s="213">
        <f>+_xlfn.XLOOKUP($C23,Aux!$W:$W,Aux!U:U,"-",0)</f>
        <v>5</v>
      </c>
      <c r="K23" s="197">
        <f>+_xlfn.XLOOKUP($C23,Aux!$W:$W,Aux!V:V,"-",0)</f>
        <v>6</v>
      </c>
    </row>
    <row r="24" spans="1:11" x14ac:dyDescent="0.2">
      <c r="A24" s="408">
        <v>23</v>
      </c>
      <c r="B24" s="394" t="s">
        <v>298</v>
      </c>
      <c r="C24" s="212">
        <f>+LARGE(Aux!$W$4:$W$51,A24)</f>
        <v>105.99040000034482</v>
      </c>
      <c r="D24" s="210" t="str">
        <f>+_xlfn.XLOOKUP($C24,Aux!$W:$W,Aux!H:H,"-",0)</f>
        <v>Egipto</v>
      </c>
      <c r="E24" s="213">
        <f t="shared" si="0"/>
        <v>6</v>
      </c>
      <c r="F24" s="213">
        <f>+_xlfn.XLOOKUP($C24,Aux!$W:$W,Aux!Q:Q,"-",0)</f>
        <v>2</v>
      </c>
      <c r="G24" s="213">
        <f>+_xlfn.XLOOKUP($C24,Aux!$W:$W,Aux!R:R,"-",0)</f>
        <v>0</v>
      </c>
      <c r="H24" s="213">
        <f>+_xlfn.XLOOKUP($C24,Aux!$W:$W,Aux!S:S,"-",0)</f>
        <v>2</v>
      </c>
      <c r="I24" s="213">
        <f>+_xlfn.XLOOKUP($C24,Aux!$W:$W,Aux!T:T,"-",0)</f>
        <v>-1</v>
      </c>
      <c r="J24" s="213">
        <f>+_xlfn.XLOOKUP($C24,Aux!$W:$W,Aux!U:U,"-",0)</f>
        <v>4</v>
      </c>
      <c r="K24" s="197">
        <f>+_xlfn.XLOOKUP($C24,Aux!$W:$W,Aux!V:V,"-",0)</f>
        <v>5</v>
      </c>
    </row>
    <row r="25" spans="1:11" x14ac:dyDescent="0.2">
      <c r="A25" s="408">
        <v>24</v>
      </c>
      <c r="B25" s="394" t="s">
        <v>298</v>
      </c>
      <c r="C25" s="212">
        <f>+LARGE(Aux!$W$4:$W$51,A25)</f>
        <v>105.98050000055557</v>
      </c>
      <c r="D25" s="210" t="str">
        <f>+_xlfn.XLOOKUP($C25,Aux!$W:$W,Aux!H:H,"-",0)</f>
        <v>Japon</v>
      </c>
      <c r="E25" s="213">
        <f t="shared" si="0"/>
        <v>6</v>
      </c>
      <c r="F25" s="213">
        <f>+_xlfn.XLOOKUP($C25,Aux!$W:$W,Aux!Q:Q,"-",0)</f>
        <v>2</v>
      </c>
      <c r="G25" s="213">
        <f>+_xlfn.XLOOKUP($C25,Aux!$W:$W,Aux!R:R,"-",0)</f>
        <v>0</v>
      </c>
      <c r="H25" s="213">
        <f>+_xlfn.XLOOKUP($C25,Aux!$W:$W,Aux!S:S,"-",0)</f>
        <v>2</v>
      </c>
      <c r="I25" s="213">
        <f>+_xlfn.XLOOKUP($C25,Aux!$W:$W,Aux!T:T,"-",0)</f>
        <v>-2</v>
      </c>
      <c r="J25" s="213">
        <f>+_xlfn.XLOOKUP($C25,Aux!$W:$W,Aux!U:U,"-",0)</f>
        <v>5</v>
      </c>
      <c r="K25" s="197">
        <f>+_xlfn.XLOOKUP($C25,Aux!$W:$W,Aux!V:V,"-",0)</f>
        <v>7</v>
      </c>
    </row>
    <row r="26" spans="1:11" x14ac:dyDescent="0.2">
      <c r="A26" s="408">
        <v>25</v>
      </c>
      <c r="B26" s="394" t="s">
        <v>298</v>
      </c>
      <c r="C26" s="212">
        <f>+LARGE(Aux!$W$4:$W$51,A26)</f>
        <v>104.01070000029412</v>
      </c>
      <c r="D26" s="210" t="str">
        <f>+_xlfn.XLOOKUP($C26,Aux!$W:$W,Aux!H:H,"-",0)</f>
        <v>Costa de Marfil</v>
      </c>
      <c r="E26" s="213">
        <f t="shared" si="0"/>
        <v>4</v>
      </c>
      <c r="F26" s="213">
        <f>+_xlfn.XLOOKUP($C26,Aux!$W:$W,Aux!Q:Q,"-",0)</f>
        <v>1</v>
      </c>
      <c r="G26" s="213">
        <f>+_xlfn.XLOOKUP($C26,Aux!$W:$W,Aux!R:R,"-",0)</f>
        <v>1</v>
      </c>
      <c r="H26" s="213">
        <f>+_xlfn.XLOOKUP($C26,Aux!$W:$W,Aux!S:S,"-",0)</f>
        <v>2</v>
      </c>
      <c r="I26" s="213">
        <f>+_xlfn.XLOOKUP($C26,Aux!$W:$W,Aux!T:T,"-",0)</f>
        <v>1</v>
      </c>
      <c r="J26" s="213">
        <f>+_xlfn.XLOOKUP($C26,Aux!$W:$W,Aux!U:U,"-",0)</f>
        <v>7</v>
      </c>
      <c r="K26" s="197">
        <f>+_xlfn.XLOOKUP($C26,Aux!$W:$W,Aux!V:V,"-",0)</f>
        <v>6</v>
      </c>
    </row>
    <row r="27" spans="1:11" x14ac:dyDescent="0.2">
      <c r="A27" s="408">
        <v>26</v>
      </c>
      <c r="B27" s="394" t="s">
        <v>298</v>
      </c>
      <c r="C27" s="212">
        <f>+LARGE(Aux!$W$4:$W$51,A27)</f>
        <v>103.98050000071429</v>
      </c>
      <c r="D27" s="210" t="str">
        <f>+_xlfn.XLOOKUP($C27,Aux!$W:$W,Aux!H:H,"-",0)</f>
        <v>Senegal</v>
      </c>
      <c r="E27" s="213">
        <f t="shared" si="0"/>
        <v>4</v>
      </c>
      <c r="F27" s="213">
        <f>+_xlfn.XLOOKUP($C27,Aux!$W:$W,Aux!Q:Q,"-",0)</f>
        <v>1</v>
      </c>
      <c r="G27" s="213">
        <f>+_xlfn.XLOOKUP($C27,Aux!$W:$W,Aux!R:R,"-",0)</f>
        <v>1</v>
      </c>
      <c r="H27" s="213">
        <f>+_xlfn.XLOOKUP($C27,Aux!$W:$W,Aux!S:S,"-",0)</f>
        <v>2</v>
      </c>
      <c r="I27" s="213">
        <f>+_xlfn.XLOOKUP($C27,Aux!$W:$W,Aux!T:T,"-",0)</f>
        <v>-2</v>
      </c>
      <c r="J27" s="213">
        <f>+_xlfn.XLOOKUP($C27,Aux!$W:$W,Aux!U:U,"-",0)</f>
        <v>5</v>
      </c>
      <c r="K27" s="197">
        <f>+_xlfn.XLOOKUP($C27,Aux!$W:$W,Aux!V:V,"-",0)</f>
        <v>7</v>
      </c>
    </row>
    <row r="28" spans="1:11" x14ac:dyDescent="0.2">
      <c r="A28" s="408">
        <v>27</v>
      </c>
      <c r="B28" s="394" t="s">
        <v>298</v>
      </c>
      <c r="C28" s="212">
        <f>+LARGE(Aux!$W$4:$W$51,A28)</f>
        <v>103.98050000037037</v>
      </c>
      <c r="D28" s="210" t="str">
        <f>+_xlfn.XLOOKUP($C28,Aux!$W:$W,Aux!H:H,"-",0)</f>
        <v>Australia</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
      <c r="A29" s="408">
        <v>28</v>
      </c>
      <c r="B29" s="394" t="s">
        <v>298</v>
      </c>
      <c r="C29" s="212">
        <f>+LARGE(Aux!$W$4:$W$51,A29)</f>
        <v>103.98050000013514</v>
      </c>
      <c r="D29" s="210" t="str">
        <f>+_xlfn.XLOOKUP($C29,Aux!$W:$W,Aux!H:H,"-",0)</f>
        <v>Ghana</v>
      </c>
      <c r="E29" s="213">
        <f t="shared" si="0"/>
        <v>4</v>
      </c>
      <c r="F29" s="213">
        <f>+_xlfn.XLOOKUP($C29,Aux!$W:$W,Aux!Q:Q,"-",0)</f>
        <v>1</v>
      </c>
      <c r="G29" s="213">
        <f>+_xlfn.XLOOKUP($C29,Aux!$W:$W,Aux!R:R,"-",0)</f>
        <v>1</v>
      </c>
      <c r="H29" s="213">
        <f>+_xlfn.XLOOKUP($C29,Aux!$W:$W,Aux!S:S,"-",0)</f>
        <v>2</v>
      </c>
      <c r="I29" s="213">
        <f>+_xlfn.XLOOKUP($C29,Aux!$W:$W,Aux!T:T,"-",0)</f>
        <v>-2</v>
      </c>
      <c r="J29" s="213">
        <f>+_xlfn.XLOOKUP($C29,Aux!$W:$W,Aux!U:U,"-",0)</f>
        <v>5</v>
      </c>
      <c r="K29" s="197">
        <f>+_xlfn.XLOOKUP($C29,Aux!$W:$W,Aux!V:V,"-",0)</f>
        <v>7</v>
      </c>
    </row>
    <row r="30" spans="1:11" x14ac:dyDescent="0.2">
      <c r="A30" s="408">
        <v>29</v>
      </c>
      <c r="B30" s="394" t="s">
        <v>298</v>
      </c>
      <c r="C30" s="212">
        <f>+LARGE(Aux!$W$4:$W$51,A30)</f>
        <v>102.98030000016666</v>
      </c>
      <c r="D30" s="210" t="str">
        <f>+_xlfn.XLOOKUP($C30,Aux!$W:$W,Aux!H:H,"-",0)</f>
        <v>Sudafrica</v>
      </c>
      <c r="E30" s="213">
        <f t="shared" si="0"/>
        <v>3</v>
      </c>
      <c r="F30" s="213">
        <f>+_xlfn.XLOOKUP($C30,Aux!$W:$W,Aux!Q:Q,"-",0)</f>
        <v>1</v>
      </c>
      <c r="G30" s="213">
        <f>+_xlfn.XLOOKUP($C30,Aux!$W:$W,Aux!R:R,"-",0)</f>
        <v>0</v>
      </c>
      <c r="H30" s="213">
        <f>+_xlfn.XLOOKUP($C30,Aux!$W:$W,Aux!S:S,"-",0)</f>
        <v>3</v>
      </c>
      <c r="I30" s="213">
        <f>+_xlfn.XLOOKUP($C30,Aux!$W:$W,Aux!T:T,"-",0)</f>
        <v>-2</v>
      </c>
      <c r="J30" s="213">
        <f>+_xlfn.XLOOKUP($C30,Aux!$W:$W,Aux!U:U,"-",0)</f>
        <v>3</v>
      </c>
      <c r="K30" s="197">
        <f>+_xlfn.XLOOKUP($C30,Aux!$W:$W,Aux!V:V,"-",0)</f>
        <v>5</v>
      </c>
    </row>
    <row r="31" spans="1:11" x14ac:dyDescent="0.2">
      <c r="A31" s="408">
        <v>30</v>
      </c>
      <c r="B31" s="394" t="s">
        <v>298</v>
      </c>
      <c r="C31" s="212">
        <f>+LARGE(Aux!$W$4:$W$51,A31)</f>
        <v>102.97050000023256</v>
      </c>
      <c r="D31" s="210" t="str">
        <f>+_xlfn.XLOOKUP($C31,Aux!$W:$W,Aux!H:H,"-",0)</f>
        <v>Escocia</v>
      </c>
      <c r="E31" s="213">
        <f t="shared" si="0"/>
        <v>3</v>
      </c>
      <c r="F31" s="213">
        <f>+_xlfn.XLOOKUP($C31,Aux!$W:$W,Aux!Q:Q,"-",0)</f>
        <v>1</v>
      </c>
      <c r="G31" s="213">
        <f>+_xlfn.XLOOKUP($C31,Aux!$W:$W,Aux!R:R,"-",0)</f>
        <v>0</v>
      </c>
      <c r="H31" s="213">
        <f>+_xlfn.XLOOKUP($C31,Aux!$W:$W,Aux!S:S,"-",0)</f>
        <v>3</v>
      </c>
      <c r="I31" s="213">
        <f>+_xlfn.XLOOKUP($C31,Aux!$W:$W,Aux!T:T,"-",0)</f>
        <v>-3</v>
      </c>
      <c r="J31" s="213">
        <f>+_xlfn.XLOOKUP($C31,Aux!$W:$W,Aux!U:U,"-",0)</f>
        <v>5</v>
      </c>
      <c r="K31" s="197">
        <f>+_xlfn.XLOOKUP($C31,Aux!$W:$W,Aux!V:V,"-",0)</f>
        <v>8</v>
      </c>
    </row>
    <row r="32" spans="1:11" x14ac:dyDescent="0.2">
      <c r="A32" s="408">
        <v>31</v>
      </c>
      <c r="B32" s="394" t="s">
        <v>298</v>
      </c>
      <c r="C32" s="212">
        <f>+LARGE(Aux!$W$4:$W$51,A32)</f>
        <v>102.95040000015385</v>
      </c>
      <c r="D32" s="210" t="str">
        <f>+_xlfn.XLOOKUP($C32,Aux!$W:$W,Aux!H:H,"-",0)</f>
        <v>Bosnia</v>
      </c>
      <c r="E32" s="213">
        <f t="shared" si="0"/>
        <v>3</v>
      </c>
      <c r="F32" s="213">
        <f>+_xlfn.XLOOKUP($C32,Aux!$W:$W,Aux!Q:Q,"-",0)</f>
        <v>1</v>
      </c>
      <c r="G32" s="213">
        <f>+_xlfn.XLOOKUP($C32,Aux!$W:$W,Aux!R:R,"-",0)</f>
        <v>0</v>
      </c>
      <c r="H32" s="213">
        <f>+_xlfn.XLOOKUP($C32,Aux!$W:$W,Aux!S:S,"-",0)</f>
        <v>3</v>
      </c>
      <c r="I32" s="213">
        <f>+_xlfn.XLOOKUP($C32,Aux!$W:$W,Aux!T:T,"-",0)</f>
        <v>-5</v>
      </c>
      <c r="J32" s="213">
        <f>+_xlfn.XLOOKUP($C32,Aux!$W:$W,Aux!U:U,"-",0)</f>
        <v>4</v>
      </c>
      <c r="K32" s="197">
        <f>+_xlfn.XLOOKUP($C32,Aux!$W:$W,Aux!V:V,"-",0)</f>
        <v>9</v>
      </c>
    </row>
    <row r="33" spans="1:11" x14ac:dyDescent="0.2">
      <c r="A33" s="409">
        <v>32</v>
      </c>
      <c r="B33" s="395" t="s">
        <v>298</v>
      </c>
      <c r="C33" s="215">
        <f>+LARGE(Aux!$W$4:$W$51,A33)</f>
        <v>102.95030000016394</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-5</v>
      </c>
      <c r="J33" s="216">
        <f>+_xlfn.XLOOKUP($C33,Aux!$W:$W,Aux!U:U,"-",0)</f>
        <v>3</v>
      </c>
      <c r="K33" s="217">
        <f>+_xlfn.XLOOKUP($C33,Aux!$W:$W,Aux!V:V,"-",0)</f>
        <v>8</v>
      </c>
    </row>
    <row r="34" spans="1:11" x14ac:dyDescent="0.2">
      <c r="A34" s="410">
        <v>33</v>
      </c>
      <c r="B34" s="396" t="s">
        <v>299</v>
      </c>
      <c r="C34" s="219">
        <f>+LARGE(Aux!$W$4:$W$51,A34)</f>
        <v>2.9802000001176472</v>
      </c>
      <c r="D34" s="218" t="str">
        <f>+_xlfn.XLOOKUP($C34,Aux!$W:$W,Aux!H:H,"-",0)</f>
        <v>Nueva Zelanda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299</v>
      </c>
      <c r="C35" s="219">
        <f>+LARGE(Aux!$W$4:$W$51,A35)</f>
        <v>2.9703000001587307</v>
      </c>
      <c r="D35" s="218" t="str">
        <f>+_xlfn.XLOOKUP($C35,Aux!$W:$W,Aux!H:H,"-",0)</f>
        <v>Jordania</v>
      </c>
      <c r="E35" s="220">
        <f t="shared" si="0"/>
        <v>3</v>
      </c>
      <c r="F35" s="220">
        <f>+_xlfn.XLOOKUP($C35,Aux!$W:$W,Aux!Q:Q,"-",0)</f>
        <v>1</v>
      </c>
      <c r="G35" s="220">
        <f>+_xlfn.XLOOKUP($C35,Aux!$W:$W,Aux!R:R,"-",0)</f>
        <v>0</v>
      </c>
      <c r="H35" s="220">
        <f>+_xlfn.XLOOKUP($C35,Aux!$W:$W,Aux!S:S,"-",0)</f>
        <v>2</v>
      </c>
      <c r="I35" s="220">
        <f>+_xlfn.XLOOKUP($C35,Aux!$W:$W,Aux!T:T,"-",0)</f>
        <v>-3</v>
      </c>
      <c r="J35" s="220">
        <f>+_xlfn.XLOOKUP($C35,Aux!$W:$W,Aux!U:U,"-",0)</f>
        <v>3</v>
      </c>
      <c r="K35" s="221">
        <f>+_xlfn.XLOOKUP($C35,Aux!$W:$W,Aux!V:V,"-",0)</f>
        <v>6</v>
      </c>
    </row>
    <row r="36" spans="1:11" x14ac:dyDescent="0.2">
      <c r="A36" s="410">
        <v>35</v>
      </c>
      <c r="B36" s="396" t="s">
        <v>299</v>
      </c>
      <c r="C36" s="219">
        <f>+LARGE(Aux!$W$4:$W$51,A36)</f>
        <v>0.98030000026315789</v>
      </c>
      <c r="D36" s="218" t="str">
        <f>+_xlfn.XLOOKUP($C36,Aux!$W:$W,Aux!H:H,"-",0)</f>
        <v>Suecia</v>
      </c>
      <c r="E36" s="220">
        <f t="shared" si="0"/>
        <v>1</v>
      </c>
      <c r="F36" s="220">
        <f>+_xlfn.XLOOKUP($C36,Aux!$W:$W,Aux!Q:Q,"-",0)</f>
        <v>0</v>
      </c>
      <c r="G36" s="220">
        <f>+_xlfn.XLOOKUP($C36,Aux!$W:$W,Aux!R:R,"-",0)</f>
        <v>1</v>
      </c>
      <c r="H36" s="220">
        <f>+_xlfn.XLOOKUP($C36,Aux!$W:$W,Aux!S:S,"-",0)</f>
        <v>2</v>
      </c>
      <c r="I36" s="220">
        <f>+_xlfn.XLOOKUP($C36,Aux!$W:$W,Aux!T:T,"-",0)</f>
        <v>-2</v>
      </c>
      <c r="J36" s="220">
        <f>+_xlfn.XLOOKUP($C36,Aux!$W:$W,Aux!U:U,"-",0)</f>
        <v>3</v>
      </c>
      <c r="K36" s="221">
        <f>+_xlfn.XLOOKUP($C36,Aux!$W:$W,Aux!V:V,"-",0)</f>
        <v>5</v>
      </c>
    </row>
    <row r="37" spans="1:11" x14ac:dyDescent="0.2">
      <c r="A37" s="410">
        <v>36</v>
      </c>
      <c r="B37" s="396" t="s">
        <v>299</v>
      </c>
      <c r="C37" s="219">
        <f>+LARGE(Aux!$W$4:$W$51,A37)</f>
        <v>0.97040000021739126</v>
      </c>
      <c r="D37" s="218" t="str">
        <f>+_xlfn.XLOOKUP($C37,Aux!$W:$W,Aux!H:H,"-",0)</f>
        <v>Congo</v>
      </c>
      <c r="E37" s="220">
        <f t="shared" si="0"/>
        <v>1</v>
      </c>
      <c r="F37" s="220">
        <f>+_xlfn.XLOOKUP($C37,Aux!$W:$W,Aux!Q:Q,"-",0)</f>
        <v>0</v>
      </c>
      <c r="G37" s="220">
        <f>+_xlfn.XLOOKUP($C37,Aux!$W:$W,Aux!R:R,"-",0)</f>
        <v>1</v>
      </c>
      <c r="H37" s="220">
        <f>+_xlfn.XLOOKUP($C37,Aux!$W:$W,Aux!S:S,"-",0)</f>
        <v>2</v>
      </c>
      <c r="I37" s="220">
        <f>+_xlfn.XLOOKUP($C37,Aux!$W:$W,Aux!T:T,"-",0)</f>
        <v>-3</v>
      </c>
      <c r="J37" s="220">
        <f>+_xlfn.XLOOKUP($C37,Aux!$W:$W,Aux!U:U,"-",0)</f>
        <v>4</v>
      </c>
      <c r="K37" s="221">
        <f>+_xlfn.XLOOKUP($C37,Aux!$W:$W,Aux!V:V,"-",0)</f>
        <v>7</v>
      </c>
    </row>
    <row r="38" spans="1:11" x14ac:dyDescent="0.2">
      <c r="A38" s="410">
        <v>37</v>
      </c>
      <c r="B38" s="396" t="s">
        <v>299</v>
      </c>
      <c r="C38" s="219">
        <f>+LARGE(Aux!$W$4:$W$51,A38)</f>
        <v>0.9703000002272727</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
      <c r="A39" s="410">
        <v>38</v>
      </c>
      <c r="B39" s="396" t="s">
        <v>299</v>
      </c>
      <c r="C39" s="219">
        <f>+LARGE(Aux!$W$4:$W$51,A39)</f>
        <v>0.97020000019999997</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299</v>
      </c>
      <c r="C40" s="219">
        <f>+LARGE(Aux!$W$4:$W$51,A40)</f>
        <v>-2.9599999545454544E-2</v>
      </c>
      <c r="D40" s="218" t="str">
        <f>+_xlfn.XLOOKUP($C40,Aux!$W:$W,Aux!H:H,"-",0)</f>
        <v>Turquia</v>
      </c>
      <c r="E40" s="220">
        <f t="shared" si="0"/>
        <v>0</v>
      </c>
      <c r="F40" s="220">
        <f>+_xlfn.XLOOKUP($C40,Aux!$W:$W,Aux!Q:Q,"-",0)</f>
        <v>0</v>
      </c>
      <c r="G40" s="220">
        <f>+_xlfn.XLOOKUP($C40,Aux!$W:$W,Aux!R:R,"-",0)</f>
        <v>0</v>
      </c>
      <c r="H40" s="220">
        <f>+_xlfn.XLOOKUP($C40,Aux!$W:$W,Aux!S:S,"-",0)</f>
        <v>3</v>
      </c>
      <c r="I40" s="220">
        <f>+_xlfn.XLOOKUP($C40,Aux!$W:$W,Aux!T:T,"-",0)</f>
        <v>-3</v>
      </c>
      <c r="J40" s="220">
        <f>+_xlfn.XLOOKUP($C40,Aux!$W:$W,Aux!U:U,"-",0)</f>
        <v>4</v>
      </c>
      <c r="K40" s="221">
        <f>+_xlfn.XLOOKUP($C40,Aux!$W:$W,Aux!V:V,"-",0)</f>
        <v>7</v>
      </c>
    </row>
    <row r="41" spans="1:11" x14ac:dyDescent="0.2">
      <c r="A41" s="410">
        <v>40</v>
      </c>
      <c r="B41" s="396" t="s">
        <v>299</v>
      </c>
      <c r="C41" s="219">
        <f>+LARGE(Aux!$W$4:$W$51,A41)</f>
        <v>-2.969999964285714E-2</v>
      </c>
      <c r="D41" s="218" t="str">
        <f>+_xlfn.XLOOKUP($C41,Aux!$W:$W,Aux!H:H,"-",0)</f>
        <v>Argelia</v>
      </c>
      <c r="E41" s="220">
        <f t="shared" si="0"/>
        <v>0</v>
      </c>
      <c r="F41" s="220">
        <f>+_xlfn.XLOOKUP($C41,Aux!$W:$W,Aux!Q:Q,"-",0)</f>
        <v>0</v>
      </c>
      <c r="G41" s="220">
        <f>+_xlfn.XLOOKUP($C41,Aux!$W:$W,Aux!R:R,"-",0)</f>
        <v>0</v>
      </c>
      <c r="H41" s="220">
        <f>+_xlfn.XLOOKUP($C41,Aux!$W:$W,Aux!S:S,"-",0)</f>
        <v>3</v>
      </c>
      <c r="I41" s="220">
        <f>+_xlfn.XLOOKUP($C41,Aux!$W:$W,Aux!T:T,"-",0)</f>
        <v>-3</v>
      </c>
      <c r="J41" s="220">
        <f>+_xlfn.XLOOKUP($C41,Aux!$W:$W,Aux!U:U,"-",0)</f>
        <v>3</v>
      </c>
      <c r="K41" s="221">
        <f>+_xlfn.XLOOKUP($C41,Aux!$W:$W,Aux!V:V,"-",0)</f>
        <v>6</v>
      </c>
    </row>
    <row r="42" spans="1:11" x14ac:dyDescent="0.2">
      <c r="A42" s="410">
        <v>41</v>
      </c>
      <c r="B42" s="396" t="s">
        <v>299</v>
      </c>
      <c r="C42" s="219">
        <f>+LARGE(Aux!$W$4:$W$51,A42)</f>
        <v>-3.9699999824561405E-2</v>
      </c>
      <c r="D42" s="218" t="str">
        <f>+_xlfn.XLOOKUP($C42,Aux!$W:$W,Aux!H:H,"-",0)</f>
        <v>Irak</v>
      </c>
      <c r="E42" s="220">
        <f t="shared" si="0"/>
        <v>0</v>
      </c>
      <c r="F42" s="220">
        <f>+_xlfn.XLOOKUP($C42,Aux!$W:$W,Aux!Q:Q,"-",0)</f>
        <v>0</v>
      </c>
      <c r="G42" s="220">
        <f>+_xlfn.XLOOKUP($C42,Aux!$W:$W,Aux!R:R,"-",0)</f>
        <v>0</v>
      </c>
      <c r="H42" s="220">
        <f>+_xlfn.XLOOKUP($C42,Aux!$W:$W,Aux!S:S,"-",0)</f>
        <v>3</v>
      </c>
      <c r="I42" s="220">
        <f>+_xlfn.XLOOKUP($C42,Aux!$W:$W,Aux!T:T,"-",0)</f>
        <v>-4</v>
      </c>
      <c r="J42" s="220">
        <f>+_xlfn.XLOOKUP($C42,Aux!$W:$W,Aux!U:U,"-",0)</f>
        <v>3</v>
      </c>
      <c r="K42" s="221">
        <f>+_xlfn.XLOOKUP($C42,Aux!$W:$W,Aux!V:V,"-",0)</f>
        <v>7</v>
      </c>
    </row>
    <row r="43" spans="1:11" x14ac:dyDescent="0.2">
      <c r="A43" s="410">
        <v>42</v>
      </c>
      <c r="B43" s="396" t="s">
        <v>299</v>
      </c>
      <c r="C43" s="219">
        <f>+LARGE(Aux!$W$4:$W$51,A43)</f>
        <v>-3.9899999523809522E-2</v>
      </c>
      <c r="D43" s="218" t="str">
        <f>+_xlfn.XLOOKUP($C43,Aux!$W:$W,Aux!H:H,"-",0)</f>
        <v>Iran</v>
      </c>
      <c r="E43" s="220">
        <f t="shared" si="0"/>
        <v>0</v>
      </c>
      <c r="F43" s="220">
        <f>+_xlfn.XLOOKUP($C43,Aux!$W:$W,Aux!Q:Q,"-",0)</f>
        <v>0</v>
      </c>
      <c r="G43" s="220">
        <f>+_xlfn.XLOOKUP($C43,Aux!$W:$W,Aux!R:R,"-",0)</f>
        <v>0</v>
      </c>
      <c r="H43" s="220">
        <f>+_xlfn.XLOOKUP($C43,Aux!$W:$W,Aux!S:S,"-",0)</f>
        <v>3</v>
      </c>
      <c r="I43" s="220">
        <f>+_xlfn.XLOOKUP($C43,Aux!$W:$W,Aux!T:T,"-",0)</f>
        <v>-4</v>
      </c>
      <c r="J43" s="220">
        <f>+_xlfn.XLOOKUP($C43,Aux!$W:$W,Aux!U:U,"-",0)</f>
        <v>1</v>
      </c>
      <c r="K43" s="221">
        <f>+_xlfn.XLOOKUP($C43,Aux!$W:$W,Aux!V:V,"-",0)</f>
        <v>5</v>
      </c>
    </row>
    <row r="44" spans="1:11" x14ac:dyDescent="0.2">
      <c r="A44" s="410">
        <v>43</v>
      </c>
      <c r="B44" s="396" t="s">
        <v>299</v>
      </c>
      <c r="C44" s="219">
        <f>+LARGE(Aux!$W$4:$W$51,A44)</f>
        <v>-3.9899999756097558E-2</v>
      </c>
      <c r="D44" s="218" t="str">
        <f>+_xlfn.XLOOKUP($C44,Aux!$W:$W,Aux!H:H,"-",0)</f>
        <v>Repubilca Checa</v>
      </c>
      <c r="E44" s="220">
        <f t="shared" si="0"/>
        <v>0</v>
      </c>
      <c r="F44" s="220">
        <f>+_xlfn.XLOOKUP($C44,Aux!$W:$W,Aux!Q:Q,"-",0)</f>
        <v>0</v>
      </c>
      <c r="G44" s="220">
        <f>+_xlfn.XLOOKUP($C44,Aux!$W:$W,Aux!R:R,"-",0)</f>
        <v>0</v>
      </c>
      <c r="H44" s="220">
        <f>+_xlfn.XLOOKUP($C44,Aux!$W:$W,Aux!S:S,"-",0)</f>
        <v>3</v>
      </c>
      <c r="I44" s="220">
        <f>+_xlfn.XLOOKUP($C44,Aux!$W:$W,Aux!T:T,"-",0)</f>
        <v>-4</v>
      </c>
      <c r="J44" s="220">
        <f>+_xlfn.XLOOKUP($C44,Aux!$W:$W,Aux!U:U,"-",0)</f>
        <v>1</v>
      </c>
      <c r="K44" s="221">
        <f>+_xlfn.XLOOKUP($C44,Aux!$W:$W,Aux!V:V,"-",0)</f>
        <v>5</v>
      </c>
    </row>
    <row r="45" spans="1:11" x14ac:dyDescent="0.2">
      <c r="A45" s="410">
        <v>44</v>
      </c>
      <c r="B45" s="396" t="s">
        <v>299</v>
      </c>
      <c r="C45" s="219">
        <f>+LARGE(Aux!$W$4:$W$51,A45)</f>
        <v>-4.9799999855072469E-2</v>
      </c>
      <c r="D45" s="218" t="str">
        <f>+_xlfn.XLOOKUP($C45,Aux!$W:$W,Aux!H:H,"-",0)</f>
        <v>Cabo Verde</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
      <c r="A46" s="410">
        <v>45</v>
      </c>
      <c r="B46" s="396" t="s">
        <v>299</v>
      </c>
      <c r="C46" s="219">
        <f>+LARGE(Aux!$W$4:$W$51,A46)</f>
        <v>-4.9899999696969698E-2</v>
      </c>
      <c r="D46" s="218" t="str">
        <f>+_xlfn.XLOOKUP($C46,Aux!$W:$W,Aux!H:H,"-",0)</f>
        <v>Panama</v>
      </c>
      <c r="E46" s="220">
        <f t="shared" si="0"/>
        <v>0</v>
      </c>
      <c r="F46" s="220">
        <f>+_xlfn.XLOOKUP($C46,Aux!$W:$W,Aux!Q:Q,"-",0)</f>
        <v>0</v>
      </c>
      <c r="G46" s="220">
        <f>+_xlfn.XLOOKUP($C46,Aux!$W:$W,Aux!R:R,"-",0)</f>
        <v>0</v>
      </c>
      <c r="H46" s="220">
        <f>+_xlfn.XLOOKUP($C46,Aux!$W:$W,Aux!S:S,"-",0)</f>
        <v>3</v>
      </c>
      <c r="I46" s="220">
        <f>+_xlfn.XLOOKUP($C46,Aux!$W:$W,Aux!T:T,"-",0)</f>
        <v>-5</v>
      </c>
      <c r="J46" s="220">
        <f>+_xlfn.XLOOKUP($C46,Aux!$W:$W,Aux!U:U,"-",0)</f>
        <v>1</v>
      </c>
      <c r="K46" s="221">
        <f>+_xlfn.XLOOKUP($C46,Aux!$W:$W,Aux!V:V,"-",0)</f>
        <v>6</v>
      </c>
    </row>
    <row r="47" spans="1:11" x14ac:dyDescent="0.2">
      <c r="A47" s="410">
        <v>46</v>
      </c>
      <c r="B47" s="396" t="s">
        <v>299</v>
      </c>
      <c r="C47" s="219">
        <f>+LARGE(Aux!$W$4:$W$51,A47)</f>
        <v>-4.9899999818181821E-2</v>
      </c>
      <c r="D47" s="218" t="str">
        <f>+_xlfn.XLOOKUP($C47,Aux!$W:$W,Aux!H:H,"-",0)</f>
        <v>Qatar</v>
      </c>
      <c r="E47" s="220">
        <f t="shared" si="0"/>
        <v>0</v>
      </c>
      <c r="F47" s="220">
        <f>+_xlfn.XLOOKUP($C47,Aux!$W:$W,Aux!Q:Q,"-",0)</f>
        <v>0</v>
      </c>
      <c r="G47" s="220">
        <f>+_xlfn.XLOOKUP($C47,Aux!$W:$W,Aux!R:R,"-",0)</f>
        <v>0</v>
      </c>
      <c r="H47" s="220">
        <f>+_xlfn.XLOOKUP($C47,Aux!$W:$W,Aux!S:S,"-",0)</f>
        <v>3</v>
      </c>
      <c r="I47" s="220">
        <f>+_xlfn.XLOOKUP($C47,Aux!$W:$W,Aux!T:T,"-",0)</f>
        <v>-5</v>
      </c>
      <c r="J47" s="220">
        <f>+_xlfn.XLOOKUP($C47,Aux!$W:$W,Aux!U:U,"-",0)</f>
        <v>1</v>
      </c>
      <c r="K47" s="221">
        <f>+_xlfn.XLOOKUP($C47,Aux!$W:$W,Aux!V:V,"-",0)</f>
        <v>6</v>
      </c>
    </row>
    <row r="48" spans="1:11" x14ac:dyDescent="0.2">
      <c r="A48" s="410">
        <v>47</v>
      </c>
      <c r="B48" s="396" t="s">
        <v>299</v>
      </c>
      <c r="C48" s="219">
        <f>+LARGE(Aux!$W$4:$W$51,A48)</f>
        <v>-5.9899999878048775E-2</v>
      </c>
      <c r="D48" s="218" t="str">
        <f>+_xlfn.XLOOKUP($C48,Aux!$W:$W,Aux!H:H,"-",0)</f>
        <v>Curazao</v>
      </c>
      <c r="E48" s="220">
        <f t="shared" si="0"/>
        <v>0</v>
      </c>
      <c r="F48" s="220">
        <f>+_xlfn.XLOOKUP($C48,Aux!$W:$W,Aux!Q:Q,"-",0)</f>
        <v>0</v>
      </c>
      <c r="G48" s="220">
        <f>+_xlfn.XLOOKUP($C48,Aux!$W:$W,Aux!R:R,"-",0)</f>
        <v>0</v>
      </c>
      <c r="H48" s="220">
        <f>+_xlfn.XLOOKUP($C48,Aux!$W:$W,Aux!S:S,"-",0)</f>
        <v>3</v>
      </c>
      <c r="I48" s="220">
        <f>+_xlfn.XLOOKUP($C48,Aux!$W:$W,Aux!T:T,"-",0)</f>
        <v>-6</v>
      </c>
      <c r="J48" s="220">
        <f>+_xlfn.XLOOKUP($C48,Aux!$W:$W,Aux!U:U,"-",0)</f>
        <v>1</v>
      </c>
      <c r="K48" s="221">
        <f>+_xlfn.XLOOKUP($C48,Aux!$W:$W,Aux!V:V,"-",0)</f>
        <v>7</v>
      </c>
    </row>
    <row r="49" spans="1:11" x14ac:dyDescent="0.2">
      <c r="A49" s="411">
        <v>48</v>
      </c>
      <c r="B49" s="397" t="s">
        <v>299</v>
      </c>
      <c r="C49" s="223">
        <f>+LARGE(Aux!$W$4:$W$51,A49)</f>
        <v>-7.9999999879518072E-2</v>
      </c>
      <c r="D49" s="222" t="str">
        <f>+_xlfn.XLOOKUP($C49,Aux!$W:$W,Aux!H:H,"-",0)</f>
        <v>Haiti</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300</v>
      </c>
      <c r="C1" s="141" t="s">
        <v>301</v>
      </c>
      <c r="D1" s="142" t="s">
        <v>302</v>
      </c>
      <c r="E1" s="142" t="s">
        <v>303</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0</v>
      </c>
      <c r="D4" s="142">
        <f>+'Groups Stage'!G5</f>
        <v>1</v>
      </c>
      <c r="E4" s="142" t="str">
        <f>+'Groups Stage'!H5</f>
        <v>Sudafrica</v>
      </c>
      <c r="F4" s="277" t="str">
        <f>+'Quarter, Semis &amp; Final'!R21</f>
        <v>Decepción</v>
      </c>
      <c r="G4" s="242" t="str">
        <f>+'Quarter, Semis &amp; Final'!S21</f>
        <v>Croacia</v>
      </c>
      <c r="I4" s="278" t="str">
        <f t="shared" si="0"/>
        <v>Sudafrica</v>
      </c>
      <c r="J4" s="278" t="str">
        <f t="shared" si="1"/>
        <v/>
      </c>
      <c r="K4" s="278" t="str">
        <f t="shared" si="2"/>
        <v/>
      </c>
      <c r="L4" s="278" t="str">
        <f t="shared" si="3"/>
        <v>Repubilca Checa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0</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304</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305</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306</v>
      </c>
      <c r="G10" s="19" t="str">
        <f>+'Total Results'!D5</f>
        <v>Francia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2</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1</v>
      </c>
      <c r="D32" s="142">
        <f>+'Groups Stage'!G33</f>
        <v>1</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2</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2</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3</v>
      </c>
      <c r="D40" s="142">
        <f>+'Groups Stage'!G41</f>
        <v>2</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1</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1</v>
      </c>
      <c r="E78" s="142" t="str">
        <f>+'Groups Stage'!H79</f>
        <v>Francia</v>
      </c>
      <c r="I78" s="278" t="str">
        <f t="shared" si="4"/>
        <v/>
      </c>
      <c r="J78" s="278" t="str">
        <f t="shared" si="5"/>
        <v>Noruega</v>
      </c>
      <c r="K78" s="278" t="str">
        <f t="shared" si="6"/>
        <v>Francia</v>
      </c>
      <c r="L78" s="278" t="str">
        <f t="shared" si="7"/>
        <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2</v>
      </c>
      <c r="E85" s="142" t="str">
        <f>+'Groups Stage'!H86</f>
        <v>Austria</v>
      </c>
      <c r="I85" s="278" t="str">
        <f t="shared" si="4"/>
        <v/>
      </c>
      <c r="J85" s="278" t="str">
        <f t="shared" si="5"/>
        <v>Argentina</v>
      </c>
      <c r="K85" s="278" t="str">
        <f t="shared" si="6"/>
        <v>Austria</v>
      </c>
      <c r="L85" s="278" t="str">
        <f t="shared" si="7"/>
        <v/>
      </c>
    </row>
    <row r="86" spans="1:12" x14ac:dyDescent="0.2">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2</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2</v>
      </c>
      <c r="E103" s="142" t="str">
        <f>+'Groups Stage'!H104</f>
        <v>Ghana</v>
      </c>
      <c r="I103" s="278" t="str">
        <f t="shared" si="4"/>
        <v/>
      </c>
      <c r="J103" s="278" t="str">
        <f t="shared" si="5"/>
        <v>Inglaterra</v>
      </c>
      <c r="K103" s="278" t="str">
        <f t="shared" si="6"/>
        <v>Ghana</v>
      </c>
      <c r="L103" s="278" t="str">
        <f t="shared" si="7"/>
        <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
      <c r="A113" s="248" t="s">
        <v>266</v>
      </c>
      <c r="B113" s="249" t="str">
        <f>+_xlfn.XLOOKUP($A113,'Round of 32 &amp; Round of 16'!$A:$A,'Round of 32 &amp; Round of 16'!B:B,"-",0)</f>
        <v>Mexico</v>
      </c>
      <c r="C113" s="248">
        <f>+_xlfn.XLOOKUP($A113,'Round of 32 &amp; Round of 16'!$A:$A,'Round of 32 &amp; Round of 16'!C:C,"-",0)</f>
        <v>3</v>
      </c>
      <c r="D113" s="250">
        <f>+_xlfn.XLOOKUP($A113,'Round of 32 &amp; Round of 16'!$A:$A,'Round of 32 &amp; Round of 16'!D:D,"-",0)</f>
        <v>0</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4</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Costa de Marfil</v>
      </c>
      <c r="I119" s="283" t="str">
        <f t="shared" si="8"/>
        <v>Suiza</v>
      </c>
      <c r="J119" s="283" t="str">
        <f t="shared" si="9"/>
        <v/>
      </c>
      <c r="K119" s="283" t="str">
        <f t="shared" si="10"/>
        <v/>
      </c>
      <c r="L119" s="283" t="str">
        <f t="shared" si="11"/>
        <v>Costa de Marfil</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Egipto</v>
      </c>
      <c r="I122" s="284" t="str">
        <f t="shared" si="8"/>
        <v>Estados Unidos</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2</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2</v>
      </c>
      <c r="E127" s="256" t="str">
        <f>+_xlfn.XLOOKUP($A127,'Round of 32 &amp; Round of 16'!$U:$U,'Round of 32 &amp; Round of 16'!Y:Y,"-",0)</f>
        <v>España</v>
      </c>
      <c r="I127" s="282" t="str">
        <f t="shared" si="8"/>
        <v/>
      </c>
      <c r="J127" s="282" t="str">
        <f t="shared" si="9"/>
        <v>Colombia</v>
      </c>
      <c r="K127" s="282" t="str">
        <f t="shared" si="10"/>
        <v>España</v>
      </c>
      <c r="L127" s="282" t="str">
        <f t="shared" si="11"/>
        <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Paraguay</v>
      </c>
      <c r="J128" s="283" t="str">
        <f t="shared" si="9"/>
        <v/>
      </c>
      <c r="K128" s="283" t="str">
        <f t="shared" si="10"/>
        <v/>
      </c>
      <c r="L128" s="283" t="str">
        <f t="shared" si="11"/>
        <v>Belgica</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1</v>
      </c>
      <c r="E132" s="198" t="str">
        <v>Paraguay</v>
      </c>
      <c r="I132" s="283" t="str">
        <f t="shared" si="8"/>
        <v>España</v>
      </c>
      <c r="J132" s="283" t="str">
        <f t="shared" si="9"/>
        <v/>
      </c>
      <c r="K132" s="283" t="str">
        <f t="shared" si="10"/>
        <v/>
      </c>
      <c r="L132" s="283" t="str">
        <f t="shared" si="11"/>
        <v>Paraguay</v>
      </c>
      <c r="M132" s="283"/>
    </row>
    <row r="133" spans="1:13" x14ac:dyDescent="0.2">
      <c r="A133" s="263" t="s">
        <v>278</v>
      </c>
      <c r="B133" s="265" t="str" cm="1">
        <f t="array" ref="B133:E133">+_xlfn.XLOOKUP($A133,'Quarter, Semis &amp; Final'!$G:$G,'Quarter, Semis &amp; Final'!H:K,"-",0)</f>
        <v>Brasil</v>
      </c>
      <c r="C133" s="263">
        <v>3</v>
      </c>
      <c r="D133" s="198">
        <v>2</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
      <c r="A135" s="211" t="s">
        <v>288</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289</v>
      </c>
      <c r="B136" s="266" t="str" cm="1">
        <f t="array" ref="B136:E136">+_xlfn.XLOOKUP($A136,'Quarter, Semis &amp; Final'!$G:$G,'Quarter, Semis &amp; Final'!H:K,"-",0)</f>
        <v>Brasil</v>
      </c>
      <c r="C136" s="211">
        <v>1</v>
      </c>
      <c r="D136" s="210">
        <v>2</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Francia</v>
      </c>
      <c r="C137" s="267">
        <f>+'Quarter, Semis &amp; Final'!Q13</f>
        <v>0</v>
      </c>
      <c r="D137" s="272">
        <f>+'Quarter, Semis &amp; Final'!R13</f>
        <v>2</v>
      </c>
      <c r="E137" s="272" t="str">
        <f>+'Quarter, Semis &amp; Final'!S13</f>
        <v>Brasil</v>
      </c>
      <c r="I137" s="283" t="str">
        <f t="shared" si="8"/>
        <v>Brasil</v>
      </c>
      <c r="J137" s="283" t="str">
        <f t="shared" si="9"/>
        <v/>
      </c>
      <c r="K137" s="283" t="str">
        <f t="shared" si="10"/>
        <v/>
      </c>
      <c r="L137" s="283" t="str">
        <f t="shared" si="11"/>
        <v>Francia</v>
      </c>
      <c r="M137" s="283"/>
    </row>
    <row r="138" spans="1:13" x14ac:dyDescent="0.2">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307</v>
      </c>
      <c r="B1" s="1"/>
      <c r="C1" s="1"/>
      <c r="D1" s="1" t="s">
        <v>308</v>
      </c>
      <c r="E1" s="1"/>
      <c r="I1" s="1" t="s">
        <v>309</v>
      </c>
      <c r="J1" s="1"/>
      <c r="K1" s="1"/>
      <c r="L1" s="1" t="s">
        <v>308</v>
      </c>
      <c r="M1" s="1"/>
      <c r="N1" s="1"/>
      <c r="O1" s="1"/>
      <c r="P1" s="1"/>
      <c r="Q1" s="1" t="s">
        <v>310</v>
      </c>
      <c r="R1" s="1"/>
      <c r="S1" s="1"/>
      <c r="T1" s="10" t="s">
        <v>308</v>
      </c>
      <c r="U1" s="10" t="s">
        <v>311</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312</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313</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314</v>
      </c>
      <c r="R6" s="1"/>
      <c r="S6" s="1"/>
      <c r="T6" s="10" t="s">
        <v>315</v>
      </c>
      <c r="U6" s="10" t="s">
        <v>316</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317</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318</v>
      </c>
      <c r="J11" s="1"/>
      <c r="K11" s="1"/>
      <c r="L11" s="1" t="s">
        <v>308</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319</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320</v>
      </c>
      <c r="AC1" s="9" t="s">
        <v>321</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322</v>
      </c>
      <c r="AQ1" s="16" t="s">
        <v>110</v>
      </c>
      <c r="AR1" s="17" t="s">
        <v>104</v>
      </c>
      <c r="AS1" s="17" t="s">
        <v>105</v>
      </c>
      <c r="AT1" s="17" t="s">
        <v>106</v>
      </c>
      <c r="AU1" s="17" t="s">
        <v>107</v>
      </c>
      <c r="AV1" s="17" t="s">
        <v>108</v>
      </c>
      <c r="AW1" s="17" t="s">
        <v>109</v>
      </c>
      <c r="AX1" s="18" t="s">
        <v>0</v>
      </c>
      <c r="AY1" s="18" t="s">
        <v>291</v>
      </c>
      <c r="AZ1" s="21" t="s">
        <v>99</v>
      </c>
      <c r="BA1" s="18" t="s">
        <v>323</v>
      </c>
      <c r="BB1" s="19"/>
      <c r="BC1" s="19"/>
      <c r="BD1" s="19"/>
    </row>
    <row r="2" spans="1:64" ht="15" x14ac:dyDescent="0.25">
      <c r="A2" t="s">
        <v>324</v>
      </c>
      <c r="F2">
        <v>1</v>
      </c>
      <c r="G2" t="s">
        <v>325</v>
      </c>
      <c r="H2" t="s">
        <v>326</v>
      </c>
      <c r="I2" t="s">
        <v>327</v>
      </c>
      <c r="J2" t="s">
        <v>328</v>
      </c>
      <c r="K2" t="s">
        <v>329</v>
      </c>
      <c r="L2" t="s">
        <v>330</v>
      </c>
      <c r="M2" t="s">
        <v>331</v>
      </c>
      <c r="N2" t="s">
        <v>332</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e</v>
      </c>
      <c r="AC2" s="6" t="s">
        <v>333</v>
      </c>
      <c r="AD2" s="6" t="str">
        <f>+_xlfn.XLOOKUP(8,$Y:$Y,Q:Q,"Error",0)</f>
        <v>H</v>
      </c>
      <c r="AE2" s="6" t="str">
        <f t="shared" ref="AE2:AK2" si="10">+_xlfn.XLOOKUP(8,$Y:$Y,R:R,"Error",0)</f>
        <v>E</v>
      </c>
      <c r="AF2" s="6" t="str">
        <f t="shared" si="10"/>
        <v>B</v>
      </c>
      <c r="AG2" s="6" t="str">
        <f t="shared" si="10"/>
        <v>C</v>
      </c>
      <c r="AH2" s="6" t="str">
        <f t="shared" si="10"/>
        <v>A</v>
      </c>
      <c r="AI2" s="6" t="str">
        <f t="shared" si="10"/>
        <v>D</v>
      </c>
      <c r="AJ2" s="6" t="str">
        <f t="shared" si="10"/>
        <v>L</v>
      </c>
      <c r="AK2" s="6" t="str">
        <f t="shared" si="10"/>
        <v>I</v>
      </c>
      <c r="AO2" t="s">
        <v>334</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3</v>
      </c>
      <c r="AW2" s="6">
        <f>+_xlfn.XLOOKUP($AO2,'Groups Stage'!$Y:$Y,'Groups Stage'!AG:AG,"-",0)</f>
        <v>4</v>
      </c>
      <c r="AX2" s="6">
        <f>+AR2*3+AS2+AU2/100+AV2/10000</f>
        <v>2.9903000000000004</v>
      </c>
      <c r="AY2" s="19">
        <f>+AX2+ROW()/10000000000</f>
        <v>2.9903000002000004</v>
      </c>
      <c r="AZ2" s="22" t="str">
        <f>+'Groups Stage'!CX2</f>
        <v xml:space="preserve"> - </v>
      </c>
      <c r="BA2" s="19">
        <f>+AY2+IF(AZ2="IN",1/100000000,0)</f>
        <v>2.9903000002000004</v>
      </c>
      <c r="BB2" s="19"/>
      <c r="BC2" s="19">
        <f>+LARGE($AY$2:$AY$13,ROW()-1)</f>
        <v>4.0207000005999998</v>
      </c>
      <c r="BD2" s="20" t="str">
        <f>IF($AQ$15="DONE",_xlfn.XLOOKUP(BC2,$AY$2:$AY$13,$AP$2:$AP$13,"-",0),"--")</f>
        <v>Costa de Marfil</v>
      </c>
      <c r="BE2">
        <f>+_xlfn.XLOOKUP(BD2,$AP$2:$AP$13,$AX$2:$AX$13,"-",0)</f>
        <v>4.0206999999999997</v>
      </c>
      <c r="BF2" s="6" t="str">
        <f t="shared" ref="BF2:BF9" si="11">+IF(COUNTIF($BE$10:$BE$13,BE2)=0,"-","x")</f>
        <v>-</v>
      </c>
      <c r="BG2" t="str">
        <f>+IF(BF2="x","Draw - Select","IN")</f>
        <v>IN</v>
      </c>
      <c r="BI2" s="19">
        <f>+LARGE($BA$2:$BA$13,ROW()-1)</f>
        <v>4.0207000005999998</v>
      </c>
      <c r="BJ2" s="20" t="str">
        <f>IF($AQ$15="DONE",_xlfn.XLOOKUP(BI2,$BA$2:$BA$13,$AP$2:$AP$13,"-",0),"--")</f>
        <v>Costa de Marfil</v>
      </c>
      <c r="BK2" s="20" t="str">
        <f>IF($AQ$15="DONE",_xlfn.XLOOKUP(BI2,$BA$2:$BA$13,$AO$2:$AO$13,"-",0),"--")</f>
        <v>3E</v>
      </c>
      <c r="BL2" t="str">
        <f>+LOWER(RIGHT(BK2,1))</f>
        <v>e</v>
      </c>
    </row>
    <row r="3" spans="1:64" ht="15" x14ac:dyDescent="0.25">
      <c r="A3" t="s">
        <v>335</v>
      </c>
      <c r="F3">
        <v>2</v>
      </c>
      <c r="G3" t="s">
        <v>329</v>
      </c>
      <c r="H3" t="s">
        <v>330</v>
      </c>
      <c r="I3" t="s">
        <v>327</v>
      </c>
      <c r="J3" t="s">
        <v>336</v>
      </c>
      <c r="K3" t="s">
        <v>326</v>
      </c>
      <c r="L3" t="s">
        <v>328</v>
      </c>
      <c r="M3" t="s">
        <v>331</v>
      </c>
      <c r="N3" t="s">
        <v>332</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l</v>
      </c>
      <c r="AC3" s="6"/>
      <c r="AD3" s="6" t="str">
        <f>+"3"&amp;AD2</f>
        <v>3H</v>
      </c>
      <c r="AE3" s="6" t="str">
        <f t="shared" ref="AE3:AK3" si="15">+"3"&amp;AE2</f>
        <v>3E</v>
      </c>
      <c r="AF3" s="6" t="str">
        <f t="shared" si="15"/>
        <v>3B</v>
      </c>
      <c r="AG3" s="6" t="str">
        <f t="shared" si="15"/>
        <v>3C</v>
      </c>
      <c r="AH3" s="6" t="str">
        <f t="shared" si="15"/>
        <v>3A</v>
      </c>
      <c r="AI3" s="6" t="str">
        <f t="shared" si="15"/>
        <v>3D</v>
      </c>
      <c r="AJ3" s="6" t="str">
        <f t="shared" si="15"/>
        <v>3L</v>
      </c>
      <c r="AK3" s="6" t="str">
        <f t="shared" si="15"/>
        <v>3I</v>
      </c>
      <c r="AO3" t="s">
        <v>337</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4</v>
      </c>
      <c r="AW3" s="6">
        <f>+_xlfn.XLOOKUP($AO3,'Groups Stage'!$Y:$Y,'Groups Stage'!AG:AG,"-",0)</f>
        <v>5</v>
      </c>
      <c r="AX3" s="6">
        <f t="shared" ref="AX3:AX13" si="16">+AR3*3+AS3+AU3/100+AV3/10000</f>
        <v>2.9904000000000002</v>
      </c>
      <c r="AY3" s="19">
        <f t="shared" ref="AY3:AY13" si="17">+AX3+ROW()/10000000000</f>
        <v>2.9904000003000002</v>
      </c>
      <c r="AZ3" s="22" t="str">
        <f>+'Groups Stage'!CX3</f>
        <v xml:space="preserve"> - </v>
      </c>
      <c r="BA3" s="19">
        <f t="shared" ref="BA3:BA13" si="18">+AY3+IF(AZ3="IN",1/100000000,0)</f>
        <v>2.9904000003000002</v>
      </c>
      <c r="BB3" s="19"/>
      <c r="BC3" s="19">
        <f t="shared" ref="BC3:BC13" si="19">+LARGE($AY$2:$AY$13,ROW()-1)</f>
        <v>4.0105000012999996</v>
      </c>
      <c r="BD3" s="20" t="str">
        <f t="shared" ref="BD3:BD13" si="20">IF($AQ$15="DONE",_xlfn.XLOOKUP(BC3,$AY$2:$AY$13,$AP$2:$AP$13,"-",0),"--")</f>
        <v>Ghana</v>
      </c>
      <c r="BE3">
        <f t="shared" ref="BE3:BE13" si="21">+_xlfn.XLOOKUP(BD3,$AP$2:$AP$13,$AX$2:$AX$13,"-",0)</f>
        <v>4.0104999999999995</v>
      </c>
      <c r="BF3" s="6" t="str">
        <f t="shared" si="11"/>
        <v>-</v>
      </c>
      <c r="BG3" t="str">
        <f t="shared" ref="BG3:BG9" si="22">+IF(BF3="x","Draw - Select","IN")</f>
        <v>IN</v>
      </c>
      <c r="BI3" s="19">
        <f t="shared" ref="BI3:BI9" si="23">+LARGE($BA$2:$BA$13,ROW()-1)</f>
        <v>4.0105000012999996</v>
      </c>
      <c r="BJ3" s="20" t="str">
        <f t="shared" ref="BJ3:BJ9" si="24">IF($AQ$15="DONE",_xlfn.XLOOKUP(BI3,$BA$2:$BA$13,$AP$2:$AP$13,"-",0),"--")</f>
        <v>Ghana</v>
      </c>
      <c r="BK3" s="20" t="str">
        <f t="shared" ref="BK3:BK9" si="25">IF($AQ$15="DONE",_xlfn.XLOOKUP(BI3,$BA$2:$BA$13,$AO$2:$AO$13,"-",0),"--")</f>
        <v>3L</v>
      </c>
      <c r="BL3" t="str">
        <f t="shared" ref="BL3:BL9" si="26">+LOWER(RIGHT(BK3,1))</f>
        <v>l</v>
      </c>
    </row>
    <row r="4" spans="1:64" ht="15" x14ac:dyDescent="0.25">
      <c r="A4" t="s">
        <v>338</v>
      </c>
      <c r="F4">
        <v>3</v>
      </c>
      <c r="G4" t="s">
        <v>325</v>
      </c>
      <c r="H4" t="s">
        <v>326</v>
      </c>
      <c r="I4" t="s">
        <v>327</v>
      </c>
      <c r="J4" t="s">
        <v>336</v>
      </c>
      <c r="K4" t="s">
        <v>329</v>
      </c>
      <c r="L4" t="s">
        <v>330</v>
      </c>
      <c r="M4" t="s">
        <v>331</v>
      </c>
      <c r="N4" t="s">
        <v>332</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d</v>
      </c>
      <c r="AC4" s="6"/>
      <c r="AO4" t="s">
        <v>339</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4.0004000005</v>
      </c>
      <c r="BD4" s="20" t="str">
        <f t="shared" si="20"/>
        <v>Australia</v>
      </c>
      <c r="BE4">
        <f t="shared" si="21"/>
        <v>4.0004</v>
      </c>
      <c r="BF4" s="6" t="str">
        <f t="shared" si="11"/>
        <v>-</v>
      </c>
      <c r="BG4" t="str">
        <f t="shared" si="22"/>
        <v>IN</v>
      </c>
      <c r="BI4" s="19">
        <f t="shared" si="23"/>
        <v>4.0004000005</v>
      </c>
      <c r="BJ4" s="20" t="str">
        <f t="shared" si="24"/>
        <v>Australia</v>
      </c>
      <c r="BK4" s="20" t="str">
        <f t="shared" si="25"/>
        <v>3D</v>
      </c>
      <c r="BL4" t="str">
        <f t="shared" si="26"/>
        <v>d</v>
      </c>
    </row>
    <row r="5" spans="1:64" ht="15" x14ac:dyDescent="0.25">
      <c r="A5" t="s">
        <v>340</v>
      </c>
      <c r="F5">
        <v>4</v>
      </c>
      <c r="G5" t="s">
        <v>325</v>
      </c>
      <c r="H5" t="s">
        <v>326</v>
      </c>
      <c r="I5" t="s">
        <v>327</v>
      </c>
      <c r="J5" t="s">
        <v>336</v>
      </c>
      <c r="K5" t="s">
        <v>329</v>
      </c>
      <c r="L5" t="s">
        <v>328</v>
      </c>
      <c r="M5" t="s">
        <v>331</v>
      </c>
      <c r="N5" t="s">
        <v>332</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i</v>
      </c>
      <c r="AC5" s="6"/>
      <c r="AO5" t="s">
        <v>336</v>
      </c>
      <c r="AP5" t="str">
        <f>+_xlfn.XLOOKUP($AO5,'Groups Stage'!$Y:$Y,'Groups Stage'!Z:Z,"-",0)</f>
        <v>Australia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4</v>
      </c>
      <c r="AW5" s="6">
        <f>+_xlfn.XLOOKUP($AO5,'Groups Stage'!$Y:$Y,'Groups Stage'!AG:AG,"-",0)</f>
        <v>4</v>
      </c>
      <c r="AX5" s="6">
        <f t="shared" si="16"/>
        <v>4.0004</v>
      </c>
      <c r="AY5" s="19">
        <f t="shared" si="17"/>
        <v>4.0004000005</v>
      </c>
      <c r="AZ5" s="22" t="str">
        <f>+'Groups Stage'!CX5</f>
        <v xml:space="preserve"> - </v>
      </c>
      <c r="BA5" s="19">
        <f t="shared" si="18"/>
        <v>4.0004000005</v>
      </c>
      <c r="BB5" s="19"/>
      <c r="BC5" s="19">
        <f t="shared" si="19"/>
        <v>3.9904000010000003</v>
      </c>
      <c r="BD5" s="20" t="str">
        <f t="shared" si="20"/>
        <v>Senegal</v>
      </c>
      <c r="BE5">
        <f t="shared" si="21"/>
        <v>3.9904000000000002</v>
      </c>
      <c r="BF5" s="6" t="str">
        <f t="shared" si="11"/>
        <v>-</v>
      </c>
      <c r="BG5" t="str">
        <f t="shared" si="22"/>
        <v>IN</v>
      </c>
      <c r="BI5" s="19">
        <f t="shared" si="23"/>
        <v>3.9904000010000003</v>
      </c>
      <c r="BJ5" s="20" t="str">
        <f t="shared" si="24"/>
        <v>Senegal</v>
      </c>
      <c r="BK5" s="20" t="str">
        <f t="shared" si="25"/>
        <v>3I</v>
      </c>
      <c r="BL5" t="str">
        <f t="shared" si="26"/>
        <v>i</v>
      </c>
    </row>
    <row r="6" spans="1:64" ht="15" x14ac:dyDescent="0.25">
      <c r="A6" t="s">
        <v>341</v>
      </c>
      <c r="F6">
        <v>5</v>
      </c>
      <c r="G6" t="s">
        <v>325</v>
      </c>
      <c r="H6" t="s">
        <v>330</v>
      </c>
      <c r="I6" t="s">
        <v>327</v>
      </c>
      <c r="J6" t="s">
        <v>336</v>
      </c>
      <c r="K6" t="s">
        <v>326</v>
      </c>
      <c r="L6" t="s">
        <v>328</v>
      </c>
      <c r="M6" t="s">
        <v>331</v>
      </c>
      <c r="N6" t="s">
        <v>332</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c</v>
      </c>
      <c r="AC6" s="6"/>
      <c r="AO6" t="s">
        <v>325</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2</v>
      </c>
      <c r="AV6" s="6">
        <f>+_xlfn.XLOOKUP($AO6,'Groups Stage'!$Y:$Y,'Groups Stage'!AF:AF,"-",0)</f>
        <v>7</v>
      </c>
      <c r="AW6" s="6">
        <f>+_xlfn.XLOOKUP($AO6,'Groups Stage'!$Y:$Y,'Groups Stage'!AG:AG,"-",0)</f>
        <v>5</v>
      </c>
      <c r="AX6" s="6">
        <f t="shared" ref="AX6" si="27">+AR6*3+AS6+AU6/100+AV6/10000</f>
        <v>4.0206999999999997</v>
      </c>
      <c r="AY6" s="19">
        <f t="shared" si="17"/>
        <v>4.0207000005999998</v>
      </c>
      <c r="AZ6" s="22" t="str">
        <f>+'Groups Stage'!CX6</f>
        <v xml:space="preserve"> - </v>
      </c>
      <c r="BA6" s="19">
        <f t="shared" si="18"/>
        <v>4.0207000005999998</v>
      </c>
      <c r="BB6" s="19"/>
      <c r="BC6" s="19">
        <f t="shared" si="19"/>
        <v>2.9904000004000002</v>
      </c>
      <c r="BD6" s="20" t="str">
        <f t="shared" si="20"/>
        <v>Escocia</v>
      </c>
      <c r="BE6">
        <f t="shared" si="21"/>
        <v>2.9904000000000002</v>
      </c>
      <c r="BF6" s="6" t="str">
        <f t="shared" si="11"/>
        <v>-</v>
      </c>
      <c r="BG6" t="str">
        <f t="shared" si="22"/>
        <v>IN</v>
      </c>
      <c r="BI6" s="19">
        <f t="shared" si="23"/>
        <v>2.9904000004000002</v>
      </c>
      <c r="BJ6" s="20" t="str">
        <f t="shared" si="24"/>
        <v>Escocia</v>
      </c>
      <c r="BK6" s="20" t="str">
        <f t="shared" si="25"/>
        <v>3C</v>
      </c>
      <c r="BL6" t="str">
        <f t="shared" si="26"/>
        <v>c</v>
      </c>
    </row>
    <row r="7" spans="1:64" ht="15" x14ac:dyDescent="0.25">
      <c r="A7" t="s">
        <v>342</v>
      </c>
      <c r="F7">
        <v>6</v>
      </c>
      <c r="G7" t="s">
        <v>325</v>
      </c>
      <c r="H7" t="s">
        <v>330</v>
      </c>
      <c r="I7" t="s">
        <v>326</v>
      </c>
      <c r="J7" t="s">
        <v>336</v>
      </c>
      <c r="K7" t="s">
        <v>329</v>
      </c>
      <c r="L7" t="s">
        <v>328</v>
      </c>
      <c r="M7" t="s">
        <v>331</v>
      </c>
      <c r="N7" t="s">
        <v>332</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b</v>
      </c>
      <c r="AC7" s="6"/>
      <c r="AO7" t="s">
        <v>328</v>
      </c>
      <c r="AP7" t="str">
        <f>+_xlfn.XLOOKUP($AO7,'Groups Stage'!$Y:$Y,'Groups Stage'!Z:Z,"-",0)</f>
        <v>Suecia</v>
      </c>
      <c r="AQ7" s="6">
        <f>+_xlfn.XLOOKUP($AO7,'Groups Stage'!$Y:$Y,'Groups Stage'!AA:AA,"-",0)</f>
        <v>3</v>
      </c>
      <c r="AR7" s="6">
        <f>+_xlfn.XLOOKUP($AO7,'Groups Stage'!$Y:$Y,'Groups Stage'!AB:AB,"-",0)</f>
        <v>0</v>
      </c>
      <c r="AS7" s="6">
        <f>+_xlfn.XLOOKUP($AO7,'Groups Stage'!$Y:$Y,'Groups Stage'!AC:AC,"-",0)</f>
        <v>1</v>
      </c>
      <c r="AT7" s="6">
        <f>+_xlfn.XLOOKUP($AO7,'Groups Stage'!$Y:$Y,'Groups Stage'!AD:AD,"-",0)</f>
        <v>2</v>
      </c>
      <c r="AU7" s="6">
        <f>+_xlfn.XLOOKUP($AO7,'Groups Stage'!$Y:$Y,'Groups Stage'!AE:AE,"-",0)</f>
        <v>-2</v>
      </c>
      <c r="AV7" s="6">
        <f>+_xlfn.XLOOKUP($AO7,'Groups Stage'!$Y:$Y,'Groups Stage'!AF:AF,"-",0)</f>
        <v>3</v>
      </c>
      <c r="AW7" s="6">
        <f>+_xlfn.XLOOKUP($AO7,'Groups Stage'!$Y:$Y,'Groups Stage'!AG:AG,"-",0)</f>
        <v>5</v>
      </c>
      <c r="AX7" s="6">
        <f t="shared" si="16"/>
        <v>0.98029999999999995</v>
      </c>
      <c r="AY7" s="19">
        <f t="shared" si="17"/>
        <v>0.9803000006999999</v>
      </c>
      <c r="AZ7" s="22" t="str">
        <f>+'Groups Stage'!CX7</f>
        <v xml:space="preserve"> - </v>
      </c>
      <c r="BA7" s="19">
        <f t="shared" si="18"/>
        <v>0.9803000006999999</v>
      </c>
      <c r="BB7" s="19"/>
      <c r="BC7" s="19">
        <f t="shared" si="19"/>
        <v>2.9904000003000002</v>
      </c>
      <c r="BD7" s="20" t="str">
        <f t="shared" si="20"/>
        <v>Bosnia</v>
      </c>
      <c r="BE7">
        <f t="shared" si="21"/>
        <v>2.9904000000000002</v>
      </c>
      <c r="BF7" s="6" t="str">
        <f t="shared" si="11"/>
        <v>-</v>
      </c>
      <c r="BG7" t="str">
        <f t="shared" si="22"/>
        <v>IN</v>
      </c>
      <c r="BI7" s="19">
        <f t="shared" si="23"/>
        <v>2.9904000003000002</v>
      </c>
      <c r="BJ7" s="20" t="str">
        <f t="shared" si="24"/>
        <v>Bosnia</v>
      </c>
      <c r="BK7" s="20" t="str">
        <f t="shared" si="25"/>
        <v>3B</v>
      </c>
      <c r="BL7" t="str">
        <f t="shared" si="26"/>
        <v>b</v>
      </c>
    </row>
    <row r="8" spans="1:64" ht="15" x14ac:dyDescent="0.25">
      <c r="A8" t="s">
        <v>343</v>
      </c>
      <c r="F8">
        <v>7</v>
      </c>
      <c r="G8" t="s">
        <v>325</v>
      </c>
      <c r="H8" t="s">
        <v>330</v>
      </c>
      <c r="I8" t="s">
        <v>327</v>
      </c>
      <c r="J8" t="s">
        <v>336</v>
      </c>
      <c r="K8" t="s">
        <v>329</v>
      </c>
      <c r="L8" t="s">
        <v>328</v>
      </c>
      <c r="M8" t="s">
        <v>331</v>
      </c>
      <c r="N8" t="s">
        <v>332</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a</v>
      </c>
      <c r="AC8" s="6"/>
      <c r="AO8" t="s">
        <v>330</v>
      </c>
      <c r="AP8" t="str">
        <f>+_xlfn.XLOOKUP($AO8,'Groups Stage'!$Y:$Y,'Groups Stage'!Z:Z,"-",0)</f>
        <v>Nueva Zelanda</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-2</v>
      </c>
      <c r="AV8" s="6">
        <f>+_xlfn.XLOOKUP($AO8,'Groups Stage'!$Y:$Y,'Groups Stage'!AF:AF,"-",0)</f>
        <v>2</v>
      </c>
      <c r="AW8" s="6">
        <f>+_xlfn.XLOOKUP($AO8,'Groups Stage'!$Y:$Y,'Groups Stage'!AG:AG,"-",0)</f>
        <v>4</v>
      </c>
      <c r="AX8" s="6">
        <f t="shared" si="16"/>
        <v>2.9802</v>
      </c>
      <c r="AY8" s="19">
        <f t="shared" si="17"/>
        <v>2.9802000008</v>
      </c>
      <c r="AZ8" s="22" t="str">
        <f>+'Groups Stage'!CX8</f>
        <v xml:space="preserve"> - </v>
      </c>
      <c r="BA8" s="19">
        <f t="shared" si="18"/>
        <v>2.9802000008</v>
      </c>
      <c r="BB8" s="19"/>
      <c r="BC8" s="19">
        <f t="shared" si="19"/>
        <v>2.9903000002000004</v>
      </c>
      <c r="BD8" s="20" t="str">
        <f t="shared" si="20"/>
        <v>Sudafrica</v>
      </c>
      <c r="BE8">
        <f t="shared" si="21"/>
        <v>2.9903000000000004</v>
      </c>
      <c r="BF8" s="6" t="str">
        <f t="shared" si="11"/>
        <v>-</v>
      </c>
      <c r="BG8" t="str">
        <f t="shared" si="22"/>
        <v>IN</v>
      </c>
      <c r="BI8" s="19">
        <f t="shared" si="23"/>
        <v>2.9903000002000004</v>
      </c>
      <c r="BJ8" s="20" t="str">
        <f t="shared" si="24"/>
        <v>Sudafrica</v>
      </c>
      <c r="BK8" s="20" t="str">
        <f t="shared" si="25"/>
        <v>3A</v>
      </c>
      <c r="BL8" t="str">
        <f t="shared" si="26"/>
        <v>a</v>
      </c>
    </row>
    <row r="9" spans="1:64" ht="15" x14ac:dyDescent="0.25">
      <c r="A9" t="s">
        <v>344</v>
      </c>
      <c r="F9">
        <v>8</v>
      </c>
      <c r="G9" t="s">
        <v>325</v>
      </c>
      <c r="H9" t="s">
        <v>330</v>
      </c>
      <c r="I9" t="s">
        <v>326</v>
      </c>
      <c r="J9" t="s">
        <v>336</v>
      </c>
      <c r="K9" t="s">
        <v>329</v>
      </c>
      <c r="L9" t="s">
        <v>328</v>
      </c>
      <c r="M9" t="s">
        <v>331</v>
      </c>
      <c r="N9" t="s">
        <v>327</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h</v>
      </c>
      <c r="AC9" s="6"/>
      <c r="AO9" t="s">
        <v>329</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2.9803000009000002</v>
      </c>
      <c r="BD9" s="20" t="str">
        <f t="shared" si="20"/>
        <v>Arabia Saudita</v>
      </c>
      <c r="BE9">
        <f t="shared" si="21"/>
        <v>2.9803000000000002</v>
      </c>
      <c r="BF9" s="6" t="str">
        <f t="shared" si="11"/>
        <v>-</v>
      </c>
      <c r="BG9" t="str">
        <f t="shared" si="22"/>
        <v>IN</v>
      </c>
      <c r="BI9" s="19">
        <f t="shared" si="23"/>
        <v>2.9803000009000002</v>
      </c>
      <c r="BJ9" s="20" t="str">
        <f t="shared" si="24"/>
        <v>Arabia Saudita</v>
      </c>
      <c r="BK9" s="20" t="str">
        <f t="shared" si="25"/>
        <v>3H</v>
      </c>
      <c r="BL9" t="str">
        <f t="shared" si="26"/>
        <v>h</v>
      </c>
    </row>
    <row r="10" spans="1:64" x14ac:dyDescent="0.2">
      <c r="A10" t="s">
        <v>345</v>
      </c>
      <c r="F10">
        <v>9</v>
      </c>
      <c r="G10" t="s">
        <v>325</v>
      </c>
      <c r="H10" t="s">
        <v>330</v>
      </c>
      <c r="I10" t="s">
        <v>326</v>
      </c>
      <c r="J10" t="s">
        <v>336</v>
      </c>
      <c r="K10" t="s">
        <v>329</v>
      </c>
      <c r="L10" t="s">
        <v>328</v>
      </c>
      <c r="M10" t="s">
        <v>327</v>
      </c>
      <c r="N10" t="s">
        <v>332</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327</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2.9802000008</v>
      </c>
      <c r="BD10" s="20" t="str">
        <f t="shared" si="20"/>
        <v>Nueva Zelanda</v>
      </c>
      <c r="BE10">
        <f t="shared" si="21"/>
        <v>2.9802</v>
      </c>
      <c r="BF10" s="6" t="str">
        <f>+IF(COUNTIF($BE$2:$BE$9,BE10)=0,"-","x")</f>
        <v>-</v>
      </c>
      <c r="BG10" t="str">
        <f>+IF(BF10="x","Draw - Select","OUT")</f>
        <v>OUT</v>
      </c>
      <c r="BI10" s="19"/>
      <c r="BJ10" s="20"/>
      <c r="BK10" s="20"/>
    </row>
    <row r="11" spans="1:64" x14ac:dyDescent="0.2">
      <c r="A11" t="s">
        <v>346</v>
      </c>
      <c r="F11">
        <v>10</v>
      </c>
      <c r="G11" t="s">
        <v>329</v>
      </c>
      <c r="H11" t="s">
        <v>330</v>
      </c>
      <c r="I11" t="s">
        <v>327</v>
      </c>
      <c r="J11" t="s">
        <v>339</v>
      </c>
      <c r="K11" t="s">
        <v>326</v>
      </c>
      <c r="L11" t="s">
        <v>328</v>
      </c>
      <c r="M11" t="s">
        <v>331</v>
      </c>
      <c r="N11" t="s">
        <v>332</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326</v>
      </c>
      <c r="AP11" t="str">
        <f>+_xlfn.XLOOKUP($AO11,'Groups Stage'!$Y:$Y,'Groups Stage'!Z:Z,"-",0)</f>
        <v>Jordania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3</v>
      </c>
      <c r="AW11" s="6">
        <f>+_xlfn.XLOOKUP($AO11,'Groups Stage'!$Y:$Y,'Groups Stage'!AG:AG,"-",0)</f>
        <v>6</v>
      </c>
      <c r="AX11" s="6">
        <f t="shared" si="16"/>
        <v>2.9703000000000004</v>
      </c>
      <c r="AY11" s="19">
        <f t="shared" si="17"/>
        <v>2.9703000011000005</v>
      </c>
      <c r="AZ11" s="22" t="str">
        <f>+'Groups Stage'!CX11</f>
        <v xml:space="preserve"> - </v>
      </c>
      <c r="BA11" s="19">
        <f t="shared" si="18"/>
        <v>2.9703000011000005</v>
      </c>
      <c r="BB11" s="19"/>
      <c r="BC11" s="19">
        <f t="shared" si="19"/>
        <v>2.9703000011000005</v>
      </c>
      <c r="BD11" s="20" t="str">
        <f t="shared" si="20"/>
        <v>Jordania</v>
      </c>
      <c r="BE11">
        <f t="shared" si="21"/>
        <v>2.9703000000000004</v>
      </c>
      <c r="BF11" s="6" t="str">
        <f t="shared" ref="BF11:BF13" si="28">+IF(COUNTIF($BE$2:$BE$9,BE11)=0,"-","x")</f>
        <v>-</v>
      </c>
      <c r="BG11" t="str">
        <f t="shared" ref="BG11:BG13" si="29">+IF(BF11="x","Draw - Select","OUT")</f>
        <v>OUT</v>
      </c>
      <c r="BI11" s="19"/>
      <c r="BJ11" s="20"/>
      <c r="BK11" s="20"/>
    </row>
    <row r="12" spans="1:64" x14ac:dyDescent="0.2">
      <c r="A12" t="s">
        <v>347</v>
      </c>
      <c r="F12">
        <v>11</v>
      </c>
      <c r="G12" t="s">
        <v>325</v>
      </c>
      <c r="H12" t="s">
        <v>326</v>
      </c>
      <c r="I12" t="s">
        <v>327</v>
      </c>
      <c r="J12" t="s">
        <v>339</v>
      </c>
      <c r="K12" t="s">
        <v>329</v>
      </c>
      <c r="L12" t="s">
        <v>330</v>
      </c>
      <c r="M12" t="s">
        <v>331</v>
      </c>
      <c r="N12" t="s">
        <v>332</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332</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4</v>
      </c>
      <c r="AW12" s="6">
        <f>+_xlfn.XLOOKUP($AO12,'Groups Stage'!$Y:$Y,'Groups Stage'!AG:AG,"-",0)</f>
        <v>7</v>
      </c>
      <c r="AX12" s="6">
        <f t="shared" si="16"/>
        <v>0.97039999999999993</v>
      </c>
      <c r="AY12" s="19">
        <f t="shared" si="17"/>
        <v>0.97040000119999992</v>
      </c>
      <c r="AZ12" s="22" t="str">
        <f>+'Groups Stage'!CX12</f>
        <v xml:space="preserve"> - </v>
      </c>
      <c r="BA12" s="19">
        <f t="shared" si="18"/>
        <v>0.97040000119999992</v>
      </c>
      <c r="BB12" s="19"/>
      <c r="BC12" s="19">
        <f t="shared" si="19"/>
        <v>0.9803000006999999</v>
      </c>
      <c r="BD12" s="20" t="str">
        <f t="shared" si="20"/>
        <v>Suecia</v>
      </c>
      <c r="BE12">
        <f t="shared" si="21"/>
        <v>0.98029999999999995</v>
      </c>
      <c r="BF12" s="6" t="str">
        <f t="shared" si="28"/>
        <v>-</v>
      </c>
      <c r="BG12" t="str">
        <f t="shared" si="29"/>
        <v>OUT</v>
      </c>
      <c r="BI12" s="19"/>
      <c r="BJ12" s="20"/>
      <c r="BK12" s="20"/>
    </row>
    <row r="13" spans="1:64" x14ac:dyDescent="0.2">
      <c r="A13" t="s">
        <v>348</v>
      </c>
      <c r="F13">
        <v>12</v>
      </c>
      <c r="G13" t="s">
        <v>325</v>
      </c>
      <c r="H13" t="s">
        <v>326</v>
      </c>
      <c r="I13" t="s">
        <v>327</v>
      </c>
      <c r="J13" t="s">
        <v>339</v>
      </c>
      <c r="K13" t="s">
        <v>329</v>
      </c>
      <c r="L13" t="s">
        <v>328</v>
      </c>
      <c r="M13" t="s">
        <v>331</v>
      </c>
      <c r="N13" t="s">
        <v>332</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331</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5</v>
      </c>
      <c r="AW13" s="6">
        <f>+_xlfn.XLOOKUP($AO13,'Groups Stage'!$Y:$Y,'Groups Stage'!AG:AG,"-",0)</f>
        <v>4</v>
      </c>
      <c r="AX13" s="6">
        <f t="shared" si="16"/>
        <v>4.0104999999999995</v>
      </c>
      <c r="AY13" s="19">
        <f t="shared" si="17"/>
        <v>4.0105000012999996</v>
      </c>
      <c r="AZ13" s="22" t="str">
        <f>+'Groups Stage'!CX13</f>
        <v xml:space="preserve"> - </v>
      </c>
      <c r="BA13" s="19">
        <f t="shared" si="18"/>
        <v>4.0105000012999996</v>
      </c>
      <c r="BB13" s="19"/>
      <c r="BC13" s="19">
        <f t="shared" si="19"/>
        <v>0.97040000119999992</v>
      </c>
      <c r="BD13" s="20" t="str">
        <f t="shared" si="20"/>
        <v>Congo</v>
      </c>
      <c r="BE13">
        <f t="shared" si="21"/>
        <v>0.97039999999999993</v>
      </c>
      <c r="BF13" s="6" t="str">
        <f t="shared" si="28"/>
        <v>-</v>
      </c>
      <c r="BG13" t="str">
        <f t="shared" si="29"/>
        <v>OUT</v>
      </c>
      <c r="BI13" s="19"/>
      <c r="BJ13" s="20"/>
      <c r="BK13" s="20"/>
    </row>
    <row r="14" spans="1:64" x14ac:dyDescent="0.2">
      <c r="A14" t="s">
        <v>349</v>
      </c>
      <c r="F14">
        <v>13</v>
      </c>
      <c r="G14" t="s">
        <v>325</v>
      </c>
      <c r="H14" t="s">
        <v>330</v>
      </c>
      <c r="I14" t="s">
        <v>327</v>
      </c>
      <c r="J14" t="s">
        <v>339</v>
      </c>
      <c r="K14" t="s">
        <v>326</v>
      </c>
      <c r="L14" t="s">
        <v>328</v>
      </c>
      <c r="M14" t="s">
        <v>331</v>
      </c>
      <c r="N14" t="s">
        <v>332</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350</v>
      </c>
      <c r="F15">
        <v>14</v>
      </c>
      <c r="G15" t="s">
        <v>325</v>
      </c>
      <c r="H15" t="s">
        <v>330</v>
      </c>
      <c r="I15" t="s">
        <v>326</v>
      </c>
      <c r="J15" t="s">
        <v>339</v>
      </c>
      <c r="K15" t="s">
        <v>329</v>
      </c>
      <c r="L15" t="s">
        <v>328</v>
      </c>
      <c r="M15" t="s">
        <v>331</v>
      </c>
      <c r="N15" t="s">
        <v>332</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351</v>
      </c>
      <c r="F16">
        <v>15</v>
      </c>
      <c r="G16" t="s">
        <v>325</v>
      </c>
      <c r="H16" t="s">
        <v>330</v>
      </c>
      <c r="I16" t="s">
        <v>327</v>
      </c>
      <c r="J16" t="s">
        <v>339</v>
      </c>
      <c r="K16" t="s">
        <v>329</v>
      </c>
      <c r="L16" t="s">
        <v>328</v>
      </c>
      <c r="M16" t="s">
        <v>331</v>
      </c>
      <c r="N16" t="s">
        <v>332</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352</v>
      </c>
      <c r="F17">
        <v>16</v>
      </c>
      <c r="G17" t="s">
        <v>325</v>
      </c>
      <c r="H17" t="s">
        <v>330</v>
      </c>
      <c r="I17" t="s">
        <v>326</v>
      </c>
      <c r="J17" t="s">
        <v>339</v>
      </c>
      <c r="K17" t="s">
        <v>329</v>
      </c>
      <c r="L17" t="s">
        <v>328</v>
      </c>
      <c r="M17" t="s">
        <v>331</v>
      </c>
      <c r="N17" t="s">
        <v>327</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353</v>
      </c>
      <c r="F18">
        <v>17</v>
      </c>
      <c r="G18" t="s">
        <v>325</v>
      </c>
      <c r="H18" t="s">
        <v>330</v>
      </c>
      <c r="I18" t="s">
        <v>326</v>
      </c>
      <c r="J18" t="s">
        <v>339</v>
      </c>
      <c r="K18" t="s">
        <v>329</v>
      </c>
      <c r="L18" t="s">
        <v>328</v>
      </c>
      <c r="M18" t="s">
        <v>327</v>
      </c>
      <c r="N18" t="s">
        <v>332</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354</v>
      </c>
      <c r="F19">
        <v>18</v>
      </c>
      <c r="G19" t="s">
        <v>329</v>
      </c>
      <c r="H19" t="s">
        <v>330</v>
      </c>
      <c r="I19" t="s">
        <v>327</v>
      </c>
      <c r="J19" t="s">
        <v>339</v>
      </c>
      <c r="K19" t="s">
        <v>326</v>
      </c>
      <c r="L19" t="s">
        <v>336</v>
      </c>
      <c r="M19" t="s">
        <v>331</v>
      </c>
      <c r="N19" t="s">
        <v>332</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355</v>
      </c>
      <c r="F20">
        <v>19</v>
      </c>
      <c r="G20" t="s">
        <v>339</v>
      </c>
      <c r="H20" t="s">
        <v>326</v>
      </c>
      <c r="I20" t="s">
        <v>327</v>
      </c>
      <c r="J20" t="s">
        <v>336</v>
      </c>
      <c r="K20" t="s">
        <v>329</v>
      </c>
      <c r="L20" t="s">
        <v>328</v>
      </c>
      <c r="M20" t="s">
        <v>331</v>
      </c>
      <c r="N20" t="s">
        <v>332</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356</v>
      </c>
      <c r="F21">
        <v>20</v>
      </c>
      <c r="G21" t="s">
        <v>339</v>
      </c>
      <c r="H21" t="s">
        <v>330</v>
      </c>
      <c r="I21" t="s">
        <v>327</v>
      </c>
      <c r="J21" t="s">
        <v>336</v>
      </c>
      <c r="K21" t="s">
        <v>326</v>
      </c>
      <c r="L21" t="s">
        <v>328</v>
      </c>
      <c r="M21" t="s">
        <v>331</v>
      </c>
      <c r="N21" t="s">
        <v>332</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
      <c r="A22" t="s">
        <v>357</v>
      </c>
      <c r="F22">
        <v>21</v>
      </c>
      <c r="G22" t="s">
        <v>339</v>
      </c>
      <c r="H22" t="s">
        <v>330</v>
      </c>
      <c r="I22" t="s">
        <v>326</v>
      </c>
      <c r="J22" t="s">
        <v>336</v>
      </c>
      <c r="K22" t="s">
        <v>329</v>
      </c>
      <c r="L22" t="s">
        <v>328</v>
      </c>
      <c r="M22" t="s">
        <v>331</v>
      </c>
      <c r="N22" t="s">
        <v>332</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358</v>
      </c>
      <c r="F23">
        <v>22</v>
      </c>
      <c r="G23" t="s">
        <v>339</v>
      </c>
      <c r="H23" t="s">
        <v>330</v>
      </c>
      <c r="I23" t="s">
        <v>327</v>
      </c>
      <c r="J23" t="s">
        <v>336</v>
      </c>
      <c r="K23" t="s">
        <v>329</v>
      </c>
      <c r="L23" t="s">
        <v>328</v>
      </c>
      <c r="M23" t="s">
        <v>331</v>
      </c>
      <c r="N23" t="s">
        <v>332</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359</v>
      </c>
      <c r="F24">
        <v>23</v>
      </c>
      <c r="G24" t="s">
        <v>339</v>
      </c>
      <c r="H24" t="s">
        <v>330</v>
      </c>
      <c r="I24" t="s">
        <v>326</v>
      </c>
      <c r="J24" t="s">
        <v>336</v>
      </c>
      <c r="K24" t="s">
        <v>329</v>
      </c>
      <c r="L24" t="s">
        <v>328</v>
      </c>
      <c r="M24" t="s">
        <v>331</v>
      </c>
      <c r="N24" t="s">
        <v>327</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360</v>
      </c>
      <c r="F25">
        <v>24</v>
      </c>
      <c r="G25" t="s">
        <v>339</v>
      </c>
      <c r="H25" t="s">
        <v>330</v>
      </c>
      <c r="I25" t="s">
        <v>326</v>
      </c>
      <c r="J25" t="s">
        <v>336</v>
      </c>
      <c r="K25" t="s">
        <v>329</v>
      </c>
      <c r="L25" t="s">
        <v>328</v>
      </c>
      <c r="M25" t="s">
        <v>327</v>
      </c>
      <c r="N25" t="s">
        <v>332</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361</v>
      </c>
      <c r="F26">
        <v>25</v>
      </c>
      <c r="G26" t="s">
        <v>325</v>
      </c>
      <c r="H26" t="s">
        <v>326</v>
      </c>
      <c r="I26" t="s">
        <v>327</v>
      </c>
      <c r="J26" t="s">
        <v>339</v>
      </c>
      <c r="K26" t="s">
        <v>329</v>
      </c>
      <c r="L26" t="s">
        <v>336</v>
      </c>
      <c r="M26" t="s">
        <v>331</v>
      </c>
      <c r="N26" t="s">
        <v>332</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362</v>
      </c>
      <c r="F27">
        <v>26</v>
      </c>
      <c r="G27" t="s">
        <v>325</v>
      </c>
      <c r="H27" t="s">
        <v>330</v>
      </c>
      <c r="I27" t="s">
        <v>327</v>
      </c>
      <c r="J27" t="s">
        <v>339</v>
      </c>
      <c r="K27" t="s">
        <v>326</v>
      </c>
      <c r="L27" t="s">
        <v>336</v>
      </c>
      <c r="M27" t="s">
        <v>331</v>
      </c>
      <c r="N27" t="s">
        <v>332</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363</v>
      </c>
      <c r="F28">
        <v>27</v>
      </c>
      <c r="G28" t="s">
        <v>325</v>
      </c>
      <c r="H28" t="s">
        <v>330</v>
      </c>
      <c r="I28" t="s">
        <v>326</v>
      </c>
      <c r="J28" t="s">
        <v>339</v>
      </c>
      <c r="K28" t="s">
        <v>329</v>
      </c>
      <c r="L28" t="s">
        <v>336</v>
      </c>
      <c r="M28" t="s">
        <v>331</v>
      </c>
      <c r="N28" t="s">
        <v>332</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364</v>
      </c>
      <c r="F29">
        <v>28</v>
      </c>
      <c r="G29" t="s">
        <v>325</v>
      </c>
      <c r="H29" t="s">
        <v>330</v>
      </c>
      <c r="I29" t="s">
        <v>327</v>
      </c>
      <c r="J29" t="s">
        <v>339</v>
      </c>
      <c r="K29" t="s">
        <v>329</v>
      </c>
      <c r="L29" t="s">
        <v>336</v>
      </c>
      <c r="M29" t="s">
        <v>331</v>
      </c>
      <c r="N29" t="s">
        <v>332</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365</v>
      </c>
      <c r="F30">
        <v>29</v>
      </c>
      <c r="G30" t="s">
        <v>325</v>
      </c>
      <c r="H30" t="s">
        <v>330</v>
      </c>
      <c r="I30" t="s">
        <v>326</v>
      </c>
      <c r="J30" t="s">
        <v>339</v>
      </c>
      <c r="K30" t="s">
        <v>329</v>
      </c>
      <c r="L30" t="s">
        <v>336</v>
      </c>
      <c r="M30" t="s">
        <v>331</v>
      </c>
      <c r="N30" t="s">
        <v>327</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366</v>
      </c>
      <c r="F31">
        <v>30</v>
      </c>
      <c r="G31" t="s">
        <v>325</v>
      </c>
      <c r="H31" t="s">
        <v>330</v>
      </c>
      <c r="I31" t="s">
        <v>326</v>
      </c>
      <c r="J31" t="s">
        <v>339</v>
      </c>
      <c r="K31" t="s">
        <v>329</v>
      </c>
      <c r="L31" t="s">
        <v>336</v>
      </c>
      <c r="M31" t="s">
        <v>327</v>
      </c>
      <c r="N31" t="s">
        <v>332</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367</v>
      </c>
      <c r="F32">
        <v>31</v>
      </c>
      <c r="G32" t="s">
        <v>339</v>
      </c>
      <c r="H32" t="s">
        <v>326</v>
      </c>
      <c r="I32" t="s">
        <v>325</v>
      </c>
      <c r="J32" t="s">
        <v>336</v>
      </c>
      <c r="K32" t="s">
        <v>327</v>
      </c>
      <c r="L32" t="s">
        <v>328</v>
      </c>
      <c r="M32" t="s">
        <v>331</v>
      </c>
      <c r="N32" t="s">
        <v>332</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368</v>
      </c>
      <c r="F33">
        <v>32</v>
      </c>
      <c r="G33" t="s">
        <v>339</v>
      </c>
      <c r="H33" t="s">
        <v>326</v>
      </c>
      <c r="I33" t="s">
        <v>325</v>
      </c>
      <c r="J33" t="s">
        <v>336</v>
      </c>
      <c r="K33" t="s">
        <v>329</v>
      </c>
      <c r="L33" t="s">
        <v>328</v>
      </c>
      <c r="M33" t="s">
        <v>331</v>
      </c>
      <c r="N33" t="s">
        <v>332</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369</v>
      </c>
      <c r="F34">
        <v>33</v>
      </c>
      <c r="G34" t="s">
        <v>339</v>
      </c>
      <c r="H34" t="s">
        <v>325</v>
      </c>
      <c r="I34" t="s">
        <v>327</v>
      </c>
      <c r="J34" t="s">
        <v>336</v>
      </c>
      <c r="K34" t="s">
        <v>329</v>
      </c>
      <c r="L34" t="s">
        <v>328</v>
      </c>
      <c r="M34" t="s">
        <v>331</v>
      </c>
      <c r="N34" t="s">
        <v>332</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370</v>
      </c>
      <c r="F35">
        <v>34</v>
      </c>
      <c r="G35" t="s">
        <v>339</v>
      </c>
      <c r="H35" t="s">
        <v>326</v>
      </c>
      <c r="I35" t="s">
        <v>325</v>
      </c>
      <c r="J35" t="s">
        <v>336</v>
      </c>
      <c r="K35" t="s">
        <v>329</v>
      </c>
      <c r="L35" t="s">
        <v>328</v>
      </c>
      <c r="M35" t="s">
        <v>331</v>
      </c>
      <c r="N35" t="s">
        <v>327</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371</v>
      </c>
      <c r="F36">
        <v>35</v>
      </c>
      <c r="G36" t="s">
        <v>339</v>
      </c>
      <c r="H36" t="s">
        <v>326</v>
      </c>
      <c r="I36" t="s">
        <v>325</v>
      </c>
      <c r="J36" t="s">
        <v>336</v>
      </c>
      <c r="K36" t="s">
        <v>329</v>
      </c>
      <c r="L36" t="s">
        <v>328</v>
      </c>
      <c r="M36" t="s">
        <v>327</v>
      </c>
      <c r="N36" t="s">
        <v>332</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372</v>
      </c>
      <c r="F37">
        <v>36</v>
      </c>
      <c r="G37" t="s">
        <v>339</v>
      </c>
      <c r="H37" t="s">
        <v>330</v>
      </c>
      <c r="I37" t="s">
        <v>325</v>
      </c>
      <c r="J37" t="s">
        <v>336</v>
      </c>
      <c r="K37" t="s">
        <v>326</v>
      </c>
      <c r="L37" t="s">
        <v>328</v>
      </c>
      <c r="M37" t="s">
        <v>331</v>
      </c>
      <c r="N37" t="s">
        <v>332</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373</v>
      </c>
      <c r="F38">
        <v>37</v>
      </c>
      <c r="G38" t="s">
        <v>339</v>
      </c>
      <c r="H38" t="s">
        <v>330</v>
      </c>
      <c r="I38" t="s">
        <v>325</v>
      </c>
      <c r="J38" t="s">
        <v>336</v>
      </c>
      <c r="K38" t="s">
        <v>327</v>
      </c>
      <c r="L38" t="s">
        <v>328</v>
      </c>
      <c r="M38" t="s">
        <v>331</v>
      </c>
      <c r="N38" t="s">
        <v>332</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374</v>
      </c>
      <c r="F39">
        <v>38</v>
      </c>
      <c r="G39" t="s">
        <v>339</v>
      </c>
      <c r="H39" t="s">
        <v>330</v>
      </c>
      <c r="I39" t="s">
        <v>325</v>
      </c>
      <c r="J39" t="s">
        <v>336</v>
      </c>
      <c r="K39" t="s">
        <v>326</v>
      </c>
      <c r="L39" t="s">
        <v>328</v>
      </c>
      <c r="M39" t="s">
        <v>331</v>
      </c>
      <c r="N39" t="s">
        <v>327</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375</v>
      </c>
      <c r="F40">
        <v>39</v>
      </c>
      <c r="G40" t="s">
        <v>339</v>
      </c>
      <c r="H40" t="s">
        <v>330</v>
      </c>
      <c r="I40" t="s">
        <v>325</v>
      </c>
      <c r="J40" t="s">
        <v>336</v>
      </c>
      <c r="K40" t="s">
        <v>326</v>
      </c>
      <c r="L40" t="s">
        <v>328</v>
      </c>
      <c r="M40" t="s">
        <v>327</v>
      </c>
      <c r="N40" t="s">
        <v>332</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376</v>
      </c>
      <c r="F41">
        <v>40</v>
      </c>
      <c r="G41" t="s">
        <v>339</v>
      </c>
      <c r="H41" t="s">
        <v>330</v>
      </c>
      <c r="I41" t="s">
        <v>325</v>
      </c>
      <c r="J41" t="s">
        <v>336</v>
      </c>
      <c r="K41" t="s">
        <v>329</v>
      </c>
      <c r="L41" t="s">
        <v>328</v>
      </c>
      <c r="M41" t="s">
        <v>331</v>
      </c>
      <c r="N41" t="s">
        <v>332</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377</v>
      </c>
      <c r="F42">
        <v>41</v>
      </c>
      <c r="G42" t="s">
        <v>339</v>
      </c>
      <c r="H42" t="s">
        <v>330</v>
      </c>
      <c r="I42" t="s">
        <v>326</v>
      </c>
      <c r="J42" t="s">
        <v>336</v>
      </c>
      <c r="K42" t="s">
        <v>329</v>
      </c>
      <c r="L42" t="s">
        <v>328</v>
      </c>
      <c r="M42" t="s">
        <v>331</v>
      </c>
      <c r="N42" t="s">
        <v>325</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378</v>
      </c>
      <c r="F43">
        <v>42</v>
      </c>
      <c r="G43" t="s">
        <v>339</v>
      </c>
      <c r="H43" t="s">
        <v>330</v>
      </c>
      <c r="I43" t="s">
        <v>326</v>
      </c>
      <c r="J43" t="s">
        <v>336</v>
      </c>
      <c r="K43" t="s">
        <v>329</v>
      </c>
      <c r="L43" t="s">
        <v>328</v>
      </c>
      <c r="M43" t="s">
        <v>325</v>
      </c>
      <c r="N43" t="s">
        <v>332</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379</v>
      </c>
      <c r="F44">
        <v>43</v>
      </c>
      <c r="G44" t="s">
        <v>339</v>
      </c>
      <c r="H44" t="s">
        <v>330</v>
      </c>
      <c r="I44" t="s">
        <v>325</v>
      </c>
      <c r="J44" t="s">
        <v>336</v>
      </c>
      <c r="K44" t="s">
        <v>329</v>
      </c>
      <c r="L44" t="s">
        <v>328</v>
      </c>
      <c r="M44" t="s">
        <v>331</v>
      </c>
      <c r="N44" t="s">
        <v>327</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380</v>
      </c>
      <c r="F45">
        <v>44</v>
      </c>
      <c r="G45" t="s">
        <v>339</v>
      </c>
      <c r="H45" t="s">
        <v>330</v>
      </c>
      <c r="I45" t="s">
        <v>325</v>
      </c>
      <c r="J45" t="s">
        <v>336</v>
      </c>
      <c r="K45" t="s">
        <v>329</v>
      </c>
      <c r="L45" t="s">
        <v>328</v>
      </c>
      <c r="M45" t="s">
        <v>327</v>
      </c>
      <c r="N45" t="s">
        <v>332</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381</v>
      </c>
      <c r="F46">
        <v>45</v>
      </c>
      <c r="G46" t="s">
        <v>339</v>
      </c>
      <c r="H46" t="s">
        <v>330</v>
      </c>
      <c r="I46" t="s">
        <v>326</v>
      </c>
      <c r="J46" t="s">
        <v>336</v>
      </c>
      <c r="K46" t="s">
        <v>329</v>
      </c>
      <c r="L46" t="s">
        <v>328</v>
      </c>
      <c r="M46" t="s">
        <v>325</v>
      </c>
      <c r="N46" t="s">
        <v>327</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382</v>
      </c>
      <c r="F47">
        <v>46</v>
      </c>
      <c r="G47" t="s">
        <v>329</v>
      </c>
      <c r="H47" t="s">
        <v>326</v>
      </c>
      <c r="I47" t="s">
        <v>337</v>
      </c>
      <c r="J47" t="s">
        <v>328</v>
      </c>
      <c r="K47" t="s">
        <v>327</v>
      </c>
      <c r="L47" t="s">
        <v>330</v>
      </c>
      <c r="M47" t="s">
        <v>331</v>
      </c>
      <c r="N47" t="s">
        <v>332</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383</v>
      </c>
      <c r="F48">
        <v>47</v>
      </c>
      <c r="G48" t="s">
        <v>325</v>
      </c>
      <c r="H48" t="s">
        <v>326</v>
      </c>
      <c r="I48" t="s">
        <v>327</v>
      </c>
      <c r="J48" t="s">
        <v>337</v>
      </c>
      <c r="K48" t="s">
        <v>329</v>
      </c>
      <c r="L48" t="s">
        <v>330</v>
      </c>
      <c r="M48" t="s">
        <v>331</v>
      </c>
      <c r="N48" t="s">
        <v>332</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384</v>
      </c>
      <c r="F49">
        <v>48</v>
      </c>
      <c r="G49" t="s">
        <v>325</v>
      </c>
      <c r="H49" t="s">
        <v>326</v>
      </c>
      <c r="I49" t="s">
        <v>337</v>
      </c>
      <c r="J49" t="s">
        <v>328</v>
      </c>
      <c r="K49" t="s">
        <v>327</v>
      </c>
      <c r="L49" t="s">
        <v>329</v>
      </c>
      <c r="M49" t="s">
        <v>331</v>
      </c>
      <c r="N49" t="s">
        <v>332</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385</v>
      </c>
      <c r="F50">
        <v>49</v>
      </c>
      <c r="G50" t="s">
        <v>325</v>
      </c>
      <c r="H50" t="s">
        <v>326</v>
      </c>
      <c r="I50" t="s">
        <v>337</v>
      </c>
      <c r="J50" t="s">
        <v>328</v>
      </c>
      <c r="K50" t="s">
        <v>327</v>
      </c>
      <c r="L50" t="s">
        <v>330</v>
      </c>
      <c r="M50" t="s">
        <v>331</v>
      </c>
      <c r="N50" t="s">
        <v>332</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386</v>
      </c>
      <c r="F51">
        <v>50</v>
      </c>
      <c r="G51" t="s">
        <v>325</v>
      </c>
      <c r="H51" t="s">
        <v>326</v>
      </c>
      <c r="I51" t="s">
        <v>337</v>
      </c>
      <c r="J51" t="s">
        <v>328</v>
      </c>
      <c r="K51" t="s">
        <v>329</v>
      </c>
      <c r="L51" t="s">
        <v>330</v>
      </c>
      <c r="M51" t="s">
        <v>331</v>
      </c>
      <c r="N51" t="s">
        <v>332</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387</v>
      </c>
      <c r="F52">
        <v>51</v>
      </c>
      <c r="G52" t="s">
        <v>325</v>
      </c>
      <c r="H52" t="s">
        <v>330</v>
      </c>
      <c r="I52" t="s">
        <v>337</v>
      </c>
      <c r="J52" t="s">
        <v>328</v>
      </c>
      <c r="K52" t="s">
        <v>327</v>
      </c>
      <c r="L52" t="s">
        <v>329</v>
      </c>
      <c r="M52" t="s">
        <v>331</v>
      </c>
      <c r="N52" t="s">
        <v>332</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388</v>
      </c>
      <c r="F53">
        <v>52</v>
      </c>
      <c r="G53" t="s">
        <v>325</v>
      </c>
      <c r="H53" t="s">
        <v>326</v>
      </c>
      <c r="I53" t="s">
        <v>337</v>
      </c>
      <c r="J53" t="s">
        <v>328</v>
      </c>
      <c r="K53" t="s">
        <v>329</v>
      </c>
      <c r="L53" t="s">
        <v>330</v>
      </c>
      <c r="M53" t="s">
        <v>331</v>
      </c>
      <c r="N53" t="s">
        <v>327</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389</v>
      </c>
      <c r="F54">
        <v>53</v>
      </c>
      <c r="G54" t="s">
        <v>325</v>
      </c>
      <c r="H54" t="s">
        <v>326</v>
      </c>
      <c r="I54" t="s">
        <v>337</v>
      </c>
      <c r="J54" t="s">
        <v>328</v>
      </c>
      <c r="K54" t="s">
        <v>329</v>
      </c>
      <c r="L54" t="s">
        <v>330</v>
      </c>
      <c r="M54" t="s">
        <v>327</v>
      </c>
      <c r="N54" t="s">
        <v>332</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390</v>
      </c>
      <c r="F55">
        <v>54</v>
      </c>
      <c r="G55" t="s">
        <v>329</v>
      </c>
      <c r="H55" t="s">
        <v>326</v>
      </c>
      <c r="I55" t="s">
        <v>337</v>
      </c>
      <c r="J55" t="s">
        <v>336</v>
      </c>
      <c r="K55" t="s">
        <v>327</v>
      </c>
      <c r="L55" t="s">
        <v>330</v>
      </c>
      <c r="M55" t="s">
        <v>331</v>
      </c>
      <c r="N55" t="s">
        <v>332</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391</v>
      </c>
      <c r="F56">
        <v>55</v>
      </c>
      <c r="G56" t="s">
        <v>329</v>
      </c>
      <c r="H56" t="s">
        <v>326</v>
      </c>
      <c r="I56" t="s">
        <v>337</v>
      </c>
      <c r="J56" t="s">
        <v>336</v>
      </c>
      <c r="K56" t="s">
        <v>327</v>
      </c>
      <c r="L56" t="s">
        <v>328</v>
      </c>
      <c r="M56" t="s">
        <v>331</v>
      </c>
      <c r="N56" t="s">
        <v>332</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392</v>
      </c>
      <c r="F57">
        <v>56</v>
      </c>
      <c r="G57" t="s">
        <v>327</v>
      </c>
      <c r="H57" t="s">
        <v>330</v>
      </c>
      <c r="I57" t="s">
        <v>337</v>
      </c>
      <c r="J57" t="s">
        <v>336</v>
      </c>
      <c r="K57" t="s">
        <v>326</v>
      </c>
      <c r="L57" t="s">
        <v>328</v>
      </c>
      <c r="M57" t="s">
        <v>331</v>
      </c>
      <c r="N57" t="s">
        <v>332</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393</v>
      </c>
      <c r="F58">
        <v>57</v>
      </c>
      <c r="G58" t="s">
        <v>329</v>
      </c>
      <c r="H58" t="s">
        <v>330</v>
      </c>
      <c r="I58" t="s">
        <v>337</v>
      </c>
      <c r="J58" t="s">
        <v>336</v>
      </c>
      <c r="K58" t="s">
        <v>326</v>
      </c>
      <c r="L58" t="s">
        <v>328</v>
      </c>
      <c r="M58" t="s">
        <v>331</v>
      </c>
      <c r="N58" t="s">
        <v>332</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394</v>
      </c>
      <c r="F59">
        <v>58</v>
      </c>
      <c r="G59" t="s">
        <v>329</v>
      </c>
      <c r="H59" t="s">
        <v>330</v>
      </c>
      <c r="I59" t="s">
        <v>337</v>
      </c>
      <c r="J59" t="s">
        <v>336</v>
      </c>
      <c r="K59" t="s">
        <v>327</v>
      </c>
      <c r="L59" t="s">
        <v>328</v>
      </c>
      <c r="M59" t="s">
        <v>331</v>
      </c>
      <c r="N59" t="s">
        <v>332</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395</v>
      </c>
      <c r="F60">
        <v>59</v>
      </c>
      <c r="G60" t="s">
        <v>329</v>
      </c>
      <c r="H60" t="s">
        <v>330</v>
      </c>
      <c r="I60" t="s">
        <v>337</v>
      </c>
      <c r="J60" t="s">
        <v>336</v>
      </c>
      <c r="K60" t="s">
        <v>326</v>
      </c>
      <c r="L60" t="s">
        <v>328</v>
      </c>
      <c r="M60" t="s">
        <v>331</v>
      </c>
      <c r="N60" t="s">
        <v>327</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396</v>
      </c>
      <c r="F61">
        <v>60</v>
      </c>
      <c r="G61" t="s">
        <v>329</v>
      </c>
      <c r="H61" t="s">
        <v>330</v>
      </c>
      <c r="I61" t="s">
        <v>337</v>
      </c>
      <c r="J61" t="s">
        <v>336</v>
      </c>
      <c r="K61" t="s">
        <v>326</v>
      </c>
      <c r="L61" t="s">
        <v>328</v>
      </c>
      <c r="M61" t="s">
        <v>327</v>
      </c>
      <c r="N61" t="s">
        <v>332</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397</v>
      </c>
      <c r="F62">
        <v>61</v>
      </c>
      <c r="G62" t="s">
        <v>325</v>
      </c>
      <c r="H62" t="s">
        <v>326</v>
      </c>
      <c r="I62" t="s">
        <v>337</v>
      </c>
      <c r="J62" t="s">
        <v>336</v>
      </c>
      <c r="K62" t="s">
        <v>327</v>
      </c>
      <c r="L62" t="s">
        <v>329</v>
      </c>
      <c r="M62" t="s">
        <v>331</v>
      </c>
      <c r="N62" t="s">
        <v>332</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398</v>
      </c>
      <c r="F63">
        <v>62</v>
      </c>
      <c r="G63" t="s">
        <v>325</v>
      </c>
      <c r="H63" t="s">
        <v>326</v>
      </c>
      <c r="I63" t="s">
        <v>337</v>
      </c>
      <c r="J63" t="s">
        <v>336</v>
      </c>
      <c r="K63" t="s">
        <v>327</v>
      </c>
      <c r="L63" t="s">
        <v>330</v>
      </c>
      <c r="M63" t="s">
        <v>331</v>
      </c>
      <c r="N63" t="s">
        <v>332</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399</v>
      </c>
      <c r="F64">
        <v>63</v>
      </c>
      <c r="G64" t="s">
        <v>325</v>
      </c>
      <c r="H64" t="s">
        <v>326</v>
      </c>
      <c r="I64" t="s">
        <v>337</v>
      </c>
      <c r="J64" t="s">
        <v>336</v>
      </c>
      <c r="K64" t="s">
        <v>329</v>
      </c>
      <c r="L64" t="s">
        <v>330</v>
      </c>
      <c r="M64" t="s">
        <v>331</v>
      </c>
      <c r="N64" t="s">
        <v>332</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400</v>
      </c>
      <c r="F65">
        <v>64</v>
      </c>
      <c r="G65" t="s">
        <v>325</v>
      </c>
      <c r="H65" t="s">
        <v>330</v>
      </c>
      <c r="I65" t="s">
        <v>337</v>
      </c>
      <c r="J65" t="s">
        <v>336</v>
      </c>
      <c r="K65" t="s">
        <v>327</v>
      </c>
      <c r="L65" t="s">
        <v>329</v>
      </c>
      <c r="M65" t="s">
        <v>331</v>
      </c>
      <c r="N65" t="s">
        <v>332</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401</v>
      </c>
      <c r="F66">
        <v>65</v>
      </c>
      <c r="G66" t="s">
        <v>325</v>
      </c>
      <c r="H66" t="s">
        <v>326</v>
      </c>
      <c r="I66" t="s">
        <v>337</v>
      </c>
      <c r="J66" t="s">
        <v>336</v>
      </c>
      <c r="K66" t="s">
        <v>329</v>
      </c>
      <c r="L66" t="s">
        <v>330</v>
      </c>
      <c r="M66" t="s">
        <v>331</v>
      </c>
      <c r="N66" t="s">
        <v>327</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402</v>
      </c>
      <c r="F67">
        <v>66</v>
      </c>
      <c r="G67" t="s">
        <v>325</v>
      </c>
      <c r="H67" t="s">
        <v>326</v>
      </c>
      <c r="I67" t="s">
        <v>337</v>
      </c>
      <c r="J67" t="s">
        <v>336</v>
      </c>
      <c r="K67" t="s">
        <v>329</v>
      </c>
      <c r="L67" t="s">
        <v>330</v>
      </c>
      <c r="M67" t="s">
        <v>327</v>
      </c>
      <c r="N67" t="s">
        <v>332</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403</v>
      </c>
      <c r="F68">
        <v>67</v>
      </c>
      <c r="G68" t="s">
        <v>325</v>
      </c>
      <c r="H68" t="s">
        <v>326</v>
      </c>
      <c r="I68" t="s">
        <v>337</v>
      </c>
      <c r="J68" t="s">
        <v>336</v>
      </c>
      <c r="K68" t="s">
        <v>327</v>
      </c>
      <c r="L68" t="s">
        <v>328</v>
      </c>
      <c r="M68" t="s">
        <v>331</v>
      </c>
      <c r="N68" t="s">
        <v>332</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404</v>
      </c>
      <c r="F69">
        <v>68</v>
      </c>
      <c r="G69" t="s">
        <v>325</v>
      </c>
      <c r="H69" t="s">
        <v>326</v>
      </c>
      <c r="I69" t="s">
        <v>337</v>
      </c>
      <c r="J69" t="s">
        <v>336</v>
      </c>
      <c r="K69" t="s">
        <v>329</v>
      </c>
      <c r="L69" t="s">
        <v>328</v>
      </c>
      <c r="M69" t="s">
        <v>331</v>
      </c>
      <c r="N69" t="s">
        <v>332</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405</v>
      </c>
      <c r="F70">
        <v>69</v>
      </c>
      <c r="G70" t="s">
        <v>325</v>
      </c>
      <c r="H70" t="s">
        <v>327</v>
      </c>
      <c r="I70" t="s">
        <v>337</v>
      </c>
      <c r="J70" t="s">
        <v>336</v>
      </c>
      <c r="K70" t="s">
        <v>329</v>
      </c>
      <c r="L70" t="s">
        <v>328</v>
      </c>
      <c r="M70" t="s">
        <v>331</v>
      </c>
      <c r="N70" t="s">
        <v>332</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406</v>
      </c>
      <c r="F71">
        <v>70</v>
      </c>
      <c r="G71" t="s">
        <v>325</v>
      </c>
      <c r="H71" t="s">
        <v>326</v>
      </c>
      <c r="I71" t="s">
        <v>337</v>
      </c>
      <c r="J71" t="s">
        <v>336</v>
      </c>
      <c r="K71" t="s">
        <v>329</v>
      </c>
      <c r="L71" t="s">
        <v>328</v>
      </c>
      <c r="M71" t="s">
        <v>331</v>
      </c>
      <c r="N71" t="s">
        <v>327</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407</v>
      </c>
      <c r="F72">
        <v>71</v>
      </c>
      <c r="G72" t="s">
        <v>325</v>
      </c>
      <c r="H72" t="s">
        <v>326</v>
      </c>
      <c r="I72" t="s">
        <v>337</v>
      </c>
      <c r="J72" t="s">
        <v>336</v>
      </c>
      <c r="K72" t="s">
        <v>329</v>
      </c>
      <c r="L72" t="s">
        <v>328</v>
      </c>
      <c r="M72" t="s">
        <v>327</v>
      </c>
      <c r="N72" t="s">
        <v>332</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408</v>
      </c>
      <c r="F73">
        <v>72</v>
      </c>
      <c r="G73" t="s">
        <v>325</v>
      </c>
      <c r="H73" t="s">
        <v>330</v>
      </c>
      <c r="I73" t="s">
        <v>337</v>
      </c>
      <c r="J73" t="s">
        <v>336</v>
      </c>
      <c r="K73" t="s">
        <v>326</v>
      </c>
      <c r="L73" t="s">
        <v>328</v>
      </c>
      <c r="M73" t="s">
        <v>331</v>
      </c>
      <c r="N73" t="s">
        <v>332</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409</v>
      </c>
      <c r="F74">
        <v>73</v>
      </c>
      <c r="G74" t="s">
        <v>325</v>
      </c>
      <c r="H74" t="s">
        <v>330</v>
      </c>
      <c r="I74" t="s">
        <v>337</v>
      </c>
      <c r="J74" t="s">
        <v>336</v>
      </c>
      <c r="K74" t="s">
        <v>327</v>
      </c>
      <c r="L74" t="s">
        <v>328</v>
      </c>
      <c r="M74" t="s">
        <v>331</v>
      </c>
      <c r="N74" t="s">
        <v>332</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410</v>
      </c>
      <c r="F75">
        <v>74</v>
      </c>
      <c r="G75" t="s">
        <v>325</v>
      </c>
      <c r="H75" t="s">
        <v>330</v>
      </c>
      <c r="I75" t="s">
        <v>337</v>
      </c>
      <c r="J75" t="s">
        <v>336</v>
      </c>
      <c r="K75" t="s">
        <v>326</v>
      </c>
      <c r="L75" t="s">
        <v>328</v>
      </c>
      <c r="M75" t="s">
        <v>331</v>
      </c>
      <c r="N75" t="s">
        <v>327</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411</v>
      </c>
      <c r="F76">
        <v>75</v>
      </c>
      <c r="G76" t="s">
        <v>325</v>
      </c>
      <c r="H76" t="s">
        <v>330</v>
      </c>
      <c r="I76" t="s">
        <v>337</v>
      </c>
      <c r="J76" t="s">
        <v>336</v>
      </c>
      <c r="K76" t="s">
        <v>326</v>
      </c>
      <c r="L76" t="s">
        <v>328</v>
      </c>
      <c r="M76" t="s">
        <v>327</v>
      </c>
      <c r="N76" t="s">
        <v>332</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412</v>
      </c>
      <c r="F77">
        <v>76</v>
      </c>
      <c r="G77" t="s">
        <v>325</v>
      </c>
      <c r="H77" t="s">
        <v>330</v>
      </c>
      <c r="I77" t="s">
        <v>337</v>
      </c>
      <c r="J77" t="s">
        <v>336</v>
      </c>
      <c r="K77" t="s">
        <v>329</v>
      </c>
      <c r="L77" t="s">
        <v>328</v>
      </c>
      <c r="M77" t="s">
        <v>331</v>
      </c>
      <c r="N77" t="s">
        <v>332</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413</v>
      </c>
      <c r="F78">
        <v>77</v>
      </c>
      <c r="G78" t="s">
        <v>329</v>
      </c>
      <c r="H78" t="s">
        <v>330</v>
      </c>
      <c r="I78" t="s">
        <v>337</v>
      </c>
      <c r="J78" t="s">
        <v>336</v>
      </c>
      <c r="K78" t="s">
        <v>326</v>
      </c>
      <c r="L78" t="s">
        <v>328</v>
      </c>
      <c r="M78" t="s">
        <v>331</v>
      </c>
      <c r="N78" t="s">
        <v>325</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414</v>
      </c>
      <c r="F79">
        <v>78</v>
      </c>
      <c r="G79" t="s">
        <v>329</v>
      </c>
      <c r="H79" t="s">
        <v>330</v>
      </c>
      <c r="I79" t="s">
        <v>337</v>
      </c>
      <c r="J79" t="s">
        <v>336</v>
      </c>
      <c r="K79" t="s">
        <v>326</v>
      </c>
      <c r="L79" t="s">
        <v>328</v>
      </c>
      <c r="M79" t="s">
        <v>325</v>
      </c>
      <c r="N79" t="s">
        <v>332</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415</v>
      </c>
      <c r="F80">
        <v>79</v>
      </c>
      <c r="G80" t="s">
        <v>325</v>
      </c>
      <c r="H80" t="s">
        <v>330</v>
      </c>
      <c r="I80" t="s">
        <v>337</v>
      </c>
      <c r="J80" t="s">
        <v>336</v>
      </c>
      <c r="K80" t="s">
        <v>329</v>
      </c>
      <c r="L80" t="s">
        <v>328</v>
      </c>
      <c r="M80" t="s">
        <v>331</v>
      </c>
      <c r="N80" t="s">
        <v>327</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416</v>
      </c>
      <c r="F81">
        <v>80</v>
      </c>
      <c r="G81" t="s">
        <v>325</v>
      </c>
      <c r="H81" t="s">
        <v>330</v>
      </c>
      <c r="I81" t="s">
        <v>337</v>
      </c>
      <c r="J81" t="s">
        <v>336</v>
      </c>
      <c r="K81" t="s">
        <v>329</v>
      </c>
      <c r="L81" t="s">
        <v>328</v>
      </c>
      <c r="M81" t="s">
        <v>327</v>
      </c>
      <c r="N81" t="s">
        <v>332</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417</v>
      </c>
      <c r="F82">
        <v>81</v>
      </c>
      <c r="G82" t="s">
        <v>329</v>
      </c>
      <c r="H82" t="s">
        <v>330</v>
      </c>
      <c r="I82" t="s">
        <v>337</v>
      </c>
      <c r="J82" t="s">
        <v>336</v>
      </c>
      <c r="K82" t="s">
        <v>326</v>
      </c>
      <c r="L82" t="s">
        <v>328</v>
      </c>
      <c r="M82" t="s">
        <v>325</v>
      </c>
      <c r="N82" t="s">
        <v>327</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418</v>
      </c>
      <c r="F83">
        <v>82</v>
      </c>
      <c r="G83" t="s">
        <v>329</v>
      </c>
      <c r="H83" t="s">
        <v>326</v>
      </c>
      <c r="I83" t="s">
        <v>337</v>
      </c>
      <c r="J83" t="s">
        <v>339</v>
      </c>
      <c r="K83" t="s">
        <v>327</v>
      </c>
      <c r="L83" t="s">
        <v>330</v>
      </c>
      <c r="M83" t="s">
        <v>331</v>
      </c>
      <c r="N83" t="s">
        <v>332</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419</v>
      </c>
      <c r="F84">
        <v>83</v>
      </c>
      <c r="G84" t="s">
        <v>329</v>
      </c>
      <c r="H84" t="s">
        <v>326</v>
      </c>
      <c r="I84" t="s">
        <v>337</v>
      </c>
      <c r="J84" t="s">
        <v>339</v>
      </c>
      <c r="K84" t="s">
        <v>327</v>
      </c>
      <c r="L84" t="s">
        <v>328</v>
      </c>
      <c r="M84" t="s">
        <v>331</v>
      </c>
      <c r="N84" t="s">
        <v>332</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420</v>
      </c>
      <c r="F85">
        <v>84</v>
      </c>
      <c r="G85" t="s">
        <v>327</v>
      </c>
      <c r="H85" t="s">
        <v>330</v>
      </c>
      <c r="I85" t="s">
        <v>337</v>
      </c>
      <c r="J85" t="s">
        <v>339</v>
      </c>
      <c r="K85" t="s">
        <v>326</v>
      </c>
      <c r="L85" t="s">
        <v>328</v>
      </c>
      <c r="M85" t="s">
        <v>331</v>
      </c>
      <c r="N85" t="s">
        <v>332</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421</v>
      </c>
      <c r="F86">
        <v>85</v>
      </c>
      <c r="G86" t="s">
        <v>329</v>
      </c>
      <c r="H86" t="s">
        <v>330</v>
      </c>
      <c r="I86" t="s">
        <v>337</v>
      </c>
      <c r="J86" t="s">
        <v>339</v>
      </c>
      <c r="K86" t="s">
        <v>326</v>
      </c>
      <c r="L86" t="s">
        <v>328</v>
      </c>
      <c r="M86" t="s">
        <v>331</v>
      </c>
      <c r="N86" t="s">
        <v>332</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422</v>
      </c>
      <c r="F87">
        <v>86</v>
      </c>
      <c r="G87" t="s">
        <v>329</v>
      </c>
      <c r="H87" t="s">
        <v>330</v>
      </c>
      <c r="I87" t="s">
        <v>337</v>
      </c>
      <c r="J87" t="s">
        <v>339</v>
      </c>
      <c r="K87" t="s">
        <v>327</v>
      </c>
      <c r="L87" t="s">
        <v>328</v>
      </c>
      <c r="M87" t="s">
        <v>331</v>
      </c>
      <c r="N87" t="s">
        <v>332</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423</v>
      </c>
      <c r="F88">
        <v>87</v>
      </c>
      <c r="G88" t="s">
        <v>329</v>
      </c>
      <c r="H88" t="s">
        <v>330</v>
      </c>
      <c r="I88" t="s">
        <v>337</v>
      </c>
      <c r="J88" t="s">
        <v>339</v>
      </c>
      <c r="K88" t="s">
        <v>326</v>
      </c>
      <c r="L88" t="s">
        <v>328</v>
      </c>
      <c r="M88" t="s">
        <v>331</v>
      </c>
      <c r="N88" t="s">
        <v>327</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424</v>
      </c>
      <c r="F89">
        <v>88</v>
      </c>
      <c r="G89" t="s">
        <v>329</v>
      </c>
      <c r="H89" t="s">
        <v>330</v>
      </c>
      <c r="I89" t="s">
        <v>337</v>
      </c>
      <c r="J89" t="s">
        <v>339</v>
      </c>
      <c r="K89" t="s">
        <v>326</v>
      </c>
      <c r="L89" t="s">
        <v>328</v>
      </c>
      <c r="M89" t="s">
        <v>327</v>
      </c>
      <c r="N89" t="s">
        <v>332</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425</v>
      </c>
      <c r="F90">
        <v>89</v>
      </c>
      <c r="G90" t="s">
        <v>325</v>
      </c>
      <c r="H90" t="s">
        <v>326</v>
      </c>
      <c r="I90" t="s">
        <v>337</v>
      </c>
      <c r="J90" t="s">
        <v>339</v>
      </c>
      <c r="K90" t="s">
        <v>327</v>
      </c>
      <c r="L90" t="s">
        <v>329</v>
      </c>
      <c r="M90" t="s">
        <v>331</v>
      </c>
      <c r="N90" t="s">
        <v>332</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426</v>
      </c>
      <c r="F91">
        <v>90</v>
      </c>
      <c r="G91" t="s">
        <v>325</v>
      </c>
      <c r="H91" t="s">
        <v>326</v>
      </c>
      <c r="I91" t="s">
        <v>337</v>
      </c>
      <c r="J91" t="s">
        <v>339</v>
      </c>
      <c r="K91" t="s">
        <v>327</v>
      </c>
      <c r="L91" t="s">
        <v>330</v>
      </c>
      <c r="M91" t="s">
        <v>331</v>
      </c>
      <c r="N91" t="s">
        <v>332</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427</v>
      </c>
      <c r="F92">
        <v>91</v>
      </c>
      <c r="G92" t="s">
        <v>325</v>
      </c>
      <c r="H92" t="s">
        <v>326</v>
      </c>
      <c r="I92" t="s">
        <v>337</v>
      </c>
      <c r="J92" t="s">
        <v>339</v>
      </c>
      <c r="K92" t="s">
        <v>329</v>
      </c>
      <c r="L92" t="s">
        <v>330</v>
      </c>
      <c r="M92" t="s">
        <v>331</v>
      </c>
      <c r="N92" t="s">
        <v>332</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428</v>
      </c>
      <c r="F93">
        <v>92</v>
      </c>
      <c r="G93" t="s">
        <v>325</v>
      </c>
      <c r="H93" t="s">
        <v>330</v>
      </c>
      <c r="I93" t="s">
        <v>337</v>
      </c>
      <c r="J93" t="s">
        <v>339</v>
      </c>
      <c r="K93" t="s">
        <v>327</v>
      </c>
      <c r="L93" t="s">
        <v>329</v>
      </c>
      <c r="M93" t="s">
        <v>331</v>
      </c>
      <c r="N93" t="s">
        <v>332</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429</v>
      </c>
      <c r="F94">
        <v>93</v>
      </c>
      <c r="G94" t="s">
        <v>325</v>
      </c>
      <c r="H94" t="s">
        <v>326</v>
      </c>
      <c r="I94" t="s">
        <v>337</v>
      </c>
      <c r="J94" t="s">
        <v>339</v>
      </c>
      <c r="K94" t="s">
        <v>329</v>
      </c>
      <c r="L94" t="s">
        <v>330</v>
      </c>
      <c r="M94" t="s">
        <v>331</v>
      </c>
      <c r="N94" t="s">
        <v>327</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430</v>
      </c>
      <c r="F95">
        <v>94</v>
      </c>
      <c r="G95" t="s">
        <v>325</v>
      </c>
      <c r="H95" t="s">
        <v>326</v>
      </c>
      <c r="I95" t="s">
        <v>337</v>
      </c>
      <c r="J95" t="s">
        <v>339</v>
      </c>
      <c r="K95" t="s">
        <v>329</v>
      </c>
      <c r="L95" t="s">
        <v>330</v>
      </c>
      <c r="M95" t="s">
        <v>327</v>
      </c>
      <c r="N95" t="s">
        <v>332</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431</v>
      </c>
      <c r="F96">
        <v>95</v>
      </c>
      <c r="G96" t="s">
        <v>325</v>
      </c>
      <c r="H96" t="s">
        <v>326</v>
      </c>
      <c r="I96" t="s">
        <v>337</v>
      </c>
      <c r="J96" t="s">
        <v>339</v>
      </c>
      <c r="K96" t="s">
        <v>327</v>
      </c>
      <c r="L96" t="s">
        <v>328</v>
      </c>
      <c r="M96" t="s">
        <v>331</v>
      </c>
      <c r="N96" t="s">
        <v>332</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432</v>
      </c>
      <c r="F97">
        <v>96</v>
      </c>
      <c r="G97" t="s">
        <v>325</v>
      </c>
      <c r="H97" t="s">
        <v>326</v>
      </c>
      <c r="I97" t="s">
        <v>337</v>
      </c>
      <c r="J97" t="s">
        <v>339</v>
      </c>
      <c r="K97" t="s">
        <v>329</v>
      </c>
      <c r="L97" t="s">
        <v>328</v>
      </c>
      <c r="M97" t="s">
        <v>331</v>
      </c>
      <c r="N97" t="s">
        <v>332</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433</v>
      </c>
      <c r="F98">
        <v>97</v>
      </c>
      <c r="G98" t="s">
        <v>325</v>
      </c>
      <c r="H98" t="s">
        <v>327</v>
      </c>
      <c r="I98" t="s">
        <v>337</v>
      </c>
      <c r="J98" t="s">
        <v>339</v>
      </c>
      <c r="K98" t="s">
        <v>329</v>
      </c>
      <c r="L98" t="s">
        <v>328</v>
      </c>
      <c r="M98" t="s">
        <v>331</v>
      </c>
      <c r="N98" t="s">
        <v>332</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434</v>
      </c>
      <c r="F99">
        <v>98</v>
      </c>
      <c r="G99" t="s">
        <v>325</v>
      </c>
      <c r="H99" t="s">
        <v>326</v>
      </c>
      <c r="I99" t="s">
        <v>337</v>
      </c>
      <c r="J99" t="s">
        <v>339</v>
      </c>
      <c r="K99" t="s">
        <v>329</v>
      </c>
      <c r="L99" t="s">
        <v>328</v>
      </c>
      <c r="M99" t="s">
        <v>331</v>
      </c>
      <c r="N99" t="s">
        <v>327</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435</v>
      </c>
      <c r="F100">
        <v>99</v>
      </c>
      <c r="G100" t="s">
        <v>325</v>
      </c>
      <c r="H100" t="s">
        <v>326</v>
      </c>
      <c r="I100" t="s">
        <v>337</v>
      </c>
      <c r="J100" t="s">
        <v>339</v>
      </c>
      <c r="K100" t="s">
        <v>329</v>
      </c>
      <c r="L100" t="s">
        <v>328</v>
      </c>
      <c r="M100" t="s">
        <v>327</v>
      </c>
      <c r="N100" t="s">
        <v>332</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436</v>
      </c>
      <c r="F101">
        <v>100</v>
      </c>
      <c r="G101" t="s">
        <v>325</v>
      </c>
      <c r="H101" t="s">
        <v>330</v>
      </c>
      <c r="I101" t="s">
        <v>337</v>
      </c>
      <c r="J101" t="s">
        <v>339</v>
      </c>
      <c r="K101" t="s">
        <v>326</v>
      </c>
      <c r="L101" t="s">
        <v>328</v>
      </c>
      <c r="M101" t="s">
        <v>331</v>
      </c>
      <c r="N101" t="s">
        <v>332</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437</v>
      </c>
      <c r="F102">
        <v>101</v>
      </c>
      <c r="G102" t="s">
        <v>325</v>
      </c>
      <c r="H102" t="s">
        <v>330</v>
      </c>
      <c r="I102" t="s">
        <v>337</v>
      </c>
      <c r="J102" t="s">
        <v>339</v>
      </c>
      <c r="K102" t="s">
        <v>327</v>
      </c>
      <c r="L102" t="s">
        <v>328</v>
      </c>
      <c r="M102" t="s">
        <v>331</v>
      </c>
      <c r="N102" t="s">
        <v>332</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438</v>
      </c>
      <c r="F103">
        <v>102</v>
      </c>
      <c r="G103" t="s">
        <v>325</v>
      </c>
      <c r="H103" t="s">
        <v>330</v>
      </c>
      <c r="I103" t="s">
        <v>337</v>
      </c>
      <c r="J103" t="s">
        <v>339</v>
      </c>
      <c r="K103" t="s">
        <v>326</v>
      </c>
      <c r="L103" t="s">
        <v>328</v>
      </c>
      <c r="M103" t="s">
        <v>331</v>
      </c>
      <c r="N103" t="s">
        <v>327</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439</v>
      </c>
      <c r="F104">
        <v>103</v>
      </c>
      <c r="G104" t="s">
        <v>325</v>
      </c>
      <c r="H104" t="s">
        <v>330</v>
      </c>
      <c r="I104" t="s">
        <v>337</v>
      </c>
      <c r="J104" t="s">
        <v>339</v>
      </c>
      <c r="K104" t="s">
        <v>326</v>
      </c>
      <c r="L104" t="s">
        <v>328</v>
      </c>
      <c r="M104" t="s">
        <v>327</v>
      </c>
      <c r="N104" t="s">
        <v>332</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440</v>
      </c>
      <c r="F105">
        <v>104</v>
      </c>
      <c r="G105" t="s">
        <v>325</v>
      </c>
      <c r="H105" t="s">
        <v>330</v>
      </c>
      <c r="I105" t="s">
        <v>337</v>
      </c>
      <c r="J105" t="s">
        <v>339</v>
      </c>
      <c r="K105" t="s">
        <v>329</v>
      </c>
      <c r="L105" t="s">
        <v>328</v>
      </c>
      <c r="M105" t="s">
        <v>331</v>
      </c>
      <c r="N105" t="s">
        <v>332</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441</v>
      </c>
      <c r="F106">
        <v>105</v>
      </c>
      <c r="G106" t="s">
        <v>329</v>
      </c>
      <c r="H106" t="s">
        <v>330</v>
      </c>
      <c r="I106" t="s">
        <v>337</v>
      </c>
      <c r="J106" t="s">
        <v>339</v>
      </c>
      <c r="K106" t="s">
        <v>326</v>
      </c>
      <c r="L106" t="s">
        <v>328</v>
      </c>
      <c r="M106" t="s">
        <v>331</v>
      </c>
      <c r="N106" t="s">
        <v>325</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442</v>
      </c>
      <c r="F107">
        <v>106</v>
      </c>
      <c r="G107" t="s">
        <v>329</v>
      </c>
      <c r="H107" t="s">
        <v>330</v>
      </c>
      <c r="I107" t="s">
        <v>337</v>
      </c>
      <c r="J107" t="s">
        <v>339</v>
      </c>
      <c r="K107" t="s">
        <v>326</v>
      </c>
      <c r="L107" t="s">
        <v>328</v>
      </c>
      <c r="M107" t="s">
        <v>325</v>
      </c>
      <c r="N107" t="s">
        <v>332</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443</v>
      </c>
      <c r="F108">
        <v>107</v>
      </c>
      <c r="G108" t="s">
        <v>325</v>
      </c>
      <c r="H108" t="s">
        <v>330</v>
      </c>
      <c r="I108" t="s">
        <v>337</v>
      </c>
      <c r="J108" t="s">
        <v>339</v>
      </c>
      <c r="K108" t="s">
        <v>329</v>
      </c>
      <c r="L108" t="s">
        <v>328</v>
      </c>
      <c r="M108" t="s">
        <v>331</v>
      </c>
      <c r="N108" t="s">
        <v>327</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444</v>
      </c>
      <c r="F109">
        <v>108</v>
      </c>
      <c r="G109" t="s">
        <v>325</v>
      </c>
      <c r="H109" t="s">
        <v>330</v>
      </c>
      <c r="I109" t="s">
        <v>337</v>
      </c>
      <c r="J109" t="s">
        <v>339</v>
      </c>
      <c r="K109" t="s">
        <v>329</v>
      </c>
      <c r="L109" t="s">
        <v>328</v>
      </c>
      <c r="M109" t="s">
        <v>327</v>
      </c>
      <c r="N109" t="s">
        <v>332</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445</v>
      </c>
      <c r="F110">
        <v>109</v>
      </c>
      <c r="G110" t="s">
        <v>329</v>
      </c>
      <c r="H110" t="s">
        <v>330</v>
      </c>
      <c r="I110" t="s">
        <v>337</v>
      </c>
      <c r="J110" t="s">
        <v>339</v>
      </c>
      <c r="K110" t="s">
        <v>326</v>
      </c>
      <c r="L110" t="s">
        <v>328</v>
      </c>
      <c r="M110" t="s">
        <v>325</v>
      </c>
      <c r="N110" t="s">
        <v>327</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446</v>
      </c>
      <c r="F111">
        <v>110</v>
      </c>
      <c r="G111" t="s">
        <v>329</v>
      </c>
      <c r="H111" t="s">
        <v>326</v>
      </c>
      <c r="I111" t="s">
        <v>337</v>
      </c>
      <c r="J111" t="s">
        <v>339</v>
      </c>
      <c r="K111" t="s">
        <v>327</v>
      </c>
      <c r="L111" t="s">
        <v>336</v>
      </c>
      <c r="M111" t="s">
        <v>331</v>
      </c>
      <c r="N111" t="s">
        <v>332</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447</v>
      </c>
      <c r="F112">
        <v>111</v>
      </c>
      <c r="G112" t="s">
        <v>327</v>
      </c>
      <c r="H112" t="s">
        <v>330</v>
      </c>
      <c r="I112" t="s">
        <v>337</v>
      </c>
      <c r="J112" t="s">
        <v>339</v>
      </c>
      <c r="K112" t="s">
        <v>326</v>
      </c>
      <c r="L112" t="s">
        <v>336</v>
      </c>
      <c r="M112" t="s">
        <v>331</v>
      </c>
      <c r="N112" t="s">
        <v>332</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448</v>
      </c>
      <c r="F113">
        <v>112</v>
      </c>
      <c r="G113" t="s">
        <v>329</v>
      </c>
      <c r="H113" t="s">
        <v>330</v>
      </c>
      <c r="I113" t="s">
        <v>337</v>
      </c>
      <c r="J113" t="s">
        <v>339</v>
      </c>
      <c r="K113" t="s">
        <v>326</v>
      </c>
      <c r="L113" t="s">
        <v>336</v>
      </c>
      <c r="M113" t="s">
        <v>331</v>
      </c>
      <c r="N113" t="s">
        <v>332</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449</v>
      </c>
      <c r="F114">
        <v>113</v>
      </c>
      <c r="G114" t="s">
        <v>329</v>
      </c>
      <c r="H114" t="s">
        <v>330</v>
      </c>
      <c r="I114" t="s">
        <v>337</v>
      </c>
      <c r="J114" t="s">
        <v>339</v>
      </c>
      <c r="K114" t="s">
        <v>327</v>
      </c>
      <c r="L114" t="s">
        <v>336</v>
      </c>
      <c r="M114" t="s">
        <v>331</v>
      </c>
      <c r="N114" t="s">
        <v>332</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450</v>
      </c>
      <c r="F115">
        <v>114</v>
      </c>
      <c r="G115" t="s">
        <v>329</v>
      </c>
      <c r="H115" t="s">
        <v>330</v>
      </c>
      <c r="I115" t="s">
        <v>337</v>
      </c>
      <c r="J115" t="s">
        <v>339</v>
      </c>
      <c r="K115" t="s">
        <v>326</v>
      </c>
      <c r="L115" t="s">
        <v>336</v>
      </c>
      <c r="M115" t="s">
        <v>331</v>
      </c>
      <c r="N115" t="s">
        <v>327</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451</v>
      </c>
      <c r="F116">
        <v>115</v>
      </c>
      <c r="G116" t="s">
        <v>329</v>
      </c>
      <c r="H116" t="s">
        <v>330</v>
      </c>
      <c r="I116" t="s">
        <v>337</v>
      </c>
      <c r="J116" t="s">
        <v>339</v>
      </c>
      <c r="K116" t="s">
        <v>326</v>
      </c>
      <c r="L116" t="s">
        <v>336</v>
      </c>
      <c r="M116" t="s">
        <v>327</v>
      </c>
      <c r="N116" t="s">
        <v>332</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452</v>
      </c>
      <c r="F117">
        <v>116</v>
      </c>
      <c r="G117" t="s">
        <v>339</v>
      </c>
      <c r="H117" t="s">
        <v>326</v>
      </c>
      <c r="I117" t="s">
        <v>337</v>
      </c>
      <c r="J117" t="s">
        <v>336</v>
      </c>
      <c r="K117" t="s">
        <v>327</v>
      </c>
      <c r="L117" t="s">
        <v>328</v>
      </c>
      <c r="M117" t="s">
        <v>331</v>
      </c>
      <c r="N117" t="s">
        <v>332</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453</v>
      </c>
      <c r="F118">
        <v>117</v>
      </c>
      <c r="G118" t="s">
        <v>339</v>
      </c>
      <c r="H118" t="s">
        <v>326</v>
      </c>
      <c r="I118" t="s">
        <v>337</v>
      </c>
      <c r="J118" t="s">
        <v>336</v>
      </c>
      <c r="K118" t="s">
        <v>329</v>
      </c>
      <c r="L118" t="s">
        <v>328</v>
      </c>
      <c r="M118" t="s">
        <v>331</v>
      </c>
      <c r="N118" t="s">
        <v>332</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454</v>
      </c>
      <c r="F119">
        <v>118</v>
      </c>
      <c r="G119" t="s">
        <v>339</v>
      </c>
      <c r="H119" t="s">
        <v>327</v>
      </c>
      <c r="I119" t="s">
        <v>337</v>
      </c>
      <c r="J119" t="s">
        <v>336</v>
      </c>
      <c r="K119" t="s">
        <v>329</v>
      </c>
      <c r="L119" t="s">
        <v>328</v>
      </c>
      <c r="M119" t="s">
        <v>331</v>
      </c>
      <c r="N119" t="s">
        <v>332</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455</v>
      </c>
      <c r="F120">
        <v>119</v>
      </c>
      <c r="G120" t="s">
        <v>339</v>
      </c>
      <c r="H120" t="s">
        <v>326</v>
      </c>
      <c r="I120" t="s">
        <v>337</v>
      </c>
      <c r="J120" t="s">
        <v>336</v>
      </c>
      <c r="K120" t="s">
        <v>329</v>
      </c>
      <c r="L120" t="s">
        <v>328</v>
      </c>
      <c r="M120" t="s">
        <v>331</v>
      </c>
      <c r="N120" t="s">
        <v>327</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456</v>
      </c>
      <c r="F121">
        <v>120</v>
      </c>
      <c r="G121" t="s">
        <v>339</v>
      </c>
      <c r="H121" t="s">
        <v>326</v>
      </c>
      <c r="I121" t="s">
        <v>337</v>
      </c>
      <c r="J121" t="s">
        <v>336</v>
      </c>
      <c r="K121" t="s">
        <v>329</v>
      </c>
      <c r="L121" t="s">
        <v>328</v>
      </c>
      <c r="M121" t="s">
        <v>327</v>
      </c>
      <c r="N121" t="s">
        <v>332</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457</v>
      </c>
      <c r="F122">
        <v>121</v>
      </c>
      <c r="G122" t="s">
        <v>339</v>
      </c>
      <c r="H122" t="s">
        <v>330</v>
      </c>
      <c r="I122" t="s">
        <v>337</v>
      </c>
      <c r="J122" t="s">
        <v>336</v>
      </c>
      <c r="K122" t="s">
        <v>326</v>
      </c>
      <c r="L122" t="s">
        <v>328</v>
      </c>
      <c r="M122" t="s">
        <v>331</v>
      </c>
      <c r="N122" t="s">
        <v>332</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458</v>
      </c>
      <c r="F123">
        <v>122</v>
      </c>
      <c r="G123" t="s">
        <v>339</v>
      </c>
      <c r="H123" t="s">
        <v>330</v>
      </c>
      <c r="I123" t="s">
        <v>337</v>
      </c>
      <c r="J123" t="s">
        <v>336</v>
      </c>
      <c r="K123" t="s">
        <v>327</v>
      </c>
      <c r="L123" t="s">
        <v>328</v>
      </c>
      <c r="M123" t="s">
        <v>331</v>
      </c>
      <c r="N123" t="s">
        <v>332</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459</v>
      </c>
      <c r="F124">
        <v>123</v>
      </c>
      <c r="G124" t="s">
        <v>339</v>
      </c>
      <c r="H124" t="s">
        <v>330</v>
      </c>
      <c r="I124" t="s">
        <v>337</v>
      </c>
      <c r="J124" t="s">
        <v>336</v>
      </c>
      <c r="K124" t="s">
        <v>326</v>
      </c>
      <c r="L124" t="s">
        <v>328</v>
      </c>
      <c r="M124" t="s">
        <v>331</v>
      </c>
      <c r="N124" t="s">
        <v>327</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460</v>
      </c>
      <c r="F125">
        <v>124</v>
      </c>
      <c r="G125" t="s">
        <v>339</v>
      </c>
      <c r="H125" t="s">
        <v>330</v>
      </c>
      <c r="I125" t="s">
        <v>337</v>
      </c>
      <c r="J125" t="s">
        <v>336</v>
      </c>
      <c r="K125" t="s">
        <v>326</v>
      </c>
      <c r="L125" t="s">
        <v>328</v>
      </c>
      <c r="M125" t="s">
        <v>327</v>
      </c>
      <c r="N125" t="s">
        <v>332</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461</v>
      </c>
      <c r="F126">
        <v>125</v>
      </c>
      <c r="G126" t="s">
        <v>339</v>
      </c>
      <c r="H126" t="s">
        <v>330</v>
      </c>
      <c r="I126" t="s">
        <v>337</v>
      </c>
      <c r="J126" t="s">
        <v>336</v>
      </c>
      <c r="K126" t="s">
        <v>329</v>
      </c>
      <c r="L126" t="s">
        <v>328</v>
      </c>
      <c r="M126" t="s">
        <v>331</v>
      </c>
      <c r="N126" t="s">
        <v>332</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462</v>
      </c>
      <c r="F127">
        <v>126</v>
      </c>
      <c r="G127" t="s">
        <v>339</v>
      </c>
      <c r="H127" t="s">
        <v>330</v>
      </c>
      <c r="I127" t="s">
        <v>337</v>
      </c>
      <c r="J127" t="s">
        <v>336</v>
      </c>
      <c r="K127" t="s">
        <v>329</v>
      </c>
      <c r="L127" t="s">
        <v>328</v>
      </c>
      <c r="M127" t="s">
        <v>331</v>
      </c>
      <c r="N127" t="s">
        <v>326</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463</v>
      </c>
      <c r="F128">
        <v>127</v>
      </c>
      <c r="G128" t="s">
        <v>329</v>
      </c>
      <c r="H128" t="s">
        <v>330</v>
      </c>
      <c r="I128" t="s">
        <v>337</v>
      </c>
      <c r="J128" t="s">
        <v>339</v>
      </c>
      <c r="K128" t="s">
        <v>326</v>
      </c>
      <c r="L128" t="s">
        <v>328</v>
      </c>
      <c r="M128" t="s">
        <v>336</v>
      </c>
      <c r="N128" t="s">
        <v>332</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464</v>
      </c>
      <c r="F129">
        <v>128</v>
      </c>
      <c r="G129" t="s">
        <v>339</v>
      </c>
      <c r="H129" t="s">
        <v>330</v>
      </c>
      <c r="I129" t="s">
        <v>337</v>
      </c>
      <c r="J129" t="s">
        <v>336</v>
      </c>
      <c r="K129" t="s">
        <v>329</v>
      </c>
      <c r="L129" t="s">
        <v>328</v>
      </c>
      <c r="M129" t="s">
        <v>331</v>
      </c>
      <c r="N129" t="s">
        <v>327</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465</v>
      </c>
      <c r="F130">
        <v>129</v>
      </c>
      <c r="G130" t="s">
        <v>339</v>
      </c>
      <c r="H130" t="s">
        <v>330</v>
      </c>
      <c r="I130" t="s">
        <v>337</v>
      </c>
      <c r="J130" t="s">
        <v>336</v>
      </c>
      <c r="K130" t="s">
        <v>329</v>
      </c>
      <c r="L130" t="s">
        <v>328</v>
      </c>
      <c r="M130" t="s">
        <v>327</v>
      </c>
      <c r="N130" t="s">
        <v>332</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466</v>
      </c>
      <c r="F131">
        <v>130</v>
      </c>
      <c r="G131" t="s">
        <v>329</v>
      </c>
      <c r="H131" t="s">
        <v>330</v>
      </c>
      <c r="I131" t="s">
        <v>337</v>
      </c>
      <c r="J131" t="s">
        <v>339</v>
      </c>
      <c r="K131" t="s">
        <v>326</v>
      </c>
      <c r="L131" t="s">
        <v>328</v>
      </c>
      <c r="M131" t="s">
        <v>336</v>
      </c>
      <c r="N131" t="s">
        <v>327</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467</v>
      </c>
      <c r="F132">
        <v>131</v>
      </c>
      <c r="G132" t="s">
        <v>325</v>
      </c>
      <c r="H132" t="s">
        <v>326</v>
      </c>
      <c r="I132" t="s">
        <v>337</v>
      </c>
      <c r="J132" t="s">
        <v>339</v>
      </c>
      <c r="K132" t="s">
        <v>327</v>
      </c>
      <c r="L132" t="s">
        <v>336</v>
      </c>
      <c r="M132" t="s">
        <v>331</v>
      </c>
      <c r="N132" t="s">
        <v>332</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468</v>
      </c>
      <c r="F133">
        <v>132</v>
      </c>
      <c r="G133" t="s">
        <v>325</v>
      </c>
      <c r="H133" t="s">
        <v>326</v>
      </c>
      <c r="I133" t="s">
        <v>337</v>
      </c>
      <c r="J133" t="s">
        <v>339</v>
      </c>
      <c r="K133" t="s">
        <v>329</v>
      </c>
      <c r="L133" t="s">
        <v>336</v>
      </c>
      <c r="M133" t="s">
        <v>331</v>
      </c>
      <c r="N133" t="s">
        <v>332</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469</v>
      </c>
      <c r="F134">
        <v>133</v>
      </c>
      <c r="G134" t="s">
        <v>325</v>
      </c>
      <c r="H134" t="s">
        <v>327</v>
      </c>
      <c r="I134" t="s">
        <v>337</v>
      </c>
      <c r="J134" t="s">
        <v>339</v>
      </c>
      <c r="K134" t="s">
        <v>329</v>
      </c>
      <c r="L134" t="s">
        <v>336</v>
      </c>
      <c r="M134" t="s">
        <v>331</v>
      </c>
      <c r="N134" t="s">
        <v>332</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7</v>
      </c>
    </row>
    <row r="135" spans="1:25" x14ac:dyDescent="0.2">
      <c r="A135" t="s">
        <v>470</v>
      </c>
      <c r="F135">
        <v>134</v>
      </c>
      <c r="G135" t="s">
        <v>325</v>
      </c>
      <c r="H135" t="s">
        <v>326</v>
      </c>
      <c r="I135" t="s">
        <v>337</v>
      </c>
      <c r="J135" t="s">
        <v>339</v>
      </c>
      <c r="K135" t="s">
        <v>329</v>
      </c>
      <c r="L135" t="s">
        <v>336</v>
      </c>
      <c r="M135" t="s">
        <v>331</v>
      </c>
      <c r="N135" t="s">
        <v>327</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
      <c r="A136" t="s">
        <v>471</v>
      </c>
      <c r="F136">
        <v>135</v>
      </c>
      <c r="G136" t="s">
        <v>325</v>
      </c>
      <c r="H136" t="s">
        <v>326</v>
      </c>
      <c r="I136" t="s">
        <v>337</v>
      </c>
      <c r="J136" t="s">
        <v>339</v>
      </c>
      <c r="K136" t="s">
        <v>329</v>
      </c>
      <c r="L136" t="s">
        <v>336</v>
      </c>
      <c r="M136" t="s">
        <v>327</v>
      </c>
      <c r="N136" t="s">
        <v>332</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472</v>
      </c>
      <c r="F137">
        <v>136</v>
      </c>
      <c r="G137" t="s">
        <v>325</v>
      </c>
      <c r="H137" t="s">
        <v>330</v>
      </c>
      <c r="I137" t="s">
        <v>337</v>
      </c>
      <c r="J137" t="s">
        <v>339</v>
      </c>
      <c r="K137" t="s">
        <v>326</v>
      </c>
      <c r="L137" t="s">
        <v>336</v>
      </c>
      <c r="M137" t="s">
        <v>331</v>
      </c>
      <c r="N137" t="s">
        <v>332</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473</v>
      </c>
      <c r="F138">
        <v>137</v>
      </c>
      <c r="G138" t="s">
        <v>325</v>
      </c>
      <c r="H138" t="s">
        <v>330</v>
      </c>
      <c r="I138" t="s">
        <v>337</v>
      </c>
      <c r="J138" t="s">
        <v>339</v>
      </c>
      <c r="K138" t="s">
        <v>327</v>
      </c>
      <c r="L138" t="s">
        <v>336</v>
      </c>
      <c r="M138" t="s">
        <v>331</v>
      </c>
      <c r="N138" t="s">
        <v>332</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474</v>
      </c>
      <c r="F139">
        <v>138</v>
      </c>
      <c r="G139" t="s">
        <v>325</v>
      </c>
      <c r="H139" t="s">
        <v>330</v>
      </c>
      <c r="I139" t="s">
        <v>337</v>
      </c>
      <c r="J139" t="s">
        <v>339</v>
      </c>
      <c r="K139" t="s">
        <v>326</v>
      </c>
      <c r="L139" t="s">
        <v>336</v>
      </c>
      <c r="M139" t="s">
        <v>331</v>
      </c>
      <c r="N139" t="s">
        <v>327</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475</v>
      </c>
      <c r="F140">
        <v>139</v>
      </c>
      <c r="G140" t="s">
        <v>325</v>
      </c>
      <c r="H140" t="s">
        <v>330</v>
      </c>
      <c r="I140" t="s">
        <v>337</v>
      </c>
      <c r="J140" t="s">
        <v>339</v>
      </c>
      <c r="K140" t="s">
        <v>326</v>
      </c>
      <c r="L140" t="s">
        <v>336</v>
      </c>
      <c r="M140" t="s">
        <v>327</v>
      </c>
      <c r="N140" t="s">
        <v>332</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476</v>
      </c>
      <c r="F141">
        <v>140</v>
      </c>
      <c r="G141" t="s">
        <v>325</v>
      </c>
      <c r="H141" t="s">
        <v>330</v>
      </c>
      <c r="I141" t="s">
        <v>337</v>
      </c>
      <c r="J141" t="s">
        <v>339</v>
      </c>
      <c r="K141" t="s">
        <v>329</v>
      </c>
      <c r="L141" t="s">
        <v>336</v>
      </c>
      <c r="M141" t="s">
        <v>331</v>
      </c>
      <c r="N141" t="s">
        <v>332</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477</v>
      </c>
      <c r="F142">
        <v>141</v>
      </c>
      <c r="G142" t="s">
        <v>329</v>
      </c>
      <c r="H142" t="s">
        <v>330</v>
      </c>
      <c r="I142" t="s">
        <v>337</v>
      </c>
      <c r="J142" t="s">
        <v>339</v>
      </c>
      <c r="K142" t="s">
        <v>326</v>
      </c>
      <c r="L142" t="s">
        <v>336</v>
      </c>
      <c r="M142" t="s">
        <v>331</v>
      </c>
      <c r="N142" t="s">
        <v>325</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478</v>
      </c>
      <c r="F143">
        <v>142</v>
      </c>
      <c r="G143" t="s">
        <v>329</v>
      </c>
      <c r="H143" t="s">
        <v>330</v>
      </c>
      <c r="I143" t="s">
        <v>337</v>
      </c>
      <c r="J143" t="s">
        <v>339</v>
      </c>
      <c r="K143" t="s">
        <v>326</v>
      </c>
      <c r="L143" t="s">
        <v>336</v>
      </c>
      <c r="M143" t="s">
        <v>325</v>
      </c>
      <c r="N143" t="s">
        <v>332</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479</v>
      </c>
      <c r="F144">
        <v>143</v>
      </c>
      <c r="G144" t="s">
        <v>325</v>
      </c>
      <c r="H144" t="s">
        <v>330</v>
      </c>
      <c r="I144" t="s">
        <v>337</v>
      </c>
      <c r="J144" t="s">
        <v>339</v>
      </c>
      <c r="K144" t="s">
        <v>329</v>
      </c>
      <c r="L144" t="s">
        <v>336</v>
      </c>
      <c r="M144" t="s">
        <v>331</v>
      </c>
      <c r="N144" t="s">
        <v>327</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480</v>
      </c>
      <c r="F145">
        <v>144</v>
      </c>
      <c r="G145" t="s">
        <v>325</v>
      </c>
      <c r="H145" t="s">
        <v>330</v>
      </c>
      <c r="I145" t="s">
        <v>337</v>
      </c>
      <c r="J145" t="s">
        <v>339</v>
      </c>
      <c r="K145" t="s">
        <v>329</v>
      </c>
      <c r="L145" t="s">
        <v>336</v>
      </c>
      <c r="M145" t="s">
        <v>327</v>
      </c>
      <c r="N145" t="s">
        <v>332</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481</v>
      </c>
      <c r="F146">
        <v>145</v>
      </c>
      <c r="G146" t="s">
        <v>329</v>
      </c>
      <c r="H146" t="s">
        <v>330</v>
      </c>
      <c r="I146" t="s">
        <v>337</v>
      </c>
      <c r="J146" t="s">
        <v>339</v>
      </c>
      <c r="K146" t="s">
        <v>326</v>
      </c>
      <c r="L146" t="s">
        <v>336</v>
      </c>
      <c r="M146" t="s">
        <v>325</v>
      </c>
      <c r="N146" t="s">
        <v>327</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482</v>
      </c>
      <c r="F147">
        <v>146</v>
      </c>
      <c r="G147" t="s">
        <v>339</v>
      </c>
      <c r="H147" t="s">
        <v>326</v>
      </c>
      <c r="I147" t="s">
        <v>337</v>
      </c>
      <c r="J147" t="s">
        <v>336</v>
      </c>
      <c r="K147" t="s">
        <v>325</v>
      </c>
      <c r="L147" t="s">
        <v>328</v>
      </c>
      <c r="M147" t="s">
        <v>331</v>
      </c>
      <c r="N147" t="s">
        <v>332</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483</v>
      </c>
      <c r="F148">
        <v>147</v>
      </c>
      <c r="G148" t="s">
        <v>339</v>
      </c>
      <c r="H148" t="s">
        <v>325</v>
      </c>
      <c r="I148" t="s">
        <v>337</v>
      </c>
      <c r="J148" t="s">
        <v>336</v>
      </c>
      <c r="K148" t="s">
        <v>327</v>
      </c>
      <c r="L148" t="s">
        <v>328</v>
      </c>
      <c r="M148" t="s">
        <v>331</v>
      </c>
      <c r="N148" t="s">
        <v>332</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484</v>
      </c>
      <c r="F149">
        <v>148</v>
      </c>
      <c r="G149" t="s">
        <v>339</v>
      </c>
      <c r="H149" t="s">
        <v>326</v>
      </c>
      <c r="I149" t="s">
        <v>337</v>
      </c>
      <c r="J149" t="s">
        <v>336</v>
      </c>
      <c r="K149" t="s">
        <v>325</v>
      </c>
      <c r="L149" t="s">
        <v>328</v>
      </c>
      <c r="M149" t="s">
        <v>331</v>
      </c>
      <c r="N149" t="s">
        <v>327</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485</v>
      </c>
      <c r="F150">
        <v>149</v>
      </c>
      <c r="G150" t="s">
        <v>339</v>
      </c>
      <c r="H150" t="s">
        <v>326</v>
      </c>
      <c r="I150" t="s">
        <v>337</v>
      </c>
      <c r="J150" t="s">
        <v>336</v>
      </c>
      <c r="K150" t="s">
        <v>325</v>
      </c>
      <c r="L150" t="s">
        <v>328</v>
      </c>
      <c r="M150" t="s">
        <v>327</v>
      </c>
      <c r="N150" t="s">
        <v>332</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486</v>
      </c>
      <c r="F151">
        <v>150</v>
      </c>
      <c r="G151" t="s">
        <v>339</v>
      </c>
      <c r="H151" t="s">
        <v>325</v>
      </c>
      <c r="I151" t="s">
        <v>337</v>
      </c>
      <c r="J151" t="s">
        <v>336</v>
      </c>
      <c r="K151" t="s">
        <v>329</v>
      </c>
      <c r="L151" t="s">
        <v>328</v>
      </c>
      <c r="M151" t="s">
        <v>331</v>
      </c>
      <c r="N151" t="s">
        <v>332</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487</v>
      </c>
      <c r="F152">
        <v>151</v>
      </c>
      <c r="G152" t="s">
        <v>339</v>
      </c>
      <c r="H152" t="s">
        <v>326</v>
      </c>
      <c r="I152" t="s">
        <v>337</v>
      </c>
      <c r="J152" t="s">
        <v>336</v>
      </c>
      <c r="K152" t="s">
        <v>329</v>
      </c>
      <c r="L152" t="s">
        <v>328</v>
      </c>
      <c r="M152" t="s">
        <v>331</v>
      </c>
      <c r="N152" t="s">
        <v>325</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488</v>
      </c>
      <c r="F153">
        <v>152</v>
      </c>
      <c r="G153" t="s">
        <v>339</v>
      </c>
      <c r="H153" t="s">
        <v>326</v>
      </c>
      <c r="I153" t="s">
        <v>337</v>
      </c>
      <c r="J153" t="s">
        <v>336</v>
      </c>
      <c r="K153" t="s">
        <v>329</v>
      </c>
      <c r="L153" t="s">
        <v>328</v>
      </c>
      <c r="M153" t="s">
        <v>325</v>
      </c>
      <c r="N153" t="s">
        <v>332</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489</v>
      </c>
      <c r="F154">
        <v>153</v>
      </c>
      <c r="G154" t="s">
        <v>339</v>
      </c>
      <c r="H154" t="s">
        <v>325</v>
      </c>
      <c r="I154" t="s">
        <v>337</v>
      </c>
      <c r="J154" t="s">
        <v>336</v>
      </c>
      <c r="K154" t="s">
        <v>329</v>
      </c>
      <c r="L154" t="s">
        <v>328</v>
      </c>
      <c r="M154" t="s">
        <v>331</v>
      </c>
      <c r="N154" t="s">
        <v>327</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490</v>
      </c>
      <c r="F155">
        <v>154</v>
      </c>
      <c r="G155" t="s">
        <v>339</v>
      </c>
      <c r="H155" t="s">
        <v>325</v>
      </c>
      <c r="I155" t="s">
        <v>337</v>
      </c>
      <c r="J155" t="s">
        <v>336</v>
      </c>
      <c r="K155" t="s">
        <v>329</v>
      </c>
      <c r="L155" t="s">
        <v>328</v>
      </c>
      <c r="M155" t="s">
        <v>327</v>
      </c>
      <c r="N155" t="s">
        <v>332</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491</v>
      </c>
      <c r="F156">
        <v>155</v>
      </c>
      <c r="G156" t="s">
        <v>339</v>
      </c>
      <c r="H156" t="s">
        <v>326</v>
      </c>
      <c r="I156" t="s">
        <v>337</v>
      </c>
      <c r="J156" t="s">
        <v>336</v>
      </c>
      <c r="K156" t="s">
        <v>329</v>
      </c>
      <c r="L156" t="s">
        <v>328</v>
      </c>
      <c r="M156" t="s">
        <v>325</v>
      </c>
      <c r="N156" t="s">
        <v>327</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492</v>
      </c>
      <c r="F157">
        <v>156</v>
      </c>
      <c r="G157" t="s">
        <v>339</v>
      </c>
      <c r="H157" t="s">
        <v>330</v>
      </c>
      <c r="I157" t="s">
        <v>337</v>
      </c>
      <c r="J157" t="s">
        <v>336</v>
      </c>
      <c r="K157" t="s">
        <v>325</v>
      </c>
      <c r="L157" t="s">
        <v>328</v>
      </c>
      <c r="M157" t="s">
        <v>331</v>
      </c>
      <c r="N157" t="s">
        <v>332</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493</v>
      </c>
      <c r="F158">
        <v>157</v>
      </c>
      <c r="G158" t="s">
        <v>339</v>
      </c>
      <c r="H158" t="s">
        <v>330</v>
      </c>
      <c r="I158" t="s">
        <v>337</v>
      </c>
      <c r="J158" t="s">
        <v>336</v>
      </c>
      <c r="K158" t="s">
        <v>326</v>
      </c>
      <c r="L158" t="s">
        <v>328</v>
      </c>
      <c r="M158" t="s">
        <v>331</v>
      </c>
      <c r="N158" t="s">
        <v>325</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494</v>
      </c>
      <c r="F159">
        <v>158</v>
      </c>
      <c r="G159" t="s">
        <v>339</v>
      </c>
      <c r="H159" t="s">
        <v>330</v>
      </c>
      <c r="I159" t="s">
        <v>337</v>
      </c>
      <c r="J159" t="s">
        <v>336</v>
      </c>
      <c r="K159" t="s">
        <v>326</v>
      </c>
      <c r="L159" t="s">
        <v>328</v>
      </c>
      <c r="M159" t="s">
        <v>325</v>
      </c>
      <c r="N159" t="s">
        <v>332</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495</v>
      </c>
      <c r="F160">
        <v>159</v>
      </c>
      <c r="G160" t="s">
        <v>339</v>
      </c>
      <c r="H160" t="s">
        <v>330</v>
      </c>
      <c r="I160" t="s">
        <v>337</v>
      </c>
      <c r="J160" t="s">
        <v>336</v>
      </c>
      <c r="K160" t="s">
        <v>325</v>
      </c>
      <c r="L160" t="s">
        <v>328</v>
      </c>
      <c r="M160" t="s">
        <v>331</v>
      </c>
      <c r="N160" t="s">
        <v>327</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496</v>
      </c>
      <c r="F161">
        <v>160</v>
      </c>
      <c r="G161" t="s">
        <v>339</v>
      </c>
      <c r="H161" t="s">
        <v>330</v>
      </c>
      <c r="I161" t="s">
        <v>337</v>
      </c>
      <c r="J161" t="s">
        <v>336</v>
      </c>
      <c r="K161" t="s">
        <v>325</v>
      </c>
      <c r="L161" t="s">
        <v>328</v>
      </c>
      <c r="M161" t="s">
        <v>327</v>
      </c>
      <c r="N161" t="s">
        <v>332</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497</v>
      </c>
      <c r="F162">
        <v>161</v>
      </c>
      <c r="G162" t="s">
        <v>339</v>
      </c>
      <c r="H162" t="s">
        <v>330</v>
      </c>
      <c r="I162" t="s">
        <v>337</v>
      </c>
      <c r="J162" t="s">
        <v>336</v>
      </c>
      <c r="K162" t="s">
        <v>326</v>
      </c>
      <c r="L162" t="s">
        <v>328</v>
      </c>
      <c r="M162" t="s">
        <v>325</v>
      </c>
      <c r="N162" t="s">
        <v>327</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498</v>
      </c>
      <c r="F163">
        <v>162</v>
      </c>
      <c r="G163" t="s">
        <v>339</v>
      </c>
      <c r="H163" t="s">
        <v>330</v>
      </c>
      <c r="I163" t="s">
        <v>337</v>
      </c>
      <c r="J163" t="s">
        <v>336</v>
      </c>
      <c r="K163" t="s">
        <v>329</v>
      </c>
      <c r="L163" t="s">
        <v>328</v>
      </c>
      <c r="M163" t="s">
        <v>331</v>
      </c>
      <c r="N163" t="s">
        <v>325</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499</v>
      </c>
      <c r="F164">
        <v>163</v>
      </c>
      <c r="G164" t="s">
        <v>339</v>
      </c>
      <c r="H164" t="s">
        <v>330</v>
      </c>
      <c r="I164" t="s">
        <v>337</v>
      </c>
      <c r="J164" t="s">
        <v>336</v>
      </c>
      <c r="K164" t="s">
        <v>329</v>
      </c>
      <c r="L164" t="s">
        <v>328</v>
      </c>
      <c r="M164" t="s">
        <v>325</v>
      </c>
      <c r="N164" t="s">
        <v>332</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500</v>
      </c>
      <c r="F165">
        <v>164</v>
      </c>
      <c r="G165" t="s">
        <v>329</v>
      </c>
      <c r="H165" t="s">
        <v>330</v>
      </c>
      <c r="I165" t="s">
        <v>337</v>
      </c>
      <c r="J165" t="s">
        <v>339</v>
      </c>
      <c r="K165" t="s">
        <v>326</v>
      </c>
      <c r="L165" t="s">
        <v>328</v>
      </c>
      <c r="M165" t="s">
        <v>336</v>
      </c>
      <c r="N165" t="s">
        <v>325</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501</v>
      </c>
      <c r="F166">
        <v>165</v>
      </c>
      <c r="G166" t="s">
        <v>339</v>
      </c>
      <c r="H166" t="s">
        <v>330</v>
      </c>
      <c r="I166" t="s">
        <v>337</v>
      </c>
      <c r="J166" t="s">
        <v>336</v>
      </c>
      <c r="K166" t="s">
        <v>329</v>
      </c>
      <c r="L166" t="s">
        <v>328</v>
      </c>
      <c r="M166" t="s">
        <v>325</v>
      </c>
      <c r="N166" t="s">
        <v>327</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502</v>
      </c>
      <c r="F167">
        <v>166</v>
      </c>
      <c r="G167" t="s">
        <v>329</v>
      </c>
      <c r="H167" t="s">
        <v>326</v>
      </c>
      <c r="I167" t="s">
        <v>327</v>
      </c>
      <c r="J167" t="s">
        <v>328</v>
      </c>
      <c r="K167" t="s">
        <v>334</v>
      </c>
      <c r="L167" t="s">
        <v>330</v>
      </c>
      <c r="M167" t="s">
        <v>331</v>
      </c>
      <c r="N167" t="s">
        <v>332</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503</v>
      </c>
      <c r="F168">
        <v>167</v>
      </c>
      <c r="G168" t="s">
        <v>325</v>
      </c>
      <c r="H168" t="s">
        <v>326</v>
      </c>
      <c r="I168" t="s">
        <v>327</v>
      </c>
      <c r="J168" t="s">
        <v>334</v>
      </c>
      <c r="K168" t="s">
        <v>329</v>
      </c>
      <c r="L168" t="s">
        <v>330</v>
      </c>
      <c r="M168" t="s">
        <v>331</v>
      </c>
      <c r="N168" t="s">
        <v>332</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504</v>
      </c>
      <c r="F169">
        <v>168</v>
      </c>
      <c r="G169" t="s">
        <v>325</v>
      </c>
      <c r="H169" t="s">
        <v>326</v>
      </c>
      <c r="I169" t="s">
        <v>327</v>
      </c>
      <c r="J169" t="s">
        <v>328</v>
      </c>
      <c r="K169" t="s">
        <v>334</v>
      </c>
      <c r="L169" t="s">
        <v>329</v>
      </c>
      <c r="M169" t="s">
        <v>331</v>
      </c>
      <c r="N169" t="s">
        <v>332</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505</v>
      </c>
      <c r="F170">
        <v>169</v>
      </c>
      <c r="G170" t="s">
        <v>325</v>
      </c>
      <c r="H170" t="s">
        <v>326</v>
      </c>
      <c r="I170" t="s">
        <v>327</v>
      </c>
      <c r="J170" t="s">
        <v>328</v>
      </c>
      <c r="K170" t="s">
        <v>334</v>
      </c>
      <c r="L170" t="s">
        <v>330</v>
      </c>
      <c r="M170" t="s">
        <v>331</v>
      </c>
      <c r="N170" t="s">
        <v>332</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506</v>
      </c>
      <c r="F171">
        <v>170</v>
      </c>
      <c r="G171" t="s">
        <v>325</v>
      </c>
      <c r="H171" t="s">
        <v>330</v>
      </c>
      <c r="I171" t="s">
        <v>326</v>
      </c>
      <c r="J171" t="s">
        <v>328</v>
      </c>
      <c r="K171" t="s">
        <v>334</v>
      </c>
      <c r="L171" t="s">
        <v>329</v>
      </c>
      <c r="M171" t="s">
        <v>331</v>
      </c>
      <c r="N171" t="s">
        <v>332</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507</v>
      </c>
      <c r="F172">
        <v>171</v>
      </c>
      <c r="G172" t="s">
        <v>325</v>
      </c>
      <c r="H172" t="s">
        <v>330</v>
      </c>
      <c r="I172" t="s">
        <v>327</v>
      </c>
      <c r="J172" t="s">
        <v>328</v>
      </c>
      <c r="K172" t="s">
        <v>334</v>
      </c>
      <c r="L172" t="s">
        <v>329</v>
      </c>
      <c r="M172" t="s">
        <v>331</v>
      </c>
      <c r="N172" t="s">
        <v>332</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508</v>
      </c>
      <c r="F173">
        <v>172</v>
      </c>
      <c r="G173" t="s">
        <v>325</v>
      </c>
      <c r="H173" t="s">
        <v>330</v>
      </c>
      <c r="I173" t="s">
        <v>326</v>
      </c>
      <c r="J173" t="s">
        <v>328</v>
      </c>
      <c r="K173" t="s">
        <v>334</v>
      </c>
      <c r="L173" t="s">
        <v>329</v>
      </c>
      <c r="M173" t="s">
        <v>331</v>
      </c>
      <c r="N173" t="s">
        <v>327</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509</v>
      </c>
      <c r="F174">
        <v>173</v>
      </c>
      <c r="G174" t="s">
        <v>325</v>
      </c>
      <c r="H174" t="s">
        <v>330</v>
      </c>
      <c r="I174" t="s">
        <v>326</v>
      </c>
      <c r="J174" t="s">
        <v>328</v>
      </c>
      <c r="K174" t="s">
        <v>334</v>
      </c>
      <c r="L174" t="s">
        <v>329</v>
      </c>
      <c r="M174" t="s">
        <v>327</v>
      </c>
      <c r="N174" t="s">
        <v>332</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510</v>
      </c>
      <c r="F175">
        <v>174</v>
      </c>
      <c r="G175" t="s">
        <v>329</v>
      </c>
      <c r="H175" t="s">
        <v>326</v>
      </c>
      <c r="I175" t="s">
        <v>327</v>
      </c>
      <c r="J175" t="s">
        <v>336</v>
      </c>
      <c r="K175" t="s">
        <v>334</v>
      </c>
      <c r="L175" t="s">
        <v>330</v>
      </c>
      <c r="M175" t="s">
        <v>331</v>
      </c>
      <c r="N175" t="s">
        <v>332</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511</v>
      </c>
      <c r="F176">
        <v>175</v>
      </c>
      <c r="G176" t="s">
        <v>329</v>
      </c>
      <c r="H176" t="s">
        <v>326</v>
      </c>
      <c r="I176" t="s">
        <v>327</v>
      </c>
      <c r="J176" t="s">
        <v>336</v>
      </c>
      <c r="K176" t="s">
        <v>334</v>
      </c>
      <c r="L176" t="s">
        <v>328</v>
      </c>
      <c r="M176" t="s">
        <v>331</v>
      </c>
      <c r="N176" t="s">
        <v>332</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512</v>
      </c>
      <c r="F177">
        <v>176</v>
      </c>
      <c r="G177" t="s">
        <v>327</v>
      </c>
      <c r="H177" t="s">
        <v>330</v>
      </c>
      <c r="I177" t="s">
        <v>326</v>
      </c>
      <c r="J177" t="s">
        <v>336</v>
      </c>
      <c r="K177" t="s">
        <v>334</v>
      </c>
      <c r="L177" t="s">
        <v>328</v>
      </c>
      <c r="M177" t="s">
        <v>331</v>
      </c>
      <c r="N177" t="s">
        <v>332</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513</v>
      </c>
      <c r="F178">
        <v>177</v>
      </c>
      <c r="G178" t="s">
        <v>329</v>
      </c>
      <c r="H178" t="s">
        <v>330</v>
      </c>
      <c r="I178" t="s">
        <v>326</v>
      </c>
      <c r="J178" t="s">
        <v>336</v>
      </c>
      <c r="K178" t="s">
        <v>334</v>
      </c>
      <c r="L178" t="s">
        <v>328</v>
      </c>
      <c r="M178" t="s">
        <v>331</v>
      </c>
      <c r="N178" t="s">
        <v>332</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514</v>
      </c>
      <c r="F179">
        <v>178</v>
      </c>
      <c r="G179" t="s">
        <v>329</v>
      </c>
      <c r="H179" t="s">
        <v>330</v>
      </c>
      <c r="I179" t="s">
        <v>327</v>
      </c>
      <c r="J179" t="s">
        <v>336</v>
      </c>
      <c r="K179" t="s">
        <v>334</v>
      </c>
      <c r="L179" t="s">
        <v>328</v>
      </c>
      <c r="M179" t="s">
        <v>331</v>
      </c>
      <c r="N179" t="s">
        <v>332</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515</v>
      </c>
      <c r="F180">
        <v>179</v>
      </c>
      <c r="G180" t="s">
        <v>329</v>
      </c>
      <c r="H180" t="s">
        <v>330</v>
      </c>
      <c r="I180" t="s">
        <v>326</v>
      </c>
      <c r="J180" t="s">
        <v>336</v>
      </c>
      <c r="K180" t="s">
        <v>334</v>
      </c>
      <c r="L180" t="s">
        <v>328</v>
      </c>
      <c r="M180" t="s">
        <v>331</v>
      </c>
      <c r="N180" t="s">
        <v>327</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516</v>
      </c>
      <c r="F181">
        <v>180</v>
      </c>
      <c r="G181" t="s">
        <v>329</v>
      </c>
      <c r="H181" t="s">
        <v>330</v>
      </c>
      <c r="I181" t="s">
        <v>326</v>
      </c>
      <c r="J181" t="s">
        <v>336</v>
      </c>
      <c r="K181" t="s">
        <v>334</v>
      </c>
      <c r="L181" t="s">
        <v>328</v>
      </c>
      <c r="M181" t="s">
        <v>327</v>
      </c>
      <c r="N181" t="s">
        <v>332</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517</v>
      </c>
      <c r="F182">
        <v>181</v>
      </c>
      <c r="G182" t="s">
        <v>325</v>
      </c>
      <c r="H182" t="s">
        <v>326</v>
      </c>
      <c r="I182" t="s">
        <v>327</v>
      </c>
      <c r="J182" t="s">
        <v>336</v>
      </c>
      <c r="K182" t="s">
        <v>334</v>
      </c>
      <c r="L182" t="s">
        <v>329</v>
      </c>
      <c r="M182" t="s">
        <v>331</v>
      </c>
      <c r="N182" t="s">
        <v>332</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518</v>
      </c>
      <c r="F183">
        <v>182</v>
      </c>
      <c r="G183" t="s">
        <v>325</v>
      </c>
      <c r="H183" t="s">
        <v>326</v>
      </c>
      <c r="I183" t="s">
        <v>327</v>
      </c>
      <c r="J183" t="s">
        <v>336</v>
      </c>
      <c r="K183" t="s">
        <v>334</v>
      </c>
      <c r="L183" t="s">
        <v>330</v>
      </c>
      <c r="M183" t="s">
        <v>331</v>
      </c>
      <c r="N183" t="s">
        <v>332</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519</v>
      </c>
      <c r="F184">
        <v>183</v>
      </c>
      <c r="G184" t="s">
        <v>325</v>
      </c>
      <c r="H184" t="s">
        <v>330</v>
      </c>
      <c r="I184" t="s">
        <v>326</v>
      </c>
      <c r="J184" t="s">
        <v>336</v>
      </c>
      <c r="K184" t="s">
        <v>334</v>
      </c>
      <c r="L184" t="s">
        <v>329</v>
      </c>
      <c r="M184" t="s">
        <v>331</v>
      </c>
      <c r="N184" t="s">
        <v>332</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520</v>
      </c>
      <c r="F185">
        <v>184</v>
      </c>
      <c r="G185" t="s">
        <v>325</v>
      </c>
      <c r="H185" t="s">
        <v>330</v>
      </c>
      <c r="I185" t="s">
        <v>327</v>
      </c>
      <c r="J185" t="s">
        <v>336</v>
      </c>
      <c r="K185" t="s">
        <v>334</v>
      </c>
      <c r="L185" t="s">
        <v>329</v>
      </c>
      <c r="M185" t="s">
        <v>331</v>
      </c>
      <c r="N185" t="s">
        <v>332</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521</v>
      </c>
      <c r="F186">
        <v>185</v>
      </c>
      <c r="G186" t="s">
        <v>325</v>
      </c>
      <c r="H186" t="s">
        <v>330</v>
      </c>
      <c r="I186" t="s">
        <v>326</v>
      </c>
      <c r="J186" t="s">
        <v>336</v>
      </c>
      <c r="K186" t="s">
        <v>334</v>
      </c>
      <c r="L186" t="s">
        <v>329</v>
      </c>
      <c r="M186" t="s">
        <v>331</v>
      </c>
      <c r="N186" t="s">
        <v>327</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522</v>
      </c>
      <c r="F187">
        <v>186</v>
      </c>
      <c r="G187" t="s">
        <v>325</v>
      </c>
      <c r="H187" t="s">
        <v>330</v>
      </c>
      <c r="I187" t="s">
        <v>326</v>
      </c>
      <c r="J187" t="s">
        <v>336</v>
      </c>
      <c r="K187" t="s">
        <v>334</v>
      </c>
      <c r="L187" t="s">
        <v>329</v>
      </c>
      <c r="M187" t="s">
        <v>327</v>
      </c>
      <c r="N187" t="s">
        <v>332</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523</v>
      </c>
      <c r="F188">
        <v>187</v>
      </c>
      <c r="G188" t="s">
        <v>325</v>
      </c>
      <c r="H188" t="s">
        <v>326</v>
      </c>
      <c r="I188" t="s">
        <v>327</v>
      </c>
      <c r="J188" t="s">
        <v>336</v>
      </c>
      <c r="K188" t="s">
        <v>334</v>
      </c>
      <c r="L188" t="s">
        <v>328</v>
      </c>
      <c r="M188" t="s">
        <v>331</v>
      </c>
      <c r="N188" t="s">
        <v>332</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524</v>
      </c>
      <c r="F189">
        <v>188</v>
      </c>
      <c r="G189" t="s">
        <v>329</v>
      </c>
      <c r="H189" t="s">
        <v>326</v>
      </c>
      <c r="I189" t="s">
        <v>325</v>
      </c>
      <c r="J189" t="s">
        <v>336</v>
      </c>
      <c r="K189" t="s">
        <v>334</v>
      </c>
      <c r="L189" t="s">
        <v>328</v>
      </c>
      <c r="M189" t="s">
        <v>331</v>
      </c>
      <c r="N189" t="s">
        <v>332</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525</v>
      </c>
      <c r="F190">
        <v>189</v>
      </c>
      <c r="G190" t="s">
        <v>329</v>
      </c>
      <c r="H190" t="s">
        <v>325</v>
      </c>
      <c r="I190" t="s">
        <v>327</v>
      </c>
      <c r="J190" t="s">
        <v>336</v>
      </c>
      <c r="K190" t="s">
        <v>334</v>
      </c>
      <c r="L190" t="s">
        <v>328</v>
      </c>
      <c r="M190" t="s">
        <v>331</v>
      </c>
      <c r="N190" t="s">
        <v>332</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526</v>
      </c>
      <c r="F191">
        <v>190</v>
      </c>
      <c r="G191" t="s">
        <v>329</v>
      </c>
      <c r="H191" t="s">
        <v>326</v>
      </c>
      <c r="I191" t="s">
        <v>325</v>
      </c>
      <c r="J191" t="s">
        <v>336</v>
      </c>
      <c r="K191" t="s">
        <v>334</v>
      </c>
      <c r="L191" t="s">
        <v>328</v>
      </c>
      <c r="M191" t="s">
        <v>331</v>
      </c>
      <c r="N191" t="s">
        <v>327</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527</v>
      </c>
      <c r="F192">
        <v>191</v>
      </c>
      <c r="G192" t="s">
        <v>329</v>
      </c>
      <c r="H192" t="s">
        <v>326</v>
      </c>
      <c r="I192" t="s">
        <v>325</v>
      </c>
      <c r="J192" t="s">
        <v>336</v>
      </c>
      <c r="K192" t="s">
        <v>334</v>
      </c>
      <c r="L192" t="s">
        <v>328</v>
      </c>
      <c r="M192" t="s">
        <v>327</v>
      </c>
      <c r="N192" t="s">
        <v>332</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528</v>
      </c>
      <c r="F193">
        <v>192</v>
      </c>
      <c r="G193" t="s">
        <v>325</v>
      </c>
      <c r="H193" t="s">
        <v>330</v>
      </c>
      <c r="I193" t="s">
        <v>326</v>
      </c>
      <c r="J193" t="s">
        <v>336</v>
      </c>
      <c r="K193" t="s">
        <v>334</v>
      </c>
      <c r="L193" t="s">
        <v>328</v>
      </c>
      <c r="M193" t="s">
        <v>331</v>
      </c>
      <c r="N193" t="s">
        <v>332</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529</v>
      </c>
      <c r="F194">
        <v>193</v>
      </c>
      <c r="G194" t="s">
        <v>325</v>
      </c>
      <c r="H194" t="s">
        <v>330</v>
      </c>
      <c r="I194" t="s">
        <v>327</v>
      </c>
      <c r="J194" t="s">
        <v>336</v>
      </c>
      <c r="K194" t="s">
        <v>334</v>
      </c>
      <c r="L194" t="s">
        <v>328</v>
      </c>
      <c r="M194" t="s">
        <v>331</v>
      </c>
      <c r="N194" t="s">
        <v>332</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530</v>
      </c>
      <c r="F195">
        <v>194</v>
      </c>
      <c r="G195" t="s">
        <v>325</v>
      </c>
      <c r="H195" t="s">
        <v>330</v>
      </c>
      <c r="I195" t="s">
        <v>326</v>
      </c>
      <c r="J195" t="s">
        <v>336</v>
      </c>
      <c r="K195" t="s">
        <v>334</v>
      </c>
      <c r="L195" t="s">
        <v>328</v>
      </c>
      <c r="M195" t="s">
        <v>331</v>
      </c>
      <c r="N195" t="s">
        <v>327</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531</v>
      </c>
      <c r="F196">
        <v>195</v>
      </c>
      <c r="G196" t="s">
        <v>325</v>
      </c>
      <c r="H196" t="s">
        <v>330</v>
      </c>
      <c r="I196" t="s">
        <v>326</v>
      </c>
      <c r="J196" t="s">
        <v>336</v>
      </c>
      <c r="K196" t="s">
        <v>334</v>
      </c>
      <c r="L196" t="s">
        <v>328</v>
      </c>
      <c r="M196" t="s">
        <v>327</v>
      </c>
      <c r="N196" t="s">
        <v>332</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
      <c r="A197" t="s">
        <v>532</v>
      </c>
      <c r="F197">
        <v>196</v>
      </c>
      <c r="G197" t="s">
        <v>329</v>
      </c>
      <c r="H197" t="s">
        <v>330</v>
      </c>
      <c r="I197" t="s">
        <v>325</v>
      </c>
      <c r="J197" t="s">
        <v>336</v>
      </c>
      <c r="K197" t="s">
        <v>334</v>
      </c>
      <c r="L197" t="s">
        <v>328</v>
      </c>
      <c r="M197" t="s">
        <v>331</v>
      </c>
      <c r="N197" t="s">
        <v>332</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533</v>
      </c>
      <c r="F198">
        <v>197</v>
      </c>
      <c r="G198" t="s">
        <v>329</v>
      </c>
      <c r="H198" t="s">
        <v>330</v>
      </c>
      <c r="I198" t="s">
        <v>326</v>
      </c>
      <c r="J198" t="s">
        <v>336</v>
      </c>
      <c r="K198" t="s">
        <v>334</v>
      </c>
      <c r="L198" t="s">
        <v>328</v>
      </c>
      <c r="M198" t="s">
        <v>331</v>
      </c>
      <c r="N198" t="s">
        <v>325</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534</v>
      </c>
      <c r="F199">
        <v>198</v>
      </c>
      <c r="G199" t="s">
        <v>329</v>
      </c>
      <c r="H199" t="s">
        <v>330</v>
      </c>
      <c r="I199" t="s">
        <v>326</v>
      </c>
      <c r="J199" t="s">
        <v>336</v>
      </c>
      <c r="K199" t="s">
        <v>334</v>
      </c>
      <c r="L199" t="s">
        <v>328</v>
      </c>
      <c r="M199" t="s">
        <v>325</v>
      </c>
      <c r="N199" t="s">
        <v>332</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535</v>
      </c>
      <c r="F200">
        <v>199</v>
      </c>
      <c r="G200" t="s">
        <v>329</v>
      </c>
      <c r="H200" t="s">
        <v>330</v>
      </c>
      <c r="I200" t="s">
        <v>325</v>
      </c>
      <c r="J200" t="s">
        <v>336</v>
      </c>
      <c r="K200" t="s">
        <v>334</v>
      </c>
      <c r="L200" t="s">
        <v>328</v>
      </c>
      <c r="M200" t="s">
        <v>331</v>
      </c>
      <c r="N200" t="s">
        <v>327</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536</v>
      </c>
      <c r="F201">
        <v>200</v>
      </c>
      <c r="G201" t="s">
        <v>329</v>
      </c>
      <c r="H201" t="s">
        <v>330</v>
      </c>
      <c r="I201" t="s">
        <v>325</v>
      </c>
      <c r="J201" t="s">
        <v>336</v>
      </c>
      <c r="K201" t="s">
        <v>334</v>
      </c>
      <c r="L201" t="s">
        <v>328</v>
      </c>
      <c r="M201" t="s">
        <v>327</v>
      </c>
      <c r="N201" t="s">
        <v>332</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537</v>
      </c>
      <c r="F202">
        <v>201</v>
      </c>
      <c r="G202" t="s">
        <v>329</v>
      </c>
      <c r="H202" t="s">
        <v>330</v>
      </c>
      <c r="I202" t="s">
        <v>326</v>
      </c>
      <c r="J202" t="s">
        <v>336</v>
      </c>
      <c r="K202" t="s">
        <v>334</v>
      </c>
      <c r="L202" t="s">
        <v>328</v>
      </c>
      <c r="M202" t="s">
        <v>325</v>
      </c>
      <c r="N202" t="s">
        <v>327</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538</v>
      </c>
      <c r="F203">
        <v>202</v>
      </c>
      <c r="G203" t="s">
        <v>329</v>
      </c>
      <c r="H203" t="s">
        <v>326</v>
      </c>
      <c r="I203" t="s">
        <v>327</v>
      </c>
      <c r="J203" t="s">
        <v>339</v>
      </c>
      <c r="K203" t="s">
        <v>334</v>
      </c>
      <c r="L203" t="s">
        <v>330</v>
      </c>
      <c r="M203" t="s">
        <v>331</v>
      </c>
      <c r="N203" t="s">
        <v>332</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539</v>
      </c>
      <c r="F204">
        <v>203</v>
      </c>
      <c r="G204" t="s">
        <v>329</v>
      </c>
      <c r="H204" t="s">
        <v>326</v>
      </c>
      <c r="I204" t="s">
        <v>327</v>
      </c>
      <c r="J204" t="s">
        <v>339</v>
      </c>
      <c r="K204" t="s">
        <v>334</v>
      </c>
      <c r="L204" t="s">
        <v>328</v>
      </c>
      <c r="M204" t="s">
        <v>331</v>
      </c>
      <c r="N204" t="s">
        <v>332</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540</v>
      </c>
      <c r="F205">
        <v>204</v>
      </c>
      <c r="G205" t="s">
        <v>327</v>
      </c>
      <c r="H205" t="s">
        <v>330</v>
      </c>
      <c r="I205" t="s">
        <v>326</v>
      </c>
      <c r="J205" t="s">
        <v>339</v>
      </c>
      <c r="K205" t="s">
        <v>334</v>
      </c>
      <c r="L205" t="s">
        <v>328</v>
      </c>
      <c r="M205" t="s">
        <v>331</v>
      </c>
      <c r="N205" t="s">
        <v>332</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541</v>
      </c>
      <c r="F206">
        <v>205</v>
      </c>
      <c r="G206" t="s">
        <v>329</v>
      </c>
      <c r="H206" t="s">
        <v>330</v>
      </c>
      <c r="I206" t="s">
        <v>326</v>
      </c>
      <c r="J206" t="s">
        <v>339</v>
      </c>
      <c r="K206" t="s">
        <v>334</v>
      </c>
      <c r="L206" t="s">
        <v>328</v>
      </c>
      <c r="M206" t="s">
        <v>331</v>
      </c>
      <c r="N206" t="s">
        <v>332</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542</v>
      </c>
      <c r="F207">
        <v>206</v>
      </c>
      <c r="G207" t="s">
        <v>329</v>
      </c>
      <c r="H207" t="s">
        <v>330</v>
      </c>
      <c r="I207" t="s">
        <v>327</v>
      </c>
      <c r="J207" t="s">
        <v>339</v>
      </c>
      <c r="K207" t="s">
        <v>334</v>
      </c>
      <c r="L207" t="s">
        <v>328</v>
      </c>
      <c r="M207" t="s">
        <v>331</v>
      </c>
      <c r="N207" t="s">
        <v>332</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543</v>
      </c>
      <c r="F208">
        <v>207</v>
      </c>
      <c r="G208" t="s">
        <v>329</v>
      </c>
      <c r="H208" t="s">
        <v>330</v>
      </c>
      <c r="I208" t="s">
        <v>326</v>
      </c>
      <c r="J208" t="s">
        <v>339</v>
      </c>
      <c r="K208" t="s">
        <v>334</v>
      </c>
      <c r="L208" t="s">
        <v>328</v>
      </c>
      <c r="M208" t="s">
        <v>331</v>
      </c>
      <c r="N208" t="s">
        <v>327</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544</v>
      </c>
      <c r="F209">
        <v>208</v>
      </c>
      <c r="G209" t="s">
        <v>329</v>
      </c>
      <c r="H209" t="s">
        <v>330</v>
      </c>
      <c r="I209" t="s">
        <v>326</v>
      </c>
      <c r="J209" t="s">
        <v>339</v>
      </c>
      <c r="K209" t="s">
        <v>334</v>
      </c>
      <c r="L209" t="s">
        <v>328</v>
      </c>
      <c r="M209" t="s">
        <v>327</v>
      </c>
      <c r="N209" t="s">
        <v>332</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545</v>
      </c>
      <c r="F210">
        <v>209</v>
      </c>
      <c r="G210" t="s">
        <v>325</v>
      </c>
      <c r="H210" t="s">
        <v>326</v>
      </c>
      <c r="I210" t="s">
        <v>327</v>
      </c>
      <c r="J210" t="s">
        <v>339</v>
      </c>
      <c r="K210" t="s">
        <v>334</v>
      </c>
      <c r="L210" t="s">
        <v>329</v>
      </c>
      <c r="M210" t="s">
        <v>331</v>
      </c>
      <c r="N210" t="s">
        <v>332</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546</v>
      </c>
      <c r="F211">
        <v>210</v>
      </c>
      <c r="G211" t="s">
        <v>325</v>
      </c>
      <c r="H211" t="s">
        <v>326</v>
      </c>
      <c r="I211" t="s">
        <v>327</v>
      </c>
      <c r="J211" t="s">
        <v>339</v>
      </c>
      <c r="K211" t="s">
        <v>334</v>
      </c>
      <c r="L211" t="s">
        <v>330</v>
      </c>
      <c r="M211" t="s">
        <v>331</v>
      </c>
      <c r="N211" t="s">
        <v>332</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547</v>
      </c>
      <c r="F212">
        <v>211</v>
      </c>
      <c r="G212" t="s">
        <v>325</v>
      </c>
      <c r="H212" t="s">
        <v>330</v>
      </c>
      <c r="I212" t="s">
        <v>326</v>
      </c>
      <c r="J212" t="s">
        <v>339</v>
      </c>
      <c r="K212" t="s">
        <v>334</v>
      </c>
      <c r="L212" t="s">
        <v>329</v>
      </c>
      <c r="M212" t="s">
        <v>331</v>
      </c>
      <c r="N212" t="s">
        <v>332</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548</v>
      </c>
      <c r="F213">
        <v>212</v>
      </c>
      <c r="G213" t="s">
        <v>325</v>
      </c>
      <c r="H213" t="s">
        <v>330</v>
      </c>
      <c r="I213" t="s">
        <v>327</v>
      </c>
      <c r="J213" t="s">
        <v>339</v>
      </c>
      <c r="K213" t="s">
        <v>334</v>
      </c>
      <c r="L213" t="s">
        <v>329</v>
      </c>
      <c r="M213" t="s">
        <v>331</v>
      </c>
      <c r="N213" t="s">
        <v>332</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549</v>
      </c>
      <c r="F214">
        <v>213</v>
      </c>
      <c r="G214" t="s">
        <v>325</v>
      </c>
      <c r="H214" t="s">
        <v>330</v>
      </c>
      <c r="I214" t="s">
        <v>326</v>
      </c>
      <c r="J214" t="s">
        <v>339</v>
      </c>
      <c r="K214" t="s">
        <v>334</v>
      </c>
      <c r="L214" t="s">
        <v>329</v>
      </c>
      <c r="M214" t="s">
        <v>331</v>
      </c>
      <c r="N214" t="s">
        <v>327</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550</v>
      </c>
      <c r="F215">
        <v>214</v>
      </c>
      <c r="G215" t="s">
        <v>325</v>
      </c>
      <c r="H215" t="s">
        <v>330</v>
      </c>
      <c r="I215" t="s">
        <v>326</v>
      </c>
      <c r="J215" t="s">
        <v>339</v>
      </c>
      <c r="K215" t="s">
        <v>334</v>
      </c>
      <c r="L215" t="s">
        <v>329</v>
      </c>
      <c r="M215" t="s">
        <v>327</v>
      </c>
      <c r="N215" t="s">
        <v>332</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551</v>
      </c>
      <c r="F216">
        <v>215</v>
      </c>
      <c r="G216" t="s">
        <v>325</v>
      </c>
      <c r="H216" t="s">
        <v>326</v>
      </c>
      <c r="I216" t="s">
        <v>327</v>
      </c>
      <c r="J216" t="s">
        <v>339</v>
      </c>
      <c r="K216" t="s">
        <v>334</v>
      </c>
      <c r="L216" t="s">
        <v>328</v>
      </c>
      <c r="M216" t="s">
        <v>331</v>
      </c>
      <c r="N216" t="s">
        <v>332</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552</v>
      </c>
      <c r="F217">
        <v>216</v>
      </c>
      <c r="G217" t="s">
        <v>329</v>
      </c>
      <c r="H217" t="s">
        <v>326</v>
      </c>
      <c r="I217" t="s">
        <v>325</v>
      </c>
      <c r="J217" t="s">
        <v>339</v>
      </c>
      <c r="K217" t="s">
        <v>334</v>
      </c>
      <c r="L217" t="s">
        <v>328</v>
      </c>
      <c r="M217" t="s">
        <v>331</v>
      </c>
      <c r="N217" t="s">
        <v>332</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553</v>
      </c>
      <c r="F218">
        <v>217</v>
      </c>
      <c r="G218" t="s">
        <v>329</v>
      </c>
      <c r="H218" t="s">
        <v>325</v>
      </c>
      <c r="I218" t="s">
        <v>327</v>
      </c>
      <c r="J218" t="s">
        <v>339</v>
      </c>
      <c r="K218" t="s">
        <v>334</v>
      </c>
      <c r="L218" t="s">
        <v>328</v>
      </c>
      <c r="M218" t="s">
        <v>331</v>
      </c>
      <c r="N218" t="s">
        <v>332</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554</v>
      </c>
      <c r="F219">
        <v>218</v>
      </c>
      <c r="G219" t="s">
        <v>329</v>
      </c>
      <c r="H219" t="s">
        <v>326</v>
      </c>
      <c r="I219" t="s">
        <v>325</v>
      </c>
      <c r="J219" t="s">
        <v>339</v>
      </c>
      <c r="K219" t="s">
        <v>334</v>
      </c>
      <c r="L219" t="s">
        <v>328</v>
      </c>
      <c r="M219" t="s">
        <v>331</v>
      </c>
      <c r="N219" t="s">
        <v>327</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555</v>
      </c>
      <c r="F220">
        <v>219</v>
      </c>
      <c r="G220" t="s">
        <v>329</v>
      </c>
      <c r="H220" t="s">
        <v>326</v>
      </c>
      <c r="I220" t="s">
        <v>325</v>
      </c>
      <c r="J220" t="s">
        <v>339</v>
      </c>
      <c r="K220" t="s">
        <v>334</v>
      </c>
      <c r="L220" t="s">
        <v>328</v>
      </c>
      <c r="M220" t="s">
        <v>327</v>
      </c>
      <c r="N220" t="s">
        <v>332</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556</v>
      </c>
      <c r="F221">
        <v>220</v>
      </c>
      <c r="G221" t="s">
        <v>325</v>
      </c>
      <c r="H221" t="s">
        <v>330</v>
      </c>
      <c r="I221" t="s">
        <v>326</v>
      </c>
      <c r="J221" t="s">
        <v>339</v>
      </c>
      <c r="K221" t="s">
        <v>334</v>
      </c>
      <c r="L221" t="s">
        <v>328</v>
      </c>
      <c r="M221" t="s">
        <v>331</v>
      </c>
      <c r="N221" t="s">
        <v>332</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557</v>
      </c>
      <c r="F222">
        <v>221</v>
      </c>
      <c r="G222" t="s">
        <v>325</v>
      </c>
      <c r="H222" t="s">
        <v>330</v>
      </c>
      <c r="I222" t="s">
        <v>327</v>
      </c>
      <c r="J222" t="s">
        <v>339</v>
      </c>
      <c r="K222" t="s">
        <v>334</v>
      </c>
      <c r="L222" t="s">
        <v>328</v>
      </c>
      <c r="M222" t="s">
        <v>331</v>
      </c>
      <c r="N222" t="s">
        <v>332</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558</v>
      </c>
      <c r="F223">
        <v>222</v>
      </c>
      <c r="G223" t="s">
        <v>325</v>
      </c>
      <c r="H223" t="s">
        <v>330</v>
      </c>
      <c r="I223" t="s">
        <v>326</v>
      </c>
      <c r="J223" t="s">
        <v>339</v>
      </c>
      <c r="K223" t="s">
        <v>334</v>
      </c>
      <c r="L223" t="s">
        <v>328</v>
      </c>
      <c r="M223" t="s">
        <v>331</v>
      </c>
      <c r="N223" t="s">
        <v>327</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559</v>
      </c>
      <c r="F224">
        <v>223</v>
      </c>
      <c r="G224" t="s">
        <v>325</v>
      </c>
      <c r="H224" t="s">
        <v>330</v>
      </c>
      <c r="I224" t="s">
        <v>326</v>
      </c>
      <c r="J224" t="s">
        <v>339</v>
      </c>
      <c r="K224" t="s">
        <v>334</v>
      </c>
      <c r="L224" t="s">
        <v>328</v>
      </c>
      <c r="M224" t="s">
        <v>327</v>
      </c>
      <c r="N224" t="s">
        <v>332</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560</v>
      </c>
      <c r="F225">
        <v>224</v>
      </c>
      <c r="G225" t="s">
        <v>329</v>
      </c>
      <c r="H225" t="s">
        <v>330</v>
      </c>
      <c r="I225" t="s">
        <v>325</v>
      </c>
      <c r="J225" t="s">
        <v>339</v>
      </c>
      <c r="K225" t="s">
        <v>334</v>
      </c>
      <c r="L225" t="s">
        <v>328</v>
      </c>
      <c r="M225" t="s">
        <v>331</v>
      </c>
      <c r="N225" t="s">
        <v>332</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561</v>
      </c>
      <c r="F226">
        <v>225</v>
      </c>
      <c r="G226" t="s">
        <v>329</v>
      </c>
      <c r="H226" t="s">
        <v>330</v>
      </c>
      <c r="I226" t="s">
        <v>326</v>
      </c>
      <c r="J226" t="s">
        <v>339</v>
      </c>
      <c r="K226" t="s">
        <v>334</v>
      </c>
      <c r="L226" t="s">
        <v>328</v>
      </c>
      <c r="M226" t="s">
        <v>331</v>
      </c>
      <c r="N226" t="s">
        <v>325</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562</v>
      </c>
      <c r="F227">
        <v>226</v>
      </c>
      <c r="G227" t="s">
        <v>329</v>
      </c>
      <c r="H227" t="s">
        <v>330</v>
      </c>
      <c r="I227" t="s">
        <v>326</v>
      </c>
      <c r="J227" t="s">
        <v>339</v>
      </c>
      <c r="K227" t="s">
        <v>334</v>
      </c>
      <c r="L227" t="s">
        <v>328</v>
      </c>
      <c r="M227" t="s">
        <v>325</v>
      </c>
      <c r="N227" t="s">
        <v>332</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563</v>
      </c>
      <c r="F228">
        <v>227</v>
      </c>
      <c r="G228" t="s">
        <v>329</v>
      </c>
      <c r="H228" t="s">
        <v>330</v>
      </c>
      <c r="I228" t="s">
        <v>325</v>
      </c>
      <c r="J228" t="s">
        <v>339</v>
      </c>
      <c r="K228" t="s">
        <v>334</v>
      </c>
      <c r="L228" t="s">
        <v>328</v>
      </c>
      <c r="M228" t="s">
        <v>331</v>
      </c>
      <c r="N228" t="s">
        <v>327</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564</v>
      </c>
      <c r="F229">
        <v>228</v>
      </c>
      <c r="G229" t="s">
        <v>329</v>
      </c>
      <c r="H229" t="s">
        <v>330</v>
      </c>
      <c r="I229" t="s">
        <v>325</v>
      </c>
      <c r="J229" t="s">
        <v>339</v>
      </c>
      <c r="K229" t="s">
        <v>334</v>
      </c>
      <c r="L229" t="s">
        <v>328</v>
      </c>
      <c r="M229" t="s">
        <v>327</v>
      </c>
      <c r="N229" t="s">
        <v>332</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565</v>
      </c>
      <c r="F230">
        <v>229</v>
      </c>
      <c r="G230" t="s">
        <v>329</v>
      </c>
      <c r="H230" t="s">
        <v>330</v>
      </c>
      <c r="I230" t="s">
        <v>326</v>
      </c>
      <c r="J230" t="s">
        <v>339</v>
      </c>
      <c r="K230" t="s">
        <v>334</v>
      </c>
      <c r="L230" t="s">
        <v>328</v>
      </c>
      <c r="M230" t="s">
        <v>325</v>
      </c>
      <c r="N230" t="s">
        <v>327</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566</v>
      </c>
      <c r="F231">
        <v>230</v>
      </c>
      <c r="G231" t="s">
        <v>329</v>
      </c>
      <c r="H231" t="s">
        <v>326</v>
      </c>
      <c r="I231" t="s">
        <v>327</v>
      </c>
      <c r="J231" t="s">
        <v>339</v>
      </c>
      <c r="K231" t="s">
        <v>334</v>
      </c>
      <c r="L231" t="s">
        <v>336</v>
      </c>
      <c r="M231" t="s">
        <v>331</v>
      </c>
      <c r="N231" t="s">
        <v>332</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567</v>
      </c>
      <c r="F232">
        <v>231</v>
      </c>
      <c r="G232" t="s">
        <v>327</v>
      </c>
      <c r="H232" t="s">
        <v>330</v>
      </c>
      <c r="I232" t="s">
        <v>326</v>
      </c>
      <c r="J232" t="s">
        <v>339</v>
      </c>
      <c r="K232" t="s">
        <v>334</v>
      </c>
      <c r="L232" t="s">
        <v>336</v>
      </c>
      <c r="M232" t="s">
        <v>331</v>
      </c>
      <c r="N232" t="s">
        <v>332</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568</v>
      </c>
      <c r="F233">
        <v>232</v>
      </c>
      <c r="G233" t="s">
        <v>329</v>
      </c>
      <c r="H233" t="s">
        <v>330</v>
      </c>
      <c r="I233" t="s">
        <v>326</v>
      </c>
      <c r="J233" t="s">
        <v>339</v>
      </c>
      <c r="K233" t="s">
        <v>334</v>
      </c>
      <c r="L233" t="s">
        <v>336</v>
      </c>
      <c r="M233" t="s">
        <v>331</v>
      </c>
      <c r="N233" t="s">
        <v>332</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569</v>
      </c>
      <c r="F234">
        <v>233</v>
      </c>
      <c r="G234" t="s">
        <v>329</v>
      </c>
      <c r="H234" t="s">
        <v>330</v>
      </c>
      <c r="I234" t="s">
        <v>327</v>
      </c>
      <c r="J234" t="s">
        <v>339</v>
      </c>
      <c r="K234" t="s">
        <v>334</v>
      </c>
      <c r="L234" t="s">
        <v>336</v>
      </c>
      <c r="M234" t="s">
        <v>331</v>
      </c>
      <c r="N234" t="s">
        <v>332</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570</v>
      </c>
      <c r="F235">
        <v>234</v>
      </c>
      <c r="G235" t="s">
        <v>329</v>
      </c>
      <c r="H235" t="s">
        <v>330</v>
      </c>
      <c r="I235" t="s">
        <v>326</v>
      </c>
      <c r="J235" t="s">
        <v>339</v>
      </c>
      <c r="K235" t="s">
        <v>334</v>
      </c>
      <c r="L235" t="s">
        <v>336</v>
      </c>
      <c r="M235" t="s">
        <v>331</v>
      </c>
      <c r="N235" t="s">
        <v>327</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571</v>
      </c>
      <c r="F236">
        <v>235</v>
      </c>
      <c r="G236" t="s">
        <v>329</v>
      </c>
      <c r="H236" t="s">
        <v>330</v>
      </c>
      <c r="I236" t="s">
        <v>326</v>
      </c>
      <c r="J236" t="s">
        <v>339</v>
      </c>
      <c r="K236" t="s">
        <v>334</v>
      </c>
      <c r="L236" t="s">
        <v>336</v>
      </c>
      <c r="M236" t="s">
        <v>327</v>
      </c>
      <c r="N236" t="s">
        <v>332</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572</v>
      </c>
      <c r="F237">
        <v>236</v>
      </c>
      <c r="G237" t="s">
        <v>339</v>
      </c>
      <c r="H237" t="s">
        <v>326</v>
      </c>
      <c r="I237" t="s">
        <v>327</v>
      </c>
      <c r="J237" t="s">
        <v>336</v>
      </c>
      <c r="K237" t="s">
        <v>334</v>
      </c>
      <c r="L237" t="s">
        <v>328</v>
      </c>
      <c r="M237" t="s">
        <v>331</v>
      </c>
      <c r="N237" t="s">
        <v>332</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573</v>
      </c>
      <c r="F238">
        <v>237</v>
      </c>
      <c r="G238" t="s">
        <v>329</v>
      </c>
      <c r="H238" t="s">
        <v>326</v>
      </c>
      <c r="I238" t="s">
        <v>328</v>
      </c>
      <c r="J238" t="s">
        <v>339</v>
      </c>
      <c r="K238" t="s">
        <v>334</v>
      </c>
      <c r="L238" t="s">
        <v>336</v>
      </c>
      <c r="M238" t="s">
        <v>331</v>
      </c>
      <c r="N238" t="s">
        <v>332</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574</v>
      </c>
      <c r="F239">
        <v>238</v>
      </c>
      <c r="G239" t="s">
        <v>329</v>
      </c>
      <c r="H239" t="s">
        <v>328</v>
      </c>
      <c r="I239" t="s">
        <v>327</v>
      </c>
      <c r="J239" t="s">
        <v>339</v>
      </c>
      <c r="K239" t="s">
        <v>334</v>
      </c>
      <c r="L239" t="s">
        <v>336</v>
      </c>
      <c r="M239" t="s">
        <v>331</v>
      </c>
      <c r="N239" t="s">
        <v>332</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575</v>
      </c>
      <c r="F240">
        <v>239</v>
      </c>
      <c r="G240" t="s">
        <v>329</v>
      </c>
      <c r="H240" t="s">
        <v>326</v>
      </c>
      <c r="I240" t="s">
        <v>328</v>
      </c>
      <c r="J240" t="s">
        <v>339</v>
      </c>
      <c r="K240" t="s">
        <v>334</v>
      </c>
      <c r="L240" t="s">
        <v>336</v>
      </c>
      <c r="M240" t="s">
        <v>331</v>
      </c>
      <c r="N240" t="s">
        <v>327</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576</v>
      </c>
      <c r="F241">
        <v>240</v>
      </c>
      <c r="G241" t="s">
        <v>329</v>
      </c>
      <c r="H241" t="s">
        <v>326</v>
      </c>
      <c r="I241" t="s">
        <v>328</v>
      </c>
      <c r="J241" t="s">
        <v>339</v>
      </c>
      <c r="K241" t="s">
        <v>334</v>
      </c>
      <c r="L241" t="s">
        <v>336</v>
      </c>
      <c r="M241" t="s">
        <v>327</v>
      </c>
      <c r="N241" t="s">
        <v>332</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577</v>
      </c>
      <c r="F242">
        <v>241</v>
      </c>
      <c r="G242" t="s">
        <v>339</v>
      </c>
      <c r="H242" t="s">
        <v>330</v>
      </c>
      <c r="I242" t="s">
        <v>326</v>
      </c>
      <c r="J242" t="s">
        <v>336</v>
      </c>
      <c r="K242" t="s">
        <v>334</v>
      </c>
      <c r="L242" t="s">
        <v>328</v>
      </c>
      <c r="M242" t="s">
        <v>331</v>
      </c>
      <c r="N242" t="s">
        <v>332</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578</v>
      </c>
      <c r="F243">
        <v>242</v>
      </c>
      <c r="G243" t="s">
        <v>339</v>
      </c>
      <c r="H243" t="s">
        <v>330</v>
      </c>
      <c r="I243" t="s">
        <v>327</v>
      </c>
      <c r="J243" t="s">
        <v>336</v>
      </c>
      <c r="K243" t="s">
        <v>334</v>
      </c>
      <c r="L243" t="s">
        <v>328</v>
      </c>
      <c r="M243" t="s">
        <v>331</v>
      </c>
      <c r="N243" t="s">
        <v>332</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579</v>
      </c>
      <c r="F244">
        <v>243</v>
      </c>
      <c r="G244" t="s">
        <v>339</v>
      </c>
      <c r="H244" t="s">
        <v>330</v>
      </c>
      <c r="I244" t="s">
        <v>326</v>
      </c>
      <c r="J244" t="s">
        <v>336</v>
      </c>
      <c r="K244" t="s">
        <v>334</v>
      </c>
      <c r="L244" t="s">
        <v>328</v>
      </c>
      <c r="M244" t="s">
        <v>331</v>
      </c>
      <c r="N244" t="s">
        <v>327</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580</v>
      </c>
      <c r="F245">
        <v>244</v>
      </c>
      <c r="G245" t="s">
        <v>339</v>
      </c>
      <c r="H245" t="s">
        <v>330</v>
      </c>
      <c r="I245" t="s">
        <v>326</v>
      </c>
      <c r="J245" t="s">
        <v>336</v>
      </c>
      <c r="K245" t="s">
        <v>334</v>
      </c>
      <c r="L245" t="s">
        <v>328</v>
      </c>
      <c r="M245" t="s">
        <v>327</v>
      </c>
      <c r="N245" t="s">
        <v>332</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
      <c r="A246" t="s">
        <v>581</v>
      </c>
      <c r="F246">
        <v>245</v>
      </c>
      <c r="G246" t="s">
        <v>329</v>
      </c>
      <c r="H246" t="s">
        <v>330</v>
      </c>
      <c r="I246" t="s">
        <v>328</v>
      </c>
      <c r="J246" t="s">
        <v>339</v>
      </c>
      <c r="K246" t="s">
        <v>334</v>
      </c>
      <c r="L246" t="s">
        <v>336</v>
      </c>
      <c r="M246" t="s">
        <v>331</v>
      </c>
      <c r="N246" t="s">
        <v>332</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582</v>
      </c>
      <c r="F247">
        <v>246</v>
      </c>
      <c r="G247" t="s">
        <v>339</v>
      </c>
      <c r="H247" t="s">
        <v>330</v>
      </c>
      <c r="I247" t="s">
        <v>326</v>
      </c>
      <c r="J247" t="s">
        <v>336</v>
      </c>
      <c r="K247" t="s">
        <v>334</v>
      </c>
      <c r="L247" t="s">
        <v>328</v>
      </c>
      <c r="M247" t="s">
        <v>331</v>
      </c>
      <c r="N247" t="s">
        <v>329</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583</v>
      </c>
      <c r="F248">
        <v>247</v>
      </c>
      <c r="G248" t="s">
        <v>329</v>
      </c>
      <c r="H248" t="s">
        <v>330</v>
      </c>
      <c r="I248" t="s">
        <v>326</v>
      </c>
      <c r="J248" t="s">
        <v>339</v>
      </c>
      <c r="K248" t="s">
        <v>334</v>
      </c>
      <c r="L248" t="s">
        <v>328</v>
      </c>
      <c r="M248" t="s">
        <v>336</v>
      </c>
      <c r="N248" t="s">
        <v>332</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584</v>
      </c>
      <c r="F249">
        <v>248</v>
      </c>
      <c r="G249" t="s">
        <v>329</v>
      </c>
      <c r="H249" t="s">
        <v>330</v>
      </c>
      <c r="I249" t="s">
        <v>328</v>
      </c>
      <c r="J249" t="s">
        <v>339</v>
      </c>
      <c r="K249" t="s">
        <v>334</v>
      </c>
      <c r="L249" t="s">
        <v>336</v>
      </c>
      <c r="M249" t="s">
        <v>331</v>
      </c>
      <c r="N249" t="s">
        <v>327</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585</v>
      </c>
      <c r="F250">
        <v>249</v>
      </c>
      <c r="G250" t="s">
        <v>329</v>
      </c>
      <c r="H250" t="s">
        <v>330</v>
      </c>
      <c r="I250" t="s">
        <v>328</v>
      </c>
      <c r="J250" t="s">
        <v>339</v>
      </c>
      <c r="K250" t="s">
        <v>334</v>
      </c>
      <c r="L250" t="s">
        <v>336</v>
      </c>
      <c r="M250" t="s">
        <v>327</v>
      </c>
      <c r="N250" t="s">
        <v>332</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586</v>
      </c>
      <c r="F251">
        <v>250</v>
      </c>
      <c r="G251" t="s">
        <v>329</v>
      </c>
      <c r="H251" t="s">
        <v>330</v>
      </c>
      <c r="I251" t="s">
        <v>326</v>
      </c>
      <c r="J251" t="s">
        <v>339</v>
      </c>
      <c r="K251" t="s">
        <v>334</v>
      </c>
      <c r="L251" t="s">
        <v>328</v>
      </c>
      <c r="M251" t="s">
        <v>336</v>
      </c>
      <c r="N251" t="s">
        <v>327</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587</v>
      </c>
      <c r="F252">
        <v>251</v>
      </c>
      <c r="G252" t="s">
        <v>325</v>
      </c>
      <c r="H252" t="s">
        <v>326</v>
      </c>
      <c r="I252" t="s">
        <v>327</v>
      </c>
      <c r="J252" t="s">
        <v>339</v>
      </c>
      <c r="K252" t="s">
        <v>334</v>
      </c>
      <c r="L252" t="s">
        <v>336</v>
      </c>
      <c r="M252" t="s">
        <v>331</v>
      </c>
      <c r="N252" t="s">
        <v>332</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588</v>
      </c>
      <c r="F253">
        <v>252</v>
      </c>
      <c r="G253" t="s">
        <v>329</v>
      </c>
      <c r="H253" t="s">
        <v>326</v>
      </c>
      <c r="I253" t="s">
        <v>325</v>
      </c>
      <c r="J253" t="s">
        <v>339</v>
      </c>
      <c r="K253" t="s">
        <v>334</v>
      </c>
      <c r="L253" t="s">
        <v>336</v>
      </c>
      <c r="M253" t="s">
        <v>331</v>
      </c>
      <c r="N253" t="s">
        <v>332</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589</v>
      </c>
      <c r="F254">
        <v>253</v>
      </c>
      <c r="G254" t="s">
        <v>329</v>
      </c>
      <c r="H254" t="s">
        <v>325</v>
      </c>
      <c r="I254" t="s">
        <v>327</v>
      </c>
      <c r="J254" t="s">
        <v>339</v>
      </c>
      <c r="K254" t="s">
        <v>334</v>
      </c>
      <c r="L254" t="s">
        <v>336</v>
      </c>
      <c r="M254" t="s">
        <v>331</v>
      </c>
      <c r="N254" t="s">
        <v>332</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7</v>
      </c>
    </row>
    <row r="255" spans="1:25" x14ac:dyDescent="0.2">
      <c r="A255" t="s">
        <v>590</v>
      </c>
      <c r="F255">
        <v>254</v>
      </c>
      <c r="G255" t="s">
        <v>329</v>
      </c>
      <c r="H255" t="s">
        <v>326</v>
      </c>
      <c r="I255" t="s">
        <v>325</v>
      </c>
      <c r="J255" t="s">
        <v>339</v>
      </c>
      <c r="K255" t="s">
        <v>334</v>
      </c>
      <c r="L255" t="s">
        <v>336</v>
      </c>
      <c r="M255" t="s">
        <v>331</v>
      </c>
      <c r="N255" t="s">
        <v>327</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
      <c r="A256" t="s">
        <v>591</v>
      </c>
      <c r="F256">
        <v>255</v>
      </c>
      <c r="G256" t="s">
        <v>329</v>
      </c>
      <c r="H256" t="s">
        <v>326</v>
      </c>
      <c r="I256" t="s">
        <v>325</v>
      </c>
      <c r="J256" t="s">
        <v>339</v>
      </c>
      <c r="K256" t="s">
        <v>334</v>
      </c>
      <c r="L256" t="s">
        <v>336</v>
      </c>
      <c r="M256" t="s">
        <v>327</v>
      </c>
      <c r="N256" t="s">
        <v>332</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592</v>
      </c>
      <c r="F257">
        <v>256</v>
      </c>
      <c r="G257" t="s">
        <v>325</v>
      </c>
      <c r="H257" t="s">
        <v>330</v>
      </c>
      <c r="I257" t="s">
        <v>326</v>
      </c>
      <c r="J257" t="s">
        <v>339</v>
      </c>
      <c r="K257" t="s">
        <v>334</v>
      </c>
      <c r="L257" t="s">
        <v>336</v>
      </c>
      <c r="M257" t="s">
        <v>331</v>
      </c>
      <c r="N257" t="s">
        <v>332</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593</v>
      </c>
      <c r="F258">
        <v>257</v>
      </c>
      <c r="G258" t="s">
        <v>325</v>
      </c>
      <c r="H258" t="s">
        <v>330</v>
      </c>
      <c r="I258" t="s">
        <v>327</v>
      </c>
      <c r="J258" t="s">
        <v>339</v>
      </c>
      <c r="K258" t="s">
        <v>334</v>
      </c>
      <c r="L258" t="s">
        <v>336</v>
      </c>
      <c r="M258" t="s">
        <v>331</v>
      </c>
      <c r="N258" t="s">
        <v>332</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594</v>
      </c>
      <c r="F259">
        <v>258</v>
      </c>
      <c r="G259" t="s">
        <v>325</v>
      </c>
      <c r="H259" t="s">
        <v>330</v>
      </c>
      <c r="I259" t="s">
        <v>326</v>
      </c>
      <c r="J259" t="s">
        <v>339</v>
      </c>
      <c r="K259" t="s">
        <v>334</v>
      </c>
      <c r="L259" t="s">
        <v>336</v>
      </c>
      <c r="M259" t="s">
        <v>331</v>
      </c>
      <c r="N259" t="s">
        <v>327</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595</v>
      </c>
      <c r="F260">
        <v>259</v>
      </c>
      <c r="G260" t="s">
        <v>325</v>
      </c>
      <c r="H260" t="s">
        <v>330</v>
      </c>
      <c r="I260" t="s">
        <v>326</v>
      </c>
      <c r="J260" t="s">
        <v>339</v>
      </c>
      <c r="K260" t="s">
        <v>334</v>
      </c>
      <c r="L260" t="s">
        <v>336</v>
      </c>
      <c r="M260" t="s">
        <v>327</v>
      </c>
      <c r="N260" t="s">
        <v>332</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596</v>
      </c>
      <c r="F261">
        <v>260</v>
      </c>
      <c r="G261" t="s">
        <v>329</v>
      </c>
      <c r="H261" t="s">
        <v>330</v>
      </c>
      <c r="I261" t="s">
        <v>325</v>
      </c>
      <c r="J261" t="s">
        <v>339</v>
      </c>
      <c r="K261" t="s">
        <v>334</v>
      </c>
      <c r="L261" t="s">
        <v>336</v>
      </c>
      <c r="M261" t="s">
        <v>331</v>
      </c>
      <c r="N261" t="s">
        <v>332</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597</v>
      </c>
      <c r="F262">
        <v>261</v>
      </c>
      <c r="G262" t="s">
        <v>329</v>
      </c>
      <c r="H262" t="s">
        <v>330</v>
      </c>
      <c r="I262" t="s">
        <v>326</v>
      </c>
      <c r="J262" t="s">
        <v>339</v>
      </c>
      <c r="K262" t="s">
        <v>334</v>
      </c>
      <c r="L262" t="s">
        <v>336</v>
      </c>
      <c r="M262" t="s">
        <v>331</v>
      </c>
      <c r="N262" t="s">
        <v>325</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598</v>
      </c>
      <c r="F263">
        <v>262</v>
      </c>
      <c r="G263" t="s">
        <v>329</v>
      </c>
      <c r="H263" t="s">
        <v>330</v>
      </c>
      <c r="I263" t="s">
        <v>326</v>
      </c>
      <c r="J263" t="s">
        <v>339</v>
      </c>
      <c r="K263" t="s">
        <v>334</v>
      </c>
      <c r="L263" t="s">
        <v>336</v>
      </c>
      <c r="M263" t="s">
        <v>325</v>
      </c>
      <c r="N263" t="s">
        <v>332</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599</v>
      </c>
      <c r="F264">
        <v>263</v>
      </c>
      <c r="G264" t="s">
        <v>329</v>
      </c>
      <c r="H264" t="s">
        <v>330</v>
      </c>
      <c r="I264" t="s">
        <v>325</v>
      </c>
      <c r="J264" t="s">
        <v>339</v>
      </c>
      <c r="K264" t="s">
        <v>334</v>
      </c>
      <c r="L264" t="s">
        <v>336</v>
      </c>
      <c r="M264" t="s">
        <v>331</v>
      </c>
      <c r="N264" t="s">
        <v>327</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600</v>
      </c>
      <c r="F265">
        <v>264</v>
      </c>
      <c r="G265" t="s">
        <v>329</v>
      </c>
      <c r="H265" t="s">
        <v>330</v>
      </c>
      <c r="I265" t="s">
        <v>325</v>
      </c>
      <c r="J265" t="s">
        <v>339</v>
      </c>
      <c r="K265" t="s">
        <v>334</v>
      </c>
      <c r="L265" t="s">
        <v>336</v>
      </c>
      <c r="M265" t="s">
        <v>327</v>
      </c>
      <c r="N265" t="s">
        <v>332</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601</v>
      </c>
      <c r="F266">
        <v>265</v>
      </c>
      <c r="G266" t="s">
        <v>329</v>
      </c>
      <c r="H266" t="s">
        <v>330</v>
      </c>
      <c r="I266" t="s">
        <v>326</v>
      </c>
      <c r="J266" t="s">
        <v>339</v>
      </c>
      <c r="K266" t="s">
        <v>334</v>
      </c>
      <c r="L266" t="s">
        <v>336</v>
      </c>
      <c r="M266" t="s">
        <v>325</v>
      </c>
      <c r="N266" t="s">
        <v>327</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602</v>
      </c>
      <c r="F267">
        <v>266</v>
      </c>
      <c r="G267" t="s">
        <v>339</v>
      </c>
      <c r="H267" t="s">
        <v>326</v>
      </c>
      <c r="I267" t="s">
        <v>325</v>
      </c>
      <c r="J267" t="s">
        <v>336</v>
      </c>
      <c r="K267" t="s">
        <v>334</v>
      </c>
      <c r="L267" t="s">
        <v>328</v>
      </c>
      <c r="M267" t="s">
        <v>331</v>
      </c>
      <c r="N267" t="s">
        <v>332</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603</v>
      </c>
      <c r="F268">
        <v>267</v>
      </c>
      <c r="G268" t="s">
        <v>339</v>
      </c>
      <c r="H268" t="s">
        <v>325</v>
      </c>
      <c r="I268" t="s">
        <v>327</v>
      </c>
      <c r="J268" t="s">
        <v>336</v>
      </c>
      <c r="K268" t="s">
        <v>334</v>
      </c>
      <c r="L268" t="s">
        <v>328</v>
      </c>
      <c r="M268" t="s">
        <v>331</v>
      </c>
      <c r="N268" t="s">
        <v>332</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604</v>
      </c>
      <c r="F269">
        <v>268</v>
      </c>
      <c r="G269" t="s">
        <v>339</v>
      </c>
      <c r="H269" t="s">
        <v>326</v>
      </c>
      <c r="I269" t="s">
        <v>325</v>
      </c>
      <c r="J269" t="s">
        <v>336</v>
      </c>
      <c r="K269" t="s">
        <v>334</v>
      </c>
      <c r="L269" t="s">
        <v>328</v>
      </c>
      <c r="M269" t="s">
        <v>331</v>
      </c>
      <c r="N269" t="s">
        <v>327</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605</v>
      </c>
      <c r="F270">
        <v>269</v>
      </c>
      <c r="G270" t="s">
        <v>339</v>
      </c>
      <c r="H270" t="s">
        <v>326</v>
      </c>
      <c r="I270" t="s">
        <v>325</v>
      </c>
      <c r="J270" t="s">
        <v>336</v>
      </c>
      <c r="K270" t="s">
        <v>334</v>
      </c>
      <c r="L270" t="s">
        <v>328</v>
      </c>
      <c r="M270" t="s">
        <v>327</v>
      </c>
      <c r="N270" t="s">
        <v>332</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606</v>
      </c>
      <c r="F271">
        <v>270</v>
      </c>
      <c r="G271" t="s">
        <v>329</v>
      </c>
      <c r="H271" t="s">
        <v>325</v>
      </c>
      <c r="I271" t="s">
        <v>328</v>
      </c>
      <c r="J271" t="s">
        <v>339</v>
      </c>
      <c r="K271" t="s">
        <v>334</v>
      </c>
      <c r="L271" t="s">
        <v>336</v>
      </c>
      <c r="M271" t="s">
        <v>331</v>
      </c>
      <c r="N271" t="s">
        <v>332</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607</v>
      </c>
      <c r="F272">
        <v>271</v>
      </c>
      <c r="G272" t="s">
        <v>329</v>
      </c>
      <c r="H272" t="s">
        <v>326</v>
      </c>
      <c r="I272" t="s">
        <v>328</v>
      </c>
      <c r="J272" t="s">
        <v>339</v>
      </c>
      <c r="K272" t="s">
        <v>334</v>
      </c>
      <c r="L272" t="s">
        <v>336</v>
      </c>
      <c r="M272" t="s">
        <v>331</v>
      </c>
      <c r="N272" t="s">
        <v>325</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608</v>
      </c>
      <c r="F273">
        <v>272</v>
      </c>
      <c r="G273" t="s">
        <v>329</v>
      </c>
      <c r="H273" t="s">
        <v>326</v>
      </c>
      <c r="I273" t="s">
        <v>325</v>
      </c>
      <c r="J273" t="s">
        <v>339</v>
      </c>
      <c r="K273" t="s">
        <v>334</v>
      </c>
      <c r="L273" t="s">
        <v>328</v>
      </c>
      <c r="M273" t="s">
        <v>336</v>
      </c>
      <c r="N273" t="s">
        <v>332</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609</v>
      </c>
      <c r="F274">
        <v>273</v>
      </c>
      <c r="G274" t="s">
        <v>329</v>
      </c>
      <c r="H274" t="s">
        <v>325</v>
      </c>
      <c r="I274" t="s">
        <v>328</v>
      </c>
      <c r="J274" t="s">
        <v>339</v>
      </c>
      <c r="K274" t="s">
        <v>334</v>
      </c>
      <c r="L274" t="s">
        <v>336</v>
      </c>
      <c r="M274" t="s">
        <v>331</v>
      </c>
      <c r="N274" t="s">
        <v>327</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610</v>
      </c>
      <c r="F275">
        <v>274</v>
      </c>
      <c r="G275" t="s">
        <v>329</v>
      </c>
      <c r="H275" t="s">
        <v>325</v>
      </c>
      <c r="I275" t="s">
        <v>328</v>
      </c>
      <c r="J275" t="s">
        <v>339</v>
      </c>
      <c r="K275" t="s">
        <v>334</v>
      </c>
      <c r="L275" t="s">
        <v>336</v>
      </c>
      <c r="M275" t="s">
        <v>327</v>
      </c>
      <c r="N275" t="s">
        <v>332</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611</v>
      </c>
      <c r="F276">
        <v>275</v>
      </c>
      <c r="G276" t="s">
        <v>329</v>
      </c>
      <c r="H276" t="s">
        <v>326</v>
      </c>
      <c r="I276" t="s">
        <v>325</v>
      </c>
      <c r="J276" t="s">
        <v>339</v>
      </c>
      <c r="K276" t="s">
        <v>334</v>
      </c>
      <c r="L276" t="s">
        <v>328</v>
      </c>
      <c r="M276" t="s">
        <v>336</v>
      </c>
      <c r="N276" t="s">
        <v>327</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612</v>
      </c>
      <c r="F277">
        <v>276</v>
      </c>
      <c r="G277" t="s">
        <v>339</v>
      </c>
      <c r="H277" t="s">
        <v>330</v>
      </c>
      <c r="I277" t="s">
        <v>325</v>
      </c>
      <c r="J277" t="s">
        <v>336</v>
      </c>
      <c r="K277" t="s">
        <v>334</v>
      </c>
      <c r="L277" t="s">
        <v>328</v>
      </c>
      <c r="M277" t="s">
        <v>331</v>
      </c>
      <c r="N277" t="s">
        <v>332</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613</v>
      </c>
      <c r="F278">
        <v>277</v>
      </c>
      <c r="G278" t="s">
        <v>339</v>
      </c>
      <c r="H278" t="s">
        <v>330</v>
      </c>
      <c r="I278" t="s">
        <v>326</v>
      </c>
      <c r="J278" t="s">
        <v>336</v>
      </c>
      <c r="K278" t="s">
        <v>334</v>
      </c>
      <c r="L278" t="s">
        <v>328</v>
      </c>
      <c r="M278" t="s">
        <v>331</v>
      </c>
      <c r="N278" t="s">
        <v>325</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614</v>
      </c>
      <c r="F279">
        <v>278</v>
      </c>
      <c r="G279" t="s">
        <v>339</v>
      </c>
      <c r="H279" t="s">
        <v>330</v>
      </c>
      <c r="I279" t="s">
        <v>326</v>
      </c>
      <c r="J279" t="s">
        <v>336</v>
      </c>
      <c r="K279" t="s">
        <v>334</v>
      </c>
      <c r="L279" t="s">
        <v>328</v>
      </c>
      <c r="M279" t="s">
        <v>325</v>
      </c>
      <c r="N279" t="s">
        <v>332</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615</v>
      </c>
      <c r="F280">
        <v>279</v>
      </c>
      <c r="G280" t="s">
        <v>339</v>
      </c>
      <c r="H280" t="s">
        <v>330</v>
      </c>
      <c r="I280" t="s">
        <v>325</v>
      </c>
      <c r="J280" t="s">
        <v>336</v>
      </c>
      <c r="K280" t="s">
        <v>334</v>
      </c>
      <c r="L280" t="s">
        <v>328</v>
      </c>
      <c r="M280" t="s">
        <v>331</v>
      </c>
      <c r="N280" t="s">
        <v>327</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616</v>
      </c>
      <c r="F281">
        <v>280</v>
      </c>
      <c r="G281" t="s">
        <v>339</v>
      </c>
      <c r="H281" t="s">
        <v>330</v>
      </c>
      <c r="I281" t="s">
        <v>325</v>
      </c>
      <c r="J281" t="s">
        <v>336</v>
      </c>
      <c r="K281" t="s">
        <v>334</v>
      </c>
      <c r="L281" t="s">
        <v>328</v>
      </c>
      <c r="M281" t="s">
        <v>327</v>
      </c>
      <c r="N281" t="s">
        <v>332</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617</v>
      </c>
      <c r="F282">
        <v>281</v>
      </c>
      <c r="G282" t="s">
        <v>339</v>
      </c>
      <c r="H282" t="s">
        <v>330</v>
      </c>
      <c r="I282" t="s">
        <v>326</v>
      </c>
      <c r="J282" t="s">
        <v>336</v>
      </c>
      <c r="K282" t="s">
        <v>334</v>
      </c>
      <c r="L282" t="s">
        <v>328</v>
      </c>
      <c r="M282" t="s">
        <v>325</v>
      </c>
      <c r="N282" t="s">
        <v>327</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618</v>
      </c>
      <c r="F283">
        <v>282</v>
      </c>
      <c r="G283" t="s">
        <v>329</v>
      </c>
      <c r="H283" t="s">
        <v>330</v>
      </c>
      <c r="I283" t="s">
        <v>328</v>
      </c>
      <c r="J283" t="s">
        <v>339</v>
      </c>
      <c r="K283" t="s">
        <v>334</v>
      </c>
      <c r="L283" t="s">
        <v>336</v>
      </c>
      <c r="M283" t="s">
        <v>331</v>
      </c>
      <c r="N283" t="s">
        <v>325</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619</v>
      </c>
      <c r="F284">
        <v>283</v>
      </c>
      <c r="G284" t="s">
        <v>329</v>
      </c>
      <c r="H284" t="s">
        <v>330</v>
      </c>
      <c r="I284" t="s">
        <v>325</v>
      </c>
      <c r="J284" t="s">
        <v>339</v>
      </c>
      <c r="K284" t="s">
        <v>334</v>
      </c>
      <c r="L284" t="s">
        <v>328</v>
      </c>
      <c r="M284" t="s">
        <v>336</v>
      </c>
      <c r="N284" t="s">
        <v>332</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620</v>
      </c>
      <c r="F285">
        <v>284</v>
      </c>
      <c r="G285" t="s">
        <v>329</v>
      </c>
      <c r="H285" t="s">
        <v>330</v>
      </c>
      <c r="I285" t="s">
        <v>326</v>
      </c>
      <c r="J285" t="s">
        <v>339</v>
      </c>
      <c r="K285" t="s">
        <v>334</v>
      </c>
      <c r="L285" t="s">
        <v>328</v>
      </c>
      <c r="M285" t="s">
        <v>336</v>
      </c>
      <c r="N285" t="s">
        <v>325</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621</v>
      </c>
      <c r="F286">
        <v>285</v>
      </c>
      <c r="G286" t="s">
        <v>329</v>
      </c>
      <c r="H286" t="s">
        <v>330</v>
      </c>
      <c r="I286" t="s">
        <v>325</v>
      </c>
      <c r="J286" t="s">
        <v>339</v>
      </c>
      <c r="K286" t="s">
        <v>334</v>
      </c>
      <c r="L286" t="s">
        <v>328</v>
      </c>
      <c r="M286" t="s">
        <v>336</v>
      </c>
      <c r="N286" t="s">
        <v>327</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622</v>
      </c>
      <c r="F287">
        <v>286</v>
      </c>
      <c r="G287" t="s">
        <v>329</v>
      </c>
      <c r="H287" t="s">
        <v>326</v>
      </c>
      <c r="I287" t="s">
        <v>337</v>
      </c>
      <c r="J287" t="s">
        <v>334</v>
      </c>
      <c r="K287" t="s">
        <v>327</v>
      </c>
      <c r="L287" t="s">
        <v>330</v>
      </c>
      <c r="M287" t="s">
        <v>331</v>
      </c>
      <c r="N287" t="s">
        <v>332</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623</v>
      </c>
      <c r="F288">
        <v>287</v>
      </c>
      <c r="G288" t="s">
        <v>329</v>
      </c>
      <c r="H288" t="s">
        <v>326</v>
      </c>
      <c r="I288" t="s">
        <v>337</v>
      </c>
      <c r="J288" t="s">
        <v>334</v>
      </c>
      <c r="K288" t="s">
        <v>327</v>
      </c>
      <c r="L288" t="s">
        <v>328</v>
      </c>
      <c r="M288" t="s">
        <v>331</v>
      </c>
      <c r="N288" t="s">
        <v>332</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624</v>
      </c>
      <c r="F289">
        <v>288</v>
      </c>
      <c r="G289" t="s">
        <v>327</v>
      </c>
      <c r="H289" t="s">
        <v>326</v>
      </c>
      <c r="I289" t="s">
        <v>337</v>
      </c>
      <c r="J289" t="s">
        <v>328</v>
      </c>
      <c r="K289" t="s">
        <v>334</v>
      </c>
      <c r="L289" t="s">
        <v>330</v>
      </c>
      <c r="M289" t="s">
        <v>331</v>
      </c>
      <c r="N289" t="s">
        <v>332</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625</v>
      </c>
      <c r="F290">
        <v>289</v>
      </c>
      <c r="G290" t="s">
        <v>329</v>
      </c>
      <c r="H290" t="s">
        <v>326</v>
      </c>
      <c r="I290" t="s">
        <v>337</v>
      </c>
      <c r="J290" t="s">
        <v>328</v>
      </c>
      <c r="K290" t="s">
        <v>334</v>
      </c>
      <c r="L290" t="s">
        <v>330</v>
      </c>
      <c r="M290" t="s">
        <v>331</v>
      </c>
      <c r="N290" t="s">
        <v>332</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626</v>
      </c>
      <c r="F291">
        <v>290</v>
      </c>
      <c r="G291" t="s">
        <v>329</v>
      </c>
      <c r="H291" t="s">
        <v>330</v>
      </c>
      <c r="I291" t="s">
        <v>337</v>
      </c>
      <c r="J291" t="s">
        <v>334</v>
      </c>
      <c r="K291" t="s">
        <v>327</v>
      </c>
      <c r="L291" t="s">
        <v>328</v>
      </c>
      <c r="M291" t="s">
        <v>331</v>
      </c>
      <c r="N291" t="s">
        <v>332</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627</v>
      </c>
      <c r="F292">
        <v>291</v>
      </c>
      <c r="G292" t="s">
        <v>329</v>
      </c>
      <c r="H292" t="s">
        <v>326</v>
      </c>
      <c r="I292" t="s">
        <v>337</v>
      </c>
      <c r="J292" t="s">
        <v>328</v>
      </c>
      <c r="K292" t="s">
        <v>334</v>
      </c>
      <c r="L292" t="s">
        <v>330</v>
      </c>
      <c r="M292" t="s">
        <v>331</v>
      </c>
      <c r="N292" t="s">
        <v>327</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628</v>
      </c>
      <c r="F293">
        <v>292</v>
      </c>
      <c r="G293" t="s">
        <v>329</v>
      </c>
      <c r="H293" t="s">
        <v>326</v>
      </c>
      <c r="I293" t="s">
        <v>337</v>
      </c>
      <c r="J293" t="s">
        <v>328</v>
      </c>
      <c r="K293" t="s">
        <v>334</v>
      </c>
      <c r="L293" t="s">
        <v>330</v>
      </c>
      <c r="M293" t="s">
        <v>327</v>
      </c>
      <c r="N293" t="s">
        <v>332</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629</v>
      </c>
      <c r="F294">
        <v>293</v>
      </c>
      <c r="G294" t="s">
        <v>325</v>
      </c>
      <c r="H294" t="s">
        <v>326</v>
      </c>
      <c r="I294" t="s">
        <v>337</v>
      </c>
      <c r="J294" t="s">
        <v>334</v>
      </c>
      <c r="K294" t="s">
        <v>327</v>
      </c>
      <c r="L294" t="s">
        <v>329</v>
      </c>
      <c r="M294" t="s">
        <v>331</v>
      </c>
      <c r="N294" t="s">
        <v>332</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
      <c r="A295" t="s">
        <v>630</v>
      </c>
      <c r="F295">
        <v>294</v>
      </c>
      <c r="G295" t="s">
        <v>325</v>
      </c>
      <c r="H295" t="s">
        <v>326</v>
      </c>
      <c r="I295" t="s">
        <v>337</v>
      </c>
      <c r="J295" t="s">
        <v>334</v>
      </c>
      <c r="K295" t="s">
        <v>327</v>
      </c>
      <c r="L295" t="s">
        <v>330</v>
      </c>
      <c r="M295" t="s">
        <v>331</v>
      </c>
      <c r="N295" t="s">
        <v>332</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631</v>
      </c>
      <c r="F296">
        <v>295</v>
      </c>
      <c r="G296" t="s">
        <v>325</v>
      </c>
      <c r="H296" t="s">
        <v>326</v>
      </c>
      <c r="I296" t="s">
        <v>337</v>
      </c>
      <c r="J296" t="s">
        <v>334</v>
      </c>
      <c r="K296" t="s">
        <v>329</v>
      </c>
      <c r="L296" t="s">
        <v>330</v>
      </c>
      <c r="M296" t="s">
        <v>331</v>
      </c>
      <c r="N296" t="s">
        <v>332</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632</v>
      </c>
      <c r="F297">
        <v>296</v>
      </c>
      <c r="G297" t="s">
        <v>325</v>
      </c>
      <c r="H297" t="s">
        <v>330</v>
      </c>
      <c r="I297" t="s">
        <v>337</v>
      </c>
      <c r="J297" t="s">
        <v>334</v>
      </c>
      <c r="K297" t="s">
        <v>327</v>
      </c>
      <c r="L297" t="s">
        <v>329</v>
      </c>
      <c r="M297" t="s">
        <v>331</v>
      </c>
      <c r="N297" t="s">
        <v>332</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633</v>
      </c>
      <c r="F298">
        <v>297</v>
      </c>
      <c r="G298" t="s">
        <v>325</v>
      </c>
      <c r="H298" t="s">
        <v>326</v>
      </c>
      <c r="I298" t="s">
        <v>337</v>
      </c>
      <c r="J298" t="s">
        <v>334</v>
      </c>
      <c r="K298" t="s">
        <v>329</v>
      </c>
      <c r="L298" t="s">
        <v>330</v>
      </c>
      <c r="M298" t="s">
        <v>331</v>
      </c>
      <c r="N298" t="s">
        <v>327</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634</v>
      </c>
      <c r="F299">
        <v>298</v>
      </c>
      <c r="G299" t="s">
        <v>325</v>
      </c>
      <c r="H299" t="s">
        <v>326</v>
      </c>
      <c r="I299" t="s">
        <v>337</v>
      </c>
      <c r="J299" t="s">
        <v>334</v>
      </c>
      <c r="K299" t="s">
        <v>329</v>
      </c>
      <c r="L299" t="s">
        <v>330</v>
      </c>
      <c r="M299" t="s">
        <v>327</v>
      </c>
      <c r="N299" t="s">
        <v>332</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635</v>
      </c>
      <c r="F300">
        <v>299</v>
      </c>
      <c r="G300" t="s">
        <v>325</v>
      </c>
      <c r="H300" t="s">
        <v>326</v>
      </c>
      <c r="I300" t="s">
        <v>337</v>
      </c>
      <c r="J300" t="s">
        <v>334</v>
      </c>
      <c r="K300" t="s">
        <v>327</v>
      </c>
      <c r="L300" t="s">
        <v>328</v>
      </c>
      <c r="M300" t="s">
        <v>331</v>
      </c>
      <c r="N300" t="s">
        <v>332</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636</v>
      </c>
      <c r="F301">
        <v>300</v>
      </c>
      <c r="G301" t="s">
        <v>325</v>
      </c>
      <c r="H301" t="s">
        <v>326</v>
      </c>
      <c r="I301" t="s">
        <v>337</v>
      </c>
      <c r="J301" t="s">
        <v>328</v>
      </c>
      <c r="K301" t="s">
        <v>334</v>
      </c>
      <c r="L301" t="s">
        <v>329</v>
      </c>
      <c r="M301" t="s">
        <v>331</v>
      </c>
      <c r="N301" t="s">
        <v>332</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637</v>
      </c>
      <c r="F302">
        <v>301</v>
      </c>
      <c r="G302" t="s">
        <v>325</v>
      </c>
      <c r="H302" t="s">
        <v>327</v>
      </c>
      <c r="I302" t="s">
        <v>337</v>
      </c>
      <c r="J302" t="s">
        <v>328</v>
      </c>
      <c r="K302" t="s">
        <v>334</v>
      </c>
      <c r="L302" t="s">
        <v>329</v>
      </c>
      <c r="M302" t="s">
        <v>331</v>
      </c>
      <c r="N302" t="s">
        <v>332</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638</v>
      </c>
      <c r="F303">
        <v>302</v>
      </c>
      <c r="G303" t="s">
        <v>325</v>
      </c>
      <c r="H303" t="s">
        <v>326</v>
      </c>
      <c r="I303" t="s">
        <v>337</v>
      </c>
      <c r="J303" t="s">
        <v>328</v>
      </c>
      <c r="K303" t="s">
        <v>334</v>
      </c>
      <c r="L303" t="s">
        <v>329</v>
      </c>
      <c r="M303" t="s">
        <v>331</v>
      </c>
      <c r="N303" t="s">
        <v>327</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639</v>
      </c>
      <c r="F304">
        <v>303</v>
      </c>
      <c r="G304" t="s">
        <v>325</v>
      </c>
      <c r="H304" t="s">
        <v>326</v>
      </c>
      <c r="I304" t="s">
        <v>337</v>
      </c>
      <c r="J304" t="s">
        <v>328</v>
      </c>
      <c r="K304" t="s">
        <v>334</v>
      </c>
      <c r="L304" t="s">
        <v>329</v>
      </c>
      <c r="M304" t="s">
        <v>327</v>
      </c>
      <c r="N304" t="s">
        <v>332</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640</v>
      </c>
      <c r="F305">
        <v>304</v>
      </c>
      <c r="G305" t="s">
        <v>325</v>
      </c>
      <c r="H305" t="s">
        <v>326</v>
      </c>
      <c r="I305" t="s">
        <v>337</v>
      </c>
      <c r="J305" t="s">
        <v>328</v>
      </c>
      <c r="K305" t="s">
        <v>334</v>
      </c>
      <c r="L305" t="s">
        <v>330</v>
      </c>
      <c r="M305" t="s">
        <v>331</v>
      </c>
      <c r="N305" t="s">
        <v>332</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641</v>
      </c>
      <c r="F306">
        <v>305</v>
      </c>
      <c r="G306" t="s">
        <v>325</v>
      </c>
      <c r="H306" t="s">
        <v>330</v>
      </c>
      <c r="I306" t="s">
        <v>337</v>
      </c>
      <c r="J306" t="s">
        <v>334</v>
      </c>
      <c r="K306" t="s">
        <v>327</v>
      </c>
      <c r="L306" t="s">
        <v>328</v>
      </c>
      <c r="M306" t="s">
        <v>331</v>
      </c>
      <c r="N306" t="s">
        <v>332</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642</v>
      </c>
      <c r="F307">
        <v>306</v>
      </c>
      <c r="G307" t="s">
        <v>325</v>
      </c>
      <c r="H307" t="s">
        <v>326</v>
      </c>
      <c r="I307" t="s">
        <v>337</v>
      </c>
      <c r="J307" t="s">
        <v>328</v>
      </c>
      <c r="K307" t="s">
        <v>334</v>
      </c>
      <c r="L307" t="s">
        <v>330</v>
      </c>
      <c r="M307" t="s">
        <v>331</v>
      </c>
      <c r="N307" t="s">
        <v>327</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643</v>
      </c>
      <c r="F308">
        <v>307</v>
      </c>
      <c r="G308" t="s">
        <v>325</v>
      </c>
      <c r="H308" t="s">
        <v>326</v>
      </c>
      <c r="I308" t="s">
        <v>337</v>
      </c>
      <c r="J308" t="s">
        <v>328</v>
      </c>
      <c r="K308" t="s">
        <v>334</v>
      </c>
      <c r="L308" t="s">
        <v>330</v>
      </c>
      <c r="M308" t="s">
        <v>327</v>
      </c>
      <c r="N308" t="s">
        <v>332</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644</v>
      </c>
      <c r="F309">
        <v>308</v>
      </c>
      <c r="G309" t="s">
        <v>325</v>
      </c>
      <c r="H309" t="s">
        <v>330</v>
      </c>
      <c r="I309" t="s">
        <v>337</v>
      </c>
      <c r="J309" t="s">
        <v>328</v>
      </c>
      <c r="K309" t="s">
        <v>334</v>
      </c>
      <c r="L309" t="s">
        <v>329</v>
      </c>
      <c r="M309" t="s">
        <v>331</v>
      </c>
      <c r="N309" t="s">
        <v>332</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645</v>
      </c>
      <c r="F310">
        <v>309</v>
      </c>
      <c r="G310" t="s">
        <v>329</v>
      </c>
      <c r="H310" t="s">
        <v>326</v>
      </c>
      <c r="I310" t="s">
        <v>337</v>
      </c>
      <c r="J310" t="s">
        <v>328</v>
      </c>
      <c r="K310" t="s">
        <v>334</v>
      </c>
      <c r="L310" t="s">
        <v>330</v>
      </c>
      <c r="M310" t="s">
        <v>331</v>
      </c>
      <c r="N310" t="s">
        <v>325</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646</v>
      </c>
      <c r="F311">
        <v>310</v>
      </c>
      <c r="G311" t="s">
        <v>329</v>
      </c>
      <c r="H311" t="s">
        <v>326</v>
      </c>
      <c r="I311" t="s">
        <v>337</v>
      </c>
      <c r="J311" t="s">
        <v>328</v>
      </c>
      <c r="K311" t="s">
        <v>334</v>
      </c>
      <c r="L311" t="s">
        <v>330</v>
      </c>
      <c r="M311" t="s">
        <v>325</v>
      </c>
      <c r="N311" t="s">
        <v>332</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647</v>
      </c>
      <c r="F312">
        <v>311</v>
      </c>
      <c r="G312" t="s">
        <v>325</v>
      </c>
      <c r="H312" t="s">
        <v>330</v>
      </c>
      <c r="I312" t="s">
        <v>337</v>
      </c>
      <c r="J312" t="s">
        <v>328</v>
      </c>
      <c r="K312" t="s">
        <v>334</v>
      </c>
      <c r="L312" t="s">
        <v>329</v>
      </c>
      <c r="M312" t="s">
        <v>331</v>
      </c>
      <c r="N312" t="s">
        <v>327</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648</v>
      </c>
      <c r="F313">
        <v>312</v>
      </c>
      <c r="G313" t="s">
        <v>325</v>
      </c>
      <c r="H313" t="s">
        <v>330</v>
      </c>
      <c r="I313" t="s">
        <v>337</v>
      </c>
      <c r="J313" t="s">
        <v>328</v>
      </c>
      <c r="K313" t="s">
        <v>334</v>
      </c>
      <c r="L313" t="s">
        <v>329</v>
      </c>
      <c r="M313" t="s">
        <v>327</v>
      </c>
      <c r="N313" t="s">
        <v>332</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649</v>
      </c>
      <c r="F314">
        <v>313</v>
      </c>
      <c r="G314" t="s">
        <v>329</v>
      </c>
      <c r="H314" t="s">
        <v>326</v>
      </c>
      <c r="I314" t="s">
        <v>337</v>
      </c>
      <c r="J314" t="s">
        <v>328</v>
      </c>
      <c r="K314" t="s">
        <v>334</v>
      </c>
      <c r="L314" t="s">
        <v>330</v>
      </c>
      <c r="M314" t="s">
        <v>325</v>
      </c>
      <c r="N314" t="s">
        <v>327</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650</v>
      </c>
      <c r="F315">
        <v>314</v>
      </c>
      <c r="G315" t="s">
        <v>327</v>
      </c>
      <c r="H315" t="s">
        <v>326</v>
      </c>
      <c r="I315" t="s">
        <v>337</v>
      </c>
      <c r="J315" t="s">
        <v>336</v>
      </c>
      <c r="K315" t="s">
        <v>334</v>
      </c>
      <c r="L315" t="s">
        <v>329</v>
      </c>
      <c r="M315" t="s">
        <v>331</v>
      </c>
      <c r="N315" t="s">
        <v>332</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651</v>
      </c>
      <c r="F316">
        <v>315</v>
      </c>
      <c r="G316" t="s">
        <v>327</v>
      </c>
      <c r="H316" t="s">
        <v>326</v>
      </c>
      <c r="I316" t="s">
        <v>337</v>
      </c>
      <c r="J316" t="s">
        <v>336</v>
      </c>
      <c r="K316" t="s">
        <v>334</v>
      </c>
      <c r="L316" t="s">
        <v>330</v>
      </c>
      <c r="M316" t="s">
        <v>331</v>
      </c>
      <c r="N316" t="s">
        <v>332</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652</v>
      </c>
      <c r="F317">
        <v>316</v>
      </c>
      <c r="G317" t="s">
        <v>329</v>
      </c>
      <c r="H317" t="s">
        <v>326</v>
      </c>
      <c r="I317" t="s">
        <v>337</v>
      </c>
      <c r="J317" t="s">
        <v>336</v>
      </c>
      <c r="K317" t="s">
        <v>334</v>
      </c>
      <c r="L317" t="s">
        <v>330</v>
      </c>
      <c r="M317" t="s">
        <v>331</v>
      </c>
      <c r="N317" t="s">
        <v>332</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653</v>
      </c>
      <c r="F318">
        <v>317</v>
      </c>
      <c r="G318" t="s">
        <v>327</v>
      </c>
      <c r="H318" t="s">
        <v>330</v>
      </c>
      <c r="I318" t="s">
        <v>337</v>
      </c>
      <c r="J318" t="s">
        <v>336</v>
      </c>
      <c r="K318" t="s">
        <v>334</v>
      </c>
      <c r="L318" t="s">
        <v>329</v>
      </c>
      <c r="M318" t="s">
        <v>331</v>
      </c>
      <c r="N318" t="s">
        <v>332</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654</v>
      </c>
      <c r="F319">
        <v>318</v>
      </c>
      <c r="G319" t="s">
        <v>329</v>
      </c>
      <c r="H319" t="s">
        <v>326</v>
      </c>
      <c r="I319" t="s">
        <v>337</v>
      </c>
      <c r="J319" t="s">
        <v>336</v>
      </c>
      <c r="K319" t="s">
        <v>334</v>
      </c>
      <c r="L319" t="s">
        <v>330</v>
      </c>
      <c r="M319" t="s">
        <v>331</v>
      </c>
      <c r="N319" t="s">
        <v>327</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655</v>
      </c>
      <c r="F320">
        <v>319</v>
      </c>
      <c r="G320" t="s">
        <v>329</v>
      </c>
      <c r="H320" t="s">
        <v>326</v>
      </c>
      <c r="I320" t="s">
        <v>337</v>
      </c>
      <c r="J320" t="s">
        <v>336</v>
      </c>
      <c r="K320" t="s">
        <v>334</v>
      </c>
      <c r="L320" t="s">
        <v>330</v>
      </c>
      <c r="M320" t="s">
        <v>327</v>
      </c>
      <c r="N320" t="s">
        <v>332</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656</v>
      </c>
      <c r="F321">
        <v>320</v>
      </c>
      <c r="G321" t="s">
        <v>327</v>
      </c>
      <c r="H321" t="s">
        <v>326</v>
      </c>
      <c r="I321" t="s">
        <v>337</v>
      </c>
      <c r="J321" t="s">
        <v>336</v>
      </c>
      <c r="K321" t="s">
        <v>334</v>
      </c>
      <c r="L321" t="s">
        <v>328</v>
      </c>
      <c r="M321" t="s">
        <v>331</v>
      </c>
      <c r="N321" t="s">
        <v>332</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657</v>
      </c>
      <c r="F322">
        <v>321</v>
      </c>
      <c r="G322" t="s">
        <v>329</v>
      </c>
      <c r="H322" t="s">
        <v>326</v>
      </c>
      <c r="I322" t="s">
        <v>337</v>
      </c>
      <c r="J322" t="s">
        <v>336</v>
      </c>
      <c r="K322" t="s">
        <v>334</v>
      </c>
      <c r="L322" t="s">
        <v>328</v>
      </c>
      <c r="M322" t="s">
        <v>331</v>
      </c>
      <c r="N322" t="s">
        <v>332</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658</v>
      </c>
      <c r="F323">
        <v>322</v>
      </c>
      <c r="G323" t="s">
        <v>329</v>
      </c>
      <c r="H323" t="s">
        <v>327</v>
      </c>
      <c r="I323" t="s">
        <v>337</v>
      </c>
      <c r="J323" t="s">
        <v>336</v>
      </c>
      <c r="K323" t="s">
        <v>334</v>
      </c>
      <c r="L323" t="s">
        <v>328</v>
      </c>
      <c r="M323" t="s">
        <v>331</v>
      </c>
      <c r="N323" t="s">
        <v>332</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659</v>
      </c>
      <c r="F324">
        <v>323</v>
      </c>
      <c r="G324" t="s">
        <v>329</v>
      </c>
      <c r="H324" t="s">
        <v>326</v>
      </c>
      <c r="I324" t="s">
        <v>337</v>
      </c>
      <c r="J324" t="s">
        <v>336</v>
      </c>
      <c r="K324" t="s">
        <v>334</v>
      </c>
      <c r="L324" t="s">
        <v>328</v>
      </c>
      <c r="M324" t="s">
        <v>331</v>
      </c>
      <c r="N324" t="s">
        <v>327</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660</v>
      </c>
      <c r="F325">
        <v>324</v>
      </c>
      <c r="G325" t="s">
        <v>329</v>
      </c>
      <c r="H325" t="s">
        <v>326</v>
      </c>
      <c r="I325" t="s">
        <v>337</v>
      </c>
      <c r="J325" t="s">
        <v>336</v>
      </c>
      <c r="K325" t="s">
        <v>334</v>
      </c>
      <c r="L325" t="s">
        <v>328</v>
      </c>
      <c r="M325" t="s">
        <v>327</v>
      </c>
      <c r="N325" t="s">
        <v>332</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661</v>
      </c>
      <c r="F326">
        <v>325</v>
      </c>
      <c r="G326" t="s">
        <v>328</v>
      </c>
      <c r="H326" t="s">
        <v>326</v>
      </c>
      <c r="I326" t="s">
        <v>337</v>
      </c>
      <c r="J326" t="s">
        <v>336</v>
      </c>
      <c r="K326" t="s">
        <v>334</v>
      </c>
      <c r="L326" t="s">
        <v>330</v>
      </c>
      <c r="M326" t="s">
        <v>331</v>
      </c>
      <c r="N326" t="s">
        <v>332</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662</v>
      </c>
      <c r="F327">
        <v>326</v>
      </c>
      <c r="G327" t="s">
        <v>327</v>
      </c>
      <c r="H327" t="s">
        <v>330</v>
      </c>
      <c r="I327" t="s">
        <v>337</v>
      </c>
      <c r="J327" t="s">
        <v>336</v>
      </c>
      <c r="K327" t="s">
        <v>334</v>
      </c>
      <c r="L327" t="s">
        <v>328</v>
      </c>
      <c r="M327" t="s">
        <v>331</v>
      </c>
      <c r="N327" t="s">
        <v>332</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663</v>
      </c>
      <c r="F328">
        <v>327</v>
      </c>
      <c r="G328" t="s">
        <v>328</v>
      </c>
      <c r="H328" t="s">
        <v>326</v>
      </c>
      <c r="I328" t="s">
        <v>337</v>
      </c>
      <c r="J328" t="s">
        <v>336</v>
      </c>
      <c r="K328" t="s">
        <v>334</v>
      </c>
      <c r="L328" t="s">
        <v>330</v>
      </c>
      <c r="M328" t="s">
        <v>331</v>
      </c>
      <c r="N328" t="s">
        <v>327</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664</v>
      </c>
      <c r="F329">
        <v>328</v>
      </c>
      <c r="G329" t="s">
        <v>328</v>
      </c>
      <c r="H329" t="s">
        <v>326</v>
      </c>
      <c r="I329" t="s">
        <v>337</v>
      </c>
      <c r="J329" t="s">
        <v>336</v>
      </c>
      <c r="K329" t="s">
        <v>334</v>
      </c>
      <c r="L329" t="s">
        <v>330</v>
      </c>
      <c r="M329" t="s">
        <v>327</v>
      </c>
      <c r="N329" t="s">
        <v>332</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665</v>
      </c>
      <c r="F330">
        <v>329</v>
      </c>
      <c r="G330" t="s">
        <v>329</v>
      </c>
      <c r="H330" t="s">
        <v>330</v>
      </c>
      <c r="I330" t="s">
        <v>337</v>
      </c>
      <c r="J330" t="s">
        <v>336</v>
      </c>
      <c r="K330" t="s">
        <v>334</v>
      </c>
      <c r="L330" t="s">
        <v>328</v>
      </c>
      <c r="M330" t="s">
        <v>331</v>
      </c>
      <c r="N330" t="s">
        <v>332</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666</v>
      </c>
      <c r="F331">
        <v>330</v>
      </c>
      <c r="G331" t="s">
        <v>329</v>
      </c>
      <c r="H331" t="s">
        <v>330</v>
      </c>
      <c r="I331" t="s">
        <v>337</v>
      </c>
      <c r="J331" t="s">
        <v>336</v>
      </c>
      <c r="K331" t="s">
        <v>334</v>
      </c>
      <c r="L331" t="s">
        <v>328</v>
      </c>
      <c r="M331" t="s">
        <v>331</v>
      </c>
      <c r="N331" t="s">
        <v>326</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667</v>
      </c>
      <c r="F332">
        <v>331</v>
      </c>
      <c r="G332" t="s">
        <v>329</v>
      </c>
      <c r="H332" t="s">
        <v>330</v>
      </c>
      <c r="I332" t="s">
        <v>337</v>
      </c>
      <c r="J332" t="s">
        <v>336</v>
      </c>
      <c r="K332" t="s">
        <v>334</v>
      </c>
      <c r="L332" t="s">
        <v>328</v>
      </c>
      <c r="M332" t="s">
        <v>326</v>
      </c>
      <c r="N332" t="s">
        <v>332</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668</v>
      </c>
      <c r="F333">
        <v>332</v>
      </c>
      <c r="G333" t="s">
        <v>329</v>
      </c>
      <c r="H333" t="s">
        <v>330</v>
      </c>
      <c r="I333" t="s">
        <v>337</v>
      </c>
      <c r="J333" t="s">
        <v>336</v>
      </c>
      <c r="K333" t="s">
        <v>334</v>
      </c>
      <c r="L333" t="s">
        <v>328</v>
      </c>
      <c r="M333" t="s">
        <v>331</v>
      </c>
      <c r="N333" t="s">
        <v>327</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669</v>
      </c>
      <c r="F334">
        <v>333</v>
      </c>
      <c r="G334" t="s">
        <v>329</v>
      </c>
      <c r="H334" t="s">
        <v>330</v>
      </c>
      <c r="I334" t="s">
        <v>337</v>
      </c>
      <c r="J334" t="s">
        <v>336</v>
      </c>
      <c r="K334" t="s">
        <v>334</v>
      </c>
      <c r="L334" t="s">
        <v>328</v>
      </c>
      <c r="M334" t="s">
        <v>327</v>
      </c>
      <c r="N334" t="s">
        <v>332</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670</v>
      </c>
      <c r="F335">
        <v>334</v>
      </c>
      <c r="G335" t="s">
        <v>329</v>
      </c>
      <c r="H335" t="s">
        <v>330</v>
      </c>
      <c r="I335" t="s">
        <v>337</v>
      </c>
      <c r="J335" t="s">
        <v>336</v>
      </c>
      <c r="K335" t="s">
        <v>334</v>
      </c>
      <c r="L335" t="s">
        <v>328</v>
      </c>
      <c r="M335" t="s">
        <v>327</v>
      </c>
      <c r="N335" t="s">
        <v>326</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671</v>
      </c>
      <c r="F336">
        <v>335</v>
      </c>
      <c r="G336" t="s">
        <v>325</v>
      </c>
      <c r="H336" t="s">
        <v>326</v>
      </c>
      <c r="I336" t="s">
        <v>337</v>
      </c>
      <c r="J336" t="s">
        <v>334</v>
      </c>
      <c r="K336" t="s">
        <v>327</v>
      </c>
      <c r="L336" t="s">
        <v>336</v>
      </c>
      <c r="M336" t="s">
        <v>331</v>
      </c>
      <c r="N336" t="s">
        <v>332</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672</v>
      </c>
      <c r="F337">
        <v>336</v>
      </c>
      <c r="G337" t="s">
        <v>325</v>
      </c>
      <c r="H337" t="s">
        <v>326</v>
      </c>
      <c r="I337" t="s">
        <v>337</v>
      </c>
      <c r="J337" t="s">
        <v>336</v>
      </c>
      <c r="K337" t="s">
        <v>334</v>
      </c>
      <c r="L337" t="s">
        <v>329</v>
      </c>
      <c r="M337" t="s">
        <v>331</v>
      </c>
      <c r="N337" t="s">
        <v>332</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673</v>
      </c>
      <c r="F338">
        <v>337</v>
      </c>
      <c r="G338" t="s">
        <v>325</v>
      </c>
      <c r="H338" t="s">
        <v>327</v>
      </c>
      <c r="I338" t="s">
        <v>337</v>
      </c>
      <c r="J338" t="s">
        <v>336</v>
      </c>
      <c r="K338" t="s">
        <v>334</v>
      </c>
      <c r="L338" t="s">
        <v>329</v>
      </c>
      <c r="M338" t="s">
        <v>331</v>
      </c>
      <c r="N338" t="s">
        <v>332</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7</v>
      </c>
    </row>
    <row r="339" spans="1:25" x14ac:dyDescent="0.2">
      <c r="A339" t="s">
        <v>674</v>
      </c>
      <c r="F339">
        <v>338</v>
      </c>
      <c r="G339" t="s">
        <v>325</v>
      </c>
      <c r="H339" t="s">
        <v>326</v>
      </c>
      <c r="I339" t="s">
        <v>337</v>
      </c>
      <c r="J339" t="s">
        <v>336</v>
      </c>
      <c r="K339" t="s">
        <v>334</v>
      </c>
      <c r="L339" t="s">
        <v>329</v>
      </c>
      <c r="M339" t="s">
        <v>331</v>
      </c>
      <c r="N339" t="s">
        <v>327</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
      <c r="A340" t="s">
        <v>675</v>
      </c>
      <c r="F340">
        <v>339</v>
      </c>
      <c r="G340" t="s">
        <v>325</v>
      </c>
      <c r="H340" t="s">
        <v>326</v>
      </c>
      <c r="I340" t="s">
        <v>337</v>
      </c>
      <c r="J340" t="s">
        <v>336</v>
      </c>
      <c r="K340" t="s">
        <v>334</v>
      </c>
      <c r="L340" t="s">
        <v>329</v>
      </c>
      <c r="M340" t="s">
        <v>327</v>
      </c>
      <c r="N340" t="s">
        <v>332</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676</v>
      </c>
      <c r="F341">
        <v>340</v>
      </c>
      <c r="G341" t="s">
        <v>325</v>
      </c>
      <c r="H341" t="s">
        <v>326</v>
      </c>
      <c r="I341" t="s">
        <v>337</v>
      </c>
      <c r="J341" t="s">
        <v>336</v>
      </c>
      <c r="K341" t="s">
        <v>334</v>
      </c>
      <c r="L341" t="s">
        <v>330</v>
      </c>
      <c r="M341" t="s">
        <v>331</v>
      </c>
      <c r="N341" t="s">
        <v>332</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677</v>
      </c>
      <c r="F342">
        <v>341</v>
      </c>
      <c r="G342" t="s">
        <v>325</v>
      </c>
      <c r="H342" t="s">
        <v>330</v>
      </c>
      <c r="I342" t="s">
        <v>337</v>
      </c>
      <c r="J342" t="s">
        <v>334</v>
      </c>
      <c r="K342" t="s">
        <v>327</v>
      </c>
      <c r="L342" t="s">
        <v>336</v>
      </c>
      <c r="M342" t="s">
        <v>331</v>
      </c>
      <c r="N342" t="s">
        <v>332</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678</v>
      </c>
      <c r="F343">
        <v>342</v>
      </c>
      <c r="G343" t="s">
        <v>325</v>
      </c>
      <c r="H343" t="s">
        <v>326</v>
      </c>
      <c r="I343" t="s">
        <v>337</v>
      </c>
      <c r="J343" t="s">
        <v>336</v>
      </c>
      <c r="K343" t="s">
        <v>334</v>
      </c>
      <c r="L343" t="s">
        <v>330</v>
      </c>
      <c r="M343" t="s">
        <v>331</v>
      </c>
      <c r="N343" t="s">
        <v>327</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679</v>
      </c>
      <c r="F344">
        <v>343</v>
      </c>
      <c r="G344" t="s">
        <v>325</v>
      </c>
      <c r="H344" t="s">
        <v>326</v>
      </c>
      <c r="I344" t="s">
        <v>337</v>
      </c>
      <c r="J344" t="s">
        <v>336</v>
      </c>
      <c r="K344" t="s">
        <v>334</v>
      </c>
      <c r="L344" t="s">
        <v>330</v>
      </c>
      <c r="M344" t="s">
        <v>327</v>
      </c>
      <c r="N344" t="s">
        <v>332</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680</v>
      </c>
      <c r="F345">
        <v>344</v>
      </c>
      <c r="G345" t="s">
        <v>325</v>
      </c>
      <c r="H345" t="s">
        <v>330</v>
      </c>
      <c r="I345" t="s">
        <v>337</v>
      </c>
      <c r="J345" t="s">
        <v>336</v>
      </c>
      <c r="K345" t="s">
        <v>334</v>
      </c>
      <c r="L345" t="s">
        <v>329</v>
      </c>
      <c r="M345" t="s">
        <v>331</v>
      </c>
      <c r="N345" t="s">
        <v>332</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681</v>
      </c>
      <c r="F346">
        <v>345</v>
      </c>
      <c r="G346" t="s">
        <v>329</v>
      </c>
      <c r="H346" t="s">
        <v>326</v>
      </c>
      <c r="I346" t="s">
        <v>337</v>
      </c>
      <c r="J346" t="s">
        <v>336</v>
      </c>
      <c r="K346" t="s">
        <v>334</v>
      </c>
      <c r="L346" t="s">
        <v>330</v>
      </c>
      <c r="M346" t="s">
        <v>331</v>
      </c>
      <c r="N346" t="s">
        <v>325</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682</v>
      </c>
      <c r="F347">
        <v>346</v>
      </c>
      <c r="G347" t="s">
        <v>329</v>
      </c>
      <c r="H347" t="s">
        <v>326</v>
      </c>
      <c r="I347" t="s">
        <v>337</v>
      </c>
      <c r="J347" t="s">
        <v>336</v>
      </c>
      <c r="K347" t="s">
        <v>334</v>
      </c>
      <c r="L347" t="s">
        <v>330</v>
      </c>
      <c r="M347" t="s">
        <v>325</v>
      </c>
      <c r="N347" t="s">
        <v>332</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683</v>
      </c>
      <c r="F348">
        <v>347</v>
      </c>
      <c r="G348" t="s">
        <v>325</v>
      </c>
      <c r="H348" t="s">
        <v>330</v>
      </c>
      <c r="I348" t="s">
        <v>337</v>
      </c>
      <c r="J348" t="s">
        <v>336</v>
      </c>
      <c r="K348" t="s">
        <v>334</v>
      </c>
      <c r="L348" t="s">
        <v>329</v>
      </c>
      <c r="M348" t="s">
        <v>331</v>
      </c>
      <c r="N348" t="s">
        <v>327</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x14ac:dyDescent="0.2">
      <c r="A349" t="s">
        <v>684</v>
      </c>
      <c r="F349">
        <v>348</v>
      </c>
      <c r="G349" t="s">
        <v>325</v>
      </c>
      <c r="H349" t="s">
        <v>330</v>
      </c>
      <c r="I349" t="s">
        <v>337</v>
      </c>
      <c r="J349" t="s">
        <v>336</v>
      </c>
      <c r="K349" t="s">
        <v>334</v>
      </c>
      <c r="L349" t="s">
        <v>329</v>
      </c>
      <c r="M349" t="s">
        <v>327</v>
      </c>
      <c r="N349" t="s">
        <v>332</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685</v>
      </c>
      <c r="F350">
        <v>349</v>
      </c>
      <c r="G350" t="s">
        <v>329</v>
      </c>
      <c r="H350" t="s">
        <v>326</v>
      </c>
      <c r="I350" t="s">
        <v>337</v>
      </c>
      <c r="J350" t="s">
        <v>336</v>
      </c>
      <c r="K350" t="s">
        <v>334</v>
      </c>
      <c r="L350" t="s">
        <v>330</v>
      </c>
      <c r="M350" t="s">
        <v>325</v>
      </c>
      <c r="N350" t="s">
        <v>327</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686</v>
      </c>
      <c r="F351">
        <v>350</v>
      </c>
      <c r="G351" t="s">
        <v>325</v>
      </c>
      <c r="H351" t="s">
        <v>326</v>
      </c>
      <c r="I351" t="s">
        <v>337</v>
      </c>
      <c r="J351" t="s">
        <v>336</v>
      </c>
      <c r="K351" t="s">
        <v>334</v>
      </c>
      <c r="L351" t="s">
        <v>328</v>
      </c>
      <c r="M351" t="s">
        <v>331</v>
      </c>
      <c r="N351" t="s">
        <v>332</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687</v>
      </c>
      <c r="F352">
        <v>351</v>
      </c>
      <c r="G352" t="s">
        <v>325</v>
      </c>
      <c r="H352" t="s">
        <v>327</v>
      </c>
      <c r="I352" t="s">
        <v>337</v>
      </c>
      <c r="J352" t="s">
        <v>336</v>
      </c>
      <c r="K352" t="s">
        <v>334</v>
      </c>
      <c r="L352" t="s">
        <v>328</v>
      </c>
      <c r="M352" t="s">
        <v>331</v>
      </c>
      <c r="N352" t="s">
        <v>332</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688</v>
      </c>
      <c r="F353">
        <v>352</v>
      </c>
      <c r="G353" t="s">
        <v>325</v>
      </c>
      <c r="H353" t="s">
        <v>326</v>
      </c>
      <c r="I353" t="s">
        <v>337</v>
      </c>
      <c r="J353" t="s">
        <v>336</v>
      </c>
      <c r="K353" t="s">
        <v>334</v>
      </c>
      <c r="L353" t="s">
        <v>328</v>
      </c>
      <c r="M353" t="s">
        <v>331</v>
      </c>
      <c r="N353" t="s">
        <v>327</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689</v>
      </c>
      <c r="F354">
        <v>353</v>
      </c>
      <c r="G354" t="s">
        <v>325</v>
      </c>
      <c r="H354" t="s">
        <v>326</v>
      </c>
      <c r="I354" t="s">
        <v>337</v>
      </c>
      <c r="J354" t="s">
        <v>336</v>
      </c>
      <c r="K354" t="s">
        <v>334</v>
      </c>
      <c r="L354" t="s">
        <v>328</v>
      </c>
      <c r="M354" t="s">
        <v>327</v>
      </c>
      <c r="N354" t="s">
        <v>332</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690</v>
      </c>
      <c r="F355">
        <v>354</v>
      </c>
      <c r="G355" t="s">
        <v>329</v>
      </c>
      <c r="H355" t="s">
        <v>325</v>
      </c>
      <c r="I355" t="s">
        <v>337</v>
      </c>
      <c r="J355" t="s">
        <v>336</v>
      </c>
      <c r="K355" t="s">
        <v>334</v>
      </c>
      <c r="L355" t="s">
        <v>328</v>
      </c>
      <c r="M355" t="s">
        <v>331</v>
      </c>
      <c r="N355" t="s">
        <v>332</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691</v>
      </c>
      <c r="F356">
        <v>355</v>
      </c>
      <c r="G356" t="s">
        <v>329</v>
      </c>
      <c r="H356" t="s">
        <v>326</v>
      </c>
      <c r="I356" t="s">
        <v>337</v>
      </c>
      <c r="J356" t="s">
        <v>336</v>
      </c>
      <c r="K356" t="s">
        <v>334</v>
      </c>
      <c r="L356" t="s">
        <v>328</v>
      </c>
      <c r="M356" t="s">
        <v>331</v>
      </c>
      <c r="N356" t="s">
        <v>325</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692</v>
      </c>
      <c r="F357">
        <v>356</v>
      </c>
      <c r="G357" t="s">
        <v>329</v>
      </c>
      <c r="H357" t="s">
        <v>326</v>
      </c>
      <c r="I357" t="s">
        <v>337</v>
      </c>
      <c r="J357" t="s">
        <v>336</v>
      </c>
      <c r="K357" t="s">
        <v>334</v>
      </c>
      <c r="L357" t="s">
        <v>328</v>
      </c>
      <c r="M357" t="s">
        <v>325</v>
      </c>
      <c r="N357" t="s">
        <v>332</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693</v>
      </c>
      <c r="F358">
        <v>357</v>
      </c>
      <c r="G358" t="s">
        <v>329</v>
      </c>
      <c r="H358" t="s">
        <v>325</v>
      </c>
      <c r="I358" t="s">
        <v>337</v>
      </c>
      <c r="J358" t="s">
        <v>336</v>
      </c>
      <c r="K358" t="s">
        <v>334</v>
      </c>
      <c r="L358" t="s">
        <v>328</v>
      </c>
      <c r="M358" t="s">
        <v>331</v>
      </c>
      <c r="N358" t="s">
        <v>327</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694</v>
      </c>
      <c r="F359">
        <v>358</v>
      </c>
      <c r="G359" t="s">
        <v>329</v>
      </c>
      <c r="H359" t="s">
        <v>325</v>
      </c>
      <c r="I359" t="s">
        <v>337</v>
      </c>
      <c r="J359" t="s">
        <v>336</v>
      </c>
      <c r="K359" t="s">
        <v>334</v>
      </c>
      <c r="L359" t="s">
        <v>328</v>
      </c>
      <c r="M359" t="s">
        <v>327</v>
      </c>
      <c r="N359" t="s">
        <v>332</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695</v>
      </c>
      <c r="F360">
        <v>359</v>
      </c>
      <c r="G360" t="s">
        <v>329</v>
      </c>
      <c r="H360" t="s">
        <v>326</v>
      </c>
      <c r="I360" t="s">
        <v>337</v>
      </c>
      <c r="J360" t="s">
        <v>336</v>
      </c>
      <c r="K360" t="s">
        <v>334</v>
      </c>
      <c r="L360" t="s">
        <v>328</v>
      </c>
      <c r="M360" t="s">
        <v>325</v>
      </c>
      <c r="N360" t="s">
        <v>327</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696</v>
      </c>
      <c r="F361">
        <v>360</v>
      </c>
      <c r="G361" t="s">
        <v>325</v>
      </c>
      <c r="H361" t="s">
        <v>330</v>
      </c>
      <c r="I361" t="s">
        <v>337</v>
      </c>
      <c r="J361" t="s">
        <v>336</v>
      </c>
      <c r="K361" t="s">
        <v>334</v>
      </c>
      <c r="L361" t="s">
        <v>328</v>
      </c>
      <c r="M361" t="s">
        <v>331</v>
      </c>
      <c r="N361" t="s">
        <v>332</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697</v>
      </c>
      <c r="F362">
        <v>361</v>
      </c>
      <c r="G362" t="s">
        <v>325</v>
      </c>
      <c r="H362" t="s">
        <v>330</v>
      </c>
      <c r="I362" t="s">
        <v>337</v>
      </c>
      <c r="J362" t="s">
        <v>336</v>
      </c>
      <c r="K362" t="s">
        <v>334</v>
      </c>
      <c r="L362" t="s">
        <v>328</v>
      </c>
      <c r="M362" t="s">
        <v>331</v>
      </c>
      <c r="N362" t="s">
        <v>326</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698</v>
      </c>
      <c r="F363">
        <v>362</v>
      </c>
      <c r="G363" t="s">
        <v>325</v>
      </c>
      <c r="H363" t="s">
        <v>330</v>
      </c>
      <c r="I363" t="s">
        <v>337</v>
      </c>
      <c r="J363" t="s">
        <v>336</v>
      </c>
      <c r="K363" t="s">
        <v>334</v>
      </c>
      <c r="L363" t="s">
        <v>328</v>
      </c>
      <c r="M363" t="s">
        <v>326</v>
      </c>
      <c r="N363" t="s">
        <v>332</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699</v>
      </c>
      <c r="F364">
        <v>363</v>
      </c>
      <c r="G364" t="s">
        <v>325</v>
      </c>
      <c r="H364" t="s">
        <v>330</v>
      </c>
      <c r="I364" t="s">
        <v>337</v>
      </c>
      <c r="J364" t="s">
        <v>336</v>
      </c>
      <c r="K364" t="s">
        <v>334</v>
      </c>
      <c r="L364" t="s">
        <v>328</v>
      </c>
      <c r="M364" t="s">
        <v>331</v>
      </c>
      <c r="N364" t="s">
        <v>327</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700</v>
      </c>
      <c r="F365">
        <v>364</v>
      </c>
      <c r="G365" t="s">
        <v>325</v>
      </c>
      <c r="H365" t="s">
        <v>330</v>
      </c>
      <c r="I365" t="s">
        <v>337</v>
      </c>
      <c r="J365" t="s">
        <v>336</v>
      </c>
      <c r="K365" t="s">
        <v>334</v>
      </c>
      <c r="L365" t="s">
        <v>328</v>
      </c>
      <c r="M365" t="s">
        <v>327</v>
      </c>
      <c r="N365" t="s">
        <v>332</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701</v>
      </c>
      <c r="F366">
        <v>365</v>
      </c>
      <c r="G366" t="s">
        <v>325</v>
      </c>
      <c r="H366" t="s">
        <v>330</v>
      </c>
      <c r="I366" t="s">
        <v>337</v>
      </c>
      <c r="J366" t="s">
        <v>336</v>
      </c>
      <c r="K366" t="s">
        <v>334</v>
      </c>
      <c r="L366" t="s">
        <v>328</v>
      </c>
      <c r="M366" t="s">
        <v>327</v>
      </c>
      <c r="N366" t="s">
        <v>326</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702</v>
      </c>
      <c r="F367">
        <v>366</v>
      </c>
      <c r="G367" t="s">
        <v>329</v>
      </c>
      <c r="H367" t="s">
        <v>330</v>
      </c>
      <c r="I367" t="s">
        <v>337</v>
      </c>
      <c r="J367" t="s">
        <v>336</v>
      </c>
      <c r="K367" t="s">
        <v>334</v>
      </c>
      <c r="L367" t="s">
        <v>328</v>
      </c>
      <c r="M367" t="s">
        <v>331</v>
      </c>
      <c r="N367" t="s">
        <v>325</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703</v>
      </c>
      <c r="F368">
        <v>367</v>
      </c>
      <c r="G368" t="s">
        <v>329</v>
      </c>
      <c r="H368" t="s">
        <v>330</v>
      </c>
      <c r="I368" t="s">
        <v>337</v>
      </c>
      <c r="J368" t="s">
        <v>336</v>
      </c>
      <c r="K368" t="s">
        <v>334</v>
      </c>
      <c r="L368" t="s">
        <v>328</v>
      </c>
      <c r="M368" t="s">
        <v>325</v>
      </c>
      <c r="N368" t="s">
        <v>332</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704</v>
      </c>
      <c r="F369">
        <v>368</v>
      </c>
      <c r="G369" t="s">
        <v>329</v>
      </c>
      <c r="H369" t="s">
        <v>330</v>
      </c>
      <c r="I369" t="s">
        <v>337</v>
      </c>
      <c r="J369" t="s">
        <v>336</v>
      </c>
      <c r="K369" t="s">
        <v>334</v>
      </c>
      <c r="L369" t="s">
        <v>328</v>
      </c>
      <c r="M369" t="s">
        <v>325</v>
      </c>
      <c r="N369" t="s">
        <v>326</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705</v>
      </c>
      <c r="F370">
        <v>369</v>
      </c>
      <c r="G370" t="s">
        <v>329</v>
      </c>
      <c r="H370" t="s">
        <v>330</v>
      </c>
      <c r="I370" t="s">
        <v>337</v>
      </c>
      <c r="J370" t="s">
        <v>336</v>
      </c>
      <c r="K370" t="s">
        <v>334</v>
      </c>
      <c r="L370" t="s">
        <v>328</v>
      </c>
      <c r="M370" t="s">
        <v>325</v>
      </c>
      <c r="N370" t="s">
        <v>327</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706</v>
      </c>
      <c r="F371">
        <v>370</v>
      </c>
      <c r="G371" t="s">
        <v>327</v>
      </c>
      <c r="H371" t="s">
        <v>326</v>
      </c>
      <c r="I371" t="s">
        <v>337</v>
      </c>
      <c r="J371" t="s">
        <v>339</v>
      </c>
      <c r="K371" t="s">
        <v>334</v>
      </c>
      <c r="L371" t="s">
        <v>329</v>
      </c>
      <c r="M371" t="s">
        <v>331</v>
      </c>
      <c r="N371" t="s">
        <v>332</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
      <c r="A372" t="s">
        <v>707</v>
      </c>
      <c r="F372">
        <v>371</v>
      </c>
      <c r="G372" t="s">
        <v>327</v>
      </c>
      <c r="H372" t="s">
        <v>326</v>
      </c>
      <c r="I372" t="s">
        <v>337</v>
      </c>
      <c r="J372" t="s">
        <v>339</v>
      </c>
      <c r="K372" t="s">
        <v>334</v>
      </c>
      <c r="L372" t="s">
        <v>330</v>
      </c>
      <c r="M372" t="s">
        <v>331</v>
      </c>
      <c r="N372" t="s">
        <v>332</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708</v>
      </c>
      <c r="F373">
        <v>372</v>
      </c>
      <c r="G373" t="s">
        <v>329</v>
      </c>
      <c r="H373" t="s">
        <v>326</v>
      </c>
      <c r="I373" t="s">
        <v>337</v>
      </c>
      <c r="J373" t="s">
        <v>339</v>
      </c>
      <c r="K373" t="s">
        <v>334</v>
      </c>
      <c r="L373" t="s">
        <v>330</v>
      </c>
      <c r="M373" t="s">
        <v>331</v>
      </c>
      <c r="N373" t="s">
        <v>332</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709</v>
      </c>
      <c r="F374">
        <v>373</v>
      </c>
      <c r="G374" t="s">
        <v>327</v>
      </c>
      <c r="H374" t="s">
        <v>330</v>
      </c>
      <c r="I374" t="s">
        <v>337</v>
      </c>
      <c r="J374" t="s">
        <v>339</v>
      </c>
      <c r="K374" t="s">
        <v>334</v>
      </c>
      <c r="L374" t="s">
        <v>329</v>
      </c>
      <c r="M374" t="s">
        <v>331</v>
      </c>
      <c r="N374" t="s">
        <v>332</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710</v>
      </c>
      <c r="F375">
        <v>374</v>
      </c>
      <c r="G375" t="s">
        <v>329</v>
      </c>
      <c r="H375" t="s">
        <v>326</v>
      </c>
      <c r="I375" t="s">
        <v>337</v>
      </c>
      <c r="J375" t="s">
        <v>339</v>
      </c>
      <c r="K375" t="s">
        <v>334</v>
      </c>
      <c r="L375" t="s">
        <v>330</v>
      </c>
      <c r="M375" t="s">
        <v>331</v>
      </c>
      <c r="N375" t="s">
        <v>327</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711</v>
      </c>
      <c r="F376">
        <v>375</v>
      </c>
      <c r="G376" t="s">
        <v>329</v>
      </c>
      <c r="H376" t="s">
        <v>326</v>
      </c>
      <c r="I376" t="s">
        <v>337</v>
      </c>
      <c r="J376" t="s">
        <v>339</v>
      </c>
      <c r="K376" t="s">
        <v>334</v>
      </c>
      <c r="L376" t="s">
        <v>330</v>
      </c>
      <c r="M376" t="s">
        <v>327</v>
      </c>
      <c r="N376" t="s">
        <v>332</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712</v>
      </c>
      <c r="F377">
        <v>376</v>
      </c>
      <c r="G377" t="s">
        <v>327</v>
      </c>
      <c r="H377" t="s">
        <v>326</v>
      </c>
      <c r="I377" t="s">
        <v>337</v>
      </c>
      <c r="J377" t="s">
        <v>339</v>
      </c>
      <c r="K377" t="s">
        <v>334</v>
      </c>
      <c r="L377" t="s">
        <v>328</v>
      </c>
      <c r="M377" t="s">
        <v>331</v>
      </c>
      <c r="N377" t="s">
        <v>332</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713</v>
      </c>
      <c r="F378">
        <v>377</v>
      </c>
      <c r="G378" t="s">
        <v>329</v>
      </c>
      <c r="H378" t="s">
        <v>326</v>
      </c>
      <c r="I378" t="s">
        <v>337</v>
      </c>
      <c r="J378" t="s">
        <v>339</v>
      </c>
      <c r="K378" t="s">
        <v>334</v>
      </c>
      <c r="L378" t="s">
        <v>328</v>
      </c>
      <c r="M378" t="s">
        <v>331</v>
      </c>
      <c r="N378" t="s">
        <v>332</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714</v>
      </c>
      <c r="F379">
        <v>378</v>
      </c>
      <c r="G379" t="s">
        <v>329</v>
      </c>
      <c r="H379" t="s">
        <v>327</v>
      </c>
      <c r="I379" t="s">
        <v>337</v>
      </c>
      <c r="J379" t="s">
        <v>339</v>
      </c>
      <c r="K379" t="s">
        <v>334</v>
      </c>
      <c r="L379" t="s">
        <v>328</v>
      </c>
      <c r="M379" t="s">
        <v>331</v>
      </c>
      <c r="N379" t="s">
        <v>332</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715</v>
      </c>
      <c r="F380">
        <v>379</v>
      </c>
      <c r="G380" t="s">
        <v>329</v>
      </c>
      <c r="H380" t="s">
        <v>326</v>
      </c>
      <c r="I380" t="s">
        <v>337</v>
      </c>
      <c r="J380" t="s">
        <v>339</v>
      </c>
      <c r="K380" t="s">
        <v>334</v>
      </c>
      <c r="L380" t="s">
        <v>328</v>
      </c>
      <c r="M380" t="s">
        <v>331</v>
      </c>
      <c r="N380" t="s">
        <v>327</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716</v>
      </c>
      <c r="F381">
        <v>380</v>
      </c>
      <c r="G381" t="s">
        <v>329</v>
      </c>
      <c r="H381" t="s">
        <v>326</v>
      </c>
      <c r="I381" t="s">
        <v>337</v>
      </c>
      <c r="J381" t="s">
        <v>339</v>
      </c>
      <c r="K381" t="s">
        <v>334</v>
      </c>
      <c r="L381" t="s">
        <v>328</v>
      </c>
      <c r="M381" t="s">
        <v>327</v>
      </c>
      <c r="N381" t="s">
        <v>332</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717</v>
      </c>
      <c r="F382">
        <v>381</v>
      </c>
      <c r="G382" t="s">
        <v>339</v>
      </c>
      <c r="H382" t="s">
        <v>326</v>
      </c>
      <c r="I382" t="s">
        <v>337</v>
      </c>
      <c r="J382" t="s">
        <v>328</v>
      </c>
      <c r="K382" t="s">
        <v>334</v>
      </c>
      <c r="L382" t="s">
        <v>330</v>
      </c>
      <c r="M382" t="s">
        <v>331</v>
      </c>
      <c r="N382" t="s">
        <v>332</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718</v>
      </c>
      <c r="F383">
        <v>382</v>
      </c>
      <c r="G383" t="s">
        <v>327</v>
      </c>
      <c r="H383" t="s">
        <v>330</v>
      </c>
      <c r="I383" t="s">
        <v>337</v>
      </c>
      <c r="J383" t="s">
        <v>339</v>
      </c>
      <c r="K383" t="s">
        <v>334</v>
      </c>
      <c r="L383" t="s">
        <v>328</v>
      </c>
      <c r="M383" t="s">
        <v>331</v>
      </c>
      <c r="N383" t="s">
        <v>332</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719</v>
      </c>
      <c r="F384">
        <v>383</v>
      </c>
      <c r="G384" t="s">
        <v>339</v>
      </c>
      <c r="H384" t="s">
        <v>326</v>
      </c>
      <c r="I384" t="s">
        <v>337</v>
      </c>
      <c r="J384" t="s">
        <v>328</v>
      </c>
      <c r="K384" t="s">
        <v>334</v>
      </c>
      <c r="L384" t="s">
        <v>330</v>
      </c>
      <c r="M384" t="s">
        <v>331</v>
      </c>
      <c r="N384" t="s">
        <v>327</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720</v>
      </c>
      <c r="F385">
        <v>384</v>
      </c>
      <c r="G385" t="s">
        <v>339</v>
      </c>
      <c r="H385" t="s">
        <v>326</v>
      </c>
      <c r="I385" t="s">
        <v>337</v>
      </c>
      <c r="J385" t="s">
        <v>328</v>
      </c>
      <c r="K385" t="s">
        <v>334</v>
      </c>
      <c r="L385" t="s">
        <v>330</v>
      </c>
      <c r="M385" t="s">
        <v>327</v>
      </c>
      <c r="N385" t="s">
        <v>332</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721</v>
      </c>
      <c r="F386">
        <v>385</v>
      </c>
      <c r="G386" t="s">
        <v>329</v>
      </c>
      <c r="H386" t="s">
        <v>330</v>
      </c>
      <c r="I386" t="s">
        <v>337</v>
      </c>
      <c r="J386" t="s">
        <v>339</v>
      </c>
      <c r="K386" t="s">
        <v>334</v>
      </c>
      <c r="L386" t="s">
        <v>328</v>
      </c>
      <c r="M386" t="s">
        <v>331</v>
      </c>
      <c r="N386" t="s">
        <v>332</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722</v>
      </c>
      <c r="F387">
        <v>386</v>
      </c>
      <c r="G387" t="s">
        <v>329</v>
      </c>
      <c r="H387" t="s">
        <v>330</v>
      </c>
      <c r="I387" t="s">
        <v>337</v>
      </c>
      <c r="J387" t="s">
        <v>339</v>
      </c>
      <c r="K387" t="s">
        <v>334</v>
      </c>
      <c r="L387" t="s">
        <v>328</v>
      </c>
      <c r="M387" t="s">
        <v>331</v>
      </c>
      <c r="N387" t="s">
        <v>326</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723</v>
      </c>
      <c r="F388">
        <v>387</v>
      </c>
      <c r="G388" t="s">
        <v>329</v>
      </c>
      <c r="H388" t="s">
        <v>330</v>
      </c>
      <c r="I388" t="s">
        <v>337</v>
      </c>
      <c r="J388" t="s">
        <v>339</v>
      </c>
      <c r="K388" t="s">
        <v>334</v>
      </c>
      <c r="L388" t="s">
        <v>328</v>
      </c>
      <c r="M388" t="s">
        <v>326</v>
      </c>
      <c r="N388" t="s">
        <v>332</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724</v>
      </c>
      <c r="F389">
        <v>388</v>
      </c>
      <c r="G389" t="s">
        <v>329</v>
      </c>
      <c r="H389" t="s">
        <v>330</v>
      </c>
      <c r="I389" t="s">
        <v>337</v>
      </c>
      <c r="J389" t="s">
        <v>339</v>
      </c>
      <c r="K389" t="s">
        <v>334</v>
      </c>
      <c r="L389" t="s">
        <v>328</v>
      </c>
      <c r="M389" t="s">
        <v>331</v>
      </c>
      <c r="N389" t="s">
        <v>327</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725</v>
      </c>
      <c r="F390">
        <v>389</v>
      </c>
      <c r="G390" t="s">
        <v>329</v>
      </c>
      <c r="H390" t="s">
        <v>330</v>
      </c>
      <c r="I390" t="s">
        <v>337</v>
      </c>
      <c r="J390" t="s">
        <v>339</v>
      </c>
      <c r="K390" t="s">
        <v>334</v>
      </c>
      <c r="L390" t="s">
        <v>328</v>
      </c>
      <c r="M390" t="s">
        <v>327</v>
      </c>
      <c r="N390" t="s">
        <v>332</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726</v>
      </c>
      <c r="F391">
        <v>390</v>
      </c>
      <c r="G391" t="s">
        <v>329</v>
      </c>
      <c r="H391" t="s">
        <v>330</v>
      </c>
      <c r="I391" t="s">
        <v>337</v>
      </c>
      <c r="J391" t="s">
        <v>339</v>
      </c>
      <c r="K391" t="s">
        <v>334</v>
      </c>
      <c r="L391" t="s">
        <v>328</v>
      </c>
      <c r="M391" t="s">
        <v>327</v>
      </c>
      <c r="N391" t="s">
        <v>326</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727</v>
      </c>
      <c r="F392">
        <v>391</v>
      </c>
      <c r="G392" t="s">
        <v>325</v>
      </c>
      <c r="H392" t="s">
        <v>326</v>
      </c>
      <c r="I392" t="s">
        <v>337</v>
      </c>
      <c r="J392" t="s">
        <v>334</v>
      </c>
      <c r="K392" t="s">
        <v>327</v>
      </c>
      <c r="L392" t="s">
        <v>339</v>
      </c>
      <c r="M392" t="s">
        <v>331</v>
      </c>
      <c r="N392" t="s">
        <v>332</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728</v>
      </c>
      <c r="F393">
        <v>392</v>
      </c>
      <c r="G393" t="s">
        <v>325</v>
      </c>
      <c r="H393" t="s">
        <v>326</v>
      </c>
      <c r="I393" t="s">
        <v>337</v>
      </c>
      <c r="J393" t="s">
        <v>339</v>
      </c>
      <c r="K393" t="s">
        <v>334</v>
      </c>
      <c r="L393" t="s">
        <v>329</v>
      </c>
      <c r="M393" t="s">
        <v>331</v>
      </c>
      <c r="N393" t="s">
        <v>332</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729</v>
      </c>
      <c r="F394">
        <v>393</v>
      </c>
      <c r="G394" t="s">
        <v>325</v>
      </c>
      <c r="H394" t="s">
        <v>327</v>
      </c>
      <c r="I394" t="s">
        <v>337</v>
      </c>
      <c r="J394" t="s">
        <v>339</v>
      </c>
      <c r="K394" t="s">
        <v>334</v>
      </c>
      <c r="L394" t="s">
        <v>329</v>
      </c>
      <c r="M394" t="s">
        <v>331</v>
      </c>
      <c r="N394" t="s">
        <v>332</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7</v>
      </c>
    </row>
    <row r="395" spans="1:25" x14ac:dyDescent="0.2">
      <c r="A395" t="s">
        <v>730</v>
      </c>
      <c r="F395">
        <v>394</v>
      </c>
      <c r="G395" t="s">
        <v>325</v>
      </c>
      <c r="H395" t="s">
        <v>326</v>
      </c>
      <c r="I395" t="s">
        <v>337</v>
      </c>
      <c r="J395" t="s">
        <v>339</v>
      </c>
      <c r="K395" t="s">
        <v>334</v>
      </c>
      <c r="L395" t="s">
        <v>329</v>
      </c>
      <c r="M395" t="s">
        <v>331</v>
      </c>
      <c r="N395" t="s">
        <v>327</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
      <c r="A396" t="s">
        <v>731</v>
      </c>
      <c r="F396">
        <v>395</v>
      </c>
      <c r="G396" t="s">
        <v>325</v>
      </c>
      <c r="H396" t="s">
        <v>326</v>
      </c>
      <c r="I396" t="s">
        <v>337</v>
      </c>
      <c r="J396" t="s">
        <v>339</v>
      </c>
      <c r="K396" t="s">
        <v>334</v>
      </c>
      <c r="L396" t="s">
        <v>329</v>
      </c>
      <c r="M396" t="s">
        <v>327</v>
      </c>
      <c r="N396" t="s">
        <v>332</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732</v>
      </c>
      <c r="F397">
        <v>396</v>
      </c>
      <c r="G397" t="s">
        <v>325</v>
      </c>
      <c r="H397" t="s">
        <v>326</v>
      </c>
      <c r="I397" t="s">
        <v>337</v>
      </c>
      <c r="J397" t="s">
        <v>339</v>
      </c>
      <c r="K397" t="s">
        <v>334</v>
      </c>
      <c r="L397" t="s">
        <v>330</v>
      </c>
      <c r="M397" t="s">
        <v>331</v>
      </c>
      <c r="N397" t="s">
        <v>332</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733</v>
      </c>
      <c r="F398">
        <v>397</v>
      </c>
      <c r="G398" t="s">
        <v>325</v>
      </c>
      <c r="H398" t="s">
        <v>330</v>
      </c>
      <c r="I398" t="s">
        <v>337</v>
      </c>
      <c r="J398" t="s">
        <v>334</v>
      </c>
      <c r="K398" t="s">
        <v>327</v>
      </c>
      <c r="L398" t="s">
        <v>339</v>
      </c>
      <c r="M398" t="s">
        <v>331</v>
      </c>
      <c r="N398" t="s">
        <v>332</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734</v>
      </c>
      <c r="F399">
        <v>398</v>
      </c>
      <c r="G399" t="s">
        <v>325</v>
      </c>
      <c r="H399" t="s">
        <v>326</v>
      </c>
      <c r="I399" t="s">
        <v>337</v>
      </c>
      <c r="J399" t="s">
        <v>339</v>
      </c>
      <c r="K399" t="s">
        <v>334</v>
      </c>
      <c r="L399" t="s">
        <v>330</v>
      </c>
      <c r="M399" t="s">
        <v>331</v>
      </c>
      <c r="N399" t="s">
        <v>327</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735</v>
      </c>
      <c r="F400">
        <v>399</v>
      </c>
      <c r="G400" t="s">
        <v>325</v>
      </c>
      <c r="H400" t="s">
        <v>326</v>
      </c>
      <c r="I400" t="s">
        <v>337</v>
      </c>
      <c r="J400" t="s">
        <v>339</v>
      </c>
      <c r="K400" t="s">
        <v>334</v>
      </c>
      <c r="L400" t="s">
        <v>330</v>
      </c>
      <c r="M400" t="s">
        <v>327</v>
      </c>
      <c r="N400" t="s">
        <v>332</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736</v>
      </c>
      <c r="F401">
        <v>400</v>
      </c>
      <c r="G401" t="s">
        <v>325</v>
      </c>
      <c r="H401" t="s">
        <v>330</v>
      </c>
      <c r="I401" t="s">
        <v>337</v>
      </c>
      <c r="J401" t="s">
        <v>339</v>
      </c>
      <c r="K401" t="s">
        <v>334</v>
      </c>
      <c r="L401" t="s">
        <v>329</v>
      </c>
      <c r="M401" t="s">
        <v>331</v>
      </c>
      <c r="N401" t="s">
        <v>332</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737</v>
      </c>
      <c r="F402">
        <v>401</v>
      </c>
      <c r="G402" t="s">
        <v>329</v>
      </c>
      <c r="H402" t="s">
        <v>326</v>
      </c>
      <c r="I402" t="s">
        <v>337</v>
      </c>
      <c r="J402" t="s">
        <v>339</v>
      </c>
      <c r="K402" t="s">
        <v>334</v>
      </c>
      <c r="L402" t="s">
        <v>330</v>
      </c>
      <c r="M402" t="s">
        <v>331</v>
      </c>
      <c r="N402" t="s">
        <v>325</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738</v>
      </c>
      <c r="F403">
        <v>402</v>
      </c>
      <c r="G403" t="s">
        <v>329</v>
      </c>
      <c r="H403" t="s">
        <v>326</v>
      </c>
      <c r="I403" t="s">
        <v>337</v>
      </c>
      <c r="J403" t="s">
        <v>339</v>
      </c>
      <c r="K403" t="s">
        <v>334</v>
      </c>
      <c r="L403" t="s">
        <v>330</v>
      </c>
      <c r="M403" t="s">
        <v>325</v>
      </c>
      <c r="N403" t="s">
        <v>332</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739</v>
      </c>
      <c r="F404">
        <v>403</v>
      </c>
      <c r="G404" t="s">
        <v>325</v>
      </c>
      <c r="H404" t="s">
        <v>330</v>
      </c>
      <c r="I404" t="s">
        <v>337</v>
      </c>
      <c r="J404" t="s">
        <v>339</v>
      </c>
      <c r="K404" t="s">
        <v>334</v>
      </c>
      <c r="L404" t="s">
        <v>329</v>
      </c>
      <c r="M404" t="s">
        <v>331</v>
      </c>
      <c r="N404" t="s">
        <v>327</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740</v>
      </c>
      <c r="F405">
        <v>404</v>
      </c>
      <c r="G405" t="s">
        <v>325</v>
      </c>
      <c r="H405" t="s">
        <v>330</v>
      </c>
      <c r="I405" t="s">
        <v>337</v>
      </c>
      <c r="J405" t="s">
        <v>339</v>
      </c>
      <c r="K405" t="s">
        <v>334</v>
      </c>
      <c r="L405" t="s">
        <v>329</v>
      </c>
      <c r="M405" t="s">
        <v>327</v>
      </c>
      <c r="N405" t="s">
        <v>332</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741</v>
      </c>
      <c r="F406">
        <v>405</v>
      </c>
      <c r="G406" t="s">
        <v>329</v>
      </c>
      <c r="H406" t="s">
        <v>326</v>
      </c>
      <c r="I406" t="s">
        <v>337</v>
      </c>
      <c r="J406" t="s">
        <v>339</v>
      </c>
      <c r="K406" t="s">
        <v>334</v>
      </c>
      <c r="L406" t="s">
        <v>330</v>
      </c>
      <c r="M406" t="s">
        <v>325</v>
      </c>
      <c r="N406" t="s">
        <v>327</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742</v>
      </c>
      <c r="F407">
        <v>406</v>
      </c>
      <c r="G407" t="s">
        <v>325</v>
      </c>
      <c r="H407" t="s">
        <v>326</v>
      </c>
      <c r="I407" t="s">
        <v>337</v>
      </c>
      <c r="J407" t="s">
        <v>339</v>
      </c>
      <c r="K407" t="s">
        <v>334</v>
      </c>
      <c r="L407" t="s">
        <v>328</v>
      </c>
      <c r="M407" t="s">
        <v>331</v>
      </c>
      <c r="N407" t="s">
        <v>332</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743</v>
      </c>
      <c r="F408">
        <v>407</v>
      </c>
      <c r="G408" t="s">
        <v>325</v>
      </c>
      <c r="H408" t="s">
        <v>327</v>
      </c>
      <c r="I408" t="s">
        <v>337</v>
      </c>
      <c r="J408" t="s">
        <v>339</v>
      </c>
      <c r="K408" t="s">
        <v>334</v>
      </c>
      <c r="L408" t="s">
        <v>328</v>
      </c>
      <c r="M408" t="s">
        <v>331</v>
      </c>
      <c r="N408" t="s">
        <v>332</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744</v>
      </c>
      <c r="F409">
        <v>408</v>
      </c>
      <c r="G409" t="s">
        <v>325</v>
      </c>
      <c r="H409" t="s">
        <v>326</v>
      </c>
      <c r="I409" t="s">
        <v>337</v>
      </c>
      <c r="J409" t="s">
        <v>339</v>
      </c>
      <c r="K409" t="s">
        <v>334</v>
      </c>
      <c r="L409" t="s">
        <v>328</v>
      </c>
      <c r="M409" t="s">
        <v>331</v>
      </c>
      <c r="N409" t="s">
        <v>327</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745</v>
      </c>
      <c r="F410">
        <v>409</v>
      </c>
      <c r="G410" t="s">
        <v>325</v>
      </c>
      <c r="H410" t="s">
        <v>326</v>
      </c>
      <c r="I410" t="s">
        <v>337</v>
      </c>
      <c r="J410" t="s">
        <v>339</v>
      </c>
      <c r="K410" t="s">
        <v>334</v>
      </c>
      <c r="L410" t="s">
        <v>328</v>
      </c>
      <c r="M410" t="s">
        <v>327</v>
      </c>
      <c r="N410" t="s">
        <v>332</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746</v>
      </c>
      <c r="F411">
        <v>410</v>
      </c>
      <c r="G411" t="s">
        <v>329</v>
      </c>
      <c r="H411" t="s">
        <v>325</v>
      </c>
      <c r="I411" t="s">
        <v>337</v>
      </c>
      <c r="J411" t="s">
        <v>339</v>
      </c>
      <c r="K411" t="s">
        <v>334</v>
      </c>
      <c r="L411" t="s">
        <v>328</v>
      </c>
      <c r="M411" t="s">
        <v>331</v>
      </c>
      <c r="N411" t="s">
        <v>332</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747</v>
      </c>
      <c r="F412">
        <v>411</v>
      </c>
      <c r="G412" t="s">
        <v>329</v>
      </c>
      <c r="H412" t="s">
        <v>326</v>
      </c>
      <c r="I412" t="s">
        <v>337</v>
      </c>
      <c r="J412" t="s">
        <v>339</v>
      </c>
      <c r="K412" t="s">
        <v>334</v>
      </c>
      <c r="L412" t="s">
        <v>328</v>
      </c>
      <c r="M412" t="s">
        <v>331</v>
      </c>
      <c r="N412" t="s">
        <v>325</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748</v>
      </c>
      <c r="F413">
        <v>412</v>
      </c>
      <c r="G413" t="s">
        <v>329</v>
      </c>
      <c r="H413" t="s">
        <v>326</v>
      </c>
      <c r="I413" t="s">
        <v>337</v>
      </c>
      <c r="J413" t="s">
        <v>339</v>
      </c>
      <c r="K413" t="s">
        <v>334</v>
      </c>
      <c r="L413" t="s">
        <v>328</v>
      </c>
      <c r="M413" t="s">
        <v>325</v>
      </c>
      <c r="N413" t="s">
        <v>332</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749</v>
      </c>
      <c r="F414">
        <v>413</v>
      </c>
      <c r="G414" t="s">
        <v>329</v>
      </c>
      <c r="H414" t="s">
        <v>325</v>
      </c>
      <c r="I414" t="s">
        <v>337</v>
      </c>
      <c r="J414" t="s">
        <v>339</v>
      </c>
      <c r="K414" t="s">
        <v>334</v>
      </c>
      <c r="L414" t="s">
        <v>328</v>
      </c>
      <c r="M414" t="s">
        <v>331</v>
      </c>
      <c r="N414" t="s">
        <v>327</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750</v>
      </c>
      <c r="F415">
        <v>414</v>
      </c>
      <c r="G415" t="s">
        <v>329</v>
      </c>
      <c r="H415" t="s">
        <v>325</v>
      </c>
      <c r="I415" t="s">
        <v>337</v>
      </c>
      <c r="J415" t="s">
        <v>339</v>
      </c>
      <c r="K415" t="s">
        <v>334</v>
      </c>
      <c r="L415" t="s">
        <v>328</v>
      </c>
      <c r="M415" t="s">
        <v>327</v>
      </c>
      <c r="N415" t="s">
        <v>332</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751</v>
      </c>
      <c r="F416">
        <v>415</v>
      </c>
      <c r="G416" t="s">
        <v>329</v>
      </c>
      <c r="H416" t="s">
        <v>326</v>
      </c>
      <c r="I416" t="s">
        <v>337</v>
      </c>
      <c r="J416" t="s">
        <v>339</v>
      </c>
      <c r="K416" t="s">
        <v>334</v>
      </c>
      <c r="L416" t="s">
        <v>328</v>
      </c>
      <c r="M416" t="s">
        <v>325</v>
      </c>
      <c r="N416" t="s">
        <v>327</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752</v>
      </c>
      <c r="F417">
        <v>416</v>
      </c>
      <c r="G417" t="s">
        <v>325</v>
      </c>
      <c r="H417" t="s">
        <v>330</v>
      </c>
      <c r="I417" t="s">
        <v>337</v>
      </c>
      <c r="J417" t="s">
        <v>339</v>
      </c>
      <c r="K417" t="s">
        <v>334</v>
      </c>
      <c r="L417" t="s">
        <v>328</v>
      </c>
      <c r="M417" t="s">
        <v>331</v>
      </c>
      <c r="N417" t="s">
        <v>332</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753</v>
      </c>
      <c r="F418">
        <v>417</v>
      </c>
      <c r="G418" t="s">
        <v>325</v>
      </c>
      <c r="H418" t="s">
        <v>330</v>
      </c>
      <c r="I418" t="s">
        <v>337</v>
      </c>
      <c r="J418" t="s">
        <v>339</v>
      </c>
      <c r="K418" t="s">
        <v>334</v>
      </c>
      <c r="L418" t="s">
        <v>328</v>
      </c>
      <c r="M418" t="s">
        <v>331</v>
      </c>
      <c r="N418" t="s">
        <v>326</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754</v>
      </c>
      <c r="F419">
        <v>418</v>
      </c>
      <c r="G419" t="s">
        <v>325</v>
      </c>
      <c r="H419" t="s">
        <v>330</v>
      </c>
      <c r="I419" t="s">
        <v>337</v>
      </c>
      <c r="J419" t="s">
        <v>339</v>
      </c>
      <c r="K419" t="s">
        <v>334</v>
      </c>
      <c r="L419" t="s">
        <v>328</v>
      </c>
      <c r="M419" t="s">
        <v>326</v>
      </c>
      <c r="N419" t="s">
        <v>332</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755</v>
      </c>
      <c r="F420">
        <v>419</v>
      </c>
      <c r="G420" t="s">
        <v>325</v>
      </c>
      <c r="H420" t="s">
        <v>330</v>
      </c>
      <c r="I420" t="s">
        <v>337</v>
      </c>
      <c r="J420" t="s">
        <v>339</v>
      </c>
      <c r="K420" t="s">
        <v>334</v>
      </c>
      <c r="L420" t="s">
        <v>328</v>
      </c>
      <c r="M420" t="s">
        <v>331</v>
      </c>
      <c r="N420" t="s">
        <v>327</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756</v>
      </c>
      <c r="F421">
        <v>420</v>
      </c>
      <c r="G421" t="s">
        <v>325</v>
      </c>
      <c r="H421" t="s">
        <v>330</v>
      </c>
      <c r="I421" t="s">
        <v>337</v>
      </c>
      <c r="J421" t="s">
        <v>339</v>
      </c>
      <c r="K421" t="s">
        <v>334</v>
      </c>
      <c r="L421" t="s">
        <v>328</v>
      </c>
      <c r="M421" t="s">
        <v>327</v>
      </c>
      <c r="N421" t="s">
        <v>332</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757</v>
      </c>
      <c r="F422">
        <v>421</v>
      </c>
      <c r="G422" t="s">
        <v>325</v>
      </c>
      <c r="H422" t="s">
        <v>330</v>
      </c>
      <c r="I422" t="s">
        <v>337</v>
      </c>
      <c r="J422" t="s">
        <v>339</v>
      </c>
      <c r="K422" t="s">
        <v>334</v>
      </c>
      <c r="L422" t="s">
        <v>328</v>
      </c>
      <c r="M422" t="s">
        <v>327</v>
      </c>
      <c r="N422" t="s">
        <v>326</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758</v>
      </c>
      <c r="F423">
        <v>422</v>
      </c>
      <c r="G423" t="s">
        <v>329</v>
      </c>
      <c r="H423" t="s">
        <v>330</v>
      </c>
      <c r="I423" t="s">
        <v>337</v>
      </c>
      <c r="J423" t="s">
        <v>339</v>
      </c>
      <c r="K423" t="s">
        <v>334</v>
      </c>
      <c r="L423" t="s">
        <v>328</v>
      </c>
      <c r="M423" t="s">
        <v>331</v>
      </c>
      <c r="N423" t="s">
        <v>325</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759</v>
      </c>
      <c r="F424">
        <v>423</v>
      </c>
      <c r="G424" t="s">
        <v>329</v>
      </c>
      <c r="H424" t="s">
        <v>330</v>
      </c>
      <c r="I424" t="s">
        <v>337</v>
      </c>
      <c r="J424" t="s">
        <v>339</v>
      </c>
      <c r="K424" t="s">
        <v>334</v>
      </c>
      <c r="L424" t="s">
        <v>328</v>
      </c>
      <c r="M424" t="s">
        <v>325</v>
      </c>
      <c r="N424" t="s">
        <v>332</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760</v>
      </c>
      <c r="F425">
        <v>424</v>
      </c>
      <c r="G425" t="s">
        <v>329</v>
      </c>
      <c r="H425" t="s">
        <v>330</v>
      </c>
      <c r="I425" t="s">
        <v>337</v>
      </c>
      <c r="J425" t="s">
        <v>339</v>
      </c>
      <c r="K425" t="s">
        <v>334</v>
      </c>
      <c r="L425" t="s">
        <v>328</v>
      </c>
      <c r="M425" t="s">
        <v>325</v>
      </c>
      <c r="N425" t="s">
        <v>326</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761</v>
      </c>
      <c r="F426">
        <v>425</v>
      </c>
      <c r="G426" t="s">
        <v>329</v>
      </c>
      <c r="H426" t="s">
        <v>330</v>
      </c>
      <c r="I426" t="s">
        <v>337</v>
      </c>
      <c r="J426" t="s">
        <v>339</v>
      </c>
      <c r="K426" t="s">
        <v>334</v>
      </c>
      <c r="L426" t="s">
        <v>328</v>
      </c>
      <c r="M426" t="s">
        <v>325</v>
      </c>
      <c r="N426" t="s">
        <v>327</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762</v>
      </c>
      <c r="F427">
        <v>426</v>
      </c>
      <c r="G427" t="s">
        <v>327</v>
      </c>
      <c r="H427" t="s">
        <v>326</v>
      </c>
      <c r="I427" t="s">
        <v>337</v>
      </c>
      <c r="J427" t="s">
        <v>339</v>
      </c>
      <c r="K427" t="s">
        <v>334</v>
      </c>
      <c r="L427" t="s">
        <v>336</v>
      </c>
      <c r="M427" t="s">
        <v>331</v>
      </c>
      <c r="N427" t="s">
        <v>332</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763</v>
      </c>
      <c r="F428">
        <v>427</v>
      </c>
      <c r="G428" t="s">
        <v>329</v>
      </c>
      <c r="H428" t="s">
        <v>326</v>
      </c>
      <c r="I428" t="s">
        <v>337</v>
      </c>
      <c r="J428" t="s">
        <v>339</v>
      </c>
      <c r="K428" t="s">
        <v>334</v>
      </c>
      <c r="L428" t="s">
        <v>336</v>
      </c>
      <c r="M428" t="s">
        <v>331</v>
      </c>
      <c r="N428" t="s">
        <v>332</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764</v>
      </c>
      <c r="F429">
        <v>428</v>
      </c>
      <c r="G429" t="s">
        <v>329</v>
      </c>
      <c r="H429" t="s">
        <v>327</v>
      </c>
      <c r="I429" t="s">
        <v>337</v>
      </c>
      <c r="J429" t="s">
        <v>339</v>
      </c>
      <c r="K429" t="s">
        <v>334</v>
      </c>
      <c r="L429" t="s">
        <v>336</v>
      </c>
      <c r="M429" t="s">
        <v>331</v>
      </c>
      <c r="N429" t="s">
        <v>332</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7</v>
      </c>
    </row>
    <row r="430" spans="1:25" x14ac:dyDescent="0.2">
      <c r="A430" t="s">
        <v>765</v>
      </c>
      <c r="F430">
        <v>429</v>
      </c>
      <c r="G430" t="s">
        <v>329</v>
      </c>
      <c r="H430" t="s">
        <v>326</v>
      </c>
      <c r="I430" t="s">
        <v>337</v>
      </c>
      <c r="J430" t="s">
        <v>339</v>
      </c>
      <c r="K430" t="s">
        <v>334</v>
      </c>
      <c r="L430" t="s">
        <v>336</v>
      </c>
      <c r="M430" t="s">
        <v>331</v>
      </c>
      <c r="N430" t="s">
        <v>327</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
      <c r="A431" t="s">
        <v>766</v>
      </c>
      <c r="F431">
        <v>430</v>
      </c>
      <c r="G431" t="s">
        <v>329</v>
      </c>
      <c r="H431" t="s">
        <v>326</v>
      </c>
      <c r="I431" t="s">
        <v>337</v>
      </c>
      <c r="J431" t="s">
        <v>339</v>
      </c>
      <c r="K431" t="s">
        <v>334</v>
      </c>
      <c r="L431" t="s">
        <v>336</v>
      </c>
      <c r="M431" t="s">
        <v>327</v>
      </c>
      <c r="N431" t="s">
        <v>332</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767</v>
      </c>
      <c r="F432">
        <v>431</v>
      </c>
      <c r="G432" t="s">
        <v>339</v>
      </c>
      <c r="H432" t="s">
        <v>326</v>
      </c>
      <c r="I432" t="s">
        <v>337</v>
      </c>
      <c r="J432" t="s">
        <v>336</v>
      </c>
      <c r="K432" t="s">
        <v>334</v>
      </c>
      <c r="L432" t="s">
        <v>330</v>
      </c>
      <c r="M432" t="s">
        <v>331</v>
      </c>
      <c r="N432" t="s">
        <v>332</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768</v>
      </c>
      <c r="F433">
        <v>432</v>
      </c>
      <c r="G433" t="s">
        <v>327</v>
      </c>
      <c r="H433" t="s">
        <v>330</v>
      </c>
      <c r="I433" t="s">
        <v>337</v>
      </c>
      <c r="J433" t="s">
        <v>339</v>
      </c>
      <c r="K433" t="s">
        <v>334</v>
      </c>
      <c r="L433" t="s">
        <v>336</v>
      </c>
      <c r="M433" t="s">
        <v>331</v>
      </c>
      <c r="N433" t="s">
        <v>332</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769</v>
      </c>
      <c r="F434">
        <v>433</v>
      </c>
      <c r="G434" t="s">
        <v>339</v>
      </c>
      <c r="H434" t="s">
        <v>326</v>
      </c>
      <c r="I434" t="s">
        <v>337</v>
      </c>
      <c r="J434" t="s">
        <v>336</v>
      </c>
      <c r="K434" t="s">
        <v>334</v>
      </c>
      <c r="L434" t="s">
        <v>330</v>
      </c>
      <c r="M434" t="s">
        <v>331</v>
      </c>
      <c r="N434" t="s">
        <v>327</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770</v>
      </c>
      <c r="F435">
        <v>434</v>
      </c>
      <c r="G435" t="s">
        <v>339</v>
      </c>
      <c r="H435" t="s">
        <v>326</v>
      </c>
      <c r="I435" t="s">
        <v>337</v>
      </c>
      <c r="J435" t="s">
        <v>336</v>
      </c>
      <c r="K435" t="s">
        <v>334</v>
      </c>
      <c r="L435" t="s">
        <v>330</v>
      </c>
      <c r="M435" t="s">
        <v>327</v>
      </c>
      <c r="N435" t="s">
        <v>332</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771</v>
      </c>
      <c r="F436">
        <v>435</v>
      </c>
      <c r="G436" t="s">
        <v>329</v>
      </c>
      <c r="H436" t="s">
        <v>330</v>
      </c>
      <c r="I436" t="s">
        <v>337</v>
      </c>
      <c r="J436" t="s">
        <v>339</v>
      </c>
      <c r="K436" t="s">
        <v>334</v>
      </c>
      <c r="L436" t="s">
        <v>336</v>
      </c>
      <c r="M436" t="s">
        <v>331</v>
      </c>
      <c r="N436" t="s">
        <v>332</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772</v>
      </c>
      <c r="F437">
        <v>436</v>
      </c>
      <c r="G437" t="s">
        <v>329</v>
      </c>
      <c r="H437" t="s">
        <v>330</v>
      </c>
      <c r="I437" t="s">
        <v>337</v>
      </c>
      <c r="J437" t="s">
        <v>339</v>
      </c>
      <c r="K437" t="s">
        <v>334</v>
      </c>
      <c r="L437" t="s">
        <v>336</v>
      </c>
      <c r="M437" t="s">
        <v>331</v>
      </c>
      <c r="N437" t="s">
        <v>326</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773</v>
      </c>
      <c r="F438">
        <v>437</v>
      </c>
      <c r="G438" t="s">
        <v>329</v>
      </c>
      <c r="H438" t="s">
        <v>330</v>
      </c>
      <c r="I438" t="s">
        <v>337</v>
      </c>
      <c r="J438" t="s">
        <v>339</v>
      </c>
      <c r="K438" t="s">
        <v>334</v>
      </c>
      <c r="L438" t="s">
        <v>336</v>
      </c>
      <c r="M438" t="s">
        <v>326</v>
      </c>
      <c r="N438" t="s">
        <v>332</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774</v>
      </c>
      <c r="F439">
        <v>438</v>
      </c>
      <c r="G439" t="s">
        <v>329</v>
      </c>
      <c r="H439" t="s">
        <v>330</v>
      </c>
      <c r="I439" t="s">
        <v>337</v>
      </c>
      <c r="J439" t="s">
        <v>339</v>
      </c>
      <c r="K439" t="s">
        <v>334</v>
      </c>
      <c r="L439" t="s">
        <v>336</v>
      </c>
      <c r="M439" t="s">
        <v>331</v>
      </c>
      <c r="N439" t="s">
        <v>327</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7</v>
      </c>
    </row>
    <row r="440" spans="1:25" x14ac:dyDescent="0.2">
      <c r="A440" t="s">
        <v>775</v>
      </c>
      <c r="F440">
        <v>439</v>
      </c>
      <c r="G440" t="s">
        <v>329</v>
      </c>
      <c r="H440" t="s">
        <v>330</v>
      </c>
      <c r="I440" t="s">
        <v>337</v>
      </c>
      <c r="J440" t="s">
        <v>339</v>
      </c>
      <c r="K440" t="s">
        <v>334</v>
      </c>
      <c r="L440" t="s">
        <v>336</v>
      </c>
      <c r="M440" t="s">
        <v>327</v>
      </c>
      <c r="N440" t="s">
        <v>332</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776</v>
      </c>
      <c r="F441">
        <v>440</v>
      </c>
      <c r="G441" t="s">
        <v>329</v>
      </c>
      <c r="H441" t="s">
        <v>330</v>
      </c>
      <c r="I441" t="s">
        <v>337</v>
      </c>
      <c r="J441" t="s">
        <v>339</v>
      </c>
      <c r="K441" t="s">
        <v>334</v>
      </c>
      <c r="L441" t="s">
        <v>336</v>
      </c>
      <c r="M441" t="s">
        <v>327</v>
      </c>
      <c r="N441" t="s">
        <v>326</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777</v>
      </c>
      <c r="F442">
        <v>441</v>
      </c>
      <c r="G442" t="s">
        <v>339</v>
      </c>
      <c r="H442" t="s">
        <v>326</v>
      </c>
      <c r="I442" t="s">
        <v>337</v>
      </c>
      <c r="J442" t="s">
        <v>336</v>
      </c>
      <c r="K442" t="s">
        <v>334</v>
      </c>
      <c r="L442" t="s">
        <v>328</v>
      </c>
      <c r="M442" t="s">
        <v>331</v>
      </c>
      <c r="N442" t="s">
        <v>332</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778</v>
      </c>
      <c r="F443">
        <v>442</v>
      </c>
      <c r="G443" t="s">
        <v>339</v>
      </c>
      <c r="H443" t="s">
        <v>327</v>
      </c>
      <c r="I443" t="s">
        <v>337</v>
      </c>
      <c r="J443" t="s">
        <v>336</v>
      </c>
      <c r="K443" t="s">
        <v>334</v>
      </c>
      <c r="L443" t="s">
        <v>328</v>
      </c>
      <c r="M443" t="s">
        <v>331</v>
      </c>
      <c r="N443" t="s">
        <v>332</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779</v>
      </c>
      <c r="F444">
        <v>443</v>
      </c>
      <c r="G444" t="s">
        <v>339</v>
      </c>
      <c r="H444" t="s">
        <v>326</v>
      </c>
      <c r="I444" t="s">
        <v>337</v>
      </c>
      <c r="J444" t="s">
        <v>336</v>
      </c>
      <c r="K444" t="s">
        <v>334</v>
      </c>
      <c r="L444" t="s">
        <v>328</v>
      </c>
      <c r="M444" t="s">
        <v>331</v>
      </c>
      <c r="N444" t="s">
        <v>327</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780</v>
      </c>
      <c r="F445">
        <v>444</v>
      </c>
      <c r="G445" t="s">
        <v>339</v>
      </c>
      <c r="H445" t="s">
        <v>326</v>
      </c>
      <c r="I445" t="s">
        <v>337</v>
      </c>
      <c r="J445" t="s">
        <v>336</v>
      </c>
      <c r="K445" t="s">
        <v>334</v>
      </c>
      <c r="L445" t="s">
        <v>328</v>
      </c>
      <c r="M445" t="s">
        <v>327</v>
      </c>
      <c r="N445" t="s">
        <v>332</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781</v>
      </c>
      <c r="F446">
        <v>445</v>
      </c>
      <c r="G446" t="s">
        <v>329</v>
      </c>
      <c r="H446" t="s">
        <v>328</v>
      </c>
      <c r="I446" t="s">
        <v>337</v>
      </c>
      <c r="J446" t="s">
        <v>339</v>
      </c>
      <c r="K446" t="s">
        <v>334</v>
      </c>
      <c r="L446" t="s">
        <v>336</v>
      </c>
      <c r="M446" t="s">
        <v>331</v>
      </c>
      <c r="N446" t="s">
        <v>332</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782</v>
      </c>
      <c r="F447">
        <v>446</v>
      </c>
      <c r="G447" t="s">
        <v>339</v>
      </c>
      <c r="H447" t="s">
        <v>326</v>
      </c>
      <c r="I447" t="s">
        <v>337</v>
      </c>
      <c r="J447" t="s">
        <v>336</v>
      </c>
      <c r="K447" t="s">
        <v>334</v>
      </c>
      <c r="L447" t="s">
        <v>328</v>
      </c>
      <c r="M447" t="s">
        <v>331</v>
      </c>
      <c r="N447" t="s">
        <v>329</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783</v>
      </c>
      <c r="F448">
        <v>447</v>
      </c>
      <c r="G448" t="s">
        <v>329</v>
      </c>
      <c r="H448" t="s">
        <v>326</v>
      </c>
      <c r="I448" t="s">
        <v>337</v>
      </c>
      <c r="J448" t="s">
        <v>339</v>
      </c>
      <c r="K448" t="s">
        <v>334</v>
      </c>
      <c r="L448" t="s">
        <v>328</v>
      </c>
      <c r="M448" t="s">
        <v>336</v>
      </c>
      <c r="N448" t="s">
        <v>332</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784</v>
      </c>
      <c r="F449">
        <v>448</v>
      </c>
      <c r="G449" t="s">
        <v>329</v>
      </c>
      <c r="H449" t="s">
        <v>328</v>
      </c>
      <c r="I449" t="s">
        <v>337</v>
      </c>
      <c r="J449" t="s">
        <v>339</v>
      </c>
      <c r="K449" t="s">
        <v>334</v>
      </c>
      <c r="L449" t="s">
        <v>336</v>
      </c>
      <c r="M449" t="s">
        <v>331</v>
      </c>
      <c r="N449" t="s">
        <v>327</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785</v>
      </c>
      <c r="F450">
        <v>449</v>
      </c>
      <c r="G450" t="s">
        <v>329</v>
      </c>
      <c r="H450" t="s">
        <v>328</v>
      </c>
      <c r="I450" t="s">
        <v>337</v>
      </c>
      <c r="J450" t="s">
        <v>339</v>
      </c>
      <c r="K450" t="s">
        <v>334</v>
      </c>
      <c r="L450" t="s">
        <v>336</v>
      </c>
      <c r="M450" t="s">
        <v>327</v>
      </c>
      <c r="N450" t="s">
        <v>332</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786</v>
      </c>
      <c r="F451">
        <v>450</v>
      </c>
      <c r="G451" t="s">
        <v>329</v>
      </c>
      <c r="H451" t="s">
        <v>326</v>
      </c>
      <c r="I451" t="s">
        <v>337</v>
      </c>
      <c r="J451" t="s">
        <v>339</v>
      </c>
      <c r="K451" t="s">
        <v>334</v>
      </c>
      <c r="L451" t="s">
        <v>328</v>
      </c>
      <c r="M451" t="s">
        <v>336</v>
      </c>
      <c r="N451" t="s">
        <v>327</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787</v>
      </c>
      <c r="F452">
        <v>451</v>
      </c>
      <c r="G452" t="s">
        <v>339</v>
      </c>
      <c r="H452" t="s">
        <v>330</v>
      </c>
      <c r="I452" t="s">
        <v>337</v>
      </c>
      <c r="J452" t="s">
        <v>336</v>
      </c>
      <c r="K452" t="s">
        <v>334</v>
      </c>
      <c r="L452" t="s">
        <v>328</v>
      </c>
      <c r="M452" t="s">
        <v>331</v>
      </c>
      <c r="N452" t="s">
        <v>332</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788</v>
      </c>
      <c r="F453">
        <v>452</v>
      </c>
      <c r="G453" t="s">
        <v>339</v>
      </c>
      <c r="H453" t="s">
        <v>330</v>
      </c>
      <c r="I453" t="s">
        <v>337</v>
      </c>
      <c r="J453" t="s">
        <v>336</v>
      </c>
      <c r="K453" t="s">
        <v>334</v>
      </c>
      <c r="L453" t="s">
        <v>328</v>
      </c>
      <c r="M453" t="s">
        <v>331</v>
      </c>
      <c r="N453" t="s">
        <v>326</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789</v>
      </c>
      <c r="F454">
        <v>453</v>
      </c>
      <c r="G454" t="s">
        <v>339</v>
      </c>
      <c r="H454" t="s">
        <v>330</v>
      </c>
      <c r="I454" t="s">
        <v>337</v>
      </c>
      <c r="J454" t="s">
        <v>336</v>
      </c>
      <c r="K454" t="s">
        <v>334</v>
      </c>
      <c r="L454" t="s">
        <v>328</v>
      </c>
      <c r="M454" t="s">
        <v>326</v>
      </c>
      <c r="N454" t="s">
        <v>332</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790</v>
      </c>
      <c r="F455">
        <v>454</v>
      </c>
      <c r="G455" t="s">
        <v>339</v>
      </c>
      <c r="H455" t="s">
        <v>330</v>
      </c>
      <c r="I455" t="s">
        <v>337</v>
      </c>
      <c r="J455" t="s">
        <v>336</v>
      </c>
      <c r="K455" t="s">
        <v>334</v>
      </c>
      <c r="L455" t="s">
        <v>328</v>
      </c>
      <c r="M455" t="s">
        <v>331</v>
      </c>
      <c r="N455" t="s">
        <v>327</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791</v>
      </c>
      <c r="F456">
        <v>455</v>
      </c>
      <c r="G456" t="s">
        <v>339</v>
      </c>
      <c r="H456" t="s">
        <v>330</v>
      </c>
      <c r="I456" t="s">
        <v>337</v>
      </c>
      <c r="J456" t="s">
        <v>336</v>
      </c>
      <c r="K456" t="s">
        <v>334</v>
      </c>
      <c r="L456" t="s">
        <v>328</v>
      </c>
      <c r="M456" t="s">
        <v>327</v>
      </c>
      <c r="N456" t="s">
        <v>332</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792</v>
      </c>
      <c r="F457">
        <v>456</v>
      </c>
      <c r="G457" t="s">
        <v>339</v>
      </c>
      <c r="H457" t="s">
        <v>330</v>
      </c>
      <c r="I457" t="s">
        <v>337</v>
      </c>
      <c r="J457" t="s">
        <v>336</v>
      </c>
      <c r="K457" t="s">
        <v>334</v>
      </c>
      <c r="L457" t="s">
        <v>328</v>
      </c>
      <c r="M457" t="s">
        <v>327</v>
      </c>
      <c r="N457" t="s">
        <v>326</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793</v>
      </c>
      <c r="F458">
        <v>457</v>
      </c>
      <c r="G458" t="s">
        <v>339</v>
      </c>
      <c r="H458" t="s">
        <v>330</v>
      </c>
      <c r="I458" t="s">
        <v>337</v>
      </c>
      <c r="J458" t="s">
        <v>336</v>
      </c>
      <c r="K458" t="s">
        <v>334</v>
      </c>
      <c r="L458" t="s">
        <v>328</v>
      </c>
      <c r="M458" t="s">
        <v>331</v>
      </c>
      <c r="N458" t="s">
        <v>329</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794</v>
      </c>
      <c r="F459">
        <v>458</v>
      </c>
      <c r="G459" t="s">
        <v>329</v>
      </c>
      <c r="H459" t="s">
        <v>330</v>
      </c>
      <c r="I459" t="s">
        <v>337</v>
      </c>
      <c r="J459" t="s">
        <v>339</v>
      </c>
      <c r="K459" t="s">
        <v>334</v>
      </c>
      <c r="L459" t="s">
        <v>328</v>
      </c>
      <c r="M459" t="s">
        <v>336</v>
      </c>
      <c r="N459" t="s">
        <v>332</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795</v>
      </c>
      <c r="F460">
        <v>459</v>
      </c>
      <c r="G460" t="s">
        <v>329</v>
      </c>
      <c r="H460" t="s">
        <v>330</v>
      </c>
      <c r="I460" t="s">
        <v>337</v>
      </c>
      <c r="J460" t="s">
        <v>339</v>
      </c>
      <c r="K460" t="s">
        <v>334</v>
      </c>
      <c r="L460" t="s">
        <v>328</v>
      </c>
      <c r="M460" t="s">
        <v>336</v>
      </c>
      <c r="N460" t="s">
        <v>326</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796</v>
      </c>
      <c r="F461">
        <v>460</v>
      </c>
      <c r="G461" t="s">
        <v>329</v>
      </c>
      <c r="H461" t="s">
        <v>330</v>
      </c>
      <c r="I461" t="s">
        <v>337</v>
      </c>
      <c r="J461" t="s">
        <v>339</v>
      </c>
      <c r="K461" t="s">
        <v>334</v>
      </c>
      <c r="L461" t="s">
        <v>328</v>
      </c>
      <c r="M461" t="s">
        <v>336</v>
      </c>
      <c r="N461" t="s">
        <v>327</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797</v>
      </c>
      <c r="F462">
        <v>461</v>
      </c>
      <c r="G462" t="s">
        <v>325</v>
      </c>
      <c r="H462" t="s">
        <v>326</v>
      </c>
      <c r="I462" t="s">
        <v>337</v>
      </c>
      <c r="J462" t="s">
        <v>339</v>
      </c>
      <c r="K462" t="s">
        <v>334</v>
      </c>
      <c r="L462" t="s">
        <v>336</v>
      </c>
      <c r="M462" t="s">
        <v>331</v>
      </c>
      <c r="N462" t="s">
        <v>332</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798</v>
      </c>
      <c r="F463">
        <v>462</v>
      </c>
      <c r="G463" t="s">
        <v>325</v>
      </c>
      <c r="H463" t="s">
        <v>327</v>
      </c>
      <c r="I463" t="s">
        <v>337</v>
      </c>
      <c r="J463" t="s">
        <v>339</v>
      </c>
      <c r="K463" t="s">
        <v>334</v>
      </c>
      <c r="L463" t="s">
        <v>336</v>
      </c>
      <c r="M463" t="s">
        <v>331</v>
      </c>
      <c r="N463" t="s">
        <v>332</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
      <c r="A464" t="s">
        <v>799</v>
      </c>
      <c r="F464">
        <v>463</v>
      </c>
      <c r="G464" t="s">
        <v>325</v>
      </c>
      <c r="H464" t="s">
        <v>326</v>
      </c>
      <c r="I464" t="s">
        <v>337</v>
      </c>
      <c r="J464" t="s">
        <v>339</v>
      </c>
      <c r="K464" t="s">
        <v>334</v>
      </c>
      <c r="L464" t="s">
        <v>336</v>
      </c>
      <c r="M464" t="s">
        <v>331</v>
      </c>
      <c r="N464" t="s">
        <v>327</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800</v>
      </c>
      <c r="F465">
        <v>464</v>
      </c>
      <c r="G465" t="s">
        <v>325</v>
      </c>
      <c r="H465" t="s">
        <v>326</v>
      </c>
      <c r="I465" t="s">
        <v>337</v>
      </c>
      <c r="J465" t="s">
        <v>339</v>
      </c>
      <c r="K465" t="s">
        <v>334</v>
      </c>
      <c r="L465" t="s">
        <v>336</v>
      </c>
      <c r="M465" t="s">
        <v>327</v>
      </c>
      <c r="N465" t="s">
        <v>332</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801</v>
      </c>
      <c r="F466">
        <v>465</v>
      </c>
      <c r="G466" t="s">
        <v>329</v>
      </c>
      <c r="H466" t="s">
        <v>325</v>
      </c>
      <c r="I466" t="s">
        <v>337</v>
      </c>
      <c r="J466" t="s">
        <v>339</v>
      </c>
      <c r="K466" t="s">
        <v>334</v>
      </c>
      <c r="L466" t="s">
        <v>336</v>
      </c>
      <c r="M466" t="s">
        <v>331</v>
      </c>
      <c r="N466" t="s">
        <v>332</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7</v>
      </c>
    </row>
    <row r="467" spans="1:25" x14ac:dyDescent="0.2">
      <c r="A467" t="s">
        <v>802</v>
      </c>
      <c r="F467">
        <v>466</v>
      </c>
      <c r="G467" t="s">
        <v>329</v>
      </c>
      <c r="H467" t="s">
        <v>326</v>
      </c>
      <c r="I467" t="s">
        <v>337</v>
      </c>
      <c r="J467" t="s">
        <v>339</v>
      </c>
      <c r="K467" t="s">
        <v>334</v>
      </c>
      <c r="L467" t="s">
        <v>336</v>
      </c>
      <c r="M467" t="s">
        <v>331</v>
      </c>
      <c r="N467" t="s">
        <v>325</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7</v>
      </c>
    </row>
    <row r="468" spans="1:25" x14ac:dyDescent="0.2">
      <c r="A468" t="s">
        <v>803</v>
      </c>
      <c r="F468">
        <v>467</v>
      </c>
      <c r="G468" t="s">
        <v>329</v>
      </c>
      <c r="H468" t="s">
        <v>326</v>
      </c>
      <c r="I468" t="s">
        <v>337</v>
      </c>
      <c r="J468" t="s">
        <v>339</v>
      </c>
      <c r="K468" t="s">
        <v>334</v>
      </c>
      <c r="L468" t="s">
        <v>336</v>
      </c>
      <c r="M468" t="s">
        <v>325</v>
      </c>
      <c r="N468" t="s">
        <v>332</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804</v>
      </c>
      <c r="F469">
        <v>468</v>
      </c>
      <c r="G469" t="s">
        <v>329</v>
      </c>
      <c r="H469" t="s">
        <v>325</v>
      </c>
      <c r="I469" t="s">
        <v>337</v>
      </c>
      <c r="J469" t="s">
        <v>339</v>
      </c>
      <c r="K469" t="s">
        <v>334</v>
      </c>
      <c r="L469" t="s">
        <v>336</v>
      </c>
      <c r="M469" t="s">
        <v>331</v>
      </c>
      <c r="N469" t="s">
        <v>327</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8</v>
      </c>
    </row>
    <row r="470" spans="1:25" x14ac:dyDescent="0.2">
      <c r="A470" t="s">
        <v>805</v>
      </c>
      <c r="F470">
        <v>469</v>
      </c>
      <c r="G470" t="s">
        <v>329</v>
      </c>
      <c r="H470" t="s">
        <v>325</v>
      </c>
      <c r="I470" t="s">
        <v>337</v>
      </c>
      <c r="J470" t="s">
        <v>339</v>
      </c>
      <c r="K470" t="s">
        <v>334</v>
      </c>
      <c r="L470" t="s">
        <v>336</v>
      </c>
      <c r="M470" t="s">
        <v>327</v>
      </c>
      <c r="N470" t="s">
        <v>332</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7</v>
      </c>
    </row>
    <row r="471" spans="1:25" x14ac:dyDescent="0.2">
      <c r="A471" t="s">
        <v>806</v>
      </c>
      <c r="F471">
        <v>470</v>
      </c>
      <c r="G471" t="s">
        <v>329</v>
      </c>
      <c r="H471" t="s">
        <v>326</v>
      </c>
      <c r="I471" t="s">
        <v>337</v>
      </c>
      <c r="J471" t="s">
        <v>339</v>
      </c>
      <c r="K471" t="s">
        <v>334</v>
      </c>
      <c r="L471" t="s">
        <v>336</v>
      </c>
      <c r="M471" t="s">
        <v>325</v>
      </c>
      <c r="N471" t="s">
        <v>327</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
      <c r="A472" t="s">
        <v>807</v>
      </c>
      <c r="F472">
        <v>471</v>
      </c>
      <c r="G472" t="s">
        <v>325</v>
      </c>
      <c r="H472" t="s">
        <v>330</v>
      </c>
      <c r="I472" t="s">
        <v>337</v>
      </c>
      <c r="J472" t="s">
        <v>339</v>
      </c>
      <c r="K472" t="s">
        <v>334</v>
      </c>
      <c r="L472" t="s">
        <v>336</v>
      </c>
      <c r="M472" t="s">
        <v>331</v>
      </c>
      <c r="N472" t="s">
        <v>332</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808</v>
      </c>
      <c r="F473">
        <v>472</v>
      </c>
      <c r="G473" t="s">
        <v>325</v>
      </c>
      <c r="H473" t="s">
        <v>330</v>
      </c>
      <c r="I473" t="s">
        <v>337</v>
      </c>
      <c r="J473" t="s">
        <v>339</v>
      </c>
      <c r="K473" t="s">
        <v>334</v>
      </c>
      <c r="L473" t="s">
        <v>336</v>
      </c>
      <c r="M473" t="s">
        <v>331</v>
      </c>
      <c r="N473" t="s">
        <v>326</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809</v>
      </c>
      <c r="F474">
        <v>473</v>
      </c>
      <c r="G474" t="s">
        <v>325</v>
      </c>
      <c r="H474" t="s">
        <v>330</v>
      </c>
      <c r="I474" t="s">
        <v>337</v>
      </c>
      <c r="J474" t="s">
        <v>339</v>
      </c>
      <c r="K474" t="s">
        <v>334</v>
      </c>
      <c r="L474" t="s">
        <v>336</v>
      </c>
      <c r="M474" t="s">
        <v>326</v>
      </c>
      <c r="N474" t="s">
        <v>332</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810</v>
      </c>
      <c r="F475">
        <v>474</v>
      </c>
      <c r="G475" t="s">
        <v>325</v>
      </c>
      <c r="H475" t="s">
        <v>330</v>
      </c>
      <c r="I475" t="s">
        <v>337</v>
      </c>
      <c r="J475" t="s">
        <v>339</v>
      </c>
      <c r="K475" t="s">
        <v>334</v>
      </c>
      <c r="L475" t="s">
        <v>336</v>
      </c>
      <c r="M475" t="s">
        <v>331</v>
      </c>
      <c r="N475" t="s">
        <v>327</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811</v>
      </c>
      <c r="F476">
        <v>475</v>
      </c>
      <c r="G476" t="s">
        <v>325</v>
      </c>
      <c r="H476" t="s">
        <v>330</v>
      </c>
      <c r="I476" t="s">
        <v>337</v>
      </c>
      <c r="J476" t="s">
        <v>339</v>
      </c>
      <c r="K476" t="s">
        <v>334</v>
      </c>
      <c r="L476" t="s">
        <v>336</v>
      </c>
      <c r="M476" t="s">
        <v>327</v>
      </c>
      <c r="N476" t="s">
        <v>332</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812</v>
      </c>
      <c r="F477">
        <v>476</v>
      </c>
      <c r="G477" t="s">
        <v>325</v>
      </c>
      <c r="H477" t="s">
        <v>330</v>
      </c>
      <c r="I477" t="s">
        <v>337</v>
      </c>
      <c r="J477" t="s">
        <v>339</v>
      </c>
      <c r="K477" t="s">
        <v>334</v>
      </c>
      <c r="L477" t="s">
        <v>336</v>
      </c>
      <c r="M477" t="s">
        <v>327</v>
      </c>
      <c r="N477" t="s">
        <v>326</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813</v>
      </c>
      <c r="F478">
        <v>477</v>
      </c>
      <c r="G478" t="s">
        <v>329</v>
      </c>
      <c r="H478" t="s">
        <v>330</v>
      </c>
      <c r="I478" t="s">
        <v>337</v>
      </c>
      <c r="J478" t="s">
        <v>339</v>
      </c>
      <c r="K478" t="s">
        <v>334</v>
      </c>
      <c r="L478" t="s">
        <v>336</v>
      </c>
      <c r="M478" t="s">
        <v>331</v>
      </c>
      <c r="N478" t="s">
        <v>325</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814</v>
      </c>
      <c r="F479">
        <v>478</v>
      </c>
      <c r="G479" t="s">
        <v>329</v>
      </c>
      <c r="H479" t="s">
        <v>330</v>
      </c>
      <c r="I479" t="s">
        <v>337</v>
      </c>
      <c r="J479" t="s">
        <v>339</v>
      </c>
      <c r="K479" t="s">
        <v>334</v>
      </c>
      <c r="L479" t="s">
        <v>336</v>
      </c>
      <c r="M479" t="s">
        <v>325</v>
      </c>
      <c r="N479" t="s">
        <v>332</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815</v>
      </c>
      <c r="F480">
        <v>479</v>
      </c>
      <c r="G480" t="s">
        <v>329</v>
      </c>
      <c r="H480" t="s">
        <v>330</v>
      </c>
      <c r="I480" t="s">
        <v>337</v>
      </c>
      <c r="J480" t="s">
        <v>339</v>
      </c>
      <c r="K480" t="s">
        <v>334</v>
      </c>
      <c r="L480" t="s">
        <v>336</v>
      </c>
      <c r="M480" t="s">
        <v>325</v>
      </c>
      <c r="N480" t="s">
        <v>326</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816</v>
      </c>
      <c r="F481">
        <v>480</v>
      </c>
      <c r="G481" t="s">
        <v>329</v>
      </c>
      <c r="H481" t="s">
        <v>330</v>
      </c>
      <c r="I481" t="s">
        <v>337</v>
      </c>
      <c r="J481" t="s">
        <v>339</v>
      </c>
      <c r="K481" t="s">
        <v>334</v>
      </c>
      <c r="L481" t="s">
        <v>336</v>
      </c>
      <c r="M481" t="s">
        <v>325</v>
      </c>
      <c r="N481" t="s">
        <v>327</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817</v>
      </c>
      <c r="F482">
        <v>481</v>
      </c>
      <c r="G482" t="s">
        <v>339</v>
      </c>
      <c r="H482" t="s">
        <v>325</v>
      </c>
      <c r="I482" t="s">
        <v>337</v>
      </c>
      <c r="J482" t="s">
        <v>336</v>
      </c>
      <c r="K482" t="s">
        <v>334</v>
      </c>
      <c r="L482" t="s">
        <v>328</v>
      </c>
      <c r="M482" t="s">
        <v>331</v>
      </c>
      <c r="N482" t="s">
        <v>332</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818</v>
      </c>
      <c r="F483">
        <v>482</v>
      </c>
      <c r="G483" t="s">
        <v>339</v>
      </c>
      <c r="H483" t="s">
        <v>326</v>
      </c>
      <c r="I483" t="s">
        <v>337</v>
      </c>
      <c r="J483" t="s">
        <v>336</v>
      </c>
      <c r="K483" t="s">
        <v>334</v>
      </c>
      <c r="L483" t="s">
        <v>328</v>
      </c>
      <c r="M483" t="s">
        <v>331</v>
      </c>
      <c r="N483" t="s">
        <v>325</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819</v>
      </c>
      <c r="F484">
        <v>483</v>
      </c>
      <c r="G484" t="s">
        <v>339</v>
      </c>
      <c r="H484" t="s">
        <v>326</v>
      </c>
      <c r="I484" t="s">
        <v>337</v>
      </c>
      <c r="J484" t="s">
        <v>336</v>
      </c>
      <c r="K484" t="s">
        <v>334</v>
      </c>
      <c r="L484" t="s">
        <v>328</v>
      </c>
      <c r="M484" t="s">
        <v>325</v>
      </c>
      <c r="N484" t="s">
        <v>332</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820</v>
      </c>
      <c r="F485">
        <v>484</v>
      </c>
      <c r="G485" t="s">
        <v>339</v>
      </c>
      <c r="H485" t="s">
        <v>325</v>
      </c>
      <c r="I485" t="s">
        <v>337</v>
      </c>
      <c r="J485" t="s">
        <v>336</v>
      </c>
      <c r="K485" t="s">
        <v>334</v>
      </c>
      <c r="L485" t="s">
        <v>328</v>
      </c>
      <c r="M485" t="s">
        <v>331</v>
      </c>
      <c r="N485" t="s">
        <v>327</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821</v>
      </c>
      <c r="F486">
        <v>485</v>
      </c>
      <c r="G486" t="s">
        <v>339</v>
      </c>
      <c r="H486" t="s">
        <v>325</v>
      </c>
      <c r="I486" t="s">
        <v>337</v>
      </c>
      <c r="J486" t="s">
        <v>336</v>
      </c>
      <c r="K486" t="s">
        <v>334</v>
      </c>
      <c r="L486" t="s">
        <v>328</v>
      </c>
      <c r="M486" t="s">
        <v>327</v>
      </c>
      <c r="N486" t="s">
        <v>332</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822</v>
      </c>
      <c r="F487">
        <v>486</v>
      </c>
      <c r="G487" t="s">
        <v>339</v>
      </c>
      <c r="H487" t="s">
        <v>326</v>
      </c>
      <c r="I487" t="s">
        <v>337</v>
      </c>
      <c r="J487" t="s">
        <v>336</v>
      </c>
      <c r="K487" t="s">
        <v>334</v>
      </c>
      <c r="L487" t="s">
        <v>328</v>
      </c>
      <c r="M487" t="s">
        <v>325</v>
      </c>
      <c r="N487" t="s">
        <v>327</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823</v>
      </c>
      <c r="F488">
        <v>487</v>
      </c>
      <c r="G488" t="s">
        <v>329</v>
      </c>
      <c r="H488" t="s">
        <v>328</v>
      </c>
      <c r="I488" t="s">
        <v>337</v>
      </c>
      <c r="J488" t="s">
        <v>339</v>
      </c>
      <c r="K488" t="s">
        <v>334</v>
      </c>
      <c r="L488" t="s">
        <v>336</v>
      </c>
      <c r="M488" t="s">
        <v>331</v>
      </c>
      <c r="N488" t="s">
        <v>325</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824</v>
      </c>
      <c r="F489">
        <v>488</v>
      </c>
      <c r="G489" t="s">
        <v>329</v>
      </c>
      <c r="H489" t="s">
        <v>325</v>
      </c>
      <c r="I489" t="s">
        <v>337</v>
      </c>
      <c r="J489" t="s">
        <v>339</v>
      </c>
      <c r="K489" t="s">
        <v>334</v>
      </c>
      <c r="L489" t="s">
        <v>328</v>
      </c>
      <c r="M489" t="s">
        <v>336</v>
      </c>
      <c r="N489" t="s">
        <v>332</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825</v>
      </c>
      <c r="F490">
        <v>489</v>
      </c>
      <c r="G490" t="s">
        <v>329</v>
      </c>
      <c r="H490" t="s">
        <v>326</v>
      </c>
      <c r="I490" t="s">
        <v>337</v>
      </c>
      <c r="J490" t="s">
        <v>339</v>
      </c>
      <c r="K490" t="s">
        <v>334</v>
      </c>
      <c r="L490" t="s">
        <v>328</v>
      </c>
      <c r="M490" t="s">
        <v>336</v>
      </c>
      <c r="N490" t="s">
        <v>325</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826</v>
      </c>
      <c r="F491">
        <v>490</v>
      </c>
      <c r="G491" t="s">
        <v>329</v>
      </c>
      <c r="H491" t="s">
        <v>325</v>
      </c>
      <c r="I491" t="s">
        <v>337</v>
      </c>
      <c r="J491" t="s">
        <v>339</v>
      </c>
      <c r="K491" t="s">
        <v>334</v>
      </c>
      <c r="L491" t="s">
        <v>328</v>
      </c>
      <c r="M491" t="s">
        <v>336</v>
      </c>
      <c r="N491" t="s">
        <v>327</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827</v>
      </c>
      <c r="F492">
        <v>491</v>
      </c>
      <c r="G492" t="s">
        <v>339</v>
      </c>
      <c r="H492" t="s">
        <v>330</v>
      </c>
      <c r="I492" t="s">
        <v>337</v>
      </c>
      <c r="J492" t="s">
        <v>336</v>
      </c>
      <c r="K492" t="s">
        <v>334</v>
      </c>
      <c r="L492" t="s">
        <v>328</v>
      </c>
      <c r="M492" t="s">
        <v>331</v>
      </c>
      <c r="N492" t="s">
        <v>325</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828</v>
      </c>
      <c r="F493">
        <v>492</v>
      </c>
      <c r="G493" t="s">
        <v>339</v>
      </c>
      <c r="H493" t="s">
        <v>330</v>
      </c>
      <c r="I493" t="s">
        <v>337</v>
      </c>
      <c r="J493" t="s">
        <v>336</v>
      </c>
      <c r="K493" t="s">
        <v>334</v>
      </c>
      <c r="L493" t="s">
        <v>328</v>
      </c>
      <c r="M493" t="s">
        <v>325</v>
      </c>
      <c r="N493" t="s">
        <v>332</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829</v>
      </c>
      <c r="F494">
        <v>493</v>
      </c>
      <c r="G494" t="s">
        <v>339</v>
      </c>
      <c r="H494" t="s">
        <v>330</v>
      </c>
      <c r="I494" t="s">
        <v>337</v>
      </c>
      <c r="J494" t="s">
        <v>336</v>
      </c>
      <c r="K494" t="s">
        <v>334</v>
      </c>
      <c r="L494" t="s">
        <v>328</v>
      </c>
      <c r="M494" t="s">
        <v>325</v>
      </c>
      <c r="N494" t="s">
        <v>326</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830</v>
      </c>
      <c r="F495">
        <v>494</v>
      </c>
      <c r="G495" t="s">
        <v>339</v>
      </c>
      <c r="H495" t="s">
        <v>330</v>
      </c>
      <c r="I495" t="s">
        <v>337</v>
      </c>
      <c r="J495" t="s">
        <v>336</v>
      </c>
      <c r="K495" t="s">
        <v>334</v>
      </c>
      <c r="L495" t="s">
        <v>328</v>
      </c>
      <c r="M495" t="s">
        <v>325</v>
      </c>
      <c r="N495" t="s">
        <v>327</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831</v>
      </c>
      <c r="F496">
        <v>495</v>
      </c>
      <c r="G496" t="s">
        <v>329</v>
      </c>
      <c r="H496" t="s">
        <v>330</v>
      </c>
      <c r="I496" t="s">
        <v>337</v>
      </c>
      <c r="J496" t="s">
        <v>339</v>
      </c>
      <c r="K496" t="s">
        <v>334</v>
      </c>
      <c r="L496" t="s">
        <v>328</v>
      </c>
      <c r="M496" t="s">
        <v>336</v>
      </c>
      <c r="N496" t="s">
        <v>325</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832</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833</v>
      </c>
      <c r="G3" s="7"/>
      <c r="H3" s="2" t="s">
        <v>45</v>
      </c>
      <c r="I3" s="4" t="s">
        <v>20</v>
      </c>
      <c r="J3" s="4" t="s">
        <v>16</v>
      </c>
      <c r="K3" s="4" t="s">
        <v>834</v>
      </c>
      <c r="L3" s="4" t="s">
        <v>835</v>
      </c>
      <c r="M3" s="4" t="s">
        <v>14</v>
      </c>
      <c r="N3" s="4" t="s">
        <v>12</v>
      </c>
      <c r="O3" s="4" t="s">
        <v>9</v>
      </c>
      <c r="P3" s="4" t="s">
        <v>836</v>
      </c>
      <c r="Q3" s="158" t="s">
        <v>104</v>
      </c>
      <c r="R3" s="158" t="s">
        <v>105</v>
      </c>
      <c r="S3" s="158" t="s">
        <v>106</v>
      </c>
      <c r="T3" s="158" t="s">
        <v>837</v>
      </c>
      <c r="U3" s="158" t="s">
        <v>108</v>
      </c>
      <c r="V3" s="158" t="s">
        <v>109</v>
      </c>
      <c r="W3" s="158" t="s">
        <v>0</v>
      </c>
      <c r="X3" s="158" t="s">
        <v>838</v>
      </c>
      <c r="Y3" s="158" t="s">
        <v>46</v>
      </c>
      <c r="Z3" s="158" t="s">
        <v>839</v>
      </c>
      <c r="AA3" s="158" t="s">
        <v>44</v>
      </c>
      <c r="AB3" s="158"/>
      <c r="AC3" s="6" t="s">
        <v>20</v>
      </c>
      <c r="AD3" t="s">
        <v>16</v>
      </c>
      <c r="AE3" t="s">
        <v>18</v>
      </c>
      <c r="AF3" t="s">
        <v>295</v>
      </c>
      <c r="AG3" t="s">
        <v>14</v>
      </c>
      <c r="AH3" t="s">
        <v>12</v>
      </c>
      <c r="AI3" t="s">
        <v>9</v>
      </c>
      <c r="AP3" s="457" t="s">
        <v>44</v>
      </c>
      <c r="AQ3" t="s">
        <v>45</v>
      </c>
      <c r="AR3" s="6" t="s">
        <v>46</v>
      </c>
      <c r="AS3" s="6" t="s">
        <v>840</v>
      </c>
      <c r="AT3" s="169" t="s">
        <v>841</v>
      </c>
      <c r="AU3" s="6" t="s">
        <v>292</v>
      </c>
      <c r="AV3" s="6"/>
      <c r="AW3" s="6" t="s">
        <v>46</v>
      </c>
      <c r="AX3" s="6" t="s">
        <v>842</v>
      </c>
      <c r="AY3" s="6" t="s">
        <v>14</v>
      </c>
      <c r="AZ3" s="6" t="s">
        <v>843</v>
      </c>
      <c r="BA3" s="6" t="s">
        <v>844</v>
      </c>
      <c r="BB3" s="6" t="s">
        <v>845</v>
      </c>
      <c r="BC3" s="6" t="s">
        <v>846</v>
      </c>
      <c r="BD3" s="6" t="s">
        <v>847</v>
      </c>
      <c r="BE3" s="6" t="s">
        <v>0</v>
      </c>
      <c r="BF3" s="6" t="s">
        <v>848</v>
      </c>
      <c r="BH3" s="7"/>
      <c r="BI3" s="2" t="s">
        <v>45</v>
      </c>
      <c r="BJ3" s="158" t="s">
        <v>104</v>
      </c>
      <c r="BK3" s="158" t="s">
        <v>105</v>
      </c>
      <c r="BL3" s="158" t="s">
        <v>106</v>
      </c>
      <c r="BM3" s="158" t="s">
        <v>837</v>
      </c>
      <c r="BN3" s="158" t="s">
        <v>108</v>
      </c>
      <c r="BO3" s="158" t="s">
        <v>109</v>
      </c>
      <c r="BP3" s="158" t="s">
        <v>0</v>
      </c>
    </row>
    <row r="4" spans="1:71" x14ac:dyDescent="0.2">
      <c r="A4">
        <v>2</v>
      </c>
      <c r="C4" t="s">
        <v>849</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5</v>
      </c>
      <c r="U4" s="6">
        <f>+SUMIF('Inputs summary'!B:B,H4,'Inputs summary'!C:C)+SUMIF('Inputs summary'!E:E,H4,'Inputs summary'!D:D)</f>
        <v>10</v>
      </c>
      <c r="V4" s="6">
        <f>+SUMIF('Inputs summary'!B:B,H4,'Inputs summary'!D:D)+SUMIF('Inputs summary'!E:E,H4,'Inputs summary'!C:C)</f>
        <v>5</v>
      </c>
      <c r="W4" s="159">
        <f>+P4*100+Q4*3+R4+T4/100+U4/10000+(1/AA4)/100000000</f>
        <v>210.05100000066668</v>
      </c>
      <c r="X4" s="173">
        <f>+SUMPRODUCT(I4:O4,$I$1:$O$1)</f>
        <v>11</v>
      </c>
      <c r="Y4" s="167">
        <f t="shared" ref="Y4:Y51" si="7">+_xlfn.XLOOKUP(H4,AQ:AQ,AR:AR,"-",0)</f>
        <v>2</v>
      </c>
      <c r="Z4" s="173">
        <f>+W4+(1/Y4)*0.000001</f>
        <v>210.05100050066667</v>
      </c>
      <c r="AA4" s="173">
        <f>+_xlfn.XLOOKUP(H4,'Ranking FIFA'!B:B,'Ranking FIFA'!A:A,"--",0)</f>
        <v>15</v>
      </c>
      <c r="AC4" t="str">
        <f>+'Quarter, Semis &amp; Final'!P8</f>
        <v>Argentina</v>
      </c>
      <c r="AD4" t="str">
        <f>+'Quarter, Semis &amp; Final'!P4</f>
        <v>España</v>
      </c>
      <c r="AE4" t="str">
        <f>+'Quarter, Semis &amp; Final'!P15</f>
        <v>Brasil</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v>
      </c>
      <c r="AU4" s="166">
        <f t="shared" ref="AU4:AU51" si="9">+SUMIF($H$4:$H$51,AQ4,$W$4:$W$51)</f>
        <v>416.05140001000001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Paraguay</v>
      </c>
      <c r="BE4" s="166">
        <f>+_xlfn.MAXIFS(W:W,Y:Y,AW4)</f>
        <v>315.07130000025001</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9.0900105999999994</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-2</v>
      </c>
      <c r="U5" s="6">
        <f>+SUMIF('Inputs summary'!B:B,H5,'Inputs summary'!C:C)+SUMIF('Inputs summary'!E:E,H5,'Inputs summary'!D:D)</f>
        <v>3</v>
      </c>
      <c r="V5" s="6">
        <f>+SUMIF('Inputs summary'!B:B,H5,'Inputs summary'!D:D)+SUMIF('Inputs summary'!E:E,H5,'Inputs summary'!C:C)</f>
        <v>5</v>
      </c>
      <c r="W5" s="159">
        <f t="shared" ref="W5:W51" si="15">+P5*100+Q5*3+R5+T5/100+U5/10000+(1/AA5)/100000000</f>
        <v>102.98030000016666</v>
      </c>
      <c r="X5" s="173">
        <f t="shared" ref="X5:X51" si="16">+SUMPRODUCT(I5:O5,$I$1:$O$1)</f>
        <v>1</v>
      </c>
      <c r="Y5" s="167">
        <f t="shared" si="7"/>
        <v>3</v>
      </c>
      <c r="Z5" s="173">
        <f t="shared" ref="Z5:Z51" si="17">+W5+(1/Y5)*0.000001</f>
        <v>102.9803003335</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617.06160000499995</v>
      </c>
      <c r="AW5" s="6">
        <v>3</v>
      </c>
      <c r="AX5" s="169">
        <f>+_xlfn.MAXIFS(AT:AT,AR:AR,AW5)</f>
        <v>1</v>
      </c>
      <c r="AY5" s="6">
        <f t="shared" ref="AY5:AY6" si="18">+IF($AX5&gt;AY$2,1,0)</f>
        <v>0</v>
      </c>
      <c r="AZ5" s="6">
        <f t="shared" si="10"/>
        <v>0</v>
      </c>
      <c r="BA5" s="6">
        <f t="shared" si="10"/>
        <v>0</v>
      </c>
      <c r="BB5" s="6">
        <f t="shared" si="10"/>
        <v>0</v>
      </c>
      <c r="BC5" s="6">
        <f t="shared" si="10"/>
        <v>0</v>
      </c>
      <c r="BD5" s="6" t="str">
        <f>+_xlfn.XLOOKUP(BE5,W:W,H:H)</f>
        <v>Austria</v>
      </c>
      <c r="BE5" s="166">
        <f>+_xlfn.MAXIFS(W:W,Y:Y,AW5)</f>
        <v>107.02070000041665</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-1</v>
      </c>
      <c r="BN5" s="6">
        <f>+SUMIF('Inputs summary'!$B$1:$B$106,$BI5,'Inputs summary'!$C$1:$C$106)+SUMIF('Inputs summary'!$E$1:$E$106,$BI5,'Inputs summary'!$D$1:$D$106)</f>
        <v>3</v>
      </c>
      <c r="BO5" s="6">
        <f>+SUMIF('Inputs summary'!$B$1:$B$106,$BI5,'Inputs summary'!$D$1:$D$106)+SUMIF('Inputs summary'!$E$1:$E$106,$BI5,'Inputs summary'!$C$1:$C$106)</f>
        <v>4</v>
      </c>
      <c r="BP5" s="166">
        <f t="shared" si="12"/>
        <v>2.9930360000000005</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1</v>
      </c>
      <c r="U6" s="6">
        <f>+SUMIF('Inputs summary'!B:B,H6,'Inputs summary'!C:C)+SUMIF('Inputs summary'!E:E,H6,'Inputs summary'!D:D)</f>
        <v>7</v>
      </c>
      <c r="V6" s="6">
        <f>+SUMIF('Inputs summary'!B:B,H6,'Inputs summary'!D:D)+SUMIF('Inputs summary'!E:E,H6,'Inputs summary'!C:C)</f>
        <v>6</v>
      </c>
      <c r="W6" s="159">
        <f t="shared" si="15"/>
        <v>210.01070000039999</v>
      </c>
      <c r="X6" s="173">
        <f t="shared" si="16"/>
        <v>11</v>
      </c>
      <c r="Y6" s="167">
        <f t="shared" si="7"/>
        <v>2</v>
      </c>
      <c r="Z6" s="173">
        <f t="shared" si="17"/>
        <v>210.01070050039999</v>
      </c>
      <c r="AA6" s="173">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2201111</v>
      </c>
      <c r="AU6" s="166">
        <f t="shared" si="9"/>
        <v>820.09170000333336</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2.9802000001176472</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5</v>
      </c>
      <c r="BO6" s="6">
        <f>+SUMIF('Inputs summary'!$B$1:$B$106,$BI6,'Inputs summary'!$D$1:$D$106)+SUMIF('Inputs summary'!$E$1:$E$106,$BI6,'Inputs summary'!$C$1:$C$106)</f>
        <v>3</v>
      </c>
      <c r="BP6" s="166">
        <f t="shared" si="12"/>
        <v>8.0250225000000004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0</v>
      </c>
      <c r="S7" s="6">
        <f>+COUNTIFS('Inputs summary'!L:L,$H7)</f>
        <v>3</v>
      </c>
      <c r="T7" s="6">
        <f t="shared" si="14"/>
        <v>-4</v>
      </c>
      <c r="U7" s="6">
        <f>+SUMIF('Inputs summary'!B:B,H7,'Inputs summary'!C:C)+SUMIF('Inputs summary'!E:E,H7,'Inputs summary'!D:D)</f>
        <v>1</v>
      </c>
      <c r="V7" s="6">
        <f>+SUMIF('Inputs summary'!B:B,H7,'Inputs summary'!D:D)+SUMIF('Inputs summary'!E:E,H7,'Inputs summary'!C:C)</f>
        <v>5</v>
      </c>
      <c r="W7" s="159">
        <f t="shared" si="15"/>
        <v>-3.9899999756097558E-2</v>
      </c>
      <c r="X7" s="173">
        <f t="shared" si="16"/>
        <v>0</v>
      </c>
      <c r="Y7" s="167">
        <f t="shared" si="7"/>
        <v>3</v>
      </c>
      <c r="Z7" s="173">
        <f t="shared" si="17"/>
        <v>-3.9899666422764227E-2</v>
      </c>
      <c r="AA7" s="173">
        <f>+_xlfn.XLOOKUP(H7,'Ranking FIFA'!B:B,'Ranking FIFA'!A:A,"--",0)</f>
        <v>41</v>
      </c>
      <c r="AF7" t="str">
        <f>+'Quarter, Semis &amp; Final'!K19</f>
        <v>Argentina</v>
      </c>
      <c r="AG7" t="str">
        <f>+'Quarter, Semis &amp; Final'!E9</f>
        <v>Paraguay</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313.04140000249998</v>
      </c>
      <c r="BC7" t="s">
        <v>850</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0</v>
      </c>
      <c r="BL7" s="6">
        <f>+COUNTIFS('Inputs summary'!L$2:L$106,BI7)</f>
        <v>3</v>
      </c>
      <c r="BM7" s="6">
        <f t="shared" si="19"/>
        <v>-4</v>
      </c>
      <c r="BN7" s="6">
        <f>+SUMIF('Inputs summary'!$B$1:$B$106,$BI7,'Inputs summary'!$C$1:$C$106)+SUMIF('Inputs summary'!$E$1:$E$106,$BI7,'Inputs summary'!$D$1:$D$106)</f>
        <v>1</v>
      </c>
      <c r="BO7" s="6">
        <f>+SUMIF('Inputs summary'!$B$1:$B$106,$BI7,'Inputs summary'!$D$1:$D$106)+SUMIF('Inputs summary'!$E$1:$E$106,$BI7,'Inputs summary'!$C$1:$C$106)</f>
        <v>5</v>
      </c>
      <c r="BP7" s="166">
        <f t="shared" si="12"/>
        <v>-3.8965899999999998E-2</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107.02060000033333</v>
      </c>
      <c r="X8" s="173">
        <f t="shared" si="16"/>
        <v>1</v>
      </c>
      <c r="Y8" s="167">
        <f t="shared" si="7"/>
        <v>3</v>
      </c>
      <c r="Z8" s="173">
        <f t="shared" si="17"/>
        <v>107.02060033366666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314.09140000199994</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5</v>
      </c>
      <c r="BO8" s="6">
        <f>+SUMIF('Inputs summary'!$B$1:$B$106,$BI8,'Inputs summary'!$D$1:$D$106)+SUMIF('Inputs summary'!$E$1:$E$106,$BI8,'Inputs summary'!$C$1:$C$106)</f>
        <v>2</v>
      </c>
      <c r="BP8" s="166">
        <f t="shared" si="12"/>
        <v>8.0350330000000003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-5</v>
      </c>
      <c r="U9" s="6">
        <f>+SUMIF('Inputs summary'!B:B,H9,'Inputs summary'!C:C)+SUMIF('Inputs summary'!E:E,H9,'Inputs summary'!D:D)</f>
        <v>4</v>
      </c>
      <c r="V9" s="6">
        <f>+SUMIF('Inputs summary'!B:B,H9,'Inputs summary'!D:D)+SUMIF('Inputs summary'!E:E,H9,'Inputs summary'!C:C)</f>
        <v>9</v>
      </c>
      <c r="W9" s="159">
        <f t="shared" si="15"/>
        <v>102.95040000015385</v>
      </c>
      <c r="X9" s="173">
        <f t="shared" si="16"/>
        <v>1</v>
      </c>
      <c r="Y9" s="167">
        <f t="shared" si="7"/>
        <v>3</v>
      </c>
      <c r="Z9" s="173">
        <f t="shared" si="17"/>
        <v>102.95040033348718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11111</v>
      </c>
      <c r="AU9" s="166">
        <f t="shared" si="9"/>
        <v>521.14210000166668</v>
      </c>
      <c r="AW9" t="s">
        <v>851</v>
      </c>
      <c r="AX9" t="str">
        <f>+_xlfn.XLOOKUP(AX10,AU:AU,AQ:AQ,"-",0)</f>
        <v>Alemania</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4</v>
      </c>
      <c r="BO9" s="6">
        <f>+SUMIF('Inputs summary'!$B$1:$B$106,$BI9,'Inputs summary'!$D$1:$D$106)+SUMIF('Inputs summary'!$E$1:$E$106,$BI9,'Inputs summary'!$C$1:$C$106)</f>
        <v>5</v>
      </c>
      <c r="BP9" s="166">
        <f t="shared" si="12"/>
        <v>2.9940365000000004</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1</v>
      </c>
      <c r="V10" s="6">
        <f>+SUMIF('Inputs summary'!B:B,H10,'Inputs summary'!D:D)+SUMIF('Inputs summary'!E:E,H10,'Inputs summary'!C:C)</f>
        <v>6</v>
      </c>
      <c r="W10" s="159">
        <f t="shared" si="15"/>
        <v>-4.9899999818181821E-2</v>
      </c>
      <c r="X10" s="173">
        <f t="shared" si="16"/>
        <v>0</v>
      </c>
      <c r="Y10" s="167">
        <f t="shared" si="7"/>
        <v>4</v>
      </c>
      <c r="Z10" s="173">
        <f t="shared" si="17"/>
        <v>-4.9899749818181821E-2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315.07120000142856</v>
      </c>
      <c r="AW10" t="s">
        <v>292</v>
      </c>
      <c r="AX10" s="174">
        <f>+_xlfn.MINIFS(AU:AU,AS:AS,1)</f>
        <v>210.04100000099999</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-4.8954500000000005E-2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2</v>
      </c>
      <c r="U11" s="6">
        <f>+SUMIF('Inputs summary'!B:B,H11,'Inputs summary'!C:C)+SUMIF('Inputs summary'!E:E,H11,'Inputs summary'!D:D)</f>
        <v>7</v>
      </c>
      <c r="V11" s="6">
        <f>+SUMIF('Inputs summary'!B:B,H11,'Inputs summary'!D:D)+SUMIF('Inputs summary'!E:E,H11,'Inputs summary'!C:C)</f>
        <v>5</v>
      </c>
      <c r="W11" s="159">
        <f t="shared" si="15"/>
        <v>210.02070000052632</v>
      </c>
      <c r="X11" s="173">
        <f t="shared" si="16"/>
        <v>11</v>
      </c>
      <c r="Y11" s="167">
        <f t="shared" si="7"/>
        <v>2</v>
      </c>
      <c r="Z11" s="173">
        <f t="shared" si="17"/>
        <v>210.02070050052632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212.06080000111112</v>
      </c>
      <c r="AW11" t="s">
        <v>852</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14</v>
      </c>
      <c r="U12" s="6">
        <f>+SUMIF('Inputs summary'!B:B,H12,'Inputs summary'!C:C)+SUMIF('Inputs summary'!E:E,H12,'Inputs summary'!D:D)</f>
        <v>21</v>
      </c>
      <c r="V12" s="6">
        <f>+SUMIF('Inputs summary'!B:B,H12,'Inputs summary'!D:D)+SUMIF('Inputs summary'!E:E,H12,'Inputs summary'!C:C)</f>
        <v>7</v>
      </c>
      <c r="W12" s="159">
        <f t="shared" si="15"/>
        <v>521.14210000166668</v>
      </c>
      <c r="X12" s="173">
        <f t="shared" si="16"/>
        <v>11111</v>
      </c>
      <c r="Y12" s="167">
        <f t="shared" si="7"/>
        <v>1</v>
      </c>
      <c r="Z12" s="173">
        <f t="shared" si="17"/>
        <v>521.14210100166667</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210.04100000099999</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10</v>
      </c>
      <c r="BO12" s="6">
        <f>+SUMIF('Inputs summary'!$B$1:$B$106,$BI12,'Inputs summary'!$D$1:$D$106)+SUMIF('Inputs summary'!$E$1:$E$106,$BI12,'Inputs summary'!$C$1:$C$106)</f>
        <v>2</v>
      </c>
      <c r="BP12" s="166">
        <f t="shared" si="12"/>
        <v>9.0900105999999994</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5</v>
      </c>
      <c r="V13" s="6">
        <f>+SUMIF('Inputs summary'!B:B,H13,'Inputs summary'!D:D)+SUMIF('Inputs summary'!E:E,H13,'Inputs summary'!C:C)</f>
        <v>6</v>
      </c>
      <c r="W13" s="159">
        <f t="shared" si="15"/>
        <v>105.99050000125</v>
      </c>
      <c r="X13" s="173">
        <f t="shared" si="16"/>
        <v>1</v>
      </c>
      <c r="Y13" s="167">
        <f t="shared" si="7"/>
        <v>2</v>
      </c>
      <c r="Z13" s="173">
        <f t="shared" si="17"/>
        <v>105.99050050125</v>
      </c>
      <c r="AA13" s="173">
        <f>+_xlfn.XLOOKUP(H13,'Ranking FIFA'!B:B,'Ranking FIFA'!A:A,"--",0)</f>
        <v>8</v>
      </c>
      <c r="AH13" t="str">
        <f>+'Round of 32 &amp; Round of 16'!Y5</f>
        <v>España</v>
      </c>
      <c r="AI13" t="str">
        <f>+'Round of 32 &amp; Round of 16'!E21</f>
        <v>Australia</v>
      </c>
      <c r="AP13" s="457">
        <f>+_xlfn.XLOOKUP(AQ13,'Ranking FIFA'!B:B,'Ranking FIFA'!A:A,"--",0)</f>
        <v>11</v>
      </c>
      <c r="AQ13" t="s">
        <v>57</v>
      </c>
      <c r="AR13" s="6">
        <v>1</v>
      </c>
      <c r="AS13" s="6">
        <v>2</v>
      </c>
      <c r="AT13" s="169">
        <f t="shared" si="8"/>
        <v>1</v>
      </c>
      <c r="AU13" s="166">
        <f t="shared" si="9"/>
        <v>106.0006000009091</v>
      </c>
      <c r="AW13" t="s">
        <v>853</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1</v>
      </c>
      <c r="BN13" s="6">
        <f>+SUMIF('Inputs summary'!$B$1:$B$106,$BI13,'Inputs summary'!$C$1:$C$106)+SUMIF('Inputs summary'!$E$1:$E$106,$BI13,'Inputs summary'!$D$1:$D$106)</f>
        <v>5</v>
      </c>
      <c r="BO13" s="6">
        <f>+SUMIF('Inputs summary'!$B$1:$B$106,$BI13,'Inputs summary'!$D$1:$D$106)+SUMIF('Inputs summary'!$E$1:$E$106,$BI13,'Inputs summary'!$C$1:$C$106)</f>
        <v>4</v>
      </c>
      <c r="BP13" s="166">
        <f t="shared" si="12"/>
        <v>6.0150207999999994</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107.02060000058823</v>
      </c>
      <c r="AW14" t="s">
        <v>292</v>
      </c>
      <c r="AX14" s="174">
        <f>+_xlfn.MINIFS(AU:AU,AS:AS,2)</f>
        <v>106.0006000009091</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5</v>
      </c>
      <c r="V15" s="6">
        <f>+SUMIF('Inputs summary'!B:B,H15,'Inputs summary'!D:D)+SUMIF('Inputs summary'!E:E,H15,'Inputs summary'!C:C)</f>
        <v>8</v>
      </c>
      <c r="W15" s="159">
        <f t="shared" si="15"/>
        <v>102.97050000023256</v>
      </c>
      <c r="X15" s="173">
        <f t="shared" si="16"/>
        <v>1</v>
      </c>
      <c r="Y15" s="167">
        <f t="shared" si="7"/>
        <v>3</v>
      </c>
      <c r="Z15" s="173">
        <f t="shared" si="17"/>
        <v>102.97050033356589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105.99050000125</v>
      </c>
      <c r="AW15" t="s">
        <v>852</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1</v>
      </c>
      <c r="S16" s="6">
        <f>+COUNTIFS('Inputs summary'!L:L,$H16)</f>
        <v>2</v>
      </c>
      <c r="T16" s="6">
        <f t="shared" si="14"/>
        <v>-2</v>
      </c>
      <c r="U16" s="6">
        <f>+SUMIF('Inputs summary'!B:B,H16,'Inputs summary'!C:C)+SUMIF('Inputs summary'!E:E,H16,'Inputs summary'!D:D)</f>
        <v>6</v>
      </c>
      <c r="V16" s="6">
        <f>+SUMIF('Inputs summary'!B:B,H16,'Inputs summary'!D:D)+SUMIF('Inputs summary'!E:E,H16,'Inputs summary'!C:C)</f>
        <v>8</v>
      </c>
      <c r="W16" s="159">
        <f t="shared" si="15"/>
        <v>206.98060000062497</v>
      </c>
      <c r="X16" s="173">
        <f t="shared" si="16"/>
        <v>11</v>
      </c>
      <c r="Y16" s="167">
        <f t="shared" si="7"/>
        <v>2</v>
      </c>
      <c r="Z16" s="173">
        <f t="shared" si="17"/>
        <v>206.98060050062497</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211.03110000076924</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5</v>
      </c>
      <c r="BO16" s="6">
        <f>+SUMIF('Inputs summary'!$B$1:$B$106,$BI16,'Inputs summary'!$D$1:$D$106)+SUMIF('Inputs summary'!$E$1:$E$106,$BI16,'Inputs summary'!$C$1:$C$106)</f>
        <v>5</v>
      </c>
      <c r="BP16" s="166">
        <f t="shared" si="12"/>
        <v>5.0050216000000001</v>
      </c>
    </row>
    <row r="17" spans="7:68" x14ac:dyDescent="0.2">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5</v>
      </c>
      <c r="R17" s="6">
        <f>+COUNTIFS('Inputs summary'!J:K,$H17)</f>
        <v>0</v>
      </c>
      <c r="S17" s="6">
        <f>+COUNTIFS('Inputs summary'!L:L,$H17)</f>
        <v>1</v>
      </c>
      <c r="T17" s="6">
        <f t="shared" si="14"/>
        <v>7</v>
      </c>
      <c r="U17" s="6">
        <f>+SUMIF('Inputs summary'!B:B,H17,'Inputs summary'!C:C)+SUMIF('Inputs summary'!E:E,H17,'Inputs summary'!D:D)</f>
        <v>13</v>
      </c>
      <c r="V17" s="6">
        <f>+SUMIF('Inputs summary'!B:B,H17,'Inputs summary'!D:D)+SUMIF('Inputs summary'!E:E,H17,'Inputs summary'!C:C)</f>
        <v>6</v>
      </c>
      <c r="W17" s="159">
        <f t="shared" si="15"/>
        <v>315.07130000025001</v>
      </c>
      <c r="X17" s="173">
        <f t="shared" si="16"/>
        <v>111</v>
      </c>
      <c r="Y17" s="167">
        <f t="shared" si="7"/>
        <v>2</v>
      </c>
      <c r="Z17" s="173">
        <f t="shared" si="17"/>
        <v>315.07130050025</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1</v>
      </c>
      <c r="AU17" s="166">
        <f t="shared" si="9"/>
        <v>103.98050000071429</v>
      </c>
      <c r="AY17" s="175" t="str">
        <f>+IF(AY11="-",IF(AY15="-","-",AY15),IF(AY15="-",AY11,IF(AX11&lt;=AX15,AY11,AY15)))</f>
        <v>Croacia</v>
      </c>
      <c r="BH17">
        <v>14</v>
      </c>
      <c r="BI17" t="str">
        <f t="shared" si="11"/>
        <v>Paraguay</v>
      </c>
      <c r="BJ17" s="6">
        <f>+COUNTIFS('Inputs summary'!I$2:I$106,BI17)</f>
        <v>3</v>
      </c>
      <c r="BK17" s="6">
        <f>+COUNTIFS('Inputs summary'!J$2:K$106,BI17)</f>
        <v>0</v>
      </c>
      <c r="BL17" s="6">
        <f>+COUNTIFS('Inputs summary'!L$2:L$106,BI17)</f>
        <v>0</v>
      </c>
      <c r="BM17" s="6">
        <f t="shared" si="19"/>
        <v>3</v>
      </c>
      <c r="BN17" s="6">
        <f>+SUMIF('Inputs summary'!$B$1:$B$106,$BI17,'Inputs summary'!$C$1:$C$106)+SUMIF('Inputs summary'!$E$1:$E$106,$BI17,'Inputs summary'!$D$1:$D$106)</f>
        <v>6</v>
      </c>
      <c r="BO17" s="6">
        <f>+SUMIF('Inputs summary'!$B$1:$B$106,$BI17,'Inputs summary'!$D$1:$D$106)+SUMIF('Inputs summary'!$E$1:$E$106,$BI17,'Inputs summary'!$C$1:$C$106)</f>
        <v>3</v>
      </c>
      <c r="BP17" s="166">
        <f t="shared" si="12"/>
        <v>9.0360239999999994</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1</v>
      </c>
      <c r="S18" s="6">
        <f>+COUNTIFS('Inputs summary'!L:L,$H18)</f>
        <v>2</v>
      </c>
      <c r="T18" s="6">
        <f t="shared" si="14"/>
        <v>-2</v>
      </c>
      <c r="U18" s="6">
        <f>+SUMIF('Inputs summary'!B:B,H18,'Inputs summary'!C:C)+SUMIF('Inputs summary'!E:E,H18,'Inputs summary'!D:D)</f>
        <v>5</v>
      </c>
      <c r="V18" s="6">
        <f>+SUMIF('Inputs summary'!B:B,H18,'Inputs summary'!D:D)+SUMIF('Inputs summary'!E:E,H18,'Inputs summary'!C:C)</f>
        <v>7</v>
      </c>
      <c r="W18" s="159">
        <f t="shared" si="15"/>
        <v>103.98050000037037</v>
      </c>
      <c r="X18" s="173">
        <f t="shared" si="16"/>
        <v>1</v>
      </c>
      <c r="Y18" s="167">
        <f t="shared" si="7"/>
        <v>3</v>
      </c>
      <c r="Z18" s="173">
        <f t="shared" si="17"/>
        <v>103.9805003337037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210.05100000066668</v>
      </c>
      <c r="BH18">
        <v>15</v>
      </c>
      <c r="BI18" t="str">
        <f t="shared" si="11"/>
        <v>Australia</v>
      </c>
      <c r="BJ18" s="6">
        <f>+COUNTIFS('Inputs summary'!I$2:I$106,BI18)</f>
        <v>1</v>
      </c>
      <c r="BK18" s="6">
        <f>+COUNTIFS('Inputs summary'!J$2:K$106,BI18)</f>
        <v>1</v>
      </c>
      <c r="BL18" s="6">
        <f>+COUNTIFS('Inputs summary'!L$2:L$106,BI18)</f>
        <v>1</v>
      </c>
      <c r="BM18" s="6">
        <f t="shared" si="19"/>
        <v>0</v>
      </c>
      <c r="BN18" s="6">
        <f>+SUMIF('Inputs summary'!$B$1:$B$106,$BI18,'Inputs summary'!$C$1:$C$106)+SUMIF('Inputs summary'!$E$1:$E$106,$BI18,'Inputs summary'!$D$1:$D$106)</f>
        <v>4</v>
      </c>
      <c r="BO18" s="6">
        <f>+SUMIF('Inputs summary'!$B$1:$B$106,$BI18,'Inputs summary'!$D$1:$D$106)+SUMIF('Inputs summary'!$E$1:$E$106,$BI18,'Inputs summary'!$C$1:$C$106)</f>
        <v>4</v>
      </c>
      <c r="BP18" s="166">
        <f t="shared" si="12"/>
        <v>5.0040326999999989</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0</v>
      </c>
      <c r="S19" s="6">
        <f>+COUNTIFS('Inputs summary'!L:L,$H19)</f>
        <v>3</v>
      </c>
      <c r="T19" s="6">
        <f t="shared" si="14"/>
        <v>-3</v>
      </c>
      <c r="U19" s="6">
        <f>+SUMIF('Inputs summary'!B:B,H19,'Inputs summary'!C:C)+SUMIF('Inputs summary'!E:E,H19,'Inputs summary'!D:D)</f>
        <v>4</v>
      </c>
      <c r="V19" s="6">
        <f>+SUMIF('Inputs summary'!B:B,H19,'Inputs summary'!D:D)+SUMIF('Inputs summary'!E:E,H19,'Inputs summary'!C:C)</f>
        <v>7</v>
      </c>
      <c r="W19" s="159">
        <f t="shared" si="15"/>
        <v>-2.9599999545454544E-2</v>
      </c>
      <c r="X19" s="173">
        <f t="shared" si="16"/>
        <v>0</v>
      </c>
      <c r="Y19" s="167">
        <f t="shared" si="7"/>
        <v>2</v>
      </c>
      <c r="Z19" s="173">
        <f t="shared" si="17"/>
        <v>-2.9599499545454544E-2</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206.98060000062497</v>
      </c>
      <c r="BH19">
        <v>16</v>
      </c>
      <c r="BI19" t="str">
        <f t="shared" si="11"/>
        <v>Turquia</v>
      </c>
      <c r="BJ19" s="6">
        <f>+COUNTIFS('Inputs summary'!I$2:I$106,BI19)</f>
        <v>0</v>
      </c>
      <c r="BK19" s="6">
        <f>+COUNTIFS('Inputs summary'!J$2:K$106,BI19)</f>
        <v>0</v>
      </c>
      <c r="BL19" s="6">
        <f>+COUNTIFS('Inputs summary'!L$2:L$106,BI19)</f>
        <v>3</v>
      </c>
      <c r="BM19" s="6">
        <f t="shared" si="19"/>
        <v>-3</v>
      </c>
      <c r="BN19" s="6">
        <f>+SUMIF('Inputs summary'!$B$1:$B$106,$BI19,'Inputs summary'!$C$1:$C$106)+SUMIF('Inputs summary'!$E$1:$E$106,$BI19,'Inputs summary'!$D$1:$D$106)</f>
        <v>4</v>
      </c>
      <c r="BO19" s="6">
        <f>+SUMIF('Inputs summary'!$B$1:$B$106,$BI19,'Inputs summary'!$D$1:$D$106)+SUMIF('Inputs summary'!$E$1:$E$106,$BI19,'Inputs summary'!$C$1:$C$106)</f>
        <v>7</v>
      </c>
      <c r="BP19" s="166">
        <f t="shared" si="12"/>
        <v>-2.5977799999999999E-2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4</v>
      </c>
      <c r="U20" s="6">
        <f>+SUMIF('Inputs summary'!B:B,H20,'Inputs summary'!C:C)+SUMIF('Inputs summary'!E:E,H20,'Inputs summary'!D:D)</f>
        <v>10</v>
      </c>
      <c r="V20" s="6">
        <f>+SUMIF('Inputs summary'!B:B,H20,'Inputs summary'!D:D)+SUMIF('Inputs summary'!E:E,H20,'Inputs summary'!C:C)</f>
        <v>6</v>
      </c>
      <c r="W20" s="159">
        <f t="shared" si="15"/>
        <v>210.04100000099999</v>
      </c>
      <c r="X20" s="173">
        <f t="shared" si="16"/>
        <v>11</v>
      </c>
      <c r="Y20" s="167">
        <f t="shared" si="7"/>
        <v>1</v>
      </c>
      <c r="Z20" s="173">
        <f t="shared" si="17"/>
        <v>210.04100100099998</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105.98050000055557</v>
      </c>
      <c r="BH20">
        <v>17</v>
      </c>
      <c r="BI20" t="str">
        <f t="shared" si="11"/>
        <v>Alemania</v>
      </c>
      <c r="BJ20" s="6">
        <f>+COUNTIFS('Inputs summary'!I$2:I$106,BI20)</f>
        <v>2</v>
      </c>
      <c r="BK20" s="6">
        <f>+COUNTIFS('Inputs summary'!J$2:K$106,BI20)</f>
        <v>1</v>
      </c>
      <c r="BL20" s="6">
        <f>+COUNTIFS('Inputs summary'!L$2:L$106,BI20)</f>
        <v>0</v>
      </c>
      <c r="BM20" s="6">
        <f t="shared" si="19"/>
        <v>3</v>
      </c>
      <c r="BN20" s="6">
        <f>+SUMIF('Inputs summary'!$B$1:$B$106,$BI20,'Inputs summary'!$C$1:$C$106)+SUMIF('Inputs summary'!$E$1:$E$106,$BI20,'Inputs summary'!$D$1:$D$106)</f>
        <v>6</v>
      </c>
      <c r="BO20" s="6">
        <f>+SUMIF('Inputs summary'!$B$1:$B$106,$BI20,'Inputs summary'!$D$1:$D$106)+SUMIF('Inputs summary'!$E$1:$E$106,$BI20,'Inputs summary'!$C$1:$C$106)</f>
        <v>3</v>
      </c>
      <c r="BP20" s="166">
        <f t="shared" si="12"/>
        <v>8.0360109999999985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-6</v>
      </c>
      <c r="U21" s="6">
        <f>+SUMIF('Inputs summary'!B:B,H21,'Inputs summary'!C:C)+SUMIF('Inputs summary'!E:E,H21,'Inputs summary'!D:D)</f>
        <v>1</v>
      </c>
      <c r="V21" s="6">
        <f>+SUMIF('Inputs summary'!B:B,H21,'Inputs summary'!D:D)+SUMIF('Inputs summary'!E:E,H21,'Inputs summary'!C:C)</f>
        <v>7</v>
      </c>
      <c r="W21" s="159">
        <f t="shared" si="15"/>
        <v>-5.9899999878048775E-2</v>
      </c>
      <c r="X21" s="173">
        <f t="shared" si="16"/>
        <v>0</v>
      </c>
      <c r="Y21" s="167">
        <f t="shared" si="7"/>
        <v>4</v>
      </c>
      <c r="Z21" s="173">
        <f t="shared" si="17"/>
        <v>-5.9899749878048775E-2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210.02070000052632</v>
      </c>
      <c r="AW21" t="s">
        <v>32</v>
      </c>
      <c r="BH21">
        <v>18</v>
      </c>
      <c r="BI21" t="str">
        <f t="shared" si="11"/>
        <v>Curazao</v>
      </c>
      <c r="BJ21" s="6">
        <f>+COUNTIFS('Inputs summary'!I$2:I$106,BI21)</f>
        <v>0</v>
      </c>
      <c r="BK21" s="6">
        <f>+COUNTIFS('Inputs summary'!J$2:K$106,BI21)</f>
        <v>0</v>
      </c>
      <c r="BL21" s="6">
        <f>+COUNTIFS('Inputs summary'!L$2:L$106,BI21)</f>
        <v>3</v>
      </c>
      <c r="BM21" s="6">
        <f t="shared" si="19"/>
        <v>-6</v>
      </c>
      <c r="BN21" s="6">
        <f>+SUMIF('Inputs summary'!$B$1:$B$106,$BI21,'Inputs summary'!$C$1:$C$106)+SUMIF('Inputs summary'!$E$1:$E$106,$BI21,'Inputs summary'!$D$1:$D$106)</f>
        <v>1</v>
      </c>
      <c r="BO21" s="6">
        <f>+SUMIF('Inputs summary'!$B$1:$B$106,$BI21,'Inputs summary'!$D$1:$D$106)+SUMIF('Inputs summary'!$E$1:$E$106,$BI21,'Inputs summary'!$C$1:$C$106)</f>
        <v>7</v>
      </c>
      <c r="BP21" s="166">
        <f t="shared" si="12"/>
        <v>-5.8951799999999999E-2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7</v>
      </c>
      <c r="V22" s="6">
        <f>+SUMIF('Inputs summary'!B:B,H22,'Inputs summary'!D:D)+SUMIF('Inputs summary'!E:E,H22,'Inputs summary'!C:C)</f>
        <v>6</v>
      </c>
      <c r="W22" s="159">
        <f t="shared" si="15"/>
        <v>104.01070000029412</v>
      </c>
      <c r="X22" s="173">
        <f t="shared" si="16"/>
        <v>1</v>
      </c>
      <c r="Y22" s="167">
        <f t="shared" si="7"/>
        <v>3</v>
      </c>
      <c r="Z22" s="173">
        <f t="shared" si="17"/>
        <v>104.01070033362745</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-2.9599999545454544E-2</v>
      </c>
      <c r="AW22">
        <f>+SMALL($Z$3:$Z$51,1)</f>
        <v>-7.9999749879518078E-2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7</v>
      </c>
      <c r="BO22" s="6">
        <f>+SUMIF('Inputs summary'!$B$1:$B$106,$BI22,'Inputs summary'!$D$1:$D$106)+SUMIF('Inputs summary'!$E$1:$E$106,$BI22,'Inputs summary'!$C$1:$C$106)</f>
        <v>5</v>
      </c>
      <c r="BP22" s="166">
        <f t="shared" si="12"/>
        <v>5.0270333999999988</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3</v>
      </c>
      <c r="S23" s="6">
        <f>+COUNTIFS('Inputs summary'!L:L,$H23)</f>
        <v>0</v>
      </c>
      <c r="T23" s="6">
        <f t="shared" si="14"/>
        <v>1</v>
      </c>
      <c r="U23" s="6">
        <f>+SUMIF('Inputs summary'!B:B,H23,'Inputs summary'!C:C)+SUMIF('Inputs summary'!E:E,H23,'Inputs summary'!D:D)</f>
        <v>6</v>
      </c>
      <c r="V23" s="6">
        <f>+SUMIF('Inputs summary'!B:B,H23,'Inputs summary'!D:D)+SUMIF('Inputs summary'!E:E,H23,'Inputs summary'!C:C)</f>
        <v>5</v>
      </c>
      <c r="W23" s="159">
        <f t="shared" si="15"/>
        <v>106.01060000043479</v>
      </c>
      <c r="X23" s="173">
        <f t="shared" si="16"/>
        <v>1</v>
      </c>
      <c r="Y23" s="167">
        <f t="shared" si="7"/>
        <v>2</v>
      </c>
      <c r="Z23" s="173">
        <f t="shared" si="17"/>
        <v>106.01060050043479</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106.01060000043479</v>
      </c>
      <c r="BH23">
        <v>20</v>
      </c>
      <c r="BI23" t="str">
        <f t="shared" si="11"/>
        <v>Ecuador</v>
      </c>
      <c r="BJ23" s="6">
        <f>+COUNTIFS('Inputs summary'!I$2:I$106,BI23)</f>
        <v>1</v>
      </c>
      <c r="BK23" s="6">
        <f>+COUNTIFS('Inputs summary'!J$2:K$106,BI23)</f>
        <v>2</v>
      </c>
      <c r="BL23" s="6">
        <f>+COUNTIFS('Inputs summary'!L$2:L$106,BI23)</f>
        <v>0</v>
      </c>
      <c r="BM23" s="6">
        <f t="shared" si="19"/>
        <v>1</v>
      </c>
      <c r="BN23" s="6">
        <f>+SUMIF('Inputs summary'!$B$1:$B$106,$BI23,'Inputs summary'!$C$1:$C$106)+SUMIF('Inputs summary'!$E$1:$E$106,$BI23,'Inputs summary'!$D$1:$D$106)</f>
        <v>5</v>
      </c>
      <c r="BO23" s="6">
        <f>+SUMIF('Inputs summary'!$B$1:$B$106,$BI23,'Inputs summary'!$D$1:$D$106)+SUMIF('Inputs summary'!$E$1:$E$106,$BI23,'Inputs summary'!$C$1:$C$106)</f>
        <v>4</v>
      </c>
      <c r="BP23" s="166">
        <f t="shared" si="12"/>
        <v>7.0150223</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7</v>
      </c>
      <c r="U24" s="6">
        <f>+SUMIF('Inputs summary'!B:B,H24,'Inputs summary'!C:C)+SUMIF('Inputs summary'!E:E,H24,'Inputs summary'!D:D)</f>
        <v>12</v>
      </c>
      <c r="V24" s="6">
        <f>+SUMIF('Inputs summary'!B:B,H24,'Inputs summary'!D:D)+SUMIF('Inputs summary'!E:E,H24,'Inputs summary'!C:C)</f>
        <v>5</v>
      </c>
      <c r="W24" s="159">
        <f t="shared" si="15"/>
        <v>315.07120000142856</v>
      </c>
      <c r="X24" s="173">
        <f t="shared" si="16"/>
        <v>111</v>
      </c>
      <c r="Y24" s="167">
        <f t="shared" si="7"/>
        <v>1</v>
      </c>
      <c r="Z24" s="173">
        <f t="shared" si="17"/>
        <v>315.07120100142856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210.01070000039999</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7</v>
      </c>
      <c r="BO24" s="6">
        <f>+SUMIF('Inputs summary'!$B$1:$B$106,$BI24,'Inputs summary'!$D$1:$D$106)+SUMIF('Inputs summary'!$E$1:$E$106,$BI24,'Inputs summary'!$C$1:$C$106)</f>
        <v>3</v>
      </c>
      <c r="BP24" s="166">
        <f t="shared" si="12"/>
        <v>9.0470106999999977</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-2</v>
      </c>
      <c r="U25" s="6">
        <f>+SUMIF('Inputs summary'!B:B,H25,'Inputs summary'!C:C)+SUMIF('Inputs summary'!E:E,H25,'Inputs summary'!D:D)</f>
        <v>5</v>
      </c>
      <c r="V25" s="6">
        <f>+SUMIF('Inputs summary'!B:B,H25,'Inputs summary'!D:D)+SUMIF('Inputs summary'!E:E,H25,'Inputs summary'!C:C)</f>
        <v>7</v>
      </c>
      <c r="W25" s="159">
        <f t="shared" si="15"/>
        <v>105.98050000055557</v>
      </c>
      <c r="X25" s="173">
        <f t="shared" si="16"/>
        <v>1</v>
      </c>
      <c r="Y25" s="167">
        <f t="shared" si="7"/>
        <v>2</v>
      </c>
      <c r="Z25" s="173">
        <f t="shared" si="17"/>
        <v>105.98050050055556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206.00070000032258</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5</v>
      </c>
      <c r="BO25" s="6">
        <f>+SUMIF('Inputs summary'!$B$1:$B$106,$BI25,'Inputs summary'!$D$1:$D$106)+SUMIF('Inputs summary'!$E$1:$E$106,$BI25,'Inputs summary'!$C$1:$C$106)</f>
        <v>4</v>
      </c>
      <c r="BP25" s="166">
        <f t="shared" si="12"/>
        <v>6.0150217999999995</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9">
        <f t="shared" si="15"/>
        <v>0.98030000026315789</v>
      </c>
      <c r="X26" s="173">
        <f t="shared" si="16"/>
        <v>0</v>
      </c>
      <c r="Y26" s="167">
        <f t="shared" si="7"/>
        <v>2</v>
      </c>
      <c r="Z26" s="173">
        <f t="shared" si="17"/>
        <v>0.98030050026315785</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0.98030000026315789</v>
      </c>
      <c r="BH26">
        <v>23</v>
      </c>
      <c r="BI26" t="str">
        <f t="shared" si="11"/>
        <v>Suecia</v>
      </c>
      <c r="BJ26" s="6">
        <f>+COUNTIFS('Inputs summary'!I$2:I$106,BI26)</f>
        <v>0</v>
      </c>
      <c r="BK26" s="6">
        <f>+COUNTIFS('Inputs summary'!J$2:K$106,BI26)</f>
        <v>1</v>
      </c>
      <c r="BL26" s="6">
        <f>+COUNTIFS('Inputs summary'!L$2:L$106,BI26)</f>
        <v>2</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1.9830237999999998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3</v>
      </c>
      <c r="V27" s="6">
        <f>+SUMIF('Inputs summary'!B:B,H27,'Inputs summary'!D:D)+SUMIF('Inputs summary'!E:E,H27,'Inputs summary'!C:C)</f>
        <v>6</v>
      </c>
      <c r="W27" s="159">
        <f t="shared" si="15"/>
        <v>0.9703000002272727</v>
      </c>
      <c r="X27" s="173">
        <f t="shared" si="16"/>
        <v>0</v>
      </c>
      <c r="Y27" s="167">
        <f t="shared" si="7"/>
        <v>3</v>
      </c>
      <c r="Z27" s="173">
        <f t="shared" si="17"/>
        <v>0.97030033356060608</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315.07130000025001</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3</v>
      </c>
      <c r="BO27" s="6">
        <f>+SUMIF('Inputs summary'!$B$1:$B$106,$BI27,'Inputs summary'!$D$1:$D$106)+SUMIF('Inputs summary'!$E$1:$E$106,$BI27,'Inputs summary'!$C$1:$C$106)</f>
        <v>6</v>
      </c>
      <c r="BP27" s="166">
        <f t="shared" si="12"/>
        <v>1.9730343999999997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0</v>
      </c>
      <c r="S28" s="6">
        <f>+COUNTIFS('Inputs summary'!L:L,$H28)</f>
        <v>3</v>
      </c>
      <c r="T28" s="6">
        <f t="shared" si="14"/>
        <v>-4</v>
      </c>
      <c r="U28" s="6">
        <f>+SUMIF('Inputs summary'!B:B,H28,'Inputs summary'!C:C)+SUMIF('Inputs summary'!E:E,H28,'Inputs summary'!D:D)</f>
        <v>1</v>
      </c>
      <c r="V28" s="6">
        <f>+SUMIF('Inputs summary'!B:B,H28,'Inputs summary'!D:D)+SUMIF('Inputs summary'!E:E,H28,'Inputs summary'!C:C)</f>
        <v>5</v>
      </c>
      <c r="W28" s="159">
        <f t="shared" si="15"/>
        <v>-3.9899999523809522E-2</v>
      </c>
      <c r="X28" s="173">
        <f t="shared" si="16"/>
        <v>0</v>
      </c>
      <c r="Y28" s="167">
        <f t="shared" si="7"/>
        <v>3</v>
      </c>
      <c r="Z28" s="173">
        <f t="shared" si="17"/>
        <v>-3.9899666190476191E-2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107.02070000041665</v>
      </c>
      <c r="BH28">
        <v>25</v>
      </c>
      <c r="BI28" t="str">
        <f t="shared" si="11"/>
        <v>Iran</v>
      </c>
      <c r="BJ28" s="6">
        <f>+COUNTIFS('Inputs summary'!I$2:I$106,BI28)</f>
        <v>0</v>
      </c>
      <c r="BK28" s="6">
        <f>+COUNTIFS('Inputs summary'!J$2:K$106,BI28)</f>
        <v>0</v>
      </c>
      <c r="BL28" s="6">
        <f>+COUNTIFS('Inputs summary'!L$2:L$106,BI28)</f>
        <v>3</v>
      </c>
      <c r="BM28" s="6">
        <f t="shared" si="19"/>
        <v>-4</v>
      </c>
      <c r="BN28" s="6">
        <f>+SUMIF('Inputs summary'!$B$1:$B$106,$BI28,'Inputs summary'!$C$1:$C$106)+SUMIF('Inputs summary'!$E$1:$E$106,$BI28,'Inputs summary'!$D$1:$D$106)</f>
        <v>1</v>
      </c>
      <c r="BO28" s="6">
        <f>+SUMIF('Inputs summary'!$B$1:$B$106,$BI28,'Inputs summary'!$D$1:$D$106)+SUMIF('Inputs summary'!$E$1:$E$106,$BI28,'Inputs summary'!$C$1:$C$106)</f>
        <v>5</v>
      </c>
      <c r="BP28" s="166">
        <f t="shared" si="12"/>
        <v>-3.89679E-2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1</v>
      </c>
      <c r="R29" s="6">
        <f>+COUNTIFS('Inputs summary'!J:K,$H29)</f>
        <v>0</v>
      </c>
      <c r="S29" s="6">
        <f>+COUNTIFS('Inputs summary'!L:L,$H29)</f>
        <v>2</v>
      </c>
      <c r="T29" s="6">
        <f t="shared" si="14"/>
        <v>-2</v>
      </c>
      <c r="U29" s="6">
        <f>+SUMIF('Inputs summary'!B:B,H29,'Inputs summary'!C:C)+SUMIF('Inputs summary'!E:E,H29,'Inputs summary'!D:D)</f>
        <v>2</v>
      </c>
      <c r="V29" s="6">
        <f>+SUMIF('Inputs summary'!B:B,H29,'Inputs summary'!D:D)+SUMIF('Inputs summary'!E:E,H29,'Inputs summary'!C:C)</f>
        <v>4</v>
      </c>
      <c r="W29" s="159">
        <f t="shared" si="15"/>
        <v>2.9802000001176472</v>
      </c>
      <c r="X29" s="173">
        <f t="shared" si="16"/>
        <v>0</v>
      </c>
      <c r="Y29" s="167">
        <f t="shared" si="7"/>
        <v>4</v>
      </c>
      <c r="Z29" s="173">
        <f t="shared" si="17"/>
        <v>2.980200250117647</v>
      </c>
      <c r="AA29" s="173">
        <f>+_xlfn.XLOOKUP(H29,'Ranking FIFA'!B:B,'Ranking FIFA'!A:A,"--",0)</f>
        <v>85</v>
      </c>
      <c r="AI29" t="str">
        <f>+'Round of 32 &amp; Round of 16'!K21</f>
        <v>Costa de Marfil</v>
      </c>
      <c r="AP29" s="457">
        <f>+_xlfn.XLOOKUP(AQ29,'Ranking FIFA'!B:B,'Ranking FIFA'!A:A,"--",0)</f>
        <v>27</v>
      </c>
      <c r="AQ29" t="s">
        <v>73</v>
      </c>
      <c r="AR29" s="6">
        <v>3</v>
      </c>
      <c r="AT29" s="169">
        <f t="shared" si="8"/>
        <v>1</v>
      </c>
      <c r="AU29" s="166">
        <f t="shared" si="9"/>
        <v>103.98050000037037</v>
      </c>
      <c r="BH29">
        <v>26</v>
      </c>
      <c r="BI29" t="str">
        <f t="shared" si="11"/>
        <v>Nueva Zelanda</v>
      </c>
      <c r="BJ29" s="6">
        <f>+COUNTIFS('Inputs summary'!I$2:I$106,BI29)</f>
        <v>1</v>
      </c>
      <c r="BK29" s="6">
        <f>+COUNTIFS('Inputs summary'!J$2:K$106,BI29)</f>
        <v>0</v>
      </c>
      <c r="BL29" s="6">
        <f>+COUNTIFS('Inputs summary'!L$2:L$106,BI29)</f>
        <v>2</v>
      </c>
      <c r="BM29" s="6">
        <f t="shared" si="19"/>
        <v>-2</v>
      </c>
      <c r="BN29" s="6">
        <f>+SUMIF('Inputs summary'!$B$1:$B$106,$BI29,'Inputs summary'!$C$1:$C$106)+SUMIF('Inputs summary'!$E$1:$E$106,$BI29,'Inputs summary'!$D$1:$D$106)</f>
        <v>2</v>
      </c>
      <c r="BO29" s="6">
        <f>+SUMIF('Inputs summary'!$B$1:$B$106,$BI29,'Inputs summary'!$D$1:$D$106)+SUMIF('Inputs summary'!$E$1:$E$106,$BI29,'Inputs summary'!$C$1:$C$106)</f>
        <v>4</v>
      </c>
      <c r="BP29" s="166">
        <f t="shared" si="12"/>
        <v>2.9820484999999994</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6</v>
      </c>
      <c r="U30" s="6">
        <f>+SUMIF('Inputs summary'!B:B,H30,'Inputs summary'!C:C)+SUMIF('Inputs summary'!E:E,H30,'Inputs summary'!D:D)</f>
        <v>8</v>
      </c>
      <c r="V30" s="6">
        <f>+SUMIF('Inputs summary'!B:B,H30,'Inputs summary'!D:D)+SUMIF('Inputs summary'!E:E,H30,'Inputs summary'!C:C)</f>
        <v>2</v>
      </c>
      <c r="W30" s="159">
        <f t="shared" si="15"/>
        <v>212.06080000111112</v>
      </c>
      <c r="X30" s="173">
        <f t="shared" si="16"/>
        <v>11</v>
      </c>
      <c r="Y30" s="167">
        <f t="shared" si="7"/>
        <v>1</v>
      </c>
      <c r="Z30" s="173">
        <f t="shared" si="17"/>
        <v>212.06080100111112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-2.969999964285714E-2</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6</v>
      </c>
      <c r="BO30" s="6">
        <f>+SUMIF('Inputs summary'!$B$1:$B$106,$BI30,'Inputs summary'!$D$1:$D$106)+SUMIF('Inputs summary'!$E$1:$E$106,$BI30,'Inputs summary'!$C$1:$C$106)</f>
        <v>0</v>
      </c>
      <c r="BP30" s="166">
        <f t="shared" si="12"/>
        <v>9.0660109000000002</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0</v>
      </c>
      <c r="S31" s="6">
        <f>+COUNTIFS('Inputs summary'!L:L,$H31)</f>
        <v>2</v>
      </c>
      <c r="T31" s="6">
        <f t="shared" si="14"/>
        <v>-1</v>
      </c>
      <c r="U31" s="6">
        <f>+SUMIF('Inputs summary'!B:B,H31,'Inputs summary'!C:C)+SUMIF('Inputs summary'!E:E,H31,'Inputs summary'!D:D)</f>
        <v>4</v>
      </c>
      <c r="V31" s="6">
        <f>+SUMIF('Inputs summary'!B:B,H31,'Inputs summary'!D:D)+SUMIF('Inputs summary'!E:E,H31,'Inputs summary'!C:C)</f>
        <v>5</v>
      </c>
      <c r="W31" s="159">
        <f t="shared" si="15"/>
        <v>105.99040000034482</v>
      </c>
      <c r="X31" s="173">
        <f t="shared" si="16"/>
        <v>1</v>
      </c>
      <c r="Y31" s="167">
        <f t="shared" si="7"/>
        <v>3</v>
      </c>
      <c r="Z31" s="173">
        <f t="shared" si="17"/>
        <v>105.99040033367815</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105.99040000034482</v>
      </c>
      <c r="BH31">
        <v>28</v>
      </c>
      <c r="BI31" t="str">
        <f t="shared" si="11"/>
        <v>Egipto</v>
      </c>
      <c r="BJ31" s="6">
        <f>+COUNTIFS('Inputs summary'!I$2:I$106,BI31)</f>
        <v>2</v>
      </c>
      <c r="BK31" s="6">
        <f>+COUNTIFS('Inputs summary'!J$2:K$106,BI31)</f>
        <v>0</v>
      </c>
      <c r="BL31" s="6">
        <f>+COUNTIFS('Inputs summary'!L$2:L$106,BI31)</f>
        <v>1</v>
      </c>
      <c r="BM31" s="6">
        <f t="shared" si="19"/>
        <v>0</v>
      </c>
      <c r="BN31" s="6">
        <f>+SUMIF('Inputs summary'!$B$1:$B$106,$BI31,'Inputs summary'!$C$1:$C$106)+SUMIF('Inputs summary'!$E$1:$E$106,$BI31,'Inputs summary'!$D$1:$D$106)</f>
        <v>4</v>
      </c>
      <c r="BO31" s="6">
        <f>+SUMIF('Inputs summary'!$B$1:$B$106,$BI31,'Inputs summary'!$D$1:$D$106)+SUMIF('Inputs summary'!$E$1:$E$106,$BI31,'Inputs summary'!$C$1:$C$106)</f>
        <v>4</v>
      </c>
      <c r="BP31" s="166">
        <f t="shared" si="12"/>
        <v>6.0040328999999995</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5</v>
      </c>
      <c r="R32" s="6">
        <f>+COUNTIFS('Inputs summary'!J:K,$H32)</f>
        <v>2</v>
      </c>
      <c r="S32" s="6">
        <f>+COUNTIFS('Inputs summary'!L:L,$H32)</f>
        <v>1</v>
      </c>
      <c r="T32" s="6">
        <f t="shared" si="14"/>
        <v>6</v>
      </c>
      <c r="U32" s="6">
        <f>+SUMIF('Inputs summary'!B:B,H32,'Inputs summary'!C:C)+SUMIF('Inputs summary'!E:E,H32,'Inputs summary'!D:D)</f>
        <v>16</v>
      </c>
      <c r="V32" s="6">
        <f>+SUMIF('Inputs summary'!B:B,H32,'Inputs summary'!D:D)+SUMIF('Inputs summary'!E:E,H32,'Inputs summary'!C:C)</f>
        <v>10</v>
      </c>
      <c r="W32" s="159">
        <f t="shared" si="15"/>
        <v>617.06160000499995</v>
      </c>
      <c r="X32" s="173">
        <f t="shared" si="16"/>
        <v>201111</v>
      </c>
      <c r="Y32" s="167">
        <f t="shared" si="7"/>
        <v>1</v>
      </c>
      <c r="Z32" s="173">
        <f t="shared" si="17"/>
        <v>617.06160100499994</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107.02060000033333</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7</v>
      </c>
      <c r="BO32" s="6">
        <f>+SUMIF('Inputs summary'!$B$1:$B$106,$BI32,'Inputs summary'!$D$1:$D$106)+SUMIF('Inputs summary'!$E$1:$E$106,$BI32,'Inputs summary'!$C$1:$C$106)</f>
        <v>3</v>
      </c>
      <c r="BP32" s="166">
        <f t="shared" si="12"/>
        <v>8.047010199999999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2</v>
      </c>
      <c r="V33" s="6">
        <f>+SUMIF('Inputs summary'!B:B,H33,'Inputs summary'!D:D)+SUMIF('Inputs summary'!E:E,H33,'Inputs summary'!C:C)</f>
        <v>7</v>
      </c>
      <c r="W33" s="159">
        <f t="shared" si="15"/>
        <v>-4.9799999855072469E-2</v>
      </c>
      <c r="X33" s="173">
        <f t="shared" si="16"/>
        <v>0</v>
      </c>
      <c r="Y33" s="167">
        <f t="shared" si="7"/>
        <v>4</v>
      </c>
      <c r="Z33" s="173">
        <f t="shared" si="17"/>
        <v>-4.9799749855072468E-2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-4.9899999696969698E-2</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2</v>
      </c>
      <c r="BO33" s="6">
        <f>+SUMIF('Inputs summary'!$B$1:$B$106,$BI33,'Inputs summary'!$D$1:$D$106)+SUMIF('Inputs summary'!$E$1:$E$106,$BI33,'Inputs summary'!$C$1:$C$106)</f>
        <v>7</v>
      </c>
      <c r="BP33" s="166">
        <f t="shared" si="12"/>
        <v>-4.7953100000000005E-2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-5</v>
      </c>
      <c r="U34" s="6">
        <f>+SUMIF('Inputs summary'!B:B,H34,'Inputs summary'!C:C)+SUMIF('Inputs summary'!E:E,H34,'Inputs summary'!D:D)</f>
        <v>3</v>
      </c>
      <c r="V34" s="6">
        <f>+SUMIF('Inputs summary'!B:B,H34,'Inputs summary'!D:D)+SUMIF('Inputs summary'!E:E,H34,'Inputs summary'!C:C)</f>
        <v>8</v>
      </c>
      <c r="W34" s="159">
        <f t="shared" si="15"/>
        <v>102.95030000016394</v>
      </c>
      <c r="X34" s="173">
        <f t="shared" si="16"/>
        <v>1</v>
      </c>
      <c r="Y34" s="167">
        <f t="shared" si="7"/>
        <v>3</v>
      </c>
      <c r="Z34" s="173">
        <f t="shared" si="17"/>
        <v>102.95030033349727</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104.01070000029412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3</v>
      </c>
      <c r="BO34" s="6">
        <f>+SUMIF('Inputs summary'!$B$1:$B$106,$BI34,'Inputs summary'!$D$1:$D$106)+SUMIF('Inputs summary'!$E$1:$E$106,$BI34,'Inputs summary'!$C$1:$C$106)</f>
        <v>5</v>
      </c>
      <c r="BP34" s="166">
        <f t="shared" si="12"/>
        <v>2.9830361000000001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6</v>
      </c>
      <c r="V35" s="6">
        <f>+SUMIF('Inputs summary'!B:B,H35,'Inputs summary'!D:D)+SUMIF('Inputs summary'!E:E,H35,'Inputs summary'!C:C)</f>
        <v>4</v>
      </c>
      <c r="W35" s="159">
        <f t="shared" si="15"/>
        <v>107.02060000058823</v>
      </c>
      <c r="X35" s="173">
        <f t="shared" si="16"/>
        <v>1</v>
      </c>
      <c r="Y35" s="167">
        <f t="shared" si="7"/>
        <v>1</v>
      </c>
      <c r="Z35" s="173">
        <f t="shared" si="17"/>
        <v>107.02060100058823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-3.9899999756097558E-2</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8.0350117000000001</v>
      </c>
    </row>
    <row r="36" spans="7:68" x14ac:dyDescent="0.2">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5</v>
      </c>
      <c r="R36" s="6">
        <f>+COUNTIFS('Inputs summary'!J:K,$H36)</f>
        <v>1</v>
      </c>
      <c r="S36" s="6">
        <f>+COUNTIFS('Inputs summary'!L:L,$H36)</f>
        <v>2</v>
      </c>
      <c r="T36" s="6">
        <f t="shared" si="14"/>
        <v>5</v>
      </c>
      <c r="U36" s="6">
        <f>+SUMIF('Inputs summary'!B:B,H36,'Inputs summary'!C:C)+SUMIF('Inputs summary'!E:E,H36,'Inputs summary'!D:D)</f>
        <v>14</v>
      </c>
      <c r="V36" s="6">
        <f>+SUMIF('Inputs summary'!B:B,H36,'Inputs summary'!D:D)+SUMIF('Inputs summary'!E:E,H36,'Inputs summary'!C:C)</f>
        <v>9</v>
      </c>
      <c r="W36" s="159">
        <f t="shared" si="15"/>
        <v>416.05140001000001</v>
      </c>
      <c r="X36" s="173">
        <f t="shared" si="16"/>
        <v>1111</v>
      </c>
      <c r="Y36" s="167">
        <f t="shared" si="7"/>
        <v>1</v>
      </c>
      <c r="Z36" s="173">
        <f t="shared" si="17"/>
        <v>416.05140101000001</v>
      </c>
      <c r="AA36" s="173">
        <f>+_xlfn.XLOOKUP(H36,'Ranking FIFA'!B:B,'Ranking FIFA'!A:A,"--",0)</f>
        <v>1</v>
      </c>
      <c r="AP36" s="457">
        <f>+_xlfn.XLOOKUP(AQ36,'Ranking FIFA'!B:B,'Ranking FIFA'!A:A,"--",0)</f>
        <v>43</v>
      </c>
      <c r="AQ36" t="s">
        <v>80</v>
      </c>
      <c r="AR36" s="6">
        <v>3</v>
      </c>
      <c r="AT36" s="169">
        <f t="shared" si="8"/>
        <v>1</v>
      </c>
      <c r="AU36" s="166">
        <f t="shared" si="9"/>
        <v>102.97050000023256</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6</v>
      </c>
      <c r="BO36" s="6">
        <f>+SUMIF('Inputs summary'!$B$1:$B$106,$BI36,'Inputs summary'!$D$1:$D$106)+SUMIF('Inputs summary'!$E$1:$E$106,$BI36,'Inputs summary'!$C$1:$C$106)</f>
        <v>2</v>
      </c>
      <c r="BP36" s="166">
        <f t="shared" si="12"/>
        <v>8.0460100999999984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-2</v>
      </c>
      <c r="U37" s="6">
        <f>+SUMIF('Inputs summary'!B:B,H37,'Inputs summary'!C:C)+SUMIF('Inputs summary'!E:E,H37,'Inputs summary'!D:D)</f>
        <v>5</v>
      </c>
      <c r="V37" s="6">
        <f>+SUMIF('Inputs summary'!B:B,H37,'Inputs summary'!D:D)+SUMIF('Inputs summary'!E:E,H37,'Inputs summary'!C:C)</f>
        <v>7</v>
      </c>
      <c r="W37" s="159">
        <f t="shared" si="15"/>
        <v>103.98050000071429</v>
      </c>
      <c r="X37" s="173">
        <f t="shared" si="16"/>
        <v>1</v>
      </c>
      <c r="Y37" s="167">
        <f t="shared" si="7"/>
        <v>2</v>
      </c>
      <c r="Z37" s="173">
        <f t="shared" si="17"/>
        <v>103.98050050071429</v>
      </c>
      <c r="AA37" s="173">
        <f>+_xlfn.XLOOKUP(H37,'Ranking FIFA'!B:B,'Ranking FIFA'!A:A,"--",0)</f>
        <v>14</v>
      </c>
      <c r="AP37" s="457">
        <f>+_xlfn.XLOOKUP(AQ37,'Ranking FIFA'!B:B,'Ranking FIFA'!A:A,"--",0)</f>
        <v>44</v>
      </c>
      <c r="AQ37" t="s">
        <v>81</v>
      </c>
      <c r="AR37" s="6">
        <v>3</v>
      </c>
      <c r="AT37" s="169">
        <f t="shared" si="8"/>
        <v>0</v>
      </c>
      <c r="AU37" s="166">
        <f t="shared" si="9"/>
        <v>0.9703000002272727</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3</v>
      </c>
      <c r="V38" s="6">
        <f>+SUMIF('Inputs summary'!B:B,H38,'Inputs summary'!D:D)+SUMIF('Inputs summary'!E:E,H38,'Inputs summary'!C:C)</f>
        <v>7</v>
      </c>
      <c r="W38" s="159">
        <f t="shared" si="15"/>
        <v>-3.9699999824561405E-2</v>
      </c>
      <c r="X38" s="173">
        <f t="shared" si="16"/>
        <v>0</v>
      </c>
      <c r="Y38" s="167">
        <f t="shared" si="7"/>
        <v>4</v>
      </c>
      <c r="Z38" s="173">
        <f t="shared" si="17"/>
        <v>-3.9699749824561405E-2</v>
      </c>
      <c r="AA38" s="173">
        <f>+_xlfn.XLOOKUP(H38,'Ranking FIFA'!B:B,'Ranking FIFA'!A:A,"--",0)</f>
        <v>57</v>
      </c>
      <c r="AP38" s="457">
        <f>+_xlfn.XLOOKUP(AQ38,'Ranking FIFA'!B:B,'Ranking FIFA'!A:A,"--",0)</f>
        <v>60</v>
      </c>
      <c r="AQ38" t="s">
        <v>82</v>
      </c>
      <c r="AR38" s="6">
        <v>3</v>
      </c>
      <c r="AT38" s="169">
        <f t="shared" si="8"/>
        <v>1</v>
      </c>
      <c r="AU38" s="166">
        <f t="shared" si="9"/>
        <v>102.98030000016666</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3</v>
      </c>
      <c r="BO38" s="6">
        <f>+SUMIF('Inputs summary'!$B$1:$B$106,$BI38,'Inputs summary'!$D$1:$D$106)+SUMIF('Inputs summary'!$E$1:$E$106,$BI38,'Inputs summary'!$C$1:$C$106)</f>
        <v>7</v>
      </c>
      <c r="BP38" s="166">
        <f t="shared" si="12"/>
        <v>-3.6954300000000002E-2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1</v>
      </c>
      <c r="R39" s="6">
        <f>+COUNTIFS('Inputs summary'!J:K,$H39)</f>
        <v>3</v>
      </c>
      <c r="S39" s="6">
        <f>+COUNTIFS('Inputs summary'!L:L,$H39)</f>
        <v>1</v>
      </c>
      <c r="T39" s="6">
        <f t="shared" si="14"/>
        <v>0</v>
      </c>
      <c r="U39" s="6">
        <f>+SUMIF('Inputs summary'!B:B,H39,'Inputs summary'!C:C)+SUMIF('Inputs summary'!E:E,H39,'Inputs summary'!D:D)</f>
        <v>7</v>
      </c>
      <c r="V39" s="6">
        <f>+SUMIF('Inputs summary'!B:B,H39,'Inputs summary'!D:D)+SUMIF('Inputs summary'!E:E,H39,'Inputs summary'!C:C)</f>
        <v>7</v>
      </c>
      <c r="W39" s="159">
        <f t="shared" si="15"/>
        <v>206.00070000032258</v>
      </c>
      <c r="X39" s="173">
        <f t="shared" si="16"/>
        <v>11</v>
      </c>
      <c r="Y39" s="167">
        <f t="shared" si="7"/>
        <v>2</v>
      </c>
      <c r="Z39" s="173">
        <f t="shared" si="17"/>
        <v>206.00070050032258</v>
      </c>
      <c r="AA39" s="173">
        <f>+_xlfn.XLOOKUP(H39,'Ranking FIFA'!B:B,'Ranking FIFA'!A:A,"--",0)</f>
        <v>31</v>
      </c>
      <c r="AP39" s="457">
        <f>+_xlfn.XLOOKUP(AQ39,'Ranking FIFA'!B:B,'Ranking FIFA'!A:A,"--",0)</f>
        <v>61</v>
      </c>
      <c r="AQ39" t="s">
        <v>83</v>
      </c>
      <c r="AR39" s="6">
        <v>3</v>
      </c>
      <c r="AT39" s="169">
        <f t="shared" si="8"/>
        <v>1</v>
      </c>
      <c r="AU39" s="166">
        <f t="shared" si="9"/>
        <v>102.95030000016394</v>
      </c>
      <c r="BH39">
        <v>36</v>
      </c>
      <c r="BI39" t="str">
        <f t="shared" si="11"/>
        <v>Noruega</v>
      </c>
      <c r="BJ39" s="6">
        <f>+COUNTIFS('Inputs summary'!I$2:I$106,BI39)</f>
        <v>1</v>
      </c>
      <c r="BK39" s="6">
        <f>+COUNTIFS('Inputs summary'!J$2:K$106,BI39)</f>
        <v>2</v>
      </c>
      <c r="BL39" s="6">
        <f>+COUNTIFS('Inputs summary'!L$2:L$106,BI39)</f>
        <v>0</v>
      </c>
      <c r="BM39" s="6">
        <f t="shared" si="19"/>
        <v>1</v>
      </c>
      <c r="BN39" s="6">
        <f>+SUMIF('Inputs summary'!$B$1:$B$106,$BI39,'Inputs summary'!$C$1:$C$106)+SUMIF('Inputs summary'!$E$1:$E$106,$BI39,'Inputs summary'!$D$1:$D$106)</f>
        <v>5</v>
      </c>
      <c r="BO39" s="6">
        <f>+SUMIF('Inputs summary'!$B$1:$B$106,$BI39,'Inputs summary'!$D$1:$D$106)+SUMIF('Inputs summary'!$E$1:$E$106,$BI39,'Inputs summary'!$C$1:$C$106)</f>
        <v>4</v>
      </c>
      <c r="BP39" s="166">
        <f t="shared" si="12"/>
        <v>7.0150230999999996</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6</v>
      </c>
      <c r="R40" s="6">
        <f>+COUNTIFS('Inputs summary'!J:K,$H40)</f>
        <v>2</v>
      </c>
      <c r="S40" s="6">
        <f>+COUNTIFS('Inputs summary'!L:L,$H40)</f>
        <v>0</v>
      </c>
      <c r="T40" s="6">
        <f t="shared" si="14"/>
        <v>9</v>
      </c>
      <c r="U40" s="6">
        <f>+SUMIF('Inputs summary'!B:B,H40,'Inputs summary'!C:C)+SUMIF('Inputs summary'!E:E,H40,'Inputs summary'!D:D)</f>
        <v>17</v>
      </c>
      <c r="V40" s="6">
        <f>+SUMIF('Inputs summary'!B:B,H40,'Inputs summary'!D:D)+SUMIF('Inputs summary'!E:E,H40,'Inputs summary'!C:C)</f>
        <v>8</v>
      </c>
      <c r="W40" s="159">
        <f t="shared" si="15"/>
        <v>820.09170000333336</v>
      </c>
      <c r="X40" s="173">
        <f t="shared" si="16"/>
        <v>2201111</v>
      </c>
      <c r="Y40" s="167">
        <f t="shared" si="7"/>
        <v>1</v>
      </c>
      <c r="Z40" s="173">
        <f t="shared" si="17"/>
        <v>820.09170100333336</v>
      </c>
      <c r="AA40" s="173">
        <f>+_xlfn.XLOOKUP(H40,'Ranking FIFA'!B:B,'Ranking FIFA'!A:A,"--",0)</f>
        <v>3</v>
      </c>
      <c r="AP40" s="457">
        <f>+_xlfn.XLOOKUP(AQ40,'Ranking FIFA'!B:B,'Ranking FIFA'!A:A,"--",0)</f>
        <v>65</v>
      </c>
      <c r="AQ40" s="456" t="s">
        <v>84</v>
      </c>
      <c r="AR40" s="6">
        <v>3</v>
      </c>
      <c r="AT40" s="169">
        <f t="shared" si="8"/>
        <v>1</v>
      </c>
      <c r="AU40" s="166">
        <f t="shared" si="9"/>
        <v>102.95040000015385</v>
      </c>
      <c r="BH40">
        <v>37</v>
      </c>
      <c r="BI40" t="str">
        <f t="shared" si="11"/>
        <v>Argentina</v>
      </c>
      <c r="BJ40" s="6">
        <f>+COUNTIFS('Inputs summary'!I$2:I$106,BI40)</f>
        <v>2</v>
      </c>
      <c r="BK40" s="6">
        <f>+COUNTIFS('Inputs summary'!J$2:K$106,BI40)</f>
        <v>1</v>
      </c>
      <c r="BL40" s="6">
        <f>+COUNTIFS('Inputs summary'!L$2:L$106,BI40)</f>
        <v>0</v>
      </c>
      <c r="BM40" s="6">
        <f t="shared" si="19"/>
        <v>3</v>
      </c>
      <c r="BN40" s="6">
        <f>+SUMIF('Inputs summary'!$B$1:$B$106,$BI40,'Inputs summary'!$C$1:$C$106)+SUMIF('Inputs summary'!$E$1:$E$106,$BI40,'Inputs summary'!$D$1:$D$106)</f>
        <v>7</v>
      </c>
      <c r="BO40" s="6">
        <f>+SUMIF('Inputs summary'!$B$1:$B$106,$BI40,'Inputs summary'!$D$1:$D$106)+SUMIF('Inputs summary'!$E$1:$E$106,$BI40,'Inputs summary'!$C$1:$C$106)</f>
        <v>4</v>
      </c>
      <c r="BP40" s="166">
        <f t="shared" si="12"/>
        <v>8.0370102999999986</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0</v>
      </c>
      <c r="S41" s="6">
        <f>+COUNTIFS('Inputs summary'!L:L,$H41)</f>
        <v>3</v>
      </c>
      <c r="T41" s="6">
        <f t="shared" si="14"/>
        <v>-3</v>
      </c>
      <c r="U41" s="6">
        <f>+SUMIF('Inputs summary'!B:B,H41,'Inputs summary'!C:C)+SUMIF('Inputs summary'!E:E,H41,'Inputs summary'!D:D)</f>
        <v>3</v>
      </c>
      <c r="V41" s="6">
        <f>+SUMIF('Inputs summary'!B:B,H41,'Inputs summary'!D:D)+SUMIF('Inputs summary'!E:E,H41,'Inputs summary'!C:C)</f>
        <v>6</v>
      </c>
      <c r="W41" s="159">
        <f t="shared" si="15"/>
        <v>-2.969999964285714E-2</v>
      </c>
      <c r="X41" s="173">
        <f t="shared" si="16"/>
        <v>0</v>
      </c>
      <c r="Y41" s="167">
        <f t="shared" si="7"/>
        <v>3</v>
      </c>
      <c r="Z41" s="173">
        <f t="shared" si="17"/>
        <v>-2.9699666309523805E-2</v>
      </c>
      <c r="AA41" s="173">
        <f>+_xlfn.XLOOKUP(H41,'Ranking FIFA'!B:B,'Ranking FIFA'!A:A,"--",0)</f>
        <v>28</v>
      </c>
      <c r="AP41" s="457">
        <f>+_xlfn.XLOOKUP(AQ41,'Ranking FIFA'!B:B,'Ranking FIFA'!A:A,"--",0)</f>
        <v>74</v>
      </c>
      <c r="AQ41" t="s">
        <v>85</v>
      </c>
      <c r="AR41" s="6">
        <v>3</v>
      </c>
      <c r="AT41" s="169">
        <f t="shared" si="8"/>
        <v>1</v>
      </c>
      <c r="AU41" s="166">
        <f t="shared" si="9"/>
        <v>103.98050000013514</v>
      </c>
      <c r="BH41">
        <v>38</v>
      </c>
      <c r="BI41" t="str">
        <f t="shared" si="11"/>
        <v>Argelia</v>
      </c>
      <c r="BJ41" s="6">
        <f>+COUNTIFS('Inputs summary'!I$2:I$106,BI41)</f>
        <v>0</v>
      </c>
      <c r="BK41" s="6">
        <f>+COUNTIFS('Inputs summary'!J$2:K$106,BI41)</f>
        <v>0</v>
      </c>
      <c r="BL41" s="6">
        <f>+COUNTIFS('Inputs summary'!L$2:L$106,BI41)</f>
        <v>3</v>
      </c>
      <c r="BM41" s="6">
        <f t="shared" si="19"/>
        <v>-3</v>
      </c>
      <c r="BN41" s="6">
        <f>+SUMIF('Inputs summary'!$B$1:$B$106,$BI41,'Inputs summary'!$C$1:$C$106)+SUMIF('Inputs summary'!$E$1:$E$106,$BI41,'Inputs summary'!$D$1:$D$106)</f>
        <v>3</v>
      </c>
      <c r="BO41" s="6">
        <f>+SUMIF('Inputs summary'!$B$1:$B$106,$BI41,'Inputs summary'!$D$1:$D$106)+SUMIF('Inputs summary'!$E$1:$E$106,$BI41,'Inputs summary'!$C$1:$C$106)</f>
        <v>6</v>
      </c>
      <c r="BP41" s="166">
        <f t="shared" si="12"/>
        <v>-2.69672E-2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1</v>
      </c>
      <c r="S42" s="6">
        <f>+COUNTIFS('Inputs summary'!L:L,$H42)</f>
        <v>1</v>
      </c>
      <c r="T42" s="6">
        <f t="shared" si="14"/>
        <v>2</v>
      </c>
      <c r="U42" s="6">
        <f>+SUMIF('Inputs summary'!B:B,H42,'Inputs summary'!C:C)+SUMIF('Inputs summary'!E:E,H42,'Inputs summary'!D:D)</f>
        <v>7</v>
      </c>
      <c r="V42" s="6">
        <f>+SUMIF('Inputs summary'!B:B,H42,'Inputs summary'!D:D)+SUMIF('Inputs summary'!E:E,H42,'Inputs summary'!C:C)</f>
        <v>5</v>
      </c>
      <c r="W42" s="159">
        <f t="shared" si="15"/>
        <v>107.02070000041665</v>
      </c>
      <c r="X42" s="173">
        <f t="shared" si="16"/>
        <v>1</v>
      </c>
      <c r="Y42" s="167">
        <f t="shared" si="7"/>
        <v>3</v>
      </c>
      <c r="Z42" s="173">
        <f t="shared" si="17"/>
        <v>107.02070033374999</v>
      </c>
      <c r="AA42" s="173">
        <f>+_xlfn.XLOOKUP(H42,'Ranking FIFA'!B:B,'Ranking FIFA'!A:A,"--",0)</f>
        <v>24</v>
      </c>
      <c r="AP42" s="457">
        <f>+_xlfn.XLOOKUP(AQ42,'Ranking FIFA'!B:B,'Ranking FIFA'!A:A,"--",0)</f>
        <v>21</v>
      </c>
      <c r="AQ42" t="s">
        <v>86</v>
      </c>
      <c r="AR42" s="6">
        <v>3</v>
      </c>
      <c r="AT42" s="169">
        <f t="shared" si="8"/>
        <v>0</v>
      </c>
      <c r="AU42" s="166">
        <f t="shared" si="9"/>
        <v>-3.9899999523809522E-2</v>
      </c>
      <c r="BH42">
        <v>39</v>
      </c>
      <c r="BI42" t="str">
        <f t="shared" si="11"/>
        <v>Austria</v>
      </c>
      <c r="BJ42" s="6">
        <f>+COUNTIFS('Inputs summary'!I$2:I$106,BI42)</f>
        <v>2</v>
      </c>
      <c r="BK42" s="6">
        <f>+COUNTIFS('Inputs summary'!J$2:K$106,BI42)</f>
        <v>1</v>
      </c>
      <c r="BL42" s="6">
        <f>+COUNTIFS('Inputs summary'!L$2:L$106,BI42)</f>
        <v>0</v>
      </c>
      <c r="BM42" s="6">
        <f t="shared" si="19"/>
        <v>3</v>
      </c>
      <c r="BN42" s="6">
        <f>+SUMIF('Inputs summary'!$B$1:$B$106,$BI42,'Inputs summary'!$C$1:$C$106)+SUMIF('Inputs summary'!$E$1:$E$106,$BI42,'Inputs summary'!$D$1:$D$106)</f>
        <v>6</v>
      </c>
      <c r="BO42" s="6">
        <f>+SUMIF('Inputs summary'!$B$1:$B$106,$BI42,'Inputs summary'!$D$1:$D$106)+SUMIF('Inputs summary'!$E$1:$E$106,$BI42,'Inputs summary'!$C$1:$C$106)</f>
        <v>3</v>
      </c>
      <c r="BP42" s="166">
        <f t="shared" si="12"/>
        <v>8.0360323999999999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1</v>
      </c>
      <c r="R43" s="6">
        <f>+COUNTIFS('Inputs summary'!J:K,$H43)</f>
        <v>0</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2.9703000001587307</v>
      </c>
      <c r="X43" s="173">
        <f t="shared" si="16"/>
        <v>0</v>
      </c>
      <c r="Y43" s="167">
        <f t="shared" si="7"/>
        <v>4</v>
      </c>
      <c r="Z43" s="173">
        <f t="shared" si="17"/>
        <v>2.9703002501587306</v>
      </c>
      <c r="AA43" s="173">
        <f>+_xlfn.XLOOKUP(H43,'Ranking FIFA'!B:B,'Ranking FIFA'!A:A,"--",0)</f>
        <v>63</v>
      </c>
      <c r="AP43" s="457">
        <f>+_xlfn.XLOOKUP(AQ43,'Ranking FIFA'!B:B,'Ranking FIFA'!A:A,"--",0)</f>
        <v>46</v>
      </c>
      <c r="AQ43" s="456" t="s">
        <v>87</v>
      </c>
      <c r="AR43" s="6">
        <v>4</v>
      </c>
      <c r="AT43" s="169">
        <f t="shared" si="8"/>
        <v>0</v>
      </c>
      <c r="AU43" s="166">
        <f t="shared" si="9"/>
        <v>0.97040000021739126</v>
      </c>
      <c r="BH43">
        <v>40</v>
      </c>
      <c r="BI43" t="str">
        <f t="shared" si="11"/>
        <v>Jordania</v>
      </c>
      <c r="BJ43" s="6">
        <f>+COUNTIFS('Inputs summary'!I$2:I$106,BI43)</f>
        <v>1</v>
      </c>
      <c r="BK43" s="6">
        <f>+COUNTIFS('Inputs summary'!J$2:K$106,BI43)</f>
        <v>0</v>
      </c>
      <c r="BL43" s="6">
        <f>+COUNTIFS('Inputs summary'!L$2:L$106,BI43)</f>
        <v>2</v>
      </c>
      <c r="BM43" s="6">
        <f t="shared" si="19"/>
        <v>-3</v>
      </c>
      <c r="BN43" s="6">
        <f>+SUMIF('Inputs summary'!$B$1:$B$106,$BI43,'Inputs summary'!$C$1:$C$106)+SUMIF('Inputs summary'!$E$1:$E$106,$BI43,'Inputs summary'!$D$1:$D$106)</f>
        <v>3</v>
      </c>
      <c r="BO43" s="6">
        <f>+SUMIF('Inputs summary'!$B$1:$B$106,$BI43,'Inputs summary'!$D$1:$D$106)+SUMIF('Inputs summary'!$E$1:$E$106,$BI43,'Inputs summary'!$C$1:$C$106)</f>
        <v>6</v>
      </c>
      <c r="BP43" s="166">
        <f t="shared" si="12"/>
        <v>2.9730463</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2</v>
      </c>
      <c r="S44" s="6">
        <f>+COUNTIFS('Inputs summary'!L:L,$H44)</f>
        <v>0</v>
      </c>
      <c r="T44" s="6">
        <f t="shared" si="14"/>
        <v>9</v>
      </c>
      <c r="U44" s="6">
        <f>+SUMIF('Inputs summary'!B:B,H44,'Inputs summary'!C:C)+SUMIF('Inputs summary'!E:E,H44,'Inputs summary'!D:D)</f>
        <v>14</v>
      </c>
      <c r="V44" s="6">
        <f>+SUMIF('Inputs summary'!B:B,H44,'Inputs summary'!D:D)+SUMIF('Inputs summary'!E:E,H44,'Inputs summary'!C:C)</f>
        <v>5</v>
      </c>
      <c r="W44" s="159">
        <f t="shared" si="15"/>
        <v>314.09140000199994</v>
      </c>
      <c r="X44" s="173">
        <f t="shared" si="16"/>
        <v>111</v>
      </c>
      <c r="Y44" s="167">
        <f t="shared" si="7"/>
        <v>1</v>
      </c>
      <c r="Z44" s="173">
        <f t="shared" si="17"/>
        <v>314.09140100199994</v>
      </c>
      <c r="AA44" s="173">
        <f>+_xlfn.XLOOKUP(H44,'Ranking FIFA'!B:B,'Ranking FIFA'!A:A,"--",0)</f>
        <v>5</v>
      </c>
      <c r="AP44" s="457">
        <f>+_xlfn.XLOOKUP(AQ44,'Ranking FIFA'!B:B,'Ranking FIFA'!A:A,"--",0)</f>
        <v>50</v>
      </c>
      <c r="AQ44" t="s">
        <v>88</v>
      </c>
      <c r="AR44" s="6">
        <v>4</v>
      </c>
      <c r="AT44" s="169">
        <f t="shared" si="8"/>
        <v>0</v>
      </c>
      <c r="AU44" s="166">
        <f t="shared" si="9"/>
        <v>0.97020000019999997</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7</v>
      </c>
      <c r="BO44" s="6">
        <f>+SUMIF('Inputs summary'!$B$1:$B$106,$BI44,'Inputs summary'!$D$1:$D$106)+SUMIF('Inputs summary'!$E$1:$E$106,$BI44,'Inputs summary'!$C$1:$C$106)</f>
        <v>3</v>
      </c>
      <c r="BP44" s="166">
        <f t="shared" si="12"/>
        <v>8.047010499999999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-3</v>
      </c>
      <c r="U45" s="6">
        <f>+SUMIF('Inputs summary'!B:B,H45,'Inputs summary'!C:C)+SUMIF('Inputs summary'!E:E,H45,'Inputs summary'!D:D)</f>
        <v>4</v>
      </c>
      <c r="V45" s="6">
        <f>+SUMIF('Inputs summary'!B:B,H45,'Inputs summary'!D:D)+SUMIF('Inputs summary'!E:E,H45,'Inputs summary'!C:C)</f>
        <v>7</v>
      </c>
      <c r="W45" s="159">
        <f t="shared" si="15"/>
        <v>0.97040000021739126</v>
      </c>
      <c r="X45" s="173">
        <f t="shared" si="16"/>
        <v>0</v>
      </c>
      <c r="Y45" s="167">
        <f t="shared" si="7"/>
        <v>4</v>
      </c>
      <c r="Z45" s="173">
        <f t="shared" si="17"/>
        <v>0.97040025021739129</v>
      </c>
      <c r="AA45" s="173">
        <f>+_xlfn.XLOOKUP(H45,'Ranking FIFA'!B:B,'Ranking FIFA'!A:A,"--",0)</f>
        <v>46</v>
      </c>
      <c r="AP45" s="457">
        <f>+_xlfn.XLOOKUP(AQ45,'Ranking FIFA'!B:B,'Ranking FIFA'!A:A,"--",0)</f>
        <v>55</v>
      </c>
      <c r="AQ45" t="s">
        <v>89</v>
      </c>
      <c r="AR45" s="6">
        <v>4</v>
      </c>
      <c r="AT45" s="169">
        <f t="shared" si="8"/>
        <v>0</v>
      </c>
      <c r="AU45" s="166">
        <f t="shared" si="9"/>
        <v>-4.9899999818181821E-2</v>
      </c>
      <c r="BH45">
        <v>42</v>
      </c>
      <c r="BI45" t="str">
        <f t="shared" si="11"/>
        <v>Congo</v>
      </c>
      <c r="BJ45" s="6">
        <f>+COUNTIFS('Inputs summary'!I$2:I$106,BI45)</f>
        <v>0</v>
      </c>
      <c r="BK45" s="6">
        <f>+COUNTIFS('Inputs summary'!J$2:K$106,BI45)</f>
        <v>1</v>
      </c>
      <c r="BL45" s="6">
        <f>+COUNTIFS('Inputs summary'!L$2:L$106,BI45)</f>
        <v>2</v>
      </c>
      <c r="BM45" s="6">
        <f t="shared" si="19"/>
        <v>-3</v>
      </c>
      <c r="BN45" s="6">
        <f>+SUMIF('Inputs summary'!$B$1:$B$106,$BI45,'Inputs summary'!$C$1:$C$106)+SUMIF('Inputs summary'!$E$1:$E$106,$BI45,'Inputs summary'!$D$1:$D$106)</f>
        <v>4</v>
      </c>
      <c r="BO45" s="6">
        <f>+SUMIF('Inputs summary'!$B$1:$B$106,$BI45,'Inputs summary'!$D$1:$D$106)+SUMIF('Inputs summary'!$E$1:$E$106,$BI45,'Inputs summary'!$C$1:$C$106)</f>
        <v>7</v>
      </c>
      <c r="BP45" s="166">
        <f t="shared" si="12"/>
        <v>1.9740446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2</v>
      </c>
      <c r="V46" s="6">
        <f>+SUMIF('Inputs summary'!B:B,H46,'Inputs summary'!D:D)+SUMIF('Inputs summary'!E:E,H46,'Inputs summary'!C:C)</f>
        <v>5</v>
      </c>
      <c r="W46" s="159">
        <f t="shared" si="15"/>
        <v>0.97020000019999997</v>
      </c>
      <c r="X46" s="173">
        <f t="shared" si="16"/>
        <v>0</v>
      </c>
      <c r="Y46" s="167">
        <f t="shared" si="7"/>
        <v>4</v>
      </c>
      <c r="Z46" s="173">
        <f t="shared" si="17"/>
        <v>0.9702002502</v>
      </c>
      <c r="AA46" s="173">
        <f>+_xlfn.XLOOKUP(H46,'Ranking FIFA'!B:B,'Ranking FIFA'!A:A,"--",0)</f>
        <v>50</v>
      </c>
      <c r="AP46" s="457">
        <f>+_xlfn.XLOOKUP(AQ46,'Ranking FIFA'!B:B,'Ranking FIFA'!A:A,"--",0)</f>
        <v>57</v>
      </c>
      <c r="AQ46" s="456" t="s">
        <v>90</v>
      </c>
      <c r="AR46" s="6">
        <v>4</v>
      </c>
      <c r="AT46" s="169">
        <f t="shared" si="8"/>
        <v>0</v>
      </c>
      <c r="AU46" s="166">
        <f t="shared" si="9"/>
        <v>-3.9699999824561405E-2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2</v>
      </c>
      <c r="BO46" s="6">
        <f>+SUMIF('Inputs summary'!$B$1:$B$106,$BI46,'Inputs summary'!$D$1:$D$106)+SUMIF('Inputs summary'!$E$1:$E$106,$BI46,'Inputs summary'!$C$1:$C$106)</f>
        <v>5</v>
      </c>
      <c r="BP46" s="166">
        <f t="shared" si="12"/>
        <v>1.972045</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2</v>
      </c>
      <c r="S47" s="6">
        <f>+COUNTIFS('Inputs summary'!L:L,$H47)</f>
        <v>0</v>
      </c>
      <c r="T47" s="6">
        <f t="shared" si="14"/>
        <v>3</v>
      </c>
      <c r="U47" s="6">
        <f>+SUMIF('Inputs summary'!B:B,H47,'Inputs summary'!C:C)+SUMIF('Inputs summary'!E:E,H47,'Inputs summary'!D:D)</f>
        <v>11</v>
      </c>
      <c r="V47" s="6">
        <f>+SUMIF('Inputs summary'!B:B,H47,'Inputs summary'!D:D)+SUMIF('Inputs summary'!E:E,H47,'Inputs summary'!C:C)</f>
        <v>8</v>
      </c>
      <c r="W47" s="159">
        <f t="shared" si="15"/>
        <v>211.03110000076924</v>
      </c>
      <c r="X47" s="173">
        <f t="shared" si="16"/>
        <v>11</v>
      </c>
      <c r="Y47" s="167">
        <f t="shared" si="7"/>
        <v>2</v>
      </c>
      <c r="Z47" s="173">
        <f t="shared" si="17"/>
        <v>211.03110050076924</v>
      </c>
      <c r="AA47" s="173">
        <f>+_xlfn.XLOOKUP(H47,'Ranking FIFA'!B:B,'Ranking FIFA'!A:A,"--",0)</f>
        <v>13</v>
      </c>
      <c r="AP47" s="457">
        <f>+_xlfn.XLOOKUP(AQ47,'Ranking FIFA'!B:B,'Ranking FIFA'!A:A,"--",0)</f>
        <v>63</v>
      </c>
      <c r="AQ47" t="s">
        <v>91</v>
      </c>
      <c r="AR47" s="6">
        <v>4</v>
      </c>
      <c r="AT47" s="169">
        <f t="shared" si="8"/>
        <v>0</v>
      </c>
      <c r="AU47" s="166">
        <f t="shared" si="9"/>
        <v>2.9703000001587307</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7</v>
      </c>
      <c r="BO47" s="6">
        <f>+SUMIF('Inputs summary'!$B$1:$B$106,$BI47,'Inputs summary'!$D$1:$D$106)+SUMIF('Inputs summary'!$E$1:$E$106,$BI47,'Inputs summary'!$C$1:$C$106)</f>
        <v>5</v>
      </c>
      <c r="BP47" s="166">
        <f t="shared" si="12"/>
        <v>8.0270212999999977</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4</v>
      </c>
      <c r="U48" s="6">
        <f>+SUMIF('Inputs summary'!B:B,H48,'Inputs summary'!C:C)+SUMIF('Inputs summary'!E:E,H48,'Inputs summary'!D:D)</f>
        <v>14</v>
      </c>
      <c r="V48" s="6">
        <f>+SUMIF('Inputs summary'!B:B,H48,'Inputs summary'!D:D)+SUMIF('Inputs summary'!E:E,H48,'Inputs summary'!C:C)</f>
        <v>10</v>
      </c>
      <c r="W48" s="159">
        <f t="shared" si="15"/>
        <v>313.04140000249998</v>
      </c>
      <c r="X48" s="173">
        <f t="shared" si="16"/>
        <v>111</v>
      </c>
      <c r="Y48" s="167">
        <f t="shared" si="7"/>
        <v>1</v>
      </c>
      <c r="Z48" s="173">
        <f t="shared" si="17"/>
        <v>313.04140100249998</v>
      </c>
      <c r="AA48" s="173">
        <f>+_xlfn.XLOOKUP(H48,'Ranking FIFA'!B:B,'Ranking FIFA'!A:A,"--",0)</f>
        <v>4</v>
      </c>
      <c r="AP48" s="457">
        <f>+_xlfn.XLOOKUP(AQ48,'Ranking FIFA'!B:B,'Ranking FIFA'!A:A,"--",0)</f>
        <v>69</v>
      </c>
      <c r="AQ48" t="s">
        <v>92</v>
      </c>
      <c r="AR48" s="6">
        <v>4</v>
      </c>
      <c r="AT48" s="169">
        <f t="shared" si="8"/>
        <v>0</v>
      </c>
      <c r="AU48" s="166">
        <f t="shared" si="9"/>
        <v>-4.9799999855072469E-2</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7</v>
      </c>
      <c r="BO48" s="6">
        <f>+SUMIF('Inputs summary'!$B$1:$B$106,$BI48,'Inputs summary'!$D$1:$D$106)+SUMIF('Inputs summary'!$E$1:$E$106,$BI48,'Inputs summary'!$C$1:$C$106)</f>
        <v>4</v>
      </c>
      <c r="BP48" s="166">
        <f t="shared" si="12"/>
        <v>8.037010399999998</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6</v>
      </c>
      <c r="V49" s="6">
        <f>+SUMIF('Inputs summary'!B:B,H49,'Inputs summary'!D:D)+SUMIF('Inputs summary'!E:E,H49,'Inputs summary'!C:C)</f>
        <v>6</v>
      </c>
      <c r="W49" s="159">
        <f t="shared" si="15"/>
        <v>106.0006000009091</v>
      </c>
      <c r="X49" s="173">
        <f t="shared" si="16"/>
        <v>1</v>
      </c>
      <c r="Y49" s="167">
        <f t="shared" si="7"/>
        <v>1</v>
      </c>
      <c r="Z49" s="173">
        <f t="shared" si="17"/>
        <v>106.0006010009091</v>
      </c>
      <c r="AA49" s="173">
        <f>+_xlfn.XLOOKUP(H49,'Ranking FIFA'!B:B,'Ranking FIFA'!A:A,"--",0)</f>
        <v>11</v>
      </c>
      <c r="AP49" s="457">
        <f>+_xlfn.XLOOKUP(AQ49,'Ranking FIFA'!B:B,'Ranking FIFA'!A:A,"--",0)</f>
        <v>82</v>
      </c>
      <c r="AQ49" t="s">
        <v>93</v>
      </c>
      <c r="AR49" s="6">
        <v>4</v>
      </c>
      <c r="AT49" s="169">
        <f t="shared" si="8"/>
        <v>0</v>
      </c>
      <c r="AU49" s="166">
        <f t="shared" si="9"/>
        <v>-5.9899999878048775E-2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5</v>
      </c>
      <c r="BO49" s="6">
        <f>+SUMIF('Inputs summary'!$B$1:$B$106,$BI49,'Inputs summary'!$D$1:$D$106)+SUMIF('Inputs summary'!$E$1:$E$106,$BI49,'Inputs summary'!$C$1:$C$106)</f>
        <v>4</v>
      </c>
      <c r="BP49" s="166">
        <f t="shared" si="12"/>
        <v>6.0150110999999997</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-2</v>
      </c>
      <c r="U50" s="6">
        <f>+SUMIF('Inputs summary'!B:B,H50,'Inputs summary'!C:C)+SUMIF('Inputs summary'!E:E,H50,'Inputs summary'!D:D)</f>
        <v>5</v>
      </c>
      <c r="V50" s="6">
        <f>+SUMIF('Inputs summary'!B:B,H50,'Inputs summary'!D:D)+SUMIF('Inputs summary'!E:E,H50,'Inputs summary'!C:C)</f>
        <v>7</v>
      </c>
      <c r="W50" s="159">
        <f t="shared" si="15"/>
        <v>103.98050000013514</v>
      </c>
      <c r="X50" s="173">
        <f t="shared" si="16"/>
        <v>1</v>
      </c>
      <c r="Y50" s="167">
        <f t="shared" si="7"/>
        <v>3</v>
      </c>
      <c r="Z50" s="173">
        <f t="shared" si="17"/>
        <v>103.98050033346847</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5</v>
      </c>
      <c r="BO50" s="6">
        <f>+SUMIF('Inputs summary'!$B$1:$B$106,$BI50,'Inputs summary'!$D$1:$D$106)+SUMIF('Inputs summary'!$E$1:$E$106,$BI50,'Inputs summary'!$C$1:$C$106)</f>
        <v>4</v>
      </c>
      <c r="BP50" s="166">
        <f t="shared" si="12"/>
        <v>5.0150373999999998</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1</v>
      </c>
      <c r="V51" s="6">
        <f>+SUMIF('Inputs summary'!B:B,H51,'Inputs summary'!D:D)+SUMIF('Inputs summary'!E:E,H51,'Inputs summary'!C:C)</f>
        <v>6</v>
      </c>
      <c r="W51" s="159">
        <f t="shared" si="15"/>
        <v>-4.9899999696969698E-2</v>
      </c>
      <c r="X51" s="173">
        <f t="shared" si="16"/>
        <v>0</v>
      </c>
      <c r="Y51" s="167">
        <f t="shared" si="7"/>
        <v>3</v>
      </c>
      <c r="Z51" s="173">
        <f t="shared" si="17"/>
        <v>-4.9899666363636366E-2</v>
      </c>
      <c r="AA51" s="173">
        <f>+_xlfn.XLOOKUP(H51,'Ranking FIFA'!B:B,'Ranking FIFA'!A:A,"--",0)</f>
        <v>33</v>
      </c>
      <c r="AP51" s="457">
        <f>+_xlfn.XLOOKUP(AQ51,'Ranking FIFA'!B:B,'Ranking FIFA'!A:A,"--",0)</f>
        <v>85</v>
      </c>
      <c r="AQ51" t="s">
        <v>95</v>
      </c>
      <c r="AR51" s="6">
        <v>4</v>
      </c>
      <c r="AT51" s="169">
        <f t="shared" si="8"/>
        <v>0</v>
      </c>
      <c r="AU51" s="166">
        <f t="shared" si="9"/>
        <v>2.9802000001176472</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1</v>
      </c>
      <c r="BO51" s="6">
        <f>+SUMIF('Inputs summary'!$B$1:$B$106,$BI51,'Inputs summary'!$D$1:$D$106)+SUMIF('Inputs summary'!$E$1:$E$106,$BI51,'Inputs summary'!$C$1:$C$106)</f>
        <v>6</v>
      </c>
      <c r="BP51" s="166">
        <f t="shared" si="12"/>
        <v>-4.8966700000000002E-2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854</v>
      </c>
    </row>
    <row r="2" spans="1:2" ht="42.75" x14ac:dyDescent="0.2">
      <c r="A2" s="453" t="s">
        <v>56</v>
      </c>
      <c r="B2" s="455" t="s">
        <v>855</v>
      </c>
    </row>
    <row r="3" spans="1:2" ht="71.25" x14ac:dyDescent="0.2">
      <c r="A3" s="453" t="s">
        <v>54</v>
      </c>
      <c r="B3" s="455" t="s">
        <v>856</v>
      </c>
    </row>
    <row r="4" spans="1:2" ht="42.75" x14ac:dyDescent="0.2">
      <c r="A4" s="453" t="s">
        <v>55</v>
      </c>
      <c r="B4" s="455" t="s">
        <v>857</v>
      </c>
    </row>
    <row r="5" spans="1:2" ht="57" x14ac:dyDescent="0.2">
      <c r="A5" s="453" t="s">
        <v>49</v>
      </c>
      <c r="B5" s="455" t="s">
        <v>858</v>
      </c>
    </row>
    <row r="6" spans="1:2" ht="57" x14ac:dyDescent="0.2">
      <c r="A6" s="453" t="s">
        <v>58</v>
      </c>
      <c r="B6" s="455" t="s">
        <v>859</v>
      </c>
    </row>
    <row r="7" spans="1:2" ht="42.75" x14ac:dyDescent="0.2">
      <c r="A7" s="453" t="s">
        <v>48</v>
      </c>
      <c r="B7" s="455" t="s">
        <v>860</v>
      </c>
    </row>
    <row r="8" spans="1:2" ht="57" x14ac:dyDescent="0.2">
      <c r="A8" s="453" t="s">
        <v>50</v>
      </c>
      <c r="B8" s="455" t="s">
        <v>861</v>
      </c>
    </row>
    <row r="9" spans="1:2" ht="128.25" x14ac:dyDescent="0.2">
      <c r="A9" s="453" t="s">
        <v>52</v>
      </c>
      <c r="B9" s="455" t="s">
        <v>862</v>
      </c>
    </row>
    <row r="10" spans="1:2" ht="42.75" x14ac:dyDescent="0.2">
      <c r="A10" s="453" t="s">
        <v>51</v>
      </c>
      <c r="B10" s="455" t="s">
        <v>863</v>
      </c>
    </row>
    <row r="11" spans="1:2" ht="42.75" x14ac:dyDescent="0.2">
      <c r="A11" s="453" t="s">
        <v>57</v>
      </c>
      <c r="B11" s="455" t="s">
        <v>864</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2026-06-10T15:03:47Z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