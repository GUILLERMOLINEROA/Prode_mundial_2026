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1170" documentId="8_{660C6F98-9D73-4602-A83D-88315163976A}" xr6:coauthVersionLast="47" xr6:coauthVersionMax="47" xr10:uidLastSave="{B9865F01-1640-4294-B886-87950536E2E1}"/>
  <bookViews>
    <workbookView xWindow="-120" yWindow="-120" windowWidth="29040" windowHeight="15720" tabRatio="808" activeTab="4"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state="hidden"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106"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BO18" i="5" l="1"/>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7" i="5" l="1"/>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85" i="4" l="1"/>
  <c r="V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T10" i="5" s="1"/>
  <c r="W10" i="5" s="1"/>
  <c r="U23" i="5"/>
  <c r="U39" i="5"/>
  <c r="U22" i="5"/>
  <c r="U30" i="5"/>
  <c r="U4" i="5"/>
  <c r="T4" i="5" s="1"/>
  <c r="W4" i="5" s="1"/>
  <c r="AU18" i="5" s="1"/>
  <c r="U7" i="5"/>
  <c r="T7" i="5" s="1"/>
  <c r="W7" i="5" s="1"/>
  <c r="AU35" i="5" s="1"/>
  <c r="U12" i="5"/>
  <c r="T18" i="5" l="1"/>
  <c r="W18" i="5" s="1"/>
  <c r="AU29" i="5" s="1"/>
  <c r="Z10" i="5"/>
  <c r="AU45" i="5"/>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7" i="5"/>
  <c r="Z17" i="5"/>
  <c r="Z9" i="5"/>
  <c r="T46" i="5"/>
  <c r="W46" i="5" s="1"/>
  <c r="AU44" i="5" s="1"/>
  <c r="T23" i="5"/>
  <c r="W23" i="5" s="1"/>
  <c r="AU23" i="5" s="1"/>
  <c r="T14" i="5"/>
  <c r="W14" i="5" s="1"/>
  <c r="AU50" i="5" s="1"/>
  <c r="Z18" i="5" l="1"/>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<sst xmlns="http://schemas.openxmlformats.org/spreadsheetml/2006/main" count="5999" uniqueCount="866">
  <si>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</si>
  <si>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</si>
  <si>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</si>
  <si>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</si>
  <si>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</si>
  <si>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</si>
  <si>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</si>
  <si>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</si>
  <si>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</si>
  <si>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</si>
  <si>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</si>
  <si>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</si>
  <si>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</si>
  <si>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</si>
  <si>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</si>
  <si>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</si>
  <si>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</si>
  <si>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</si>
  <si>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</si>
  <si>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</si>
  <si>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</si>
  <si>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</si>
  <si>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</si>
  <si>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</si>
  <si>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</si>
  <si>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</si>
  <si>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</si>
  <si>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</si>
  <si>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</si>
  <si>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</si>
  <si>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</si>
  <si>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</si>
  <si>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</si>
  <si>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</si>
  <si>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</si>
  <si>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</si>
  <si>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</si>
  <si>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</si>
  <si>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</si>
  <si>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</si>
  <si>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</si>
  <si>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</si>
  <si>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</si>
  <si>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</si>
  <si>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</si>
  <si>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</si>
  <si>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</si>
  <si>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</si>
  <si>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</si>
  <si>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</si>
  <si>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</si>
  <si>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</si>
  <si>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</si>
  <si>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</si>
  <si>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</si>
  <si>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</si>
  <si>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</si>
  <si>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</si>
  <si>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</si>
  <si>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</si>
  <si>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</si>
  <si>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</si>
  <si>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</si>
  <si>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</si>
  <si>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</si>
  <si>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</si>
  <si>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</si>
  <si>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</si>
  <si>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</si>
  <si>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</si>
  <si>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</si>
  <si>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</si>
  <si>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</si>
  <si>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</si>
  <si>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</si>
  <si>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</si>
  <si>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</si>
  <si>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</si>
  <si>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</si>
  <si>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</si>
  <si>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</si>
  <si>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</si>
  <si>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</si>
  <si>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</si>
  <si>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</si>
  <si>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</si>
  <si>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</si>
  <si>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</si>
  <si>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</si>
  <si>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</si>
  <si>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</si>
  <si>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</si>
  <si>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</si>
  <si>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</si>
  <si>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</si>
  <si>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</si>
  <si>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</si>
  <si>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</si>
  <si>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</si>
  <si>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</si>
  <si>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</si>
  <si>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</si>
  <si>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</si>
  <si>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</si>
  <si>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</si>
  <si>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</si>
  <si>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</si>
  <si>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</si>
  <si>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</si>
  <si>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</si>
  <si>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</si>
  <si>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</si>
  <si>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</si>
  <si>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</si>
  <si>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</si>
  <si>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</si>
  <si>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</si>
  <si>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</si>
  <si>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</si>
  <si>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</si>
  <si>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</si>
  <si>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</si>
  <si>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</si>
  <si>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</si>
  <si>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</si>
  <si>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</si>
  <si>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</si>
  <si>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</si>
  <si>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</si>
  <si>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</si>
  <si>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</si>
  <si>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</si>
  <si>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</si>
  <si>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</si>
  <si>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</si>
  <si>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</si>
  <si>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</si>
  <si>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</si>
  <si>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</si>
  <si>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</si>
  <si>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</si>
  <si>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</si>
  <si>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</si>
  <si>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</si>
  <si>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</si>
  <si>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</si>
  <si>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</si>
  <si>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</si>
  <si>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</si>
  <si>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</si>
  <si>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</si>
  <si>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</si>
  <si>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</si>
  <si>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</si>
  <si>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</si>
  <si>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</si>
  <si>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</si>
  <si>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</si>
  <si>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</si>
  <si>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</si>
  <si>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</si>
  <si>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</si>
  <si>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</si>
  <si>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</si>
  <si>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</si>
  <si>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</si>
  <si>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</si>
  <si>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</si>
  <si>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</si>
  <si>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</si>
  <si>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</si>
  <si>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</si>
  <si>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</si>
  <si>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</si>
  <si>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</si>
  <si>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</si>
  <si>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</si>
  <si>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</si>
  <si>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</si>
  <si>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</si>
  <si>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</si>
  <si>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</si>
  <si>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</si>
  <si>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</si>
  <si>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</si>
  <si>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</si>
  <si>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</si>
  <si>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</si>
  <si>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</si>
  <si>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</si>
  <si>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</si>
  <si>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</si>
  <si>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</si>
  <si>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</si>
  <si>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</si>
  <si>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</si>
  <si>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</si>
  <si>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</si>
  <si>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</si>
  <si>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</si>
  <si>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</si>
  <si>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</si>
  <si>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</si>
  <si>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</si>
  <si>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</si>
  <si>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</si>
  <si>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</si>
  <si>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</si>
  <si>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</si>
  <si>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</si>
  <si>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</si>
  <si>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</si>
  <si>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</si>
  <si>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</si>
  <si>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</si>
  <si>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</si>
  <si>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</si>
  <si>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</si>
  <si>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</si>
  <si>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</si>
  <si>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</si>
  <si>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</si>
  <si>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</si>
  <si>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</si>
  <si>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</si>
  <si>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</si>
  <si>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</si>
  <si>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</si>
  <si>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</si>
  <si>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</si>
  <si>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</si>
  <si>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</si>
  <si>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</si>
  <si>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</si>
  <si>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</si>
  <si>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</si>
  <si>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</si>
  <si>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</si>
  <si>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</si>
  <si>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</si>
  <si>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</si>
  <si>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</si>
  <si>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</si>
  <si>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</si>
  <si>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</si>
  <si>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</si>
  <si>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</si>
  <si>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</si>
  <si>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</si>
  <si>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</si>
  <si>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</si>
  <si>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</si>
  <si>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</si>
  <si>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</si>
  <si>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</si>
  <si>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</si>
  <si>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</si>
  <si>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</si>
  <si>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</si>
  <si>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</si>
  <si>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</si>
  <si>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</si>
  <si>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</si>
  <si>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</si>
  <si>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</si>
  <si>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</si>
  <si>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</si>
  <si>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</si>
  <si>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</si>
  <si>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</si>
  <si>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</si>
  <si>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</si>
  <si>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</si>
  <si>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</si>
  <si>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</si>
  <si>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</si>
  <si>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</si>
  <si>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</si>
  <si>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</si>
  <si>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</si>
  <si>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</si>
  <si>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</si>
  <si>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</si>
  <si>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</si>
  <si>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</si>
  <si>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</si>
  <si>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</si>
  <si>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</si>
  <si>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</si>
  <si>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</si>
  <si>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</si>
  <si>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</si>
  <si>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</si>
  <si>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</si>
  <si>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</si>
  <si>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</si>
  <si>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</si>
  <si>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</si>
  <si>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</si>
  <si>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</si>
  <si>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</si>
  <si>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</si>
  <si>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</si>
  <si>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</si>
  <si>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</si>
  <si>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</si>
  <si>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</si>
  <si>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</si>
  <si>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</si>
  <si>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</si>
  <si>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</si>
  <si>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</si>
  <si>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</si>
  <si>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</si>
  <si>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</si>
  <si>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</si>
  <si>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</si>
  <si>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</si>
  <si>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</si>
  <si>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</si>
  <si>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</si>
  <si>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</si>
  <si>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</si>
  <si>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</si>
  <si>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</si>
  <si>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</si>
  <si>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</si>
  <si>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</si>
  <si>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</si>
  <si>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</si>
  <si>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</si>
  <si>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</si>
  <si>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</si>
  <si>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</si>
  <si>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</si>
  <si>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</si>
  <si>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</si>
  <si>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</si>
  <si>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</si>
  <si>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</si>
  <si>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</si>
  <si>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</si>
  <si>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</si>
  <si>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</si>
  <si>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</si>
  <si>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</si>
  <si>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</si>
  <si>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</si>
  <si>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</si>
  <si>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</si>
  <si>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</si>
  <si>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</si>
  <si>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</si>
  <si>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</si>
  <si>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</si>
  <si>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</si>
  <si>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</si>
  <si>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</si>
  <si>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</si>
  <si>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</si>
  <si>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</si>
  <si>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</si>
  <si>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</si>
  <si>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</si>
  <si>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</si>
  <si>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</si>
  <si>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</si>
  <si>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</si>
  <si>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</si>
  <si>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</si>
  <si>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</si>
  <si>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</si>
  <si>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</si>
  <si>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</si>
  <si>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</si>
  <si>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</si>
  <si>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</si>
  <si>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</si>
  <si>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</si>
  <si>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</si>
  <si>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</si>
  <si>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</si>
  <si>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</si>
  <si>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</si>
  <si>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</si>
  <si>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</si>
  <si>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</si>
  <si>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</si>
  <si>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</si>
  <si>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</si>
  <si>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</si>
  <si>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</si>
  <si>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</si>
  <si>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</si>
  <si>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</si>
  <si>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</si>
  <si>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</si>
  <si>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</si>
  <si>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</si>
  <si>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</si>
  <si>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</si>
  <si>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</si>
  <si>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</si>
  <si>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</si>
  <si>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</si>
  <si>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</si>
  <si>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</si>
  <si>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</si>
  <si>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</si>
  <si>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</si>
  <si>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</si>
  <si>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</si>
  <si>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</si>
  <si>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</si>
  <si>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</si>
  <si>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</si>
  <si>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</si>
  <si>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</si>
  <si>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</si>
  <si>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</si>
  <si>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</si>
  <si>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</si>
  <si>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</si>
  <si>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</si>
  <si>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</si>
  <si>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</si>
  <si>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</si>
  <si>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</si>
  <si>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</si>
  <si>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</si>
  <si>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</si>
  <si>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</si>
  <si>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</si>
  <si>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</si>
  <si>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</si>
  <si>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</si>
  <si>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</si>
  <si>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</si>
  <si>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</si>
  <si>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</si>
  <si>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</si>
  <si>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</si>
  <si>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</si>
  <si>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</si>
  <si>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</si>
  <si>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</si>
  <si>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</si>
  <si>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</si>
  <si>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</si>
  <si>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</si>
  <si>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</si>
  <si>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</si>
  <si>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</si>
  <si>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</si>
  <si>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</si>
  <si>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</si>
  <si>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</si>
  <si>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</si>
  <si>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</si>
  <si>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</si>
  <si>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</si>
  <si>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</si>
  <si>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</si>
  <si>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</si>
  <si>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</si>
  <si>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</si>
  <si>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</si>
  <si>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</si>
  <si>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</si>
  <si>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</si>
  <si>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</si>
  <si>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</si>
  <si>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</si>
  <si>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</si>
  <si>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</si>
  <si>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</si>
  <si>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</si>
  <si>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</si>
  <si>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</si>
  <si>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</si>
  <si>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</si>
  <si>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</si>
  <si>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</si>
  <si>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</si>
  <si>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</si>
  <si>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</si>
  <si>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</si>
  <si>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</si>
  <si>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</si>
  <si>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</si>
  <si>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</si>
  <si>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</si>
  <si>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</si>
  <si>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</si>
  <si>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</si>
  <si>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</si>
  <si>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</si>
  <si>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</si>
  <si>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</si>
  <si>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</si>
  <si>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</si>
  <si>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</si>
  <si>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</si>
  <si>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</si>
  <si>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</si>
  <si>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</si>
  <si>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</si>
  <si>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</si>
  <si>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</si>
  <si>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</si>
  <si>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</si>
  <si>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</si>
  <si>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</si>
  <si>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</si>
  <si>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</si>
  <si>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</si>
  <si>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</si>
  <si>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</si>
  <si>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</si>
  <si>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</si>
  <si>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</si>
  <si>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</si>
  <si>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</si>
  <si>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</si>
  <si>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</si>
  <si>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</si>
  <si>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</si>
  <si>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</si>
  <si>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</si>
  <si>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</si>
  <si>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</si>
  <si>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</si>
  <si>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</si>
  <si>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</si>
  <si>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</si>
  <si>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</si>
  <si>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</si>
  <si>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</si>
  <si>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</si>
  <si>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</si>
  <si>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</si>
  <si>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</si>
  <si>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</si>
  <si>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</si>
  <si>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</si>
  <si>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</si>
  <si>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</si>
  <si>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</si>
  <si>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</si>
  <si>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</si>
  <si>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</si>
  <si>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</si>
  <si>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</si>
  <si>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</si>
  <si>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</si>
  <si>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</si>
  <si>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</si>
  <si>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</si>
  <si>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</si>
  <si>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</si>
  <si>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</si>
  <si>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</si>
  <si>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</si>
  <si>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</si>
  <si>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</si>
  <si>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</si>
  <si>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</si>
  <si>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</si>
  <si>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</si>
  <si>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</si>
  <si>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</si>
  <si>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</si>
  <si>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</si>
  <si>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</si>
  <si>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</si>
  <si>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</si>
  <si>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</si>
  <si>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</si>
  <si>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</si>
  <si>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</si>
  <si>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</si>
  <si>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</si>
  <si>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</si>
  <si>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</si>
  <si>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</si>
  <si>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</si>
  <si>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</si>
  <si>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</si>
  <si>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</si>
  <si>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</si>
  <si>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</si>
  <si>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</si>
  <si>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</si>
  <si>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</si>
  <si>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</si>
  <si>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</si>
  <si>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</si>
  <si>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</si>
  <si>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</si>
  <si>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</si>
  <si>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</si>
  <si>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</si>
  <si>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</si>
  <si>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</si>
  <si>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</si>
  <si>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</si>
  <si>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</si>
  <si>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</si>
  <si>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</si>
  <si>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</si>
  <si>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</si>
  <si>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</si>
  <si>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</si>
  <si>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</si>
  <si>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</si>
  <si>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</si>
  <si>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</si>
  <si>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</si>
  <si>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</si>
  <si>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</si>
  <si>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</si>
  <si>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</si>
  <si>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</si>
  <si>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</si>
  <si>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</si>
  <si>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</si>
  <si>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</si>
  <si>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</si>
  <si>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</si>
  <si>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</si>
  <si>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</si>
  <si>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</si>
  <si>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</si>
  <si>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</si>
  <si>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</si>
  <si>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</si>
  <si>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</si>
  <si>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</si>
  <si>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</si>
  <si>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</si>
  <si>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</si>
  <si>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</si>
  <si>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</si>
  <si>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</si>
  <si>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</si>
  <si>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</si>
  <si>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</si>
  <si>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</si>
  <si>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</si>
  <si>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</si>
  <si>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</si>
  <si>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</si>
  <si>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</si>
  <si>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</si>
  <si>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</si>
  <si>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</si>
  <si>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</si>
  <si>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</si>
  <si>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</si>
  <si>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</si>
  <si>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</si>
  <si>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</si>
  <si>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</si>
  <si>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</si>
  <si>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</si>
  <si>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</si>
  <si>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</si>
  <si>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</si>
  <si>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</si>
  <si>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</si>
  <si>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</si>
  <si>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</si>
  <si>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</si>
  <si>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</si>
  <si>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</si>
  <si>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</si>
  <si>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</si>
  <si>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</si>
  <si>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</si>
  <si>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</si>
  <si>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</si>
  <si>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</si>
  <si>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</si>
  <si>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</si>
  <si>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</si>
  <si>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</si>
  <si>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</si>
  <si>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</si>
  <si>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</si>
  <si>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</si>
  <si>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</si>
  <si>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</si>
  <si>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</si>
  <si>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</si>
  <si>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</si>
  <si>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</si>
  <si>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</si>
  <si>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</si>
  <si>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</si>
  <si>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</si>
  <si>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</si>
  <si>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</si>
  <si>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</si>
  <si>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</si>
  <si>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</si>
  <si>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</si>
  <si>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</si>
  <si>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</si>
  <si>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</si>
  <si>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</si>
  <si>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</si>
  <si>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</si>
  <si>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</si>
  <si>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</si>
  <si>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</si>
  <si>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</si>
  <si>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</si>
  <si>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</si>
  <si>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</si>
  <si>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</si>
  <si>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</si>
  <si>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</si>
  <si>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</si>
  <si>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</si>
  <si>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</si>
  <si>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</si>
  <si>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</si>
  <si>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</si>
  <si>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</si>
  <si>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</si>
  <si>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</si>
  <si>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</si>
  <si>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</si>
  <si>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</si>
  <si>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</si>
  <si>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</si>
  <si>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</si>
  <si>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</si>
  <si>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</si>
  <si>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</si>
  <si>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</si>
  <si>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</si>
  <si>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</si>
  <si>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</si>
  <si>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</si>
  <si>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</si>
  <si>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</si>
  <si>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</si>
  <si>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</si>
  <si>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</si>
  <si>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</si>
  <si>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</si>
  <si>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</si>
  <si>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</si>
  <si>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</si>
  <si>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</si>
  <si>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</si>
  <si>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</si>
  <si>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</si>
  <si>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</si>
  <si>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</si>
  <si>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</si>
  <si>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</si>
  <si>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</si>
  <si>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</si>
  <si>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</si>
  <si>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</si>
  <si>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</si>
  <si>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</si>
  <si>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</si>
  <si>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</si>
  <si>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</si>
  <si>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</si>
  <si>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</si>
  <si>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</si>
  <si>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</si>
  <si>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</si>
  <si>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</si>
  <si>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</si>
  <si>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</si>
  <si>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</si>
  <si>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</si>
  <si>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</si>
  <si>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</si>
  <si>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</si>
  <si>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</si>
  <si>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</si>
  <si>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</si>
  <si>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</si>
  <si>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</si>
  <si>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</si>
  <si>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</si>
  <si>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</si>
  <si>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</si>
  <si>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</si>
  <si>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</si>
  <si>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</si>
  <si>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</si>
  <si>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</si>
  <si>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</si>
  <si>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</si>
  <si>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</si>
  <si>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</si>
  <si>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</si>
  <si>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</si>
  <si>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</si>
  <si>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</si>
  <si>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</si>
  <si>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</si>
  <si>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</si>
  <si>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</si>
  <si>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</si>
  <si>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</si>
  <si>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</si>
  <si>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</si>
  <si>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</si>
  <si>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</si>
  <si>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</si>
  <si>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</si>
  <si>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</si>
  <si>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</si>
  <si>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</si>
  <si>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</si>
  <si>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</si>
  <si>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</si>
  <si>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</si>
  <si>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</si>
  <si>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</si>
  <si>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</si>
  <si>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</si>
  <si>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</si>
  <si>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</si>
  <si>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</si>
  <si>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</si>
  <si>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</si>
  <si>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</si>
  <si>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</si>
  <si>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</si>
  <si>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</si>
  <si>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</si>
  <si>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</si>
  <si>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</si>
  <si>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</si>
  <si>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</si>
  <si>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</si>
  <si>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</si>
  <si>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</si>
  <si>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</si>
  <si>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</si>
  <si>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</si>
  <si>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</si>
  <si>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</si>
  <si>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</si>
  <si>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</si>
  <si>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</si>
  <si>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</si>
  <si>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</si>
  <si>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</si>
  <si>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</si>
  <si>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</si>
  <si>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</si>
  <si>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</si>
  <si>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</si>
  <si>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</si>
  <si>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Messi</t>
  </si>
  <si>
    <t>Julian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</si>
</sst>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72</v>
      </c>
      <c r="E3" s="465">
        <f>+D3*C3</f>
        <v>72</v>
      </c>
      <c r="F3" s="484">
        <f>+SUM(E3:E5)</f>
        <v>176</v>
      </c>
      <c r="H3" s="466" t="s">
        <v>6</v>
      </c>
      <c r="I3" s="467">
        <v>-20</v>
      </c>
    </row>
    <row r="4" spans="1:9" ht="15" x14ac:dyDescent="0.25">
      <c r="A4" s="482"/>
      <c r="B4" s="458" t="s">
        <v>7</v>
      </c>
      <c r="C4" s="468">
        <v>1</v>
      </c>
      <c r="D4" s="458">
        <v>72</v>
      </c>
      <c r="E4" s="469">
        <f t="shared" ref="E4:E17" si="0">+D4*C4</f>
        <v>72</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20</v>
      </c>
      <c r="D11" s="462">
        <v>1</v>
      </c>
      <c r="E11" s="471">
        <f>+D11*C11</f>
        <v>20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431</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Normal="100" workbookViewId="0">
      <selection activeCell="CZ13" sqref="CZ13"/>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6" t="s">
        <v>103</v>
      </c>
      <c r="Z2" s="497"/>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Repubilca Checa</v>
      </c>
      <c r="CW2" s="36" t="str">
        <f>+_xlfn.XLOOKUP(CV2,'Mejores 3eros'!$BD$2:$BD$13,'Mejores 3eros'!$BG$2:$BG$13,"-",0)</f>
        <v>IN</v>
      </c>
      <c r="CX2" s="37" t="s">
        <v>116</v>
      </c>
    </row>
    <row r="3" spans="1:102" x14ac:dyDescent="0.2">
      <c r="A3" s="38" t="s">
        <v>117</v>
      </c>
      <c r="B3" s="39">
        <v>46184</v>
      </c>
      <c r="C3" s="40"/>
      <c r="D3" s="41"/>
      <c r="E3" s="42" t="s">
        <v>62</v>
      </c>
      <c r="F3" s="43">
        <v>2</v>
      </c>
      <c r="G3" s="43">
        <v>0</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2</v>
      </c>
      <c r="Q3" s="24">
        <f>+COUNTIF(K3:L8,"="&amp;$O3)</f>
        <v>1</v>
      </c>
      <c r="R3" s="24">
        <f>+COUNTIF(M3:M8,"="&amp;$O3)</f>
        <v>0</v>
      </c>
      <c r="S3" s="24">
        <f>+T3-U3</f>
        <v>3</v>
      </c>
      <c r="T3" s="24">
        <f>+SUMIF(E3:E8,$O3,F3:F8)+SUMIF(H3:H8,$O3,G3:G8)</f>
        <v>3</v>
      </c>
      <c r="U3" s="24">
        <f>+SUMIF(E3:E8,$O3,G3:G8)+SUMIF(H3:H8,$O3,F3:F8)</f>
        <v>0</v>
      </c>
      <c r="V3" s="45">
        <f>+P3*3+Q3*1+BT3+CN3+S3/1000+T3/10000+AV3/1000000+ROW()/10000000</f>
        <v>7.0033003000000003</v>
      </c>
      <c r="W3" s="26" t="str">
        <f>+O3</f>
        <v>Mexico</v>
      </c>
      <c r="Y3" s="46" t="str">
        <f>+CONCATENATE("1",RIGHT(E2,1))</f>
        <v>1A</v>
      </c>
      <c r="Z3" s="47" t="str">
        <f>+VLOOKUP(AL3,V3:W6,2,FALSE)</f>
        <v>Mexico</v>
      </c>
      <c r="AA3" s="48">
        <f>+SUM(AB3:AD3)</f>
        <v>3</v>
      </c>
      <c r="AB3" s="49">
        <f t="shared" ref="AB3:AG6" si="0">+VLOOKUP($Z3,$O$3:$U$6,COLUMN()-26,FALSE)</f>
        <v>2</v>
      </c>
      <c r="AC3" s="49">
        <f t="shared" si="0"/>
        <v>1</v>
      </c>
      <c r="AD3" s="49">
        <f t="shared" si="0"/>
        <v>0</v>
      </c>
      <c r="AE3" s="49">
        <f t="shared" si="0"/>
        <v>3</v>
      </c>
      <c r="AF3" s="49">
        <f t="shared" si="0"/>
        <v>3</v>
      </c>
      <c r="AG3" s="49">
        <f t="shared" si="0"/>
        <v>0</v>
      </c>
      <c r="AH3" s="50">
        <f>+VLOOKUP($Z3,$O$3:$V$6,COLUMN()-26,FALSE)</f>
        <v>7.0033003000000003</v>
      </c>
      <c r="AI3" s="51"/>
      <c r="AL3" s="45">
        <f>+LARGE(V3:V6,1)</f>
        <v>7.0033003000000003</v>
      </c>
      <c r="AM3" s="52">
        <f>+(AH3-AL3)*100000000000000000000</f>
        <v>0</v>
      </c>
      <c r="AP3" s="53" t="str">
        <f>+O3</f>
        <v>Mexico</v>
      </c>
      <c r="AQ3" s="23">
        <f>+P3*3+Q3*1+BT3+CN3+S3/1000+T3/10000</f>
        <v>7.0033000000000003</v>
      </c>
      <c r="AR3" s="23" t="b">
        <f>+IF(OR(AQ3=AQ4,AQ3=AQ5,AQ3=AQ6),1)</f>
        <v>0</v>
      </c>
      <c r="AS3" s="54">
        <f>+AV3</f>
        <v>0</v>
      </c>
      <c r="AT3" s="54">
        <f>+IF(AND(AM7="si",OR(AR3=1,AR4=1,AR5=1)),1,0)</f>
        <v>0</v>
      </c>
      <c r="AU3" s="55" t="str">
        <f>+O3</f>
        <v>Mexico</v>
      </c>
      <c r="AV3" s="56"/>
      <c r="AX3" s="23" t="str">
        <f>+Y2</f>
        <v>Grupo A</v>
      </c>
      <c r="AY3" s="24" t="str">
        <f>+O3</f>
        <v>Mexico</v>
      </c>
      <c r="AZ3" s="29">
        <f>+P3*3+Q3</f>
        <v>7</v>
      </c>
      <c r="BA3" s="29">
        <f>+COUNTIFS($AX$1:AX3,AX3,$AZ$1:AZ3,AZ3)</f>
        <v>1</v>
      </c>
      <c r="BB3" s="29">
        <f>+IF(AZ3=BF1,ROW()*0.001,AZ3)</f>
        <v>7</v>
      </c>
      <c r="BC3" s="29">
        <f>+COUNTIFS($AX$1:AZ3,AZ3,$AZ$1:BB3,BB3)</f>
        <v>1</v>
      </c>
      <c r="BD3" s="29"/>
      <c r="BE3" s="25" t="str">
        <f>+IF(OR(BF3="-",BI3="-",BF1=0),"-","OK")</f>
        <v>-</v>
      </c>
      <c r="BF3" s="57" t="str">
        <f>+IF(_xlfn.XLOOKUP($E3,$AY:$AY,$AZ:$AZ,"-",0)=BF1,$E3,"-")</f>
        <v>-</v>
      </c>
      <c r="BG3" s="58">
        <f t="shared" ref="BG3:BG8" si="1">+$F3</f>
        <v>2</v>
      </c>
      <c r="BH3" s="59">
        <f t="shared" ref="BH3:BH8" si="2">+$G3</f>
        <v>0</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2</v>
      </c>
      <c r="CB3" s="59">
        <f t="shared" ref="CB3:CB8" si="4">+$G3</f>
        <v>0</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IN</v>
      </c>
      <c r="CX3" s="37" t="s">
        <v>116</v>
      </c>
    </row>
    <row r="4" spans="1:102" x14ac:dyDescent="0.2">
      <c r="A4" s="38" t="s">
        <v>118</v>
      </c>
      <c r="B4" s="39">
        <v>46184</v>
      </c>
      <c r="C4" s="40"/>
      <c r="D4" s="41"/>
      <c r="E4" s="42" t="s">
        <v>68</v>
      </c>
      <c r="F4" s="43">
        <v>1</v>
      </c>
      <c r="G4" s="43">
        <v>0</v>
      </c>
      <c r="H4" s="44" t="s">
        <v>79</v>
      </c>
      <c r="J4" s="24" t="str">
        <f t="shared" ref="J4:J8" si="5">IF(OR(ISBLANK(F4),ISBLANK(G4)),"",IF(F4&gt;G4,E4,IF(G4&gt;F4,H4,"")))</f>
        <v>Corea del Sur</v>
      </c>
      <c r="K4" s="24" t="str">
        <f t="shared" ref="K4:K8" si="6">IF(OR(ISBLANK(F4),ISBLANK(G4)),"",IF(F4=G4,E4,""))</f>
        <v/>
      </c>
      <c r="L4" s="24" t="str">
        <f t="shared" ref="L4:L8" si="7">IF(OR(ISBLANK(F4),ISBLANK(G4)),"",IF(F4=G4,H4,""))</f>
        <v/>
      </c>
      <c r="M4" s="24" t="str">
        <f t="shared" ref="M4:M8" si="8">IF(OR(ISBLANK(F4),ISBLANK(G4)),"",IF(F4&lt;G4,E4,IF(G4&lt;F4,H4,"")))</f>
        <v>Repubilca Checa</v>
      </c>
      <c r="O4" s="26" t="str">
        <f>+H3</f>
        <v>Sudafrica</v>
      </c>
      <c r="P4" s="24">
        <f>+COUNTIF(J3:J8,"="&amp;$O4)</f>
        <v>0</v>
      </c>
      <c r="Q4" s="24">
        <f>+COUNTIF(K3:L8,"="&amp;$O4)</f>
        <v>1</v>
      </c>
      <c r="R4" s="24">
        <f>+COUNTIF(M3:M8,"="&amp;$O4)</f>
        <v>2</v>
      </c>
      <c r="S4" s="24">
        <f t="shared" ref="S4:S6" si="9">+T4-U4</f>
        <v>-3</v>
      </c>
      <c r="T4" s="24">
        <f>+SUMIF(E3:E8,$O4,F3:F8)+SUMIF(H3:H8,$O4,G3:G8)</f>
        <v>1</v>
      </c>
      <c r="U4" s="24">
        <f>+SUMIF(E3:E8,$O4,G3:G8)+SUMIF(H3:H8,$O4,F3:F8)</f>
        <v>4</v>
      </c>
      <c r="V4" s="45">
        <f t="shared" ref="V4:V6" si="10">+P4*3+Q4*1+BT4+CN4+S4/1000+T4/10000+AV4/1000000+ROW()/10000000</f>
        <v>0.9971004</v>
      </c>
      <c r="W4" s="26" t="str">
        <f t="shared" ref="W4:W6" si="11">+O4</f>
        <v>Sudafrica</v>
      </c>
      <c r="Y4" s="61" t="str">
        <f>+CONCATENATE("2",RIGHT(E2,1))</f>
        <v>2A</v>
      </c>
      <c r="Z4" s="62" t="str">
        <f>+VLOOKUP(AL4,V3:W6,2,FALSE)</f>
        <v>Corea del Sur</v>
      </c>
      <c r="AA4" s="63">
        <f t="shared" ref="AA4:AA6" si="12">+SUM(AB4:AD4)</f>
        <v>3</v>
      </c>
      <c r="AB4" s="64">
        <f t="shared" si="0"/>
        <v>2</v>
      </c>
      <c r="AC4" s="64">
        <f t="shared" si="0"/>
        <v>0</v>
      </c>
      <c r="AD4" s="64">
        <f t="shared" si="0"/>
        <v>1</v>
      </c>
      <c r="AE4" s="64">
        <f t="shared" si="0"/>
        <v>1</v>
      </c>
      <c r="AF4" s="64">
        <f t="shared" si="0"/>
        <v>2</v>
      </c>
      <c r="AG4" s="64">
        <f t="shared" si="0"/>
        <v>1</v>
      </c>
      <c r="AH4" s="65">
        <f>+VLOOKUP($Z4,$O$3:$V$6,COLUMN()-26,FALSE)</f>
        <v>6.0012005000000004</v>
      </c>
      <c r="AI4" s="51"/>
      <c r="AL4" s="45">
        <f>+LARGE(V3:V6,2)</f>
        <v>6.0012005000000004</v>
      </c>
      <c r="AM4" s="52">
        <f t="shared" ref="AM4:AM6" si="13">+(AH4-AL4)*100000000000000000000</f>
        <v>0</v>
      </c>
      <c r="AP4" s="53" t="str">
        <f>+O4</f>
        <v>Sudafrica</v>
      </c>
      <c r="AQ4" s="23">
        <f>+P4*3+Q4*1+BT4+CN4+S4/1000+T4/10000</f>
        <v>0.99709999999999999</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1</v>
      </c>
      <c r="BA4" s="29">
        <f>+COUNTIFS($AX$1:AX4,AX4,$AZ$1:AZ4,AZ4)</f>
        <v>1</v>
      </c>
      <c r="BB4" s="29">
        <f>+IF(AZ4=BF1,ROW()*0.001,AZ4)</f>
        <v>1</v>
      </c>
      <c r="BC4" s="29">
        <f>+COUNTIFS($AX$1:AZ4,AZ4,$AZ$1:BB4,BB4)</f>
        <v>1</v>
      </c>
      <c r="BD4" s="29"/>
      <c r="BE4" s="25" t="str">
        <f>+IF(OR(BF4="-",BI4="-",BF1=0),"-","OK")</f>
        <v>-</v>
      </c>
      <c r="BF4" s="57" t="str">
        <f>+IF(_xlfn.XLOOKUP($E4,$AY:$AY,$AZ:$AZ,"-",0)=BF1,$E4,"-")</f>
        <v>-</v>
      </c>
      <c r="BG4" s="58">
        <f t="shared" si="1"/>
        <v>1</v>
      </c>
      <c r="BH4" s="59">
        <f t="shared" si="2"/>
        <v>0</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1</v>
      </c>
      <c r="CB4" s="59">
        <f t="shared" si="4"/>
        <v>0</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Marruecos</v>
      </c>
      <c r="CW4" s="36" t="str">
        <f>+_xlfn.XLOOKUP(CV4,'Mejores 3eros'!$BD$2:$BD$13,'Mejores 3eros'!$BG$2:$BG$13,"-",0)</f>
        <v>Draw - Select</v>
      </c>
      <c r="CX4" s="37" t="s">
        <v>848</v>
      </c>
    </row>
    <row r="5" spans="1:102" x14ac:dyDescent="0.2">
      <c r="A5" s="38" t="s">
        <v>119</v>
      </c>
      <c r="B5" s="39">
        <v>46191</v>
      </c>
      <c r="C5" s="40"/>
      <c r="D5" s="41"/>
      <c r="E5" s="42" t="s">
        <v>79</v>
      </c>
      <c r="F5" s="43">
        <v>1</v>
      </c>
      <c r="G5" s="43">
        <v>1</v>
      </c>
      <c r="H5" s="44" t="s">
        <v>82</v>
      </c>
      <c r="J5" s="24" t="str">
        <f t="shared" si="5"/>
        <v/>
      </c>
      <c r="K5" s="24" t="str">
        <f t="shared" si="6"/>
        <v>Repubilca Checa</v>
      </c>
      <c r="L5" s="24" t="str">
        <f t="shared" si="7"/>
        <v>Sudafrica</v>
      </c>
      <c r="M5" s="24" t="str">
        <f t="shared" si="8"/>
        <v/>
      </c>
      <c r="O5" s="26" t="str">
        <f>+E4</f>
        <v>Corea del Sur</v>
      </c>
      <c r="P5" s="24">
        <f>+COUNTIF(J3:J8,"="&amp;$O5)</f>
        <v>2</v>
      </c>
      <c r="Q5" s="24">
        <f>+COUNTIF(K3:L8,"="&amp;$O5)</f>
        <v>0</v>
      </c>
      <c r="R5" s="24">
        <f>+COUNTIF(M3:M8,"="&amp;$O5)</f>
        <v>1</v>
      </c>
      <c r="S5" s="24">
        <f t="shared" si="9"/>
        <v>1</v>
      </c>
      <c r="T5" s="24">
        <f>+SUMIF(E3:E8,$O5,F3:F8)+SUMIF(H3:H8,$O5,G3:G8)</f>
        <v>2</v>
      </c>
      <c r="U5" s="24">
        <f>+SUMIF(E3:E8,$O5,G3:G8)+SUMIF(H3:H8,$O5,F3:F8)</f>
        <v>1</v>
      </c>
      <c r="V5" s="45">
        <f t="shared" si="10"/>
        <v>6.0012005000000004</v>
      </c>
      <c r="W5" s="26" t="str">
        <f t="shared" si="11"/>
        <v>Corea del Sur</v>
      </c>
      <c r="Y5" s="68" t="str">
        <f>+CONCATENATE("3",RIGHT(E2,1))</f>
        <v>3A</v>
      </c>
      <c r="Z5" s="69" t="str">
        <f>+VLOOKUP(AL5,V3:W6,2,FALSE)</f>
        <v>Repubilca Checa</v>
      </c>
      <c r="AA5" s="70">
        <f t="shared" si="12"/>
        <v>3</v>
      </c>
      <c r="AB5" s="71">
        <f t="shared" si="0"/>
        <v>0</v>
      </c>
      <c r="AC5" s="71">
        <f t="shared" si="0"/>
        <v>2</v>
      </c>
      <c r="AD5" s="71">
        <f t="shared" si="0"/>
        <v>1</v>
      </c>
      <c r="AE5" s="71">
        <f t="shared" si="0"/>
        <v>-1</v>
      </c>
      <c r="AF5" s="71">
        <f t="shared" si="0"/>
        <v>1</v>
      </c>
      <c r="AG5" s="71">
        <f t="shared" si="0"/>
        <v>2</v>
      </c>
      <c r="AH5" s="72">
        <f>+VLOOKUP($Z5,$O$3:$V$6,COLUMN()-26,FALSE)</f>
        <v>1.9991006</v>
      </c>
      <c r="AI5" s="73">
        <f>+(COUNTIFS($CV$2:$CV$13,Z5,$CX$2:$CX$13,"IN")+COUNTIFS($CV$2:$CV$13,Z5,$CW$2:$CW$13,"IN"))*IF(SUM(AA3:AA6)=12,1,0)</f>
        <v>1</v>
      </c>
      <c r="AL5" s="45">
        <f>+LARGE(V3:V6,3)</f>
        <v>1.9991006</v>
      </c>
      <c r="AM5" s="52">
        <f t="shared" si="13"/>
        <v>0</v>
      </c>
      <c r="AP5" s="53" t="str">
        <f>+O5</f>
        <v>Corea del Sur</v>
      </c>
      <c r="AQ5" s="23">
        <f>+P5*3+Q5*1+BT5+CN5+S5/1000+T5/10000</f>
        <v>6.0012000000000008</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6</v>
      </c>
      <c r="BA5" s="29">
        <f>+COUNTIFS($AX$1:AX5,AX5,$AZ$1:AZ5,AZ5)</f>
        <v>1</v>
      </c>
      <c r="BB5" s="29">
        <f>+IF(AZ5=BF1,ROW()*0.001,AZ5)</f>
        <v>6</v>
      </c>
      <c r="BC5" s="29">
        <f>+COUNTIFS($AX$1:AZ5,AZ5,$AZ$1:BB5,BB5)</f>
        <v>1</v>
      </c>
      <c r="BD5" s="29"/>
      <c r="BE5" s="25" t="str">
        <f>+IF(OR(BF5="-",BI5="-",BF1=0),"-","OK")</f>
        <v>-</v>
      </c>
      <c r="BF5" s="57" t="str">
        <f>+IF(_xlfn.XLOOKUP($E5,$AY:$AY,$AZ:$AZ,"-",0)=BF1,$E5,"-")</f>
        <v>-</v>
      </c>
      <c r="BG5" s="58">
        <f t="shared" si="1"/>
        <v>1</v>
      </c>
      <c r="BH5" s="59">
        <f t="shared" si="2"/>
        <v>1</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1</v>
      </c>
      <c r="CB5" s="59">
        <f t="shared" si="4"/>
        <v>1</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Australia</v>
      </c>
      <c r="CW5" s="36" t="str">
        <f>+_xlfn.XLOOKUP(CV5,'Mejores 3eros'!$BD$2:$BD$13,'Mejores 3eros'!$BG$2:$BG$13,"-",0)</f>
        <v>IN</v>
      </c>
      <c r="CX5" s="37" t="s">
        <v>116</v>
      </c>
    </row>
    <row r="6" spans="1:102" x14ac:dyDescent="0.2">
      <c r="A6" s="38" t="s">
        <v>120</v>
      </c>
      <c r="B6" s="39">
        <v>46191</v>
      </c>
      <c r="C6" s="40"/>
      <c r="D6" s="41"/>
      <c r="E6" s="42" t="s">
        <v>62</v>
      </c>
      <c r="F6" s="43">
        <v>1</v>
      </c>
      <c r="G6" s="43">
        <v>0</v>
      </c>
      <c r="H6" s="44" t="s">
        <v>68</v>
      </c>
      <c r="J6" s="24" t="str">
        <f t="shared" si="5"/>
        <v>Mexico</v>
      </c>
      <c r="K6" s="24" t="str">
        <f t="shared" si="6"/>
        <v/>
      </c>
      <c r="L6" s="24" t="str">
        <f t="shared" si="7"/>
        <v/>
      </c>
      <c r="M6" s="24" t="str">
        <f t="shared" si="8"/>
        <v>Corea del Sur</v>
      </c>
      <c r="O6" s="26" t="str">
        <f>+H4</f>
        <v>Repubilca Checa</v>
      </c>
      <c r="P6" s="24">
        <f>+COUNTIF(J3:J8,"="&amp;$O6)</f>
        <v>0</v>
      </c>
      <c r="Q6" s="24">
        <f>+COUNTIF(K3:L8,"="&amp;$O6)</f>
        <v>2</v>
      </c>
      <c r="R6" s="24">
        <f>+COUNTIF(M3:M8,"="&amp;$O6)</f>
        <v>1</v>
      </c>
      <c r="S6" s="24">
        <f t="shared" si="9"/>
        <v>-1</v>
      </c>
      <c r="T6" s="24">
        <f>+SUMIF(E3:E8,$O6,F3:F8)+SUMIF(H3:H8,$O6,G3:G8)</f>
        <v>1</v>
      </c>
      <c r="U6" s="24">
        <f>+SUMIF(E3:E8,$O6,G3:G8)+SUMIF(H3:H8,$O6,F3:F8)</f>
        <v>2</v>
      </c>
      <c r="V6" s="45">
        <f t="shared" si="10"/>
        <v>1.9991006</v>
      </c>
      <c r="W6" s="26" t="str">
        <f t="shared" si="11"/>
        <v>Repubilca Checa</v>
      </c>
      <c r="Y6" s="74" t="str">
        <f>+CONCATENATE("4",RIGHT(E2,1))</f>
        <v>4A</v>
      </c>
      <c r="Z6" s="75" t="str">
        <f>+VLOOKUP(AL6,V3:W6,2,FALSE)</f>
        <v>Sudafrica</v>
      </c>
      <c r="AA6" s="76">
        <f t="shared" si="12"/>
        <v>3</v>
      </c>
      <c r="AB6" s="77">
        <f t="shared" si="0"/>
        <v>0</v>
      </c>
      <c r="AC6" s="77">
        <f t="shared" si="0"/>
        <v>1</v>
      </c>
      <c r="AD6" s="77">
        <f t="shared" si="0"/>
        <v>2</v>
      </c>
      <c r="AE6" s="77">
        <f t="shared" si="0"/>
        <v>-3</v>
      </c>
      <c r="AF6" s="77">
        <f t="shared" si="0"/>
        <v>1</v>
      </c>
      <c r="AG6" s="77">
        <f t="shared" si="0"/>
        <v>4</v>
      </c>
      <c r="AH6" s="78">
        <f>+VLOOKUP($Z6,$O$3:$V$6,COLUMN()-26,FALSE)</f>
        <v>0.9971004</v>
      </c>
      <c r="AI6" s="73"/>
      <c r="AL6" s="45">
        <f>+LARGE(V3:V6,4)</f>
        <v>0.9971004</v>
      </c>
      <c r="AM6" s="52">
        <f t="shared" si="13"/>
        <v>0</v>
      </c>
      <c r="AP6" s="53" t="str">
        <f>+O6</f>
        <v>Repubilca Checa</v>
      </c>
      <c r="AQ6" s="23">
        <f>+P6*3+Q6*1+BT6+CN6+S6/1000+T6/10000</f>
        <v>1.9991000000000001</v>
      </c>
      <c r="AS6" s="54">
        <f t="shared" si="14"/>
        <v>0</v>
      </c>
      <c r="AT6" s="54">
        <f>+IF(AND(AM7="si",OR(AR3=1,AR4=1,AR5=1)),1,0)</f>
        <v>0</v>
      </c>
      <c r="AU6" s="79" t="str">
        <f t="shared" si="15"/>
        <v>Repubilca Checa</v>
      </c>
      <c r="AV6" s="80"/>
      <c r="AX6" s="23" t="str">
        <f>+Y2</f>
        <v>Grupo A</v>
      </c>
      <c r="AY6" s="24" t="str">
        <f t="shared" si="16"/>
        <v>Repubilca Checa</v>
      </c>
      <c r="AZ6" s="29">
        <f t="shared" si="17"/>
        <v>2</v>
      </c>
      <c r="BA6" s="29">
        <f>+COUNTIFS($AX$1:AX6,AX6,$AZ$1:AZ6,AZ6)</f>
        <v>1</v>
      </c>
      <c r="BB6" s="29">
        <f>+IF(AZ6=BF1,ROW()*0.001,AZ6)</f>
        <v>2</v>
      </c>
      <c r="BC6" s="29">
        <f>+COUNTIFS($AX$1:AZ6,AZ6,$AZ$1:BB6,BB6)</f>
        <v>1</v>
      </c>
      <c r="BD6" s="29"/>
      <c r="BE6" s="25" t="str">
        <f>+IF(OR(BF6="-",BI6="-",BF1=0),"-","OK")</f>
        <v>-</v>
      </c>
      <c r="BF6" s="57" t="str">
        <f>+IF(_xlfn.XLOOKUP($E6,$AY:$AY,$AZ:$AZ,"-",0)=BF1,$E6,"-")</f>
        <v>-</v>
      </c>
      <c r="BG6" s="58">
        <f t="shared" si="1"/>
        <v>1</v>
      </c>
      <c r="BH6" s="59">
        <f t="shared" si="2"/>
        <v>0</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1</v>
      </c>
      <c r="CB6" s="59">
        <f t="shared" si="4"/>
        <v>0</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Curazao</v>
      </c>
      <c r="CW6" s="36" t="str">
        <f>+_xlfn.XLOOKUP(CV6,'Mejores 3eros'!$BD$2:$BD$13,'Mejores 3eros'!$BG$2:$BG$13,"-",0)</f>
        <v>Draw - Select</v>
      </c>
      <c r="CX6" s="37" t="s">
        <v>848</v>
      </c>
    </row>
    <row r="7" spans="1:102" x14ac:dyDescent="0.2">
      <c r="A7" s="38" t="s">
        <v>121</v>
      </c>
      <c r="B7" s="39">
        <v>46197</v>
      </c>
      <c r="C7" s="40"/>
      <c r="D7" s="41"/>
      <c r="E7" s="42" t="s">
        <v>79</v>
      </c>
      <c r="F7" s="43">
        <v>0</v>
      </c>
      <c r="G7" s="43">
        <v>0</v>
      </c>
      <c r="H7" s="44" t="s">
        <v>62</v>
      </c>
      <c r="J7" s="24" t="str">
        <f t="shared" si="5"/>
        <v/>
      </c>
      <c r="K7" s="24" t="str">
        <f t="shared" si="6"/>
        <v>Repubilca Checa</v>
      </c>
      <c r="L7" s="24" t="str">
        <f t="shared" si="7"/>
        <v>Mexico</v>
      </c>
      <c r="M7" s="24" t="str">
        <f t="shared" si="8"/>
        <v/>
      </c>
      <c r="AL7" s="25" t="s">
        <v>122</v>
      </c>
      <c r="AM7" s="52" t="str">
        <f>+IF(SUM(AA3:AA6)=12,"si","no")</f>
        <v>si</v>
      </c>
      <c r="BE7" s="25" t="str">
        <f>+IF(OR(BF7="-",BI7="-",BF1=0),"-","OK")</f>
        <v>-</v>
      </c>
      <c r="BF7" s="57" t="str">
        <f>+IF(_xlfn.XLOOKUP($E7,$AY:$AY,$AZ:$AZ,"-",0)=BF1,$E7,"-")</f>
        <v>-</v>
      </c>
      <c r="BG7" s="58">
        <f t="shared" si="1"/>
        <v>0</v>
      </c>
      <c r="BH7" s="59">
        <f t="shared" si="2"/>
        <v>0</v>
      </c>
      <c r="BI7" s="57" t="str">
        <f>+IF(_xlfn.XLOOKUP($H7,$AY:$AY,$AZ:$AZ,"-",0)=BF1,$H7,"-")</f>
        <v>-</v>
      </c>
      <c r="BY7" s="25" t="str">
        <f t="shared" si="26"/>
        <v>-</v>
      </c>
      <c r="BZ7" s="57" t="str">
        <f>+IF(_xlfn.XLOOKUP($E7,$AY:$AY,$AZ:$AZ,"-",0)=BZ1,$E7,"-")</f>
        <v>-</v>
      </c>
      <c r="CA7" s="58">
        <f t="shared" si="3"/>
        <v>0</v>
      </c>
      <c r="CB7" s="59">
        <f t="shared" si="4"/>
        <v>0</v>
      </c>
      <c r="CC7" s="57" t="str">
        <f>+IF(_xlfn.XLOOKUP($H7,$AY:$AY,$AZ:$AZ,"-",0)=BZ1,$H7,"-")</f>
        <v>-</v>
      </c>
      <c r="CV7" s="35" t="str">
        <f>+'Mejores 3eros'!AP7</f>
        <v>Paises Bajos</v>
      </c>
      <c r="CW7" s="36" t="str">
        <f>+_xlfn.XLOOKUP(CV7,'Mejores 3eros'!$BD$2:$BD$13,'Mejores 3eros'!$BG$2:$BG$13,"-",0)</f>
        <v>IN</v>
      </c>
      <c r="CX7" s="37" t="s">
        <v>116</v>
      </c>
    </row>
    <row r="8" spans="1:102" x14ac:dyDescent="0.2">
      <c r="A8" s="38" t="s">
        <v>123</v>
      </c>
      <c r="B8" s="39">
        <v>46197</v>
      </c>
      <c r="C8" s="40"/>
      <c r="D8" s="41"/>
      <c r="E8" s="42" t="s">
        <v>82</v>
      </c>
      <c r="F8" s="43">
        <v>0</v>
      </c>
      <c r="G8" s="43">
        <v>1</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0</v>
      </c>
      <c r="BH8" s="59">
        <f t="shared" si="2"/>
        <v>1</v>
      </c>
      <c r="BI8" s="57" t="str">
        <f>+IF(_xlfn.XLOOKUP($H8,$AY:$AY,$AZ:$AZ,"-",0)=BF1,$H8,"-")</f>
        <v>-</v>
      </c>
      <c r="BY8" s="25" t="str">
        <f t="shared" si="26"/>
        <v>-</v>
      </c>
      <c r="BZ8" s="57" t="str">
        <f>+IF(_xlfn.XLOOKUP($E8,$AY:$AY,$AZ:$AZ,"-",0)=BZ1,$E8,"-")</f>
        <v>-</v>
      </c>
      <c r="CA8" s="58">
        <f t="shared" si="3"/>
        <v>0</v>
      </c>
      <c r="CB8" s="59">
        <f t="shared" si="4"/>
        <v>1</v>
      </c>
      <c r="CC8" s="57" t="str">
        <f>+IF(_xlfn.XLOOKUP($H8,$AY:$AY,$AZ:$AZ,"-",0)=BZ1,$H8,"-")</f>
        <v>-</v>
      </c>
      <c r="CV8" s="35" t="str">
        <f>+'Mejores 3eros'!AP8</f>
        <v>Egipto</v>
      </c>
      <c r="CW8" s="36" t="str">
        <f>+_xlfn.XLOOKUP(CV8,'Mejores 3eros'!$BD$2:$BD$13,'Mejores 3eros'!$BG$2:$BG$13,"-",0)</f>
        <v>IN</v>
      </c>
      <c r="CX8" s="37" t="s">
        <v>116</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IN</v>
      </c>
      <c r="CX9" s="37" t="s">
        <v>116</v>
      </c>
    </row>
    <row r="10" spans="1:102" x14ac:dyDescent="0.2">
      <c r="A10" s="23"/>
      <c r="BF10" s="28">
        <f>+IF(BA12&gt;1,AZ12,IF(BA13&gt;1,AZ13,IF(BA14&gt;1,AZ14,IF(BA15&gt;1,AZ15,"-"))))</f>
        <v>4</v>
      </c>
      <c r="BW10" s="23">
        <v>10</v>
      </c>
      <c r="BZ10" s="29">
        <f>+IF(BC12&gt;1,BB12,IF(BC13&gt;1,BB13,IF(BC14&gt;1,BB14,IF(BC15&gt;1,BB15,"-"))))</f>
        <v>1</v>
      </c>
      <c r="CQ10" s="23">
        <v>10</v>
      </c>
      <c r="CV10" s="35" t="str">
        <f>+'Mejores 3eros'!AP10</f>
        <v>Senegal</v>
      </c>
      <c r="CW10" s="36" t="str">
        <f>+_xlfn.XLOOKUP(CV10,'Mejores 3eros'!$BD$2:$BD$13,'Mejores 3eros'!$BG$2:$BG$13,"-",0)</f>
        <v>Draw - Select</v>
      </c>
      <c r="CX10" s="37" t="s">
        <v>832</v>
      </c>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8" t="s">
        <v>125</v>
      </c>
      <c r="Z11" s="499"/>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Jordania</v>
      </c>
      <c r="CW11" s="36" t="str">
        <f>+_xlfn.XLOOKUP(CV11,'Mejores 3eros'!$BD$2:$BD$13,'Mejores 3eros'!$BG$2:$BG$13,"-",0)</f>
        <v>Draw - Select</v>
      </c>
      <c r="CX11" s="37" t="s">
        <v>848</v>
      </c>
    </row>
    <row r="12" spans="1:102" x14ac:dyDescent="0.2">
      <c r="A12" s="38" t="s">
        <v>126</v>
      </c>
      <c r="B12" s="39">
        <v>46185</v>
      </c>
      <c r="C12" s="40"/>
      <c r="D12" s="41"/>
      <c r="E12" s="42" t="s">
        <v>76</v>
      </c>
      <c r="F12" s="43">
        <v>1</v>
      </c>
      <c r="G12" s="43">
        <v>0</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1</v>
      </c>
      <c r="Q12" s="24">
        <f>+COUNTIF(K12:L17,"="&amp;$O12)</f>
        <v>1</v>
      </c>
      <c r="R12" s="24">
        <f>+COUNTIF(M12:M17,"="&amp;$O12)</f>
        <v>1</v>
      </c>
      <c r="S12" s="24">
        <f>+T12-U12</f>
        <v>0</v>
      </c>
      <c r="T12" s="24">
        <f t="shared" ref="T12" si="36">+SUMIF(E12:E17,$O12,F12:F17)+SUMIF(H12:H17,$O12,G12:G17)</f>
        <v>2</v>
      </c>
      <c r="U12" s="24">
        <f t="shared" ref="U12" si="37">+SUMIF(E12:E17,$O12,G12:G17)+SUMIF(H12:H17,$O12,F12:F17)</f>
        <v>2</v>
      </c>
      <c r="V12" s="45">
        <f>+P12*3+Q12*1+BT12+CN12+S12/1000+T12/10000+AV12/1000000+ROW()/10000000</f>
        <v>4.3002012000000001</v>
      </c>
      <c r="W12" s="26" t="str">
        <f>+O12</f>
        <v>Canada</v>
      </c>
      <c r="Y12" s="46" t="str">
        <f>+CONCATENATE("1",RIGHT(E11,1))</f>
        <v>1B</v>
      </c>
      <c r="Z12" s="47" t="str">
        <f>+VLOOKUP(AL12,V12:W15,2,FALSE)</f>
        <v>Suiza</v>
      </c>
      <c r="AA12" s="48">
        <f>+SUM(AB12:AD12)</f>
        <v>3</v>
      </c>
      <c r="AB12" s="49">
        <f t="shared" ref="AB12:AG15" si="38">+VLOOKUP($Z12,$O$12:$U$15,COLUMN()-26,FALSE)</f>
        <v>2</v>
      </c>
      <c r="AC12" s="49">
        <f t="shared" si="38"/>
        <v>1</v>
      </c>
      <c r="AD12" s="49">
        <f t="shared" si="38"/>
        <v>0</v>
      </c>
      <c r="AE12" s="49">
        <f t="shared" si="38"/>
        <v>2</v>
      </c>
      <c r="AF12" s="49">
        <f t="shared" si="38"/>
        <v>3</v>
      </c>
      <c r="AG12" s="49">
        <f t="shared" si="38"/>
        <v>1</v>
      </c>
      <c r="AH12" s="50">
        <f>+VLOOKUP($Z12,$O$12:$V$15,COLUMN()-26,FALSE)</f>
        <v>7.0023014999999997</v>
      </c>
      <c r="AI12" s="51"/>
      <c r="AL12" s="45">
        <f>+LARGE(V12:V15,1)</f>
        <v>7.0023014999999997</v>
      </c>
      <c r="AM12" s="52">
        <f>+(AH12-AL12)*100000000000000000000</f>
        <v>0</v>
      </c>
      <c r="AP12" s="53" t="str">
        <f>+O12</f>
        <v>Canada</v>
      </c>
      <c r="AQ12" s="23">
        <f>+P12*3+Q12*1+BT12+CN12+S12/1000+T12/10000</f>
        <v>4.3002000000000002</v>
      </c>
      <c r="AR12" s="23" t="b">
        <f>+IF(OR(AQ12=AQ13,AQ12=AQ14,AQ12=AQ15),1)</f>
        <v>0</v>
      </c>
      <c r="AS12" s="54">
        <f>+AV12</f>
        <v>0</v>
      </c>
      <c r="AT12" s="54">
        <f>+IF(AND(AM16="si",OR(AR12=1,AR13=1,AR14=1)),1,0)</f>
        <v>0</v>
      </c>
      <c r="AU12" s="55" t="str">
        <f>+O12</f>
        <v>Canada</v>
      </c>
      <c r="AV12" s="56"/>
      <c r="AX12" s="23" t="str">
        <f>+Y11</f>
        <v>Grupo B</v>
      </c>
      <c r="AY12" s="24" t="str">
        <f>+O12</f>
        <v>Canada</v>
      </c>
      <c r="AZ12" s="29">
        <f>+P12*3+Q12</f>
        <v>4</v>
      </c>
      <c r="BA12" s="29">
        <f>+COUNTIFS($AX$1:AX12,AX12,$AZ$1:AZ12,AZ12)</f>
        <v>1</v>
      </c>
      <c r="BB12" s="29">
        <f>+IF(AZ12=BF10,ROW()*0.001,AZ12)</f>
        <v>1.2E-2</v>
      </c>
      <c r="BC12" s="29">
        <f>+COUNTIFS($AX$1:AZ12,AZ12,$AZ$1:BB12,BB12)</f>
        <v>1</v>
      </c>
      <c r="BD12" s="29"/>
      <c r="BE12" s="25" t="str">
        <f>+IF(OR(BF12="-",BI12="-",BF10=0),"-","OK")</f>
        <v>OK</v>
      </c>
      <c r="BF12" s="57" t="str">
        <f>+IF(_xlfn.XLOOKUP($E12,$AY:$AY,$AZ:$AZ,"-",0)=BF10,$E12,"-")</f>
        <v>Canada</v>
      </c>
      <c r="BG12" s="58">
        <f t="shared" ref="BG12:BG17" si="39">+$F12</f>
        <v>1</v>
      </c>
      <c r="BH12" s="59">
        <f t="shared" ref="BH12:BH17" si="40">+$G12</f>
        <v>0</v>
      </c>
      <c r="BI12" s="57" t="str">
        <f>+IF(_xlfn.XLOOKUP($H12,$AY:$AY,$AZ:$AZ,"-",0)=BF10,$H12,"-")</f>
        <v>Bosnia</v>
      </c>
      <c r="BK12" s="26" t="str">
        <f>+O12</f>
        <v>Canada</v>
      </c>
      <c r="BL12" s="26">
        <f>+COUNTIFS($BE:$BE,"OK",$BI:$BI,BK12)+COUNTIFS($BE:$BE,"OK",$BF:$BF,BK12)</f>
        <v>1</v>
      </c>
      <c r="BM12" s="24">
        <f>+COUNTIFS(J:J,$BK12,$BE:$BE,"OK")</f>
        <v>1</v>
      </c>
      <c r="BN12" s="24">
        <f>+COUNTIFS(K:K,$BK12,$BE:$BE,"OK")+COUNTIFS(L:L,$BK12,$BE:$BE,"OK")</f>
        <v>0</v>
      </c>
      <c r="BO12" s="24">
        <f>+COUNTIFS(M:M,$BK12,$BE:$BE,"OK")</f>
        <v>0</v>
      </c>
      <c r="BP12" s="24">
        <f>+BQ12-BR12</f>
        <v>1</v>
      </c>
      <c r="BQ12" s="24">
        <f>+SUMIFS(BG:BG,$BE:$BE,"OK",BF:BF,$BK12)+SUMIFS(BH:BH,$BE:$BE,"OK",BI:BI,$BK12)</f>
        <v>1</v>
      </c>
      <c r="BR12" s="24">
        <f>+SUMIFS(BH:BH,$BE:$BE,"OK",BF:BF,$BK12)+SUMIFS(BG:BG,$BE:$BE,"OK",BI:BI,$BK12)</f>
        <v>0</v>
      </c>
      <c r="BS12" s="60">
        <f>+BM12*3+BN12*1+BP12/100+BQ12/10000</f>
        <v>3.0101</v>
      </c>
      <c r="BT12" s="29">
        <f>+IF(BL12=0,0,_xlfn.XLOOKUP(BS12,BV12:BV15,BW12:BW15))</f>
        <v>0.3</v>
      </c>
      <c r="BU12" s="45"/>
      <c r="BV12" s="24">
        <f>+LARGE(BS12:BS15,1)</f>
        <v>3.0101</v>
      </c>
      <c r="BW12" s="24">
        <f>+BX12/$BW$1</f>
        <v>0.3</v>
      </c>
      <c r="BX12" s="23">
        <v>3</v>
      </c>
      <c r="BY12" s="25" t="str">
        <f>+IF(OR(BZ12="-",CC12="-"),"-","OK")</f>
        <v>-</v>
      </c>
      <c r="BZ12" s="57" t="str">
        <f>+IF(_xlfn.XLOOKUP($E12,$AY:$AY,$AZ:$AZ,"-",0)=BZ10,$E12,"-")</f>
        <v>-</v>
      </c>
      <c r="CA12" s="58">
        <f t="shared" ref="CA12:CA17" si="41">+$F12</f>
        <v>1</v>
      </c>
      <c r="CB12" s="59">
        <f t="shared" ref="CB12:CB17" si="42">+$G12</f>
        <v>0</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IN</v>
      </c>
      <c r="CX12" s="37" t="s">
        <v>116</v>
      </c>
    </row>
    <row r="13" spans="1:102" ht="15" thickBot="1" x14ac:dyDescent="0.25">
      <c r="A13" s="38" t="s">
        <v>127</v>
      </c>
      <c r="B13" s="39">
        <v>46186</v>
      </c>
      <c r="C13" s="40"/>
      <c r="D13" s="41"/>
      <c r="E13" s="42" t="s">
        <v>89</v>
      </c>
      <c r="F13" s="43">
        <v>0</v>
      </c>
      <c r="G13" s="43">
        <v>1</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1</v>
      </c>
      <c r="Q13" s="24">
        <f>+COUNTIF(K12:L17,"="&amp;$O13)</f>
        <v>1</v>
      </c>
      <c r="R13" s="24">
        <f>+COUNTIF(M12:M17,"="&amp;$O13)</f>
        <v>1</v>
      </c>
      <c r="S13" s="24">
        <f t="shared" ref="S13:S15" si="47">+T13-U13</f>
        <v>0</v>
      </c>
      <c r="T13" s="24">
        <f t="shared" ref="T13" si="48">+SUMIF(E12:E17,$O13,F12:F17)+SUMIF(H12:H17,$O13,G12:G17)</f>
        <v>2</v>
      </c>
      <c r="U13" s="24">
        <f t="shared" ref="U13" si="49">+SUMIF(E12:E17,$O13,G12:G17)+SUMIF(H12:H17,$O13,F12:F17)</f>
        <v>2</v>
      </c>
      <c r="V13" s="45">
        <f t="shared" ref="V13:V15" si="50">+P13*3+Q13*1+BT13+CN13+S13/1000+T13/10000+AV13/1000000+ROW()/10000000</f>
        <v>4.0002013000000005</v>
      </c>
      <c r="W13" s="26" t="str">
        <f t="shared" ref="W13:W15" si="51">+O13</f>
        <v>Bosnia</v>
      </c>
      <c r="Y13" s="61" t="str">
        <f>+CONCATENATE("2",RIGHT(E11,1))</f>
        <v>2B</v>
      </c>
      <c r="Z13" s="62" t="str">
        <f>+VLOOKUP(AL13,V12:W15,2,FALSE)</f>
        <v>Canada</v>
      </c>
      <c r="AA13" s="63">
        <f t="shared" ref="AA13:AA15" si="52">+SUM(AB13:AD13)</f>
        <v>3</v>
      </c>
      <c r="AB13" s="64">
        <f t="shared" si="38"/>
        <v>1</v>
      </c>
      <c r="AC13" s="64">
        <f t="shared" si="38"/>
        <v>1</v>
      </c>
      <c r="AD13" s="64">
        <f t="shared" si="38"/>
        <v>1</v>
      </c>
      <c r="AE13" s="64">
        <f t="shared" si="38"/>
        <v>0</v>
      </c>
      <c r="AF13" s="64">
        <f t="shared" si="38"/>
        <v>2</v>
      </c>
      <c r="AG13" s="64">
        <f t="shared" si="38"/>
        <v>2</v>
      </c>
      <c r="AH13" s="65">
        <f>+VLOOKUP($Z13,$O$12:$V$15,COLUMN()-26,FALSE)</f>
        <v>4.3002012000000001</v>
      </c>
      <c r="AI13" s="51"/>
      <c r="AL13" s="45">
        <f>+LARGE(V12:V15,2)</f>
        <v>4.3002012000000001</v>
      </c>
      <c r="AM13" s="52">
        <f t="shared" ref="AM13:AM15" si="53">+(AH13-AL13)*100000000000000000000</f>
        <v>0</v>
      </c>
      <c r="AP13" s="53" t="str">
        <f>+O13</f>
        <v>Bosnia</v>
      </c>
      <c r="AQ13" s="23">
        <f>+P13*3+Q13*1+BT13+CN13+S13/1000+T13/10000</f>
        <v>4.0002000000000004</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4</v>
      </c>
      <c r="BA13" s="29">
        <f>+COUNTIFS($AX$1:AX13,AX13,$AZ$1:AZ13,AZ13)</f>
        <v>2</v>
      </c>
      <c r="BB13" s="29">
        <f>+IF(AZ13=BF10,ROW()*0.001,AZ13)</f>
        <v>1.3000000000000001E-2</v>
      </c>
      <c r="BC13" s="29">
        <f>+COUNTIFS($AX$1:AZ13,AZ13,$AZ$1:BB13,BB13)</f>
        <v>1</v>
      </c>
      <c r="BD13" s="29"/>
      <c r="BE13" s="25" t="str">
        <f>+IF(OR(BF13="-",BI13="-",BF10=0),"-","OK")</f>
        <v>-</v>
      </c>
      <c r="BF13" s="57" t="str">
        <f>+IF(_xlfn.XLOOKUP($E13,$AY:$AY,$AZ:$AZ,"-",0)=BF10,$E13,"-")</f>
        <v>-</v>
      </c>
      <c r="BG13" s="58">
        <f t="shared" si="39"/>
        <v>0</v>
      </c>
      <c r="BH13" s="59">
        <f t="shared" si="40"/>
        <v>1</v>
      </c>
      <c r="BI13" s="57" t="str">
        <f>+IF(_xlfn.XLOOKUP($H13,$AY:$AY,$AZ:$AZ,"-",0)=BF10,$H13,"-")</f>
        <v>-</v>
      </c>
      <c r="BK13" s="26" t="str">
        <f t="shared" ref="BK13:BK15" si="58">+O13</f>
        <v>Bosnia</v>
      </c>
      <c r="BL13" s="26">
        <f t="shared" ref="BL13:BL15" si="59">+COUNTIFS($BE:$BE,"OK",$BI:$BI,BK13)+COUNTIFS($BE:$BE,"OK",$BF:$BF,BK13)</f>
        <v>1</v>
      </c>
      <c r="BM13" s="24">
        <f t="shared" ref="BM13:BM15" si="60">+COUNTIFS(J:J,$BK13,$BE:$BE,"OK")</f>
        <v>0</v>
      </c>
      <c r="BN13" s="24">
        <f t="shared" ref="BN13:BN15" si="61">+COUNTIFS(K:K,$BK13,$BE:$BE,"OK")+COUNTIFS(L:L,$BK13,$BE:$BE,"OK")</f>
        <v>0</v>
      </c>
      <c r="BO13" s="24">
        <f t="shared" ref="BO13:BO15" si="62">+COUNTIFS(M:M,$BK13,$BE:$BE,"OK")</f>
        <v>1</v>
      </c>
      <c r="BP13" s="24">
        <f t="shared" ref="BP13:BP15" si="63">+BQ13-BR13</f>
        <v>-1</v>
      </c>
      <c r="BQ13" s="24">
        <f>+SUMIFS(BG:BG,$BE:$BE,"OK",BF:BF,$BK13)+SUMIFS(BH:BH,$BE:$BE,"OK",BI:BI,$BK13)</f>
        <v>0</v>
      </c>
      <c r="BR13" s="24">
        <f t="shared" ref="BR13:BR15" si="64">+SUMIFS(BH:BH,$BE:$BE,"OK",BF:BF,$BK13)+SUMIFS(BG:BG,$BE:$BE,"OK",BI:BI,$BK13)</f>
        <v>1</v>
      </c>
      <c r="BS13" s="60">
        <f t="shared" ref="BS13:BS15" si="65">+BM13*3+BN13*1+BP13/100+BQ13/10000</f>
        <v>-0.01</v>
      </c>
      <c r="BT13" s="29">
        <f>+IF(BL13=0,0,_xlfn.XLOOKUP(BS13,BV12:BV15,BW12:BW15))</f>
        <v>0</v>
      </c>
      <c r="BU13" s="45"/>
      <c r="BV13" s="24">
        <f>+LARGE(BS12:BS15,2)</f>
        <v>0</v>
      </c>
      <c r="BW13" s="24">
        <f>+BX13/$BW$1</f>
        <v>0.2</v>
      </c>
      <c r="BX13" s="23">
        <v>2</v>
      </c>
      <c r="BY13" s="25" t="str">
        <f t="shared" ref="BY13:BY17" si="66">+IF(OR(BZ13="-",CC13="-"),"-","OK")</f>
        <v>-</v>
      </c>
      <c r="BZ13" s="57" t="str">
        <f>+IF(_xlfn.XLOOKUP($E13,$AY:$AY,$AZ:$AZ,"-",0)=BZ10,$E13,"-")</f>
        <v>Qatar</v>
      </c>
      <c r="CA13" s="58">
        <f t="shared" si="41"/>
        <v>0</v>
      </c>
      <c r="CB13" s="59">
        <f t="shared" si="42"/>
        <v>1</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OUT</v>
      </c>
      <c r="CX13" s="90" t="s">
        <v>116</v>
      </c>
    </row>
    <row r="14" spans="1:102" x14ac:dyDescent="0.2">
      <c r="A14" s="38" t="s">
        <v>128</v>
      </c>
      <c r="B14" s="39">
        <v>46191</v>
      </c>
      <c r="C14" s="40"/>
      <c r="D14" s="41"/>
      <c r="E14" s="42" t="s">
        <v>65</v>
      </c>
      <c r="F14" s="43">
        <v>1</v>
      </c>
      <c r="G14" s="43">
        <v>1</v>
      </c>
      <c r="H14" s="44" t="s">
        <v>84</v>
      </c>
      <c r="J14" s="24" t="str">
        <f t="shared" si="43"/>
        <v/>
      </c>
      <c r="K14" s="24" t="str">
        <f t="shared" si="44"/>
        <v>Suiza</v>
      </c>
      <c r="L14" s="24" t="str">
        <f t="shared" si="45"/>
        <v>Bosnia</v>
      </c>
      <c r="M14" s="24" t="str">
        <f t="shared" si="46"/>
        <v/>
      </c>
      <c r="O14" s="26" t="str">
        <f>+E13</f>
        <v>Qatar</v>
      </c>
      <c r="P14" s="24">
        <f>+COUNTIF(J12:J17,"="&amp;$O14)</f>
        <v>0</v>
      </c>
      <c r="Q14" s="24">
        <f>+COUNTIF(K12:L17,"="&amp;$O14)</f>
        <v>1</v>
      </c>
      <c r="R14" s="24">
        <f>+COUNTIF(M12:M17,"="&amp;$O14)</f>
        <v>2</v>
      </c>
      <c r="S14" s="24">
        <f t="shared" si="47"/>
        <v>-2</v>
      </c>
      <c r="T14" s="24">
        <f t="shared" ref="T14" si="76">+SUMIF(E12:E17,$O14,F12:F17)+SUMIF(H12:H17,$O14,G12:G17)</f>
        <v>1</v>
      </c>
      <c r="U14" s="24">
        <f t="shared" ref="U14" si="77">+SUMIF(E12:E17,$O14,G12:G17)+SUMIF(H12:H17,$O14,F12:F17)</f>
        <v>3</v>
      </c>
      <c r="V14" s="45">
        <f t="shared" si="50"/>
        <v>0.99810140000000003</v>
      </c>
      <c r="W14" s="26" t="str">
        <f t="shared" si="51"/>
        <v>Qatar</v>
      </c>
      <c r="Y14" s="68" t="str">
        <f>+CONCATENATE("3",RIGHT(E11,1))</f>
        <v>3B</v>
      </c>
      <c r="Z14" s="69" t="str">
        <f>+VLOOKUP(AL14,V12:W15,2,FALSE)</f>
        <v>Bosnia</v>
      </c>
      <c r="AA14" s="70">
        <f t="shared" si="52"/>
        <v>3</v>
      </c>
      <c r="AB14" s="71">
        <f t="shared" si="38"/>
        <v>1</v>
      </c>
      <c r="AC14" s="71">
        <f t="shared" si="38"/>
        <v>1</v>
      </c>
      <c r="AD14" s="71">
        <f t="shared" si="38"/>
        <v>1</v>
      </c>
      <c r="AE14" s="71">
        <f t="shared" si="38"/>
        <v>0</v>
      </c>
      <c r="AF14" s="71">
        <f t="shared" si="38"/>
        <v>2</v>
      </c>
      <c r="AG14" s="71">
        <f t="shared" si="38"/>
        <v>2</v>
      </c>
      <c r="AH14" s="72">
        <f>+VLOOKUP($Z14,$O$12:$V$15,COLUMN()-26,FALSE)</f>
        <v>4.0002013000000005</v>
      </c>
      <c r="AI14" s="73">
        <f>+(COUNTIFS($CV$2:$CV$13,Z14,$CX$2:$CX$13,"IN")+COUNTIFS($CV$2:$CV$13,Z14,$CW$2:$CW$13,"IN"))*IF(SUM(AA12:AA15)=12,1,0)</f>
        <v>1</v>
      </c>
      <c r="AL14" s="45">
        <f>+LARGE(V12:V15,3)</f>
        <v>4.0002013000000005</v>
      </c>
      <c r="AM14" s="52">
        <f t="shared" si="53"/>
        <v>0</v>
      </c>
      <c r="AP14" s="53" t="str">
        <f>+O14</f>
        <v>Qatar</v>
      </c>
      <c r="AQ14" s="23">
        <f>+P14*3+Q14*1+BT14+CN14+S14/1000+T14/10000</f>
        <v>0.99809999999999999</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1</v>
      </c>
      <c r="BA14" s="29">
        <f>+COUNTIFS($AX$1:AX14,AX14,$AZ$1:AZ14,AZ14)</f>
        <v>1</v>
      </c>
      <c r="BB14" s="29">
        <f>+IF(AZ14=BF10,ROW()*0.001,AZ14)</f>
        <v>1</v>
      </c>
      <c r="BC14" s="29">
        <f>+COUNTIFS($AX$1:AZ14,AZ14,$AZ$1:BB14,BB14)</f>
        <v>2</v>
      </c>
      <c r="BD14" s="29"/>
      <c r="BE14" s="25" t="str">
        <f>+IF(OR(BF14="-",BI14="-",BF10=0),"-","OK")</f>
        <v>-</v>
      </c>
      <c r="BF14" s="57" t="str">
        <f>+IF(_xlfn.XLOOKUP($E14,$AY:$AY,$AZ:$AZ,"-",0)=BF10,$E14,"-")</f>
        <v>-</v>
      </c>
      <c r="BG14" s="58">
        <f t="shared" si="39"/>
        <v>1</v>
      </c>
      <c r="BH14" s="59">
        <f t="shared" si="40"/>
        <v>1</v>
      </c>
      <c r="BI14" s="57" t="str">
        <f>+IF(_xlfn.XLOOKUP($H14,$AY:$AY,$AZ:$AZ,"-",0)=BF10,$H14,"-")</f>
        <v>Bosnia</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1</v>
      </c>
      <c r="CB14" s="59">
        <f t="shared" si="42"/>
        <v>1</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
      <c r="A15" s="38" t="s">
        <v>129</v>
      </c>
      <c r="B15" s="39">
        <v>46191</v>
      </c>
      <c r="C15" s="40"/>
      <c r="D15" s="41"/>
      <c r="E15" s="42" t="s">
        <v>76</v>
      </c>
      <c r="F15" s="43">
        <v>1</v>
      </c>
      <c r="G15" s="43">
        <v>1</v>
      </c>
      <c r="H15" s="44" t="s">
        <v>89</v>
      </c>
      <c r="J15" s="24" t="str">
        <f t="shared" si="43"/>
        <v/>
      </c>
      <c r="K15" s="24" t="str">
        <f t="shared" si="44"/>
        <v>Canada</v>
      </c>
      <c r="L15" s="24" t="str">
        <f t="shared" si="45"/>
        <v>Qatar</v>
      </c>
      <c r="M15" s="24" t="str">
        <f t="shared" si="46"/>
        <v/>
      </c>
      <c r="O15" s="26" t="str">
        <f>+H13</f>
        <v>Suiza</v>
      </c>
      <c r="P15" s="24">
        <f>+COUNTIF(J12:J17,"="&amp;$O15)</f>
        <v>2</v>
      </c>
      <c r="Q15" s="24">
        <f>+COUNTIF(K12:L17,"="&amp;$O15)</f>
        <v>1</v>
      </c>
      <c r="R15" s="24">
        <f>+COUNTIF(M12:M17,"="&amp;$O15)</f>
        <v>0</v>
      </c>
      <c r="S15" s="24">
        <f t="shared" si="47"/>
        <v>2</v>
      </c>
      <c r="T15" s="24">
        <f t="shared" ref="T15" si="78">+SUMIF(E12:E17,$O15,F12:F17)+SUMIF(H12:H17,$O15,G12:G17)</f>
        <v>3</v>
      </c>
      <c r="U15" s="24">
        <f t="shared" ref="U15" si="79">+SUMIF(E12:E17,$O15,G12:G17)+SUMIF(H12:H17,$O15,F12:F17)</f>
        <v>1</v>
      </c>
      <c r="V15" s="45">
        <f t="shared" si="50"/>
        <v>7.0023014999999997</v>
      </c>
      <c r="W15" s="26" t="str">
        <f t="shared" si="51"/>
        <v>Suiza</v>
      </c>
      <c r="Y15" s="74" t="str">
        <f>+CONCATENATE("4",RIGHT(E11,1))</f>
        <v>4B</v>
      </c>
      <c r="Z15" s="75" t="str">
        <f>+VLOOKUP(AL15,V12:W15,2,FALSE)</f>
        <v>Qatar</v>
      </c>
      <c r="AA15" s="76">
        <f t="shared" si="52"/>
        <v>3</v>
      </c>
      <c r="AB15" s="77">
        <f t="shared" si="38"/>
        <v>0</v>
      </c>
      <c r="AC15" s="77">
        <f t="shared" si="38"/>
        <v>1</v>
      </c>
      <c r="AD15" s="77">
        <f t="shared" si="38"/>
        <v>2</v>
      </c>
      <c r="AE15" s="77">
        <f t="shared" si="38"/>
        <v>-2</v>
      </c>
      <c r="AF15" s="77">
        <f t="shared" si="38"/>
        <v>1</v>
      </c>
      <c r="AG15" s="77">
        <f t="shared" si="38"/>
        <v>3</v>
      </c>
      <c r="AH15" s="78">
        <f>+VLOOKUP($Z15,$O$12:$V$15,COLUMN()-26,FALSE)</f>
        <v>0.99810140000000003</v>
      </c>
      <c r="AI15" s="73"/>
      <c r="AL15" s="45">
        <f>+LARGE(V12:V15,4)</f>
        <v>0.99810140000000003</v>
      </c>
      <c r="AM15" s="52">
        <f t="shared" si="53"/>
        <v>0</v>
      </c>
      <c r="AP15" s="53" t="str">
        <f>+O15</f>
        <v>Suiza</v>
      </c>
      <c r="AQ15" s="23">
        <f>+P15*3+Q15*1+BT15+CN15+S15/1000+T15/10000</f>
        <v>7.0023</v>
      </c>
      <c r="AS15" s="54">
        <f t="shared" si="54"/>
        <v>0</v>
      </c>
      <c r="AT15" s="54">
        <f>+IF(AND(AM16="si",OR(AR12=1,AR13=1,AR14=1)),1,0)</f>
        <v>0</v>
      </c>
      <c r="AU15" s="79" t="str">
        <f t="shared" si="55"/>
        <v>Suiza</v>
      </c>
      <c r="AV15" s="80"/>
      <c r="AX15" s="23" t="str">
        <f>+Y11</f>
        <v>Grupo B</v>
      </c>
      <c r="AY15" s="24" t="str">
        <f t="shared" si="56"/>
        <v>Suiza</v>
      </c>
      <c r="AZ15" s="29">
        <f t="shared" si="57"/>
        <v>7</v>
      </c>
      <c r="BA15" s="29">
        <f>+COUNTIFS($AX$1:AX15,AX15,$AZ$1:AZ15,AZ15)</f>
        <v>1</v>
      </c>
      <c r="BB15" s="29">
        <f>+IF(AZ15=BF10,ROW()*0.001,AZ15)</f>
        <v>7</v>
      </c>
      <c r="BC15" s="29">
        <f>+COUNTIFS($AX$1:AZ15,AZ15,$AZ$1:BB15,BB15)</f>
        <v>2</v>
      </c>
      <c r="BD15" s="29"/>
      <c r="BE15" s="25" t="str">
        <f>+IF(OR(BF15="-",BI15="-",BF10=0),"-","OK")</f>
        <v>-</v>
      </c>
      <c r="BF15" s="57" t="str">
        <f>+IF(_xlfn.XLOOKUP($E15,$AY:$AY,$AZ:$AZ,"-",0)=BF10,$E15,"-")</f>
        <v>Canada</v>
      </c>
      <c r="BG15" s="58">
        <f t="shared" si="39"/>
        <v>1</v>
      </c>
      <c r="BH15" s="59">
        <f t="shared" si="40"/>
        <v>1</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-0.01</v>
      </c>
      <c r="BW15" s="24">
        <f>+BX15/$BW$1</f>
        <v>0</v>
      </c>
      <c r="BX15" s="23">
        <v>0</v>
      </c>
      <c r="BY15" s="25" t="str">
        <f t="shared" si="66"/>
        <v>-</v>
      </c>
      <c r="BZ15" s="57" t="str">
        <f>+IF(_xlfn.XLOOKUP($E15,$AY:$AY,$AZ:$AZ,"-",0)=BZ10,$E15,"-")</f>
        <v>-</v>
      </c>
      <c r="CA15" s="58">
        <f t="shared" si="41"/>
        <v>1</v>
      </c>
      <c r="CB15" s="59">
        <f t="shared" si="42"/>
        <v>1</v>
      </c>
      <c r="CC15" s="57" t="str">
        <f>+IF(_xlfn.XLOOKUP($H15,$AY:$AY,$AZ:$AZ,"-",0)=BZ10,$H15,"-")</f>
        <v>Qatar</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2</v>
      </c>
    </row>
    <row r="16" spans="1:102" x14ac:dyDescent="0.2">
      <c r="A16" s="38" t="s">
        <v>130</v>
      </c>
      <c r="B16" s="39">
        <v>46197</v>
      </c>
      <c r="C16" s="40"/>
      <c r="D16" s="41"/>
      <c r="E16" s="42" t="s">
        <v>65</v>
      </c>
      <c r="F16" s="43">
        <v>1</v>
      </c>
      <c r="G16" s="43">
        <v>0</v>
      </c>
      <c r="H16" s="44" t="s">
        <v>76</v>
      </c>
      <c r="J16" s="24" t="str">
        <f t="shared" si="43"/>
        <v>Suiza</v>
      </c>
      <c r="K16" s="24" t="str">
        <f t="shared" si="44"/>
        <v/>
      </c>
      <c r="L16" s="24" t="str">
        <f t="shared" si="45"/>
        <v/>
      </c>
      <c r="M16" s="24" t="str">
        <f t="shared" si="46"/>
        <v>Canada</v>
      </c>
      <c r="AL16" s="25" t="s">
        <v>122</v>
      </c>
      <c r="AM16" s="52" t="str">
        <f>+IF(SUM(AA12:AA15)=12,"si","no")</f>
        <v>si</v>
      </c>
      <c r="BE16" s="25" t="str">
        <f>+IF(OR(BF16="-",BI16="-",BF10=0),"-","OK")</f>
        <v>-</v>
      </c>
      <c r="BF16" s="57" t="str">
        <f>+IF(_xlfn.XLOOKUP($E16,$AY:$AY,$AZ:$AZ,"-",0)=BF10,$E16,"-")</f>
        <v>-</v>
      </c>
      <c r="BG16" s="58">
        <f t="shared" si="39"/>
        <v>1</v>
      </c>
      <c r="BH16" s="59">
        <f t="shared" si="40"/>
        <v>0</v>
      </c>
      <c r="BI16" s="57" t="str">
        <f>+IF(_xlfn.XLOOKUP($H16,$AY:$AY,$AZ:$AZ,"-",0)=BF10,$H16,"-")</f>
        <v>Canada</v>
      </c>
      <c r="BY16" s="25" t="str">
        <f t="shared" si="66"/>
        <v>-</v>
      </c>
      <c r="BZ16" s="57" t="str">
        <f>+IF(_xlfn.XLOOKUP($E16,$AY:$AY,$AZ:$AZ,"-",0)=BZ10,$E16,"-")</f>
        <v>-</v>
      </c>
      <c r="CA16" s="58">
        <f t="shared" si="41"/>
        <v>1</v>
      </c>
      <c r="CB16" s="59">
        <f t="shared" si="42"/>
        <v>0</v>
      </c>
      <c r="CC16" s="57" t="str">
        <f>+IF(_xlfn.XLOOKUP($H16,$AY:$AY,$AZ:$AZ,"-",0)=BZ10,$H16,"-")</f>
        <v>-</v>
      </c>
      <c r="CW16" s="23"/>
    </row>
    <row r="17" spans="1:102" x14ac:dyDescent="0.2">
      <c r="A17" s="38" t="s">
        <v>131</v>
      </c>
      <c r="B17" s="39">
        <v>46197</v>
      </c>
      <c r="C17" s="40"/>
      <c r="D17" s="41"/>
      <c r="E17" s="42" t="s">
        <v>84</v>
      </c>
      <c r="F17" s="43">
        <v>1</v>
      </c>
      <c r="G17" s="43">
        <v>0</v>
      </c>
      <c r="H17" s="44" t="s">
        <v>89</v>
      </c>
      <c r="J17" s="24" t="str">
        <f t="shared" si="43"/>
        <v>Bosnia</v>
      </c>
      <c r="K17" s="24" t="str">
        <f t="shared" si="44"/>
        <v/>
      </c>
      <c r="L17" s="24" t="str">
        <f t="shared" si="45"/>
        <v/>
      </c>
      <c r="M17" s="24" t="str">
        <f t="shared" si="46"/>
        <v>Qatar</v>
      </c>
      <c r="Y17" s="53" t="s">
        <v>124</v>
      </c>
      <c r="AR17" s="23">
        <f>+IF(AND(AM16="si",OR(AR12=1,AR13=1,AR14=1)),1,0)</f>
        <v>0</v>
      </c>
      <c r="BE17" s="25" t="str">
        <f>+IF(OR(BF17="-",BI17="-",BF10=0),"-","OK")</f>
        <v>-</v>
      </c>
      <c r="BF17" s="57" t="str">
        <f>+IF(_xlfn.XLOOKUP($E17,$AY:$AY,$AZ:$AZ,"-",0)=BF10,$E17,"-")</f>
        <v>Bosnia</v>
      </c>
      <c r="BG17" s="58">
        <f t="shared" si="39"/>
        <v>1</v>
      </c>
      <c r="BH17" s="59">
        <f t="shared" si="40"/>
        <v>0</v>
      </c>
      <c r="BI17" s="57" t="str">
        <f>+IF(_xlfn.XLOOKUP($H17,$AY:$AY,$AZ:$AZ,"-",0)=BF10,$H17,"-")</f>
        <v>-</v>
      </c>
      <c r="BY17" s="25" t="str">
        <f t="shared" si="66"/>
        <v>-</v>
      </c>
      <c r="BZ17" s="57" t="str">
        <f>+IF(_xlfn.XLOOKUP($E17,$AY:$AY,$AZ:$AZ,"-",0)=BZ10,$E17,"-")</f>
        <v>-</v>
      </c>
      <c r="CA17" s="58">
        <f t="shared" si="41"/>
        <v>1</v>
      </c>
      <c r="CB17" s="59">
        <f t="shared" si="42"/>
        <v>0</v>
      </c>
      <c r="CC17" s="57" t="str">
        <f>+IF(_xlfn.XLOOKUP($H17,$AY:$AY,$AZ:$AZ,"-",0)=BZ10,$H17,"-")</f>
        <v>Qatar</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t="str">
        <f>+IF(BA21&gt;1,AZ21,IF(BA22&gt;1,AZ22,IF(BA23&gt;1,AZ23,IF(BA24&gt;1,AZ24,"-"))))</f>
        <v>-</v>
      </c>
      <c r="BW19" s="23">
        <v>10</v>
      </c>
      <c r="BZ19" s="29">
        <f>+IF(BC21&gt;1,BB21,IF(BC22&gt;1,BB22,IF(BC23&gt;1,BB23,IF(BC24&gt;1,BB24,"-"))))</f>
        <v>2</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0" t="s">
        <v>132</v>
      </c>
      <c r="Z20" s="501"/>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2</v>
      </c>
      <c r="G21" s="43">
        <v>0</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7</v>
      </c>
      <c r="T21" s="24">
        <f t="shared" ref="T21" si="80">+SUMIF(E21:E26,$O21,F21:F26)+SUMIF(H21:H26,$O21,G21:G26)</f>
        <v>7</v>
      </c>
      <c r="U21" s="24">
        <f t="shared" ref="U21" si="81">+SUMIF(E21:E26,$O21,G21:G26)+SUMIF(H21:H26,$O21,F21:F26)</f>
        <v>0</v>
      </c>
      <c r="V21" s="45">
        <f>+P21*3+Q21*1+BT21+CN21+S21/1000+T21/10000+AV21/1000000+ROW()/10000000</f>
        <v>9.0077020999999995</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7</v>
      </c>
      <c r="AF21" s="49">
        <f t="shared" si="82"/>
        <v>7</v>
      </c>
      <c r="AG21" s="49">
        <f t="shared" si="82"/>
        <v>0</v>
      </c>
      <c r="AH21" s="50">
        <f>+VLOOKUP($Z21,$O$21:$V$24,COLUMN()-26,FALSE)</f>
        <v>9.0077020999999995</v>
      </c>
      <c r="AI21" s="51"/>
      <c r="AL21" s="45">
        <f>+LARGE(V21:V24,1)</f>
        <v>9.0077020999999995</v>
      </c>
      <c r="AM21" s="52">
        <f>+(AH21-AL21)*100000000000000000000</f>
        <v>0</v>
      </c>
      <c r="AP21" s="53" t="str">
        <f>+O21</f>
        <v>Brasil</v>
      </c>
      <c r="AQ21" s="23">
        <f>+P21*3+Q21*1+BT21+CN21+S21/1000+T21/10000</f>
        <v>9.0076999999999998</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1</v>
      </c>
      <c r="BD21" s="29"/>
      <c r="BE21" s="25" t="str">
        <f>+IF(OR(BF21="-",BI21="-",BF19=0),"-","OK")</f>
        <v>-</v>
      </c>
      <c r="BF21" s="57" t="str">
        <f>+IF(_xlfn.XLOOKUP($E21,$AY:$AY,$AZ:$AZ,"-",0)=BF19,$E21,"-")</f>
        <v>-</v>
      </c>
      <c r="BG21" s="58">
        <f t="shared" ref="BG21:BG26" si="83">+$F21</f>
        <v>2</v>
      </c>
      <c r="BH21" s="59">
        <f t="shared" ref="BH21:BH26" si="84">+$G21</f>
        <v>0</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v>
      </c>
      <c r="CA21" s="58">
        <f t="shared" ref="CA21:CA26" si="85">+$F21</f>
        <v>2</v>
      </c>
      <c r="CB21" s="59">
        <f t="shared" ref="CB21:CB26" si="86">+$G21</f>
        <v>0</v>
      </c>
      <c r="CC21" s="57" t="str">
        <f>+IF(_xlfn.XLOOKUP($H21,$AY:$AY,$AZ:$AZ,"-",0)=BZ19,$H21,"-")</f>
        <v>Marruecos</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0</v>
      </c>
      <c r="G22" s="43">
        <v>1</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0</v>
      </c>
      <c r="Q22" s="24">
        <f>+COUNTIF(K21:L26,"="&amp;$O22)</f>
        <v>2</v>
      </c>
      <c r="R22" s="24">
        <f>+COUNTIF(M21:M26,"="&amp;$O22)</f>
        <v>1</v>
      </c>
      <c r="S22" s="24">
        <f t="shared" ref="S22:S24" si="91">+T22-U22</f>
        <v>-2</v>
      </c>
      <c r="T22" s="24">
        <f t="shared" ref="T22" si="92">+SUMIF(E21:E26,$O22,F21:F26)+SUMIF(H21:H26,$O22,G21:G26)</f>
        <v>2</v>
      </c>
      <c r="U22" s="24">
        <f t="shared" ref="U22" si="93">+SUMIF(E21:E26,$O22,G21:G26)+SUMIF(H21:H26,$O22,F21:F26)</f>
        <v>4</v>
      </c>
      <c r="V22" s="45">
        <f t="shared" ref="V22:V24" si="94">+P22*3+Q22*1+BT22+CN22+S22/1000+T22/10000+AV22/1000000+ROW()/10000000</f>
        <v>1.9982021999999999</v>
      </c>
      <c r="W22" s="26" t="str">
        <f t="shared" ref="W22:W24" si="95">+O22</f>
        <v>Marruecos</v>
      </c>
      <c r="Y22" s="61" t="str">
        <f>+CONCATENATE("2",RIGHT(E20,1))</f>
        <v>2C</v>
      </c>
      <c r="Z22" s="62" t="str">
        <f>+VLOOKUP(AL22,V21:W24,2,FALSE)</f>
        <v>Escocia</v>
      </c>
      <c r="AA22" s="63">
        <f t="shared" ref="AA22:AA24" si="96">+SUM(AB22:AD22)</f>
        <v>3</v>
      </c>
      <c r="AB22" s="64">
        <f t="shared" si="82"/>
        <v>1</v>
      </c>
      <c r="AC22" s="64">
        <f t="shared" si="82"/>
        <v>1</v>
      </c>
      <c r="AD22" s="64">
        <f t="shared" si="82"/>
        <v>1</v>
      </c>
      <c r="AE22" s="64">
        <f t="shared" si="82"/>
        <v>-1</v>
      </c>
      <c r="AF22" s="64">
        <f t="shared" si="82"/>
        <v>2</v>
      </c>
      <c r="AG22" s="64">
        <f t="shared" si="82"/>
        <v>3</v>
      </c>
      <c r="AH22" s="65">
        <f>+VLOOKUP($Z22,$O$21:$V$24,COLUMN()-26,FALSE)</f>
        <v>3.9992024000000002</v>
      </c>
      <c r="AI22" s="51"/>
      <c r="AL22" s="45">
        <f>+LARGE(V21:V24,2)</f>
        <v>3.9992024000000002</v>
      </c>
      <c r="AM22" s="52">
        <f t="shared" ref="AM22:AM24" si="97">+(AH22-AL22)*100000000000000000000</f>
        <v>0</v>
      </c>
      <c r="AP22" s="53" t="str">
        <f>+O22</f>
        <v>Marruecos</v>
      </c>
      <c r="AQ22" s="23">
        <f>+P22*3+Q22*1+BT22+CN22+S22/1000+T22/10000</f>
        <v>1.9982</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2</v>
      </c>
      <c r="BA22" s="29">
        <f>+COUNTIFS($AX$1:AX22,AX22,$AZ$1:AZ22,AZ22)</f>
        <v>1</v>
      </c>
      <c r="BB22" s="29">
        <f>+IF(AZ22=BF19,ROW()*0.001,AZ22)</f>
        <v>2</v>
      </c>
      <c r="BC22" s="29">
        <f>+COUNTIFS($AX$1:AZ22,AZ22,$AZ$1:BB22,BB22)</f>
        <v>2</v>
      </c>
      <c r="BD22" s="29"/>
      <c r="BE22" s="25" t="str">
        <f>+IF(OR(BF22="-",BI22="-",BF19=0),"-","OK")</f>
        <v>-</v>
      </c>
      <c r="BF22" s="57" t="str">
        <f>+IF(_xlfn.XLOOKUP($E22,$AY:$AY,$AZ:$AZ,"-",0)=BF19,$E22,"-")</f>
        <v>-</v>
      </c>
      <c r="BG22" s="58">
        <f t="shared" si="83"/>
        <v>0</v>
      </c>
      <c r="BH22" s="59">
        <f t="shared" si="84"/>
        <v>1</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v>
      </c>
      <c r="CA22" s="58">
        <f t="shared" si="85"/>
        <v>0</v>
      </c>
      <c r="CB22" s="59">
        <f t="shared" si="86"/>
        <v>1</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3</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1</v>
      </c>
      <c r="R23" s="24">
        <f>+COUNTIF(M21:M26,"="&amp;$O23)</f>
        <v>2</v>
      </c>
      <c r="S23" s="24">
        <f t="shared" si="91"/>
        <v>-4</v>
      </c>
      <c r="T23" s="24">
        <f t="shared" ref="T23" si="120">+SUMIF(E21:E26,$O23,F21:F26)+SUMIF(H21:H26,$O23,G21:G26)</f>
        <v>1</v>
      </c>
      <c r="U23" s="24">
        <f t="shared" ref="U23" si="121">+SUMIF(E21:E26,$O23,G21:G26)+SUMIF(H21:H26,$O23,F21:F26)</f>
        <v>5</v>
      </c>
      <c r="V23" s="45">
        <f t="shared" si="94"/>
        <v>0.9961023</v>
      </c>
      <c r="W23" s="26" t="str">
        <f t="shared" si="95"/>
        <v>Haiti</v>
      </c>
      <c r="Y23" s="68" t="str">
        <f>+CONCATENATE("3",RIGHT(E20,1))</f>
        <v>3C</v>
      </c>
      <c r="Z23" s="69" t="str">
        <f>+VLOOKUP(AL23,V21:W24,2,FALSE)</f>
        <v>Marruecos</v>
      </c>
      <c r="AA23" s="70">
        <f t="shared" si="96"/>
        <v>3</v>
      </c>
      <c r="AB23" s="71">
        <f t="shared" si="82"/>
        <v>0</v>
      </c>
      <c r="AC23" s="71">
        <f t="shared" si="82"/>
        <v>2</v>
      </c>
      <c r="AD23" s="71">
        <f t="shared" si="82"/>
        <v>1</v>
      </c>
      <c r="AE23" s="71">
        <f t="shared" si="82"/>
        <v>-2</v>
      </c>
      <c r="AF23" s="71">
        <f t="shared" si="82"/>
        <v>2</v>
      </c>
      <c r="AG23" s="71">
        <f t="shared" si="82"/>
        <v>4</v>
      </c>
      <c r="AH23" s="72">
        <f>+VLOOKUP($Z23,$O$21:$V$24,COLUMN()-26,FALSE)</f>
        <v>1.9982021999999999</v>
      </c>
      <c r="AI23" s="73">
        <f>+(COUNTIFS($CV$2:$CV$13,Z23,$CX$2:$CX$13,"IN")+COUNTIFS($CV$2:$CV$13,Z23,$CW$2:$CW$13,"IN"))*IF(SUM(AA21:AA24)=12,1,0)</f>
        <v>0</v>
      </c>
      <c r="AL23" s="45">
        <f>+LARGE(V21:V24,3)</f>
        <v>1.9982021999999999</v>
      </c>
      <c r="AM23" s="52">
        <f t="shared" si="97"/>
        <v>0</v>
      </c>
      <c r="AP23" s="53" t="str">
        <f>+O23</f>
        <v>Haiti</v>
      </c>
      <c r="AQ23" s="23">
        <f>+P23*3+Q23*1+BT23+CN23+S23/1000+T23/10000</f>
        <v>0.99609999999999999</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1</v>
      </c>
      <c r="BA23" s="29">
        <f>+COUNTIFS($AX$1:AX23,AX23,$AZ$1:AZ23,AZ23)</f>
        <v>1</v>
      </c>
      <c r="BB23" s="29">
        <f>+IF(AZ23=BF19,ROW()*0.001,AZ23)</f>
        <v>1</v>
      </c>
      <c r="BC23" s="29">
        <f>+COUNTIFS($AX$1:AZ23,AZ23,$AZ$1:BB23,BB23)</f>
        <v>3</v>
      </c>
      <c r="BD23" s="29"/>
      <c r="BE23" s="25" t="str">
        <f>+IF(OR(BF23="-",BI23="-",BF19=0),"-","OK")</f>
        <v>-</v>
      </c>
      <c r="BF23" s="57" t="str">
        <f>+IF(_xlfn.XLOOKUP($E23,$AY:$AY,$AZ:$AZ,"-",0)=BF19,$E23,"-")</f>
        <v>-</v>
      </c>
      <c r="BG23" s="58">
        <f t="shared" si="83"/>
        <v>3</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3</v>
      </c>
      <c r="CB23" s="59">
        <f t="shared" si="86"/>
        <v>0</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1</v>
      </c>
      <c r="G24" s="43">
        <v>1</v>
      </c>
      <c r="H24" s="44" t="s">
        <v>59</v>
      </c>
      <c r="J24" s="24" t="str">
        <f t="shared" si="87"/>
        <v/>
      </c>
      <c r="K24" s="24" t="str">
        <f t="shared" si="88"/>
        <v>Escocia</v>
      </c>
      <c r="L24" s="24" t="str">
        <f t="shared" si="89"/>
        <v>Marruecos</v>
      </c>
      <c r="M24" s="24" t="str">
        <f t="shared" si="90"/>
        <v/>
      </c>
      <c r="O24" s="26" t="str">
        <f>+H22</f>
        <v>Escocia</v>
      </c>
      <c r="P24" s="24">
        <f>+COUNTIF(J21:J26,"="&amp;$O24)</f>
        <v>1</v>
      </c>
      <c r="Q24" s="24">
        <f>+COUNTIF(K21:L26,"="&amp;$O24)</f>
        <v>1</v>
      </c>
      <c r="R24" s="24">
        <f>+COUNTIF(M21:M26,"="&amp;$O24)</f>
        <v>1</v>
      </c>
      <c r="S24" s="24">
        <f t="shared" si="91"/>
        <v>-1</v>
      </c>
      <c r="T24" s="24">
        <f t="shared" ref="T24" si="122">+SUMIF(E21:E26,$O24,F21:F26)+SUMIF(H21:H26,$O24,G21:G26)</f>
        <v>2</v>
      </c>
      <c r="U24" s="24">
        <f t="shared" ref="U24" si="123">+SUMIF(E21:E26,$O24,G21:G26)+SUMIF(H21:H26,$O24,F21:F26)</f>
        <v>3</v>
      </c>
      <c r="V24" s="45">
        <f t="shared" si="94"/>
        <v>3.9992024000000002</v>
      </c>
      <c r="W24" s="26" t="str">
        <f t="shared" si="95"/>
        <v>Escocia</v>
      </c>
      <c r="Y24" s="74" t="str">
        <f>+CONCATENATE("4",RIGHT(E20,1))</f>
        <v>4C</v>
      </c>
      <c r="Z24" s="75" t="str">
        <f>+VLOOKUP(AL24,V21:W24,2,FALSE)</f>
        <v>Haiti</v>
      </c>
      <c r="AA24" s="76">
        <f t="shared" si="96"/>
        <v>3</v>
      </c>
      <c r="AB24" s="77">
        <f t="shared" si="82"/>
        <v>0</v>
      </c>
      <c r="AC24" s="77">
        <f t="shared" si="82"/>
        <v>1</v>
      </c>
      <c r="AD24" s="77">
        <f t="shared" si="82"/>
        <v>2</v>
      </c>
      <c r="AE24" s="77">
        <f t="shared" si="82"/>
        <v>-4</v>
      </c>
      <c r="AF24" s="77">
        <f t="shared" si="82"/>
        <v>1</v>
      </c>
      <c r="AG24" s="77">
        <f t="shared" si="82"/>
        <v>5</v>
      </c>
      <c r="AH24" s="78">
        <f>+VLOOKUP($Z24,$O$21:$V$24,COLUMN()-26,FALSE)</f>
        <v>0.9961023</v>
      </c>
      <c r="AI24" s="73"/>
      <c r="AL24" s="45">
        <f>+LARGE(V21:V24,4)</f>
        <v>0.9961023</v>
      </c>
      <c r="AM24" s="52">
        <f t="shared" si="97"/>
        <v>0</v>
      </c>
      <c r="AP24" s="53" t="str">
        <f>+O24</f>
        <v>Escocia</v>
      </c>
      <c r="AQ24" s="23">
        <f>+P24*3+Q24*1+BT24+CN24+S24/1000+T24/10000</f>
        <v>3.9992000000000001</v>
      </c>
      <c r="AS24" s="54">
        <f t="shared" si="98"/>
        <v>0</v>
      </c>
      <c r="AT24" s="54">
        <f>+IF(AND(AM25="si",OR(AR21=1,AR22=1,AR23=1)),1,0)</f>
        <v>0</v>
      </c>
      <c r="AU24" s="79" t="str">
        <f t="shared" si="99"/>
        <v>Escocia</v>
      </c>
      <c r="AV24" s="80"/>
      <c r="AX24" s="23" t="str">
        <f>+Y20</f>
        <v>Grupo C</v>
      </c>
      <c r="AY24" s="24" t="str">
        <f t="shared" si="100"/>
        <v>Escocia</v>
      </c>
      <c r="AZ24" s="29">
        <f t="shared" si="101"/>
        <v>4</v>
      </c>
      <c r="BA24" s="29">
        <f>+COUNTIFS($AX$1:AX24,AX24,$AZ$1:AZ24,AZ24)</f>
        <v>1</v>
      </c>
      <c r="BB24" s="29">
        <f>+IF(AZ24=BF19,ROW()*0.001,AZ24)</f>
        <v>4</v>
      </c>
      <c r="BC24" s="29">
        <f>+COUNTIFS($AX$1:AZ24,AZ24,$AZ$1:BB24,BB24)</f>
        <v>1</v>
      </c>
      <c r="BD24" s="29"/>
      <c r="BE24" s="25" t="str">
        <f>+IF(OR(BF24="-",BI24="-",BF19=0),"-","OK")</f>
        <v>-</v>
      </c>
      <c r="BF24" s="57" t="str">
        <f>+IF(_xlfn.XLOOKUP($E24,$AY:$AY,$AZ:$AZ,"-",0)=BF19,$E24,"-")</f>
        <v>-</v>
      </c>
      <c r="BG24" s="58">
        <f t="shared" si="83"/>
        <v>1</v>
      </c>
      <c r="BH24" s="59">
        <f t="shared" si="84"/>
        <v>1</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1</v>
      </c>
      <c r="CB24" s="59">
        <f t="shared" si="86"/>
        <v>1</v>
      </c>
      <c r="CC24" s="57" t="str">
        <f>+IF(_xlfn.XLOOKUP($H24,$AY:$AY,$AZ:$AZ,"-",0)=BZ19,$H24,"-")</f>
        <v>Marruecos</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0</v>
      </c>
      <c r="G25" s="43">
        <v>2</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0</v>
      </c>
      <c r="BH25" s="59">
        <f t="shared" si="84"/>
        <v>2</v>
      </c>
      <c r="BI25" s="57" t="str">
        <f>+IF(_xlfn.XLOOKUP($H25,$AY:$AY,$AZ:$AZ,"-",0)=BF19,$H25,"-")</f>
        <v>-</v>
      </c>
      <c r="BY25" s="25" t="str">
        <f t="shared" si="110"/>
        <v>-</v>
      </c>
      <c r="BZ25" s="57" t="str">
        <f>+IF(_xlfn.XLOOKUP($E25,$AY:$AY,$AZ:$AZ,"-",0)=BZ19,$E25,"-")</f>
        <v>-</v>
      </c>
      <c r="CA25" s="58">
        <f t="shared" si="85"/>
        <v>0</v>
      </c>
      <c r="CB25" s="59">
        <f t="shared" si="86"/>
        <v>2</v>
      </c>
      <c r="CC25" s="57" t="str">
        <f>+IF(_xlfn.XLOOKUP($H25,$AY:$AY,$AZ:$AZ,"-",0)=BZ19,$H25,"-")</f>
        <v>-</v>
      </c>
    </row>
    <row r="26" spans="1:102" x14ac:dyDescent="0.2">
      <c r="A26" s="38" t="s">
        <v>138</v>
      </c>
      <c r="B26" s="39">
        <v>46197</v>
      </c>
      <c r="C26" s="40"/>
      <c r="D26" s="41"/>
      <c r="E26" s="42" t="s">
        <v>59</v>
      </c>
      <c r="F26" s="43">
        <v>1</v>
      </c>
      <c r="G26" s="43">
        <v>1</v>
      </c>
      <c r="H26" s="44" t="s">
        <v>94</v>
      </c>
      <c r="J26" s="24" t="str">
        <f t="shared" si="87"/>
        <v/>
      </c>
      <c r="K26" s="24" t="str">
        <f t="shared" si="88"/>
        <v>Marruecos</v>
      </c>
      <c r="L26" s="24" t="str">
        <f t="shared" si="89"/>
        <v>Haiti</v>
      </c>
      <c r="M26" s="24" t="str">
        <f t="shared" si="90"/>
        <v/>
      </c>
      <c r="Y26" s="53" t="s">
        <v>124</v>
      </c>
      <c r="AR26" s="23">
        <f>+IF(AND(AM25="si",OR(AR21=1,AR22=1,AR23=1)),1,0)</f>
        <v>0</v>
      </c>
      <c r="BE26" s="25" t="str">
        <f>+IF(OR(BF26="-",BI26="-",BF19=0),"-","OK")</f>
        <v>-</v>
      </c>
      <c r="BF26" s="57" t="str">
        <f>+IF(_xlfn.XLOOKUP($E26,$AY:$AY,$AZ:$AZ,"-",0)=BF19,$E26,"-")</f>
        <v>-</v>
      </c>
      <c r="BG26" s="58">
        <f t="shared" si="83"/>
        <v>1</v>
      </c>
      <c r="BH26" s="59">
        <f t="shared" si="84"/>
        <v>1</v>
      </c>
      <c r="BI26" s="57" t="str">
        <f>+IF(_xlfn.XLOOKUP($H26,$AY:$AY,$AZ:$AZ,"-",0)=BF19,$H26,"-")</f>
        <v>-</v>
      </c>
      <c r="BY26" s="25" t="str">
        <f t="shared" si="110"/>
        <v>-</v>
      </c>
      <c r="BZ26" s="57" t="str">
        <f>+IF(_xlfn.XLOOKUP($E26,$AY:$AY,$AZ:$AZ,"-",0)=BZ19,$E26,"-")</f>
        <v>Marruecos</v>
      </c>
      <c r="CA26" s="58">
        <f t="shared" si="85"/>
        <v>1</v>
      </c>
      <c r="CB26" s="59">
        <f t="shared" si="86"/>
        <v>1</v>
      </c>
      <c r="CC26" s="57" t="str">
        <f>+IF(_xlfn.XLOOKUP($H26,$AY:$AY,$AZ:$AZ,"-",0)=BZ19,$H26,"-")</f>
        <v>-</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t="str">
        <f>+IF(BA30&gt;1,AZ30,IF(BA31&gt;1,AZ31,IF(BA32&gt;1,AZ32,IF(BA33&gt;1,AZ33,"-"))))</f>
        <v>-</v>
      </c>
      <c r="BW28" s="23">
        <v>10</v>
      </c>
      <c r="BZ28" s="29">
        <f>+IF(BC30&gt;1,BB30,IF(BC31&gt;1,BB31,IF(BC32&gt;1,BB32,IF(BC33&gt;1,BB33,"-"))))</f>
        <v>6</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0" t="s">
        <v>139</v>
      </c>
      <c r="Z29" s="491"/>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1</v>
      </c>
      <c r="G30" s="43">
        <v>2</v>
      </c>
      <c r="H30" s="44" t="s">
        <v>71</v>
      </c>
      <c r="J30" s="24" t="str">
        <f>IF(OR(ISBLANK(F30),ISBLANK(G30)),"",IF(F30&gt;G30,E30,IF(G30&gt;F30,H30,"")))</f>
        <v>Paraguay</v>
      </c>
      <c r="K30" s="24" t="str">
        <f>IF(OR(ISBLANK(F30),ISBLANK(G30)),"",IF(F30=G30,E30,""))</f>
        <v/>
      </c>
      <c r="L30" s="24" t="str">
        <f>IF(OR(ISBLANK(F30),ISBLANK(G30)),"",IF(F30=G30,H30,""))</f>
        <v/>
      </c>
      <c r="M30" s="24" t="str">
        <f>IF(OR(ISBLANK(F30),ISBLANK(G30)),"",IF(F30&lt;G30,E30,IF(G30&lt;F30,H30,"")))</f>
        <v>Estados Unidos</v>
      </c>
      <c r="O30" s="26" t="str">
        <f>+E30</f>
        <v>Estados Unidos</v>
      </c>
      <c r="P30" s="24">
        <f>+COUNTIF(J30:J35,"="&amp;$O30)</f>
        <v>2</v>
      </c>
      <c r="Q30" s="24">
        <f>+COUNTIF(K30:L35,"="&amp;$O30)</f>
        <v>0</v>
      </c>
      <c r="R30" s="24">
        <f>+COUNTIF(M30:M35,"="&amp;$O30)</f>
        <v>1</v>
      </c>
      <c r="S30" s="24">
        <f>+T30-U30</f>
        <v>1</v>
      </c>
      <c r="T30" s="24">
        <f t="shared" ref="T30" si="124">+SUMIF(E30:E35,$O30,F30:F35)+SUMIF(H30:H35,$O30,G30:G35)</f>
        <v>5</v>
      </c>
      <c r="U30" s="24">
        <f t="shared" ref="U30" si="125">+SUMIF(E30:E35,$O30,G30:G35)+SUMIF(H30:H35,$O30,F30:F35)</f>
        <v>4</v>
      </c>
      <c r="V30" s="45">
        <f>+P30*3+Q30*1+BT30+CN30+S30/1000+T30/10000+AV30/1000000+ROW()/10000000</f>
        <v>6.0015030000000005</v>
      </c>
      <c r="W30" s="26" t="str">
        <f>+O30</f>
        <v>Estados Unidos</v>
      </c>
      <c r="Y30" s="46" t="str">
        <f>+CONCATENATE("1",RIGHT(E29,1))</f>
        <v>1D</v>
      </c>
      <c r="Z30" s="47" t="str">
        <f>+VLOOKUP(AL30,V30:W33,2,FALSE)</f>
        <v>Paraguay</v>
      </c>
      <c r="AA30" s="48">
        <f>+SUM(AB30:AD30)</f>
        <v>3</v>
      </c>
      <c r="AB30" s="49">
        <f t="shared" ref="AB30:AG33" si="126">+VLOOKUP($Z30,$O$30:$U$33,COLUMN()-26,FALSE)</f>
        <v>3</v>
      </c>
      <c r="AC30" s="49">
        <f t="shared" si="126"/>
        <v>0</v>
      </c>
      <c r="AD30" s="49">
        <f t="shared" si="126"/>
        <v>0</v>
      </c>
      <c r="AE30" s="49">
        <f t="shared" si="126"/>
        <v>3</v>
      </c>
      <c r="AF30" s="49">
        <f t="shared" si="126"/>
        <v>4</v>
      </c>
      <c r="AG30" s="49">
        <f t="shared" si="126"/>
        <v>1</v>
      </c>
      <c r="AH30" s="50">
        <f>+VLOOKUP($Z30,$O$30:$V$33,COLUMN()-26,FALSE)</f>
        <v>9.0034031000000017</v>
      </c>
      <c r="AI30" s="51"/>
      <c r="AL30" s="45">
        <f>+LARGE(V30:V33,1)</f>
        <v>9.0034031000000017</v>
      </c>
      <c r="AM30" s="52">
        <f>+(AH30-AL30)*100000000000000000000</f>
        <v>0</v>
      </c>
      <c r="AP30" s="53" t="str">
        <f>+O30</f>
        <v>Estados Unidos</v>
      </c>
      <c r="AQ30" s="23">
        <f>+P30*3+Q30*1+BT30+CN30+S30/1000+T30/10000</f>
        <v>6.0015000000000001</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6</v>
      </c>
      <c r="BA30" s="29">
        <f>+COUNTIFS($AX$1:AX30,AX30,$AZ$1:AZ30,AZ30)</f>
        <v>1</v>
      </c>
      <c r="BB30" s="29">
        <f>+IF(AZ30=BF28,ROW()*0.001,AZ30)</f>
        <v>6</v>
      </c>
      <c r="BC30" s="29">
        <f>+COUNTIFS($AX$1:AZ30,AZ30,$AZ$1:BB30,BB30)</f>
        <v>2</v>
      </c>
      <c r="BD30" s="29"/>
      <c r="BE30" s="25" t="str">
        <f>+IF(OR(BF30="-",BI30="-",BF28=0),"-","OK")</f>
        <v>-</v>
      </c>
      <c r="BF30" s="57" t="str">
        <f>+IF(_xlfn.XLOOKUP($E30,$AY:$AY,$AZ:$AZ,"-",0)=BF28,$E30,"-")</f>
        <v>-</v>
      </c>
      <c r="BG30" s="58">
        <f t="shared" ref="BG30:BG35" si="127">+$F30</f>
        <v>1</v>
      </c>
      <c r="BH30" s="59">
        <f t="shared" ref="BH30:BH35" si="128">+$G30</f>
        <v>2</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Estados Unidos</v>
      </c>
      <c r="CA30" s="58">
        <f t="shared" ref="CA30:CA35" si="129">+$F30</f>
        <v>1</v>
      </c>
      <c r="CB30" s="59">
        <f t="shared" ref="CB30:CB35" si="130">+$G30</f>
        <v>2</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2</v>
      </c>
      <c r="G31" s="43">
        <v>0</v>
      </c>
      <c r="H31" s="44" t="s">
        <v>66</v>
      </c>
      <c r="J31" s="24" t="str">
        <f t="shared" ref="J31:J35" si="131">IF(OR(ISBLANK(F31),ISBLANK(G31)),"",IF(F31&gt;G31,E31,IF(G31&gt;F31,H31,"")))</f>
        <v>Australia</v>
      </c>
      <c r="K31" s="24" t="str">
        <f t="shared" ref="K31:K35" si="132">IF(OR(ISBLANK(F31),ISBLANK(G31)),"",IF(F31=G31,E31,""))</f>
        <v/>
      </c>
      <c r="L31" s="24" t="str">
        <f t="shared" ref="L31:L35" si="133">IF(OR(ISBLANK(F31),ISBLANK(G31)),"",IF(F31=G31,H31,""))</f>
        <v/>
      </c>
      <c r="M31" s="24" t="str">
        <f t="shared" ref="M31:M35" si="134">IF(OR(ISBLANK(F31),ISBLANK(G31)),"",IF(F31&lt;G31,E31,IF(G31&lt;F31,H31,"")))</f>
        <v>Turquia</v>
      </c>
      <c r="O31" s="26" t="str">
        <f>+H30</f>
        <v>Paraguay</v>
      </c>
      <c r="P31" s="24">
        <f>+COUNTIF(J30:J35,"="&amp;$O31)</f>
        <v>3</v>
      </c>
      <c r="Q31" s="24">
        <f>+COUNTIF(K30:L35,"="&amp;$O31)</f>
        <v>0</v>
      </c>
      <c r="R31" s="24">
        <f>+COUNTIF(M30:M35,"="&amp;$O31)</f>
        <v>0</v>
      </c>
      <c r="S31" s="24">
        <f t="shared" ref="S31:S33" si="135">+T31-U31</f>
        <v>3</v>
      </c>
      <c r="T31" s="24">
        <f t="shared" ref="T31" si="136">+SUMIF(E30:E35,$O31,F30:F35)+SUMIF(H30:H35,$O31,G30:G35)</f>
        <v>4</v>
      </c>
      <c r="U31" s="24">
        <f t="shared" ref="U31" si="137">+SUMIF(E30:E35,$O31,G30:G35)+SUMIF(H30:H35,$O31,F30:F35)</f>
        <v>1</v>
      </c>
      <c r="V31" s="45">
        <f t="shared" ref="V31:V33" si="138">+P31*3+Q31*1+BT31+CN31+S31/1000+T31/10000+AV31/1000000+ROW()/10000000</f>
        <v>9.0034031000000017</v>
      </c>
      <c r="W31" s="26" t="str">
        <f t="shared" ref="W31:W33" si="139">+O31</f>
        <v>Paraguay</v>
      </c>
      <c r="Y31" s="61" t="str">
        <f>+CONCATENATE("2",RIGHT(E29,1))</f>
        <v>2D</v>
      </c>
      <c r="Z31" s="62" t="str">
        <f>+VLOOKUP(AL31,V30:W33,2,FALSE)</f>
        <v>Estados Unidos</v>
      </c>
      <c r="AA31" s="63">
        <f t="shared" ref="AA31:AA33" si="140">+SUM(AB31:AD31)</f>
        <v>3</v>
      </c>
      <c r="AB31" s="64">
        <f t="shared" si="126"/>
        <v>2</v>
      </c>
      <c r="AC31" s="64">
        <f t="shared" si="126"/>
        <v>0</v>
      </c>
      <c r="AD31" s="64">
        <f t="shared" si="126"/>
        <v>1</v>
      </c>
      <c r="AE31" s="64">
        <f t="shared" si="126"/>
        <v>1</v>
      </c>
      <c r="AF31" s="64">
        <f t="shared" si="126"/>
        <v>5</v>
      </c>
      <c r="AG31" s="64">
        <f t="shared" si="126"/>
        <v>4</v>
      </c>
      <c r="AH31" s="65">
        <f>+VLOOKUP($Z31,$O$30:$V$33,COLUMN()-26,FALSE)</f>
        <v>6.0015030000000005</v>
      </c>
      <c r="AI31" s="51"/>
      <c r="AL31" s="45">
        <f>+LARGE(V30:V33,2)</f>
        <v>6.0015030000000005</v>
      </c>
      <c r="AM31" s="52">
        <f t="shared" ref="AM31:AM33" si="141">+(AH31-AL31)*100000000000000000000</f>
        <v>0</v>
      </c>
      <c r="AP31" s="53" t="str">
        <f>+O31</f>
        <v>Paraguay</v>
      </c>
      <c r="AQ31" s="23">
        <f>+P31*3+Q31*1+BT31+CN31+S31/1000+T31/10000</f>
        <v>9.003400000000001</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9</v>
      </c>
      <c r="BA31" s="29">
        <f>+COUNTIFS($AX$1:AX31,AX31,$AZ$1:AZ31,AZ31)</f>
        <v>1</v>
      </c>
      <c r="BB31" s="29">
        <f>+IF(AZ31=BF28,ROW()*0.001,AZ31)</f>
        <v>9</v>
      </c>
      <c r="BC31" s="29">
        <f>+COUNTIFS($AX$1:AZ31,AZ31,$AZ$1:BB31,BB31)</f>
        <v>2</v>
      </c>
      <c r="BD31" s="29"/>
      <c r="BE31" s="25" t="str">
        <f>+IF(OR(BF31="-",BI31="-",BF28=0),"-","OK")</f>
        <v>-</v>
      </c>
      <c r="BF31" s="57" t="str">
        <f>+IF(_xlfn.XLOOKUP($E31,$AY:$AY,$AZ:$AZ,"-",0)=BF28,$E31,"-")</f>
        <v>-</v>
      </c>
      <c r="BG31" s="58">
        <f t="shared" si="127"/>
        <v>2</v>
      </c>
      <c r="BH31" s="59">
        <f t="shared" si="128"/>
        <v>0</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2</v>
      </c>
      <c r="CB31" s="59">
        <f t="shared" si="130"/>
        <v>0</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0</v>
      </c>
      <c r="G32" s="43">
        <v>1</v>
      </c>
      <c r="H32" s="44" t="s">
        <v>71</v>
      </c>
      <c r="J32" s="24" t="str">
        <f t="shared" si="131"/>
        <v>Paraguay</v>
      </c>
      <c r="K32" s="24" t="str">
        <f t="shared" si="132"/>
        <v/>
      </c>
      <c r="L32" s="24" t="str">
        <f t="shared" si="133"/>
        <v/>
      </c>
      <c r="M32" s="24" t="str">
        <f t="shared" si="134"/>
        <v>Turquia</v>
      </c>
      <c r="O32" s="26" t="str">
        <f>+E31</f>
        <v>Australia</v>
      </c>
      <c r="P32" s="24">
        <f>+COUNTIF(J30:J35,"="&amp;$O32)</f>
        <v>1</v>
      </c>
      <c r="Q32" s="24">
        <f>+COUNTIF(K30:L35,"="&amp;$O32)</f>
        <v>0</v>
      </c>
      <c r="R32" s="24">
        <f>+COUNTIF(M30:M35,"="&amp;$O32)</f>
        <v>2</v>
      </c>
      <c r="S32" s="24">
        <f t="shared" si="135"/>
        <v>0</v>
      </c>
      <c r="T32" s="24">
        <f t="shared" ref="T32" si="164">+SUMIF(E30:E35,$O32,F30:F35)+SUMIF(H30:H35,$O32,G30:G35)</f>
        <v>3</v>
      </c>
      <c r="U32" s="24">
        <f t="shared" ref="U32" si="165">+SUMIF(E30:E35,$O32,G30:G35)+SUMIF(H30:H35,$O32,F30:F35)</f>
        <v>3</v>
      </c>
      <c r="V32" s="45">
        <f t="shared" si="138"/>
        <v>3.0003032000000003</v>
      </c>
      <c r="W32" s="26" t="str">
        <f t="shared" si="139"/>
        <v>Australia</v>
      </c>
      <c r="Y32" s="68" t="str">
        <f>+CONCATENATE("3",RIGHT(E29,1))</f>
        <v>3D</v>
      </c>
      <c r="Z32" s="69" t="str">
        <f>+VLOOKUP(AL32,V30:W33,2,FALSE)</f>
        <v>Australia</v>
      </c>
      <c r="AA32" s="70">
        <f t="shared" si="140"/>
        <v>3</v>
      </c>
      <c r="AB32" s="71">
        <f t="shared" si="126"/>
        <v>1</v>
      </c>
      <c r="AC32" s="71">
        <f t="shared" si="126"/>
        <v>0</v>
      </c>
      <c r="AD32" s="71">
        <f t="shared" si="126"/>
        <v>2</v>
      </c>
      <c r="AE32" s="71">
        <f t="shared" si="126"/>
        <v>0</v>
      </c>
      <c r="AF32" s="71">
        <f t="shared" si="126"/>
        <v>3</v>
      </c>
      <c r="AG32" s="71">
        <f t="shared" si="126"/>
        <v>3</v>
      </c>
      <c r="AH32" s="72">
        <f>+VLOOKUP($Z32,$O$30:$V$33,COLUMN()-26,FALSE)</f>
        <v>3.0003032000000003</v>
      </c>
      <c r="AI32" s="73">
        <f>+(COUNTIFS($CV$2:$CV$13,Z32,$CX$2:$CX$13,"IN")+COUNTIFS($CV$2:$CV$13,Z32,$CW$2:$CW$13,"IN"))*IF(SUM(AA30:AA33)=12,1,0)</f>
        <v>1</v>
      </c>
      <c r="AL32" s="45">
        <f>+LARGE(V30:V33,3)</f>
        <v>3.0003032000000003</v>
      </c>
      <c r="AM32" s="52">
        <f t="shared" si="141"/>
        <v>0</v>
      </c>
      <c r="AP32" s="53" t="str">
        <f>+O32</f>
        <v>Australia</v>
      </c>
      <c r="AQ32" s="23">
        <f>+P32*3+Q32*1+BT32+CN32+S32/1000+T32/10000</f>
        <v>3.0003000000000002</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3</v>
      </c>
      <c r="BA32" s="29">
        <f>+COUNTIFS($AX$1:AX32,AX32,$AZ$1:AZ32,AZ32)</f>
        <v>1</v>
      </c>
      <c r="BB32" s="29">
        <f>+IF(AZ32=BF28,ROW()*0.001,AZ32)</f>
        <v>3</v>
      </c>
      <c r="BC32" s="29">
        <f>+COUNTIFS($AX$1:AZ32,AZ32,$AZ$1:BB32,BB32)</f>
        <v>1</v>
      </c>
      <c r="BD32" s="29"/>
      <c r="BE32" s="25" t="str">
        <f>+IF(OR(BF32="-",BI32="-",BF28=0),"-","OK")</f>
        <v>-</v>
      </c>
      <c r="BF32" s="57" t="str">
        <f>+IF(_xlfn.XLOOKUP($E32,$AY:$AY,$AZ:$AZ,"-",0)=BF28,$E32,"-")</f>
        <v>-</v>
      </c>
      <c r="BG32" s="58">
        <f t="shared" si="127"/>
        <v>0</v>
      </c>
      <c r="BH32" s="59">
        <f t="shared" si="128"/>
        <v>1</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0</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2</v>
      </c>
      <c r="G33" s="43">
        <v>1</v>
      </c>
      <c r="H33" s="44" t="s">
        <v>73</v>
      </c>
      <c r="J33" s="24" t="str">
        <f t="shared" si="131"/>
        <v>Estados Unidos</v>
      </c>
      <c r="K33" s="24" t="str">
        <f t="shared" si="132"/>
        <v/>
      </c>
      <c r="L33" s="24" t="str">
        <f t="shared" si="133"/>
        <v/>
      </c>
      <c r="M33" s="24" t="str">
        <f t="shared" si="134"/>
        <v>Australia</v>
      </c>
      <c r="O33" s="26" t="str">
        <f>+H31</f>
        <v>Turquia</v>
      </c>
      <c r="P33" s="24">
        <f>+COUNTIF(J30:J35,"="&amp;$O33)</f>
        <v>0</v>
      </c>
      <c r="Q33" s="24">
        <f>+COUNTIF(K30:L35,"="&amp;$O33)</f>
        <v>0</v>
      </c>
      <c r="R33" s="24">
        <f>+COUNTIF(M30:M35,"="&amp;$O33)</f>
        <v>3</v>
      </c>
      <c r="S33" s="24">
        <f t="shared" si="135"/>
        <v>-4</v>
      </c>
      <c r="T33" s="24">
        <f t="shared" ref="T33" si="166">+SUMIF(E30:E35,$O33,F30:F35)+SUMIF(H30:H35,$O33,G30:G35)</f>
        <v>1</v>
      </c>
      <c r="U33" s="24">
        <f t="shared" ref="U33" si="167">+SUMIF(E30:E35,$O33,G30:G35)+SUMIF(H30:H35,$O33,F30:F35)</f>
        <v>5</v>
      </c>
      <c r="V33" s="45">
        <f t="shared" si="138"/>
        <v>-3.8967000000000003E-3</v>
      </c>
      <c r="W33" s="26" t="str">
        <f t="shared" si="139"/>
        <v>Turquia</v>
      </c>
      <c r="Y33" s="74" t="str">
        <f>+CONCATENATE("4",RIGHT(E29,1))</f>
        <v>4D</v>
      </c>
      <c r="Z33" s="75" t="str">
        <f>+VLOOKUP(AL33,V30:W33,2,FALSE)</f>
        <v>Turquia</v>
      </c>
      <c r="AA33" s="76">
        <f t="shared" si="140"/>
        <v>3</v>
      </c>
      <c r="AB33" s="77">
        <f t="shared" si="126"/>
        <v>0</v>
      </c>
      <c r="AC33" s="77">
        <f t="shared" si="126"/>
        <v>0</v>
      </c>
      <c r="AD33" s="77">
        <f t="shared" si="126"/>
        <v>3</v>
      </c>
      <c r="AE33" s="77">
        <f t="shared" si="126"/>
        <v>-4</v>
      </c>
      <c r="AF33" s="77">
        <f t="shared" si="126"/>
        <v>1</v>
      </c>
      <c r="AG33" s="77">
        <f t="shared" si="126"/>
        <v>5</v>
      </c>
      <c r="AH33" s="78">
        <f>+VLOOKUP($Z33,$O$30:$V$33,COLUMN()-26,FALSE)</f>
        <v>-3.8967000000000003E-3</v>
      </c>
      <c r="AI33" s="73"/>
      <c r="AL33" s="45">
        <f>+LARGE(V30:V33,4)</f>
        <v>-3.8967000000000003E-3</v>
      </c>
      <c r="AM33" s="52">
        <f t="shared" si="141"/>
        <v>0</v>
      </c>
      <c r="AP33" s="53" t="str">
        <f>+O33</f>
        <v>Turquia</v>
      </c>
      <c r="AQ33" s="23">
        <f>+P33*3+Q33*1+BT33+CN33+S33/1000+T33/10000</f>
        <v>-3.9000000000000003E-3</v>
      </c>
      <c r="AS33" s="54">
        <f t="shared" si="142"/>
        <v>0</v>
      </c>
      <c r="AT33" s="54">
        <f>+IF(AND(AM34="si",OR(AR30=1,AR31=1,AR32=1)),1,0)</f>
        <v>0</v>
      </c>
      <c r="AU33" s="79" t="str">
        <f t="shared" si="143"/>
        <v>Turquia</v>
      </c>
      <c r="AV33" s="80"/>
      <c r="AX33" s="23" t="str">
        <f>+Y29</f>
        <v>Grupo D</v>
      </c>
      <c r="AY33" s="24" t="str">
        <f t="shared" si="144"/>
        <v>Turquia</v>
      </c>
      <c r="AZ33" s="29">
        <f t="shared" si="145"/>
        <v>0</v>
      </c>
      <c r="BA33" s="29">
        <f>+COUNTIFS($AX$1:AX33,AX33,$AZ$1:AZ33,AZ33)</f>
        <v>1</v>
      </c>
      <c r="BB33" s="29">
        <f>+IF(AZ33=BF28,ROW()*0.001,AZ33)</f>
        <v>0</v>
      </c>
      <c r="BC33" s="29">
        <f>+COUNTIFS($AX$1:AZ33,AZ33,$AZ$1:BB33,BB33)</f>
        <v>1</v>
      </c>
      <c r="BD33" s="29"/>
      <c r="BE33" s="25" t="str">
        <f>+IF(OR(BF33="-",BI33="-",BF28=0),"-","OK")</f>
        <v>-</v>
      </c>
      <c r="BF33" s="57" t="str">
        <f>+IF(_xlfn.XLOOKUP($E33,$AY:$AY,$AZ:$AZ,"-",0)=BF28,$E33,"-")</f>
        <v>-</v>
      </c>
      <c r="BG33" s="58">
        <f t="shared" si="127"/>
        <v>2</v>
      </c>
      <c r="BH33" s="59">
        <f t="shared" si="128"/>
        <v>1</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Estados Unidos</v>
      </c>
      <c r="CA33" s="58">
        <f t="shared" si="129"/>
        <v>2</v>
      </c>
      <c r="CB33" s="59">
        <f t="shared" si="130"/>
        <v>1</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1</v>
      </c>
      <c r="G34" s="43">
        <v>2</v>
      </c>
      <c r="H34" s="44" t="s">
        <v>63</v>
      </c>
      <c r="J34" s="24" t="str">
        <f t="shared" si="131"/>
        <v>Estados Unidos</v>
      </c>
      <c r="K34" s="24" t="str">
        <f t="shared" si="132"/>
        <v/>
      </c>
      <c r="L34" s="24" t="str">
        <f t="shared" si="133"/>
        <v/>
      </c>
      <c r="M34" s="24" t="str">
        <f t="shared" si="134"/>
        <v>Turquia</v>
      </c>
      <c r="AL34" s="25" t="s">
        <v>122</v>
      </c>
      <c r="AM34" s="52" t="str">
        <f>+IF(SUM(AA30:AA33)=12,"si","no")</f>
        <v>si</v>
      </c>
      <c r="BE34" s="25" t="str">
        <f>+IF(OR(BF34="-",BI34="-",BF28=0),"-","OK")</f>
        <v>-</v>
      </c>
      <c r="BF34" s="57" t="str">
        <f>+IF(_xlfn.XLOOKUP($E34,$AY:$AY,$AZ:$AZ,"-",0)=BF28,$E34,"-")</f>
        <v>-</v>
      </c>
      <c r="BG34" s="58">
        <f t="shared" si="127"/>
        <v>1</v>
      </c>
      <c r="BH34" s="59">
        <f t="shared" si="128"/>
        <v>2</v>
      </c>
      <c r="BI34" s="57" t="str">
        <f>+IF(_xlfn.XLOOKUP($H34,$AY:$AY,$AZ:$AZ,"-",0)=BF28,$H34,"-")</f>
        <v>-</v>
      </c>
      <c r="BY34" s="25" t="str">
        <f t="shared" si="154"/>
        <v>-</v>
      </c>
      <c r="BZ34" s="57" t="str">
        <f>+IF(_xlfn.XLOOKUP($E34,$AY:$AY,$AZ:$AZ,"-",0)=BZ28,$E34,"-")</f>
        <v>-</v>
      </c>
      <c r="CA34" s="58">
        <f t="shared" si="129"/>
        <v>1</v>
      </c>
      <c r="CB34" s="59">
        <f t="shared" si="130"/>
        <v>2</v>
      </c>
      <c r="CC34" s="57" t="str">
        <f>+IF(_xlfn.XLOOKUP($H34,$AY:$AY,$AZ:$AZ,"-",0)=BZ28,$H34,"-")</f>
        <v>Estados Unidos</v>
      </c>
    </row>
    <row r="35" spans="1:102" x14ac:dyDescent="0.2">
      <c r="A35" s="38" t="s">
        <v>145</v>
      </c>
      <c r="B35" s="39">
        <v>46198</v>
      </c>
      <c r="C35" s="40"/>
      <c r="D35" s="41"/>
      <c r="E35" s="42" t="s">
        <v>71</v>
      </c>
      <c r="F35" s="43">
        <v>1</v>
      </c>
      <c r="G35" s="43">
        <v>0</v>
      </c>
      <c r="H35" s="44" t="s">
        <v>73</v>
      </c>
      <c r="J35" s="24" t="str">
        <f t="shared" si="131"/>
        <v>Paraguay</v>
      </c>
      <c r="K35" s="24" t="str">
        <f t="shared" si="132"/>
        <v/>
      </c>
      <c r="L35" s="24" t="str">
        <f t="shared" si="133"/>
        <v/>
      </c>
      <c r="M35" s="24" t="str">
        <f t="shared" si="134"/>
        <v>Australia</v>
      </c>
      <c r="Y35" s="53" t="s">
        <v>124</v>
      </c>
      <c r="AR35" s="23">
        <f>+IF(AND(AM34="si",OR(AR30=1,AR31=1,AR32=1)),1,0)</f>
        <v>0</v>
      </c>
      <c r="BE35" s="25" t="str">
        <f>+IF(OR(BF35="-",BI35="-",BF28=0),"-","OK")</f>
        <v>-</v>
      </c>
      <c r="BF35" s="57" t="str">
        <f>+IF(_xlfn.XLOOKUP($E35,$AY:$AY,$AZ:$AZ,"-",0)=BF28,$E35,"-")</f>
        <v>-</v>
      </c>
      <c r="BG35" s="58">
        <f t="shared" si="127"/>
        <v>1</v>
      </c>
      <c r="BH35" s="59">
        <f t="shared" si="128"/>
        <v>0</v>
      </c>
      <c r="BI35" s="57" t="str">
        <f>+IF(_xlfn.XLOOKUP($H35,$AY:$AY,$AZ:$AZ,"-",0)=BF28,$H35,"-")</f>
        <v>-</v>
      </c>
      <c r="BY35" s="25" t="str">
        <f t="shared" si="154"/>
        <v>-</v>
      </c>
      <c r="BZ35" s="57" t="str">
        <f>+IF(_xlfn.XLOOKUP($E35,$AY:$AY,$AZ:$AZ,"-",0)=BZ28,$E35,"-")</f>
        <v>-</v>
      </c>
      <c r="CA35" s="58">
        <f t="shared" si="129"/>
        <v>1</v>
      </c>
      <c r="CB35" s="59">
        <f t="shared" si="130"/>
        <v>0</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t="str">
        <f>+IF(BA39&gt;1,AZ39,IF(BA40&gt;1,AZ40,IF(BA41&gt;1,AZ41,IF(BA42&gt;1,AZ42,"-"))))</f>
        <v>-</v>
      </c>
      <c r="BW37" s="23">
        <v>10</v>
      </c>
      <c r="BZ37" s="29">
        <f>+IF(BC39&gt;1,BB39,IF(BC40&gt;1,BB40,IF(BC41&gt;1,BB41,IF(BC42&gt;1,BB42,"-"))))</f>
        <v>9</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2" t="s">
        <v>146</v>
      </c>
      <c r="Z38" s="493"/>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2</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6</v>
      </c>
      <c r="T39" s="24">
        <f t="shared" ref="T39" si="168">+SUMIF(E39:E44,$O39,F39:F44)+SUMIF(H39:H44,$O39,G39:G44)</f>
        <v>6</v>
      </c>
      <c r="U39" s="24">
        <f t="shared" ref="U39" si="169">+SUMIF(E39:E44,$O39,G39:G44)+SUMIF(H39:H44,$O39,F39:F44)</f>
        <v>0</v>
      </c>
      <c r="V39" s="45">
        <f>+P39*3+Q39*1+BT39+CN39+S39/1000+T39/10000+AV39/1000000+ROW()/10000000</f>
        <v>9.0066039</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6</v>
      </c>
      <c r="AF39" s="49">
        <f t="shared" si="170"/>
        <v>6</v>
      </c>
      <c r="AG39" s="49">
        <f t="shared" si="170"/>
        <v>0</v>
      </c>
      <c r="AH39" s="50">
        <f>+VLOOKUP($Z39,$O$39:$V$42,COLUMN()-26,FALSE)</f>
        <v>9.0066039</v>
      </c>
      <c r="AI39" s="51"/>
      <c r="AL39" s="45">
        <f>+LARGE(V39:V42,1)</f>
        <v>9.0066039</v>
      </c>
      <c r="AM39" s="52">
        <f>+(AH39-AL39)*100000000000000000000</f>
        <v>0</v>
      </c>
      <c r="AP39" s="53" t="str">
        <f>+O39</f>
        <v>Alemania</v>
      </c>
      <c r="AQ39" s="23">
        <f>+P39*3+Q39*1+BT39+CN39+S39/1000+T39/10000</f>
        <v>9.0066000000000006</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3</v>
      </c>
      <c r="BD39" s="29"/>
      <c r="BE39" s="25" t="str">
        <f>+IF(OR(BF39="-",BI39="-",BF37=0),"-","OK")</f>
        <v>-</v>
      </c>
      <c r="BF39" s="57" t="str">
        <f>+IF(_xlfn.XLOOKUP($E39,$AY:$AY,$AZ:$AZ,"-",0)=BF37,$E39,"-")</f>
        <v>-</v>
      </c>
      <c r="BG39" s="58">
        <f t="shared" ref="BG39:BG44" si="171">+$F39</f>
        <v>2</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Alemania</v>
      </c>
      <c r="CA39" s="58">
        <f t="shared" ref="CA39:CA44" si="173">+$F39</f>
        <v>2</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0</v>
      </c>
      <c r="G40" s="43">
        <v>1</v>
      </c>
      <c r="H40" s="44" t="s">
        <v>67</v>
      </c>
      <c r="J40" s="24" t="str">
        <f t="shared" ref="J40:J44" si="175">IF(OR(ISBLANK(F40),ISBLANK(G40)),"",IF(F40&gt;G40,E40,IF(G40&gt;F40,H40,"")))</f>
        <v>Ecuador</v>
      </c>
      <c r="K40" s="24" t="str">
        <f t="shared" ref="K40:K44" si="176">IF(OR(ISBLANK(F40),ISBLANK(G40)),"",IF(F40=G40,E40,""))</f>
        <v/>
      </c>
      <c r="L40" s="24" t="str">
        <f t="shared" ref="L40:L44" si="177">IF(OR(ISBLANK(F40),ISBLANK(G40)),"",IF(F40=G40,H40,""))</f>
        <v/>
      </c>
      <c r="M40" s="24" t="str">
        <f t="shared" ref="M40:M44" si="178">IF(OR(ISBLANK(F40),ISBLANK(G40)),"",IF(F40&lt;G40,E40,IF(G40&lt;F40,H40,"")))</f>
        <v>Costa de Marfil</v>
      </c>
      <c r="O40" s="26" t="str">
        <f>+H39</f>
        <v>Curazao</v>
      </c>
      <c r="P40" s="24">
        <f>+COUNTIF(J39:J44,"="&amp;$O40)</f>
        <v>0</v>
      </c>
      <c r="Q40" s="24">
        <f>+COUNTIF(K39:L44,"="&amp;$O40)</f>
        <v>2</v>
      </c>
      <c r="R40" s="24">
        <f>+COUNTIF(M39:M44,"="&amp;$O40)</f>
        <v>1</v>
      </c>
      <c r="S40" s="24">
        <f t="shared" ref="S40:S42" si="179">+T40-U40</f>
        <v>-2</v>
      </c>
      <c r="T40" s="24">
        <f t="shared" ref="T40" si="180">+SUMIF(E39:E44,$O40,F39:F44)+SUMIF(H39:H44,$O40,G39:G44)</f>
        <v>2</v>
      </c>
      <c r="U40" s="24">
        <f t="shared" ref="U40" si="181">+SUMIF(E39:E44,$O40,G39:G44)+SUMIF(H39:H44,$O40,F39:F44)</f>
        <v>4</v>
      </c>
      <c r="V40" s="45">
        <f t="shared" ref="V40:V42" si="182">+P40*3+Q40*1+BT40+CN40+S40/1000+T40/10000+AV40/1000000+ROW()/10000000</f>
        <v>1.9982039999999999</v>
      </c>
      <c r="W40" s="26" t="str">
        <f t="shared" ref="W40:W42" si="183">+O40</f>
        <v>Curazao</v>
      </c>
      <c r="Y40" s="61" t="str">
        <f>+CONCATENATE("2",RIGHT(E38,1))</f>
        <v>2E</v>
      </c>
      <c r="Z40" s="62" t="str">
        <f>+VLOOKUP(AL40,V39:W42,2,FALSE)</f>
        <v>Ecuador</v>
      </c>
      <c r="AA40" s="63">
        <f t="shared" ref="AA40:AA42" si="184">+SUM(AB40:AD40)</f>
        <v>3</v>
      </c>
      <c r="AB40" s="64">
        <f t="shared" si="170"/>
        <v>1</v>
      </c>
      <c r="AC40" s="64">
        <f t="shared" si="170"/>
        <v>1</v>
      </c>
      <c r="AD40" s="64">
        <f t="shared" si="170"/>
        <v>1</v>
      </c>
      <c r="AE40" s="64">
        <f t="shared" si="170"/>
        <v>-1</v>
      </c>
      <c r="AF40" s="64">
        <f t="shared" si="170"/>
        <v>2</v>
      </c>
      <c r="AG40" s="64">
        <f t="shared" si="170"/>
        <v>3</v>
      </c>
      <c r="AH40" s="65">
        <f>+VLOOKUP($Z40,$O$39:$V$42,COLUMN()-26,FALSE)</f>
        <v>3.9992041999999999</v>
      </c>
      <c r="AI40" s="51"/>
      <c r="AL40" s="45">
        <f>+LARGE(V39:V42,2)</f>
        <v>3.9992041999999999</v>
      </c>
      <c r="AM40" s="52">
        <f t="shared" ref="AM40:AM42" si="185">+(AH40-AL40)*100000000000000000000</f>
        <v>0</v>
      </c>
      <c r="AP40" s="53" t="str">
        <f>+O40</f>
        <v>Curazao</v>
      </c>
      <c r="AQ40" s="23">
        <f>+P40*3+Q40*1+BT40+CN40+S40/1000+T40/10000</f>
        <v>1.9982</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2</v>
      </c>
      <c r="BA40" s="29">
        <f>+COUNTIFS($AX$1:AX40,AX40,$AZ$1:AZ40,AZ40)</f>
        <v>1</v>
      </c>
      <c r="BB40" s="29">
        <f>+IF(AZ40=BF37,ROW()*0.001,AZ40)</f>
        <v>2</v>
      </c>
      <c r="BC40" s="29">
        <f>+COUNTIFS($AX$1:AZ40,AZ40,$AZ$1:BB40,BB40)</f>
        <v>3</v>
      </c>
      <c r="BD40" s="29"/>
      <c r="BE40" s="25" t="str">
        <f>+IF(OR(BF40="-",BI40="-",BF37=0),"-","OK")</f>
        <v>-</v>
      </c>
      <c r="BF40" s="57" t="str">
        <f>+IF(_xlfn.XLOOKUP($E40,$AY:$AY,$AZ:$AZ,"-",0)=BF37,$E40,"-")</f>
        <v>-</v>
      </c>
      <c r="BG40" s="58">
        <f t="shared" si="171"/>
        <v>0</v>
      </c>
      <c r="BH40" s="59">
        <f t="shared" si="172"/>
        <v>1</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0</v>
      </c>
      <c r="CB40" s="59">
        <f t="shared" si="174"/>
        <v>1</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2</v>
      </c>
      <c r="G41" s="43">
        <v>0</v>
      </c>
      <c r="H41" s="44" t="s">
        <v>78</v>
      </c>
      <c r="J41" s="24" t="str">
        <f t="shared" si="175"/>
        <v>Alemania</v>
      </c>
      <c r="K41" s="24" t="str">
        <f t="shared" si="176"/>
        <v/>
      </c>
      <c r="L41" s="24" t="str">
        <f t="shared" si="177"/>
        <v/>
      </c>
      <c r="M41" s="24" t="str">
        <f t="shared" si="178"/>
        <v>Costa de Marfil</v>
      </c>
      <c r="O41" s="26" t="str">
        <f>+E40</f>
        <v>Costa de Marfil</v>
      </c>
      <c r="P41" s="24">
        <f>+COUNTIF(J39:J44,"="&amp;$O41)</f>
        <v>0</v>
      </c>
      <c r="Q41" s="24">
        <f>+COUNTIF(K39:L44,"="&amp;$O41)</f>
        <v>1</v>
      </c>
      <c r="R41" s="24">
        <f>+COUNTIF(M39:M44,"="&amp;$O41)</f>
        <v>2</v>
      </c>
      <c r="S41" s="24">
        <f t="shared" si="179"/>
        <v>-3</v>
      </c>
      <c r="T41" s="24">
        <f t="shared" ref="T41" si="208">+SUMIF(E39:E44,$O41,F39:F44)+SUMIF(H39:H44,$O41,G39:G44)</f>
        <v>1</v>
      </c>
      <c r="U41" s="24">
        <f t="shared" ref="U41" si="209">+SUMIF(E39:E44,$O41,G39:G44)+SUMIF(H39:H44,$O41,F39:F44)</f>
        <v>4</v>
      </c>
      <c r="V41" s="45">
        <f t="shared" si="182"/>
        <v>0.99710409999999994</v>
      </c>
      <c r="W41" s="26" t="str">
        <f t="shared" si="183"/>
        <v>Costa de Marfil</v>
      </c>
      <c r="Y41" s="68" t="str">
        <f>+CONCATENATE("3",RIGHT(E38,1))</f>
        <v>3E</v>
      </c>
      <c r="Z41" s="69" t="str">
        <f>+VLOOKUP(AL41,V39:W42,2,FALSE)</f>
        <v>Curazao</v>
      </c>
      <c r="AA41" s="70">
        <f t="shared" si="184"/>
        <v>3</v>
      </c>
      <c r="AB41" s="71">
        <f t="shared" si="170"/>
        <v>0</v>
      </c>
      <c r="AC41" s="71">
        <f t="shared" si="170"/>
        <v>2</v>
      </c>
      <c r="AD41" s="71">
        <f t="shared" si="170"/>
        <v>1</v>
      </c>
      <c r="AE41" s="71">
        <f t="shared" si="170"/>
        <v>-2</v>
      </c>
      <c r="AF41" s="71">
        <f t="shared" si="170"/>
        <v>2</v>
      </c>
      <c r="AG41" s="71">
        <f t="shared" si="170"/>
        <v>4</v>
      </c>
      <c r="AH41" s="72">
        <f>+VLOOKUP($Z41,$O$39:$V$42,COLUMN()-26,FALSE)</f>
        <v>1.9982039999999999</v>
      </c>
      <c r="AI41" s="73">
        <f>+(COUNTIFS($CV$2:$CV$13,Z41,$CX$2:$CX$13,"IN")+COUNTIFS($CV$2:$CV$13,Z41,$CW$2:$CW$13,"IN"))*IF(SUM(AA39:AA42)=12,1,0)</f>
        <v>0</v>
      </c>
      <c r="AL41" s="45">
        <f>+LARGE(V39:V42,3)</f>
        <v>1.9982039999999999</v>
      </c>
      <c r="AM41" s="52">
        <f t="shared" si="185"/>
        <v>0</v>
      </c>
      <c r="AP41" s="53" t="str">
        <f>+O41</f>
        <v>Costa de Marfil</v>
      </c>
      <c r="AQ41" s="23">
        <f>+P41*3+Q41*1+BT41+CN41+S41/1000+T41/10000</f>
        <v>0.99709999999999999</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1</v>
      </c>
      <c r="BA41" s="29">
        <f>+COUNTIFS($AX$1:AX41,AX41,$AZ$1:AZ41,AZ41)</f>
        <v>1</v>
      </c>
      <c r="BB41" s="29">
        <f>+IF(AZ41=BF37,ROW()*0.001,AZ41)</f>
        <v>1</v>
      </c>
      <c r="BC41" s="29">
        <f>+COUNTIFS($AX$1:AZ41,AZ41,$AZ$1:BB41,BB41)</f>
        <v>4</v>
      </c>
      <c r="BD41" s="29"/>
      <c r="BE41" s="25" t="str">
        <f>+IF(OR(BF41="-",BI41="-",BF37=0),"-","OK")</f>
        <v>-</v>
      </c>
      <c r="BF41" s="57" t="str">
        <f>+IF(_xlfn.XLOOKUP($E41,$AY:$AY,$AZ:$AZ,"-",0)=BF37,$E41,"-")</f>
        <v>-</v>
      </c>
      <c r="BG41" s="58">
        <f t="shared" si="171"/>
        <v>2</v>
      </c>
      <c r="BH41" s="59">
        <f t="shared" si="172"/>
        <v>0</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Alemania</v>
      </c>
      <c r="CA41" s="58">
        <f t="shared" si="173"/>
        <v>2</v>
      </c>
      <c r="CB41" s="59">
        <f t="shared" si="174"/>
        <v>0</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1</v>
      </c>
      <c r="G42" s="43">
        <v>1</v>
      </c>
      <c r="H42" s="44" t="s">
        <v>93</v>
      </c>
      <c r="J42" s="24" t="str">
        <f t="shared" si="175"/>
        <v/>
      </c>
      <c r="K42" s="24" t="str">
        <f t="shared" si="176"/>
        <v>Ecuador</v>
      </c>
      <c r="L42" s="24" t="str">
        <f t="shared" si="177"/>
        <v>Curazao</v>
      </c>
      <c r="M42" s="24" t="str">
        <f t="shared" si="178"/>
        <v/>
      </c>
      <c r="O42" s="26" t="str">
        <f>+H40</f>
        <v>Ecuador</v>
      </c>
      <c r="P42" s="24">
        <f>+COUNTIF(J39:J44,"="&amp;$O42)</f>
        <v>1</v>
      </c>
      <c r="Q42" s="24">
        <f>+COUNTIF(K39:L44,"="&amp;$O42)</f>
        <v>1</v>
      </c>
      <c r="R42" s="24">
        <f>+COUNTIF(M39:M44,"="&amp;$O42)</f>
        <v>1</v>
      </c>
      <c r="S42" s="24">
        <f t="shared" si="179"/>
        <v>-1</v>
      </c>
      <c r="T42" s="24">
        <f t="shared" ref="T42" si="210">+SUMIF(E39:E44,$O42,F39:F44)+SUMIF(H39:H44,$O42,G39:G44)</f>
        <v>2</v>
      </c>
      <c r="U42" s="24">
        <f t="shared" ref="U42" si="211">+SUMIF(E39:E44,$O42,G39:G44)+SUMIF(H39:H44,$O42,F39:F44)</f>
        <v>3</v>
      </c>
      <c r="V42" s="45">
        <f t="shared" si="182"/>
        <v>3.9992041999999999</v>
      </c>
      <c r="W42" s="26" t="str">
        <f t="shared" si="183"/>
        <v>Ecuador</v>
      </c>
      <c r="Y42" s="74" t="str">
        <f>+CONCATENATE("4",RIGHT(E38,1))</f>
        <v>4E</v>
      </c>
      <c r="Z42" s="75" t="str">
        <f>+VLOOKUP(AL42,V39:W42,2,FALSE)</f>
        <v>Costa de Marfil</v>
      </c>
      <c r="AA42" s="76">
        <f t="shared" si="184"/>
        <v>3</v>
      </c>
      <c r="AB42" s="77">
        <f t="shared" si="170"/>
        <v>0</v>
      </c>
      <c r="AC42" s="77">
        <f t="shared" si="170"/>
        <v>1</v>
      </c>
      <c r="AD42" s="77">
        <f t="shared" si="170"/>
        <v>2</v>
      </c>
      <c r="AE42" s="77">
        <f t="shared" si="170"/>
        <v>-3</v>
      </c>
      <c r="AF42" s="77">
        <f t="shared" si="170"/>
        <v>1</v>
      </c>
      <c r="AG42" s="77">
        <f t="shared" si="170"/>
        <v>4</v>
      </c>
      <c r="AH42" s="78">
        <f>+VLOOKUP($Z42,$O$39:$V$42,COLUMN()-26,FALSE)</f>
        <v>0.99710409999999994</v>
      </c>
      <c r="AI42" s="73"/>
      <c r="AL42" s="45">
        <f>+LARGE(V39:V42,4)</f>
        <v>0.99710409999999994</v>
      </c>
      <c r="AM42" s="52">
        <f t="shared" si="185"/>
        <v>0</v>
      </c>
      <c r="AP42" s="53" t="str">
        <f>+O42</f>
        <v>Ecuador</v>
      </c>
      <c r="AQ42" s="23">
        <f>+P42*3+Q42*1+BT42+CN42+S42/1000+T42/10000</f>
        <v>3.9992000000000001</v>
      </c>
      <c r="AS42" s="54">
        <f t="shared" si="186"/>
        <v>0</v>
      </c>
      <c r="AT42" s="54">
        <f>+IF(AND(AM43="si",OR(AR39=1,AR40=1,AR41=1)),1,0)</f>
        <v>0</v>
      </c>
      <c r="AU42" s="79" t="str">
        <f t="shared" si="187"/>
        <v>Ecuador</v>
      </c>
      <c r="AV42" s="80"/>
      <c r="AX42" s="23" t="str">
        <f>+Y38</f>
        <v>Grupo E</v>
      </c>
      <c r="AY42" s="24" t="str">
        <f t="shared" si="188"/>
        <v>Ecuador</v>
      </c>
      <c r="AZ42" s="29">
        <f t="shared" si="189"/>
        <v>4</v>
      </c>
      <c r="BA42" s="29">
        <f>+COUNTIFS($AX$1:AX42,AX42,$AZ$1:AZ42,AZ42)</f>
        <v>1</v>
      </c>
      <c r="BB42" s="29">
        <f>+IF(AZ42=BF37,ROW()*0.001,AZ42)</f>
        <v>4</v>
      </c>
      <c r="BC42" s="29">
        <f>+COUNTIFS($AX$1:AZ42,AZ42,$AZ$1:BB42,BB42)</f>
        <v>2</v>
      </c>
      <c r="BD42" s="29"/>
      <c r="BE42" s="25" t="str">
        <f>+IF(OR(BF42="-",BI42="-",BF37=0),"-","OK")</f>
        <v>-</v>
      </c>
      <c r="BF42" s="57" t="str">
        <f>+IF(_xlfn.XLOOKUP($E42,$AY:$AY,$AZ:$AZ,"-",0)=BF37,$E42,"-")</f>
        <v>-</v>
      </c>
      <c r="BG42" s="58">
        <f t="shared" si="171"/>
        <v>1</v>
      </c>
      <c r="BH42" s="59">
        <f t="shared" si="172"/>
        <v>1</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1</v>
      </c>
      <c r="CB42" s="59">
        <f t="shared" si="174"/>
        <v>1</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0</v>
      </c>
      <c r="G43" s="43">
        <v>2</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v>
      </c>
      <c r="BG43" s="58">
        <f t="shared" si="171"/>
        <v>0</v>
      </c>
      <c r="BH43" s="59">
        <f t="shared" si="172"/>
        <v>2</v>
      </c>
      <c r="BI43" s="57" t="str">
        <f>+IF(_xlfn.XLOOKUP($H43,$AY:$AY,$AZ:$AZ,"-",0)=BF37,$H43,"-")</f>
        <v>-</v>
      </c>
      <c r="BY43" s="25" t="str">
        <f t="shared" si="198"/>
        <v>-</v>
      </c>
      <c r="BZ43" s="57" t="str">
        <f>+IF(_xlfn.XLOOKUP($E43,$AY:$AY,$AZ:$AZ,"-",0)=BZ37,$E43,"-")</f>
        <v>-</v>
      </c>
      <c r="CA43" s="58">
        <f t="shared" si="173"/>
        <v>0</v>
      </c>
      <c r="CB43" s="59">
        <f t="shared" si="174"/>
        <v>2</v>
      </c>
      <c r="CC43" s="57" t="str">
        <f>+IF(_xlfn.XLOOKUP($H43,$AY:$AY,$AZ:$AZ,"-",0)=BZ37,$H43,"-")</f>
        <v>Alemania</v>
      </c>
    </row>
    <row r="44" spans="1:102" x14ac:dyDescent="0.2">
      <c r="A44" s="38" t="s">
        <v>152</v>
      </c>
      <c r="B44" s="39">
        <v>46198</v>
      </c>
      <c r="C44" s="40"/>
      <c r="D44" s="41"/>
      <c r="E44" s="42" t="s">
        <v>93</v>
      </c>
      <c r="F44" s="43">
        <v>1</v>
      </c>
      <c r="G44" s="43">
        <v>1</v>
      </c>
      <c r="H44" s="44" t="s">
        <v>78</v>
      </c>
      <c r="J44" s="24" t="str">
        <f t="shared" si="175"/>
        <v/>
      </c>
      <c r="K44" s="24" t="str">
        <f t="shared" si="176"/>
        <v>Curazao</v>
      </c>
      <c r="L44" s="24" t="str">
        <f t="shared" si="177"/>
        <v>Costa de Marfil</v>
      </c>
      <c r="M44" s="24" t="str">
        <f t="shared" si="178"/>
        <v/>
      </c>
      <c r="Y44" s="53" t="s">
        <v>124</v>
      </c>
      <c r="AR44" s="23">
        <f>+IF(AND(AM43="si",OR(AR39=1,AR40=1,AR41=1)),1,0)</f>
        <v>0</v>
      </c>
      <c r="BE44" s="25" t="str">
        <f>+IF(OR(BF44="-",BI44="-",BF37=0),"-","OK")</f>
        <v>-</v>
      </c>
      <c r="BF44" s="57" t="str">
        <f>+IF(_xlfn.XLOOKUP($E44,$AY:$AY,$AZ:$AZ,"-",0)=BF37,$E44,"-")</f>
        <v>-</v>
      </c>
      <c r="BG44" s="58">
        <f t="shared" si="171"/>
        <v>1</v>
      </c>
      <c r="BH44" s="59">
        <f t="shared" si="172"/>
        <v>1</v>
      </c>
      <c r="BI44" s="57" t="str">
        <f>+IF(_xlfn.XLOOKUP($H44,$AY:$AY,$AZ:$AZ,"-",0)=BF37,$H44,"-")</f>
        <v>-</v>
      </c>
      <c r="BY44" s="25" t="str">
        <f t="shared" si="198"/>
        <v>-</v>
      </c>
      <c r="BZ44" s="57" t="str">
        <f>+IF(_xlfn.XLOOKUP($E44,$AY:$AY,$AZ:$AZ,"-",0)=BZ37,$E44,"-")</f>
        <v>-</v>
      </c>
      <c r="CA44" s="58">
        <f t="shared" si="173"/>
        <v>1</v>
      </c>
      <c r="CB44" s="59">
        <f t="shared" si="174"/>
        <v>1</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f>+IF(BA48&gt;1,AZ48,IF(BA49&gt;1,AZ49,IF(BA50&gt;1,AZ50,IF(BA51&gt;1,AZ51,"-"))))</f>
        <v>2</v>
      </c>
      <c r="BW46" s="23">
        <v>10</v>
      </c>
      <c r="BZ46" s="29">
        <f>+IF(BC48&gt;1,BB48,IF(BC49&gt;1,BB49,IF(BC50&gt;1,BB50,IF(BC51&gt;1,BB51,"-"))))</f>
        <v>7</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4" t="s">
        <v>153</v>
      </c>
      <c r="Z47" s="495"/>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0</v>
      </c>
      <c r="G48" s="43">
        <v>1</v>
      </c>
      <c r="H48" s="44" t="s">
        <v>64</v>
      </c>
      <c r="J48" s="24" t="str">
        <f>IF(OR(ISBLANK(F48),ISBLANK(G48)),"",IF(F48&gt;G48,E48,IF(G48&gt;F48,H48,"")))</f>
        <v>Japon</v>
      </c>
      <c r="K48" s="24" t="str">
        <f>IF(OR(ISBLANK(F48),ISBLANK(G48)),"",IF(F48=G48,E48,""))</f>
        <v/>
      </c>
      <c r="L48" s="24" t="str">
        <f>IF(OR(ISBLANK(F48),ISBLANK(G48)),"",IF(F48=G48,H48,""))</f>
        <v/>
      </c>
      <c r="M48" s="24" t="str">
        <f>IF(OR(ISBLANK(F48),ISBLANK(G48)),"",IF(F48&lt;G48,E48,IF(G48&lt;F48,H48,"")))</f>
        <v>Paises Bajos</v>
      </c>
      <c r="O48" s="26" t="str">
        <f>+E48</f>
        <v>Paises Bajos</v>
      </c>
      <c r="P48" s="24">
        <f>+COUNTIF(J48:J53,"="&amp;$O48)</f>
        <v>0</v>
      </c>
      <c r="Q48" s="24">
        <f>+COUNTIF(K48:L53,"="&amp;$O48)</f>
        <v>2</v>
      </c>
      <c r="R48" s="24">
        <f>+COUNTIF(M48:M53,"="&amp;$O48)</f>
        <v>1</v>
      </c>
      <c r="S48" s="24">
        <f>+T48-U48</f>
        <v>-1</v>
      </c>
      <c r="T48" s="24">
        <f t="shared" ref="T48" si="212">+SUMIF(E48:E53,$O48,F48:F53)+SUMIF(H48:H53,$O48,G48:G53)</f>
        <v>2</v>
      </c>
      <c r="U48" s="24">
        <f t="shared" ref="U48" si="213">+SUMIF(E48:E53,$O48,G48:G53)+SUMIF(H48:H53,$O48,F48:F53)</f>
        <v>3</v>
      </c>
      <c r="V48" s="45">
        <f>+P48*3+Q48*1+BT48+CN48+S48/1000+T48/10000+AV48/1000000+ROW()/10000000</f>
        <v>2.2992088000000002</v>
      </c>
      <c r="W48" s="26" t="str">
        <f>+O48</f>
        <v>Paises Bajos</v>
      </c>
      <c r="Y48" s="46" t="str">
        <f>+CONCATENATE("1",RIGHT(E47,1))</f>
        <v>1F</v>
      </c>
      <c r="Z48" s="47" t="str">
        <f>+VLOOKUP(AL48,V48:W51,2,FALSE)</f>
        <v>Japon</v>
      </c>
      <c r="AA48" s="48">
        <f>+SUM(AB48:AD48)</f>
        <v>3</v>
      </c>
      <c r="AB48" s="49">
        <f t="shared" ref="AB48:AG51" si="214">+VLOOKUP($Z48,$O$48:$U$51,COLUMN()-26,FALSE)</f>
        <v>2</v>
      </c>
      <c r="AC48" s="49">
        <f t="shared" si="214"/>
        <v>1</v>
      </c>
      <c r="AD48" s="49">
        <f t="shared" si="214"/>
        <v>0</v>
      </c>
      <c r="AE48" s="49">
        <f t="shared" si="214"/>
        <v>2</v>
      </c>
      <c r="AF48" s="49">
        <f t="shared" si="214"/>
        <v>3</v>
      </c>
      <c r="AG48" s="49">
        <f t="shared" si="214"/>
        <v>1</v>
      </c>
      <c r="AH48" s="50">
        <f>+VLOOKUP($Z48,$O$48:$V$51,COLUMN()-26,FALSE)</f>
        <v>7.0023049000000004</v>
      </c>
      <c r="AI48" s="51"/>
      <c r="AL48" s="45">
        <f>+LARGE(V48:V51,1)</f>
        <v>7.0023049000000004</v>
      </c>
      <c r="AM48" s="52">
        <f>+(AH48-AL48)*100000000000000000000</f>
        <v>0</v>
      </c>
      <c r="AP48" s="53" t="str">
        <f>+O48</f>
        <v>Paises Bajos</v>
      </c>
      <c r="AQ48" s="23">
        <f>+P48*3+Q48*1+BT48+CN48+S48/1000+T48/10000</f>
        <v>2.2991999999999999</v>
      </c>
      <c r="AR48" s="23">
        <f>+IF(OR(AQ48=AQ49,AQ48=AQ50,AQ48=AQ51),1)</f>
        <v>1</v>
      </c>
      <c r="AS48" s="54">
        <f>+AV48</f>
        <v>4</v>
      </c>
      <c r="AT48" s="54">
        <f>+IF(AND(AM52="si",OR(AR48=1,AR49=1,AR50=1)),1,0)</f>
        <v>1</v>
      </c>
      <c r="AU48" s="55" t="str">
        <f>+O48</f>
        <v>Paises Bajos</v>
      </c>
      <c r="AV48" s="56">
        <v>4</v>
      </c>
      <c r="AX48" s="23" t="str">
        <f>+Y47</f>
        <v>Grupo F</v>
      </c>
      <c r="AY48" s="24" t="str">
        <f>+O48</f>
        <v>Paises Bajos</v>
      </c>
      <c r="AZ48" s="29">
        <f>+P48*3+Q48</f>
        <v>2</v>
      </c>
      <c r="BA48" s="29">
        <f>+COUNTIFS($AX$1:AX48,AX48,$AZ$1:AZ48,AZ48)</f>
        <v>1</v>
      </c>
      <c r="BB48" s="29">
        <f>+IF(AZ48=BF46,ROW()*0.001,AZ48)</f>
        <v>4.8000000000000001E-2</v>
      </c>
      <c r="BC48" s="29">
        <f>+COUNTIFS($AX$1:AZ48,AZ48,$AZ$1:BB48,BB48)</f>
        <v>1</v>
      </c>
      <c r="BD48" s="29"/>
      <c r="BE48" s="25" t="str">
        <f>+IF(OR(BF48="-",BI48="-",BF46=0),"-","OK")</f>
        <v>-</v>
      </c>
      <c r="BF48" s="57" t="str">
        <f>+IF(_xlfn.XLOOKUP($E48,$AY:$AY,$AZ:$AZ,"-",0)=BF46,$E48,"-")</f>
        <v>Paises Bajos</v>
      </c>
      <c r="BG48" s="58">
        <f t="shared" ref="BG48:BG53" si="215">+$F48</f>
        <v>0</v>
      </c>
      <c r="BH48" s="59">
        <f t="shared" ref="BH48:BH53" si="216">+$G48</f>
        <v>1</v>
      </c>
      <c r="BI48" s="57" t="str">
        <f>+IF(_xlfn.XLOOKUP($H48,$AY:$AY,$AZ:$AZ,"-",0)=BF46,$H48,"-")</f>
        <v>-</v>
      </c>
      <c r="BK48" s="26" t="str">
        <f>+O48</f>
        <v>Paises Bajos</v>
      </c>
      <c r="BL48" s="26">
        <f>+COUNTIFS($BE:$BE,"OK",$BI:$BI,BK48)+COUNTIFS($BE:$BE,"OK",$BF:$BF,BK48)</f>
        <v>1</v>
      </c>
      <c r="BM48" s="24">
        <f>+COUNTIFS(J:J,$BK48,$BE:$BE,"OK")</f>
        <v>0</v>
      </c>
      <c r="BN48" s="24">
        <f>+COUNTIFS(K:K,$BK48,$BE:$BE,"OK")+COUNTIFS(L:L,$BK48,$BE:$BE,"OK")</f>
        <v>1</v>
      </c>
      <c r="BO48" s="24">
        <f>+COUNTIFS(M:M,$BK48,$BE:$BE,"OK")</f>
        <v>0</v>
      </c>
      <c r="BP48" s="24">
        <f>+BQ48-BR48</f>
        <v>0</v>
      </c>
      <c r="BQ48" s="24">
        <f>+SUMIFS(BG:BG,$BE:$BE,"OK",BF:BF,$BK48)+SUMIFS(BH:BH,$BE:$BE,"OK",BI:BI,$BK48)</f>
        <v>1</v>
      </c>
      <c r="BR48" s="24">
        <f>+SUMIFS(BH:BH,$BE:$BE,"OK",BF:BF,$BK48)+SUMIFS(BG:BG,$BE:$BE,"OK",BI:BI,$BK48)</f>
        <v>1</v>
      </c>
      <c r="BS48" s="60">
        <f>+BM48*3+BN48*1+BP48/100+BQ48/10000</f>
        <v>1.0001</v>
      </c>
      <c r="BT48" s="29">
        <f>+IF(BL48=0,0,_xlfn.XLOOKUP(BS48,BV48:BV51,BW48:BW51))</f>
        <v>0.3</v>
      </c>
      <c r="BU48" s="45"/>
      <c r="BV48" s="24">
        <f>+LARGE(BS48:BS51,1)</f>
        <v>1.0001</v>
      </c>
      <c r="BW48" s="24">
        <f>+BX48/$BW$1</f>
        <v>0.3</v>
      </c>
      <c r="BX48" s="23">
        <v>3</v>
      </c>
      <c r="BY48" s="25" t="str">
        <f>+IF(OR(BZ48="-",CC48="-"),"-","OK")</f>
        <v>-</v>
      </c>
      <c r="BZ48" s="57" t="str">
        <f>+IF(_xlfn.XLOOKUP($E48,$AY:$AY,$AZ:$AZ,"-",0)=BZ46,$E48,"-")</f>
        <v>-</v>
      </c>
      <c r="CA48" s="58">
        <f t="shared" ref="CA48:CA53" si="217">+$F48</f>
        <v>0</v>
      </c>
      <c r="CB48" s="59">
        <f t="shared" ref="CB48:CB53" si="218">+$G48</f>
        <v>1</v>
      </c>
      <c r="CC48" s="57" t="str">
        <f>+IF(_xlfn.XLOOKUP($H48,$AY:$AY,$AZ:$AZ,"-",0)=BZ46,$H48,"-")</f>
        <v>Japon</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1</v>
      </c>
      <c r="G49" s="43">
        <v>0</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2</v>
      </c>
      <c r="Q49" s="24">
        <f>+COUNTIF(K48:L53,"="&amp;$O49)</f>
        <v>1</v>
      </c>
      <c r="R49" s="24">
        <f>+COUNTIF(M48:M53,"="&amp;$O49)</f>
        <v>0</v>
      </c>
      <c r="S49" s="24">
        <f t="shared" ref="S49:S51" si="223">+T49-U49</f>
        <v>2</v>
      </c>
      <c r="T49" s="24">
        <f t="shared" ref="T49" si="224">+SUMIF(E48:E53,$O49,F48:F53)+SUMIF(H48:H53,$O49,G48:G53)</f>
        <v>3</v>
      </c>
      <c r="U49" s="24">
        <f t="shared" ref="U49" si="225">+SUMIF(E48:E53,$O49,G48:G53)+SUMIF(H48:H53,$O49,F48:F53)</f>
        <v>1</v>
      </c>
      <c r="V49" s="45">
        <f t="shared" ref="V49:V51" si="226">+P49*3+Q49*1+BT49+CN49+S49/1000+T49/10000+AV49/1000000+ROW()/10000000</f>
        <v>7.0023049000000004</v>
      </c>
      <c r="W49" s="26" t="str">
        <f t="shared" ref="W49:W51" si="227">+O49</f>
        <v>Japon</v>
      </c>
      <c r="Y49" s="61" t="str">
        <f>+CONCATENATE("2",RIGHT(E47,1))</f>
        <v>2F</v>
      </c>
      <c r="Z49" s="62" t="str">
        <f>+VLOOKUP(AL49,V48:W51,2,FALSE)</f>
        <v>Suecia</v>
      </c>
      <c r="AA49" s="63">
        <f t="shared" ref="AA49:AA51" si="228">+SUM(AB49:AD49)</f>
        <v>3</v>
      </c>
      <c r="AB49" s="64">
        <f t="shared" si="214"/>
        <v>1</v>
      </c>
      <c r="AC49" s="64">
        <f t="shared" si="214"/>
        <v>1</v>
      </c>
      <c r="AD49" s="64">
        <f t="shared" si="214"/>
        <v>1</v>
      </c>
      <c r="AE49" s="64">
        <f t="shared" si="214"/>
        <v>0</v>
      </c>
      <c r="AF49" s="64">
        <f t="shared" si="214"/>
        <v>2</v>
      </c>
      <c r="AG49" s="64">
        <f t="shared" si="214"/>
        <v>2</v>
      </c>
      <c r="AH49" s="65">
        <f>+VLOOKUP($Z49,$O$48:$V$51,COLUMN()-26,FALSE)</f>
        <v>4.0002050000000002</v>
      </c>
      <c r="AI49" s="51"/>
      <c r="AL49" s="45">
        <f>+LARGE(V48:V51,2)</f>
        <v>4.0002050000000002</v>
      </c>
      <c r="AM49" s="52">
        <f t="shared" ref="AM49:AM51" si="229">+(AH49-AL49)*100000000000000000000</f>
        <v>0</v>
      </c>
      <c r="AP49" s="53" t="str">
        <f>+O49</f>
        <v>Japon</v>
      </c>
      <c r="AQ49" s="23">
        <f>+P49*3+Q49*1+BT49+CN49+S49/1000+T49/10000</f>
        <v>7.0023</v>
      </c>
      <c r="AR49" s="23" t="b">
        <f>+IF(OR(AQ49=AQ50,AQ49=AQ51),1)</f>
        <v>0</v>
      </c>
      <c r="AS49" s="54">
        <f t="shared" ref="AS49:AS51" si="230">+AV49</f>
        <v>0</v>
      </c>
      <c r="AT49" s="54">
        <f>+IF(AND(AM52="si",OR(AR48=1,AR49=1,AR50=1)),1,0)</f>
        <v>1</v>
      </c>
      <c r="AU49" s="66" t="str">
        <f t="shared" ref="AU49:AU51" si="231">+O49</f>
        <v>Japon</v>
      </c>
      <c r="AV49" s="67"/>
      <c r="AX49" s="23" t="str">
        <f>+Y47</f>
        <v>Grupo F</v>
      </c>
      <c r="AY49" s="24" t="str">
        <f t="shared" ref="AY49:AY51" si="232">+O49</f>
        <v>Japon</v>
      </c>
      <c r="AZ49" s="29">
        <f t="shared" ref="AZ49:AZ51" si="233">+P49*3+Q49</f>
        <v>7</v>
      </c>
      <c r="BA49" s="29">
        <f>+COUNTIFS($AX$1:AX49,AX49,$AZ$1:AZ49,AZ49)</f>
        <v>1</v>
      </c>
      <c r="BB49" s="29">
        <f>+IF(AZ49=BF46,ROW()*0.001,AZ49)</f>
        <v>7</v>
      </c>
      <c r="BC49" s="29">
        <f>+COUNTIFS($AX$1:AZ49,AZ49,$AZ$1:BB49,BB49)</f>
        <v>3</v>
      </c>
      <c r="BD49" s="29"/>
      <c r="BE49" s="25" t="str">
        <f>+IF(OR(BF49="-",BI49="-",BF46=0),"-","OK")</f>
        <v>-</v>
      </c>
      <c r="BF49" s="57" t="str">
        <f>+IF(_xlfn.XLOOKUP($E49,$AY:$AY,$AZ:$AZ,"-",0)=BF46,$E49,"-")</f>
        <v>-</v>
      </c>
      <c r="BG49" s="58">
        <f t="shared" si="215"/>
        <v>1</v>
      </c>
      <c r="BH49" s="59">
        <f t="shared" si="216"/>
        <v>0</v>
      </c>
      <c r="BI49" s="57" t="str">
        <f>+IF(_xlfn.XLOOKUP($H49,$AY:$AY,$AZ:$AZ,"-",0)=BF46,$H49,"-")</f>
        <v>Tunez</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1.0001</v>
      </c>
      <c r="BW49" s="24">
        <f>+BX49/$BW$1</f>
        <v>0.2</v>
      </c>
      <c r="BX49" s="23">
        <v>2</v>
      </c>
      <c r="BY49" s="25" t="str">
        <f t="shared" ref="BY49:BY53" si="242">+IF(OR(BZ49="-",CC49="-"),"-","OK")</f>
        <v>-</v>
      </c>
      <c r="BZ49" s="57" t="str">
        <f>+IF(_xlfn.XLOOKUP($E49,$AY:$AY,$AZ:$AZ,"-",0)=BZ46,$E49,"-")</f>
        <v>-</v>
      </c>
      <c r="CA49" s="58">
        <f t="shared" si="217"/>
        <v>1</v>
      </c>
      <c r="CB49" s="59">
        <f t="shared" si="218"/>
        <v>0</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1</v>
      </c>
      <c r="G50" s="43">
        <v>1</v>
      </c>
      <c r="H50" s="44" t="s">
        <v>70</v>
      </c>
      <c r="J50" s="24" t="str">
        <f t="shared" si="219"/>
        <v/>
      </c>
      <c r="K50" s="24" t="str">
        <f t="shared" si="220"/>
        <v>Paises Bajos</v>
      </c>
      <c r="L50" s="24" t="str">
        <f t="shared" si="221"/>
        <v>Suecia</v>
      </c>
      <c r="M50" s="24" t="str">
        <f t="shared" si="222"/>
        <v/>
      </c>
      <c r="O50" s="26" t="str">
        <f>+E49</f>
        <v>Suecia</v>
      </c>
      <c r="P50" s="24">
        <f>+COUNTIF(J48:J53,"="&amp;$O50)</f>
        <v>1</v>
      </c>
      <c r="Q50" s="24">
        <f>+COUNTIF(K48:L53,"="&amp;$O50)</f>
        <v>1</v>
      </c>
      <c r="R50" s="24">
        <f>+COUNTIF(M48:M53,"="&amp;$O50)</f>
        <v>1</v>
      </c>
      <c r="S50" s="24">
        <f t="shared" si="223"/>
        <v>0</v>
      </c>
      <c r="T50" s="24">
        <f t="shared" ref="T50" si="252">+SUMIF(E48:E53,$O50,F48:F53)+SUMIF(H48:H53,$O50,G48:G53)</f>
        <v>2</v>
      </c>
      <c r="U50" s="24">
        <f t="shared" ref="U50" si="253">+SUMIF(E48:E53,$O50,G48:G53)+SUMIF(H48:H53,$O50,F48:F53)</f>
        <v>2</v>
      </c>
      <c r="V50" s="45">
        <f t="shared" si="226"/>
        <v>4.0002050000000002</v>
      </c>
      <c r="W50" s="26" t="str">
        <f t="shared" si="227"/>
        <v>Suecia</v>
      </c>
      <c r="Y50" s="68" t="str">
        <f>+CONCATENATE("3",RIGHT(E47,1))</f>
        <v>3F</v>
      </c>
      <c r="Z50" s="69" t="str">
        <f>+VLOOKUP(AL50,V48:W51,2,FALSE)</f>
        <v>Paises Bajos</v>
      </c>
      <c r="AA50" s="70">
        <f t="shared" si="228"/>
        <v>3</v>
      </c>
      <c r="AB50" s="71">
        <f t="shared" si="214"/>
        <v>0</v>
      </c>
      <c r="AC50" s="71">
        <f t="shared" si="214"/>
        <v>2</v>
      </c>
      <c r="AD50" s="71">
        <f t="shared" si="214"/>
        <v>1</v>
      </c>
      <c r="AE50" s="71">
        <f t="shared" si="214"/>
        <v>-1</v>
      </c>
      <c r="AF50" s="71">
        <f t="shared" si="214"/>
        <v>2</v>
      </c>
      <c r="AG50" s="71">
        <f t="shared" si="214"/>
        <v>3</v>
      </c>
      <c r="AH50" s="72">
        <f>+VLOOKUP($Z50,$O$48:$V$51,COLUMN()-26,FALSE)</f>
        <v>2.2992088000000002</v>
      </c>
      <c r="AI50" s="73">
        <f>+(COUNTIFS($CV$2:$CV$13,Z50,$CX$2:$CX$13,"IN")+COUNTIFS($CV$2:$CV$13,Z50,$CW$2:$CW$13,"IN"))*IF(SUM(AA48:AA51)=12,1,0)</f>
        <v>1</v>
      </c>
      <c r="AL50" s="45">
        <f>+LARGE(V48:V51,3)</f>
        <v>2.2992088000000002</v>
      </c>
      <c r="AM50" s="52">
        <f t="shared" si="229"/>
        <v>0</v>
      </c>
      <c r="AP50" s="53" t="str">
        <f>+O50</f>
        <v>Suecia</v>
      </c>
      <c r="AQ50" s="23">
        <f>+P50*3+Q50*1+BT50+CN50+S50/1000+T50/10000</f>
        <v>4.0002000000000004</v>
      </c>
      <c r="AR50" s="23" t="b">
        <f>+IF(OR(AQ50=AQ51),1)</f>
        <v>0</v>
      </c>
      <c r="AS50" s="54">
        <f t="shared" si="230"/>
        <v>0</v>
      </c>
      <c r="AT50" s="54">
        <f>+IF(AND(AM52="si",OR(AR48=1,AR49=1,AR50=1)),1,0)</f>
        <v>1</v>
      </c>
      <c r="AU50" s="66" t="str">
        <f t="shared" si="231"/>
        <v>Suecia</v>
      </c>
      <c r="AV50" s="67"/>
      <c r="AX50" s="23" t="str">
        <f>+Y47</f>
        <v>Grupo F</v>
      </c>
      <c r="AY50" s="24" t="str">
        <f t="shared" si="232"/>
        <v>Suecia</v>
      </c>
      <c r="AZ50" s="29">
        <f t="shared" si="233"/>
        <v>4</v>
      </c>
      <c r="BA50" s="29">
        <f>+COUNTIFS($AX$1:AX50,AX50,$AZ$1:AZ50,AZ50)</f>
        <v>1</v>
      </c>
      <c r="BB50" s="29">
        <f>+IF(AZ50=BF46,ROW()*0.001,AZ50)</f>
        <v>4</v>
      </c>
      <c r="BC50" s="29">
        <f>+COUNTIFS($AX$1:AZ50,AZ50,$AZ$1:BB50,BB50)</f>
        <v>3</v>
      </c>
      <c r="BD50" s="29"/>
      <c r="BE50" s="25" t="str">
        <f>+IF(OR(BF50="-",BI50="-",BF46=0),"-","OK")</f>
        <v>-</v>
      </c>
      <c r="BF50" s="57" t="str">
        <f>+IF(_xlfn.XLOOKUP($E50,$AY:$AY,$AZ:$AZ,"-",0)=BF46,$E50,"-")</f>
        <v>Paises Bajos</v>
      </c>
      <c r="BG50" s="58">
        <f t="shared" si="215"/>
        <v>1</v>
      </c>
      <c r="BH50" s="59">
        <f t="shared" si="216"/>
        <v>1</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v>
      </c>
      <c r="CA50" s="58">
        <f t="shared" si="217"/>
        <v>1</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1</v>
      </c>
      <c r="G51" s="43">
        <v>1</v>
      </c>
      <c r="H51" s="44" t="s">
        <v>64</v>
      </c>
      <c r="J51" s="24" t="str">
        <f t="shared" si="219"/>
        <v/>
      </c>
      <c r="K51" s="24" t="str">
        <f t="shared" si="220"/>
        <v>Tunez</v>
      </c>
      <c r="L51" s="24" t="str">
        <f t="shared" si="221"/>
        <v>Japon</v>
      </c>
      <c r="M51" s="24" t="str">
        <f t="shared" si="222"/>
        <v/>
      </c>
      <c r="O51" s="26" t="str">
        <f>+H49</f>
        <v>Tunez</v>
      </c>
      <c r="P51" s="24">
        <f>+COUNTIF(J48:J53,"="&amp;$O51)</f>
        <v>0</v>
      </c>
      <c r="Q51" s="24">
        <f>+COUNTIF(K48:L53,"="&amp;$O51)</f>
        <v>2</v>
      </c>
      <c r="R51" s="24">
        <f>+COUNTIF(M48:M53,"="&amp;$O51)</f>
        <v>1</v>
      </c>
      <c r="S51" s="24">
        <f t="shared" si="223"/>
        <v>-1</v>
      </c>
      <c r="T51" s="24">
        <f t="shared" ref="T51" si="254">+SUMIF(E48:E53,$O51,F48:F53)+SUMIF(H48:H53,$O51,G48:G53)</f>
        <v>2</v>
      </c>
      <c r="U51" s="24">
        <f t="shared" ref="U51" si="255">+SUMIF(E48:E53,$O51,G48:G53)+SUMIF(H48:H53,$O51,F48:F53)</f>
        <v>3</v>
      </c>
      <c r="V51" s="45">
        <f t="shared" si="226"/>
        <v>2.2992051</v>
      </c>
      <c r="W51" s="26" t="str">
        <f t="shared" si="227"/>
        <v>Tunez</v>
      </c>
      <c r="Y51" s="74" t="str">
        <f>+CONCATENATE("4",RIGHT(E47,1))</f>
        <v>4F</v>
      </c>
      <c r="Z51" s="75" t="str">
        <f>+VLOOKUP(AL51,V48:W51,2,FALSE)</f>
        <v>Tunez</v>
      </c>
      <c r="AA51" s="76">
        <f t="shared" si="228"/>
        <v>3</v>
      </c>
      <c r="AB51" s="77">
        <f t="shared" si="214"/>
        <v>0</v>
      </c>
      <c r="AC51" s="77">
        <f t="shared" si="214"/>
        <v>2</v>
      </c>
      <c r="AD51" s="77">
        <f t="shared" si="214"/>
        <v>1</v>
      </c>
      <c r="AE51" s="77">
        <f t="shared" si="214"/>
        <v>-1</v>
      </c>
      <c r="AF51" s="77">
        <f t="shared" si="214"/>
        <v>2</v>
      </c>
      <c r="AG51" s="77">
        <f t="shared" si="214"/>
        <v>3</v>
      </c>
      <c r="AH51" s="78">
        <f>+VLOOKUP($Z51,$O$48:$V$51,COLUMN()-26,FALSE)</f>
        <v>2.2992051</v>
      </c>
      <c r="AI51" s="73"/>
      <c r="AL51" s="45">
        <f>+LARGE(V48:V51,4)</f>
        <v>2.2992051</v>
      </c>
      <c r="AM51" s="52">
        <f t="shared" si="229"/>
        <v>0</v>
      </c>
      <c r="AP51" s="53" t="str">
        <f>+O51</f>
        <v>Tunez</v>
      </c>
      <c r="AQ51" s="23">
        <f>+P51*3+Q51*1+BT51+CN51+S51/1000+T51/10000</f>
        <v>2.2991999999999999</v>
      </c>
      <c r="AS51" s="54">
        <f t="shared" si="230"/>
        <v>0</v>
      </c>
      <c r="AT51" s="54">
        <f>+IF(AND(AM52="si",OR(AR48=1,AR49=1,AR50=1)),1,0)</f>
        <v>1</v>
      </c>
      <c r="AU51" s="79" t="str">
        <f t="shared" si="231"/>
        <v>Tunez</v>
      </c>
      <c r="AV51" s="80"/>
      <c r="AX51" s="23" t="str">
        <f>+Y47</f>
        <v>Grupo F</v>
      </c>
      <c r="AY51" s="24" t="str">
        <f t="shared" si="232"/>
        <v>Tunez</v>
      </c>
      <c r="AZ51" s="29">
        <f t="shared" si="233"/>
        <v>2</v>
      </c>
      <c r="BA51" s="29">
        <f>+COUNTIFS($AX$1:AX51,AX51,$AZ$1:AZ51,AZ51)</f>
        <v>2</v>
      </c>
      <c r="BB51" s="29">
        <f>+IF(AZ51=BF46,ROW()*0.001,AZ51)</f>
        <v>5.1000000000000004E-2</v>
      </c>
      <c r="BC51" s="29">
        <f>+COUNTIFS($AX$1:AZ51,AZ51,$AZ$1:BB51,BB51)</f>
        <v>1</v>
      </c>
      <c r="BD51" s="29"/>
      <c r="BE51" s="25" t="str">
        <f>+IF(OR(BF51="-",BI51="-",BF46=0),"-","OK")</f>
        <v>-</v>
      </c>
      <c r="BF51" s="57" t="str">
        <f>+IF(_xlfn.XLOOKUP($E51,$AY:$AY,$AZ:$AZ,"-",0)=BF46,$E51,"-")</f>
        <v>Tunez</v>
      </c>
      <c r="BG51" s="58">
        <f t="shared" si="215"/>
        <v>1</v>
      </c>
      <c r="BH51" s="59">
        <f t="shared" si="216"/>
        <v>1</v>
      </c>
      <c r="BI51" s="57" t="str">
        <f>+IF(_xlfn.XLOOKUP($H51,$AY:$AY,$AZ:$AZ,"-",0)=BF46,$H51,"-")</f>
        <v>-</v>
      </c>
      <c r="BK51" s="26" t="str">
        <f t="shared" si="234"/>
        <v>Tunez</v>
      </c>
      <c r="BL51" s="26">
        <f t="shared" si="235"/>
        <v>1</v>
      </c>
      <c r="BM51" s="24">
        <f t="shared" si="236"/>
        <v>0</v>
      </c>
      <c r="BN51" s="24">
        <f t="shared" si="237"/>
        <v>1</v>
      </c>
      <c r="BO51" s="24">
        <f t="shared" si="238"/>
        <v>0</v>
      </c>
      <c r="BP51" s="24">
        <f t="shared" si="239"/>
        <v>0</v>
      </c>
      <c r="BQ51" s="24">
        <f>+SUMIFS(BG:BG,$BE:$BE,"OK",BF:BF,$BK51)+SUMIFS(BH:BH,$BE:$BE,"OK",BI:BI,$BK51)</f>
        <v>1</v>
      </c>
      <c r="BR51" s="24">
        <f t="shared" si="240"/>
        <v>1</v>
      </c>
      <c r="BS51" s="60">
        <f t="shared" si="241"/>
        <v>1.0001</v>
      </c>
      <c r="BT51" s="29">
        <f>+IF(BL51=0,0,_xlfn.XLOOKUP(BS51,BV48:BV51,BW48:BW51))</f>
        <v>0.3</v>
      </c>
      <c r="BU51" s="45"/>
      <c r="BV51" s="24">
        <f>+LARGE(BS48:BS51,4)</f>
        <v>0</v>
      </c>
      <c r="BW51" s="24">
        <f>+BX51/$BW$1</f>
        <v>0</v>
      </c>
      <c r="BX51" s="23">
        <v>0</v>
      </c>
      <c r="BY51" s="25" t="str">
        <f t="shared" si="242"/>
        <v>-</v>
      </c>
      <c r="BZ51" s="57" t="str">
        <f>+IF(_xlfn.XLOOKUP($E51,$AY:$AY,$AZ:$AZ,"-",0)=BZ46,$E51,"-")</f>
        <v>-</v>
      </c>
      <c r="CA51" s="58">
        <f t="shared" si="217"/>
        <v>1</v>
      </c>
      <c r="CB51" s="59">
        <f t="shared" si="218"/>
        <v>1</v>
      </c>
      <c r="CC51" s="57" t="str">
        <f>+IF(_xlfn.XLOOKUP($H51,$AY:$AY,$AZ:$AZ,"-",0)=BZ46,$H51,"-")</f>
        <v>Japon</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1</v>
      </c>
      <c r="G52" s="43">
        <v>0</v>
      </c>
      <c r="H52" s="44" t="s">
        <v>70</v>
      </c>
      <c r="J52" s="24" t="str">
        <f t="shared" si="219"/>
        <v>Japon</v>
      </c>
      <c r="K52" s="24" t="str">
        <f t="shared" si="220"/>
        <v/>
      </c>
      <c r="L52" s="24" t="str">
        <f t="shared" si="221"/>
        <v/>
      </c>
      <c r="M52" s="24" t="str">
        <f t="shared" si="222"/>
        <v>Suecia</v>
      </c>
      <c r="AL52" s="25" t="s">
        <v>122</v>
      </c>
      <c r="AM52" s="52" t="str">
        <f>+IF(SUM(AA48:AA51)=12,"si","no")</f>
        <v>si</v>
      </c>
      <c r="BE52" s="25" t="str">
        <f>+IF(OR(BF52="-",BI52="-",BF46=0),"-","OK")</f>
        <v>-</v>
      </c>
      <c r="BF52" s="57" t="str">
        <f>+IF(_xlfn.XLOOKUP($E52,$AY:$AY,$AZ:$AZ,"-",0)=BF46,$E52,"-")</f>
        <v>-</v>
      </c>
      <c r="BG52" s="58">
        <f t="shared" si="215"/>
        <v>1</v>
      </c>
      <c r="BH52" s="59">
        <f t="shared" si="216"/>
        <v>0</v>
      </c>
      <c r="BI52" s="57" t="str">
        <f>+IF(_xlfn.XLOOKUP($H52,$AY:$AY,$AZ:$AZ,"-",0)=BF46,$H52,"-")</f>
        <v>-</v>
      </c>
      <c r="BY52" s="25" t="str">
        <f t="shared" si="242"/>
        <v>-</v>
      </c>
      <c r="BZ52" s="57" t="str">
        <f>+IF(_xlfn.XLOOKUP($E52,$AY:$AY,$AZ:$AZ,"-",0)=BZ46,$E52,"-")</f>
        <v>Japon</v>
      </c>
      <c r="CA52" s="58">
        <f t="shared" si="217"/>
        <v>1</v>
      </c>
      <c r="CB52" s="59">
        <f t="shared" si="218"/>
        <v>0</v>
      </c>
      <c r="CC52" s="57" t="str">
        <f>+IF(_xlfn.XLOOKUP($H52,$AY:$AY,$AZ:$AZ,"-",0)=BZ46,$H52,"-")</f>
        <v>-</v>
      </c>
    </row>
    <row r="53" spans="1:102" x14ac:dyDescent="0.2">
      <c r="A53" s="38" t="s">
        <v>159</v>
      </c>
      <c r="B53" s="39">
        <v>46198</v>
      </c>
      <c r="C53" s="40"/>
      <c r="D53" s="41"/>
      <c r="E53" s="42" t="s">
        <v>81</v>
      </c>
      <c r="F53" s="43">
        <v>1</v>
      </c>
      <c r="G53" s="43">
        <v>1</v>
      </c>
      <c r="H53" s="44" t="s">
        <v>54</v>
      </c>
      <c r="J53" s="24" t="str">
        <f t="shared" si="219"/>
        <v/>
      </c>
      <c r="K53" s="24" t="str">
        <f t="shared" si="220"/>
        <v>Tunez</v>
      </c>
      <c r="L53" s="24" t="str">
        <f t="shared" si="221"/>
        <v>Paises Bajos</v>
      </c>
      <c r="M53" s="24" t="str">
        <f t="shared" si="222"/>
        <v/>
      </c>
      <c r="Y53" s="53" t="s">
        <v>124</v>
      </c>
      <c r="AR53" s="23">
        <f>+IF(AND(AM52="si",OR(AR48=1,AR49=1,AR50=1)),1,0)</f>
        <v>1</v>
      </c>
      <c r="BE53" s="25" t="str">
        <f>+IF(OR(BF53="-",BI53="-",BF46=0),"-","OK")</f>
        <v>OK</v>
      </c>
      <c r="BF53" s="57" t="str">
        <f>+IF(_xlfn.XLOOKUP($E53,$AY:$AY,$AZ:$AZ,"-",0)=BF46,$E53,"-")</f>
        <v>Tunez</v>
      </c>
      <c r="BG53" s="58">
        <f t="shared" si="215"/>
        <v>1</v>
      </c>
      <c r="BH53" s="59">
        <f t="shared" si="216"/>
        <v>1</v>
      </c>
      <c r="BI53" s="57" t="str">
        <f>+IF(_xlfn.XLOOKUP($H53,$AY:$AY,$AZ:$AZ,"-",0)=BF46,$H53,"-")</f>
        <v>Paises Bajos</v>
      </c>
      <c r="BY53" s="25" t="str">
        <f t="shared" si="242"/>
        <v>-</v>
      </c>
      <c r="BZ53" s="57" t="str">
        <f>+IF(_xlfn.XLOOKUP($E53,$AY:$AY,$AZ:$AZ,"-",0)=BZ46,$E53,"-")</f>
        <v>-</v>
      </c>
      <c r="CA53" s="58">
        <f t="shared" si="217"/>
        <v>1</v>
      </c>
      <c r="CB53" s="59">
        <f t="shared" si="218"/>
        <v>1</v>
      </c>
      <c r="CC53" s="57" t="str">
        <f>+IF(_xlfn.XLOOKUP($H53,$AY:$AY,$AZ:$AZ,"-",0)=BZ46,$H53,"-")</f>
        <v>-</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t="str">
        <f>+IF(BA57&gt;1,AZ57,IF(BA58&gt;1,AZ58,IF(BA59&gt;1,AZ59,IF(BA60&gt;1,AZ60,"-"))))</f>
        <v>-</v>
      </c>
      <c r="BW55" s="23">
        <v>10</v>
      </c>
      <c r="BZ55" s="29">
        <f>+IF(BC57&gt;1,BB57,IF(BC58&gt;1,BB58,IF(BC59&gt;1,BB59,IF(BC60&gt;1,BB60,"-"))))</f>
        <v>7</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8" t="s">
        <v>160</v>
      </c>
      <c r="Z56" s="509"/>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1</v>
      </c>
      <c r="G57" s="43">
        <v>0</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2</v>
      </c>
      <c r="Q57" s="24">
        <f>+COUNTIF(K57:L62,"="&amp;$O57)</f>
        <v>1</v>
      </c>
      <c r="R57" s="24">
        <f>+COUNTIF(M57:M62,"="&amp;$O57)</f>
        <v>0</v>
      </c>
      <c r="S57" s="24">
        <f>+T57-U57</f>
        <v>3</v>
      </c>
      <c r="T57" s="24">
        <f t="shared" ref="T57" si="256">+SUMIF(E57:E62,$O57,F57:F62)+SUMIF(H57:H62,$O57,G57:G62)</f>
        <v>4</v>
      </c>
      <c r="U57" s="24">
        <f t="shared" ref="U57" si="257">+SUMIF(E57:E62,$O57,G57:G62)+SUMIF(H57:H62,$O57,F57:F62)</f>
        <v>1</v>
      </c>
      <c r="V57" s="45">
        <f>+P57*3+Q57*1+BT57+CN57+S57/1000+T57/10000+AV57/1000000+ROW()/10000000</f>
        <v>7.0034057000000001</v>
      </c>
      <c r="W57" s="26" t="str">
        <f>+O57</f>
        <v>Iran</v>
      </c>
      <c r="Y57" s="46" t="str">
        <f>+CONCATENATE("1",RIGHT(E56,1))</f>
        <v>1G</v>
      </c>
      <c r="Z57" s="47" t="str">
        <f>+VLOOKUP(AL57,V57:W60,2,FALSE)</f>
        <v>Iran</v>
      </c>
      <c r="AA57" s="48">
        <f>+SUM(AB57:AD57)</f>
        <v>3</v>
      </c>
      <c r="AB57" s="49">
        <f t="shared" ref="AB57:AG60" si="258">+VLOOKUP($Z57,$O$57:$U$60,COLUMN()-26,FALSE)</f>
        <v>2</v>
      </c>
      <c r="AC57" s="49">
        <f t="shared" si="258"/>
        <v>1</v>
      </c>
      <c r="AD57" s="49">
        <f t="shared" si="258"/>
        <v>0</v>
      </c>
      <c r="AE57" s="49">
        <f t="shared" si="258"/>
        <v>3</v>
      </c>
      <c r="AF57" s="49">
        <f t="shared" si="258"/>
        <v>4</v>
      </c>
      <c r="AG57" s="49">
        <f t="shared" si="258"/>
        <v>1</v>
      </c>
      <c r="AH57" s="50">
        <f>+VLOOKUP($Z57,$O$57:$V$60,COLUMN()-26,FALSE)</f>
        <v>7.0034057000000001</v>
      </c>
      <c r="AI57" s="51"/>
      <c r="AL57" s="45">
        <f>+LARGE(V57:V60,1)</f>
        <v>7.0034057000000001</v>
      </c>
      <c r="AM57" s="52">
        <f>+(AH57-AL57)*100000000000000000000</f>
        <v>0</v>
      </c>
      <c r="AP57" s="53" t="str">
        <f>+O57</f>
        <v>Iran</v>
      </c>
      <c r="AQ57" s="23">
        <f>+P57*3+Q57*1+BT57+CN57+S57/1000+T57/10000</f>
        <v>7.0034000000000001</v>
      </c>
      <c r="AR57" s="23" t="b">
        <f>+IF(OR(AQ57=AQ58,AQ57=AQ59,AQ57=AQ60),1)</f>
        <v>0</v>
      </c>
      <c r="AS57" s="54">
        <f>+AV57</f>
        <v>0</v>
      </c>
      <c r="AT57" s="54">
        <f>+IF(AND(AM61="si",OR(AR57=1,AR58=1,AR59=1)),1,0)</f>
        <v>0</v>
      </c>
      <c r="AU57" s="55" t="str">
        <f>+O57</f>
        <v>Iran</v>
      </c>
      <c r="AV57" s="56"/>
      <c r="AX57" s="23" t="str">
        <f>+Y56</f>
        <v>Grupo G</v>
      </c>
      <c r="AY57" s="24" t="str">
        <f>+O57</f>
        <v>Iran</v>
      </c>
      <c r="AZ57" s="29">
        <f>+P57*3+Q57</f>
        <v>7</v>
      </c>
      <c r="BA57" s="29">
        <f>+COUNTIFS($AX$1:AX57,AX57,$AZ$1:AZ57,AZ57)</f>
        <v>1</v>
      </c>
      <c r="BB57" s="29">
        <f>+IF(AZ57=BF55,ROW()*0.001,AZ57)</f>
        <v>7</v>
      </c>
      <c r="BC57" s="29">
        <f>+COUNTIFS($AX$1:AZ57,AZ57,$AZ$1:BB57,BB57)</f>
        <v>4</v>
      </c>
      <c r="BD57" s="29"/>
      <c r="BE57" s="25" t="str">
        <f>+IF(OR(BF57="-",BI57="-",BF55=0),"-","OK")</f>
        <v>-</v>
      </c>
      <c r="BF57" s="57" t="str">
        <f>+IF(_xlfn.XLOOKUP($E57,$AY:$AY,$AZ:$AZ,"-",0)=BF55,$E57,"-")</f>
        <v>-</v>
      </c>
      <c r="BG57" s="58">
        <f t="shared" ref="BG57:BG62" si="259">+$F57</f>
        <v>1</v>
      </c>
      <c r="BH57" s="59">
        <f t="shared" ref="BH57:BH62" si="260">+$G57</f>
        <v>0</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1</v>
      </c>
      <c r="CB57" s="59">
        <f t="shared" ref="CB57:CB62" si="262">+$G57</f>
        <v>0</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1</v>
      </c>
      <c r="G58" s="43">
        <v>1</v>
      </c>
      <c r="H58" s="44" t="s">
        <v>75</v>
      </c>
      <c r="J58" s="24" t="str">
        <f t="shared" ref="J58:J62" si="263">IF(OR(ISBLANK(F58),ISBLANK(G58)),"",IF(F58&gt;G58,E58,IF(G58&gt;F58,H58,"")))</f>
        <v/>
      </c>
      <c r="K58" s="24" t="str">
        <f t="shared" ref="K58:K62" si="264">IF(OR(ISBLANK(F58),ISBLANK(G58)),"",IF(F58=G58,E58,""))</f>
        <v>Belgica</v>
      </c>
      <c r="L58" s="24" t="str">
        <f t="shared" ref="L58:L62" si="265">IF(OR(ISBLANK(F58),ISBLANK(G58)),"",IF(F58=G58,H58,""))</f>
        <v>Egipto</v>
      </c>
      <c r="M58" s="24" t="str">
        <f t="shared" ref="M58:M62" si="266">IF(OR(ISBLANK(F58),ISBLANK(G58)),"",IF(F58&lt;G58,E58,IF(G58&lt;F58,H58,"")))</f>
        <v/>
      </c>
      <c r="O58" s="26" t="str">
        <f>+H57</f>
        <v>Nueva Zelanda</v>
      </c>
      <c r="P58" s="24">
        <f>+COUNTIF(J57:J62,"="&amp;$O58)</f>
        <v>0</v>
      </c>
      <c r="Q58" s="24">
        <f>+COUNTIF(K57:L62,"="&amp;$O58)</f>
        <v>0</v>
      </c>
      <c r="R58" s="24">
        <f>+COUNTIF(M57:M62,"="&amp;$O58)</f>
        <v>3</v>
      </c>
      <c r="S58" s="24">
        <f t="shared" ref="S58:S60" si="267">+T58-U58</f>
        <v>-4</v>
      </c>
      <c r="T58" s="24">
        <f t="shared" ref="T58" si="268">+SUMIF(E57:E62,$O58,F57:F62)+SUMIF(H57:H62,$O58,G57:G62)</f>
        <v>1</v>
      </c>
      <c r="U58" s="24">
        <f t="shared" ref="U58" si="269">+SUMIF(E57:E62,$O58,G57:G62)+SUMIF(H57:H62,$O58,F57:F62)</f>
        <v>5</v>
      </c>
      <c r="V58" s="45">
        <f t="shared" ref="V58:V60" si="270">+P58*3+Q58*1+BT58+CN58+S58/1000+T58/10000+AV58/1000000+ROW()/10000000</f>
        <v>-3.8942000000000004E-3</v>
      </c>
      <c r="W58" s="26" t="str">
        <f t="shared" ref="W58:W60" si="271">+O58</f>
        <v>Nueva Zelanda</v>
      </c>
      <c r="Y58" s="61" t="str">
        <f>+CONCATENATE("2",RIGHT(E56,1))</f>
        <v>2G</v>
      </c>
      <c r="Z58" s="62" t="str">
        <f>+VLOOKUP(AL58,V57:W60,2,FALSE)</f>
        <v>Belgica</v>
      </c>
      <c r="AA58" s="63">
        <f t="shared" ref="AA58:AA60" si="272">+SUM(AB58:AD58)</f>
        <v>3</v>
      </c>
      <c r="AB58" s="64">
        <f t="shared" si="258"/>
        <v>1</v>
      </c>
      <c r="AC58" s="64">
        <f t="shared" si="258"/>
        <v>2</v>
      </c>
      <c r="AD58" s="64">
        <f t="shared" si="258"/>
        <v>0</v>
      </c>
      <c r="AE58" s="64">
        <f t="shared" si="258"/>
        <v>2</v>
      </c>
      <c r="AF58" s="64">
        <f t="shared" si="258"/>
        <v>5</v>
      </c>
      <c r="AG58" s="64">
        <f t="shared" si="258"/>
        <v>3</v>
      </c>
      <c r="AH58" s="65">
        <f>+VLOOKUP($Z58,$O$57:$V$60,COLUMN()-26,FALSE)</f>
        <v>5.0025058999999992</v>
      </c>
      <c r="AI58" s="51"/>
      <c r="AL58" s="45">
        <f>+LARGE(V57:V60,2)</f>
        <v>5.0025058999999992</v>
      </c>
      <c r="AM58" s="52">
        <f t="shared" ref="AM58:AM60" si="273">+(AH58-AL58)*100000000000000000000</f>
        <v>0</v>
      </c>
      <c r="AP58" s="53" t="str">
        <f>+O58</f>
        <v>Nueva Zelanda</v>
      </c>
      <c r="AQ58" s="23">
        <f>+P58*3+Q58*1+BT58+CN58+S58/1000+T58/10000</f>
        <v>-3.9000000000000003E-3</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0</v>
      </c>
      <c r="BA58" s="29">
        <f>+COUNTIFS($AX$1:AX58,AX58,$AZ$1:AZ58,AZ58)</f>
        <v>1</v>
      </c>
      <c r="BB58" s="29">
        <f>+IF(AZ58=BF55,ROW()*0.001,AZ58)</f>
        <v>0</v>
      </c>
      <c r="BC58" s="29">
        <f>+COUNTIFS($AX$1:AZ58,AZ58,$AZ$1:BB58,BB58)</f>
        <v>2</v>
      </c>
      <c r="BD58" s="29"/>
      <c r="BE58" s="25" t="str">
        <f>+IF(OR(BF58="-",BI58="-",BF55=0),"-","OK")</f>
        <v>-</v>
      </c>
      <c r="BF58" s="57" t="str">
        <f>+IF(_xlfn.XLOOKUP($E58,$AY:$AY,$AZ:$AZ,"-",0)=BF55,$E58,"-")</f>
        <v>-</v>
      </c>
      <c r="BG58" s="58">
        <f t="shared" si="259"/>
        <v>1</v>
      </c>
      <c r="BH58" s="59">
        <f t="shared" si="260"/>
        <v>1</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1</v>
      </c>
      <c r="CB58" s="59">
        <f t="shared" si="262"/>
        <v>1</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1</v>
      </c>
      <c r="G59" s="43">
        <v>1</v>
      </c>
      <c r="H59" s="44" t="s">
        <v>86</v>
      </c>
      <c r="J59" s="24" t="str">
        <f t="shared" si="263"/>
        <v/>
      </c>
      <c r="K59" s="24" t="str">
        <f t="shared" si="264"/>
        <v>Belgica</v>
      </c>
      <c r="L59" s="24" t="str">
        <f t="shared" si="265"/>
        <v>Iran</v>
      </c>
      <c r="M59" s="24" t="str">
        <f t="shared" si="266"/>
        <v/>
      </c>
      <c r="O59" s="26" t="str">
        <f>+E58</f>
        <v>Belgica</v>
      </c>
      <c r="P59" s="24">
        <f>+COUNTIF(J57:J62,"="&amp;$O59)</f>
        <v>1</v>
      </c>
      <c r="Q59" s="24">
        <f>+COUNTIF(K57:L62,"="&amp;$O59)</f>
        <v>2</v>
      </c>
      <c r="R59" s="24">
        <f>+COUNTIF(M57:M62,"="&amp;$O59)</f>
        <v>0</v>
      </c>
      <c r="S59" s="24">
        <f t="shared" si="267"/>
        <v>2</v>
      </c>
      <c r="T59" s="24">
        <f t="shared" ref="T59" si="296">+SUMIF(E57:E62,$O59,F57:F62)+SUMIF(H57:H62,$O59,G57:G62)</f>
        <v>5</v>
      </c>
      <c r="U59" s="24">
        <f t="shared" ref="U59" si="297">+SUMIF(E57:E62,$O59,G57:G62)+SUMIF(H57:H62,$O59,F57:F62)</f>
        <v>3</v>
      </c>
      <c r="V59" s="45">
        <f t="shared" si="270"/>
        <v>5.0025058999999992</v>
      </c>
      <c r="W59" s="26" t="str">
        <f t="shared" si="271"/>
        <v>Belgica</v>
      </c>
      <c r="Y59" s="68" t="str">
        <f>+CONCATENATE("3",RIGHT(E56,1))</f>
        <v>3G</v>
      </c>
      <c r="Z59" s="69" t="str">
        <f>+VLOOKUP(AL59,V57:W60,2,FALSE)</f>
        <v>Egipto</v>
      </c>
      <c r="AA59" s="70">
        <f t="shared" si="272"/>
        <v>3</v>
      </c>
      <c r="AB59" s="71">
        <f t="shared" si="258"/>
        <v>1</v>
      </c>
      <c r="AC59" s="71">
        <f t="shared" si="258"/>
        <v>1</v>
      </c>
      <c r="AD59" s="71">
        <f t="shared" si="258"/>
        <v>1</v>
      </c>
      <c r="AE59" s="71">
        <f t="shared" si="258"/>
        <v>-1</v>
      </c>
      <c r="AF59" s="71">
        <f t="shared" si="258"/>
        <v>2</v>
      </c>
      <c r="AG59" s="71">
        <f t="shared" si="258"/>
        <v>3</v>
      </c>
      <c r="AH59" s="72">
        <f>+VLOOKUP($Z59,$O$57:$V$60,COLUMN()-26,FALSE)</f>
        <v>3.999206</v>
      </c>
      <c r="AI59" s="73">
        <f>+(COUNTIFS($CV$2:$CV$13,Z59,$CX$2:$CX$13,"IN")+COUNTIFS($CV$2:$CV$13,Z59,$CW$2:$CW$13,"IN"))*IF(SUM(AA57:AA60)=12,1,0)</f>
        <v>1</v>
      </c>
      <c r="AL59" s="45">
        <f>+LARGE(V57:V60,3)</f>
        <v>3.999206</v>
      </c>
      <c r="AM59" s="52">
        <f t="shared" si="273"/>
        <v>0</v>
      </c>
      <c r="AP59" s="53" t="str">
        <f>+O59</f>
        <v>Belgica</v>
      </c>
      <c r="AQ59" s="23">
        <f>+P59*3+Q59*1+BT59+CN59+S59/1000+T59/10000</f>
        <v>5.0024999999999995</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5</v>
      </c>
      <c r="BA59" s="29">
        <f>+COUNTIFS($AX$1:AX59,AX59,$AZ$1:AZ59,AZ59)</f>
        <v>1</v>
      </c>
      <c r="BB59" s="29">
        <f>+IF(AZ59=BF55,ROW()*0.001,AZ59)</f>
        <v>5</v>
      </c>
      <c r="BC59" s="29">
        <f>+COUNTIFS($AX$1:AZ59,AZ59,$AZ$1:BB59,BB59)</f>
        <v>1</v>
      </c>
      <c r="BD59" s="29"/>
      <c r="BE59" s="25" t="str">
        <f>+IF(OR(BF59="-",BI59="-",BF55=0),"-","OK")</f>
        <v>-</v>
      </c>
      <c r="BF59" s="57" t="str">
        <f>+IF(_xlfn.XLOOKUP($E59,$AY:$AY,$AZ:$AZ,"-",0)=BF55,$E59,"-")</f>
        <v>-</v>
      </c>
      <c r="BG59" s="58">
        <f t="shared" si="259"/>
        <v>1</v>
      </c>
      <c r="BH59" s="59">
        <f t="shared" si="260"/>
        <v>1</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1</v>
      </c>
      <c r="CB59" s="59">
        <f t="shared" si="262"/>
        <v>1</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0</v>
      </c>
      <c r="G60" s="43">
        <v>1</v>
      </c>
      <c r="H60" s="44" t="s">
        <v>75</v>
      </c>
      <c r="J60" s="24" t="str">
        <f t="shared" si="263"/>
        <v>Egipto</v>
      </c>
      <c r="K60" s="24" t="str">
        <f t="shared" si="264"/>
        <v/>
      </c>
      <c r="L60" s="24" t="str">
        <f t="shared" si="265"/>
        <v/>
      </c>
      <c r="M60" s="24" t="str">
        <f t="shared" si="266"/>
        <v>Nueva Zelanda</v>
      </c>
      <c r="O60" s="26" t="str">
        <f>+H58</f>
        <v>Egipto</v>
      </c>
      <c r="P60" s="24">
        <f>+COUNTIF(J57:J62,"="&amp;$O60)</f>
        <v>1</v>
      </c>
      <c r="Q60" s="24">
        <f>+COUNTIF(K57:L62,"="&amp;$O60)</f>
        <v>1</v>
      </c>
      <c r="R60" s="24">
        <f>+COUNTIF(M57:M62,"="&amp;$O60)</f>
        <v>1</v>
      </c>
      <c r="S60" s="24">
        <f t="shared" si="267"/>
        <v>-1</v>
      </c>
      <c r="T60" s="24">
        <f t="shared" ref="T60" si="298">+SUMIF(E57:E62,$O60,F57:F62)+SUMIF(H57:H62,$O60,G57:G62)</f>
        <v>2</v>
      </c>
      <c r="U60" s="24">
        <f t="shared" ref="U60" si="299">+SUMIF(E57:E62,$O60,G57:G62)+SUMIF(H57:H62,$O60,F57:F62)</f>
        <v>3</v>
      </c>
      <c r="V60" s="45">
        <f t="shared" si="270"/>
        <v>3.999206</v>
      </c>
      <c r="W60" s="26" t="str">
        <f t="shared" si="271"/>
        <v>Egipto</v>
      </c>
      <c r="Y60" s="74" t="str">
        <f>+CONCATENATE("4",RIGHT(E56,1))</f>
        <v>4G</v>
      </c>
      <c r="Z60" s="75" t="str">
        <f>+VLOOKUP(AL60,V57:W60,2,FALSE)</f>
        <v>Nueva Zelanda</v>
      </c>
      <c r="AA60" s="76">
        <f t="shared" si="272"/>
        <v>3</v>
      </c>
      <c r="AB60" s="77">
        <f t="shared" si="258"/>
        <v>0</v>
      </c>
      <c r="AC60" s="77">
        <f t="shared" si="258"/>
        <v>0</v>
      </c>
      <c r="AD60" s="77">
        <f t="shared" si="258"/>
        <v>3</v>
      </c>
      <c r="AE60" s="77">
        <f t="shared" si="258"/>
        <v>-4</v>
      </c>
      <c r="AF60" s="77">
        <f t="shared" si="258"/>
        <v>1</v>
      </c>
      <c r="AG60" s="77">
        <f t="shared" si="258"/>
        <v>5</v>
      </c>
      <c r="AH60" s="78">
        <f>+VLOOKUP($Z60,$O$57:$V$60,COLUMN()-26,FALSE)</f>
        <v>-3.8942000000000004E-3</v>
      </c>
      <c r="AI60" s="73"/>
      <c r="AL60" s="45">
        <f>+LARGE(V57:V60,4)</f>
        <v>-3.8942000000000004E-3</v>
      </c>
      <c r="AM60" s="52">
        <f t="shared" si="273"/>
        <v>0</v>
      </c>
      <c r="AP60" s="53" t="str">
        <f>+O60</f>
        <v>Egipto</v>
      </c>
      <c r="AQ60" s="23">
        <f>+P60*3+Q60*1+BT60+CN60+S60/1000+T60/10000</f>
        <v>3.9992000000000001</v>
      </c>
      <c r="AS60" s="54">
        <f t="shared" si="274"/>
        <v>0</v>
      </c>
      <c r="AT60" s="54">
        <f>+IF(AND(AM61="si",OR(AR57=1,AR58=1,AR59=1)),1,0)</f>
        <v>0</v>
      </c>
      <c r="AU60" s="79" t="str">
        <f t="shared" si="275"/>
        <v>Egipto</v>
      </c>
      <c r="AV60" s="80"/>
      <c r="AX60" s="23" t="str">
        <f>+Y56</f>
        <v>Grupo G</v>
      </c>
      <c r="AY60" s="24" t="str">
        <f t="shared" si="276"/>
        <v>Egipto</v>
      </c>
      <c r="AZ60" s="29">
        <f t="shared" si="277"/>
        <v>4</v>
      </c>
      <c r="BA60" s="29">
        <f>+COUNTIFS($AX$1:AX60,AX60,$AZ$1:AZ60,AZ60)</f>
        <v>1</v>
      </c>
      <c r="BB60" s="29">
        <f>+IF(AZ60=BF55,ROW()*0.001,AZ60)</f>
        <v>4</v>
      </c>
      <c r="BC60" s="29">
        <f>+COUNTIFS($AX$1:AZ60,AZ60,$AZ$1:BB60,BB60)</f>
        <v>4</v>
      </c>
      <c r="BD60" s="29"/>
      <c r="BE60" s="25" t="str">
        <f>+IF(OR(BF60="-",BI60="-",BF55=0),"-","OK")</f>
        <v>-</v>
      </c>
      <c r="BF60" s="57" t="str">
        <f>+IF(_xlfn.XLOOKUP($E60,$AY:$AY,$AZ:$AZ,"-",0)=BF55,$E60,"-")</f>
        <v>-</v>
      </c>
      <c r="BG60" s="58">
        <f t="shared" si="259"/>
        <v>0</v>
      </c>
      <c r="BH60" s="59">
        <f t="shared" si="260"/>
        <v>1</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0</v>
      </c>
      <c r="CB60" s="59">
        <f t="shared" si="262"/>
        <v>1</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1</v>
      </c>
      <c r="G61" s="43">
        <v>3</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1</v>
      </c>
      <c r="BH61" s="59">
        <f t="shared" si="260"/>
        <v>3</v>
      </c>
      <c r="BI61" s="57" t="str">
        <f>+IF(_xlfn.XLOOKUP($H61,$AY:$AY,$AZ:$AZ,"-",0)=BF55,$H61,"-")</f>
        <v>-</v>
      </c>
      <c r="BY61" s="25" t="str">
        <f t="shared" si="286"/>
        <v>-</v>
      </c>
      <c r="BZ61" s="57" t="str">
        <f>+IF(_xlfn.XLOOKUP($E61,$AY:$AY,$AZ:$AZ,"-",0)=BZ55,$E61,"-")</f>
        <v>-</v>
      </c>
      <c r="CA61" s="58">
        <f t="shared" si="261"/>
        <v>1</v>
      </c>
      <c r="CB61" s="59">
        <f t="shared" si="262"/>
        <v>3</v>
      </c>
      <c r="CC61" s="57" t="str">
        <f>+IF(_xlfn.XLOOKUP($H61,$AY:$AY,$AZ:$AZ,"-",0)=BZ55,$H61,"-")</f>
        <v>-</v>
      </c>
    </row>
    <row r="62" spans="1:102" x14ac:dyDescent="0.2">
      <c r="A62" s="38" t="s">
        <v>166</v>
      </c>
      <c r="B62" s="39">
        <v>46200</v>
      </c>
      <c r="C62" s="40"/>
      <c r="D62" s="41"/>
      <c r="E62" s="42" t="s">
        <v>75</v>
      </c>
      <c r="F62" s="43">
        <v>0</v>
      </c>
      <c r="G62" s="43">
        <v>2</v>
      </c>
      <c r="H62" s="44" t="s">
        <v>86</v>
      </c>
      <c r="J62" s="24" t="str">
        <f t="shared" si="263"/>
        <v>Iran</v>
      </c>
      <c r="K62" s="24" t="str">
        <f t="shared" si="264"/>
        <v/>
      </c>
      <c r="L62" s="24" t="str">
        <f t="shared" si="265"/>
        <v/>
      </c>
      <c r="M62" s="24" t="str">
        <f t="shared" si="266"/>
        <v>Egipto</v>
      </c>
      <c r="Y62" s="53" t="s">
        <v>124</v>
      </c>
      <c r="AR62" s="23">
        <f>+IF(AND(AM61="si",OR(AR57=1,AR58=1,AR59=1)),1,0)</f>
        <v>0</v>
      </c>
      <c r="BE62" s="25" t="str">
        <f>+IF(OR(BF62="-",BI62="-",BF55=0),"-","OK")</f>
        <v>-</v>
      </c>
      <c r="BF62" s="57" t="str">
        <f>+IF(_xlfn.XLOOKUP($E62,$AY:$AY,$AZ:$AZ,"-",0)=BF55,$E62,"-")</f>
        <v>-</v>
      </c>
      <c r="BG62" s="58">
        <f t="shared" si="259"/>
        <v>0</v>
      </c>
      <c r="BH62" s="59">
        <f t="shared" si="260"/>
        <v>2</v>
      </c>
      <c r="BI62" s="57" t="str">
        <f>+IF(_xlfn.XLOOKUP($H62,$AY:$AY,$AZ:$AZ,"-",0)=BF55,$H62,"-")</f>
        <v>-</v>
      </c>
      <c r="BY62" s="25" t="str">
        <f t="shared" si="286"/>
        <v>-</v>
      </c>
      <c r="BZ62" s="57" t="str">
        <f>+IF(_xlfn.XLOOKUP($E62,$AY:$AY,$AZ:$AZ,"-",0)=BZ55,$E62,"-")</f>
        <v>-</v>
      </c>
      <c r="CA62" s="58">
        <f t="shared" si="261"/>
        <v>0</v>
      </c>
      <c r="CB62" s="59">
        <f t="shared" si="262"/>
        <v>2</v>
      </c>
      <c r="CC62" s="57" t="str">
        <f>+IF(_xlfn.XLOOKUP($H62,$AY:$AY,$AZ:$AZ,"-",0)=BZ55,$H62,"-")</f>
        <v>Iran</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f>+IF(BA66&gt;1,AZ66,IF(BA67&gt;1,AZ67,IF(BA68&gt;1,AZ68,IF(BA69&gt;1,AZ69,"-"))))</f>
        <v>7</v>
      </c>
      <c r="BW64" s="23">
        <v>10</v>
      </c>
      <c r="BZ64" s="29">
        <f>+IF(BC66&gt;1,BB66,IF(BC67&gt;1,BB67,IF(BC68&gt;1,BB68,IF(BC69&gt;1,BB69,"-"))))</f>
        <v>0</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0" t="s">
        <v>167</v>
      </c>
      <c r="Z65" s="511"/>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3</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1</v>
      </c>
      <c r="R66" s="24">
        <f>+COUNTIF(M66:M71,"="&amp;$O66)</f>
        <v>0</v>
      </c>
      <c r="S66" s="24">
        <f>+T66-U66</f>
        <v>5</v>
      </c>
      <c r="T66" s="24">
        <f t="shared" ref="T66" si="300">+SUMIF(E66:E71,$O66,F66:F71)+SUMIF(H66:H71,$O66,G66:G71)</f>
        <v>7</v>
      </c>
      <c r="U66" s="24">
        <f t="shared" ref="U66" si="301">+SUMIF(E66:E71,$O66,G66:G71)+SUMIF(H66:H71,$O66,F66:F71)</f>
        <v>2</v>
      </c>
      <c r="V66" s="45">
        <f>+P66*3+Q66*1+BT66+CN66+S66/1000+T66/10000+AV66/1000000+ROW()/10000000</f>
        <v>7.3057065999999997</v>
      </c>
      <c r="W66" s="26" t="str">
        <f>+O66</f>
        <v>España</v>
      </c>
      <c r="Y66" s="46" t="str">
        <f>+CONCATENATE("1",RIGHT(E65,1))</f>
        <v>1H</v>
      </c>
      <c r="Z66" s="47" t="str">
        <f>+VLOOKUP(AL66,V66:W69,2,FALSE)</f>
        <v>España</v>
      </c>
      <c r="AA66" s="48">
        <f>+SUM(AB66:AD66)</f>
        <v>3</v>
      </c>
      <c r="AB66" s="49">
        <f t="shared" ref="AB66:AG69" si="302">+VLOOKUP($Z66,$O$66:$U$69,COLUMN()-26,FALSE)</f>
        <v>2</v>
      </c>
      <c r="AC66" s="49">
        <f t="shared" si="302"/>
        <v>1</v>
      </c>
      <c r="AD66" s="49">
        <f t="shared" si="302"/>
        <v>0</v>
      </c>
      <c r="AE66" s="49">
        <f t="shared" si="302"/>
        <v>5</v>
      </c>
      <c r="AF66" s="49">
        <f t="shared" si="302"/>
        <v>7</v>
      </c>
      <c r="AG66" s="49">
        <f t="shared" si="302"/>
        <v>2</v>
      </c>
      <c r="AH66" s="50">
        <f>+VLOOKUP($Z66,$O$66:$V$69,COLUMN()-26,FALSE)</f>
        <v>7.3057065999999997</v>
      </c>
      <c r="AI66" s="51"/>
      <c r="AL66" s="45">
        <f>+LARGE(V66:V69,1)</f>
        <v>7.3057065999999997</v>
      </c>
      <c r="AM66" s="52">
        <f>+(AH66-AL66)*100000000000000000000</f>
        <v>0</v>
      </c>
      <c r="AP66" s="53" t="str">
        <f>+O66</f>
        <v>España</v>
      </c>
      <c r="AQ66" s="23">
        <f>+P66*3+Q66*1+BT66+CN66+S66/1000+T66/10000</f>
        <v>7.3056999999999999</v>
      </c>
      <c r="AR66" s="23" t="b">
        <f>+IF(OR(AQ66=AQ67,AQ66=AQ68,AQ66=AQ69),1)</f>
        <v>0</v>
      </c>
      <c r="AS66" s="54">
        <f>+AV66</f>
        <v>0</v>
      </c>
      <c r="AT66" s="54">
        <f>+IF(AND(AM70="si",OR(AR66=1,AR67=1,AR68=1)),1,0)</f>
        <v>0</v>
      </c>
      <c r="AU66" s="55" t="str">
        <f>+O66</f>
        <v>España</v>
      </c>
      <c r="AV66" s="56"/>
      <c r="AX66" s="23" t="str">
        <f>+Y65</f>
        <v>Grupo H</v>
      </c>
      <c r="AY66" s="24" t="str">
        <f>+O66</f>
        <v>España</v>
      </c>
      <c r="AZ66" s="29">
        <f>+P66*3+Q66</f>
        <v>7</v>
      </c>
      <c r="BA66" s="29">
        <f>+COUNTIFS($AX$1:AX66,AX66,$AZ$1:AZ66,AZ66)</f>
        <v>1</v>
      </c>
      <c r="BB66" s="29">
        <f>+IF(AZ66=BF64,ROW()*0.001,AZ66)</f>
        <v>6.6000000000000003E-2</v>
      </c>
      <c r="BC66" s="29">
        <f>+COUNTIFS($AX$1:AZ66,AZ66,$AZ$1:BB66,BB66)</f>
        <v>1</v>
      </c>
      <c r="BD66" s="29"/>
      <c r="BE66" s="25" t="str">
        <f>+IF(OR(BF66="-",BI66="-",BF64=0),"-","OK")</f>
        <v>-</v>
      </c>
      <c r="BF66" s="57" t="str">
        <f>+IF(_xlfn.XLOOKUP($E66,$AY:$AY,$AZ:$AZ,"-",0)=BF64,$E66,"-")</f>
        <v>España</v>
      </c>
      <c r="BG66" s="58">
        <f t="shared" ref="BG66:BG71" si="303">+$F66</f>
        <v>3</v>
      </c>
      <c r="BH66" s="59">
        <f t="shared" ref="BH66:BH71" si="304">+$G66</f>
        <v>0</v>
      </c>
      <c r="BI66" s="57" t="str">
        <f>+IF(_xlfn.XLOOKUP($H66,$AY:$AY,$AZ:$AZ,"-",0)=BF64,$H66,"-")</f>
        <v>-</v>
      </c>
      <c r="BK66" s="26" t="str">
        <f>+O66</f>
        <v>España</v>
      </c>
      <c r="BL66" s="26">
        <f>+COUNTIFS($BE:$BE,"OK",$BI:$BI,BK66)+COUNTIFS($BE:$BE,"OK",$BF:$BF,BK66)</f>
        <v>1</v>
      </c>
      <c r="BM66" s="24">
        <f>+COUNTIFS(J:J,$BK66,$BE:$BE,"OK")</f>
        <v>0</v>
      </c>
      <c r="BN66" s="24">
        <f>+COUNTIFS(K:K,$BK66,$BE:$BE,"OK")+COUNTIFS(L:L,$BK66,$BE:$BE,"OK")</f>
        <v>1</v>
      </c>
      <c r="BO66" s="24">
        <f>+COUNTIFS(M:M,$BK66,$BE:$BE,"OK")</f>
        <v>0</v>
      </c>
      <c r="BP66" s="24">
        <f>+BQ66-BR66</f>
        <v>0</v>
      </c>
      <c r="BQ66" s="24">
        <f>+SUMIFS(BG:BG,$BE:$BE,"OK",BF:BF,$BK66)+SUMIFS(BH:BH,$BE:$BE,"OK",BI:BI,$BK66)</f>
        <v>2</v>
      </c>
      <c r="BR66" s="24">
        <f>+SUMIFS(BH:BH,$BE:$BE,"OK",BF:BF,$BK66)+SUMIFS(BG:BG,$BE:$BE,"OK",BI:BI,$BK66)</f>
        <v>2</v>
      </c>
      <c r="BS66" s="60">
        <f>+BM66*3+BN66*1+BP66/100+BQ66/10000</f>
        <v>1.0002</v>
      </c>
      <c r="BT66" s="60">
        <f>+IF(BL66=0,0,_xlfn.XLOOKUP(BS66,BV66:BV69,BW66:BW69))</f>
        <v>0.3</v>
      </c>
      <c r="BU66" s="45"/>
      <c r="BV66" s="24">
        <f>+LARGE(BS66:BS69,1)</f>
        <v>1.0002</v>
      </c>
      <c r="BW66" s="24">
        <f>+BX66/$BW$1</f>
        <v>0.3</v>
      </c>
      <c r="BX66" s="23">
        <v>3</v>
      </c>
      <c r="BY66" s="25" t="str">
        <f>+IF(OR(BZ66="-",CC66="-"),"-","OK")</f>
        <v>-</v>
      </c>
      <c r="BZ66" s="57" t="str">
        <f>+IF(_xlfn.XLOOKUP($E66,$AY:$AY,$AZ:$AZ,"-",0)=BZ64,$E66,"-")</f>
        <v>-</v>
      </c>
      <c r="CA66" s="58">
        <f t="shared" ref="CA66:CA71" si="305">+$F66</f>
        <v>3</v>
      </c>
      <c r="CB66" s="59">
        <f t="shared" ref="CB66:CB71" si="306">+$G66</f>
        <v>0</v>
      </c>
      <c r="CC66" s="57" t="str">
        <f>+IF(_xlfn.XLOOKUP($H66,$AY:$AY,$AZ:$AZ,"-",0)=BZ64,$H66,"-")</f>
        <v>Cabo Verde</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169</v>
      </c>
      <c r="B67" s="39">
        <v>46188</v>
      </c>
      <c r="C67" s="40"/>
      <c r="D67" s="41"/>
      <c r="E67" s="42" t="s">
        <v>83</v>
      </c>
      <c r="F67" s="43">
        <v>0</v>
      </c>
      <c r="G67" s="43">
        <v>2</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0</v>
      </c>
      <c r="R67" s="24">
        <f>+COUNTIF(M66:M71,"="&amp;$O67)</f>
        <v>3</v>
      </c>
      <c r="S67" s="24">
        <f t="shared" ref="S67:S69" si="311">+T67-U67</f>
        <v>-5</v>
      </c>
      <c r="T67" s="24">
        <f t="shared" ref="T67" si="312">+SUMIF(E66:E71,$O67,F66:F71)+SUMIF(H66:H71,$O67,G66:G71)</f>
        <v>0</v>
      </c>
      <c r="U67" s="24">
        <f t="shared" ref="U67" si="313">+SUMIF(E66:E71,$O67,G66:G71)+SUMIF(H66:H71,$O67,F66:F71)</f>
        <v>5</v>
      </c>
      <c r="V67" s="45">
        <f t="shared" ref="V67:V69" si="314">+P67*3+Q67*1+BT67+CN67+S67/1000+T67/10000+AV67/1000000+ROW()/10000000</f>
        <v>-4.9933E-3</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1</v>
      </c>
      <c r="AD67" s="64">
        <f t="shared" si="302"/>
        <v>0</v>
      </c>
      <c r="AE67" s="64">
        <f t="shared" si="302"/>
        <v>3</v>
      </c>
      <c r="AF67" s="64">
        <f t="shared" si="302"/>
        <v>5</v>
      </c>
      <c r="AG67" s="64">
        <f t="shared" si="302"/>
        <v>2</v>
      </c>
      <c r="AH67" s="65">
        <f>+VLOOKUP($Z67,$O$66:$V$69,COLUMN()-26,FALSE)</f>
        <v>7.3035068999999995</v>
      </c>
      <c r="AI67" s="51"/>
      <c r="AL67" s="45">
        <f>+LARGE(V66:V69,2)</f>
        <v>7.3035068999999995</v>
      </c>
      <c r="AM67" s="52">
        <f t="shared" ref="AM67:AM69" si="317">+(AH67-AL67)*100000000000000000000</f>
        <v>0</v>
      </c>
      <c r="AP67" s="53" t="str">
        <f>+O67</f>
        <v>Cabo Verde</v>
      </c>
      <c r="AQ67" s="23">
        <f>+P67*3+Q67*1+BT67+CN67+S67/1000+T67/10000</f>
        <v>-5.0000000000000001E-3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3</v>
      </c>
      <c r="BD67" s="29"/>
      <c r="BE67" s="25" t="str">
        <f>+IF(OR(BF67="-",BI67="-",BF64=0),"-","OK")</f>
        <v>-</v>
      </c>
      <c r="BF67" s="57" t="str">
        <f>+IF(_xlfn.XLOOKUP($E67,$AY:$AY,$AZ:$AZ,"-",0)=BF64,$E67,"-")</f>
        <v>-</v>
      </c>
      <c r="BG67" s="58">
        <f t="shared" si="303"/>
        <v>0</v>
      </c>
      <c r="BH67" s="59">
        <f t="shared" si="304"/>
        <v>2</v>
      </c>
      <c r="BI67" s="57" t="str">
        <f>+IF(_xlfn.XLOOKUP($H67,$AY:$AY,$AZ:$AZ,"-",0)=BF64,$H67,"-")</f>
        <v>Uruguay</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1.0002</v>
      </c>
      <c r="BW67" s="24">
        <f>+BX67/$BW$1</f>
        <v>0.2</v>
      </c>
      <c r="BX67" s="23">
        <v>2</v>
      </c>
      <c r="BY67" s="25" t="str">
        <f t="shared" ref="BY67:BY71" si="330">+IF(OR(BZ67="-",CC67="-"),"-","OK")</f>
        <v>-</v>
      </c>
      <c r="BZ67" s="57" t="str">
        <f>+IF(_xlfn.XLOOKUP($E67,$AY:$AY,$AZ:$AZ,"-",0)=BZ64,$E67,"-")</f>
        <v>-</v>
      </c>
      <c r="CA67" s="58">
        <f t="shared" si="305"/>
        <v>0</v>
      </c>
      <c r="CB67" s="59">
        <f t="shared" si="306"/>
        <v>2</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170</v>
      </c>
      <c r="B68" s="39">
        <v>46194</v>
      </c>
      <c r="C68" s="40"/>
      <c r="D68" s="41"/>
      <c r="E68" s="42" t="s">
        <v>49</v>
      </c>
      <c r="F68" s="43">
        <v>2</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-3</v>
      </c>
      <c r="T68" s="24">
        <f t="shared" ref="T68" si="340">+SUMIF(E66:E71,$O68,F66:F71)+SUMIF(H66:H71,$O68,G66:G71)</f>
        <v>1</v>
      </c>
      <c r="U68" s="24">
        <f t="shared" ref="U68" si="341">+SUMIF(E66:E71,$O68,G66:G71)+SUMIF(H66:H71,$O68,F66:F71)</f>
        <v>4</v>
      </c>
      <c r="V68" s="45">
        <f t="shared" si="314"/>
        <v>2.9971068000000001</v>
      </c>
      <c r="W68" s="26" t="str">
        <f t="shared" si="315"/>
        <v>Arabia Saudita</v>
      </c>
      <c r="Y68" s="68" t="str">
        <f>+CONCATENATE("3",RIGHT(E65,1))</f>
        <v>3H</v>
      </c>
      <c r="Z68" s="69" t="str">
        <f>+VLOOKUP(AL68,V66:W69,2,FALSE)</f>
        <v>Arabia Saudita</v>
      </c>
      <c r="AA68" s="70">
        <f t="shared" si="316"/>
        <v>3</v>
      </c>
      <c r="AB68" s="71">
        <f t="shared" si="302"/>
        <v>1</v>
      </c>
      <c r="AC68" s="71">
        <f t="shared" si="302"/>
        <v>0</v>
      </c>
      <c r="AD68" s="71">
        <f t="shared" si="302"/>
        <v>2</v>
      </c>
      <c r="AE68" s="71">
        <f t="shared" si="302"/>
        <v>-3</v>
      </c>
      <c r="AF68" s="71">
        <f t="shared" si="302"/>
        <v>1</v>
      </c>
      <c r="AG68" s="71">
        <f t="shared" si="302"/>
        <v>4</v>
      </c>
      <c r="AH68" s="72">
        <f>+VLOOKUP($Z68,$O$66:$V$69,COLUMN()-26,FALSE)</f>
        <v>2.9971068000000001</v>
      </c>
      <c r="AI68" s="73">
        <f>+(COUNTIFS($CV$2:$CV$13,Z68,$CX$2:$CX$13,"IN")+COUNTIFS($CV$2:$CV$13,Z68,$CW$2:$CW$13,"IN"))*IF(SUM(AA66:AA69)=12,1,0)</f>
        <v>1</v>
      </c>
      <c r="AL68" s="45">
        <f>+LARGE(V66:V69,3)</f>
        <v>2.9971068000000001</v>
      </c>
      <c r="AM68" s="52">
        <f t="shared" si="317"/>
        <v>0</v>
      </c>
      <c r="AP68" s="53" t="str">
        <f>+O68</f>
        <v>Arabia Saudita</v>
      </c>
      <c r="AQ68" s="23">
        <f>+P68*3+Q68*1+BT68+CN68+S68/1000+T68/10000</f>
        <v>2.9971000000000001</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3</v>
      </c>
      <c r="BC68" s="29">
        <f>+COUNTIFS($AX$1:AZ68,AZ68,$AZ$1:BB68,BB68)</f>
        <v>2</v>
      </c>
      <c r="BD68" s="29"/>
      <c r="BE68" s="25" t="str">
        <f>+IF(OR(BF68="-",BI68="-",BF64=0),"-","OK")</f>
        <v>-</v>
      </c>
      <c r="BF68" s="57" t="str">
        <f>+IF(_xlfn.XLOOKUP($E68,$AY:$AY,$AZ:$AZ,"-",0)=BF64,$E68,"-")</f>
        <v>España</v>
      </c>
      <c r="BG68" s="58">
        <f t="shared" si="303"/>
        <v>2</v>
      </c>
      <c r="BH68" s="59">
        <f t="shared" si="304"/>
        <v>0</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v>
      </c>
      <c r="CA68" s="58">
        <f t="shared" si="305"/>
        <v>2</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1</v>
      </c>
      <c r="G69" s="43">
        <v>0</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1</v>
      </c>
      <c r="R69" s="24">
        <f>+COUNTIF(M66:M71,"="&amp;$O69)</f>
        <v>0</v>
      </c>
      <c r="S69" s="24">
        <f t="shared" si="311"/>
        <v>3</v>
      </c>
      <c r="T69" s="24">
        <f t="shared" ref="T69" si="342">+SUMIF(E66:E71,$O69,F66:F71)+SUMIF(H66:H71,$O69,G66:G71)</f>
        <v>5</v>
      </c>
      <c r="U69" s="24">
        <f t="shared" ref="U69" si="343">+SUMIF(E66:E71,$O69,G66:G71)+SUMIF(H66:H71,$O69,F66:F71)</f>
        <v>2</v>
      </c>
      <c r="V69" s="45">
        <f t="shared" si="314"/>
        <v>7.3035068999999995</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-5</v>
      </c>
      <c r="AF69" s="77">
        <f t="shared" si="302"/>
        <v>0</v>
      </c>
      <c r="AG69" s="77">
        <f t="shared" si="302"/>
        <v>5</v>
      </c>
      <c r="AH69" s="78">
        <f>+VLOOKUP($Z69,$O$66:$V$69,COLUMN()-26,FALSE)</f>
        <v>-4.9933E-3</v>
      </c>
      <c r="AI69" s="73"/>
      <c r="AL69" s="45">
        <f>+LARGE(V66:V69,4)</f>
        <v>-4.9933E-3</v>
      </c>
      <c r="AM69" s="52">
        <f t="shared" si="317"/>
        <v>0</v>
      </c>
      <c r="AP69" s="53" t="str">
        <f>+O69</f>
        <v>Uruguay</v>
      </c>
      <c r="AQ69" s="23">
        <f>+P69*3+Q69*1+BT69+CN69+S69/1000+T69/10000</f>
        <v>7.3034999999999997</v>
      </c>
      <c r="AS69" s="54">
        <f t="shared" si="318"/>
        <v>0</v>
      </c>
      <c r="AT69" s="54">
        <f>+IF(AND(AM70="si",OR(AR66=1,AR67=1,AR68=1)),1,0)</f>
        <v>0</v>
      </c>
      <c r="AU69" s="79" t="str">
        <f t="shared" si="319"/>
        <v>Uruguay</v>
      </c>
      <c r="AV69" s="80"/>
      <c r="AX69" s="23" t="str">
        <f>+Y65</f>
        <v>Grupo H</v>
      </c>
      <c r="AY69" s="24" t="str">
        <f t="shared" si="320"/>
        <v>Uruguay</v>
      </c>
      <c r="AZ69" s="29">
        <f t="shared" si="321"/>
        <v>7</v>
      </c>
      <c r="BA69" s="29">
        <f>+COUNTIFS($AX$1:AX69,AX69,$AZ$1:AZ69,AZ69)</f>
        <v>2</v>
      </c>
      <c r="BB69" s="29">
        <f>+IF(AZ69=BF64,ROW()*0.001,AZ69)</f>
        <v>6.9000000000000006E-2</v>
      </c>
      <c r="BC69" s="29">
        <f>+COUNTIFS($AX$1:AZ69,AZ69,$AZ$1:BB69,BB69)</f>
        <v>1</v>
      </c>
      <c r="BD69" s="29"/>
      <c r="BE69" s="25" t="str">
        <f>+IF(OR(BF69="-",BI69="-",BF64=0),"-","OK")</f>
        <v>-</v>
      </c>
      <c r="BF69" s="57" t="str">
        <f>+IF(_xlfn.XLOOKUP($E69,$AY:$AY,$AZ:$AZ,"-",0)=BF64,$E69,"-")</f>
        <v>Uruguay</v>
      </c>
      <c r="BG69" s="58">
        <f t="shared" si="303"/>
        <v>1</v>
      </c>
      <c r="BH69" s="59">
        <f t="shared" si="304"/>
        <v>0</v>
      </c>
      <c r="BI69" s="57" t="str">
        <f>+IF(_xlfn.XLOOKUP($H69,$AY:$AY,$AZ:$AZ,"-",0)=BF64,$H69,"-")</f>
        <v>-</v>
      </c>
      <c r="BK69" s="26" t="str">
        <f t="shared" si="322"/>
        <v>Uruguay</v>
      </c>
      <c r="BL69" s="26">
        <f t="shared" si="323"/>
        <v>1</v>
      </c>
      <c r="BM69" s="24">
        <f t="shared" si="324"/>
        <v>0</v>
      </c>
      <c r="BN69" s="24">
        <f t="shared" si="325"/>
        <v>1</v>
      </c>
      <c r="BO69" s="24">
        <f t="shared" si="326"/>
        <v>0</v>
      </c>
      <c r="BP69" s="24">
        <f t="shared" si="327"/>
        <v>0</v>
      </c>
      <c r="BQ69" s="24">
        <f>+SUMIFS(BG:BG,$BE:$BE,"OK",BF:BF,$BK69)+SUMIFS(BH:BH,$BE:$BE,"OK",BI:BI,$BK69)</f>
        <v>2</v>
      </c>
      <c r="BR69" s="24">
        <f t="shared" si="328"/>
        <v>2</v>
      </c>
      <c r="BS69" s="60">
        <f t="shared" si="329"/>
        <v>1.0002</v>
      </c>
      <c r="BT69" s="60">
        <f>+IF(BL69=0,0,_xlfn.XLOOKUP(BS69,BV66:BV69,BW66:BW69))</f>
        <v>0.3</v>
      </c>
      <c r="BU69" s="45"/>
      <c r="BV69" s="24">
        <f>+LARGE(BS66:BS69,4)</f>
        <v>0</v>
      </c>
      <c r="BW69" s="24">
        <f>+BX69/$BW$1</f>
        <v>0</v>
      </c>
      <c r="BX69" s="23">
        <v>0</v>
      </c>
      <c r="BY69" s="25" t="str">
        <f t="shared" si="330"/>
        <v>-</v>
      </c>
      <c r="BZ69" s="57" t="str">
        <f>+IF(_xlfn.XLOOKUP($E69,$AY:$AY,$AZ:$AZ,"-",0)=BZ64,$E69,"-")</f>
        <v>-</v>
      </c>
      <c r="CA69" s="58">
        <f t="shared" si="305"/>
        <v>1</v>
      </c>
      <c r="CB69" s="59">
        <f t="shared" si="306"/>
        <v>0</v>
      </c>
      <c r="CC69" s="57" t="str">
        <f>+IF(_xlfn.XLOOKUP($H69,$AY:$AY,$AZ:$AZ,"-",0)=BZ64,$H69,"-")</f>
        <v>Cabo Verde</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172</v>
      </c>
      <c r="B70" s="39">
        <v>46199</v>
      </c>
      <c r="C70" s="40"/>
      <c r="D70" s="41"/>
      <c r="E70" s="42" t="s">
        <v>58</v>
      </c>
      <c r="F70" s="43">
        <v>2</v>
      </c>
      <c r="G70" s="43">
        <v>2</v>
      </c>
      <c r="H70" s="44" t="s">
        <v>49</v>
      </c>
      <c r="J70" s="24" t="str">
        <f t="shared" si="307"/>
        <v/>
      </c>
      <c r="K70" s="24" t="str">
        <f t="shared" si="308"/>
        <v>Uruguay</v>
      </c>
      <c r="L70" s="24" t="str">
        <f t="shared" si="309"/>
        <v>España</v>
      </c>
      <c r="M70" s="24" t="str">
        <f t="shared" si="310"/>
        <v/>
      </c>
      <c r="AL70" s="25" t="s">
        <v>122</v>
      </c>
      <c r="AM70" s="52" t="str">
        <f>+IF(SUM(AA66:AA69)=12,"si","no")</f>
        <v>si</v>
      </c>
      <c r="BE70" s="25" t="str">
        <f>+IF(OR(BF70="-",BI70="-",BF64=0),"-","OK")</f>
        <v>OK</v>
      </c>
      <c r="BF70" s="57" t="str">
        <f>+IF(_xlfn.XLOOKUP($E70,$AY:$AY,$AZ:$AZ,"-",0)=BF64,$E70,"-")</f>
        <v>Uruguay</v>
      </c>
      <c r="BG70" s="58">
        <f t="shared" si="303"/>
        <v>2</v>
      </c>
      <c r="BH70" s="59">
        <f t="shared" si="304"/>
        <v>2</v>
      </c>
      <c r="BI70" s="57" t="str">
        <f>+IF(_xlfn.XLOOKUP($H70,$AY:$AY,$AZ:$AZ,"-",0)=BF64,$H70,"-")</f>
        <v>España</v>
      </c>
      <c r="BY70" s="25" t="str">
        <f t="shared" si="330"/>
        <v>-</v>
      </c>
      <c r="BZ70" s="57" t="str">
        <f>+IF(_xlfn.XLOOKUP($E70,$AY:$AY,$AZ:$AZ,"-",0)=BZ64,$E70,"-")</f>
        <v>-</v>
      </c>
      <c r="CA70" s="58">
        <f t="shared" si="305"/>
        <v>2</v>
      </c>
      <c r="CB70" s="59">
        <f t="shared" si="306"/>
        <v>2</v>
      </c>
      <c r="CC70" s="57" t="str">
        <f>+IF(_xlfn.XLOOKUP($H70,$AY:$AY,$AZ:$AZ,"-",0)=BZ64,$H70,"-")</f>
        <v>-</v>
      </c>
    </row>
    <row r="71" spans="1:102" x14ac:dyDescent="0.2">
      <c r="A71" s="38" t="s">
        <v>173</v>
      </c>
      <c r="B71" s="39">
        <v>46199</v>
      </c>
      <c r="C71" s="40"/>
      <c r="D71" s="41"/>
      <c r="E71" s="42" t="s">
        <v>92</v>
      </c>
      <c r="F71" s="43">
        <v>0</v>
      </c>
      <c r="G71" s="43">
        <v>1</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0</v>
      </c>
      <c r="BH71" s="59">
        <f t="shared" si="304"/>
        <v>1</v>
      </c>
      <c r="BI71" s="57" t="str">
        <f>+IF(_xlfn.XLOOKUP($H71,$AY:$AY,$AZ:$AZ,"-",0)=BF64,$H71,"-")</f>
        <v>-</v>
      </c>
      <c r="BY71" s="25" t="str">
        <f t="shared" si="330"/>
        <v>-</v>
      </c>
      <c r="BZ71" s="57" t="str">
        <f>+IF(_xlfn.XLOOKUP($E71,$AY:$AY,$AZ:$AZ,"-",0)=BZ64,$E71,"-")</f>
        <v>Cabo Verde</v>
      </c>
      <c r="CA71" s="58">
        <f t="shared" si="305"/>
        <v>0</v>
      </c>
      <c r="CB71" s="59">
        <f t="shared" si="306"/>
        <v>1</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t="str">
        <f>+IF(BA75&gt;1,AZ75,IF(BA76&gt;1,AZ76,IF(BA77&gt;1,AZ77,IF(BA78&gt;1,AZ78,"-"))))</f>
        <v>-</v>
      </c>
      <c r="BW73" s="23">
        <v>10</v>
      </c>
      <c r="BZ73" s="29">
        <f>+IF(BC75&gt;1,BB75,IF(BC76&gt;1,BB76,IF(BC77&gt;1,BB77,IF(BC78&gt;1,BB78,"-"))))</f>
        <v>9</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2" t="s">
        <v>174</v>
      </c>
      <c r="Z74" s="513"/>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2</v>
      </c>
      <c r="G75" s="43">
        <v>0</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7</v>
      </c>
      <c r="T75" s="24">
        <f t="shared" ref="T75" si="344">+SUMIF(E75:E80,$O75,F75:F80)+SUMIF(H75:H80,$O75,G75:G80)</f>
        <v>7</v>
      </c>
      <c r="U75" s="24">
        <f t="shared" ref="U75" si="345">+SUMIF(E75:E80,$O75,G75:G80)+SUMIF(H75:H80,$O75,F75:F80)</f>
        <v>0</v>
      </c>
      <c r="V75" s="45">
        <f>+P75*3+Q75*1+BT75+CN75+S75/1000+T75/10000+AV75/1000000+ROW()/10000000</f>
        <v>9.0077075000000004</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7</v>
      </c>
      <c r="AF75" s="49">
        <f t="shared" ref="AF75:AF78" si="349">+_xlfn.XLOOKUP($Z75,$O:$O,T:T,"Error",0)</f>
        <v>7</v>
      </c>
      <c r="AG75" s="49">
        <f t="shared" ref="AG75:AG78" si="350">+_xlfn.XLOOKUP($Z75,$O:$O,U:U,"Error",0)</f>
        <v>0</v>
      </c>
      <c r="AH75" s="50">
        <f t="shared" ref="AH75:AH78" si="351">+_xlfn.XLOOKUP($Z75,$O:$O,V:V,"Error",0)</f>
        <v>9.0077075000000004</v>
      </c>
      <c r="AI75" s="51"/>
      <c r="AL75" s="45">
        <f>+LARGE(V75:V78,1)</f>
        <v>9.0077075000000004</v>
      </c>
      <c r="AM75" s="52">
        <f>+(AH75-AL75)*100000000000000000000</f>
        <v>0</v>
      </c>
      <c r="AP75" s="53" t="str">
        <f>+O75</f>
        <v>Francia</v>
      </c>
      <c r="AQ75" s="23">
        <f>+P75*3+Q75*1+BT75+CN75+S75/1000+T75/10000</f>
        <v>9.0076999999999998</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4</v>
      </c>
      <c r="BD75" s="29"/>
      <c r="BE75" s="25" t="str">
        <f>+IF(OR(BF75="-",BI75="-",BF73=0),"-","OK")</f>
        <v>-</v>
      </c>
      <c r="BF75" s="57" t="str">
        <f>+IF(_xlfn.XLOOKUP($E75,$AY:$AY,$AZ:$AZ,"-",0)=BF73,$E75,"-")</f>
        <v>-</v>
      </c>
      <c r="BG75" s="58">
        <f t="shared" ref="BG75:BG80" si="352">+$F75</f>
        <v>2</v>
      </c>
      <c r="BH75" s="59">
        <f t="shared" ref="BH75:BH80" si="353">+$G75</f>
        <v>0</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2</v>
      </c>
      <c r="CB75" s="59">
        <f t="shared" ref="CB75:CB80" si="355">+$G75</f>
        <v>0</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0</v>
      </c>
      <c r="G76" s="43">
        <v>1</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0</v>
      </c>
      <c r="Q76" s="24">
        <f>+COUNTIF(K75:L80,"="&amp;$O76)</f>
        <v>2</v>
      </c>
      <c r="R76" s="24">
        <f>+COUNTIF(M75:M80,"="&amp;$O76)</f>
        <v>1</v>
      </c>
      <c r="S76" s="24">
        <f t="shared" ref="S76:S78" si="360">+T76-U76</f>
        <v>-2</v>
      </c>
      <c r="T76" s="24">
        <f t="shared" ref="T76" si="361">+SUMIF(E75:E80,$O76,F75:F80)+SUMIF(H75:H80,$O76,G75:G80)</f>
        <v>2</v>
      </c>
      <c r="U76" s="24">
        <f t="shared" ref="U76" si="362">+SUMIF(E75:E80,$O76,G75:G80)+SUMIF(H75:H80,$O76,F75:F80)</f>
        <v>4</v>
      </c>
      <c r="V76" s="45">
        <f t="shared" ref="V76:V78" si="363">+P76*3+Q76*1+BT76+CN76+S76/1000+T76/10000+AV76/1000000+ROW()/10000000</f>
        <v>1.9982076</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1</v>
      </c>
      <c r="AC76" s="64">
        <f t="shared" si="346"/>
        <v>1</v>
      </c>
      <c r="AD76" s="64">
        <f t="shared" si="347"/>
        <v>1</v>
      </c>
      <c r="AE76" s="64">
        <f t="shared" si="348"/>
        <v>-1</v>
      </c>
      <c r="AF76" s="64">
        <f t="shared" si="349"/>
        <v>2</v>
      </c>
      <c r="AG76" s="64">
        <f t="shared" si="350"/>
        <v>3</v>
      </c>
      <c r="AH76" s="65">
        <f t="shared" si="351"/>
        <v>3.9992078000000002</v>
      </c>
      <c r="AI76" s="51"/>
      <c r="AL76" s="45">
        <f>+LARGE(V75:V78,2)</f>
        <v>3.9992078000000002</v>
      </c>
      <c r="AM76" s="52">
        <f t="shared" ref="AM76:AM78" si="367">+(AH76-AL76)*100000000000000000000</f>
        <v>0</v>
      </c>
      <c r="AP76" s="53" t="str">
        <f>+O76</f>
        <v>Senegal</v>
      </c>
      <c r="AQ76" s="23">
        <f>+P76*3+Q76*1+BT76+CN76+S76/1000+T76/10000</f>
        <v>1.9982</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2</v>
      </c>
      <c r="BA76" s="29">
        <f>+COUNTIFS($AX$1:AX76,AX76,$AZ$1:AZ76,AZ76)</f>
        <v>1</v>
      </c>
      <c r="BB76" s="29">
        <f>+IF(AZ76=BF73,ROW()*0.001,AZ76)</f>
        <v>2</v>
      </c>
      <c r="BC76" s="29">
        <f>+COUNTIFS($AX$1:AZ76,AZ76,$AZ$1:BB76,BB76)</f>
        <v>4</v>
      </c>
      <c r="BD76" s="29"/>
      <c r="BE76" s="25" t="str">
        <f>+IF(OR(BF76="-",BI76="-",BF73=0),"-","OK")</f>
        <v>-</v>
      </c>
      <c r="BF76" s="57" t="str">
        <f>+IF(_xlfn.XLOOKUP($E76,$AY:$AY,$AZ:$AZ,"-",0)=BF73,$E76,"-")</f>
        <v>-</v>
      </c>
      <c r="BG76" s="58">
        <f t="shared" si="352"/>
        <v>0</v>
      </c>
      <c r="BH76" s="59">
        <f t="shared" si="353"/>
        <v>1</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0</v>
      </c>
      <c r="CB76" s="59">
        <f t="shared" si="355"/>
        <v>1</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3</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1</v>
      </c>
      <c r="R77" s="24">
        <f>+COUNTIF(M75:M80,"="&amp;$O77)</f>
        <v>2</v>
      </c>
      <c r="S77" s="24">
        <f t="shared" si="360"/>
        <v>-4</v>
      </c>
      <c r="T77" s="24">
        <f t="shared" ref="T77" si="390">+SUMIF(E75:E80,$O77,F75:F80)+SUMIF(H75:H80,$O77,G75:G80)</f>
        <v>1</v>
      </c>
      <c r="U77" s="24">
        <f t="shared" ref="U77" si="391">+SUMIF(E75:E80,$O77,G75:G80)+SUMIF(H75:H80,$O77,F75:F80)</f>
        <v>5</v>
      </c>
      <c r="V77" s="45">
        <f t="shared" si="363"/>
        <v>0.99610770000000004</v>
      </c>
      <c r="W77" s="26" t="str">
        <f t="shared" si="364"/>
        <v>Irak</v>
      </c>
      <c r="Y77" s="68" t="str">
        <f>+CONCATENATE("3",RIGHT(E74,1))</f>
        <v>3I</v>
      </c>
      <c r="Z77" s="69" t="str">
        <f>+VLOOKUP(AL77,V75:W78,2,FALSE)</f>
        <v>Senegal</v>
      </c>
      <c r="AA77" s="70">
        <f t="shared" si="365"/>
        <v>3</v>
      </c>
      <c r="AB77" s="71">
        <f t="shared" si="366"/>
        <v>0</v>
      </c>
      <c r="AC77" s="71">
        <f t="shared" si="346"/>
        <v>2</v>
      </c>
      <c r="AD77" s="71">
        <f t="shared" si="347"/>
        <v>1</v>
      </c>
      <c r="AE77" s="71">
        <f t="shared" si="348"/>
        <v>-2</v>
      </c>
      <c r="AF77" s="71">
        <f t="shared" si="349"/>
        <v>2</v>
      </c>
      <c r="AG77" s="71">
        <f t="shared" si="350"/>
        <v>4</v>
      </c>
      <c r="AH77" s="72">
        <f t="shared" si="351"/>
        <v>1.9982076</v>
      </c>
      <c r="AI77" s="73">
        <f>+(COUNTIFS($CV$2:$CV$13,Z77,$CX$2:$CX$13,"IN")+COUNTIFS($CV$2:$CV$13,Z77,$CW$2:$CW$13,"IN"))*IF(SUM(AA75:AA78)=12,1,0)</f>
        <v>1</v>
      </c>
      <c r="AL77" s="45">
        <f>+LARGE(V75:V78,3)</f>
        <v>1.9982076</v>
      </c>
      <c r="AM77" s="52">
        <f t="shared" si="367"/>
        <v>0</v>
      </c>
      <c r="AP77" s="53" t="str">
        <f>+O77</f>
        <v>Irak</v>
      </c>
      <c r="AQ77" s="23">
        <f>+P77*3+Q77*1+BT77+CN77+S77/1000+T77/10000</f>
        <v>0.99609999999999999</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1</v>
      </c>
      <c r="BA77" s="29">
        <f>+COUNTIFS($AX$1:AX77,AX77,$AZ$1:AZ77,AZ77)</f>
        <v>1</v>
      </c>
      <c r="BB77" s="29">
        <f>+IF(AZ77=BF73,ROW()*0.001,AZ77)</f>
        <v>1</v>
      </c>
      <c r="BC77" s="29">
        <f>+COUNTIFS($AX$1:AZ77,AZ77,$AZ$1:BB77,BB77)</f>
        <v>5</v>
      </c>
      <c r="BD77" s="29"/>
      <c r="BE77" s="25" t="str">
        <f>+IF(OR(BF77="-",BI77="-",BF73=0),"-","OK")</f>
        <v>-</v>
      </c>
      <c r="BF77" s="57" t="str">
        <f>+IF(_xlfn.XLOOKUP($E77,$AY:$AY,$AZ:$AZ,"-",0)=BF73,$E77,"-")</f>
        <v>-</v>
      </c>
      <c r="BG77" s="58">
        <f t="shared" si="352"/>
        <v>3</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3</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1</v>
      </c>
      <c r="G78" s="43">
        <v>1</v>
      </c>
      <c r="H78" s="44" t="s">
        <v>61</v>
      </c>
      <c r="J78" s="24" t="str">
        <f t="shared" si="356"/>
        <v/>
      </c>
      <c r="K78" s="24" t="str">
        <f t="shared" si="357"/>
        <v>Noruega</v>
      </c>
      <c r="L78" s="24" t="str">
        <f t="shared" si="358"/>
        <v>Senegal</v>
      </c>
      <c r="M78" s="24" t="str">
        <f t="shared" si="359"/>
        <v/>
      </c>
      <c r="O78" s="26" t="str">
        <f>+H76</f>
        <v>Noruega</v>
      </c>
      <c r="P78" s="24">
        <f>+COUNTIF(J75:J80,"="&amp;$O78)</f>
        <v>1</v>
      </c>
      <c r="Q78" s="24">
        <f>+COUNTIF(K75:L80,"="&amp;$O78)</f>
        <v>1</v>
      </c>
      <c r="R78" s="24">
        <f>+COUNTIF(M75:M80,"="&amp;$O78)</f>
        <v>1</v>
      </c>
      <c r="S78" s="24">
        <f t="shared" si="360"/>
        <v>-1</v>
      </c>
      <c r="T78" s="24">
        <f t="shared" ref="T78" si="392">+SUMIF(E75:E80,$O78,F75:F80)+SUMIF(H75:H80,$O78,G75:G80)</f>
        <v>2</v>
      </c>
      <c r="U78" s="24">
        <f t="shared" ref="U78" si="393">+SUMIF(E75:E80,$O78,G75:G80)+SUMIF(H75:H80,$O78,F75:F80)</f>
        <v>3</v>
      </c>
      <c r="V78" s="45">
        <f t="shared" si="363"/>
        <v>3.9992078000000002</v>
      </c>
      <c r="W78" s="26" t="str">
        <f t="shared" si="364"/>
        <v>Noruega</v>
      </c>
      <c r="Y78" s="74" t="str">
        <f>+CONCATENATE("4",RIGHT(E74,1))</f>
        <v>4I</v>
      </c>
      <c r="Z78" s="75" t="str">
        <f>+VLOOKUP(AL78,V75:W78,2,FALSE)</f>
        <v>Irak</v>
      </c>
      <c r="AA78" s="76">
        <f t="shared" si="365"/>
        <v>3</v>
      </c>
      <c r="AB78" s="77">
        <f t="shared" si="366"/>
        <v>0</v>
      </c>
      <c r="AC78" s="77">
        <f t="shared" si="346"/>
        <v>1</v>
      </c>
      <c r="AD78" s="77">
        <f t="shared" si="347"/>
        <v>2</v>
      </c>
      <c r="AE78" s="77">
        <f t="shared" si="348"/>
        <v>-4</v>
      </c>
      <c r="AF78" s="77">
        <f t="shared" si="349"/>
        <v>1</v>
      </c>
      <c r="AG78" s="77">
        <f t="shared" si="350"/>
        <v>5</v>
      </c>
      <c r="AH78" s="78">
        <f t="shared" si="351"/>
        <v>0.99610770000000004</v>
      </c>
      <c r="AI78" s="73"/>
      <c r="AL78" s="45">
        <f>+LARGE(V75:V78,4)</f>
        <v>0.99610770000000004</v>
      </c>
      <c r="AM78" s="52">
        <f t="shared" si="367"/>
        <v>0</v>
      </c>
      <c r="AP78" s="53" t="str">
        <f>+O78</f>
        <v>Noruega</v>
      </c>
      <c r="AQ78" s="23">
        <f>+P78*3+Q78*1+BT78+CN78+S78/1000+T78/10000</f>
        <v>3.9992000000000001</v>
      </c>
      <c r="AS78" s="54">
        <f t="shared" si="368"/>
        <v>0</v>
      </c>
      <c r="AT78" s="54">
        <f>+IF(AND(AM79="si",OR(AR75=1,AR76=1,AR77=1)),1,0)</f>
        <v>0</v>
      </c>
      <c r="AU78" s="79" t="str">
        <f t="shared" si="369"/>
        <v>Noruega</v>
      </c>
      <c r="AV78" s="80"/>
      <c r="AX78" s="23" t="str">
        <f>+Y74</f>
        <v>Grupo I</v>
      </c>
      <c r="AY78" s="24" t="str">
        <f t="shared" si="370"/>
        <v>Noruega</v>
      </c>
      <c r="AZ78" s="29">
        <f t="shared" si="371"/>
        <v>4</v>
      </c>
      <c r="BA78" s="29">
        <f>+COUNTIFS($AX$1:AX78,AX78,$AZ$1:AZ78,AZ78)</f>
        <v>1</v>
      </c>
      <c r="BB78" s="29">
        <f>+IF(AZ78=BF73,ROW()*0.001,AZ78)</f>
        <v>4</v>
      </c>
      <c r="BC78" s="29">
        <f>+COUNTIFS($AX$1:AZ78,AZ78,$AZ$1:BB78,BB78)</f>
        <v>5</v>
      </c>
      <c r="BD78" s="29"/>
      <c r="BE78" s="25" t="str">
        <f>+IF(OR(BF78="-",BI78="-",BF73=0),"-","OK")</f>
        <v>-</v>
      </c>
      <c r="BF78" s="57" t="str">
        <f>+IF(_xlfn.XLOOKUP($E78,$AY:$AY,$AZ:$AZ,"-",0)=BF73,$E78,"-")</f>
        <v>-</v>
      </c>
      <c r="BG78" s="58">
        <f t="shared" si="352"/>
        <v>1</v>
      </c>
      <c r="BH78" s="59">
        <f t="shared" si="353"/>
        <v>1</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1</v>
      </c>
      <c r="CB78" s="59">
        <f t="shared" si="355"/>
        <v>1</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0</v>
      </c>
      <c r="G79" s="43">
        <v>2</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v>
      </c>
      <c r="BG79" s="58">
        <f t="shared" si="352"/>
        <v>0</v>
      </c>
      <c r="BH79" s="59">
        <f t="shared" si="353"/>
        <v>2</v>
      </c>
      <c r="BI79" s="57" t="str">
        <f>+IF(_xlfn.XLOOKUP($H79,$AY:$AY,$AZ:$AZ,"-",0)=BF73,$H79,"-")</f>
        <v>-</v>
      </c>
      <c r="BY79" s="25" t="str">
        <f t="shared" si="380"/>
        <v>-</v>
      </c>
      <c r="BZ79" s="57" t="str">
        <f>+IF(_xlfn.XLOOKUP($E79,$AY:$AY,$AZ:$AZ,"-",0)=BZ73,$E79,"-")</f>
        <v>-</v>
      </c>
      <c r="CA79" s="58">
        <f t="shared" si="354"/>
        <v>0</v>
      </c>
      <c r="CB79" s="59">
        <f t="shared" si="355"/>
        <v>2</v>
      </c>
      <c r="CC79" s="57" t="str">
        <f>+IF(_xlfn.XLOOKUP($H79,$AY:$AY,$AZ:$AZ,"-",0)=BZ73,$H79,"-")</f>
        <v>Francia</v>
      </c>
    </row>
    <row r="80" spans="1:102" x14ac:dyDescent="0.2">
      <c r="A80" s="38" t="s">
        <v>180</v>
      </c>
      <c r="B80" s="39">
        <v>46199</v>
      </c>
      <c r="C80" s="40"/>
      <c r="D80" s="41"/>
      <c r="E80" s="42" t="s">
        <v>61</v>
      </c>
      <c r="F80" s="43">
        <v>1</v>
      </c>
      <c r="G80" s="43">
        <v>1</v>
      </c>
      <c r="H80" s="44" t="s">
        <v>90</v>
      </c>
      <c r="J80" s="24" t="str">
        <f t="shared" si="356"/>
        <v/>
      </c>
      <c r="K80" s="24" t="str">
        <f t="shared" si="357"/>
        <v>Senegal</v>
      </c>
      <c r="L80" s="24" t="str">
        <f t="shared" si="358"/>
        <v>Irak</v>
      </c>
      <c r="M80" s="24" t="str">
        <f t="shared" si="359"/>
        <v/>
      </c>
      <c r="Y80" s="53" t="s">
        <v>124</v>
      </c>
      <c r="AR80" s="23">
        <f>+IF(AND(AM79="si",OR(AR75=1,AR76=1,AR77=1)),1,0)</f>
        <v>0</v>
      </c>
      <c r="BE80" s="25" t="str">
        <f>+IF(OR(BF80="-",BI80="-",BF73=0),"-","OK")</f>
        <v>-</v>
      </c>
      <c r="BF80" s="57" t="str">
        <f>+IF(_xlfn.XLOOKUP($E80,$AY:$AY,$AZ:$AZ,"-",0)=BF73,$E80,"-")</f>
        <v>-</v>
      </c>
      <c r="BG80" s="58">
        <f t="shared" si="352"/>
        <v>1</v>
      </c>
      <c r="BH80" s="59">
        <f t="shared" si="353"/>
        <v>1</v>
      </c>
      <c r="BI80" s="57" t="str">
        <f>+IF(_xlfn.XLOOKUP($H80,$AY:$AY,$AZ:$AZ,"-",0)=BF73,$H80,"-")</f>
        <v>-</v>
      </c>
      <c r="BY80" s="25" t="str">
        <f t="shared" si="380"/>
        <v>-</v>
      </c>
      <c r="BZ80" s="57" t="str">
        <f>+IF(_xlfn.XLOOKUP($E80,$AY:$AY,$AZ:$AZ,"-",0)=BZ73,$E80,"-")</f>
        <v>-</v>
      </c>
      <c r="CA80" s="58">
        <f t="shared" si="354"/>
        <v>1</v>
      </c>
      <c r="CB80" s="59">
        <f t="shared" si="355"/>
        <v>1</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f>+IF(BA84&gt;1,AZ84,IF(BA85&gt;1,AZ85,IF(BA86&gt;1,AZ86,IF(BA87&gt;1,AZ87,"-"))))</f>
        <v>2</v>
      </c>
      <c r="BW82" s="23">
        <v>10</v>
      </c>
      <c r="BZ82" s="29">
        <f>+IF(BC84&gt;1,BB84,IF(BC85&gt;1,BB85,IF(BC86&gt;1,BB86,IF(BC87&gt;1,BB87,"-"))))</f>
        <v>9</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2" t="s">
        <v>181</v>
      </c>
      <c r="Z83" s="503"/>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2</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6</v>
      </c>
      <c r="T84" s="24">
        <f t="shared" ref="T84" si="394">+SUMIF(E84:E89,$O84,F84:F89)+SUMIF(H84:H89,$O84,G84:G89)</f>
        <v>6</v>
      </c>
      <c r="U84" s="24">
        <f t="shared" ref="U84" si="395">+SUMIF(E84:E89,$O84,G84:G89)+SUMIF(H84:H89,$O84,F84:F89)</f>
        <v>0</v>
      </c>
      <c r="V84" s="45">
        <f>+P84*3+Q84*1+BT84+CN84+S84/1000+T84/10000+AV84/1000000+ROW()/10000000</f>
        <v>9.0066084000000011</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6</v>
      </c>
      <c r="AF84" s="49">
        <f t="shared" ref="AF84:AF87" si="399">+_xlfn.XLOOKUP($Z84,$O:$O,T:T,"Error",0)</f>
        <v>6</v>
      </c>
      <c r="AG84" s="49">
        <f t="shared" ref="AG84:AH87" si="400">+_xlfn.XLOOKUP($Z84,$O:$O,U:U,"Error",0)</f>
        <v>0</v>
      </c>
      <c r="AH84" s="50">
        <f t="shared" si="400"/>
        <v>9.0066084000000011</v>
      </c>
      <c r="AI84" s="51"/>
      <c r="AL84" s="45">
        <f>+LARGE(V84:V87,1)</f>
        <v>9.0066084000000011</v>
      </c>
      <c r="AM84" s="52">
        <f>+(AH84-AL84)*100000000000000000000</f>
        <v>0</v>
      </c>
      <c r="AP84" s="53" t="str">
        <f>+O84</f>
        <v>Argentina</v>
      </c>
      <c r="AQ84" s="23">
        <f>+P84*3+Q84*1+BT84+CN84+S84/1000+T84/10000</f>
        <v>9.0066000000000006</v>
      </c>
      <c r="AR84" s="23" t="b">
        <f>+IF(OR(AQ84=AQ85,AQ84=AQ86,AQ84=AQ87),1)</f>
        <v>0</v>
      </c>
      <c r="AS84" s="54">
        <f>+AV84</f>
        <v>0</v>
      </c>
      <c r="AT84" s="54">
        <f>+IF(AND(AM88="si",OR(AR84=1,AR85=1,AR86=1)),1,0)</f>
        <v>1</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5</v>
      </c>
      <c r="BD84" s="29"/>
      <c r="BE84" s="25" t="str">
        <f>+IF(OR(BF84="-",BI84="-",BF82=0),"-","OK")</f>
        <v>-</v>
      </c>
      <c r="BF84" s="57" t="str">
        <f>+IF(_xlfn.XLOOKUP($E84,$AY:$AY,$AZ:$AZ,"-",0)=BF82,$E84,"-")</f>
        <v>-</v>
      </c>
      <c r="BG84" s="58">
        <f t="shared" ref="BG84:BG89" si="401">+$F84</f>
        <v>2</v>
      </c>
      <c r="BH84" s="59">
        <f t="shared" ref="BH84:BH89" si="402">+$G84</f>
        <v>0</v>
      </c>
      <c r="BI84" s="57" t="str">
        <f>+IF(_xlfn.XLOOKUP($H84,$AY:$AY,$AZ:$AZ,"-",0)=BF82,$H84,"-")</f>
        <v>Argelia</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2.0002</v>
      </c>
      <c r="BW84" s="24">
        <f>+BX84/$BW$1</f>
        <v>0.3</v>
      </c>
      <c r="BX84" s="23">
        <v>3</v>
      </c>
      <c r="BY84" s="25" t="str">
        <f t="shared" ref="BY84:BY89" si="403">+IF(OR(BZ84="-",CC84="-"),"-","OK")</f>
        <v>-</v>
      </c>
      <c r="BZ84" s="57" t="str">
        <f>+IF(_xlfn.XLOOKUP($E84,$AY:$AY,$AZ:$AZ,"-",0)=BZ82,$E84,"-")</f>
        <v>Argentina</v>
      </c>
      <c r="CA84" s="58">
        <f t="shared" ref="CA84:CA89" si="404">+$F84</f>
        <v>2</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1</v>
      </c>
      <c r="G85" s="43">
        <v>1</v>
      </c>
      <c r="H85" s="44" t="s">
        <v>91</v>
      </c>
      <c r="J85" s="24" t="str">
        <f t="shared" ref="J85:J89" si="406">IF(OR(ISBLANK(F85),ISBLANK(G85)),"",IF(F85&gt;G85,E85,IF(G85&gt;F85,H85,"")))</f>
        <v/>
      </c>
      <c r="K85" s="24" t="str">
        <f t="shared" ref="K85:K89" si="407">IF(OR(ISBLANK(F85),ISBLANK(G85)),"",IF(F85=G85,E85,""))</f>
        <v>Austria</v>
      </c>
      <c r="L85" s="24" t="str">
        <f t="shared" ref="L85:L89" si="408">IF(OR(ISBLANK(F85),ISBLANK(G85)),"",IF(F85=G85,H85,""))</f>
        <v>Jordania</v>
      </c>
      <c r="M85" s="24" t="str">
        <f t="shared" ref="M85:M89" si="409">IF(OR(ISBLANK(F85),ISBLANK(G85)),"",IF(F85&lt;G85,E85,IF(G85&lt;F85,H85,"")))</f>
        <v/>
      </c>
      <c r="O85" s="26" t="str">
        <f>+H84</f>
        <v>Argelia</v>
      </c>
      <c r="P85" s="24">
        <f>+COUNTIF(J84:J89,"="&amp;$O85)</f>
        <v>0</v>
      </c>
      <c r="Q85" s="24">
        <f>+COUNTIF(K84:L89,"="&amp;$O85)</f>
        <v>2</v>
      </c>
      <c r="R85" s="24">
        <f>+COUNTIF(M84:M89,"="&amp;$O85)</f>
        <v>1</v>
      </c>
      <c r="S85" s="24">
        <f t="shared" ref="S85:S87" si="410">+T85-U85</f>
        <v>-2</v>
      </c>
      <c r="T85" s="24">
        <f t="shared" ref="T85" si="411">+SUMIF(E84:E89,$O85,F84:F89)+SUMIF(H84:H89,$O85,G84:G89)</f>
        <v>2</v>
      </c>
      <c r="U85" s="24">
        <f t="shared" ref="U85" si="412">+SUMIF(E84:E89,$O85,G84:G89)+SUMIF(H84:H89,$O85,F84:F89)</f>
        <v>4</v>
      </c>
      <c r="V85" s="45">
        <f>+P85*3+Q85*1+BT85+CN85+S85/1000+T85/10000+AV85/1000000+ROW()/10000000</f>
        <v>2.2982104999999997</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0</v>
      </c>
      <c r="AC85" s="49">
        <f t="shared" si="396"/>
        <v>2</v>
      </c>
      <c r="AD85" s="49">
        <f t="shared" si="397"/>
        <v>1</v>
      </c>
      <c r="AE85" s="49">
        <f t="shared" si="398"/>
        <v>-2</v>
      </c>
      <c r="AF85" s="49">
        <f t="shared" si="399"/>
        <v>2</v>
      </c>
      <c r="AG85" s="49">
        <f t="shared" si="400"/>
        <v>4</v>
      </c>
      <c r="AH85" s="65">
        <f t="shared" si="400"/>
        <v>2.2982126000000003</v>
      </c>
      <c r="AI85" s="51"/>
      <c r="AL85" s="45">
        <f>+LARGE(V84:V87,2)</f>
        <v>2.2982126000000003</v>
      </c>
      <c r="AM85" s="52">
        <f>+(AH85-AL85)*100000000000000000000</f>
        <v>0</v>
      </c>
      <c r="AP85" s="53" t="str">
        <f>+O85</f>
        <v>Argelia</v>
      </c>
      <c r="AQ85" s="23">
        <f>+P85*3+Q85*1+BT85+CN85+S85/1000+T85/10000</f>
        <v>2.2982</v>
      </c>
      <c r="AR85" s="23">
        <f>+IF(OR(AQ85=AQ86,AQ85=AQ87),1)</f>
        <v>1</v>
      </c>
      <c r="AS85" s="54">
        <f t="shared" ref="AS85:AS87" si="416">+AV85</f>
        <v>2</v>
      </c>
      <c r="AT85" s="54">
        <f>+IF(AND(AM88="si",OR(AR84=1,AR85=1,AR86=1)),1,0)</f>
        <v>1</v>
      </c>
      <c r="AU85" s="66" t="str">
        <f t="shared" ref="AU85:AU87" si="417">+O85</f>
        <v>Argelia</v>
      </c>
      <c r="AV85" s="67">
        <v>2</v>
      </c>
      <c r="AX85" s="23" t="str">
        <f>+Y83</f>
        <v>Grupo J</v>
      </c>
      <c r="AY85" s="24" t="str">
        <f>+O85</f>
        <v>Argelia</v>
      </c>
      <c r="AZ85" s="29">
        <f>+P85*3+Q85</f>
        <v>2</v>
      </c>
      <c r="BA85" s="29">
        <f>+COUNTIFS($AX$1:AX85,AX85,$AZ$1:AZ85,AZ85)</f>
        <v>1</v>
      </c>
      <c r="BB85" s="29">
        <f>+IF(AZ85=BF82,ROW()*0.001,AZ85)</f>
        <v>8.5000000000000006E-2</v>
      </c>
      <c r="BC85" s="29">
        <f>+COUNTIFS($AX$1:AZ85,AZ85,$AZ$1:BB85,BB85)</f>
        <v>1</v>
      </c>
      <c r="BD85" s="29"/>
      <c r="BE85" s="25" t="str">
        <f>+IF(OR(BF85="-",BI85="-",BF82=0),"-","OK")</f>
        <v>OK</v>
      </c>
      <c r="BF85" s="57" t="str">
        <f>+IF(_xlfn.XLOOKUP($E85,$AY:$AY,$AZ:$AZ,"-",0)=BF82,$E85,"-")</f>
        <v>Austria</v>
      </c>
      <c r="BG85" s="58">
        <f t="shared" si="401"/>
        <v>1</v>
      </c>
      <c r="BH85" s="59">
        <f t="shared" si="402"/>
        <v>1</v>
      </c>
      <c r="BI85" s="57" t="str">
        <f>+IF(_xlfn.XLOOKUP($H85,$AY:$AY,$AZ:$AZ,"-",0)=BF82,$H85,"-")</f>
        <v>Jordania</v>
      </c>
      <c r="BK85" s="26" t="str">
        <f>+O85</f>
        <v>Argelia</v>
      </c>
      <c r="BL85" s="26">
        <f>+COUNTIFS($BE:$BE,"OK",$BI:$BI,BK85)+COUNTIFS($BE:$BE,"OK",$BF:$BF,BK85)</f>
        <v>2</v>
      </c>
      <c r="BM85" s="24">
        <f>+COUNTIFS(J:J,$BK85,$BE:$BE,"OK")</f>
        <v>0</v>
      </c>
      <c r="BN85" s="24">
        <f>+COUNTIFS(K:K,$BK85,$BE:$BE,"OK")+COUNTIFS(L:L,$BK85,$BE:$BE,"OK")</f>
        <v>2</v>
      </c>
      <c r="BO85" s="24">
        <f>+COUNTIFS(M:M,$BK85,$BE:$BE,"OK")</f>
        <v>0</v>
      </c>
      <c r="BP85" s="24">
        <f>+BQ85-BR85</f>
        <v>0</v>
      </c>
      <c r="BQ85" s="24">
        <f>+SUMIFS(BG:BG,$BE:$BE,"OK",BF:BF,$BK85)+SUMIFS(BH:BH,$BE:$BE,"OK",BI:BI,$BK85)</f>
        <v>2</v>
      </c>
      <c r="BR85" s="24">
        <f>+SUMIFS(BH:BH,$BE:$BE,"OK",BF:BF,$BK85)+SUMIFS(BG:BG,$BE:$BE,"OK",BI:BI,$BK85)</f>
        <v>2</v>
      </c>
      <c r="BS85" s="60">
        <f>+BM85*3+BN85*1+BP85/100+BQ85/10000</f>
        <v>2.0002</v>
      </c>
      <c r="BT85" s="29">
        <f>+IF(BL85=0,0,_xlfn.XLOOKUP(BS85,BV84:BV87,BW84:BW87))</f>
        <v>0.3</v>
      </c>
      <c r="BU85" s="45"/>
      <c r="BV85" s="24">
        <f>+LARGE(BS84:BS87,2)</f>
        <v>2.0002</v>
      </c>
      <c r="BW85" s="24">
        <f>+BX85/$BW$1</f>
        <v>0.2</v>
      </c>
      <c r="BX85" s="23">
        <v>2</v>
      </c>
      <c r="BY85" s="25" t="str">
        <f t="shared" si="403"/>
        <v>-</v>
      </c>
      <c r="BZ85" s="57" t="str">
        <f>+IF(_xlfn.XLOOKUP($E85,$AY:$AY,$AZ:$AZ,"-",0)=BZ82,$E85,"-")</f>
        <v>-</v>
      </c>
      <c r="CA85" s="58">
        <f t="shared" si="404"/>
        <v>1</v>
      </c>
      <c r="CB85" s="59">
        <f t="shared" si="405"/>
        <v>1</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2</v>
      </c>
      <c r="G86" s="43">
        <v>0</v>
      </c>
      <c r="H86" s="44" t="s">
        <v>72</v>
      </c>
      <c r="J86" s="24" t="str">
        <f t="shared" si="406"/>
        <v>Argentina</v>
      </c>
      <c r="K86" s="24" t="str">
        <f t="shared" si="407"/>
        <v/>
      </c>
      <c r="L86" s="24" t="str">
        <f t="shared" si="408"/>
        <v/>
      </c>
      <c r="M86" s="24" t="str">
        <f t="shared" si="409"/>
        <v>Austria</v>
      </c>
      <c r="O86" s="26" t="str">
        <f>+E85</f>
        <v>Austria</v>
      </c>
      <c r="P86" s="24">
        <f>+COUNTIF(J84:J89,"="&amp;$O86)</f>
        <v>0</v>
      </c>
      <c r="Q86" s="24">
        <f>+COUNTIF(K84:L89,"="&amp;$O86)</f>
        <v>2</v>
      </c>
      <c r="R86" s="24">
        <f>+COUNTIF(M84:M89,"="&amp;$O86)</f>
        <v>1</v>
      </c>
      <c r="S86" s="24">
        <f t="shared" si="410"/>
        <v>-2</v>
      </c>
      <c r="T86" s="24">
        <f t="shared" ref="T86" si="419">+SUMIF(E84:E89,$O86,F84:F89)+SUMIF(H84:H89,$O86,G84:G89)</f>
        <v>2</v>
      </c>
      <c r="U86" s="24">
        <f t="shared" ref="U86" si="420">+SUMIF(E84:E89,$O86,G84:G89)+SUMIF(H84:H89,$O86,F84:F89)</f>
        <v>4</v>
      </c>
      <c r="V86" s="45">
        <f>+P86*3+Q86*1+BT86+CN86+S86/1000+T86/10000+AV86/1000000+ROW()/10000000</f>
        <v>2.2982126000000003</v>
      </c>
      <c r="W86" s="26" t="str">
        <f t="shared" si="413"/>
        <v>Austria</v>
      </c>
      <c r="Y86" s="68" t="str">
        <f>+CONCATENATE("3",RIGHT(E83,1))</f>
        <v>3J</v>
      </c>
      <c r="Z86" s="69" t="str">
        <f>+VLOOKUP(AL86,V84:W87,2,FALSE)</f>
        <v>Jordania</v>
      </c>
      <c r="AA86" s="70">
        <f t="shared" si="414"/>
        <v>3</v>
      </c>
      <c r="AB86" s="71">
        <f t="shared" si="415"/>
        <v>0</v>
      </c>
      <c r="AC86" s="71">
        <f t="shared" si="396"/>
        <v>2</v>
      </c>
      <c r="AD86" s="71">
        <f t="shared" si="397"/>
        <v>1</v>
      </c>
      <c r="AE86" s="71">
        <f t="shared" si="398"/>
        <v>-2</v>
      </c>
      <c r="AF86" s="71">
        <f t="shared" si="399"/>
        <v>2</v>
      </c>
      <c r="AG86" s="71">
        <f t="shared" si="400"/>
        <v>4</v>
      </c>
      <c r="AH86" s="72">
        <f t="shared" si="400"/>
        <v>2.2982117</v>
      </c>
      <c r="AI86" s="73">
        <f>+(COUNTIFS($CV$2:$CV$13,Z86,$CX$2:$CX$13,"IN")+COUNTIFS($CV$2:$CV$13,Z86,$CW$2:$CW$13,"IN"))*IF(SUM(AA84:AA87)=12,1,0)</f>
        <v>0</v>
      </c>
      <c r="AL86" s="45">
        <f>+LARGE(V84:V87,3)</f>
        <v>2.2982117</v>
      </c>
      <c r="AM86" s="52">
        <f>+(AH86-AL86)*100000000000000000000</f>
        <v>0</v>
      </c>
      <c r="AP86" s="53" t="str">
        <f>+O86</f>
        <v>Austria</v>
      </c>
      <c r="AQ86" s="23">
        <f>+P86*3+Q86*1+BT86+CN86+S86/1000+T86/10000</f>
        <v>2.2982</v>
      </c>
      <c r="AR86" s="23">
        <f>+IF(OR(AQ86=AQ87),1)</f>
        <v>1</v>
      </c>
      <c r="AS86" s="54">
        <f t="shared" si="416"/>
        <v>4</v>
      </c>
      <c r="AT86" s="54">
        <f>+IF(AND(AM88="si",OR(AR84=1,AR85=1,AR86=1)),1,0)</f>
        <v>1</v>
      </c>
      <c r="AU86" s="66" t="str">
        <f t="shared" si="417"/>
        <v>Austria</v>
      </c>
      <c r="AV86" s="67">
        <v>4</v>
      </c>
      <c r="AX86" s="23" t="str">
        <f>+Y83</f>
        <v>Grupo J</v>
      </c>
      <c r="AY86" s="24" t="str">
        <f>+O86</f>
        <v>Austria</v>
      </c>
      <c r="AZ86" s="29">
        <f>+P86*3+Q86</f>
        <v>2</v>
      </c>
      <c r="BA86" s="29">
        <f>+COUNTIFS($AX$1:AX86,AX86,$AZ$1:AZ86,AZ86)</f>
        <v>2</v>
      </c>
      <c r="BB86" s="29">
        <f>+IF(AZ86=BF82,ROW()*0.001,AZ86)</f>
        <v>8.6000000000000007E-2</v>
      </c>
      <c r="BC86" s="29">
        <f>+COUNTIFS($AX$1:AZ86,AZ86,$AZ$1:BB86,BB86)</f>
        <v>1</v>
      </c>
      <c r="BD86" s="29"/>
      <c r="BE86" s="25" t="str">
        <f>+IF(OR(BF86="-",BI86="-",BF82=0),"-","OK")</f>
        <v>-</v>
      </c>
      <c r="BF86" s="57" t="str">
        <f>+IF(_xlfn.XLOOKUP($E86,$AY:$AY,$AZ:$AZ,"-",0)=BF82,$E86,"-")</f>
        <v>-</v>
      </c>
      <c r="BG86" s="58">
        <f t="shared" si="401"/>
        <v>2</v>
      </c>
      <c r="BH86" s="59">
        <f t="shared" si="402"/>
        <v>0</v>
      </c>
      <c r="BI86" s="57" t="str">
        <f>+IF(_xlfn.XLOOKUP($H86,$AY:$AY,$AZ:$AZ,"-",0)=BF82,$H86,"-")</f>
        <v>Austria</v>
      </c>
      <c r="BK86" s="26" t="str">
        <f>+O86</f>
        <v>Austria</v>
      </c>
      <c r="BL86" s="26">
        <f>+COUNTIFS($BE:$BE,"OK",$BI:$BI,BK86)+COUNTIFS($BE:$BE,"OK",$BF:$BF,BK86)</f>
        <v>2</v>
      </c>
      <c r="BM86" s="24">
        <f>+COUNTIFS(J:J,$BK86,$BE:$BE,"OK")</f>
        <v>0</v>
      </c>
      <c r="BN86" s="24">
        <f>+COUNTIFS(K:K,$BK86,$BE:$BE,"OK")+COUNTIFS(L:L,$BK86,$BE:$BE,"OK")</f>
        <v>2</v>
      </c>
      <c r="BO86" s="24">
        <f>+COUNTIFS(M:M,$BK86,$BE:$BE,"OK")</f>
        <v>0</v>
      </c>
      <c r="BP86" s="24">
        <f>+BQ86-BR86</f>
        <v>0</v>
      </c>
      <c r="BQ86" s="24">
        <f>+SUMIFS(BG:BG,$BE:$BE,"OK",BF:BF,$BK86)+SUMIFS(BH:BH,$BE:$BE,"OK",BI:BI,$BK86)</f>
        <v>2</v>
      </c>
      <c r="BR86" s="24">
        <f>+SUMIFS(BH:BH,$BE:$BE,"OK",BF:BF,$BK86)+SUMIFS(BG:BG,$BE:$BE,"OK",BI:BI,$BK86)</f>
        <v>2</v>
      </c>
      <c r="BS86" s="60">
        <f>+BM86*3+BN86*1+BP86/100+BQ86/10000</f>
        <v>2.0002</v>
      </c>
      <c r="BT86" s="29">
        <f>+IF(BL86=0,0,_xlfn.XLOOKUP(BS86,BV84:BV87,BW84:BW87))</f>
        <v>0.3</v>
      </c>
      <c r="BU86" s="45"/>
      <c r="BV86" s="24">
        <f>+LARGE(BS84:BS87,3)</f>
        <v>2.0002</v>
      </c>
      <c r="BW86" s="24">
        <f>+BX86/$BW$1</f>
        <v>0.1</v>
      </c>
      <c r="BX86" s="23">
        <v>1</v>
      </c>
      <c r="BY86" s="25" t="str">
        <f t="shared" si="403"/>
        <v>-</v>
      </c>
      <c r="BZ86" s="57" t="str">
        <f>+IF(_xlfn.XLOOKUP($E86,$AY:$AY,$AZ:$AZ,"-",0)=BZ82,$E86,"-")</f>
        <v>Argentina</v>
      </c>
      <c r="CA86" s="58">
        <f t="shared" si="404"/>
        <v>2</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1</v>
      </c>
      <c r="G87" s="43">
        <v>1</v>
      </c>
      <c r="H87" s="44" t="s">
        <v>74</v>
      </c>
      <c r="J87" s="24" t="str">
        <f t="shared" si="406"/>
        <v/>
      </c>
      <c r="K87" s="24" t="str">
        <f t="shared" si="407"/>
        <v>Jordania</v>
      </c>
      <c r="L87" s="24" t="str">
        <f t="shared" si="408"/>
        <v>Argelia</v>
      </c>
      <c r="M87" s="24" t="str">
        <f t="shared" si="409"/>
        <v/>
      </c>
      <c r="O87" s="26" t="str">
        <f>+H85</f>
        <v>Jordania</v>
      </c>
      <c r="P87" s="24">
        <f>+COUNTIF(J84:J89,"="&amp;$O87)</f>
        <v>0</v>
      </c>
      <c r="Q87" s="24">
        <f>+COUNTIF(K84:L89,"="&amp;$O87)</f>
        <v>2</v>
      </c>
      <c r="R87" s="24">
        <f>+COUNTIF(M84:M89,"="&amp;$O87)</f>
        <v>1</v>
      </c>
      <c r="S87" s="24">
        <f t="shared" si="410"/>
        <v>-2</v>
      </c>
      <c r="T87" s="24">
        <f t="shared" ref="T87" si="421">+SUMIF(E84:E89,$O87,F84:F89)+SUMIF(H84:H89,$O87,G84:G89)</f>
        <v>2</v>
      </c>
      <c r="U87" s="24">
        <f t="shared" ref="U87" si="422">+SUMIF(E84:E89,$O87,G84:G89)+SUMIF(H84:H89,$O87,F84:F89)</f>
        <v>4</v>
      </c>
      <c r="V87" s="45">
        <f>+P87*3+Q87*1+BT87+CN87+S87/1000+T87/10000+AV87/1000000+ROW()/10000000</f>
        <v>2.2982117</v>
      </c>
      <c r="W87" s="26" t="str">
        <f t="shared" si="413"/>
        <v>Jordania</v>
      </c>
      <c r="Y87" s="74" t="str">
        <f>+CONCATENATE("4",RIGHT(E83,1))</f>
        <v>4J</v>
      </c>
      <c r="Z87" s="75" t="str">
        <f>+VLOOKUP(AL87,V84:W87,2,FALSE)</f>
        <v>Argelia</v>
      </c>
      <c r="AA87" s="76">
        <f t="shared" si="414"/>
        <v>3</v>
      </c>
      <c r="AB87" s="77">
        <f t="shared" si="415"/>
        <v>0</v>
      </c>
      <c r="AC87" s="77">
        <f t="shared" si="396"/>
        <v>2</v>
      </c>
      <c r="AD87" s="77">
        <f t="shared" si="397"/>
        <v>1</v>
      </c>
      <c r="AE87" s="77">
        <f t="shared" si="398"/>
        <v>-2</v>
      </c>
      <c r="AF87" s="77">
        <f t="shared" si="399"/>
        <v>2</v>
      </c>
      <c r="AG87" s="77">
        <f t="shared" si="400"/>
        <v>4</v>
      </c>
      <c r="AH87" s="78">
        <f t="shared" si="400"/>
        <v>2.2982104999999997</v>
      </c>
      <c r="AI87" s="73"/>
      <c r="AL87" s="45">
        <f>+LARGE(V84:V87,4)</f>
        <v>2.2982104999999997</v>
      </c>
      <c r="AM87" s="52">
        <f>+(AH87-AL87)*100000000000000000000</f>
        <v>0</v>
      </c>
      <c r="AP87" s="53" t="str">
        <f>+O87</f>
        <v>Jordania</v>
      </c>
      <c r="AQ87" s="23">
        <f>+P87*3+Q87*1+BT87+CN87+S87/1000+T87/10000</f>
        <v>2.2982</v>
      </c>
      <c r="AS87" s="54">
        <f t="shared" si="416"/>
        <v>3</v>
      </c>
      <c r="AT87" s="54">
        <f>+IF(AND(AM88="si",OR(AR84=1,AR85=1,AR86=1)),1,0)</f>
        <v>1</v>
      </c>
      <c r="AU87" s="79" t="str">
        <f t="shared" si="417"/>
        <v>Jordania</v>
      </c>
      <c r="AV87" s="80">
        <v>3</v>
      </c>
      <c r="AX87" s="23" t="str">
        <f>+Y83</f>
        <v>Grupo J</v>
      </c>
      <c r="AY87" s="24" t="str">
        <f>+O87</f>
        <v>Jordania</v>
      </c>
      <c r="AZ87" s="29">
        <f>+P87*3+Q87</f>
        <v>2</v>
      </c>
      <c r="BA87" s="29">
        <f>+COUNTIFS($AX$1:AX87,AX87,$AZ$1:AZ87,AZ87)</f>
        <v>3</v>
      </c>
      <c r="BB87" s="29">
        <f>+IF(AZ87=BF82,ROW()*0.001,AZ87)</f>
        <v>8.7000000000000008E-2</v>
      </c>
      <c r="BC87" s="29">
        <f>+COUNTIFS($AX$1:AZ87,AZ87,$AZ$1:BB87,BB87)</f>
        <v>1</v>
      </c>
      <c r="BD87" s="29"/>
      <c r="BE87" s="25" t="str">
        <f>+IF(OR(BF87="-",BI87="-",BF82=0),"-","OK")</f>
        <v>OK</v>
      </c>
      <c r="BF87" s="57" t="str">
        <f>+IF(_xlfn.XLOOKUP($E87,$AY:$AY,$AZ:$AZ,"-",0)=BF82,$E87,"-")</f>
        <v>Jordania</v>
      </c>
      <c r="BG87" s="58">
        <f t="shared" si="401"/>
        <v>1</v>
      </c>
      <c r="BH87" s="59">
        <f t="shared" si="402"/>
        <v>1</v>
      </c>
      <c r="BI87" s="57" t="str">
        <f>+IF(_xlfn.XLOOKUP($H87,$AY:$AY,$AZ:$AZ,"-",0)=BF82,$H87,"-")</f>
        <v>Argelia</v>
      </c>
      <c r="BK87" s="26" t="str">
        <f>+O87</f>
        <v>Jordania</v>
      </c>
      <c r="BL87" s="26">
        <f>+COUNTIFS($BE:$BE,"OK",$BI:$BI,BK87)+COUNTIFS($BE:$BE,"OK",$BF:$BF,BK87)</f>
        <v>2</v>
      </c>
      <c r="BM87" s="24">
        <f>+COUNTIFS(J:J,$BK87,$BE:$BE,"OK")</f>
        <v>0</v>
      </c>
      <c r="BN87" s="24">
        <f>+COUNTIFS(K:K,$BK87,$BE:$BE,"OK")+COUNTIFS(L:L,$BK87,$BE:$BE,"OK")</f>
        <v>2</v>
      </c>
      <c r="BO87" s="24">
        <f>+COUNTIFS(M:M,$BK87,$BE:$BE,"OK")</f>
        <v>0</v>
      </c>
      <c r="BP87" s="24">
        <f>+BQ87-BR87</f>
        <v>0</v>
      </c>
      <c r="BQ87" s="24">
        <f>+SUMIFS(BG:BG,$BE:$BE,"OK",BF:BF,$BK87)+SUMIFS(BH:BH,$BE:$BE,"OK",BI:BI,$BK87)</f>
        <v>2</v>
      </c>
      <c r="BR87" s="24">
        <f>+SUMIFS(BH:BH,$BE:$BE,"OK",BF:BF,$BK87)+SUMIFS(BG:BG,$BE:$BE,"OK",BI:BI,$BK87)</f>
        <v>2</v>
      </c>
      <c r="BS87" s="60">
        <f>+BM87*3+BN87*1+BP87/100+BQ87/10000</f>
        <v>2.0002</v>
      </c>
      <c r="BT87" s="29">
        <f>+IF(BL87=0,0,_xlfn.XLOOKUP(BS87,BV84:BV87,BW84:BW87))</f>
        <v>0.3</v>
      </c>
      <c r="BU87" s="45"/>
      <c r="BV87" s="24">
        <f>+LARGE(BS84:BS87,4)</f>
        <v>0</v>
      </c>
      <c r="BW87" s="24">
        <f>+BX87/$BW$1</f>
        <v>0</v>
      </c>
      <c r="BX87" s="23">
        <v>0</v>
      </c>
      <c r="BY87" s="25" t="str">
        <f t="shared" si="403"/>
        <v>-</v>
      </c>
      <c r="BZ87" s="57" t="str">
        <f>+IF(_xlfn.XLOOKUP($E87,$AY:$AY,$AZ:$AZ,"-",0)=BZ82,$E87,"-")</f>
        <v>-</v>
      </c>
      <c r="CA87" s="58">
        <f t="shared" si="404"/>
        <v>1</v>
      </c>
      <c r="CB87" s="59">
        <f t="shared" si="405"/>
        <v>1</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0</v>
      </c>
      <c r="G88" s="43">
        <v>2</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Jordania</v>
      </c>
      <c r="BG88" s="58">
        <f t="shared" si="401"/>
        <v>0</v>
      </c>
      <c r="BH88" s="59">
        <f t="shared" si="402"/>
        <v>2</v>
      </c>
      <c r="BI88" s="57" t="str">
        <f>+IF(_xlfn.XLOOKUP($H88,$AY:$AY,$AZ:$AZ,"-",0)=BF82,$H88,"-")</f>
        <v>-</v>
      </c>
      <c r="BY88" s="25" t="str">
        <f t="shared" si="403"/>
        <v>-</v>
      </c>
      <c r="BZ88" s="57" t="str">
        <f>+IF(_xlfn.XLOOKUP($E88,$AY:$AY,$AZ:$AZ,"-",0)=BZ82,$E88,"-")</f>
        <v>-</v>
      </c>
      <c r="CA88" s="58">
        <f t="shared" si="404"/>
        <v>0</v>
      </c>
      <c r="CB88" s="59">
        <f t="shared" si="405"/>
        <v>2</v>
      </c>
      <c r="CC88" s="57" t="str">
        <f>+IF(_xlfn.XLOOKUP($H88,$AY:$AY,$AZ:$AZ,"-",0)=BZ82,$H88,"-")</f>
        <v>Argentina</v>
      </c>
    </row>
    <row r="89" spans="1:102" x14ac:dyDescent="0.2">
      <c r="A89" s="38" t="s">
        <v>187</v>
      </c>
      <c r="B89" s="39">
        <v>46200</v>
      </c>
      <c r="C89" s="40"/>
      <c r="D89" s="41"/>
      <c r="E89" s="42" t="s">
        <v>74</v>
      </c>
      <c r="F89" s="43">
        <v>1</v>
      </c>
      <c r="G89" s="43">
        <v>1</v>
      </c>
      <c r="H89" s="44" t="s">
        <v>72</v>
      </c>
      <c r="J89" s="24" t="str">
        <f t="shared" si="406"/>
        <v/>
      </c>
      <c r="K89" s="24" t="str">
        <f t="shared" si="407"/>
        <v>Argelia</v>
      </c>
      <c r="L89" s="24" t="str">
        <f t="shared" si="408"/>
        <v>Austria</v>
      </c>
      <c r="M89" s="24" t="str">
        <f t="shared" si="409"/>
        <v/>
      </c>
      <c r="Y89" s="53" t="s">
        <v>124</v>
      </c>
      <c r="AR89" s="23">
        <f>+IF(AND(AM88="si",OR(AR84=1,AR85=1,AR86=1)),1,0)</f>
        <v>1</v>
      </c>
      <c r="BE89" s="25" t="str">
        <f>+IF(OR(BF89="-",BI89="-",BF82=0),"-","OK")</f>
        <v>OK</v>
      </c>
      <c r="BF89" s="57" t="str">
        <f>+IF(_xlfn.XLOOKUP($E89,$AY:$AY,$AZ:$AZ,"-",0)=BF82,$E89,"-")</f>
        <v>Argelia</v>
      </c>
      <c r="BG89" s="58">
        <f t="shared" si="401"/>
        <v>1</v>
      </c>
      <c r="BH89" s="59">
        <f t="shared" si="402"/>
        <v>1</v>
      </c>
      <c r="BI89" s="57" t="str">
        <f>+IF(_xlfn.XLOOKUP($H89,$AY:$AY,$AZ:$AZ,"-",0)=BF82,$H89,"-")</f>
        <v>Austria</v>
      </c>
      <c r="BY89" s="25" t="str">
        <f t="shared" si="403"/>
        <v>-</v>
      </c>
      <c r="BZ89" s="57" t="str">
        <f>+IF(_xlfn.XLOOKUP($E89,$AY:$AY,$AZ:$AZ,"-",0)=BZ82,$E89,"-")</f>
        <v>-</v>
      </c>
      <c r="CA89" s="58">
        <f t="shared" si="404"/>
        <v>1</v>
      </c>
      <c r="CB89" s="59">
        <f t="shared" si="405"/>
        <v>1</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t="str">
        <f>+IF(BA93&gt;1,AZ93,IF(BA94&gt;1,AZ94,IF(BA95&gt;1,AZ95,IF(BA96&gt;1,AZ96,"-"))))</f>
        <v>-</v>
      </c>
      <c r="BW91" s="23">
        <v>10</v>
      </c>
      <c r="BZ91" s="29">
        <f>+IF(BC93&gt;1,BB93,IF(BC94&gt;1,BB94,IF(BC95&gt;1,BB95,IF(BC96&gt;1,BB96,"-"))))</f>
        <v>5</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4" t="s">
        <v>188</v>
      </c>
      <c r="Z92" s="505"/>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2</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1</v>
      </c>
      <c r="Q93" s="24">
        <f>+COUNTIF(K93:L98,"="&amp;$O93)</f>
        <v>2</v>
      </c>
      <c r="R93" s="24">
        <f>+COUNTIF(M93:M98,"="&amp;$O93)</f>
        <v>0</v>
      </c>
      <c r="S93" s="24">
        <f>+T93-U93</f>
        <v>2</v>
      </c>
      <c r="T93" s="24">
        <f t="shared" ref="T93" si="423">+SUMIF(E93:E98,$O93,F93:F98)+SUMIF(H93:H98,$O93,G93:G98)</f>
        <v>4</v>
      </c>
      <c r="U93" s="24">
        <f t="shared" ref="U93" si="424">+SUMIF(E93:E98,$O93,G93:G98)+SUMIF(H93:H98,$O93,F93:F98)</f>
        <v>2</v>
      </c>
      <c r="V93" s="45">
        <f>+P93*3+Q93*1+BT93+CN93+S93/1000+T93/10000+AV93/1000000+ROW()/10000000</f>
        <v>5.0024093000000001</v>
      </c>
      <c r="W93" s="26" t="str">
        <f>+O93</f>
        <v>Portugal</v>
      </c>
      <c r="Y93" s="46" t="str">
        <f>+CONCATENATE("1",RIGHT(E92,1))</f>
        <v>1K</v>
      </c>
      <c r="Z93" s="47" t="str">
        <f>+VLOOKUP(AL93,V93:W96,2,FALSE)</f>
        <v>Colombia</v>
      </c>
      <c r="AA93" s="48">
        <f>+SUM(AB93:AD93)</f>
        <v>3</v>
      </c>
      <c r="AB93" s="49">
        <f>+_xlfn.XLOOKUP($Z93,$O:$O,P:P,"Error",0)</f>
        <v>2</v>
      </c>
      <c r="AC93" s="49">
        <f t="shared" ref="AC93:AC96" si="425">+_xlfn.XLOOKUP($Z93,$O:$O,Q:Q,"Error",0)</f>
        <v>1</v>
      </c>
      <c r="AD93" s="49">
        <f t="shared" ref="AD93:AD96" si="426">+_xlfn.XLOOKUP($Z93,$O:$O,R:R,"Error",0)</f>
        <v>0</v>
      </c>
      <c r="AE93" s="49">
        <f t="shared" ref="AE93:AE96" si="427">+_xlfn.XLOOKUP($Z93,$O:$O,S:S,"Error",0)</f>
        <v>3</v>
      </c>
      <c r="AF93" s="49">
        <f t="shared" ref="AF93:AF96" si="428">+_xlfn.XLOOKUP($Z93,$O:$O,T:T,"Error",0)</f>
        <v>5</v>
      </c>
      <c r="AG93" s="49">
        <f t="shared" ref="AG93:AH96" si="429">+_xlfn.XLOOKUP($Z93,$O:$O,U:U,"Error",0)</f>
        <v>2</v>
      </c>
      <c r="AH93" s="50">
        <f t="shared" si="429"/>
        <v>7.0035096000000001</v>
      </c>
      <c r="AI93" s="51"/>
      <c r="AL93" s="45">
        <f>+LARGE(V93:V96,1)</f>
        <v>7.0035096000000001</v>
      </c>
      <c r="AM93" s="52">
        <f>+(AH93-AL93)*100000000000000000000</f>
        <v>0</v>
      </c>
      <c r="AP93" s="53" t="str">
        <f>+O93</f>
        <v>Portugal</v>
      </c>
      <c r="AQ93" s="23">
        <f>+P93*3+Q93*1+BT93+CN93+S93/1000+T93/10000</f>
        <v>5.0023999999999997</v>
      </c>
      <c r="AR93" s="23" t="b">
        <f>+IF(OR(AQ93=AQ94,AQ93=AQ95,AQ93=AQ96),1)</f>
        <v>0</v>
      </c>
      <c r="AS93" s="54">
        <f>+AV93</f>
        <v>0</v>
      </c>
      <c r="AT93" s="54">
        <f>+IF(AND(AM97="si",OR(AR93=1,AR94=1,AR95=1)),1,0)</f>
        <v>0</v>
      </c>
      <c r="AU93" s="55" t="str">
        <f>+O93</f>
        <v>Portugal</v>
      </c>
      <c r="AV93" s="56"/>
      <c r="AX93" s="23" t="str">
        <f>+Y92</f>
        <v>Grupo K</v>
      </c>
      <c r="AY93" s="24" t="str">
        <f>+O93</f>
        <v>Portugal</v>
      </c>
      <c r="AZ93" s="29">
        <f>+P93*3+Q93</f>
        <v>5</v>
      </c>
      <c r="BA93" s="29">
        <f>+COUNTIFS($AX$1:AX93,AX93,$AZ$1:AZ93,AZ93)</f>
        <v>1</v>
      </c>
      <c r="BB93" s="29">
        <f>+IF(AZ93=BF91,ROW()*0.001,AZ93)</f>
        <v>5</v>
      </c>
      <c r="BC93" s="29">
        <f>+COUNTIFS($AX$1:AZ93,AZ93,$AZ$1:BB93,BB93)</f>
        <v>2</v>
      </c>
      <c r="BD93" s="29"/>
      <c r="BE93" s="25" t="str">
        <f>+IF(OR(BF93="-",BI93="-",BF91=0),"-","OK")</f>
        <v>-</v>
      </c>
      <c r="BF93" s="57" t="str">
        <f>+IF(_xlfn.XLOOKUP($E93,$AY:$AY,$AZ:$AZ,"-",0)=BF91,$E93,"-")</f>
        <v>-</v>
      </c>
      <c r="BG93" s="58">
        <f t="shared" ref="BG93:BG98" si="430">+$F93</f>
        <v>2</v>
      </c>
      <c r="BH93" s="59">
        <f t="shared" ref="BH93:BH98" si="431">+$G93</f>
        <v>0</v>
      </c>
      <c r="BI93" s="57" t="str">
        <f>+IF(_xlfn.XLOOKUP($H93,$AY:$AY,$AZ:$AZ,"-",0)=BF91,$H93,"-")</f>
        <v>-</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0</v>
      </c>
      <c r="BW93" s="24">
        <f>+BX93/$BW$1</f>
        <v>0.3</v>
      </c>
      <c r="BX93" s="23">
        <v>3</v>
      </c>
      <c r="BY93" s="25" t="str">
        <f t="shared" ref="BY93:BY98" si="432">+IF(OR(BZ93="-",CC93="-"),"-","OK")</f>
        <v>-</v>
      </c>
      <c r="BZ93" s="57" t="str">
        <f>+IF(_xlfn.XLOOKUP($E93,$AY:$AY,$AZ:$AZ,"-",0)=BZ91,$E93,"-")</f>
        <v>Portugal</v>
      </c>
      <c r="CA93" s="58">
        <f t="shared" ref="CA93:CA98" si="433">+$F93</f>
        <v>2</v>
      </c>
      <c r="CB93" s="59">
        <f t="shared" ref="CB93:CB98" si="434">+$G93</f>
        <v>0</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
      <c r="A94" s="38" t="s">
        <v>190</v>
      </c>
      <c r="B94" s="39">
        <v>46190</v>
      </c>
      <c r="C94" s="40"/>
      <c r="D94" s="41"/>
      <c r="E94" s="42" t="s">
        <v>88</v>
      </c>
      <c r="F94" s="43">
        <v>1</v>
      </c>
      <c r="G94" s="43">
        <v>2</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-4</v>
      </c>
      <c r="T94" s="24">
        <f t="shared" ref="T94" si="440">+SUMIF(E93:E98,$O94,F93:F98)+SUMIF(H93:H98,$O94,G93:G98)</f>
        <v>1</v>
      </c>
      <c r="U94" s="24">
        <f t="shared" ref="U94" si="441">+SUMIF(E93:E98,$O94,G93:G98)+SUMIF(H93:H98,$O94,F93:F98)</f>
        <v>5</v>
      </c>
      <c r="V94" s="45">
        <f t="shared" ref="V94:V96" si="442">+P94*3+Q94*1+BT94+CN94+S94/1000+T94/10000+AV94/1000000+ROW()/10000000</f>
        <v>0.99610940000000003</v>
      </c>
      <c r="W94" s="26" t="str">
        <f t="shared" ref="W94:W96" si="443">+O94</f>
        <v>Congo</v>
      </c>
      <c r="Y94" s="61" t="str">
        <f>+CONCATENATE("2",RIGHT(E92,1))</f>
        <v>2K</v>
      </c>
      <c r="Z94" s="62" t="str">
        <f>+VLOOKUP(AL94,V93:W96,2,FALSE)</f>
        <v>Portugal</v>
      </c>
      <c r="AA94" s="63">
        <f t="shared" ref="AA94:AA96" si="444">+SUM(AB94:AD94)</f>
        <v>3</v>
      </c>
      <c r="AB94" s="49">
        <f t="shared" ref="AB94:AB96" si="445">+_xlfn.XLOOKUP($Z94,$O:$O,P:P,"Error",0)</f>
        <v>1</v>
      </c>
      <c r="AC94" s="49">
        <f t="shared" si="425"/>
        <v>2</v>
      </c>
      <c r="AD94" s="49">
        <f t="shared" si="426"/>
        <v>0</v>
      </c>
      <c r="AE94" s="49">
        <f t="shared" si="427"/>
        <v>2</v>
      </c>
      <c r="AF94" s="49">
        <f t="shared" si="428"/>
        <v>4</v>
      </c>
      <c r="AG94" s="49">
        <f t="shared" si="429"/>
        <v>2</v>
      </c>
      <c r="AH94" s="65">
        <f t="shared" si="429"/>
        <v>5.0024093000000001</v>
      </c>
      <c r="AI94" s="51"/>
      <c r="AL94" s="45">
        <f>+LARGE(V93:V96,2)</f>
        <v>5.0024093000000001</v>
      </c>
      <c r="AM94" s="52">
        <f>+(AH94-AL94)*100000000000000000000</f>
        <v>0</v>
      </c>
      <c r="AP94" s="53" t="str">
        <f>+O94</f>
        <v>Congo</v>
      </c>
      <c r="AQ94" s="23">
        <f>+P94*3+Q94*1+BT94+CN94+S94/1000+T94/10000</f>
        <v>0.99609999999999999</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1</v>
      </c>
      <c r="BC94" s="29">
        <f>+COUNTIFS($AX$1:AZ94,AZ94,$AZ$1:BB94,BB94)</f>
        <v>6</v>
      </c>
      <c r="BD94" s="29"/>
      <c r="BE94" s="25" t="str">
        <f>+IF(OR(BF94="-",BI94="-",BF91=0),"-","OK")</f>
        <v>-</v>
      </c>
      <c r="BF94" s="57" t="str">
        <f>+IF(_xlfn.XLOOKUP($E94,$AY:$AY,$AZ:$AZ,"-",0)=BF91,$E94,"-")</f>
        <v>-</v>
      </c>
      <c r="BG94" s="58">
        <f t="shared" si="430"/>
        <v>1</v>
      </c>
      <c r="BH94" s="59">
        <f t="shared" si="431"/>
        <v>2</v>
      </c>
      <c r="BI94" s="57" t="str">
        <f>+IF(_xlfn.XLOOKUP($H94,$AY:$AY,$AZ:$AZ,"-",0)=BF91,$H94,"-")</f>
        <v>-</v>
      </c>
      <c r="BK94" s="26" t="str">
        <f>+O94</f>
        <v>Congo</v>
      </c>
      <c r="BL94" s="26">
        <f>+COUNTIFS($BE:$BE,"OK",$BI:$BI,BK94)+COUNTIFS($BE:$BE,"OK",$BF:$BF,BK94)</f>
        <v>0</v>
      </c>
      <c r="BM94" s="24">
        <f>+COUNTIFS(J:J,$BK94,$BE:$BE,"OK")</f>
        <v>0</v>
      </c>
      <c r="BN94" s="24">
        <f>+COUNTIFS(K:K,$BK94,$BE:$BE,"OK")+COUNTIFS(L:L,$BK94,$BE:$BE,"OK")</f>
        <v>0</v>
      </c>
      <c r="BO94" s="24">
        <f>+COUNTIFS(M:M,$BK94,$BE:$BE,"OK")</f>
        <v>0</v>
      </c>
      <c r="BP94" s="24">
        <f>+BQ94-BR94</f>
        <v>0</v>
      </c>
      <c r="BQ94" s="24">
        <f>+SUMIFS(BG:BG,$BE:$BE,"OK",BF:BF,$BK94)+SUMIFS(BH:BH,$BE:$BE,"OK",BI:BI,$BK94)</f>
        <v>0</v>
      </c>
      <c r="BR94" s="24">
        <f>+SUMIFS(BH:BH,$BE:$BE,"OK",BF:BF,$BK94)+SUMIFS(BG:BG,$BE:$BE,"OK",BI:BI,$BK94)</f>
        <v>0</v>
      </c>
      <c r="BS94" s="60">
        <f>+BM94*3+BN94*1+BP94/100+BQ94/10000</f>
        <v>0</v>
      </c>
      <c r="BT94" s="29">
        <f>+IF(BL94=0,0,_xlfn.XLOOKUP(BS94,BV93:BV96,BW93:BW96))</f>
        <v>0</v>
      </c>
      <c r="BU94" s="45"/>
      <c r="BV94" s="24">
        <f>+LARGE(BS93:BS96,2)</f>
        <v>0</v>
      </c>
      <c r="BW94" s="24">
        <f>+BX94/$BW$1</f>
        <v>0.2</v>
      </c>
      <c r="BX94" s="23">
        <v>2</v>
      </c>
      <c r="BY94" s="25" t="str">
        <f t="shared" si="432"/>
        <v>-</v>
      </c>
      <c r="BZ94" s="57" t="str">
        <f>+IF(_xlfn.XLOOKUP($E94,$AY:$AY,$AZ:$AZ,"-",0)=BZ91,$E94,"-")</f>
        <v>-</v>
      </c>
      <c r="CA94" s="58">
        <f t="shared" si="433"/>
        <v>1</v>
      </c>
      <c r="CB94" s="59">
        <f t="shared" si="434"/>
        <v>2</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191</v>
      </c>
      <c r="B95" s="39">
        <v>46196</v>
      </c>
      <c r="C95" s="40"/>
      <c r="D95" s="41"/>
      <c r="E95" s="42" t="s">
        <v>52</v>
      </c>
      <c r="F95" s="43">
        <v>1</v>
      </c>
      <c r="G95" s="43">
        <v>1</v>
      </c>
      <c r="H95" s="44" t="s">
        <v>88</v>
      </c>
      <c r="J95" s="24" t="str">
        <f t="shared" si="435"/>
        <v/>
      </c>
      <c r="K95" s="24" t="str">
        <f t="shared" si="436"/>
        <v>Portugal</v>
      </c>
      <c r="L95" s="24" t="str">
        <f t="shared" si="437"/>
        <v>Uzbekistan</v>
      </c>
      <c r="M95" s="24" t="str">
        <f t="shared" si="438"/>
        <v/>
      </c>
      <c r="O95" s="26" t="str">
        <f>+E94</f>
        <v>Uzbekistan</v>
      </c>
      <c r="P95" s="24">
        <f>+COUNTIF(J93:J98,"="&amp;$O95)</f>
        <v>0</v>
      </c>
      <c r="Q95" s="24">
        <f>+COUNTIF(K93:L98,"="&amp;$O95)</f>
        <v>2</v>
      </c>
      <c r="R95" s="24">
        <f>+COUNTIF(M93:M98,"="&amp;$O95)</f>
        <v>1</v>
      </c>
      <c r="S95" s="24">
        <f t="shared" si="439"/>
        <v>-1</v>
      </c>
      <c r="T95" s="24">
        <f t="shared" ref="T95" si="449">+SUMIF(E93:E98,$O95,F93:F98)+SUMIF(H93:H98,$O95,G93:G98)</f>
        <v>3</v>
      </c>
      <c r="U95" s="24">
        <f t="shared" ref="U95" si="450">+SUMIF(E93:E98,$O95,G93:G98)+SUMIF(H93:H98,$O95,F93:F98)</f>
        <v>4</v>
      </c>
      <c r="V95" s="45">
        <f t="shared" si="442"/>
        <v>1.9993095000000001</v>
      </c>
      <c r="W95" s="26" t="str">
        <f t="shared" si="443"/>
        <v>Uzbekistan</v>
      </c>
      <c r="Y95" s="68" t="str">
        <f>+CONCATENATE("3",RIGHT(E92,1))</f>
        <v>3K</v>
      </c>
      <c r="Z95" s="69" t="str">
        <f>+VLOOKUP(AL95,V93:W96,2,FALSE)</f>
        <v>Uzbekistan</v>
      </c>
      <c r="AA95" s="70">
        <f t="shared" si="444"/>
        <v>3</v>
      </c>
      <c r="AB95" s="71">
        <f t="shared" si="445"/>
        <v>0</v>
      </c>
      <c r="AC95" s="71">
        <f t="shared" si="425"/>
        <v>2</v>
      </c>
      <c r="AD95" s="71">
        <f t="shared" si="426"/>
        <v>1</v>
      </c>
      <c r="AE95" s="71">
        <f t="shared" si="427"/>
        <v>-1</v>
      </c>
      <c r="AF95" s="71">
        <f t="shared" si="428"/>
        <v>3</v>
      </c>
      <c r="AG95" s="71">
        <f t="shared" si="429"/>
        <v>4</v>
      </c>
      <c r="AH95" s="72">
        <f t="shared" si="429"/>
        <v>1.9993095000000001</v>
      </c>
      <c r="AI95" s="73">
        <f>+(COUNTIFS($CV$2:$CV$13,Z95,$CX$2:$CX$13,"IN")+COUNTIFS($CV$2:$CV$13,Z95,$CW$2:$CW$13,"IN"))*IF(SUM(AA93:AA96)=12,1,0)</f>
        <v>1</v>
      </c>
      <c r="AL95" s="45">
        <f>+LARGE(V93:V96,3)</f>
        <v>1.9993095000000001</v>
      </c>
      <c r="AM95" s="52">
        <f>+(AH95-AL95)*100000000000000000000</f>
        <v>0</v>
      </c>
      <c r="AP95" s="53" t="str">
        <f>+O95</f>
        <v>Uzbekistan</v>
      </c>
      <c r="AQ95" s="23">
        <f>+P95*3+Q95*1+BT95+CN95+S95/1000+T95/10000</f>
        <v>1.9993000000000001</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2</v>
      </c>
      <c r="BA95" s="29">
        <f>+COUNTIFS($AX$1:AX95,AX95,$AZ$1:AZ95,AZ95)</f>
        <v>1</v>
      </c>
      <c r="BB95" s="29">
        <f>+IF(AZ95=BF91,ROW()*0.001,AZ95)</f>
        <v>2</v>
      </c>
      <c r="BC95" s="29">
        <f>+COUNTIFS($AX$1:AZ95,AZ95,$AZ$1:BB95,BB95)</f>
        <v>5</v>
      </c>
      <c r="BD95" s="29"/>
      <c r="BE95" s="25" t="str">
        <f>+IF(OR(BF95="-",BI95="-",BF91=0),"-","OK")</f>
        <v>-</v>
      </c>
      <c r="BF95" s="57" t="str">
        <f>+IF(_xlfn.XLOOKUP($E95,$AY:$AY,$AZ:$AZ,"-",0)=BF91,$E95,"-")</f>
        <v>-</v>
      </c>
      <c r="BG95" s="58">
        <f t="shared" si="430"/>
        <v>1</v>
      </c>
      <c r="BH95" s="59">
        <f t="shared" si="431"/>
        <v>1</v>
      </c>
      <c r="BI95" s="57" t="str">
        <f>+IF(_xlfn.XLOOKUP($H95,$AY:$AY,$AZ:$AZ,"-",0)=BF91,$H95,"-")</f>
        <v>-</v>
      </c>
      <c r="BK95" s="26" t="str">
        <f>+O95</f>
        <v>Uzbekistan</v>
      </c>
      <c r="BL95" s="26">
        <f>+COUNTIFS($BE:$BE,"OK",$BI:$BI,BK95)+COUNTIFS($BE:$BE,"OK",$BF:$BF,BK95)</f>
        <v>0</v>
      </c>
      <c r="BM95" s="24">
        <f>+COUNTIFS(J:J,$BK95,$BE:$BE,"OK")</f>
        <v>0</v>
      </c>
      <c r="BN95" s="24">
        <f>+COUNTIFS(K:K,$BK95,$BE:$BE,"OK")+COUNTIFS(L:L,$BK95,$BE:$BE,"OK")</f>
        <v>0</v>
      </c>
      <c r="BO95" s="24">
        <f>+COUNTIFS(M:M,$BK95,$BE:$BE,"OK")</f>
        <v>0</v>
      </c>
      <c r="BP95" s="24">
        <f>+BQ95-BR95</f>
        <v>0</v>
      </c>
      <c r="BQ95" s="24">
        <f>+SUMIFS(BG:BG,$BE:$BE,"OK",BF:BF,$BK95)+SUMIFS(BH:BH,$BE:$BE,"OK",BI:BI,$BK95)</f>
        <v>0</v>
      </c>
      <c r="BR95" s="24">
        <f>+SUMIFS(BH:BH,$BE:$BE,"OK",BF:BF,$BK95)+SUMIFS(BG:BG,$BE:$BE,"OK",BI:BI,$BK95)</f>
        <v>0</v>
      </c>
      <c r="BS95" s="60">
        <f>+BM95*3+BN95*1+BP95/100+BQ95/10000</f>
        <v>0</v>
      </c>
      <c r="BT95" s="29">
        <f>+IF(BL95=0,0,_xlfn.XLOOKUP(BS95,BV93:BV96,BW93:BW96))</f>
        <v>0</v>
      </c>
      <c r="BU95" s="45"/>
      <c r="BV95" s="24">
        <f>+LARGE(BS93:BS96,3)</f>
        <v>0</v>
      </c>
      <c r="BW95" s="24">
        <f>+BX95/$BW$1</f>
        <v>0.1</v>
      </c>
      <c r="BX95" s="23">
        <v>1</v>
      </c>
      <c r="BY95" s="25" t="str">
        <f t="shared" si="432"/>
        <v>-</v>
      </c>
      <c r="BZ95" s="57" t="str">
        <f>+IF(_xlfn.XLOOKUP($E95,$AY:$AY,$AZ:$AZ,"-",0)=BZ91,$E95,"-")</f>
        <v>Portugal</v>
      </c>
      <c r="CA95" s="58">
        <f t="shared" si="433"/>
        <v>1</v>
      </c>
      <c r="CB95" s="59">
        <f t="shared" si="434"/>
        <v>1</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2</v>
      </c>
      <c r="G96" s="43">
        <v>0</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1</v>
      </c>
      <c r="R96" s="24">
        <f>+COUNTIF(M93:M98,"="&amp;$O96)</f>
        <v>0</v>
      </c>
      <c r="S96" s="24">
        <f t="shared" si="439"/>
        <v>3</v>
      </c>
      <c r="T96" s="24">
        <f t="shared" ref="T96" si="451">+SUMIF(E93:E98,$O96,F93:F98)+SUMIF(H93:H98,$O96,G93:G98)</f>
        <v>5</v>
      </c>
      <c r="U96" s="24">
        <f t="shared" ref="U96" si="452">+SUMIF(E93:E98,$O96,G93:G98)+SUMIF(H93:H98,$O96,F93:F98)</f>
        <v>2</v>
      </c>
      <c r="V96" s="45">
        <f t="shared" si="442"/>
        <v>7.0035096000000001</v>
      </c>
      <c r="W96" s="26" t="str">
        <f t="shared" si="443"/>
        <v>Colombia</v>
      </c>
      <c r="Y96" s="74" t="str">
        <f>+CONCATENATE("4",RIGHT(E92,1))</f>
        <v>4K</v>
      </c>
      <c r="Z96" s="75" t="str">
        <f>+VLOOKUP(AL96,V93:W96,2,FALSE)</f>
        <v>Congo</v>
      </c>
      <c r="AA96" s="76">
        <f t="shared" si="444"/>
        <v>3</v>
      </c>
      <c r="AB96" s="77">
        <f t="shared" si="445"/>
        <v>0</v>
      </c>
      <c r="AC96" s="77">
        <f t="shared" si="425"/>
        <v>1</v>
      </c>
      <c r="AD96" s="77">
        <f t="shared" si="426"/>
        <v>2</v>
      </c>
      <c r="AE96" s="77">
        <f t="shared" si="427"/>
        <v>-4</v>
      </c>
      <c r="AF96" s="77">
        <f t="shared" si="428"/>
        <v>1</v>
      </c>
      <c r="AG96" s="77">
        <f t="shared" si="429"/>
        <v>5</v>
      </c>
      <c r="AH96" s="78">
        <f t="shared" si="429"/>
        <v>0.99610940000000003</v>
      </c>
      <c r="AI96" s="73"/>
      <c r="AL96" s="45">
        <f>+LARGE(V93:V96,4)</f>
        <v>0.99610940000000003</v>
      </c>
      <c r="AM96" s="52">
        <f>+(AH96-AL96)*100000000000000000000</f>
        <v>0</v>
      </c>
      <c r="AP96" s="53" t="str">
        <f>+O96</f>
        <v>Colombia</v>
      </c>
      <c r="AQ96" s="23">
        <f>+P96*3+Q96*1+BT96+CN96+S96/1000+T96/10000</f>
        <v>7.0034999999999998</v>
      </c>
      <c r="AS96" s="54">
        <f t="shared" si="446"/>
        <v>0</v>
      </c>
      <c r="AT96" s="54">
        <f>+IF(AND(AM97="si",OR(AR93=1,AR94=1,AR95=1)),1,0)</f>
        <v>0</v>
      </c>
      <c r="AU96" s="79" t="str">
        <f t="shared" si="447"/>
        <v>Colombia</v>
      </c>
      <c r="AV96" s="80"/>
      <c r="AX96" s="23" t="str">
        <f>+Y92</f>
        <v>Grupo K</v>
      </c>
      <c r="AY96" s="24" t="str">
        <f>+O96</f>
        <v>Colombia</v>
      </c>
      <c r="AZ96" s="29">
        <f>+P96*3+Q96</f>
        <v>7</v>
      </c>
      <c r="BA96" s="29">
        <f>+COUNTIFS($AX$1:AX96,AX96,$AZ$1:AZ96,AZ96)</f>
        <v>1</v>
      </c>
      <c r="BB96" s="29">
        <f>+IF(AZ96=BF91,ROW()*0.001,AZ96)</f>
        <v>7</v>
      </c>
      <c r="BC96" s="29">
        <f>+COUNTIFS($AX$1:AZ96,AZ96,$AZ$1:BB96,BB96)</f>
        <v>5</v>
      </c>
      <c r="BD96" s="29"/>
      <c r="BE96" s="25" t="str">
        <f>+IF(OR(BF96="-",BI96="-",BF91=0),"-","OK")</f>
        <v>-</v>
      </c>
      <c r="BF96" s="57" t="str">
        <f>+IF(_xlfn.XLOOKUP($E96,$AY:$AY,$AZ:$AZ,"-",0)=BF91,$E96,"-")</f>
        <v>-</v>
      </c>
      <c r="BG96" s="58">
        <f t="shared" si="430"/>
        <v>2</v>
      </c>
      <c r="BH96" s="59">
        <f t="shared" si="431"/>
        <v>0</v>
      </c>
      <c r="BI96" s="57" t="str">
        <f>+IF(_xlfn.XLOOKUP($H96,$AY:$AY,$AZ:$AZ,"-",0)=BF91,$H96,"-")</f>
        <v>-</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2</v>
      </c>
      <c r="CB96" s="59">
        <f t="shared" si="434"/>
        <v>0</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
      <c r="A97" s="38" t="s">
        <v>193</v>
      </c>
      <c r="B97" s="39">
        <v>46200</v>
      </c>
      <c r="C97" s="40"/>
      <c r="D97" s="41"/>
      <c r="E97" s="42" t="s">
        <v>60</v>
      </c>
      <c r="F97" s="43">
        <v>1</v>
      </c>
      <c r="G97" s="43">
        <v>1</v>
      </c>
      <c r="H97" s="44" t="s">
        <v>52</v>
      </c>
      <c r="J97" s="24" t="str">
        <f t="shared" si="435"/>
        <v/>
      </c>
      <c r="K97" s="24" t="str">
        <f t="shared" si="436"/>
        <v>Colombia</v>
      </c>
      <c r="L97" s="24" t="str">
        <f t="shared" si="437"/>
        <v>Portugal</v>
      </c>
      <c r="M97" s="24" t="str">
        <f t="shared" si="438"/>
        <v/>
      </c>
      <c r="AL97" s="25" t="s">
        <v>122</v>
      </c>
      <c r="AM97" s="52" t="str">
        <f>+IF(SUM(AA93:AA96)=12,"si","no")</f>
        <v>si</v>
      </c>
      <c r="BE97" s="25" t="str">
        <f>+IF(OR(BF97="-",BI97="-",BF91=0),"-","OK")</f>
        <v>-</v>
      </c>
      <c r="BF97" s="57" t="str">
        <f>+IF(_xlfn.XLOOKUP($E97,$AY:$AY,$AZ:$AZ,"-",0)=BF91,$E97,"-")</f>
        <v>-</v>
      </c>
      <c r="BG97" s="58">
        <f t="shared" si="430"/>
        <v>1</v>
      </c>
      <c r="BH97" s="59">
        <f t="shared" si="431"/>
        <v>1</v>
      </c>
      <c r="BI97" s="57" t="str">
        <f>+IF(_xlfn.XLOOKUP($H97,$AY:$AY,$AZ:$AZ,"-",0)=BF91,$H97,"-")</f>
        <v>-</v>
      </c>
      <c r="BY97" s="25" t="str">
        <f t="shared" si="432"/>
        <v>-</v>
      </c>
      <c r="BZ97" s="57" t="str">
        <f>+IF(_xlfn.XLOOKUP($E97,$AY:$AY,$AZ:$AZ,"-",0)=BZ91,$E97,"-")</f>
        <v>-</v>
      </c>
      <c r="CA97" s="58">
        <f t="shared" si="433"/>
        <v>1</v>
      </c>
      <c r="CB97" s="59">
        <f t="shared" si="434"/>
        <v>1</v>
      </c>
      <c r="CC97" s="57" t="str">
        <f>+IF(_xlfn.XLOOKUP($H97,$AY:$AY,$AZ:$AZ,"-",0)=BZ91,$H97,"-")</f>
        <v>Portugal</v>
      </c>
    </row>
    <row r="98" spans="1:102" x14ac:dyDescent="0.2">
      <c r="A98" s="38" t="s">
        <v>194</v>
      </c>
      <c r="B98" s="39">
        <v>46200</v>
      </c>
      <c r="C98" s="40"/>
      <c r="D98" s="41"/>
      <c r="E98" s="42" t="s">
        <v>87</v>
      </c>
      <c r="F98" s="43">
        <v>1</v>
      </c>
      <c r="G98" s="43">
        <v>1</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v>
      </c>
      <c r="BF98" s="57" t="str">
        <f>+IF(_xlfn.XLOOKUP($E98,$AY:$AY,$AZ:$AZ,"-",0)=BF91,$E98,"-")</f>
        <v>-</v>
      </c>
      <c r="BG98" s="58">
        <f t="shared" si="430"/>
        <v>1</v>
      </c>
      <c r="BH98" s="59">
        <f t="shared" si="431"/>
        <v>1</v>
      </c>
      <c r="BI98" s="57" t="str">
        <f>+IF(_xlfn.XLOOKUP($H98,$AY:$AY,$AZ:$AZ,"-",0)=BF91,$H98,"-")</f>
        <v>-</v>
      </c>
      <c r="BY98" s="25" t="str">
        <f t="shared" si="432"/>
        <v>-</v>
      </c>
      <c r="BZ98" s="57" t="str">
        <f>+IF(_xlfn.XLOOKUP($E98,$AY:$AY,$AZ:$AZ,"-",0)=BZ91,$E98,"-")</f>
        <v>-</v>
      </c>
      <c r="CA98" s="58">
        <f t="shared" si="433"/>
        <v>1</v>
      </c>
      <c r="CB98" s="59">
        <f t="shared" si="434"/>
        <v>1</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f>+IF(BA102&gt;1,AZ102,IF(BA103&gt;1,AZ103,IF(BA104&gt;1,AZ104,IF(BA105&gt;1,AZ105,"-"))))</f>
        <v>1</v>
      </c>
      <c r="BW100" s="23">
        <v>10</v>
      </c>
      <c r="BZ100" s="29">
        <f>+IF(BC102&gt;1,BB102,IF(BC103&gt;1,BB103,IF(BC104&gt;1,BB104,IF(BC105&gt;1,BB105,"-"))))</f>
        <v>9</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6" t="s">
        <v>195</v>
      </c>
      <c r="Z101" s="507"/>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2</v>
      </c>
      <c r="G102" s="43">
        <v>0</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4</v>
      </c>
      <c r="T102" s="24">
        <f t="shared" ref="T102" si="453">+SUMIF(E102:E107,$O102,F102:F107)+SUMIF(H102:H107,$O102,G102:G107)</f>
        <v>5</v>
      </c>
      <c r="U102" s="24">
        <f t="shared" ref="U102" si="454">+SUMIF(E102:E107,$O102,G102:G107)+SUMIF(H102:H107,$O102,F102:F107)</f>
        <v>1</v>
      </c>
      <c r="V102" s="45">
        <f>+P102*3+Q102*1+BT102+CN102+S102/1000+T102/10000+AV102/1000000+ROW()/10000000</f>
        <v>9.0045131999999999</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4</v>
      </c>
      <c r="AF102" s="49">
        <f t="shared" ref="AF102:AF105" si="458">+_xlfn.XLOOKUP($Z102,$O:$O,T:T,"Error",0)</f>
        <v>5</v>
      </c>
      <c r="AG102" s="49">
        <f t="shared" ref="AG102:AH105" si="459">+_xlfn.XLOOKUP($Z102,$O:$O,U:U,"Error",0)</f>
        <v>1</v>
      </c>
      <c r="AH102" s="50">
        <f t="shared" si="459"/>
        <v>9.0045131999999999</v>
      </c>
      <c r="AI102" s="51"/>
      <c r="AL102" s="45">
        <f>+LARGE(V102:V105,1)</f>
        <v>9.0045131999999999</v>
      </c>
      <c r="AM102" s="52">
        <f>+(AH102-AL102)*100000000000000000000</f>
        <v>0</v>
      </c>
      <c r="AP102" s="53" t="str">
        <f>+O102</f>
        <v>Inglaterra</v>
      </c>
      <c r="AQ102" s="23">
        <f>+P102*3+Q102*1+BT102+CN102+S102/1000+T102/10000</f>
        <v>9.0045000000000002</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6</v>
      </c>
      <c r="BD102" s="29"/>
      <c r="BE102" s="25" t="str">
        <f>+IF(OR(BF102="-",BI102="-",BF100=0),"-","OK")</f>
        <v>-</v>
      </c>
      <c r="BF102" s="57" t="str">
        <f>+IF(_xlfn.XLOOKUP($E102,$AY:$AY,$AZ:$AZ,"-",0)=BF100,$E102,"-")</f>
        <v>-</v>
      </c>
      <c r="BG102" s="58">
        <f t="shared" ref="BG102:BG107" si="460">+$F102</f>
        <v>2</v>
      </c>
      <c r="BH102" s="59">
        <f t="shared" ref="BH102:BH107" si="461">+$G102</f>
        <v>0</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1.0001</v>
      </c>
      <c r="BW102" s="24">
        <f>+BX102/$BW$1</f>
        <v>0.3</v>
      </c>
      <c r="BX102" s="23">
        <v>3</v>
      </c>
      <c r="BY102" s="25" t="str">
        <f t="shared" ref="BY102:BY107" si="462">+IF(OR(BZ102="-",CC102="-"),"-","OK")</f>
        <v>-</v>
      </c>
      <c r="BZ102" s="57" t="str">
        <f>+IF(_xlfn.XLOOKUP($E102,$AY:$AY,$AZ:$AZ,"-",0)=BZ100,$E102,"-")</f>
        <v>Inglaterra</v>
      </c>
      <c r="CA102" s="58">
        <f t="shared" ref="CA102:CA107" si="463">+$F102</f>
        <v>2</v>
      </c>
      <c r="CB102" s="59">
        <f t="shared" ref="CB102:CB107" si="464">+$G102</f>
        <v>0</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197</v>
      </c>
      <c r="B103" s="39">
        <v>46190</v>
      </c>
      <c r="C103" s="40"/>
      <c r="D103" s="41"/>
      <c r="E103" s="42" t="s">
        <v>85</v>
      </c>
      <c r="F103" s="43">
        <v>1</v>
      </c>
      <c r="G103" s="43">
        <v>1</v>
      </c>
      <c r="H103" s="44" t="s">
        <v>77</v>
      </c>
      <c r="J103" s="24" t="str">
        <f t="shared" ref="J103:J107" si="465">IF(OR(ISBLANK(F103),ISBLANK(G103)),"",IF(F103&gt;G103,E103,IF(G103&gt;F103,H103,"")))</f>
        <v/>
      </c>
      <c r="K103" s="24" t="str">
        <f t="shared" ref="K103:K107" si="466">IF(OR(ISBLANK(F103),ISBLANK(G103)),"",IF(F103=G103,E103,""))</f>
        <v>Ghana</v>
      </c>
      <c r="L103" s="24" t="str">
        <f t="shared" ref="L103:L107" si="467">IF(OR(ISBLANK(F103),ISBLANK(G103)),"",IF(F103=G103,H103,""))</f>
        <v>Panama</v>
      </c>
      <c r="M103" s="24" t="str">
        <f t="shared" ref="M103:M107" si="468">IF(OR(ISBLANK(F103),ISBLANK(G103)),"",IF(F103&lt;G103,E103,IF(G103&lt;F103,H103,"")))</f>
        <v/>
      </c>
      <c r="O103" s="26" t="str">
        <f>+H102</f>
        <v>Croacia</v>
      </c>
      <c r="P103" s="24">
        <f>+COUNTIF(J102:J107,"="&amp;$O103)</f>
        <v>2</v>
      </c>
      <c r="Q103" s="24">
        <f>+COUNTIF(K102:L107,"="&amp;$O103)</f>
        <v>0</v>
      </c>
      <c r="R103" s="24">
        <f>+COUNTIF(M102:M107,"="&amp;$O103)</f>
        <v>1</v>
      </c>
      <c r="S103" s="24">
        <f t="shared" ref="S103:S105" si="469">+T103-U103</f>
        <v>0</v>
      </c>
      <c r="T103" s="24">
        <f t="shared" ref="T103" si="470">+SUMIF(E102:E107,$O103,F102:F107)+SUMIF(H102:H107,$O103,G102:G107)</f>
        <v>2</v>
      </c>
      <c r="U103" s="24">
        <f t="shared" ref="U103" si="471">+SUMIF(E102:E107,$O103,G102:G107)+SUMIF(H102:H107,$O103,F102:F107)</f>
        <v>2</v>
      </c>
      <c r="V103" s="45">
        <f t="shared" ref="V103:V105" si="472">+P103*3+Q103*1+BT103+CN103+S103/1000+T103/10000+AV103/1000000+ROW()/10000000</f>
        <v>6.0002103</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2</v>
      </c>
      <c r="AC103" s="49">
        <f t="shared" si="455"/>
        <v>0</v>
      </c>
      <c r="AD103" s="49">
        <f t="shared" si="456"/>
        <v>1</v>
      </c>
      <c r="AE103" s="49">
        <f t="shared" si="457"/>
        <v>0</v>
      </c>
      <c r="AF103" s="49">
        <f t="shared" si="458"/>
        <v>2</v>
      </c>
      <c r="AG103" s="49">
        <f t="shared" si="459"/>
        <v>2</v>
      </c>
      <c r="AH103" s="65">
        <f t="shared" si="459"/>
        <v>6.0002103</v>
      </c>
      <c r="AI103" s="51"/>
      <c r="AL103" s="45">
        <f>+LARGE(V102:V105,2)</f>
        <v>6.0002103</v>
      </c>
      <c r="AM103" s="52">
        <f>+(AH103-AL103)*100000000000000000000</f>
        <v>0</v>
      </c>
      <c r="AP103" s="53" t="str">
        <f>+O103</f>
        <v>Croacia</v>
      </c>
      <c r="AQ103" s="23">
        <f>+P103*3+Q103*1+BT103+CN103+S103/1000+T103/10000</f>
        <v>6.0002000000000004</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6</v>
      </c>
      <c r="BA103" s="29">
        <f>+COUNTIFS($AX$1:AX103,AX103,$AZ$1:AZ103,AZ103)</f>
        <v>1</v>
      </c>
      <c r="BB103" s="29">
        <f>+IF(AZ103=BF100,ROW()*0.001,AZ103)</f>
        <v>6</v>
      </c>
      <c r="BC103" s="29">
        <f>+COUNTIFS($AX$1:AZ103,AZ103,$AZ$1:BB103,BB103)</f>
        <v>3</v>
      </c>
      <c r="BD103" s="29"/>
      <c r="BE103" s="25" t="str">
        <f>+IF(OR(BF103="-",BI103="-",BF100=0),"-","OK")</f>
        <v>OK</v>
      </c>
      <c r="BF103" s="57" t="str">
        <f>+IF(_xlfn.XLOOKUP($E103,$AY:$AY,$AZ:$AZ,"-",0)=BF100,$E103,"-")</f>
        <v>Ghana</v>
      </c>
      <c r="BG103" s="58">
        <f t="shared" si="460"/>
        <v>1</v>
      </c>
      <c r="BH103" s="59">
        <f t="shared" si="461"/>
        <v>1</v>
      </c>
      <c r="BI103" s="57" t="str">
        <f>+IF(_xlfn.XLOOKUP($H103,$AY:$AY,$AZ:$AZ,"-",0)=BF100,$H103,"-")</f>
        <v>Panama</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1.0001</v>
      </c>
      <c r="BW103" s="24">
        <f>+BX103/$BW$1</f>
        <v>0.2</v>
      </c>
      <c r="BX103" s="23">
        <v>2</v>
      </c>
      <c r="BY103" s="25" t="str">
        <f t="shared" si="462"/>
        <v>-</v>
      </c>
      <c r="BZ103" s="57" t="str">
        <f>+IF(_xlfn.XLOOKUP($E103,$AY:$AY,$AZ:$AZ,"-",0)=BZ100,$E103,"-")</f>
        <v>-</v>
      </c>
      <c r="CA103" s="58">
        <f t="shared" si="463"/>
        <v>1</v>
      </c>
      <c r="CB103" s="59">
        <f t="shared" si="464"/>
        <v>1</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198</v>
      </c>
      <c r="B104" s="39">
        <v>46196</v>
      </c>
      <c r="C104" s="40"/>
      <c r="D104" s="41"/>
      <c r="E104" s="42" t="s">
        <v>51</v>
      </c>
      <c r="F104" s="43">
        <v>2</v>
      </c>
      <c r="G104" s="43">
        <v>1</v>
      </c>
      <c r="H104" s="44" t="s">
        <v>85</v>
      </c>
      <c r="J104" s="24" t="str">
        <f t="shared" si="465"/>
        <v>Inglaterra</v>
      </c>
      <c r="K104" s="24" t="str">
        <f t="shared" si="466"/>
        <v/>
      </c>
      <c r="L104" s="24" t="str">
        <f t="shared" si="467"/>
        <v/>
      </c>
      <c r="M104" s="24" t="str">
        <f t="shared" si="468"/>
        <v>Ghana</v>
      </c>
      <c r="O104" s="26" t="str">
        <f>+E103</f>
        <v>Ghana</v>
      </c>
      <c r="P104" s="24">
        <f>+COUNTIF(J102:J107,"="&amp;$O104)</f>
        <v>0</v>
      </c>
      <c r="Q104" s="24">
        <f>+COUNTIF(K102:L107,"="&amp;$O104)</f>
        <v>1</v>
      </c>
      <c r="R104" s="24">
        <f>+COUNTIF(M102:M107,"="&amp;$O104)</f>
        <v>2</v>
      </c>
      <c r="S104" s="24">
        <f t="shared" si="469"/>
        <v>-2</v>
      </c>
      <c r="T104" s="24">
        <f t="shared" ref="T104" si="479">+SUMIF(E102:E107,$O104,F102:F107)+SUMIF(H102:H107,$O104,G102:G107)</f>
        <v>2</v>
      </c>
      <c r="U104" s="24">
        <f t="shared" ref="U104" si="480">+SUMIF(E102:E107,$O104,G102:G107)+SUMIF(H102:H107,$O104,F102:F107)</f>
        <v>4</v>
      </c>
      <c r="V104" s="45">
        <f t="shared" si="472"/>
        <v>1.2982104000000001</v>
      </c>
      <c r="W104" s="26" t="str">
        <f t="shared" si="473"/>
        <v>Ghana</v>
      </c>
      <c r="Y104" s="68" t="str">
        <f>+CONCATENATE("3",RIGHT(E101,1))</f>
        <v>3L</v>
      </c>
      <c r="Z104" s="69" t="str">
        <f>+VLOOKUP(AL104,V102:W105,2,FALSE)</f>
        <v>Ghana</v>
      </c>
      <c r="AA104" s="70">
        <f t="shared" si="474"/>
        <v>3</v>
      </c>
      <c r="AB104" s="71">
        <f t="shared" si="475"/>
        <v>0</v>
      </c>
      <c r="AC104" s="71">
        <f t="shared" si="455"/>
        <v>1</v>
      </c>
      <c r="AD104" s="71">
        <f t="shared" si="456"/>
        <v>2</v>
      </c>
      <c r="AE104" s="71">
        <f t="shared" si="457"/>
        <v>-2</v>
      </c>
      <c r="AF104" s="71">
        <f t="shared" si="458"/>
        <v>2</v>
      </c>
      <c r="AG104" s="71">
        <f t="shared" si="459"/>
        <v>4</v>
      </c>
      <c r="AH104" s="72">
        <f t="shared" si="459"/>
        <v>1.2982104000000001</v>
      </c>
      <c r="AI104" s="73">
        <f>+(COUNTIFS($CV$2:$CV$13,Z104,$CX$2:$CX$13,"IN")+COUNTIFS($CV$2:$CV$13,Z104,$CW$2:$CW$13,"IN"))*IF(SUM(AA102:AA105)=12,1,0)</f>
        <v>0</v>
      </c>
      <c r="AL104" s="45">
        <f>+LARGE(V102:V105,3)</f>
        <v>1.2982104000000001</v>
      </c>
      <c r="AM104" s="52">
        <f>+(AH104-AL104)*100000000000000000000</f>
        <v>0</v>
      </c>
      <c r="AP104" s="53" t="str">
        <f>+O104</f>
        <v>Ghana</v>
      </c>
      <c r="AQ104" s="23">
        <f>+P104*3+Q104*1+BT104+CN104+S104/1000+T104/10000</f>
        <v>1.2982</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1</v>
      </c>
      <c r="BA104" s="29">
        <f>+COUNTIFS($AX$1:AX104,AX104,$AZ$1:AZ104,AZ104)</f>
        <v>1</v>
      </c>
      <c r="BB104" s="29">
        <f>+IF(AZ104=BF100,ROW()*0.001,AZ104)</f>
        <v>0.10400000000000001</v>
      </c>
      <c r="BC104" s="29">
        <f>+COUNTIFS($AX$1:AZ104,AZ104,$AZ$1:BB104,BB104)</f>
        <v>1</v>
      </c>
      <c r="BD104" s="29"/>
      <c r="BE104" s="25" t="str">
        <f>+IF(OR(BF104="-",BI104="-",BF100=0),"-","OK")</f>
        <v>-</v>
      </c>
      <c r="BF104" s="57" t="str">
        <f>+IF(_xlfn.XLOOKUP($E104,$AY:$AY,$AZ:$AZ,"-",0)=BF100,$E104,"-")</f>
        <v>-</v>
      </c>
      <c r="BG104" s="58">
        <f t="shared" si="460"/>
        <v>2</v>
      </c>
      <c r="BH104" s="59">
        <f t="shared" si="461"/>
        <v>1</v>
      </c>
      <c r="BI104" s="57" t="str">
        <f>+IF(_xlfn.XLOOKUP($H104,$AY:$AY,$AZ:$AZ,"-",0)=BF100,$H104,"-")</f>
        <v>Ghana</v>
      </c>
      <c r="BK104" s="26" t="str">
        <f>+O104</f>
        <v>Ghana</v>
      </c>
      <c r="BL104" s="26">
        <f>+COUNTIFS($BE:$BE,"OK",$BI:$BI,BK104)+COUNTIFS($BE:$BE,"OK",$BF:$BF,BK104)</f>
        <v>1</v>
      </c>
      <c r="BM104" s="24">
        <f>+COUNTIFS(J:J,$BK104,$BE:$BE,"OK")</f>
        <v>0</v>
      </c>
      <c r="BN104" s="24">
        <f>+COUNTIFS(K:K,$BK104,$BE:$BE,"OK")+COUNTIFS(L:L,$BK104,$BE:$BE,"OK")</f>
        <v>1</v>
      </c>
      <c r="BO104" s="24">
        <f>+COUNTIFS(M:M,$BK104,$BE:$BE,"OK")</f>
        <v>0</v>
      </c>
      <c r="BP104" s="24">
        <f>+BQ104-BR104</f>
        <v>0</v>
      </c>
      <c r="BQ104" s="24">
        <f>+SUMIFS(BG:BG,$BE:$BE,"OK",BF:BF,$BK104)+SUMIFS(BH:BH,$BE:$BE,"OK",BI:BI,$BK104)</f>
        <v>1</v>
      </c>
      <c r="BR104" s="24">
        <f>+SUMIFS(BH:BH,$BE:$BE,"OK",BF:BF,$BK104)+SUMIFS(BG:BG,$BE:$BE,"OK",BI:BI,$BK104)</f>
        <v>1</v>
      </c>
      <c r="BS104" s="60">
        <f>+BM104*3+BN104*1+BP104/100+BQ104/10000</f>
        <v>1.0001</v>
      </c>
      <c r="BT104" s="29">
        <f>+IF(BL104=0,0,_xlfn.XLOOKUP(BS104,BV102:BV105,BW102:BW105))</f>
        <v>0.3</v>
      </c>
      <c r="BU104" s="45"/>
      <c r="BV104" s="24">
        <f>+LARGE(BS102:BS105,3)</f>
        <v>0</v>
      </c>
      <c r="BW104" s="24">
        <f>+BX104/$BW$1</f>
        <v>0.1</v>
      </c>
      <c r="BX104" s="23">
        <v>1</v>
      </c>
      <c r="BY104" s="25" t="str">
        <f t="shared" si="462"/>
        <v>-</v>
      </c>
      <c r="BZ104" s="57" t="str">
        <f>+IF(_xlfn.XLOOKUP($E104,$AY:$AY,$AZ:$AZ,"-",0)=BZ100,$E104,"-")</f>
        <v>Inglaterra</v>
      </c>
      <c r="CA104" s="58">
        <f t="shared" si="463"/>
        <v>2</v>
      </c>
      <c r="CB104" s="59">
        <f t="shared" si="464"/>
        <v>1</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199</v>
      </c>
      <c r="B105" s="39">
        <v>46196</v>
      </c>
      <c r="C105" s="40"/>
      <c r="D105" s="41"/>
      <c r="E105" s="42" t="s">
        <v>77</v>
      </c>
      <c r="F105" s="43">
        <v>0</v>
      </c>
      <c r="G105" s="43">
        <v>1</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1</v>
      </c>
      <c r="R105" s="24">
        <f>+COUNTIF(M102:M107,"="&amp;$O105)</f>
        <v>2</v>
      </c>
      <c r="S105" s="24">
        <f t="shared" si="469"/>
        <v>-2</v>
      </c>
      <c r="T105" s="24">
        <f t="shared" ref="T105" si="481">+SUMIF(E102:E107,$O105,F102:F107)+SUMIF(H102:H107,$O105,G102:G107)</f>
        <v>1</v>
      </c>
      <c r="U105" s="24">
        <f t="shared" ref="U105" si="482">+SUMIF(E102:E107,$O105,G102:G107)+SUMIF(H102:H107,$O105,F102:F107)</f>
        <v>3</v>
      </c>
      <c r="V105" s="45">
        <f t="shared" si="472"/>
        <v>1.2981104999999999</v>
      </c>
      <c r="W105" s="26" t="str">
        <f t="shared" si="473"/>
        <v>Panama</v>
      </c>
      <c r="Y105" s="74" t="str">
        <f>+CONCATENATE("4",RIGHT(E101,1))</f>
        <v>4L</v>
      </c>
      <c r="Z105" s="75" t="str">
        <f>+VLOOKUP(AL105,V102:W105,2,FALSE)</f>
        <v>Panama</v>
      </c>
      <c r="AA105" s="76">
        <f t="shared" si="474"/>
        <v>3</v>
      </c>
      <c r="AB105" s="77">
        <f t="shared" si="475"/>
        <v>0</v>
      </c>
      <c r="AC105" s="77">
        <f t="shared" si="455"/>
        <v>1</v>
      </c>
      <c r="AD105" s="77">
        <f t="shared" si="456"/>
        <v>2</v>
      </c>
      <c r="AE105" s="77">
        <f t="shared" si="457"/>
        <v>-2</v>
      </c>
      <c r="AF105" s="77">
        <f t="shared" si="458"/>
        <v>1</v>
      </c>
      <c r="AG105" s="77">
        <f t="shared" si="459"/>
        <v>3</v>
      </c>
      <c r="AH105" s="78">
        <f t="shared" si="459"/>
        <v>1.2981104999999999</v>
      </c>
      <c r="AI105" s="73"/>
      <c r="AL105" s="45">
        <f>+LARGE(V102:V105,4)</f>
        <v>1.2981104999999999</v>
      </c>
      <c r="AM105" s="52">
        <f>+(AH105-AL105)*100000000000000000000</f>
        <v>0</v>
      </c>
      <c r="AP105" s="53" t="str">
        <f>+O105</f>
        <v>Panama</v>
      </c>
      <c r="AQ105" s="23">
        <f>+P105*3+Q105*1+BT105+CN105+S105/1000+T105/10000</f>
        <v>1.2981</v>
      </c>
      <c r="AS105" s="54">
        <f t="shared" si="476"/>
        <v>0</v>
      </c>
      <c r="AT105" s="54">
        <f>+IF(AND(AM106="si",OR(AR102=1,AR103=1,AR104=1)),1,0)</f>
        <v>0</v>
      </c>
      <c r="AU105" s="79" t="str">
        <f t="shared" si="477"/>
        <v>Panama</v>
      </c>
      <c r="AV105" s="80"/>
      <c r="AX105" s="23" t="str">
        <f>+Y101</f>
        <v>Grupo L</v>
      </c>
      <c r="AY105" s="24" t="str">
        <f>+O105</f>
        <v>Panama</v>
      </c>
      <c r="AZ105" s="29">
        <f>+P105*3+Q105</f>
        <v>1</v>
      </c>
      <c r="BA105" s="29">
        <f>+COUNTIFS($AX$1:AX105,AX105,$AZ$1:AZ105,AZ105)</f>
        <v>2</v>
      </c>
      <c r="BB105" s="29">
        <f>+IF(AZ105=BF100,ROW()*0.001,AZ105)</f>
        <v>0.105</v>
      </c>
      <c r="BC105" s="29">
        <f>+COUNTIFS($AX$1:AZ105,AZ105,$AZ$1:BB105,BB105)</f>
        <v>1</v>
      </c>
      <c r="BD105" s="29"/>
      <c r="BE105" s="25" t="str">
        <f>+IF(OR(BF105="-",BI105="-",BF100=0),"-","OK")</f>
        <v>-</v>
      </c>
      <c r="BF105" s="57" t="str">
        <f>+IF(_xlfn.XLOOKUP($E105,$AY:$AY,$AZ:$AZ,"-",0)=BF100,$E105,"-")</f>
        <v>Panama</v>
      </c>
      <c r="BG105" s="58">
        <f t="shared" si="460"/>
        <v>0</v>
      </c>
      <c r="BH105" s="59">
        <f t="shared" si="461"/>
        <v>1</v>
      </c>
      <c r="BI105" s="57" t="str">
        <f>+IF(_xlfn.XLOOKUP($H105,$AY:$AY,$AZ:$AZ,"-",0)=BF100,$H105,"-")</f>
        <v>-</v>
      </c>
      <c r="BK105" s="26" t="str">
        <f>+O105</f>
        <v>Panama</v>
      </c>
      <c r="BL105" s="26">
        <f>+COUNTIFS($BE:$BE,"OK",$BI:$BI,BK105)+COUNTIFS($BE:$BE,"OK",$BF:$BF,BK105)</f>
        <v>1</v>
      </c>
      <c r="BM105" s="24">
        <f>+COUNTIFS(J:J,$BK105,$BE:$BE,"OK")</f>
        <v>0</v>
      </c>
      <c r="BN105" s="24">
        <f>+COUNTIFS(K:K,$BK105,$BE:$BE,"OK")+COUNTIFS(L:L,$BK105,$BE:$BE,"OK")</f>
        <v>1</v>
      </c>
      <c r="BO105" s="24">
        <f>+COUNTIFS(M:M,$BK105,$BE:$BE,"OK")</f>
        <v>0</v>
      </c>
      <c r="BP105" s="24">
        <f>+BQ105-BR105</f>
        <v>0</v>
      </c>
      <c r="BQ105" s="24">
        <f>+SUMIFS(BG:BG,$BE:$BE,"OK",BF:BF,$BK105)+SUMIFS(BH:BH,$BE:$BE,"OK",BI:BI,$BK105)</f>
        <v>1</v>
      </c>
      <c r="BR105" s="24">
        <f>+SUMIFS(BH:BH,$BE:$BE,"OK",BF:BF,$BK105)+SUMIFS(BG:BG,$BE:$BE,"OK",BI:BI,$BK105)</f>
        <v>1</v>
      </c>
      <c r="BS105" s="60">
        <f>+BM105*3+BN105*1+BP105/100+BQ105/10000</f>
        <v>1.0001</v>
      </c>
      <c r="BT105" s="29">
        <f>+IF(BL105=0,0,_xlfn.XLOOKUP(BS105,BV102:BV105,BW102:BW105))</f>
        <v>0.3</v>
      </c>
      <c r="BU105" s="45"/>
      <c r="BV105" s="24">
        <f>+LARGE(BS102:BS105,4)</f>
        <v>0</v>
      </c>
      <c r="BW105" s="24">
        <f>+BX105/$BW$1</f>
        <v>0</v>
      </c>
      <c r="BX105" s="23">
        <v>0</v>
      </c>
      <c r="BY105" s="25" t="str">
        <f t="shared" si="462"/>
        <v>-</v>
      </c>
      <c r="BZ105" s="57" t="str">
        <f>+IF(_xlfn.XLOOKUP($E105,$AY:$AY,$AZ:$AZ,"-",0)=BZ100,$E105,"-")</f>
        <v>-</v>
      </c>
      <c r="CA105" s="58">
        <f t="shared" si="463"/>
        <v>0</v>
      </c>
      <c r="CB105" s="59">
        <f t="shared" si="464"/>
        <v>1</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200</v>
      </c>
      <c r="B106" s="39">
        <v>46200</v>
      </c>
      <c r="C106" s="40"/>
      <c r="D106" s="41"/>
      <c r="E106" s="42" t="s">
        <v>77</v>
      </c>
      <c r="F106" s="43">
        <v>0</v>
      </c>
      <c r="G106" s="43">
        <v>1</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Panama</v>
      </c>
      <c r="BG106" s="58">
        <f t="shared" si="460"/>
        <v>0</v>
      </c>
      <c r="BH106" s="59">
        <f t="shared" si="461"/>
        <v>1</v>
      </c>
      <c r="BI106" s="57" t="str">
        <f>+IF(_xlfn.XLOOKUP($H106,$AY:$AY,$AZ:$AZ,"-",0)=BF100,$H106,"-")</f>
        <v>-</v>
      </c>
      <c r="BY106" s="25" t="str">
        <f t="shared" si="462"/>
        <v>-</v>
      </c>
      <c r="BZ106" s="57" t="str">
        <f>+IF(_xlfn.XLOOKUP($E106,$AY:$AY,$AZ:$AZ,"-",0)=BZ100,$E106,"-")</f>
        <v>-</v>
      </c>
      <c r="CA106" s="58">
        <f t="shared" si="463"/>
        <v>0</v>
      </c>
      <c r="CB106" s="59">
        <f t="shared" si="464"/>
        <v>1</v>
      </c>
      <c r="CC106" s="57" t="str">
        <f>+IF(_xlfn.XLOOKUP($H106,$AY:$AY,$AZ:$AZ,"-",0)=BZ100,$H106,"-")</f>
        <v>Inglaterra</v>
      </c>
    </row>
    <row r="107" spans="1:102" x14ac:dyDescent="0.2">
      <c r="A107" s="38" t="s">
        <v>201</v>
      </c>
      <c r="B107" s="39">
        <v>46200</v>
      </c>
      <c r="C107" s="40"/>
      <c r="D107" s="41"/>
      <c r="E107" s="42" t="s">
        <v>57</v>
      </c>
      <c r="F107" s="43">
        <v>1</v>
      </c>
      <c r="G107" s="43">
        <v>0</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v>
      </c>
      <c r="BG107" s="58">
        <f t="shared" si="460"/>
        <v>1</v>
      </c>
      <c r="BH107" s="59">
        <f t="shared" si="461"/>
        <v>0</v>
      </c>
      <c r="BI107" s="57" t="str">
        <f>+IF(_xlfn.XLOOKUP($H107,$AY:$AY,$AZ:$AZ,"-",0)=BF100,$H107,"-")</f>
        <v>Ghana</v>
      </c>
      <c r="BY107" s="25" t="str">
        <f t="shared" si="462"/>
        <v>-</v>
      </c>
      <c r="BZ107" s="57" t="str">
        <f>+IF(_xlfn.XLOOKUP($E107,$AY:$AY,$AZ:$AZ,"-",0)=BZ100,$E107,"-")</f>
        <v>-</v>
      </c>
      <c r="CA107" s="58">
        <f t="shared" si="463"/>
        <v>1</v>
      </c>
      <c r="CB107" s="59">
        <f t="shared" si="464"/>
        <v>0</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Normal="100" workbookViewId="0">
      <selection activeCell="X30" sqref="X30"/>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Corea del Sur</v>
      </c>
      <c r="C5" s="112">
        <v>1</v>
      </c>
      <c r="D5" s="113">
        <v>0</v>
      </c>
      <c r="E5" s="428" t="str">
        <f>+_xlfn.XLOOKUP(D4,'Groups Stage'!$Y:$Y,'Groups Stage'!$Z:$Z,"-",0)</f>
        <v>Canada</v>
      </c>
      <c r="F5" s="110"/>
      <c r="G5" s="437" t="s">
        <v>214</v>
      </c>
      <c r="H5" s="111" t="str">
        <f>+_xlfn.XLOOKUP(I4,'Groups Stage'!$Y:$Y,'Groups Stage'!$Z:$Z,"-",0)</f>
        <v>Paraguay</v>
      </c>
      <c r="I5" s="112">
        <v>1</v>
      </c>
      <c r="J5" s="113">
        <v>0</v>
      </c>
      <c r="K5" s="438" t="str">
        <f>+_xlfn.XLOOKUP(J4,'Groups Stage'!$Y:$Y,'Groups Stage'!$Z:$Z,"-",0)</f>
        <v>Bosnia</v>
      </c>
      <c r="O5" s="427" t="s">
        <v>215</v>
      </c>
      <c r="P5" s="111" t="str">
        <f>+_xlfn.XLOOKUP(Q4,$C:$C,$B:$B,_xlfn.XLOOKUP(Q4,$I:$I,$H:$H,"-",0),0)</f>
        <v>Alemania</v>
      </c>
      <c r="Q5" s="112">
        <v>0</v>
      </c>
      <c r="R5" s="113">
        <v>1</v>
      </c>
      <c r="S5" s="428" t="str">
        <f>+_xlfn.XLOOKUP(R4,$C:$C,$B:$B,_xlfn.XLOOKUP(R4,$I:$I,$H:$H,"-",0),0)</f>
        <v>Francia</v>
      </c>
      <c r="T5" s="108"/>
      <c r="U5" s="437" t="s">
        <v>216</v>
      </c>
      <c r="V5" s="111" t="str">
        <f>+_xlfn.XLOOKUP(W4,$C:$C,$B:$B,_xlfn.XLOOKUP(W4,$I:$I,$H:$H,"-",0),0)</f>
        <v>Portugal</v>
      </c>
      <c r="W5" s="112">
        <v>0</v>
      </c>
      <c r="X5" s="113">
        <v>1</v>
      </c>
      <c r="Y5" s="438" t="str">
        <f>+_xlfn.XLOOKUP(X4,$C:$C,$B:$B,_xlfn.XLOOKUP(X4,$I:$I,$H:$H,"-",0),0)</f>
        <v>España</v>
      </c>
    </row>
    <row r="6" spans="1:25" ht="15" thickBot="1" x14ac:dyDescent="0.25">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75" thickTop="1" thickBot="1" x14ac:dyDescent="0.25">
      <c r="B7" s="117" t="str">
        <f>+IF(AND(ISNUMBER(C5),ISNUMBER(D5)),IF((C5+C6)&gt;(D5+D6),B5,E5),"-")</f>
        <v>Corea del Sur</v>
      </c>
      <c r="C7" s="117" t="str">
        <f>+E4</f>
        <v>W73</v>
      </c>
      <c r="D7" s="117"/>
      <c r="E7" s="117"/>
      <c r="F7" s="110"/>
      <c r="H7" s="117" t="str">
        <f>+IF(AND(ISNUMBER(I5),ISNUMBER(J5)),IF((I5+I6)&gt;(J5+J6),H5,K5),"-")</f>
        <v>Paraguay</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5" thickTop="1" x14ac:dyDescent="0.2">
      <c r="A8" s="423"/>
      <c r="B8" s="424"/>
      <c r="C8" s="425" t="s">
        <v>218</v>
      </c>
      <c r="D8" s="425" t="str">
        <f>+_xlfn.XLOOKUP(C8,'Mejores 3eros'!$AD$1:$AK$1,'Mejores 3eros'!$AD$3:$AK$3,"-",0)</f>
        <v>3D</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
      <c r="A9" s="427" t="s">
        <v>221</v>
      </c>
      <c r="B9" s="111" t="str">
        <f>+_xlfn.XLOOKUP(C8,'Groups Stage'!$Y:$Y,'Groups Stage'!$Z:$Z,"-",0)</f>
        <v>Alemania</v>
      </c>
      <c r="C9" s="112">
        <v>1</v>
      </c>
      <c r="D9" s="113">
        <v>0</v>
      </c>
      <c r="E9" s="428" t="str">
        <f>+_xlfn.XLOOKUP(D8,'Groups Stage'!$Y:$Y,'Groups Stage'!$Z:$Z,"-",0)</f>
        <v>Australia</v>
      </c>
      <c r="F9" s="110"/>
      <c r="G9" s="437" t="s">
        <v>222</v>
      </c>
      <c r="H9" s="111" t="str">
        <f>+_xlfn.XLOOKUP(I8,'Groups Stage'!$Y:$Y,'Groups Stage'!$Z:$Z,"-",0)</f>
        <v>Iran</v>
      </c>
      <c r="I9" s="112">
        <v>0</v>
      </c>
      <c r="J9" s="113">
        <v>1</v>
      </c>
      <c r="K9" s="438" t="str">
        <f>+_xlfn.XLOOKUP(J8,'Groups Stage'!$Y:$Y,'Groups Stage'!$Z:$Z,"-",0)</f>
        <v>Repubilca Checa</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Repubilca Checa</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Japon</v>
      </c>
      <c r="C13" s="112">
        <v>1</v>
      </c>
      <c r="D13" s="113">
        <v>0</v>
      </c>
      <c r="E13" s="428" t="str">
        <f>+_xlfn.XLOOKUP(D12,'Groups Stage'!$Y:$Y,'Groups Stage'!$Z:$Z,"-",0)</f>
        <v>Escocia</v>
      </c>
      <c r="F13" s="110"/>
      <c r="G13" s="437" t="s">
        <v>231</v>
      </c>
      <c r="H13" s="111" t="str">
        <f>+_xlfn.XLOOKUP(I12,'Groups Stage'!$Y:$Y,'Groups Stage'!$Z:$Z,"-",0)</f>
        <v>Portugal</v>
      </c>
      <c r="I13" s="112">
        <v>1</v>
      </c>
      <c r="J13" s="113">
        <v>0</v>
      </c>
      <c r="K13" s="438" t="str">
        <f>+_xlfn.XLOOKUP(J12,'Groups Stage'!$Y:$Y,'Groups Stage'!$Z:$Z,"-",0)</f>
        <v>Croacia</v>
      </c>
      <c r="O13" s="427" t="s">
        <v>232</v>
      </c>
      <c r="P13" s="111" t="str">
        <f>+_xlfn.XLOOKUP(Q12,$C:$C,$B:$B,_xlfn.XLOOKUP(Q12,$I:$I,$H:$H,"-",0),0)</f>
        <v>Corea del Sur</v>
      </c>
      <c r="Q13" s="112">
        <v>1</v>
      </c>
      <c r="R13" s="113">
        <v>0</v>
      </c>
      <c r="S13" s="428" t="str">
        <f>+_xlfn.XLOOKUP(R12,$C:$C,$B:$B,_xlfn.XLOOKUP(R12,$I:$I,$H:$H,"-",0),0)</f>
        <v>Japon</v>
      </c>
      <c r="T13" s="108"/>
      <c r="U13" s="437" t="s">
        <v>233</v>
      </c>
      <c r="V13" s="111" t="str">
        <f>+_xlfn.XLOOKUP(W12,$C:$C,$B:$B,_xlfn.XLOOKUP(W12,$I:$I,$H:$H,"-",0),0)</f>
        <v>Paraguay</v>
      </c>
      <c r="W13" s="112">
        <v>1</v>
      </c>
      <c r="X13" s="113">
        <v>0</v>
      </c>
      <c r="Y13" s="438" t="str">
        <f>+_xlfn.XLOOKUP(X12,$C:$C,$B:$B,_xlfn.XLOOKUP(X12,$I:$I,$H:$H,"-",0),0)</f>
        <v>Repubilca Checa</v>
      </c>
    </row>
    <row r="14" spans="1:25" ht="15" thickBot="1" x14ac:dyDescent="0.25">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75" thickTop="1" thickBot="1" x14ac:dyDescent="0.25">
      <c r="B15" s="117" t="str">
        <f>+IF(AND(ISNUMBER(C13),ISNUMBER(D13)),IF((C13+C14)&gt;(D13+D14),B13,E13),"-")</f>
        <v>Japon</v>
      </c>
      <c r="C15" s="117" t="str">
        <f>+E12</f>
        <v>W75</v>
      </c>
      <c r="D15" s="117"/>
      <c r="E15" s="117"/>
      <c r="F15" s="110"/>
      <c r="H15" s="117" t="str">
        <f>+IF(AND(ISNUMBER(I13),ISNUMBER(J13)),IF((I13+I14)&gt;(J13+J14),H13,K13),"-")</f>
        <v>Portugal</v>
      </c>
      <c r="I15" s="117" t="str">
        <f>+K12</f>
        <v>W83</v>
      </c>
      <c r="J15" s="117"/>
      <c r="K15" s="117"/>
      <c r="P15" s="118" t="str">
        <f>+IF(AND(ISNUMBER(Q13),ISNUMBER(R13)),IF((Q13+Q14)&gt;(R13+R14),P13,S13),"-")</f>
        <v>Corea del Sur</v>
      </c>
      <c r="Q15" s="118" t="str">
        <f>+S12</f>
        <v>W90</v>
      </c>
      <c r="R15" s="118"/>
      <c r="S15" s="118"/>
      <c r="T15" s="119"/>
      <c r="U15" s="108"/>
      <c r="V15" s="118" t="str">
        <f>+IF(AND(ISNUMBER(W13),ISNUMBER(X13)),IF((W13+W14)&gt;(X13+X14),V13,Y13),"-")</f>
        <v>Paraguay</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Brasil</v>
      </c>
      <c r="C17" s="112">
        <v>1</v>
      </c>
      <c r="D17" s="113">
        <v>0</v>
      </c>
      <c r="E17" s="448" t="str">
        <f>+_xlfn.XLOOKUP(D16,'Groups Stage'!$Y:$Y,'Groups Stage'!$Z:$Z,"-",0)</f>
        <v>Suecia</v>
      </c>
      <c r="F17" s="110"/>
      <c r="G17" s="437" t="s">
        <v>240</v>
      </c>
      <c r="H17" s="111" t="str">
        <f>+_xlfn.XLOOKUP(I16,'Groups Stage'!$Y:$Y,'Groups Stage'!$Z:$Z,"-",0)</f>
        <v>España</v>
      </c>
      <c r="I17" s="112">
        <v>1</v>
      </c>
      <c r="J17" s="113">
        <v>0</v>
      </c>
      <c r="K17" s="438" t="str">
        <f>+_xlfn.XLOOKUP(J16,'Groups Stage'!$Y:$Y,'Groups Stage'!$Z:$Z,"-",0)</f>
        <v>Austria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Francia</v>
      </c>
      <c r="C21" s="112">
        <v>1</v>
      </c>
      <c r="D21" s="113">
        <v>0</v>
      </c>
      <c r="E21" s="428" t="str">
        <f>+_xlfn.XLOOKUP(D20,'Groups Stage'!$Y:$Y,'Groups Stage'!$Z:$Z,"-",0)</f>
        <v>Paises Bajos</v>
      </c>
      <c r="F21" s="110"/>
      <c r="G21" s="417" t="s">
        <v>250</v>
      </c>
      <c r="H21" s="111" t="str">
        <f>+_xlfn.XLOOKUP(I20,'Groups Stage'!$Y:$Y,'Groups Stage'!$Z:$Z,"-",0)</f>
        <v>Suiza</v>
      </c>
      <c r="I21" s="112">
        <v>1</v>
      </c>
      <c r="J21" s="113">
        <v>0</v>
      </c>
      <c r="K21" s="418" t="str">
        <f>+_xlfn.XLOOKUP(J20,'Groups Stage'!$Y:$Y,'Groups Stage'!$Z:$Z,"-",0)</f>
        <v>Egipto</v>
      </c>
      <c r="O21" s="447" t="s">
        <v>251</v>
      </c>
      <c r="P21" s="111" t="str">
        <f>+_xlfn.XLOOKUP(Q20,$C:$C,$B:$B,_xlfn.XLOOKUP(Q20,$I:$I,$H:$H,"-",0),0)</f>
        <v>Brasil</v>
      </c>
      <c r="Q21" s="112">
        <v>1</v>
      </c>
      <c r="R21" s="113">
        <v>0</v>
      </c>
      <c r="S21" s="448" t="str">
        <f>+_xlfn.XLOOKUP(R20,$C:$C,$B:$B,_xlfn.XLOOKUP(R20,$I:$I,$H:$H,"-",0),0)</f>
        <v>Ecuador</v>
      </c>
      <c r="T21" s="108"/>
      <c r="U21" s="417" t="s">
        <v>252</v>
      </c>
      <c r="V21" s="111" t="str">
        <f>+_xlfn.XLOOKUP(W20,$C:$C,$B:$B,_xlfn.XLOOKUP(W20,$I:$I,$H:$H,"-",0),0)</f>
        <v>Argentina</v>
      </c>
      <c r="W21" s="112">
        <v>1</v>
      </c>
      <c r="X21" s="113">
        <v>0</v>
      </c>
      <c r="Y21" s="418" t="str">
        <f>+_xlfn.XLOOKUP(X20,$C:$C,$B:$B,_xlfn.XLOOKUP(X20,$I:$I,$H:$H,"-",0),0)</f>
        <v>Estados Unidos</v>
      </c>
    </row>
    <row r="22" spans="1:25" ht="15" thickBot="1" x14ac:dyDescent="0.25">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Ecuador</v>
      </c>
      <c r="C25" s="112">
        <v>1</v>
      </c>
      <c r="D25" s="113">
        <v>0</v>
      </c>
      <c r="E25" s="448" t="str">
        <f>+_xlfn.XLOOKUP(D24,'Groups Stage'!$Y:$Y,'Groups Stage'!$Z:$Z,"-",0)</f>
        <v>Noruega</v>
      </c>
      <c r="F25" s="110"/>
      <c r="G25" s="417" t="s">
        <v>258</v>
      </c>
      <c r="H25" s="111" t="str">
        <f>+_xlfn.XLOOKUP(I24,'Groups Stage'!$Y:$Y,'Groups Stage'!$Z:$Z,"-",0)</f>
        <v>Argentina</v>
      </c>
      <c r="I25" s="112">
        <v>1</v>
      </c>
      <c r="J25" s="113">
        <v>0</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Ecuador</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3H</v>
      </c>
      <c r="E28" s="446" t="s">
        <v>260</v>
      </c>
      <c r="F28" s="110"/>
      <c r="G28" s="413"/>
      <c r="H28" s="414"/>
      <c r="I28" s="415" t="s">
        <v>261</v>
      </c>
      <c r="J28" s="415" t="str">
        <f>+_xlfn.XLOOKUP(I28,'Mejores 3eros'!$AD$1:$AK$1,'Mejores 3eros'!$AD$3:$AK$3,"-",0)</f>
        <v>3I</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Mexico</v>
      </c>
      <c r="C29" s="112">
        <v>1</v>
      </c>
      <c r="D29" s="113">
        <v>0</v>
      </c>
      <c r="E29" s="448" t="str">
        <f>+_xlfn.XLOOKUP(D28,'Groups Stage'!$Y:$Y,'Groups Stage'!$Z:$Z,"-",0)</f>
        <v>Arabia Saudita</v>
      </c>
      <c r="F29" s="110"/>
      <c r="G29" s="417" t="s">
        <v>267</v>
      </c>
      <c r="H29" s="111" t="str">
        <f>+_xlfn.XLOOKUP(I28,'Groups Stage'!$Y:$Y,'Groups Stage'!$Z:$Z,"-",0)</f>
        <v>Colombia</v>
      </c>
      <c r="I29" s="112">
        <v>1</v>
      </c>
      <c r="J29" s="113">
        <v>0</v>
      </c>
      <c r="K29" s="418" t="str">
        <f>+_xlfn.XLOOKUP(J28,'Groups Stage'!$Y:$Y,'Groups Stage'!$Z:$Z,"-",0)</f>
        <v>Senegal</v>
      </c>
      <c r="O29" s="447" t="s">
        <v>268</v>
      </c>
      <c r="P29" s="111" t="str">
        <f>+_xlfn.XLOOKUP(Q28,$C:$C,$B:$B,_xlfn.XLOOKUP(Q28,$I:$I,$H:$H,"-",0),0)</f>
        <v>Mexico</v>
      </c>
      <c r="Q29" s="112">
        <v>0</v>
      </c>
      <c r="R29" s="113">
        <v>1</v>
      </c>
      <c r="S29" s="448" t="str">
        <f>+_xlfn.XLOOKUP(R28,$C:$C,$B:$B,_xlfn.XLOOKUP(R28,$I:$I,$H:$H,"-",0),0)</f>
        <v>Inglaterra</v>
      </c>
      <c r="T29" s="108"/>
      <c r="U29" s="417" t="s">
        <v>269</v>
      </c>
      <c r="V29" s="111" t="str">
        <f>+_xlfn.XLOOKUP(W28,$C:$C,$B:$B,_xlfn.XLOOKUP(W28,$I:$I,$H:$H,"-",0),0)</f>
        <v>Suiza</v>
      </c>
      <c r="W29" s="112">
        <v>0</v>
      </c>
      <c r="X29" s="113">
        <v>1</v>
      </c>
      <c r="Y29" s="418" t="str">
        <f>+_xlfn.XLOOKUP(X28,$C:$C,$B:$B,_xlfn.XLOOKUP(X28,$I:$I,$H:$H,"-",0),0)</f>
        <v>Colombia</v>
      </c>
    </row>
    <row r="30" spans="1:25" ht="15" thickBot="1" x14ac:dyDescent="0.25">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+IF(AND(ISNUMBER(C29),ISNUMBER(D29)),IF((C29+C30)&gt;(D29+D30),B29,E29),"-")</f>
        <v>Mexico</v>
      </c>
      <c r="C31" s="117" t="str">
        <f>+E28</f>
        <v>W79</v>
      </c>
      <c r="D31" s="117"/>
      <c r="E31" s="117"/>
      <c r="F31" s="110"/>
      <c r="H31" s="117" t="str">
        <f>+IF(AND(ISNUMBER(I29),ISNUMBER(J29)),IF((I29+I30)&gt;(J29+J30),H29,K29),"-")</f>
        <v>Colombia</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Colombia</v>
      </c>
      <c r="W31" s="118" t="str">
        <f>+Y28</f>
        <v>W96</v>
      </c>
      <c r="X31" s="118"/>
      <c r="Y31" s="118"/>
    </row>
    <row r="32" spans="1:25" ht="15" thickTop="1" x14ac:dyDescent="0.2">
      <c r="A32" s="443"/>
      <c r="B32" s="444"/>
      <c r="C32" s="445" t="s">
        <v>270</v>
      </c>
      <c r="D32" s="445" t="str">
        <f>+_xlfn.XLOOKUP(C32,'Mejores 3eros'!$AD$1:$AK$1,'Mejores 3eros'!$AD$3:$AK$3,"-",0)</f>
        <v>3K</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Inglaterra</v>
      </c>
      <c r="C33" s="112">
        <v>1</v>
      </c>
      <c r="D33" s="113">
        <v>0</v>
      </c>
      <c r="E33" s="448" t="str">
        <f>+_xlfn.XLOOKUP(D32,'Groups Stage'!$Y:$Y,'Groups Stage'!$Z:$Z,"-",0)</f>
        <v>Uzbekistan</v>
      </c>
      <c r="F33" s="110"/>
      <c r="G33" s="417" t="s">
        <v>274</v>
      </c>
      <c r="H33" s="111" t="str">
        <f>+_xlfn.XLOOKUP(I32,'Groups Stage'!$Y:$Y,'Groups Stage'!$Z:$Z,"-",0)</f>
        <v>Estados Unidos</v>
      </c>
      <c r="I33" s="112">
        <v>1</v>
      </c>
      <c r="J33" s="113">
        <v>0</v>
      </c>
      <c r="K33" s="418" t="str">
        <f>+_xlfn.XLOOKUP(J32,'Groups Stage'!$Y:$Y,'Groups Stage'!$Z:$Z,"-",0)</f>
        <v>Belgica</v>
      </c>
      <c r="P33" s="108"/>
      <c r="Q33" s="108"/>
      <c r="R33" s="108"/>
      <c r="S33" s="108"/>
      <c r="T33" s="108"/>
      <c r="U33" s="108"/>
      <c r="V33" s="108"/>
      <c r="W33" s="108"/>
      <c r="X33" s="108"/>
      <c r="Y33" s="108"/>
    </row>
    <row r="34" spans="1:25" ht="15" thickBot="1" x14ac:dyDescent="0.25">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Estados Unidos</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115" zoomScaleNormal="115" workbookViewId="0">
      <selection activeCell="S23" sqref="S23"/>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Francia</v>
      </c>
      <c r="Q4" s="520">
        <v>0</v>
      </c>
      <c r="R4" s="523">
        <v>1</v>
      </c>
      <c r="S4" s="517" t="str">
        <f>+H21</f>
        <v>Argentina</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Francia</v>
      </c>
      <c r="C5" s="112">
        <v>1</v>
      </c>
      <c r="D5" s="113">
        <v>0</v>
      </c>
      <c r="E5" s="114" t="str">
        <f>+_xlfn.XLOOKUP(D4,'Round of 32 &amp; Round of 16'!$Q:$Q,'Round of 32 &amp; Round of 16'!$P:$P,_xlfn.XLOOKUP(D4,'Round of 32 &amp; Round of 16'!$W:$W,'Round of 32 &amp; Round of 16'!$V:$V,"-",0),0)</f>
        <v>Corea del Sur</v>
      </c>
      <c r="F5" s="110"/>
      <c r="G5" s="180" t="s">
        <v>278</v>
      </c>
      <c r="H5" s="111" t="str">
        <f>+_xlfn.XLOOKUP(I4,'Round of 32 &amp; Round of 16'!$Q:$Q,'Round of 32 &amp; Round of 16'!$P:$P,_xlfn.XLOOKUP(I4,'Round of 32 &amp; Round of 16'!$W:$W,'Round of 32 &amp; Round of 16'!$V:$V,"-",0),0)</f>
        <v>Brasil</v>
      </c>
      <c r="I5" s="112">
        <v>1</v>
      </c>
      <c r="J5" s="113">
        <v>0</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Francia</v>
      </c>
      <c r="C7" s="117" t="str">
        <f>+E4</f>
        <v>W97</v>
      </c>
      <c r="D7" s="117"/>
      <c r="E7" s="117"/>
      <c r="F7" s="110"/>
      <c r="G7" s="105"/>
      <c r="H7" s="117" t="str">
        <f>+IF(AND(ISNUMBER(I5),ISNUMBER(J5)),IF((I5+I6)&gt;(J5+J6),H5,K5),"-")</f>
        <v>Brasil</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Argentina</v>
      </c>
      <c r="Q8" s="140">
        <f>+S5</f>
        <v>0</v>
      </c>
      <c r="R8" s="140"/>
      <c r="S8" s="140" t="str">
        <f>+IF(AND(ISNUMBER(Q4),ISNUMBER(R4)),IF((Q4+Q7)&gt;(R4+R7),S4,P4),"-")</f>
        <v>Francia</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España</v>
      </c>
      <c r="C9" s="112">
        <v>1</v>
      </c>
      <c r="D9" s="113">
        <v>0</v>
      </c>
      <c r="E9" s="114" t="str">
        <f>+_xlfn.XLOOKUP(D8,'Round of 32 &amp; Round of 16'!$Q:$Q,'Round of 32 &amp; Round of 16'!$P:$P,_xlfn.XLOOKUP(D8,'Round of 32 &amp; Round of 16'!$W:$W,'Round of 32 &amp; Round of 16'!$V:$V,"-",0),0)</f>
        <v>Paraguay</v>
      </c>
      <c r="F9" s="110"/>
      <c r="G9" s="180" t="s">
        <v>283</v>
      </c>
      <c r="H9" s="111" t="str">
        <f>+_xlfn.XLOOKUP(I8,'Round of 32 &amp; Round of 16'!$Q:$Q,'Round of 32 &amp; Round of 16'!$P:$P,_xlfn.XLOOKUP(I8,'Round of 32 &amp; Round of 16'!$W:$W,'Round of 32 &amp; Round of 16'!$V:$V,"-",0),0)</f>
        <v>Argentina</v>
      </c>
      <c r="I9" s="112">
        <v>1</v>
      </c>
      <c r="J9" s="113">
        <v>0</v>
      </c>
      <c r="K9" s="114" t="str">
        <f>+_xlfn.XLOOKUP(J8,'Round of 32 &amp; Round of 16'!$Q:$Q,'Round of 32 &amp; Round of 16'!$P:$P,_xlfn.XLOOKUP(J8,'Round of 32 &amp; Round of 16'!$W:$W,'Round of 32 &amp; Round of 16'!$V:$V,"-",0),0)</f>
        <v>Colombia</v>
      </c>
      <c r="L9" s="105"/>
      <c r="M9" s="106"/>
      <c r="N9" s="122"/>
      <c r="O9" s="109"/>
      <c r="P9" s="109"/>
      <c r="Q9" s="109"/>
      <c r="R9" s="109"/>
      <c r="S9" s="109"/>
      <c r="T9" s="109"/>
      <c r="U9" s="109"/>
      <c r="V9" s="109"/>
      <c r="W9" s="109"/>
      <c r="X9" s="109"/>
      <c r="Y9" s="109"/>
    </row>
    <row r="10" spans="1:25" s="108" customFormat="1" x14ac:dyDescent="0.2">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España</v>
      </c>
      <c r="Q13" s="112">
        <v>1</v>
      </c>
      <c r="R13" s="113">
        <v>0</v>
      </c>
      <c r="S13" s="130" t="str">
        <f>+K21</f>
        <v>Brasil</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España</v>
      </c>
      <c r="Q15" s="140">
        <f>+S12</f>
        <v>0</v>
      </c>
      <c r="R15" s="140"/>
      <c r="S15" s="140" t="str">
        <f>+IF(AND(ISNUMBER(Q13),ISNUMBER(R13)),IF((Q13+Q14)&gt;(R13+R14),S13,P13),"-")</f>
        <v>Brasil</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
      <c r="A19" s="180" t="s">
        <v>287</v>
      </c>
      <c r="B19" s="111" t="str">
        <f>+B7</f>
        <v>Francia</v>
      </c>
      <c r="C19" s="112">
        <v>1</v>
      </c>
      <c r="D19" s="113">
        <v>0</v>
      </c>
      <c r="E19" s="114" t="str">
        <f>+B11</f>
        <v>España</v>
      </c>
      <c r="F19" s="121"/>
      <c r="G19" s="180" t="s">
        <v>288</v>
      </c>
      <c r="H19" s="111" t="str">
        <f>+H7</f>
        <v>Brasil</v>
      </c>
      <c r="I19" s="112">
        <v>0</v>
      </c>
      <c r="J19" s="113">
        <v>1</v>
      </c>
      <c r="K19" s="114" t="str">
        <f>+H11</f>
        <v>Argentina</v>
      </c>
      <c r="M19" s="106"/>
      <c r="N19" s="122"/>
      <c r="O19" s="109"/>
      <c r="P19" s="133"/>
      <c r="Q19" s="134"/>
      <c r="R19" s="135" t="s">
        <v>25</v>
      </c>
      <c r="S19" s="136" t="s">
        <v>865</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Uzbekistan</v>
      </c>
      <c r="T20" s="109"/>
      <c r="U20" s="109"/>
      <c r="V20" s="109"/>
      <c r="W20" s="109"/>
      <c r="X20" s="109"/>
      <c r="Y20" s="109"/>
    </row>
    <row r="21" spans="1:25" s="108" customFormat="1" x14ac:dyDescent="0.2">
      <c r="B21" s="118" t="str">
        <f>+IF(AND(ISNUMBER(C19),ISNUMBER(D19)),IF((C19+C20)&gt;(D19+D20),B19,E19),"-")</f>
        <v>Francia</v>
      </c>
      <c r="C21" s="118" t="str">
        <f>+E18</f>
        <v>W101</v>
      </c>
      <c r="D21" s="118"/>
      <c r="E21" s="118" t="str">
        <f>+IF(AND(ISNUMBER(C19),ISNUMBER(D19)),IF((C19+C20)&gt;(D19+D20),E19,B19),"-")</f>
        <v>España</v>
      </c>
      <c r="F21" s="118"/>
      <c r="G21" s="118"/>
      <c r="H21" s="118" t="str">
        <f>+IF(AND(ISNUMBER(I19),ISNUMBER(J19)),IF((I19+I20)&gt;(J19+J20),H19,K19),"-")</f>
        <v>Argentina</v>
      </c>
      <c r="I21" s="118" t="str">
        <f>+K18</f>
        <v>W102</v>
      </c>
      <c r="J21" s="118"/>
      <c r="K21" s="118" t="str">
        <f>+IF(AND(ISNUMBER(I19),ISNUMBER(J19)),IF((I19+I20)&gt;(J19+J20),K19,H19),"-")</f>
        <v>Brasil</v>
      </c>
      <c r="M21" s="106"/>
      <c r="N21" s="122"/>
      <c r="O21" s="109"/>
      <c r="P21" s="133"/>
      <c r="Q21" s="134"/>
      <c r="R21" s="135" t="s">
        <v>28</v>
      </c>
      <c r="S21" s="242" t="str">
        <f>IF(P8="-","-",Aux!AY17)</f>
        <v>Paises Bajos</v>
      </c>
      <c r="T21" s="109"/>
      <c r="U21" s="109"/>
      <c r="V21" s="109"/>
      <c r="W21" s="109"/>
      <c r="X21" s="109"/>
      <c r="Y21" s="109"/>
    </row>
    <row r="22" spans="1:25" s="108" customFormat="1" x14ac:dyDescent="0.2">
      <c r="M22" s="106"/>
      <c r="N22" s="122"/>
      <c r="O22" s="109"/>
      <c r="P22" s="109"/>
      <c r="Q22" s="134"/>
      <c r="R22" s="135" t="s">
        <v>30</v>
      </c>
      <c r="S22" s="242" t="str">
        <f>IF(SUM('Groups Stage'!AA:AA)=3*4*12,Aux!BS4,"-")</f>
        <v>Brasil</v>
      </c>
      <c r="T22" s="109"/>
      <c r="U22" s="109"/>
      <c r="V22" s="109"/>
      <c r="W22" s="109"/>
      <c r="X22" s="109"/>
      <c r="Y22" s="109"/>
    </row>
    <row r="23" spans="1:25" s="108" customFormat="1" x14ac:dyDescent="0.2">
      <c r="M23" s="106"/>
      <c r="N23" s="122"/>
      <c r="O23" s="109"/>
      <c r="P23" s="109"/>
      <c r="Q23" s="134"/>
      <c r="R23" s="135" t="s">
        <v>32</v>
      </c>
      <c r="S23" s="242" t="str">
        <f>IF(SUM('Groups Stage'!AA:AA)=3*4*12,Aux!AX22,"-")</f>
        <v>Cabo Verde</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tabSelected="1" zoomScale="90" zoomScaleNormal="90" workbookViewId="0">
      <pane ySplit="1" topLeftCell="A2" activePane="bottomLeft" state="frozen"/>
      <selection pane="bottomLeft" activeCell="E3" sqref="E3"/>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824.11110000333326</v>
      </c>
      <c r="D2" s="189" t="str">
        <f>+_xlfn.XLOOKUP($C2,Aux!$W:$W,Aux!H:H,"-",0)</f>
        <v>Argentina</v>
      </c>
      <c r="E2" s="191">
        <f>+F2*3+G2</f>
        <v>24</v>
      </c>
      <c r="F2" s="191">
        <f>+_xlfn.XLOOKUP($C2,Aux!$W:$W,Aux!Q:Q,"-",0)</f>
        <v>8</v>
      </c>
      <c r="G2" s="191">
        <f>+_xlfn.XLOOKUP($C2,Aux!$W:$W,Aux!R:R,"-",0)</f>
        <v>0</v>
      </c>
      <c r="H2" s="191">
        <f>+_xlfn.XLOOKUP($C2,Aux!$W:$W,Aux!S:S,"-",0)</f>
        <v>0</v>
      </c>
      <c r="I2" s="191">
        <f>+_xlfn.XLOOKUP($C2,Aux!$W:$W,Aux!T:T,"-",0)</f>
        <v>11</v>
      </c>
      <c r="J2" s="191">
        <f>+_xlfn.XLOOKUP($C2,Aux!$W:$W,Aux!U:U,"-",0)</f>
        <v>11</v>
      </c>
      <c r="K2" s="192">
        <f>+_xlfn.XLOOKUP($C2,Aux!$W:$W,Aux!V:V,"-",0)</f>
        <v>0</v>
      </c>
    </row>
    <row r="3" spans="1:31" ht="18" x14ac:dyDescent="0.25">
      <c r="A3" s="401">
        <v>2</v>
      </c>
      <c r="B3" s="386" t="s">
        <v>292</v>
      </c>
      <c r="C3" s="194">
        <f>+LARGE(Aux!$W$4:$W$51,A3)</f>
        <v>621.10110000999998</v>
      </c>
      <c r="D3" s="193" t="str">
        <f>+_xlfn.XLOOKUP($C3,Aux!$W:$W,Aux!H:H,"-",0)</f>
        <v>Francia</v>
      </c>
      <c r="E3" s="195">
        <f t="shared" ref="E3:E49" si="0">+F3*3+G3</f>
        <v>21</v>
      </c>
      <c r="F3" s="195">
        <f>+_xlfn.XLOOKUP($C3,Aux!$W:$W,Aux!Q:Q,"-",0)</f>
        <v>7</v>
      </c>
      <c r="G3" s="195">
        <f>+_xlfn.XLOOKUP($C3,Aux!$W:$W,Aux!R:R,"-",0)</f>
        <v>0</v>
      </c>
      <c r="H3" s="195">
        <f>+_xlfn.XLOOKUP($C3,Aux!$W:$W,Aux!S:S,"-",0)</f>
        <v>1</v>
      </c>
      <c r="I3" s="195">
        <f>+_xlfn.XLOOKUP($C3,Aux!$W:$W,Aux!T:T,"-",0)</f>
        <v>10</v>
      </c>
      <c r="J3" s="195">
        <f>+_xlfn.XLOOKUP($C3,Aux!$W:$W,Aux!U:U,"-",0)</f>
        <v>11</v>
      </c>
      <c r="K3" s="196">
        <f>+_xlfn.XLOOKUP($C3,Aux!$W:$W,Aux!V:V,"-",0)</f>
        <v>1</v>
      </c>
    </row>
    <row r="4" spans="1:31" x14ac:dyDescent="0.2">
      <c r="A4" s="402">
        <v>3</v>
      </c>
      <c r="B4" s="387" t="s">
        <v>293</v>
      </c>
      <c r="C4" s="199">
        <f>+LARGE(Aux!$W$4:$W$51,A4)</f>
        <v>519.08110000499994</v>
      </c>
      <c r="D4" s="198" t="str">
        <f>+_xlfn.XLOOKUP($C4,Aux!$W:$W,Aux!H:H,"-",0)</f>
        <v>España</v>
      </c>
      <c r="E4" s="200">
        <f t="shared" si="0"/>
        <v>19</v>
      </c>
      <c r="F4" s="200">
        <f>+_xlfn.XLOOKUP($C4,Aux!$W:$W,Aux!Q:Q,"-",0)</f>
        <v>6</v>
      </c>
      <c r="G4" s="200">
        <f>+_xlfn.XLOOKUP($C4,Aux!$W:$W,Aux!R:R,"-",0)</f>
        <v>1</v>
      </c>
      <c r="H4" s="200">
        <f>+_xlfn.XLOOKUP($C4,Aux!$W:$W,Aux!S:S,"-",0)</f>
        <v>1</v>
      </c>
      <c r="I4" s="200">
        <f>+_xlfn.XLOOKUP($C4,Aux!$W:$W,Aux!T:T,"-",0)</f>
        <v>8</v>
      </c>
      <c r="J4" s="200">
        <f>+_xlfn.XLOOKUP($C4,Aux!$W:$W,Aux!U:U,"-",0)</f>
        <v>11</v>
      </c>
      <c r="K4" s="201">
        <f>+_xlfn.XLOOKUP($C4,Aux!$W:$W,Aux!V:V,"-",0)</f>
        <v>3</v>
      </c>
    </row>
    <row r="5" spans="1:31" x14ac:dyDescent="0.2">
      <c r="A5" s="403">
        <v>4</v>
      </c>
      <c r="B5" s="388" t="s">
        <v>294</v>
      </c>
      <c r="C5" s="203">
        <f>+LARGE(Aux!$W$4:$W$51,A5)</f>
        <v>418.08100000166661</v>
      </c>
      <c r="D5" s="202" t="str">
        <f>+_xlfn.XLOOKUP($C5,Aux!$W:$W,Aux!H:H,"-",0)</f>
        <v>Brasil</v>
      </c>
      <c r="E5" s="204">
        <f t="shared" si="0"/>
        <v>18</v>
      </c>
      <c r="F5" s="204">
        <f>+_xlfn.XLOOKUP($C5,Aux!$W:$W,Aux!Q:Q,"-",0)</f>
        <v>6</v>
      </c>
      <c r="G5" s="204">
        <f>+_xlfn.XLOOKUP($C5,Aux!$W:$W,Aux!R:R,"-",0)</f>
        <v>0</v>
      </c>
      <c r="H5" s="204">
        <f>+_xlfn.XLOOKUP($C5,Aux!$W:$W,Aux!S:S,"-",0)</f>
        <v>2</v>
      </c>
      <c r="I5" s="204">
        <f>+_xlfn.XLOOKUP($C5,Aux!$W:$W,Aux!T:T,"-",0)</f>
        <v>8</v>
      </c>
      <c r="J5" s="204">
        <f>+_xlfn.XLOOKUP($C5,Aux!$W:$W,Aux!U:U,"-",0)</f>
        <v>10</v>
      </c>
      <c r="K5" s="205">
        <f>+_xlfn.XLOOKUP($C5,Aux!$W:$W,Aux!V:V,"-",0)</f>
        <v>2</v>
      </c>
    </row>
    <row r="6" spans="1:31" x14ac:dyDescent="0.2">
      <c r="A6" s="404">
        <v>5</v>
      </c>
      <c r="B6" s="390" t="s">
        <v>295</v>
      </c>
      <c r="C6" s="207">
        <f>+LARGE(Aux!$W$4:$W$51,A6)</f>
        <v>315.05070000249998</v>
      </c>
      <c r="D6" s="206" t="str">
        <f>+_xlfn.XLOOKUP($C6,Aux!$W:$W,Aux!H:H,"-",0)</f>
        <v>Inglaterra</v>
      </c>
      <c r="E6" s="208">
        <f t="shared" si="0"/>
        <v>15</v>
      </c>
      <c r="F6" s="208">
        <f>+_xlfn.XLOOKUP($C6,Aux!$W:$W,Aux!Q:Q,"-",0)</f>
        <v>5</v>
      </c>
      <c r="G6" s="208">
        <f>+_xlfn.XLOOKUP($C6,Aux!$W:$W,Aux!R:R,"-",0)</f>
        <v>0</v>
      </c>
      <c r="H6" s="208">
        <f>+_xlfn.XLOOKUP($C6,Aux!$W:$W,Aux!S:S,"-",0)</f>
        <v>1</v>
      </c>
      <c r="I6" s="208">
        <f>+_xlfn.XLOOKUP($C6,Aux!$W:$W,Aux!T:T,"-",0)</f>
        <v>5</v>
      </c>
      <c r="J6" s="208">
        <f>+_xlfn.XLOOKUP($C6,Aux!$W:$W,Aux!U:U,"-",0)</f>
        <v>7</v>
      </c>
      <c r="K6" s="209">
        <f>+_xlfn.XLOOKUP($C6,Aux!$W:$W,Aux!V:V,"-",0)</f>
        <v>2</v>
      </c>
    </row>
    <row r="7" spans="1:31" x14ac:dyDescent="0.2">
      <c r="A7" s="404">
        <v>6</v>
      </c>
      <c r="B7" s="390" t="s">
        <v>295</v>
      </c>
      <c r="C7" s="207">
        <f>+LARGE(Aux!$W$4:$W$51,A7)</f>
        <v>315.04060000025004</v>
      </c>
      <c r="D7" s="206" t="str">
        <f>+_xlfn.XLOOKUP($C7,Aux!$W:$W,Aux!H:H,"-",0)</f>
        <v>Paraguay</v>
      </c>
      <c r="E7" s="208">
        <f t="shared" si="0"/>
        <v>15</v>
      </c>
      <c r="F7" s="208">
        <f>+_xlfn.XLOOKUP($C7,Aux!$W:$W,Aux!Q:Q,"-",0)</f>
        <v>5</v>
      </c>
      <c r="G7" s="208">
        <f>+_xlfn.XLOOKUP($C7,Aux!$W:$W,Aux!R:R,"-",0)</f>
        <v>0</v>
      </c>
      <c r="H7" s="208">
        <f>+_xlfn.XLOOKUP($C7,Aux!$W:$W,Aux!S:S,"-",0)</f>
        <v>1</v>
      </c>
      <c r="I7" s="208">
        <f>+_xlfn.XLOOKUP($C7,Aux!$W:$W,Aux!T:T,"-",0)</f>
        <v>4</v>
      </c>
      <c r="J7" s="208">
        <f>+_xlfn.XLOOKUP($C7,Aux!$W:$W,Aux!U:U,"-",0)</f>
        <v>6</v>
      </c>
      <c r="K7" s="209">
        <f>+_xlfn.XLOOKUP($C7,Aux!$W:$W,Aux!V:V,"-",0)</f>
        <v>2</v>
      </c>
    </row>
    <row r="8" spans="1:31" x14ac:dyDescent="0.2">
      <c r="A8" s="404">
        <v>7</v>
      </c>
      <c r="B8" s="390" t="s">
        <v>295</v>
      </c>
      <c r="C8" s="207">
        <f>+LARGE(Aux!$W$4:$W$51,A8)</f>
        <v>313.04070000076922</v>
      </c>
      <c r="D8" s="206" t="str">
        <f>+_xlfn.XLOOKUP($C8,Aux!$W:$W,Aux!H:H,"-",0)</f>
        <v>Colombia</v>
      </c>
      <c r="E8" s="208">
        <f t="shared" si="0"/>
        <v>13</v>
      </c>
      <c r="F8" s="208">
        <f>+_xlfn.XLOOKUP($C8,Aux!$W:$W,Aux!Q:Q,"-",0)</f>
        <v>4</v>
      </c>
      <c r="G8" s="208">
        <f>+_xlfn.XLOOKUP($C8,Aux!$W:$W,Aux!R:R,"-",0)</f>
        <v>1</v>
      </c>
      <c r="H8" s="208">
        <f>+_xlfn.XLOOKUP($C8,Aux!$W:$W,Aux!S:S,"-",0)</f>
        <v>1</v>
      </c>
      <c r="I8" s="208">
        <f>+_xlfn.XLOOKUP($C8,Aux!$W:$W,Aux!T:T,"-",0)</f>
        <v>4</v>
      </c>
      <c r="J8" s="208">
        <f>+_xlfn.XLOOKUP($C8,Aux!$W:$W,Aux!U:U,"-",0)</f>
        <v>7</v>
      </c>
      <c r="K8" s="209">
        <f>+_xlfn.XLOOKUP($C8,Aux!$W:$W,Aux!V:V,"-",0)</f>
        <v>3</v>
      </c>
    </row>
    <row r="9" spans="1:31" x14ac:dyDescent="0.2">
      <c r="A9" s="405">
        <v>8</v>
      </c>
      <c r="B9" s="391" t="s">
        <v>295</v>
      </c>
      <c r="C9" s="227">
        <f>+LARGE(Aux!$W$4:$W$51,A9)</f>
        <v>312.0204000004</v>
      </c>
      <c r="D9" s="226" t="str">
        <f>+_xlfn.XLOOKUP($C9,Aux!$W:$W,Aux!H:H,"-",0)</f>
        <v>Corea del Sur</v>
      </c>
      <c r="E9" s="228">
        <f t="shared" si="0"/>
        <v>12</v>
      </c>
      <c r="F9" s="228">
        <f>+_xlfn.XLOOKUP($C9,Aux!$W:$W,Aux!Q:Q,"-",0)</f>
        <v>4</v>
      </c>
      <c r="G9" s="228">
        <f>+_xlfn.XLOOKUP($C9,Aux!$W:$W,Aux!R:R,"-",0)</f>
        <v>0</v>
      </c>
      <c r="H9" s="228">
        <f>+_xlfn.XLOOKUP($C9,Aux!$W:$W,Aux!S:S,"-",0)</f>
        <v>2</v>
      </c>
      <c r="I9" s="228">
        <f>+_xlfn.XLOOKUP($C9,Aux!$W:$W,Aux!T:T,"-",0)</f>
        <v>2</v>
      </c>
      <c r="J9" s="228">
        <f>+_xlfn.XLOOKUP($C9,Aux!$W:$W,Aux!U:U,"-",0)</f>
        <v>4</v>
      </c>
      <c r="K9" s="229">
        <f>+_xlfn.XLOOKUP($C9,Aux!$W:$W,Aux!V:V,"-",0)</f>
        <v>2</v>
      </c>
    </row>
    <row r="10" spans="1:31" x14ac:dyDescent="0.2">
      <c r="A10" s="406">
        <v>9</v>
      </c>
      <c r="B10" s="392" t="s">
        <v>296</v>
      </c>
      <c r="C10" s="231">
        <f>+LARGE(Aux!$W$4:$W$51,A10)</f>
        <v>212.06070000099999</v>
      </c>
      <c r="D10" s="230" t="str">
        <f>+_xlfn.XLOOKUP($C10,Aux!$W:$W,Aux!H:H,"-",0)</f>
        <v>Alemania</v>
      </c>
      <c r="E10" s="232">
        <f t="shared" si="0"/>
        <v>12</v>
      </c>
      <c r="F10" s="232">
        <f>+_xlfn.XLOOKUP($C10,Aux!$W:$W,Aux!Q:Q,"-",0)</f>
        <v>4</v>
      </c>
      <c r="G10" s="232">
        <f>+_xlfn.XLOOKUP($C10,Aux!$W:$W,Aux!R:R,"-",0)</f>
        <v>0</v>
      </c>
      <c r="H10" s="232">
        <f>+_xlfn.XLOOKUP($C10,Aux!$W:$W,Aux!S:S,"-",0)</f>
        <v>1</v>
      </c>
      <c r="I10" s="232">
        <f>+_xlfn.XLOOKUP($C10,Aux!$W:$W,Aux!T:T,"-",0)</f>
        <v>6</v>
      </c>
      <c r="J10" s="232">
        <f>+_xlfn.XLOOKUP($C10,Aux!$W:$W,Aux!U:U,"-",0)</f>
        <v>7</v>
      </c>
      <c r="K10" s="233">
        <f>+_xlfn.XLOOKUP($C10,Aux!$W:$W,Aux!V:V,"-",0)</f>
        <v>1</v>
      </c>
    </row>
    <row r="11" spans="1:31" x14ac:dyDescent="0.2">
      <c r="A11" s="406">
        <v>10</v>
      </c>
      <c r="B11" s="392" t="s">
        <v>296</v>
      </c>
      <c r="C11" s="231">
        <f>+LARGE(Aux!$W$4:$W$51,A11)</f>
        <v>210.03040000066667</v>
      </c>
      <c r="D11" s="230" t="str">
        <f>+_xlfn.XLOOKUP($C11,Aux!$W:$W,Aux!H:H,"-",0)</f>
        <v>Mexico</v>
      </c>
      <c r="E11" s="232">
        <f t="shared" si="0"/>
        <v>10</v>
      </c>
      <c r="F11" s="232">
        <f>+_xlfn.XLOOKUP($C11,Aux!$W:$W,Aux!Q:Q,"-",0)</f>
        <v>3</v>
      </c>
      <c r="G11" s="232">
        <f>+_xlfn.XLOOKUP($C11,Aux!$W:$W,Aux!R:R,"-",0)</f>
        <v>1</v>
      </c>
      <c r="H11" s="232">
        <f>+_xlfn.XLOOKUP($C11,Aux!$W:$W,Aux!S:S,"-",0)</f>
        <v>1</v>
      </c>
      <c r="I11" s="232">
        <f>+_xlfn.XLOOKUP($C11,Aux!$W:$W,Aux!T:T,"-",0)</f>
        <v>3</v>
      </c>
      <c r="J11" s="232">
        <f>+_xlfn.XLOOKUP($C11,Aux!$W:$W,Aux!U:U,"-",0)</f>
        <v>4</v>
      </c>
      <c r="K11" s="233">
        <f>+_xlfn.XLOOKUP($C11,Aux!$W:$W,Aux!V:V,"-",0)</f>
        <v>1</v>
      </c>
    </row>
    <row r="12" spans="1:31" x14ac:dyDescent="0.2">
      <c r="A12" s="406">
        <v>11</v>
      </c>
      <c r="B12" s="392" t="s">
        <v>296</v>
      </c>
      <c r="C12" s="231">
        <f>+LARGE(Aux!$W$4:$W$51,A12)</f>
        <v>210.02040000055558</v>
      </c>
      <c r="D12" s="230" t="str">
        <f>+_xlfn.XLOOKUP($C12,Aux!$W:$W,Aux!H:H,"-",0)</f>
        <v>Japon</v>
      </c>
      <c r="E12" s="232">
        <f t="shared" si="0"/>
        <v>10</v>
      </c>
      <c r="F12" s="232">
        <f>+_xlfn.XLOOKUP($C12,Aux!$W:$W,Aux!Q:Q,"-",0)</f>
        <v>3</v>
      </c>
      <c r="G12" s="232">
        <f>+_xlfn.XLOOKUP($C12,Aux!$W:$W,Aux!R:R,"-",0)</f>
        <v>1</v>
      </c>
      <c r="H12" s="232">
        <f>+_xlfn.XLOOKUP($C12,Aux!$W:$W,Aux!S:S,"-",0)</f>
        <v>1</v>
      </c>
      <c r="I12" s="232">
        <f>+_xlfn.XLOOKUP($C12,Aux!$W:$W,Aux!T:T,"-",0)</f>
        <v>2</v>
      </c>
      <c r="J12" s="232">
        <f>+_xlfn.XLOOKUP($C12,Aux!$W:$W,Aux!U:U,"-",0)</f>
        <v>4</v>
      </c>
      <c r="K12" s="233">
        <f>+_xlfn.XLOOKUP($C12,Aux!$W:$W,Aux!V:V,"-",0)</f>
        <v>2</v>
      </c>
    </row>
    <row r="13" spans="1:31" x14ac:dyDescent="0.2">
      <c r="A13" s="406">
        <v>12</v>
      </c>
      <c r="B13" s="392" t="s">
        <v>296</v>
      </c>
      <c r="C13" s="231">
        <f>+LARGE(Aux!$W$4:$W$51,A13)</f>
        <v>210.02040000052634</v>
      </c>
      <c r="D13" s="230" t="str">
        <f>+_xlfn.XLOOKUP($C13,Aux!$W:$W,Aux!H:H,"-",0)</f>
        <v>Suiza</v>
      </c>
      <c r="E13" s="232">
        <f t="shared" si="0"/>
        <v>10</v>
      </c>
      <c r="F13" s="232">
        <f>+_xlfn.XLOOKUP($C13,Aux!$W:$W,Aux!Q:Q,"-",0)</f>
        <v>3</v>
      </c>
      <c r="G13" s="232">
        <f>+_xlfn.XLOOKUP($C13,Aux!$W:$W,Aux!R:R,"-",0)</f>
        <v>1</v>
      </c>
      <c r="H13" s="232">
        <f>+_xlfn.XLOOKUP($C13,Aux!$W:$W,Aux!S:S,"-",0)</f>
        <v>1</v>
      </c>
      <c r="I13" s="232">
        <f>+_xlfn.XLOOKUP($C13,Aux!$W:$W,Aux!T:T,"-",0)</f>
        <v>2</v>
      </c>
      <c r="J13" s="232">
        <f>+_xlfn.XLOOKUP($C13,Aux!$W:$W,Aux!U:U,"-",0)</f>
        <v>4</v>
      </c>
      <c r="K13" s="233">
        <f>+_xlfn.XLOOKUP($C13,Aux!$W:$W,Aux!V:V,"-",0)</f>
        <v>2</v>
      </c>
    </row>
    <row r="14" spans="1:31" x14ac:dyDescent="0.2">
      <c r="A14" s="406">
        <v>13</v>
      </c>
      <c r="B14" s="392" t="s">
        <v>296</v>
      </c>
      <c r="C14" s="231">
        <f>+LARGE(Aux!$W$4:$W$51,A14)</f>
        <v>209.01060000062498</v>
      </c>
      <c r="D14" s="230" t="str">
        <f>+_xlfn.XLOOKUP($C14,Aux!$W:$W,Aux!H:H,"-",0)</f>
        <v>Estados Unidos</v>
      </c>
      <c r="E14" s="232">
        <f t="shared" si="0"/>
        <v>9</v>
      </c>
      <c r="F14" s="232">
        <f>+_xlfn.XLOOKUP($C14,Aux!$W:$W,Aux!Q:Q,"-",0)</f>
        <v>3</v>
      </c>
      <c r="G14" s="232">
        <f>+_xlfn.XLOOKUP($C14,Aux!$W:$W,Aux!R:R,"-",0)</f>
        <v>0</v>
      </c>
      <c r="H14" s="232">
        <f>+_xlfn.XLOOKUP($C14,Aux!$W:$W,Aux!S:S,"-",0)</f>
        <v>2</v>
      </c>
      <c r="I14" s="232">
        <f>+_xlfn.XLOOKUP($C14,Aux!$W:$W,Aux!T:T,"-",0)</f>
        <v>1</v>
      </c>
      <c r="J14" s="232">
        <f>+_xlfn.XLOOKUP($C14,Aux!$W:$W,Aux!U:U,"-",0)</f>
        <v>6</v>
      </c>
      <c r="K14" s="233">
        <f>+_xlfn.XLOOKUP($C14,Aux!$W:$W,Aux!V:V,"-",0)</f>
        <v>5</v>
      </c>
    </row>
    <row r="15" spans="1:31" x14ac:dyDescent="0.2">
      <c r="A15" s="406">
        <v>14</v>
      </c>
      <c r="B15" s="392" t="s">
        <v>296</v>
      </c>
      <c r="C15" s="231">
        <f>+LARGE(Aux!$W$4:$W$51,A15)</f>
        <v>208.02050000200001</v>
      </c>
      <c r="D15" s="230" t="str">
        <f>+_xlfn.XLOOKUP($C15,Aux!$W:$W,Aux!H:H,"-",0)</f>
        <v>Portugal</v>
      </c>
      <c r="E15" s="232">
        <f t="shared" si="0"/>
        <v>8</v>
      </c>
      <c r="F15" s="232">
        <f>+_xlfn.XLOOKUP($C15,Aux!$W:$W,Aux!Q:Q,"-",0)</f>
        <v>2</v>
      </c>
      <c r="G15" s="232">
        <f>+_xlfn.XLOOKUP($C15,Aux!$W:$W,Aux!R:R,"-",0)</f>
        <v>2</v>
      </c>
      <c r="H15" s="232">
        <f>+_xlfn.XLOOKUP($C15,Aux!$W:$W,Aux!S:S,"-",0)</f>
        <v>1</v>
      </c>
      <c r="I15" s="232">
        <f>+_xlfn.XLOOKUP($C15,Aux!$W:$W,Aux!T:T,"-",0)</f>
        <v>2</v>
      </c>
      <c r="J15" s="232">
        <f>+_xlfn.XLOOKUP($C15,Aux!$W:$W,Aux!U:U,"-",0)</f>
        <v>5</v>
      </c>
      <c r="K15" s="233">
        <f>+_xlfn.XLOOKUP($C15,Aux!$W:$W,Aux!V:V,"-",0)</f>
        <v>3</v>
      </c>
    </row>
    <row r="16" spans="1:31" x14ac:dyDescent="0.2">
      <c r="A16" s="406">
        <v>15</v>
      </c>
      <c r="B16" s="392" t="s">
        <v>296</v>
      </c>
      <c r="C16" s="231">
        <f>+LARGE(Aux!$W$4:$W$51,A16)</f>
        <v>206.99030000043481</v>
      </c>
      <c r="D16" s="230" t="str">
        <f>+_xlfn.XLOOKUP($C16,Aux!$W:$W,Aux!H:H,"-",0)</f>
        <v>Ecuador</v>
      </c>
      <c r="E16" s="232">
        <f t="shared" si="0"/>
        <v>7</v>
      </c>
      <c r="F16" s="232">
        <f>+_xlfn.XLOOKUP($C16,Aux!$W:$W,Aux!Q:Q,"-",0)</f>
        <v>2</v>
      </c>
      <c r="G16" s="232">
        <f>+_xlfn.XLOOKUP($C16,Aux!$W:$W,Aux!R:R,"-",0)</f>
        <v>1</v>
      </c>
      <c r="H16" s="232">
        <f>+_xlfn.XLOOKUP($C16,Aux!$W:$W,Aux!S:S,"-",0)</f>
        <v>2</v>
      </c>
      <c r="I16" s="232">
        <f>+_xlfn.XLOOKUP($C16,Aux!$W:$W,Aux!T:T,"-",0)</f>
        <v>-1</v>
      </c>
      <c r="J16" s="232">
        <f>+_xlfn.XLOOKUP($C16,Aux!$W:$W,Aux!U:U,"-",0)</f>
        <v>3</v>
      </c>
      <c r="K16" s="233">
        <f>+_xlfn.XLOOKUP($C16,Aux!$W:$W,Aux!V:V,"-",0)</f>
        <v>4</v>
      </c>
    </row>
    <row r="17" spans="1:11" x14ac:dyDescent="0.2">
      <c r="A17" s="407">
        <v>16</v>
      </c>
      <c r="B17" s="393" t="s">
        <v>296</v>
      </c>
      <c r="C17" s="235">
        <f>+LARGE(Aux!$W$4:$W$51,A17)</f>
        <v>204.99020000024393</v>
      </c>
      <c r="D17" s="234" t="str">
        <f>+_xlfn.XLOOKUP($C17,Aux!$W:$W,Aux!H:H,"-",0)</f>
        <v>Repubilca Checa</v>
      </c>
      <c r="E17" s="236">
        <f t="shared" si="0"/>
        <v>5</v>
      </c>
      <c r="F17" s="236">
        <f>+_xlfn.XLOOKUP($C17,Aux!$W:$W,Aux!Q:Q,"-",0)</f>
        <v>1</v>
      </c>
      <c r="G17" s="236">
        <f>+_xlfn.XLOOKUP($C17,Aux!$W:$W,Aux!R:R,"-",0)</f>
        <v>2</v>
      </c>
      <c r="H17" s="236">
        <f>+_xlfn.XLOOKUP($C17,Aux!$W:$W,Aux!S:S,"-",0)</f>
        <v>2</v>
      </c>
      <c r="I17" s="236">
        <f>+_xlfn.XLOOKUP($C17,Aux!$W:$W,Aux!T:T,"-",0)</f>
        <v>-1</v>
      </c>
      <c r="J17" s="236">
        <f>+_xlfn.XLOOKUP($C17,Aux!$W:$W,Aux!U:U,"-",0)</f>
        <v>2</v>
      </c>
      <c r="K17" s="237">
        <f>+_xlfn.XLOOKUP($C17,Aux!$W:$W,Aux!V:V,"-",0)</f>
        <v>3</v>
      </c>
    </row>
    <row r="18" spans="1:11" x14ac:dyDescent="0.2">
      <c r="A18" s="408">
        <v>17</v>
      </c>
      <c r="B18" s="394" t="s">
        <v>297</v>
      </c>
      <c r="C18" s="212">
        <f>+LARGE(Aux!$W$4:$W$51,A18)</f>
        <v>107.02050000058823</v>
      </c>
      <c r="D18" s="210" t="str">
        <f>+_xlfn.XLOOKUP($C18,Aux!$W:$W,Aux!H:H,"-",0)</f>
        <v>Uruguay</v>
      </c>
      <c r="E18" s="213">
        <f t="shared" si="0"/>
        <v>7</v>
      </c>
      <c r="F18" s="213">
        <f>+_xlfn.XLOOKUP($C18,Aux!$W:$W,Aux!Q:Q,"-",0)</f>
        <v>2</v>
      </c>
      <c r="G18" s="213">
        <f>+_xlfn.XLOOKUP($C18,Aux!$W:$W,Aux!R:R,"-",0)</f>
        <v>1</v>
      </c>
      <c r="H18" s="213">
        <f>+_xlfn.XLOOKUP($C18,Aux!$W:$W,Aux!S:S,"-",0)</f>
        <v>1</v>
      </c>
      <c r="I18" s="213">
        <f>+_xlfn.XLOOKUP($C18,Aux!$W:$W,Aux!T:T,"-",0)</f>
        <v>2</v>
      </c>
      <c r="J18" s="213">
        <f>+_xlfn.XLOOKUP($C18,Aux!$W:$W,Aux!U:U,"-",0)</f>
        <v>5</v>
      </c>
      <c r="K18" s="197">
        <f>+_xlfn.XLOOKUP($C18,Aux!$W:$W,Aux!V:V,"-",0)</f>
        <v>3</v>
      </c>
    </row>
    <row r="19" spans="1:11" x14ac:dyDescent="0.2">
      <c r="A19" s="408">
        <v>18</v>
      </c>
      <c r="B19" s="394" t="s">
        <v>297</v>
      </c>
      <c r="C19" s="212">
        <f>+LARGE(Aux!$W$4:$W$51,A19)</f>
        <v>107.02040000047619</v>
      </c>
      <c r="D19" s="210" t="str">
        <f>+_xlfn.XLOOKUP($C19,Aux!$W:$W,Aux!H:H,"-",0)</f>
        <v>Iran</v>
      </c>
      <c r="E19" s="213">
        <f t="shared" si="0"/>
        <v>7</v>
      </c>
      <c r="F19" s="213">
        <f>+_xlfn.XLOOKUP($C19,Aux!$W:$W,Aux!Q:Q,"-",0)</f>
        <v>2</v>
      </c>
      <c r="G19" s="213">
        <f>+_xlfn.XLOOKUP($C19,Aux!$W:$W,Aux!R:R,"-",0)</f>
        <v>1</v>
      </c>
      <c r="H19" s="213">
        <f>+_xlfn.XLOOKUP($C19,Aux!$W:$W,Aux!S:S,"-",0)</f>
        <v>1</v>
      </c>
      <c r="I19" s="213">
        <f>+_xlfn.XLOOKUP($C19,Aux!$W:$W,Aux!T:T,"-",0)</f>
        <v>2</v>
      </c>
      <c r="J19" s="213">
        <f>+_xlfn.XLOOKUP($C19,Aux!$W:$W,Aux!U:U,"-",0)</f>
        <v>4</v>
      </c>
      <c r="K19" s="197">
        <f>+_xlfn.XLOOKUP($C19,Aux!$W:$W,Aux!V:V,"-",0)</f>
        <v>2</v>
      </c>
    </row>
    <row r="20" spans="1:11" x14ac:dyDescent="0.2">
      <c r="A20" s="408">
        <v>19</v>
      </c>
      <c r="B20" s="394" t="s">
        <v>297</v>
      </c>
      <c r="C20" s="212">
        <f>+LARGE(Aux!$W$4:$W$51,A20)</f>
        <v>105.9902000009091</v>
      </c>
      <c r="D20" s="210" t="str">
        <f>+_xlfn.XLOOKUP($C20,Aux!$W:$W,Aux!H:H,"-",0)</f>
        <v>Croacia</v>
      </c>
      <c r="E20" s="213">
        <f t="shared" si="0"/>
        <v>6</v>
      </c>
      <c r="F20" s="213">
        <f>+_xlfn.XLOOKUP($C20,Aux!$W:$W,Aux!Q:Q,"-",0)</f>
        <v>2</v>
      </c>
      <c r="G20" s="213">
        <f>+_xlfn.XLOOKUP($C20,Aux!$W:$W,Aux!R:R,"-",0)</f>
        <v>0</v>
      </c>
      <c r="H20" s="213">
        <f>+_xlfn.XLOOKUP($C20,Aux!$W:$W,Aux!S:S,"-",0)</f>
        <v>2</v>
      </c>
      <c r="I20" s="213">
        <f>+_xlfn.XLOOKUP($C20,Aux!$W:$W,Aux!T:T,"-",0)</f>
        <v>-1</v>
      </c>
      <c r="J20" s="213">
        <f>+_xlfn.XLOOKUP($C20,Aux!$W:$W,Aux!U:U,"-",0)</f>
        <v>2</v>
      </c>
      <c r="K20" s="197">
        <f>+_xlfn.XLOOKUP($C20,Aux!$W:$W,Aux!V:V,"-",0)</f>
        <v>3</v>
      </c>
    </row>
    <row r="21" spans="1:11" x14ac:dyDescent="0.2">
      <c r="A21" s="408">
        <v>20</v>
      </c>
      <c r="B21" s="394" t="s">
        <v>297</v>
      </c>
      <c r="C21" s="212">
        <f>+LARGE(Aux!$W$4:$W$51,A21)</f>
        <v>105.01050000111111</v>
      </c>
      <c r="D21" s="210" t="str">
        <f>+_xlfn.XLOOKUP($C21,Aux!$W:$W,Aux!H:H,"-",0)</f>
        <v>Belgica</v>
      </c>
      <c r="E21" s="213">
        <f t="shared" si="0"/>
        <v>5</v>
      </c>
      <c r="F21" s="213">
        <f>+_xlfn.XLOOKUP($C21,Aux!$W:$W,Aux!Q:Q,"-",0)</f>
        <v>1</v>
      </c>
      <c r="G21" s="213">
        <f>+_xlfn.XLOOKUP($C21,Aux!$W:$W,Aux!R:R,"-",0)</f>
        <v>2</v>
      </c>
      <c r="H21" s="213">
        <f>+_xlfn.XLOOKUP($C21,Aux!$W:$W,Aux!S:S,"-",0)</f>
        <v>1</v>
      </c>
      <c r="I21" s="213">
        <f>+_xlfn.XLOOKUP($C21,Aux!$W:$W,Aux!T:T,"-",0)</f>
        <v>1</v>
      </c>
      <c r="J21" s="213">
        <f>+_xlfn.XLOOKUP($C21,Aux!$W:$W,Aux!U:U,"-",0)</f>
        <v>5</v>
      </c>
      <c r="K21" s="197">
        <f>+_xlfn.XLOOKUP($C21,Aux!$W:$W,Aux!V:V,"-",0)</f>
        <v>4</v>
      </c>
    </row>
    <row r="22" spans="1:11" x14ac:dyDescent="0.2">
      <c r="A22" s="408">
        <v>21</v>
      </c>
      <c r="B22" s="394" t="s">
        <v>297</v>
      </c>
      <c r="C22" s="212">
        <f>+LARGE(Aux!$W$4:$W$51,A22)</f>
        <v>103.99020000033333</v>
      </c>
      <c r="D22" s="210" t="str">
        <f>+_xlfn.XLOOKUP($C22,Aux!$W:$W,Aux!H:H,"-",0)</f>
        <v>Canada</v>
      </c>
      <c r="E22" s="213">
        <f t="shared" si="0"/>
        <v>4</v>
      </c>
      <c r="F22" s="213">
        <f>+_xlfn.XLOOKUP($C22,Aux!$W:$W,Aux!Q:Q,"-",0)</f>
        <v>1</v>
      </c>
      <c r="G22" s="213">
        <f>+_xlfn.XLOOKUP($C22,Aux!$W:$W,Aux!R:R,"-",0)</f>
        <v>1</v>
      </c>
      <c r="H22" s="213">
        <f>+_xlfn.XLOOKUP($C22,Aux!$W:$W,Aux!S:S,"-",0)</f>
        <v>2</v>
      </c>
      <c r="I22" s="213">
        <f>+_xlfn.XLOOKUP($C22,Aux!$W:$W,Aux!T:T,"-",0)</f>
        <v>-1</v>
      </c>
      <c r="J22" s="213">
        <f>+_xlfn.XLOOKUP($C22,Aux!$W:$W,Aux!U:U,"-",0)</f>
        <v>2</v>
      </c>
      <c r="K22" s="197">
        <f>+_xlfn.XLOOKUP($C22,Aux!$W:$W,Aux!V:V,"-",0)</f>
        <v>3</v>
      </c>
    </row>
    <row r="23" spans="1:11" x14ac:dyDescent="0.2">
      <c r="A23" s="408">
        <v>22</v>
      </c>
      <c r="B23" s="394" t="s">
        <v>297</v>
      </c>
      <c r="C23" s="212">
        <f>+LARGE(Aux!$W$4:$W$51,A23)</f>
        <v>103.99020000026316</v>
      </c>
      <c r="D23" s="210" t="str">
        <f>+_xlfn.XLOOKUP($C23,Aux!$W:$W,Aux!H:H,"-",0)</f>
        <v>Suecia</v>
      </c>
      <c r="E23" s="213">
        <f t="shared" si="0"/>
        <v>4</v>
      </c>
      <c r="F23" s="213">
        <f>+_xlfn.XLOOKUP($C23,Aux!$W:$W,Aux!Q:Q,"-",0)</f>
        <v>1</v>
      </c>
      <c r="G23" s="213">
        <f>+_xlfn.XLOOKUP($C23,Aux!$W:$W,Aux!R:R,"-",0)</f>
        <v>1</v>
      </c>
      <c r="H23" s="213">
        <f>+_xlfn.XLOOKUP($C23,Aux!$W:$W,Aux!S:S,"-",0)</f>
        <v>2</v>
      </c>
      <c r="I23" s="213">
        <f>+_xlfn.XLOOKUP($C23,Aux!$W:$W,Aux!T:T,"-",0)</f>
        <v>-1</v>
      </c>
      <c r="J23" s="213">
        <f>+_xlfn.XLOOKUP($C23,Aux!$W:$W,Aux!U:U,"-",0)</f>
        <v>2</v>
      </c>
      <c r="K23" s="197">
        <f>+_xlfn.XLOOKUP($C23,Aux!$W:$W,Aux!V:V,"-",0)</f>
        <v>3</v>
      </c>
    </row>
    <row r="24" spans="1:11" x14ac:dyDescent="0.2">
      <c r="A24" s="408">
        <v>23</v>
      </c>
      <c r="B24" s="394" t="s">
        <v>297</v>
      </c>
      <c r="C24" s="212">
        <f>+LARGE(Aux!$W$4:$W$51,A24)</f>
        <v>103.99020000015385</v>
      </c>
      <c r="D24" s="210" t="str">
        <f>+_xlfn.XLOOKUP($C24,Aux!$W:$W,Aux!H:H,"-",0)</f>
        <v>Bosnia</v>
      </c>
      <c r="E24" s="213">
        <f t="shared" si="0"/>
        <v>4</v>
      </c>
      <c r="F24" s="213">
        <f>+_xlfn.XLOOKUP($C24,Aux!$W:$W,Aux!Q:Q,"-",0)</f>
        <v>1</v>
      </c>
      <c r="G24" s="213">
        <f>+_xlfn.XLOOKUP($C24,Aux!$W:$W,Aux!R:R,"-",0)</f>
        <v>1</v>
      </c>
      <c r="H24" s="213">
        <f>+_xlfn.XLOOKUP($C24,Aux!$W:$W,Aux!S:S,"-",0)</f>
        <v>2</v>
      </c>
      <c r="I24" s="213">
        <f>+_xlfn.XLOOKUP($C24,Aux!$W:$W,Aux!T:T,"-",0)</f>
        <v>-1</v>
      </c>
      <c r="J24" s="213">
        <f>+_xlfn.XLOOKUP($C24,Aux!$W:$W,Aux!U:U,"-",0)</f>
        <v>2</v>
      </c>
      <c r="K24" s="197">
        <f>+_xlfn.XLOOKUP($C24,Aux!$W:$W,Aux!V:V,"-",0)</f>
        <v>3</v>
      </c>
    </row>
    <row r="25" spans="1:11" x14ac:dyDescent="0.2">
      <c r="A25" s="408">
        <v>24</v>
      </c>
      <c r="B25" s="394" t="s">
        <v>297</v>
      </c>
      <c r="C25" s="212">
        <f>+LARGE(Aux!$W$4:$W$51,A25)</f>
        <v>103.98020000034484</v>
      </c>
      <c r="D25" s="210" t="str">
        <f>+_xlfn.XLOOKUP($C25,Aux!$W:$W,Aux!H:H,"-",0)</f>
        <v>Egipto</v>
      </c>
      <c r="E25" s="213">
        <f t="shared" si="0"/>
        <v>4</v>
      </c>
      <c r="F25" s="213">
        <f>+_xlfn.XLOOKUP($C25,Aux!$W:$W,Aux!Q:Q,"-",0)</f>
        <v>1</v>
      </c>
      <c r="G25" s="213">
        <f>+_xlfn.XLOOKUP($C25,Aux!$W:$W,Aux!R:R,"-",0)</f>
        <v>1</v>
      </c>
      <c r="H25" s="213">
        <f>+_xlfn.XLOOKUP($C25,Aux!$W:$W,Aux!S:S,"-",0)</f>
        <v>2</v>
      </c>
      <c r="I25" s="213">
        <f>+_xlfn.XLOOKUP($C25,Aux!$W:$W,Aux!T:T,"-",0)</f>
        <v>-2</v>
      </c>
      <c r="J25" s="213">
        <f>+_xlfn.XLOOKUP($C25,Aux!$W:$W,Aux!U:U,"-",0)</f>
        <v>2</v>
      </c>
      <c r="K25" s="197">
        <f>+_xlfn.XLOOKUP($C25,Aux!$W:$W,Aux!V:V,"-",0)</f>
        <v>4</v>
      </c>
    </row>
    <row r="26" spans="1:11" x14ac:dyDescent="0.2">
      <c r="A26" s="408">
        <v>25</v>
      </c>
      <c r="B26" s="394" t="s">
        <v>297</v>
      </c>
      <c r="C26" s="212">
        <f>+LARGE(Aux!$W$4:$W$51,A26)</f>
        <v>103.9802000003226</v>
      </c>
      <c r="D26" s="210" t="str">
        <f>+_xlfn.XLOOKUP($C26,Aux!$W:$W,Aux!H:H,"-",0)</f>
        <v>Noruega</v>
      </c>
      <c r="E26" s="213">
        <f t="shared" si="0"/>
        <v>4</v>
      </c>
      <c r="F26" s="213">
        <f>+_xlfn.XLOOKUP($C26,Aux!$W:$W,Aux!Q:Q,"-",0)</f>
        <v>1</v>
      </c>
      <c r="G26" s="213">
        <f>+_xlfn.XLOOKUP($C26,Aux!$W:$W,Aux!R:R,"-",0)</f>
        <v>1</v>
      </c>
      <c r="H26" s="213">
        <f>+_xlfn.XLOOKUP($C26,Aux!$W:$W,Aux!S:S,"-",0)</f>
        <v>2</v>
      </c>
      <c r="I26" s="213">
        <f>+_xlfn.XLOOKUP($C26,Aux!$W:$W,Aux!T:T,"-",0)</f>
        <v>-2</v>
      </c>
      <c r="J26" s="213">
        <f>+_xlfn.XLOOKUP($C26,Aux!$W:$W,Aux!U:U,"-",0)</f>
        <v>2</v>
      </c>
      <c r="K26" s="197">
        <f>+_xlfn.XLOOKUP($C26,Aux!$W:$W,Aux!V:V,"-",0)</f>
        <v>4</v>
      </c>
    </row>
    <row r="27" spans="1:11" x14ac:dyDescent="0.2">
      <c r="A27" s="408">
        <v>26</v>
      </c>
      <c r="B27" s="394" t="s">
        <v>297</v>
      </c>
      <c r="C27" s="212">
        <f>+LARGE(Aux!$W$4:$W$51,A27)</f>
        <v>103.98020000023257</v>
      </c>
      <c r="D27" s="210" t="str">
        <f>+_xlfn.XLOOKUP($C27,Aux!$W:$W,Aux!H:H,"-",0)</f>
        <v>Escocia</v>
      </c>
      <c r="E27" s="213">
        <f t="shared" si="0"/>
        <v>4</v>
      </c>
      <c r="F27" s="213">
        <f>+_xlfn.XLOOKUP($C27,Aux!$W:$W,Aux!Q:Q,"-",0)</f>
        <v>1</v>
      </c>
      <c r="G27" s="213">
        <f>+_xlfn.XLOOKUP($C27,Aux!$W:$W,Aux!R:R,"-",0)</f>
        <v>1</v>
      </c>
      <c r="H27" s="213">
        <f>+_xlfn.XLOOKUP($C27,Aux!$W:$W,Aux!S:S,"-",0)</f>
        <v>2</v>
      </c>
      <c r="I27" s="213">
        <f>+_xlfn.XLOOKUP($C27,Aux!$W:$W,Aux!T:T,"-",0)</f>
        <v>-2</v>
      </c>
      <c r="J27" s="213">
        <f>+_xlfn.XLOOKUP($C27,Aux!$W:$W,Aux!U:U,"-",0)</f>
        <v>2</v>
      </c>
      <c r="K27" s="197">
        <f>+_xlfn.XLOOKUP($C27,Aux!$W:$W,Aux!V:V,"-",0)</f>
        <v>4</v>
      </c>
    </row>
    <row r="28" spans="1:11" x14ac:dyDescent="0.2">
      <c r="A28" s="408">
        <v>27</v>
      </c>
      <c r="B28" s="394" t="s">
        <v>297</v>
      </c>
      <c r="C28" s="212">
        <f>+LARGE(Aux!$W$4:$W$51,A28)</f>
        <v>102.99030000037035</v>
      </c>
      <c r="D28" s="210" t="str">
        <f>+_xlfn.XLOOKUP($C28,Aux!$W:$W,Aux!H:H,"-",0)</f>
        <v>Australia</v>
      </c>
      <c r="E28" s="213">
        <f t="shared" si="0"/>
        <v>3</v>
      </c>
      <c r="F28" s="213">
        <f>+_xlfn.XLOOKUP($C28,Aux!$W:$W,Aux!Q:Q,"-",0)</f>
        <v>1</v>
      </c>
      <c r="G28" s="213">
        <f>+_xlfn.XLOOKUP($C28,Aux!$W:$W,Aux!R:R,"-",0)</f>
        <v>0</v>
      </c>
      <c r="H28" s="213">
        <f>+_xlfn.XLOOKUP($C28,Aux!$W:$W,Aux!S:S,"-",0)</f>
        <v>3</v>
      </c>
      <c r="I28" s="213">
        <f>+_xlfn.XLOOKUP($C28,Aux!$W:$W,Aux!T:T,"-",0)</f>
        <v>-1</v>
      </c>
      <c r="J28" s="213">
        <f>+_xlfn.XLOOKUP($C28,Aux!$W:$W,Aux!U:U,"-",0)</f>
        <v>3</v>
      </c>
      <c r="K28" s="197">
        <f>+_xlfn.XLOOKUP($C28,Aux!$W:$W,Aux!V:V,"-",0)</f>
        <v>4</v>
      </c>
    </row>
    <row r="29" spans="1:11" x14ac:dyDescent="0.2">
      <c r="A29" s="408">
        <v>28</v>
      </c>
      <c r="B29" s="394" t="s">
        <v>297</v>
      </c>
      <c r="C29" s="212">
        <f>+LARGE(Aux!$W$4:$W$51,A29)</f>
        <v>102.96010000016393</v>
      </c>
      <c r="D29" s="210" t="str">
        <f>+_xlfn.XLOOKUP($C29,Aux!$W:$W,Aux!H:H,"-",0)</f>
        <v>Arabia Saudita</v>
      </c>
      <c r="E29" s="213">
        <f t="shared" si="0"/>
        <v>3</v>
      </c>
      <c r="F29" s="213">
        <f>+_xlfn.XLOOKUP($C29,Aux!$W:$W,Aux!Q:Q,"-",0)</f>
        <v>1</v>
      </c>
      <c r="G29" s="213">
        <f>+_xlfn.XLOOKUP($C29,Aux!$W:$W,Aux!R:R,"-",0)</f>
        <v>0</v>
      </c>
      <c r="H29" s="213">
        <f>+_xlfn.XLOOKUP($C29,Aux!$W:$W,Aux!S:S,"-",0)</f>
        <v>3</v>
      </c>
      <c r="I29" s="213">
        <f>+_xlfn.XLOOKUP($C29,Aux!$W:$W,Aux!T:T,"-",0)</f>
        <v>-4</v>
      </c>
      <c r="J29" s="213">
        <f>+_xlfn.XLOOKUP($C29,Aux!$W:$W,Aux!U:U,"-",0)</f>
        <v>1</v>
      </c>
      <c r="K29" s="197">
        <f>+_xlfn.XLOOKUP($C29,Aux!$W:$W,Aux!V:V,"-",0)</f>
        <v>5</v>
      </c>
    </row>
    <row r="30" spans="1:11" x14ac:dyDescent="0.2">
      <c r="A30" s="408">
        <v>29</v>
      </c>
      <c r="B30" s="394" t="s">
        <v>297</v>
      </c>
      <c r="C30" s="212">
        <f>+LARGE(Aux!$W$4:$W$51,A30)</f>
        <v>101.9803000002</v>
      </c>
      <c r="D30" s="210" t="str">
        <f>+_xlfn.XLOOKUP($C30,Aux!$W:$W,Aux!H:H,"-",0)</f>
        <v>Uzbekistan</v>
      </c>
      <c r="E30" s="213">
        <f t="shared" si="0"/>
        <v>2</v>
      </c>
      <c r="F30" s="213">
        <f>+_xlfn.XLOOKUP($C30,Aux!$W:$W,Aux!Q:Q,"-",0)</f>
        <v>0</v>
      </c>
      <c r="G30" s="213">
        <f>+_xlfn.XLOOKUP($C30,Aux!$W:$W,Aux!R:R,"-",0)</f>
        <v>2</v>
      </c>
      <c r="H30" s="213">
        <f>+_xlfn.XLOOKUP($C30,Aux!$W:$W,Aux!S:S,"-",0)</f>
        <v>2</v>
      </c>
      <c r="I30" s="213">
        <f>+_xlfn.XLOOKUP($C30,Aux!$W:$W,Aux!T:T,"-",0)</f>
        <v>-2</v>
      </c>
      <c r="J30" s="213">
        <f>+_xlfn.XLOOKUP($C30,Aux!$W:$W,Aux!U:U,"-",0)</f>
        <v>3</v>
      </c>
      <c r="K30" s="197">
        <f>+_xlfn.XLOOKUP($C30,Aux!$W:$W,Aux!V:V,"-",0)</f>
        <v>5</v>
      </c>
    </row>
    <row r="31" spans="1:11" x14ac:dyDescent="0.2">
      <c r="A31" s="408">
        <v>30</v>
      </c>
      <c r="B31" s="394" t="s">
        <v>297</v>
      </c>
      <c r="C31" s="212">
        <f>+LARGE(Aux!$W$4:$W$51,A31)</f>
        <v>101.98020000142859</v>
      </c>
      <c r="D31" s="210" t="str">
        <f>+_xlfn.XLOOKUP($C31,Aux!$W:$W,Aux!H:H,"-",0)</f>
        <v>Paises Bajos</v>
      </c>
      <c r="E31" s="213">
        <f t="shared" si="0"/>
        <v>2</v>
      </c>
      <c r="F31" s="213">
        <f>+_xlfn.XLOOKUP($C31,Aux!$W:$W,Aux!Q:Q,"-",0)</f>
        <v>0</v>
      </c>
      <c r="G31" s="213">
        <f>+_xlfn.XLOOKUP($C31,Aux!$W:$W,Aux!R:R,"-",0)</f>
        <v>2</v>
      </c>
      <c r="H31" s="213">
        <f>+_xlfn.XLOOKUP($C31,Aux!$W:$W,Aux!S:S,"-",0)</f>
        <v>2</v>
      </c>
      <c r="I31" s="213">
        <f>+_xlfn.XLOOKUP($C31,Aux!$W:$W,Aux!T:T,"-",0)</f>
        <v>-2</v>
      </c>
      <c r="J31" s="213">
        <f>+_xlfn.XLOOKUP($C31,Aux!$W:$W,Aux!U:U,"-",0)</f>
        <v>2</v>
      </c>
      <c r="K31" s="197">
        <f>+_xlfn.XLOOKUP($C31,Aux!$W:$W,Aux!V:V,"-",0)</f>
        <v>4</v>
      </c>
    </row>
    <row r="32" spans="1:11" x14ac:dyDescent="0.2">
      <c r="A32" s="408">
        <v>31</v>
      </c>
      <c r="B32" s="394" t="s">
        <v>297</v>
      </c>
      <c r="C32" s="212">
        <f>+LARGE(Aux!$W$4:$W$51,A32)</f>
        <v>101.97020000071429</v>
      </c>
      <c r="D32" s="210" t="str">
        <f>+_xlfn.XLOOKUP($C32,Aux!$W:$W,Aux!H:H,"-",0)</f>
        <v>Senegal</v>
      </c>
      <c r="E32" s="213">
        <f t="shared" si="0"/>
        <v>2</v>
      </c>
      <c r="F32" s="213">
        <f>+_xlfn.XLOOKUP($C32,Aux!$W:$W,Aux!Q:Q,"-",0)</f>
        <v>0</v>
      </c>
      <c r="G32" s="213">
        <f>+_xlfn.XLOOKUP($C32,Aux!$W:$W,Aux!R:R,"-",0)</f>
        <v>2</v>
      </c>
      <c r="H32" s="213">
        <f>+_xlfn.XLOOKUP($C32,Aux!$W:$W,Aux!S:S,"-",0)</f>
        <v>2</v>
      </c>
      <c r="I32" s="213">
        <f>+_xlfn.XLOOKUP($C32,Aux!$W:$W,Aux!T:T,"-",0)</f>
        <v>-3</v>
      </c>
      <c r="J32" s="213">
        <f>+_xlfn.XLOOKUP($C32,Aux!$W:$W,Aux!U:U,"-",0)</f>
        <v>2</v>
      </c>
      <c r="K32" s="197">
        <f>+_xlfn.XLOOKUP($C32,Aux!$W:$W,Aux!V:V,"-",0)</f>
        <v>5</v>
      </c>
    </row>
    <row r="33" spans="1:11" x14ac:dyDescent="0.2">
      <c r="A33" s="409">
        <v>32</v>
      </c>
      <c r="B33" s="395" t="s">
        <v>297</v>
      </c>
      <c r="C33" s="215">
        <f>+LARGE(Aux!$W$4:$W$51,A33)</f>
        <v>101.97020000041667</v>
      </c>
      <c r="D33" s="214" t="str">
        <f>+_xlfn.XLOOKUP($C33,Aux!$W:$W,Aux!H:H,"-",0)</f>
        <v>Austria</v>
      </c>
      <c r="E33" s="216">
        <f t="shared" si="0"/>
        <v>2</v>
      </c>
      <c r="F33" s="216">
        <f>+_xlfn.XLOOKUP($C33,Aux!$W:$W,Aux!Q:Q,"-",0)</f>
        <v>0</v>
      </c>
      <c r="G33" s="216">
        <f>+_xlfn.XLOOKUP($C33,Aux!$W:$W,Aux!R:R,"-",0)</f>
        <v>2</v>
      </c>
      <c r="H33" s="216">
        <f>+_xlfn.XLOOKUP($C33,Aux!$W:$W,Aux!S:S,"-",0)</f>
        <v>2</v>
      </c>
      <c r="I33" s="216">
        <f>+_xlfn.XLOOKUP($C33,Aux!$W:$W,Aux!T:T,"-",0)</f>
        <v>-3</v>
      </c>
      <c r="J33" s="216">
        <f>+_xlfn.XLOOKUP($C33,Aux!$W:$W,Aux!U:U,"-",0)</f>
        <v>2</v>
      </c>
      <c r="K33" s="217">
        <f>+_xlfn.XLOOKUP($C33,Aux!$W:$W,Aux!V:V,"-",0)</f>
        <v>5</v>
      </c>
    </row>
    <row r="34" spans="1:11" x14ac:dyDescent="0.2">
      <c r="A34" s="410">
        <v>33</v>
      </c>
      <c r="B34" s="396" t="s">
        <v>298</v>
      </c>
      <c r="C34" s="219">
        <f>+LARGE(Aux!$W$4:$W$51,A34)</f>
        <v>1.9902000002272726</v>
      </c>
      <c r="D34" s="218" t="str">
        <f>+_xlfn.XLOOKUP($C34,Aux!$W:$W,Aux!H:H,"-",0)</f>
        <v>Tunez</v>
      </c>
      <c r="E34" s="220">
        <f t="shared" si="0"/>
        <v>2</v>
      </c>
      <c r="F34" s="220">
        <f>+_xlfn.XLOOKUP($C34,Aux!$W:$W,Aux!Q:Q,"-",0)</f>
        <v>0</v>
      </c>
      <c r="G34" s="220">
        <f>+_xlfn.XLOOKUP($C34,Aux!$W:$W,Aux!R:R,"-",0)</f>
        <v>2</v>
      </c>
      <c r="H34" s="220">
        <f>+_xlfn.XLOOKUP($C34,Aux!$W:$W,Aux!S:S,"-",0)</f>
        <v>1</v>
      </c>
      <c r="I34" s="220">
        <f>+_xlfn.XLOOKUP($C34,Aux!$W:$W,Aux!T:T,"-",0)</f>
        <v>-1</v>
      </c>
      <c r="J34" s="220">
        <f>+_xlfn.XLOOKUP($C34,Aux!$W:$W,Aux!U:U,"-",0)</f>
        <v>2</v>
      </c>
      <c r="K34" s="221">
        <f>+_xlfn.XLOOKUP($C34,Aux!$W:$W,Aux!V:V,"-",0)</f>
        <v>3</v>
      </c>
    </row>
    <row r="35" spans="1:11" x14ac:dyDescent="0.2">
      <c r="A35" s="410">
        <v>34</v>
      </c>
      <c r="B35" s="396" t="s">
        <v>298</v>
      </c>
      <c r="C35" s="219">
        <f>+LARGE(Aux!$W$4:$W$51,A35)</f>
        <v>1.9802000012500001</v>
      </c>
      <c r="D35" s="218" t="str">
        <f>+_xlfn.XLOOKUP($C35,Aux!$W:$W,Aux!H:H,"-",0)</f>
        <v>Marruecos</v>
      </c>
      <c r="E35" s="220">
        <f t="shared" si="0"/>
        <v>2</v>
      </c>
      <c r="F35" s="220">
        <f>+_xlfn.XLOOKUP($C35,Aux!$W:$W,Aux!Q:Q,"-",0)</f>
        <v>0</v>
      </c>
      <c r="G35" s="220">
        <f>+_xlfn.XLOOKUP($C35,Aux!$W:$W,Aux!R:R,"-",0)</f>
        <v>2</v>
      </c>
      <c r="H35" s="220">
        <f>+_xlfn.XLOOKUP($C35,Aux!$W:$W,Aux!S:S,"-",0)</f>
        <v>1</v>
      </c>
      <c r="I35" s="220">
        <f>+_xlfn.XLOOKUP($C35,Aux!$W:$W,Aux!T:T,"-",0)</f>
        <v>-2</v>
      </c>
      <c r="J35" s="220">
        <f>+_xlfn.XLOOKUP($C35,Aux!$W:$W,Aux!U:U,"-",0)</f>
        <v>2</v>
      </c>
      <c r="K35" s="221">
        <f>+_xlfn.XLOOKUP($C35,Aux!$W:$W,Aux!V:V,"-",0)</f>
        <v>4</v>
      </c>
    </row>
    <row r="36" spans="1:11" x14ac:dyDescent="0.2">
      <c r="A36" s="410">
        <v>35</v>
      </c>
      <c r="B36" s="396" t="s">
        <v>298</v>
      </c>
      <c r="C36" s="219">
        <f>+LARGE(Aux!$W$4:$W$51,A36)</f>
        <v>1.9802000003571427</v>
      </c>
      <c r="D36" s="218" t="str">
        <f>+_xlfn.XLOOKUP($C36,Aux!$W:$W,Aux!H:H,"-",0)</f>
        <v>Argelia</v>
      </c>
      <c r="E36" s="220">
        <f t="shared" si="0"/>
        <v>2</v>
      </c>
      <c r="F36" s="220">
        <f>+_xlfn.XLOOKUP($C36,Aux!$W:$W,Aux!Q:Q,"-",0)</f>
        <v>0</v>
      </c>
      <c r="G36" s="220">
        <f>+_xlfn.XLOOKUP($C36,Aux!$W:$W,Aux!R:R,"-",0)</f>
        <v>2</v>
      </c>
      <c r="H36" s="220">
        <f>+_xlfn.XLOOKUP($C36,Aux!$W:$W,Aux!S:S,"-",0)</f>
        <v>1</v>
      </c>
      <c r="I36" s="220">
        <f>+_xlfn.XLOOKUP($C36,Aux!$W:$W,Aux!T:T,"-",0)</f>
        <v>-2</v>
      </c>
      <c r="J36" s="220">
        <f>+_xlfn.XLOOKUP($C36,Aux!$W:$W,Aux!U:U,"-",0)</f>
        <v>2</v>
      </c>
      <c r="K36" s="221">
        <f>+_xlfn.XLOOKUP($C36,Aux!$W:$W,Aux!V:V,"-",0)</f>
        <v>4</v>
      </c>
    </row>
    <row r="37" spans="1:11" x14ac:dyDescent="0.2">
      <c r="A37" s="410">
        <v>36</v>
      </c>
      <c r="B37" s="396" t="s">
        <v>298</v>
      </c>
      <c r="C37" s="219">
        <f>+LARGE(Aux!$W$4:$W$51,A37)</f>
        <v>1.9802000001587301</v>
      </c>
      <c r="D37" s="218" t="str">
        <f>+_xlfn.XLOOKUP($C37,Aux!$W:$W,Aux!H:H,"-",0)</f>
        <v>Jordania</v>
      </c>
      <c r="E37" s="220">
        <f t="shared" si="0"/>
        <v>2</v>
      </c>
      <c r="F37" s="220">
        <f>+_xlfn.XLOOKUP($C37,Aux!$W:$W,Aux!Q:Q,"-",0)</f>
        <v>0</v>
      </c>
      <c r="G37" s="220">
        <f>+_xlfn.XLOOKUP($C37,Aux!$W:$W,Aux!R:R,"-",0)</f>
        <v>2</v>
      </c>
      <c r="H37" s="220">
        <f>+_xlfn.XLOOKUP($C37,Aux!$W:$W,Aux!S:S,"-",0)</f>
        <v>1</v>
      </c>
      <c r="I37" s="220">
        <f>+_xlfn.XLOOKUP($C37,Aux!$W:$W,Aux!T:T,"-",0)</f>
        <v>-2</v>
      </c>
      <c r="J37" s="220">
        <f>+_xlfn.XLOOKUP($C37,Aux!$W:$W,Aux!U:U,"-",0)</f>
        <v>2</v>
      </c>
      <c r="K37" s="221">
        <f>+_xlfn.XLOOKUP($C37,Aux!$W:$W,Aux!V:V,"-",0)</f>
        <v>4</v>
      </c>
    </row>
    <row r="38" spans="1:11" x14ac:dyDescent="0.2">
      <c r="A38" s="410">
        <v>37</v>
      </c>
      <c r="B38" s="396" t="s">
        <v>298</v>
      </c>
      <c r="C38" s="219">
        <f>+LARGE(Aux!$W$4:$W$51,A38)</f>
        <v>1.9802000001219511</v>
      </c>
      <c r="D38" s="218" t="str">
        <f>+_xlfn.XLOOKUP($C38,Aux!$W:$W,Aux!H:H,"-",0)</f>
        <v>Curazao</v>
      </c>
      <c r="E38" s="220">
        <f t="shared" si="0"/>
        <v>2</v>
      </c>
      <c r="F38" s="220">
        <f>+_xlfn.XLOOKUP($C38,Aux!$W:$W,Aux!Q:Q,"-",0)</f>
        <v>0</v>
      </c>
      <c r="G38" s="220">
        <f>+_xlfn.XLOOKUP($C38,Aux!$W:$W,Aux!R:R,"-",0)</f>
        <v>2</v>
      </c>
      <c r="H38" s="220">
        <f>+_xlfn.XLOOKUP($C38,Aux!$W:$W,Aux!S:S,"-",0)</f>
        <v>1</v>
      </c>
      <c r="I38" s="220">
        <f>+_xlfn.XLOOKUP($C38,Aux!$W:$W,Aux!T:T,"-",0)</f>
        <v>-2</v>
      </c>
      <c r="J38" s="220">
        <f>+_xlfn.XLOOKUP($C38,Aux!$W:$W,Aux!U:U,"-",0)</f>
        <v>2</v>
      </c>
      <c r="K38" s="221">
        <f>+_xlfn.XLOOKUP($C38,Aux!$W:$W,Aux!V:V,"-",0)</f>
        <v>4</v>
      </c>
    </row>
    <row r="39" spans="1:11" x14ac:dyDescent="0.2">
      <c r="A39" s="410">
        <v>38</v>
      </c>
      <c r="B39" s="396" t="s">
        <v>298</v>
      </c>
      <c r="C39" s="219">
        <f>+LARGE(Aux!$W$4:$W$51,A39)</f>
        <v>0.98020000013513509</v>
      </c>
      <c r="D39" s="218" t="str">
        <f>+_xlfn.XLOOKUP($C39,Aux!$W:$W,Aux!H:H,"-",0)</f>
        <v>Ghana</v>
      </c>
      <c r="E39" s="220">
        <f t="shared" si="0"/>
        <v>1</v>
      </c>
      <c r="F39" s="220">
        <f>+_xlfn.XLOOKUP($C39,Aux!$W:$W,Aux!Q:Q,"-",0)</f>
        <v>0</v>
      </c>
      <c r="G39" s="220">
        <f>+_xlfn.XLOOKUP($C39,Aux!$W:$W,Aux!R:R,"-",0)</f>
        <v>1</v>
      </c>
      <c r="H39" s="220">
        <f>+_xlfn.XLOOKUP($C39,Aux!$W:$W,Aux!S:S,"-",0)</f>
        <v>2</v>
      </c>
      <c r="I39" s="220">
        <f>+_xlfn.XLOOKUP($C39,Aux!$W:$W,Aux!T:T,"-",0)</f>
        <v>-2</v>
      </c>
      <c r="J39" s="220">
        <f>+_xlfn.XLOOKUP($C39,Aux!$W:$W,Aux!U:U,"-",0)</f>
        <v>2</v>
      </c>
      <c r="K39" s="221">
        <f>+_xlfn.XLOOKUP($C39,Aux!$W:$W,Aux!V:V,"-",0)</f>
        <v>4</v>
      </c>
    </row>
    <row r="40" spans="1:11" x14ac:dyDescent="0.2">
      <c r="A40" s="410">
        <v>39</v>
      </c>
      <c r="B40" s="396" t="s">
        <v>298</v>
      </c>
      <c r="C40" s="219">
        <f>+LARGE(Aux!$W$4:$W$51,A40)</f>
        <v>0.98010000030303024</v>
      </c>
      <c r="D40" s="218" t="str">
        <f>+_xlfn.XLOOKUP($C40,Aux!$W:$W,Aux!H:H,"-",0)</f>
        <v>Panama</v>
      </c>
      <c r="E40" s="220">
        <f t="shared" si="0"/>
        <v>1</v>
      </c>
      <c r="F40" s="220">
        <f>+_xlfn.XLOOKUP($C40,Aux!$W:$W,Aux!Q:Q,"-",0)</f>
        <v>0</v>
      </c>
      <c r="G40" s="220">
        <f>+_xlfn.XLOOKUP($C40,Aux!$W:$W,Aux!R:R,"-",0)</f>
        <v>1</v>
      </c>
      <c r="H40" s="220">
        <f>+_xlfn.XLOOKUP($C40,Aux!$W:$W,Aux!S:S,"-",0)</f>
        <v>2</v>
      </c>
      <c r="I40" s="220">
        <f>+_xlfn.XLOOKUP($C40,Aux!$W:$W,Aux!T:T,"-",0)</f>
        <v>-2</v>
      </c>
      <c r="J40" s="220">
        <f>+_xlfn.XLOOKUP($C40,Aux!$W:$W,Aux!U:U,"-",0)</f>
        <v>1</v>
      </c>
      <c r="K40" s="221">
        <f>+_xlfn.XLOOKUP($C40,Aux!$W:$W,Aux!V:V,"-",0)</f>
        <v>3</v>
      </c>
    </row>
    <row r="41" spans="1:11" x14ac:dyDescent="0.2">
      <c r="A41" s="410">
        <v>40</v>
      </c>
      <c r="B41" s="396" t="s">
        <v>298</v>
      </c>
      <c r="C41" s="219">
        <f>+LARGE(Aux!$W$4:$W$51,A41)</f>
        <v>0.9801000001818182</v>
      </c>
      <c r="D41" s="218" t="str">
        <f>+_xlfn.XLOOKUP($C41,Aux!$W:$W,Aux!H:H,"-",0)</f>
        <v>Qatar</v>
      </c>
      <c r="E41" s="220">
        <f t="shared" si="0"/>
        <v>1</v>
      </c>
      <c r="F41" s="220">
        <f>+_xlfn.XLOOKUP($C41,Aux!$W:$W,Aux!Q:Q,"-",0)</f>
        <v>0</v>
      </c>
      <c r="G41" s="220">
        <f>+_xlfn.XLOOKUP($C41,Aux!$W:$W,Aux!R:R,"-",0)</f>
        <v>1</v>
      </c>
      <c r="H41" s="220">
        <f>+_xlfn.XLOOKUP($C41,Aux!$W:$W,Aux!S:S,"-",0)</f>
        <v>2</v>
      </c>
      <c r="I41" s="220">
        <f>+_xlfn.XLOOKUP($C41,Aux!$W:$W,Aux!T:T,"-",0)</f>
        <v>-2</v>
      </c>
      <c r="J41" s="220">
        <f>+_xlfn.XLOOKUP($C41,Aux!$W:$W,Aux!U:U,"-",0)</f>
        <v>1</v>
      </c>
      <c r="K41" s="221">
        <f>+_xlfn.XLOOKUP($C41,Aux!$W:$W,Aux!V:V,"-",0)</f>
        <v>3</v>
      </c>
    </row>
    <row r="42" spans="1:11" x14ac:dyDescent="0.2">
      <c r="A42" s="410">
        <v>41</v>
      </c>
      <c r="B42" s="396" t="s">
        <v>298</v>
      </c>
      <c r="C42" s="219">
        <f>+LARGE(Aux!$W$4:$W$51,A42)</f>
        <v>0.97010000029411758</v>
      </c>
      <c r="D42" s="218" t="str">
        <f>+_xlfn.XLOOKUP($C42,Aux!$W:$W,Aux!H:H,"-",0)</f>
        <v>Costa de Marfil</v>
      </c>
      <c r="E42" s="220">
        <f t="shared" si="0"/>
        <v>1</v>
      </c>
      <c r="F42" s="220">
        <f>+_xlfn.XLOOKUP($C42,Aux!$W:$W,Aux!Q:Q,"-",0)</f>
        <v>0</v>
      </c>
      <c r="G42" s="220">
        <f>+_xlfn.XLOOKUP($C42,Aux!$W:$W,Aux!R:R,"-",0)</f>
        <v>1</v>
      </c>
      <c r="H42" s="220">
        <f>+_xlfn.XLOOKUP($C42,Aux!$W:$W,Aux!S:S,"-",0)</f>
        <v>2</v>
      </c>
      <c r="I42" s="220">
        <f>+_xlfn.XLOOKUP($C42,Aux!$W:$W,Aux!T:T,"-",0)</f>
        <v>-3</v>
      </c>
      <c r="J42" s="220">
        <f>+_xlfn.XLOOKUP($C42,Aux!$W:$W,Aux!U:U,"-",0)</f>
        <v>1</v>
      </c>
      <c r="K42" s="221">
        <f>+_xlfn.XLOOKUP($C42,Aux!$W:$W,Aux!V:V,"-",0)</f>
        <v>4</v>
      </c>
    </row>
    <row r="43" spans="1:11" x14ac:dyDescent="0.2">
      <c r="A43" s="410">
        <v>42</v>
      </c>
      <c r="B43" s="396" t="s">
        <v>298</v>
      </c>
      <c r="C43" s="219">
        <f>+LARGE(Aux!$W$4:$W$51,A43)</f>
        <v>0.97010000016666664</v>
      </c>
      <c r="D43" s="218" t="str">
        <f>+_xlfn.XLOOKUP($C43,Aux!$W:$W,Aux!H:H,"-",0)</f>
        <v>Sudafrica</v>
      </c>
      <c r="E43" s="220">
        <f t="shared" si="0"/>
        <v>1</v>
      </c>
      <c r="F43" s="220">
        <f>+_xlfn.XLOOKUP($C43,Aux!$W:$W,Aux!Q:Q,"-",0)</f>
        <v>0</v>
      </c>
      <c r="G43" s="220">
        <f>+_xlfn.XLOOKUP($C43,Aux!$W:$W,Aux!R:R,"-",0)</f>
        <v>1</v>
      </c>
      <c r="H43" s="220">
        <f>+_xlfn.XLOOKUP($C43,Aux!$W:$W,Aux!S:S,"-",0)</f>
        <v>2</v>
      </c>
      <c r="I43" s="220">
        <f>+_xlfn.XLOOKUP($C43,Aux!$W:$W,Aux!T:T,"-",0)</f>
        <v>-3</v>
      </c>
      <c r="J43" s="220">
        <f>+_xlfn.XLOOKUP($C43,Aux!$W:$W,Aux!U:U,"-",0)</f>
        <v>1</v>
      </c>
      <c r="K43" s="221">
        <f>+_xlfn.XLOOKUP($C43,Aux!$W:$W,Aux!V:V,"-",0)</f>
        <v>4</v>
      </c>
    </row>
    <row r="44" spans="1:11" x14ac:dyDescent="0.2">
      <c r="A44" s="410">
        <v>43</v>
      </c>
      <c r="B44" s="396" t="s">
        <v>298</v>
      </c>
      <c r="C44" s="219">
        <f>+LARGE(Aux!$W$4:$W$51,A44)</f>
        <v>0.96010000021739128</v>
      </c>
      <c r="D44" s="218" t="str">
        <f>+_xlfn.XLOOKUP($C44,Aux!$W:$W,Aux!H:H,"-",0)</f>
        <v>Congo</v>
      </c>
      <c r="E44" s="220">
        <f t="shared" si="0"/>
        <v>1</v>
      </c>
      <c r="F44" s="220">
        <f>+_xlfn.XLOOKUP($C44,Aux!$W:$W,Aux!Q:Q,"-",0)</f>
        <v>0</v>
      </c>
      <c r="G44" s="220">
        <f>+_xlfn.XLOOKUP($C44,Aux!$W:$W,Aux!R:R,"-",0)</f>
        <v>1</v>
      </c>
      <c r="H44" s="220">
        <f>+_xlfn.XLOOKUP($C44,Aux!$W:$W,Aux!S:S,"-",0)</f>
        <v>2</v>
      </c>
      <c r="I44" s="220">
        <f>+_xlfn.XLOOKUP($C44,Aux!$W:$W,Aux!T:T,"-",0)</f>
        <v>-4</v>
      </c>
      <c r="J44" s="220">
        <f>+_xlfn.XLOOKUP($C44,Aux!$W:$W,Aux!U:U,"-",0)</f>
        <v>1</v>
      </c>
      <c r="K44" s="221">
        <f>+_xlfn.XLOOKUP($C44,Aux!$W:$W,Aux!V:V,"-",0)</f>
        <v>5</v>
      </c>
    </row>
    <row r="45" spans="1:11" x14ac:dyDescent="0.2">
      <c r="A45" s="410">
        <v>44</v>
      </c>
      <c r="B45" s="396" t="s">
        <v>298</v>
      </c>
      <c r="C45" s="219">
        <f>+LARGE(Aux!$W$4:$W$51,A45)</f>
        <v>0.96010000017543851</v>
      </c>
      <c r="D45" s="218" t="str">
        <f>+_xlfn.XLOOKUP($C45,Aux!$W:$W,Aux!H:H,"-",0)</f>
        <v>Irak</v>
      </c>
      <c r="E45" s="220">
        <f t="shared" si="0"/>
        <v>1</v>
      </c>
      <c r="F45" s="220">
        <f>+_xlfn.XLOOKUP($C45,Aux!$W:$W,Aux!Q:Q,"-",0)</f>
        <v>0</v>
      </c>
      <c r="G45" s="220">
        <f>+_xlfn.XLOOKUP($C45,Aux!$W:$W,Aux!R:R,"-",0)</f>
        <v>1</v>
      </c>
      <c r="H45" s="220">
        <f>+_xlfn.XLOOKUP($C45,Aux!$W:$W,Aux!S:S,"-",0)</f>
        <v>2</v>
      </c>
      <c r="I45" s="220">
        <f>+_xlfn.XLOOKUP($C45,Aux!$W:$W,Aux!T:T,"-",0)</f>
        <v>-4</v>
      </c>
      <c r="J45" s="220">
        <f>+_xlfn.XLOOKUP($C45,Aux!$W:$W,Aux!U:U,"-",0)</f>
        <v>1</v>
      </c>
      <c r="K45" s="221">
        <f>+_xlfn.XLOOKUP($C45,Aux!$W:$W,Aux!V:V,"-",0)</f>
        <v>5</v>
      </c>
    </row>
    <row r="46" spans="1:11" x14ac:dyDescent="0.2">
      <c r="A46" s="410">
        <v>45</v>
      </c>
      <c r="B46" s="396" t="s">
        <v>298</v>
      </c>
      <c r="C46" s="219">
        <f>+LARGE(Aux!$W$4:$W$51,A46)</f>
        <v>0.96010000012048191</v>
      </c>
      <c r="D46" s="218" t="str">
        <f>+_xlfn.XLOOKUP($C46,Aux!$W:$W,Aux!H:H,"-",0)</f>
        <v>Haiti</v>
      </c>
      <c r="E46" s="220">
        <f t="shared" si="0"/>
        <v>1</v>
      </c>
      <c r="F46" s="220">
        <f>+_xlfn.XLOOKUP($C46,Aux!$W:$W,Aux!Q:Q,"-",0)</f>
        <v>0</v>
      </c>
      <c r="G46" s="220">
        <f>+_xlfn.XLOOKUP($C46,Aux!$W:$W,Aux!R:R,"-",0)</f>
        <v>1</v>
      </c>
      <c r="H46" s="220">
        <f>+_xlfn.XLOOKUP($C46,Aux!$W:$W,Aux!S:S,"-",0)</f>
        <v>2</v>
      </c>
      <c r="I46" s="220">
        <f>+_xlfn.XLOOKUP($C46,Aux!$W:$W,Aux!T:T,"-",0)</f>
        <v>-4</v>
      </c>
      <c r="J46" s="220">
        <f>+_xlfn.XLOOKUP($C46,Aux!$W:$W,Aux!U:U,"-",0)</f>
        <v>1</v>
      </c>
      <c r="K46" s="221">
        <f>+_xlfn.XLOOKUP($C46,Aux!$W:$W,Aux!V:V,"-",0)</f>
        <v>5</v>
      </c>
    </row>
    <row r="47" spans="1:11" x14ac:dyDescent="0.2">
      <c r="A47" s="410">
        <v>46</v>
      </c>
      <c r="B47" s="396" t="s">
        <v>298</v>
      </c>
      <c r="C47" s="219">
        <f>+LARGE(Aux!$W$4:$W$51,A47)</f>
        <v>-3.9899999545454541E-2</v>
      </c>
      <c r="D47" s="218" t="str">
        <f>+_xlfn.XLOOKUP($C47,Aux!$W:$W,Aux!H:H,"-",0)</f>
        <v>Turquia</v>
      </c>
      <c r="E47" s="220">
        <f t="shared" si="0"/>
        <v>0</v>
      </c>
      <c r="F47" s="220">
        <f>+_xlfn.XLOOKUP($C47,Aux!$W:$W,Aux!Q:Q,"-",0)</f>
        <v>0</v>
      </c>
      <c r="G47" s="220">
        <f>+_xlfn.XLOOKUP($C47,Aux!$W:$W,Aux!R:R,"-",0)</f>
        <v>0</v>
      </c>
      <c r="H47" s="220">
        <f>+_xlfn.XLOOKUP($C47,Aux!$W:$W,Aux!S:S,"-",0)</f>
        <v>3</v>
      </c>
      <c r="I47" s="220">
        <f>+_xlfn.XLOOKUP($C47,Aux!$W:$W,Aux!T:T,"-",0)</f>
        <v>-4</v>
      </c>
      <c r="J47" s="220">
        <f>+_xlfn.XLOOKUP($C47,Aux!$W:$W,Aux!U:U,"-",0)</f>
        <v>1</v>
      </c>
      <c r="K47" s="221">
        <f>+_xlfn.XLOOKUP($C47,Aux!$W:$W,Aux!V:V,"-",0)</f>
        <v>5</v>
      </c>
    </row>
    <row r="48" spans="1:11" x14ac:dyDescent="0.2">
      <c r="A48" s="410">
        <v>47</v>
      </c>
      <c r="B48" s="396" t="s">
        <v>298</v>
      </c>
      <c r="C48" s="219">
        <f>+LARGE(Aux!$W$4:$W$51,A48)</f>
        <v>-3.9899999882352939E-2</v>
      </c>
      <c r="D48" s="218" t="str">
        <f>+_xlfn.XLOOKUP($C48,Aux!$W:$W,Aux!H:H,"-",0)</f>
        <v>Nueva Zelanda</v>
      </c>
      <c r="E48" s="220">
        <f t="shared" si="0"/>
        <v>0</v>
      </c>
      <c r="F48" s="220">
        <f>+_xlfn.XLOOKUP($C48,Aux!$W:$W,Aux!Q:Q,"-",0)</f>
        <v>0</v>
      </c>
      <c r="G48" s="220">
        <f>+_xlfn.XLOOKUP($C48,Aux!$W:$W,Aux!R:R,"-",0)</f>
        <v>0</v>
      </c>
      <c r="H48" s="220">
        <f>+_xlfn.XLOOKUP($C48,Aux!$W:$W,Aux!S:S,"-",0)</f>
        <v>3</v>
      </c>
      <c r="I48" s="220">
        <f>+_xlfn.XLOOKUP($C48,Aux!$W:$W,Aux!T:T,"-",0)</f>
        <v>-4</v>
      </c>
      <c r="J48" s="220">
        <f>+_xlfn.XLOOKUP($C48,Aux!$W:$W,Aux!U:U,"-",0)</f>
        <v>1</v>
      </c>
      <c r="K48" s="221">
        <f>+_xlfn.XLOOKUP($C48,Aux!$W:$W,Aux!V:V,"-",0)</f>
        <v>5</v>
      </c>
    </row>
    <row r="49" spans="1:11" x14ac:dyDescent="0.2">
      <c r="A49" s="411">
        <v>48</v>
      </c>
      <c r="B49" s="397" t="s">
        <v>298</v>
      </c>
      <c r="C49" s="223">
        <f>+LARGE(Aux!$W$4:$W$51,A49)</f>
        <v>-4.9999999855072468E-2</v>
      </c>
      <c r="D49" s="222" t="str">
        <f>+_xlfn.XLOOKUP($C49,Aux!$W:$W,Aux!H:H,"-",0)</f>
        <v>Cabo Verde</v>
      </c>
      <c r="E49" s="224">
        <f t="shared" si="0"/>
        <v>0</v>
      </c>
      <c r="F49" s="224">
        <f>+_xlfn.XLOOKUP($C49,Aux!$W:$W,Aux!Q:Q,"-",0)</f>
        <v>0</v>
      </c>
      <c r="G49" s="224">
        <f>+_xlfn.XLOOKUP($C49,Aux!$W:$W,Aux!R:R,"-",0)</f>
        <v>0</v>
      </c>
      <c r="H49" s="224">
        <f>+_xlfn.XLOOKUP($C49,Aux!$W:$W,Aux!S:S,"-",0)</f>
        <v>3</v>
      </c>
      <c r="I49" s="224">
        <f>+_xlfn.XLOOKUP($C49,Aux!$W:$W,Aux!T:T,"-",0)</f>
        <v>-5</v>
      </c>
      <c r="J49" s="224">
        <f>+_xlfn.XLOOKUP($C49,Aux!$W:$W,Aux!U:U,"-",0)</f>
        <v>0</v>
      </c>
      <c r="K49" s="225">
        <f>+_xlfn.XLOOKUP($C49,Aux!$W:$W,Aux!V:V,"-",0)</f>
        <v>5</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sqref="A1:L1048576"/>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Messi</v>
      </c>
      <c r="I1" s="278" t="s">
        <v>104</v>
      </c>
      <c r="J1" s="278" t="s">
        <v>105</v>
      </c>
      <c r="K1" s="278" t="s">
        <v>105</v>
      </c>
      <c r="L1" s="278" t="s">
        <v>106</v>
      </c>
    </row>
    <row r="2" spans="1:12" x14ac:dyDescent="0.2">
      <c r="A2" s="145" t="str">
        <f>+'Groups Stage'!A3</f>
        <v>GA1</v>
      </c>
      <c r="B2" s="146" t="str">
        <f>+'Groups Stage'!E3</f>
        <v>Mexico</v>
      </c>
      <c r="C2" s="145">
        <f>+'Groups Stage'!F3</f>
        <v>2</v>
      </c>
      <c r="D2" s="147">
        <f>+'Groups Stage'!G3</f>
        <v>0</v>
      </c>
      <c r="E2" s="147" t="str">
        <f>+'Groups Stage'!H3</f>
        <v>Sudafrica</v>
      </c>
      <c r="F2" s="277" t="str">
        <f>+'Quarter, Semis &amp; Final'!R19</f>
        <v>Goleador</v>
      </c>
      <c r="G2" s="136" t="str">
        <f>+'Quarter, Semis &amp; Final'!S19</f>
        <v>Julian</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
      <c r="A3" t="str">
        <f>+'Groups Stage'!A4</f>
        <v>GA2</v>
      </c>
      <c r="B3" s="141" t="str">
        <f>+'Groups Stage'!E4</f>
        <v>Corea del Sur</v>
      </c>
      <c r="C3">
        <f>+'Groups Stage'!F4</f>
        <v>1</v>
      </c>
      <c r="D3" s="142">
        <f>+'Groups Stage'!G4</f>
        <v>0</v>
      </c>
      <c r="E3" s="142" t="str">
        <f>+'Groups Stage'!H4</f>
        <v>Repubilca Checa</v>
      </c>
      <c r="F3" s="277" t="str">
        <f>+'Quarter, Semis &amp; Final'!R20</f>
        <v>Revelación</v>
      </c>
      <c r="G3" s="242" t="str">
        <f>+'Quarter, Semis &amp; Final'!S20</f>
        <v>Uzbekistan</v>
      </c>
      <c r="I3" s="278" t="str">
        <f t="shared" ref="I3:I66" si="0">IF(OR(ISBLANK(C3),ISBLANK(D3)),"",IF(C3&gt;D3,B3,IF(D3&gt;C3,E3,"")))</f>
        <v>Corea del Sur</v>
      </c>
      <c r="J3" s="278" t="str">
        <f t="shared" ref="J3:J66" si="1">IF(OR(ISBLANK(C3),ISBLANK(D3)),"",IF(C3=D3,B3,""))</f>
        <v/>
      </c>
      <c r="K3" s="278" t="str">
        <f t="shared" ref="K3:K66" si="2">IF(OR(ISBLANK(C3),ISBLANK(D3)),"",IF(C3=D3,E3,""))</f>
        <v/>
      </c>
      <c r="L3" s="278" t="str">
        <f t="shared" ref="L3:L66" si="3">IF(OR(ISBLANK(C3),ISBLANK(D3)),"",IF(C3&lt;D3,B3,IF(D3&lt;C3,E3,"")))</f>
        <v>Repubilca Checa</v>
      </c>
    </row>
    <row r="4" spans="1:12" x14ac:dyDescent="0.2">
      <c r="A4" t="str">
        <f>+'Groups Stage'!A5</f>
        <v>GA3</v>
      </c>
      <c r="B4" s="141" t="str">
        <f>+'Groups Stage'!E5</f>
        <v>Repubilca Checa</v>
      </c>
      <c r="C4">
        <f>+'Groups Stage'!F5</f>
        <v>1</v>
      </c>
      <c r="D4" s="142">
        <f>+'Groups Stage'!G5</f>
        <v>1</v>
      </c>
      <c r="E4" s="142" t="str">
        <f>+'Groups Stage'!H5</f>
        <v>Sudafrica</v>
      </c>
      <c r="F4" s="277" t="str">
        <f>+'Quarter, Semis &amp; Final'!R21</f>
        <v>Decepción</v>
      </c>
      <c r="G4" s="242" t="str">
        <f>+'Quarter, Semis &amp; Final'!S21</f>
        <v>Paises Bajos</v>
      </c>
      <c r="I4" s="278" t="str">
        <f t="shared" si="0"/>
        <v/>
      </c>
      <c r="J4" s="278" t="str">
        <f t="shared" si="1"/>
        <v>Repubilca Checa</v>
      </c>
      <c r="K4" s="278" t="str">
        <f t="shared" si="2"/>
        <v>Sudafrica</v>
      </c>
      <c r="L4" s="278" t="str">
        <f t="shared" si="3"/>
        <v/>
      </c>
    </row>
    <row r="5" spans="1:12" x14ac:dyDescent="0.2">
      <c r="A5" t="str">
        <f>+'Groups Stage'!A6</f>
        <v>GA4</v>
      </c>
      <c r="B5" s="141" t="str">
        <f>+'Groups Stage'!E6</f>
        <v>Mexico</v>
      </c>
      <c r="C5">
        <f>+'Groups Stage'!F6</f>
        <v>1</v>
      </c>
      <c r="D5" s="142">
        <f>+'Groups Stage'!G6</f>
        <v>0</v>
      </c>
      <c r="E5" s="142" t="str">
        <f>+'Groups Stage'!H6</f>
        <v>Corea del Sur</v>
      </c>
      <c r="F5" s="277" t="str">
        <f>+'Quarter, Semis &amp; Final'!R22</f>
        <v>Mejor 1era Fase</v>
      </c>
      <c r="G5" s="242" t="str">
        <f>+'Quarter, Semis &amp; Final'!S22</f>
        <v>Brasil</v>
      </c>
      <c r="I5" s="278" t="str">
        <f t="shared" si="0"/>
        <v>Mexico</v>
      </c>
      <c r="J5" s="278" t="str">
        <f t="shared" si="1"/>
        <v/>
      </c>
      <c r="K5" s="278" t="str">
        <f t="shared" si="2"/>
        <v/>
      </c>
      <c r="L5" s="278" t="str">
        <f t="shared" si="3"/>
        <v>Corea del Sur</v>
      </c>
    </row>
    <row r="6" spans="1:12" x14ac:dyDescent="0.2">
      <c r="A6" t="str">
        <f>+'Groups Stage'!A7</f>
        <v>GA5</v>
      </c>
      <c r="B6" s="141" t="str">
        <f>+'Groups Stage'!E7</f>
        <v>Repubilca Checa</v>
      </c>
      <c r="C6">
        <f>+'Groups Stage'!F7</f>
        <v>0</v>
      </c>
      <c r="D6" s="142">
        <f>+'Groups Stage'!G7</f>
        <v>0</v>
      </c>
      <c r="E6" s="142" t="str">
        <f>+'Groups Stage'!H7</f>
        <v>Mexico</v>
      </c>
      <c r="F6" s="277" t="str">
        <f>+'Quarter, Semis &amp; Final'!R23</f>
        <v>Peor Equipo</v>
      </c>
      <c r="G6" s="242" t="str">
        <f>+'Quarter, Semis &amp; Final'!S23</f>
        <v>Cabo Verde</v>
      </c>
      <c r="I6" s="278" t="str">
        <f t="shared" si="0"/>
        <v/>
      </c>
      <c r="J6" s="278" t="str">
        <f t="shared" si="1"/>
        <v>Repubilca Checa</v>
      </c>
      <c r="K6" s="278" t="str">
        <f t="shared" si="2"/>
        <v>Mexico</v>
      </c>
      <c r="L6" s="278" t="str">
        <f t="shared" si="3"/>
        <v/>
      </c>
    </row>
    <row r="7" spans="1:12" x14ac:dyDescent="0.2">
      <c r="A7" s="7" t="str">
        <f>+'Groups Stage'!A8</f>
        <v>GA6</v>
      </c>
      <c r="B7" s="143" t="str">
        <f>+'Groups Stage'!E8</f>
        <v>Sudafrica</v>
      </c>
      <c r="C7" s="7">
        <f>+'Groups Stage'!F8</f>
        <v>0</v>
      </c>
      <c r="D7" s="144">
        <f>+'Groups Stage'!G8</f>
        <v>1</v>
      </c>
      <c r="E7" s="144" t="str">
        <f>+'Groups Stage'!H8</f>
        <v>Corea del Sur</v>
      </c>
      <c r="F7" s="276" t="s">
        <v>18</v>
      </c>
      <c r="G7" t="str">
        <f>+'Total Results'!D4</f>
        <v>España</v>
      </c>
      <c r="I7" s="281" t="str">
        <f t="shared" si="0"/>
        <v>Corea del Sur</v>
      </c>
      <c r="J7" s="281" t="str">
        <f t="shared" si="1"/>
        <v/>
      </c>
      <c r="K7" s="281" t="str">
        <f t="shared" si="2"/>
        <v/>
      </c>
      <c r="L7" s="281" t="str">
        <f t="shared" si="3"/>
        <v>Sudafrica</v>
      </c>
    </row>
    <row r="8" spans="1:12" x14ac:dyDescent="0.2">
      <c r="A8" s="148">
        <f>+'Groups Stage'!A9</f>
        <v>0</v>
      </c>
      <c r="B8" s="149">
        <f>+'Groups Stage'!E9</f>
        <v>0</v>
      </c>
      <c r="C8" s="148">
        <f>+'Groups Stage'!F9</f>
        <v>0</v>
      </c>
      <c r="D8" s="150">
        <f>+'Groups Stage'!G9</f>
        <v>0</v>
      </c>
      <c r="E8" s="150">
        <f>+'Groups Stage'!H9</f>
        <v>0</v>
      </c>
      <c r="F8" s="276" t="s">
        <v>303</v>
      </c>
      <c r="G8" t="str">
        <f>+'Total Results'!D2</f>
        <v>Argentina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+'Total Results'!D3</f>
        <v>Francia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+'Total Results'!D5</f>
        <v>Brasil</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1</v>
      </c>
      <c r="D11" s="147">
        <f>+'Groups Stage'!G12</f>
        <v>0</v>
      </c>
      <c r="E11" s="147" t="str">
        <f>+'Groups Stage'!H12</f>
        <v>Bosnia</v>
      </c>
      <c r="I11" s="280" t="str">
        <f t="shared" si="0"/>
        <v>Canada</v>
      </c>
      <c r="J11" s="280" t="str">
        <f t="shared" si="1"/>
        <v/>
      </c>
      <c r="K11" s="280" t="str">
        <f t="shared" si="2"/>
        <v/>
      </c>
      <c r="L11" s="280" t="str">
        <f t="shared" si="3"/>
        <v>Bosnia</v>
      </c>
    </row>
    <row r="12" spans="1:12" x14ac:dyDescent="0.2">
      <c r="A12" t="str">
        <f>+'Groups Stage'!A13</f>
        <v>GB2</v>
      </c>
      <c r="B12" s="141" t="str">
        <f>+'Groups Stage'!E13</f>
        <v>Qatar</v>
      </c>
      <c r="C12">
        <f>+'Groups Stage'!F13</f>
        <v>0</v>
      </c>
      <c r="D12" s="142">
        <f>+'Groups Stage'!G13</f>
        <v>1</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1</v>
      </c>
      <c r="D13" s="142">
        <f>+'Groups Stage'!G14</f>
        <v>1</v>
      </c>
      <c r="E13" s="142" t="str">
        <f>+'Groups Stage'!H14</f>
        <v>Bosnia</v>
      </c>
      <c r="I13" s="278" t="str">
        <f t="shared" si="0"/>
        <v/>
      </c>
      <c r="J13" s="278" t="str">
        <f t="shared" si="1"/>
        <v>Suiza</v>
      </c>
      <c r="K13" s="278" t="str">
        <f t="shared" si="2"/>
        <v>Bosnia</v>
      </c>
      <c r="L13" s="278" t="str">
        <f t="shared" si="3"/>
        <v/>
      </c>
    </row>
    <row r="14" spans="1:12" x14ac:dyDescent="0.2">
      <c r="A14" t="str">
        <f>+'Groups Stage'!A15</f>
        <v>GB4</v>
      </c>
      <c r="B14" s="141" t="str">
        <f>+'Groups Stage'!E15</f>
        <v>Canada</v>
      </c>
      <c r="C14">
        <f>+'Groups Stage'!F15</f>
        <v>1</v>
      </c>
      <c r="D14" s="142">
        <f>+'Groups Stage'!G15</f>
        <v>1</v>
      </c>
      <c r="E14" s="142" t="str">
        <f>+'Groups Stage'!H15</f>
        <v>Qatar</v>
      </c>
      <c r="I14" s="278" t="str">
        <f t="shared" si="0"/>
        <v/>
      </c>
      <c r="J14" s="278" t="str">
        <f t="shared" si="1"/>
        <v>Canada</v>
      </c>
      <c r="K14" s="278" t="str">
        <f t="shared" si="2"/>
        <v>Qatar</v>
      </c>
      <c r="L14" s="278" t="str">
        <f t="shared" si="3"/>
        <v/>
      </c>
    </row>
    <row r="15" spans="1:12" x14ac:dyDescent="0.2">
      <c r="A15" t="str">
        <f>+'Groups Stage'!A16</f>
        <v>GB5</v>
      </c>
      <c r="B15" s="141" t="str">
        <f>+'Groups Stage'!E16</f>
        <v>Suiza</v>
      </c>
      <c r="C15">
        <f>+'Groups Stage'!F16</f>
        <v>1</v>
      </c>
      <c r="D15" s="142">
        <f>+'Groups Stage'!G16</f>
        <v>0</v>
      </c>
      <c r="E15" s="142" t="str">
        <f>+'Groups Stage'!H16</f>
        <v>Canada</v>
      </c>
      <c r="I15" s="278" t="str">
        <f t="shared" si="0"/>
        <v>Suiza</v>
      </c>
      <c r="J15" s="278" t="str">
        <f t="shared" si="1"/>
        <v/>
      </c>
      <c r="K15" s="278" t="str">
        <f t="shared" si="2"/>
        <v/>
      </c>
      <c r="L15" s="278" t="str">
        <f t="shared" si="3"/>
        <v>Canada</v>
      </c>
    </row>
    <row r="16" spans="1:12" x14ac:dyDescent="0.2">
      <c r="A16" s="7" t="str">
        <f>+'Groups Stage'!A17</f>
        <v>GB6</v>
      </c>
      <c r="B16" s="143" t="str">
        <f>+'Groups Stage'!E17</f>
        <v>Bosnia</v>
      </c>
      <c r="C16" s="7">
        <f>+'Groups Stage'!F17</f>
        <v>1</v>
      </c>
      <c r="D16" s="144">
        <f>+'Groups Stage'!G17</f>
        <v>0</v>
      </c>
      <c r="E16" s="144" t="str">
        <f>+'Groups Stage'!H17</f>
        <v>Qatar</v>
      </c>
      <c r="I16" s="281" t="str">
        <f t="shared" si="0"/>
        <v>Bosnia</v>
      </c>
      <c r="J16" s="281" t="str">
        <f t="shared" si="1"/>
        <v/>
      </c>
      <c r="K16" s="281" t="str">
        <f t="shared" si="2"/>
        <v/>
      </c>
      <c r="L16" s="281" t="str">
        <f t="shared" si="3"/>
        <v>Qatar</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2</v>
      </c>
      <c r="D20" s="147">
        <f>+'Groups Stage'!G21</f>
        <v>0</v>
      </c>
      <c r="E20" s="147" t="str">
        <f>+'Groups Stage'!H21</f>
        <v>Marruecos</v>
      </c>
      <c r="I20" s="280" t="str">
        <f t="shared" si="0"/>
        <v>Brasil</v>
      </c>
      <c r="J20" s="280" t="str">
        <f t="shared" si="1"/>
        <v/>
      </c>
      <c r="K20" s="280" t="str">
        <f t="shared" si="2"/>
        <v/>
      </c>
      <c r="L20" s="280" t="str">
        <f t="shared" si="3"/>
        <v>Marruecos</v>
      </c>
    </row>
    <row r="21" spans="1:12" x14ac:dyDescent="0.2">
      <c r="A21" t="str">
        <f>+'Groups Stage'!A22</f>
        <v>GC2</v>
      </c>
      <c r="B21" s="141" t="str">
        <f>+'Groups Stage'!E22</f>
        <v>Haiti</v>
      </c>
      <c r="C21">
        <f>+'Groups Stage'!F22</f>
        <v>0</v>
      </c>
      <c r="D21" s="142">
        <f>+'Groups Stage'!G22</f>
        <v>1</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3</v>
      </c>
      <c r="D22" s="142">
        <f>+'Groups Stage'!G23</f>
        <v>0</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1</v>
      </c>
      <c r="D23" s="142">
        <f>+'Groups Stage'!G24</f>
        <v>1</v>
      </c>
      <c r="E23" s="142" t="str">
        <f>+'Groups Stage'!H24</f>
        <v>Marruecos</v>
      </c>
      <c r="I23" s="278" t="str">
        <f t="shared" si="0"/>
        <v/>
      </c>
      <c r="J23" s="278" t="str">
        <f t="shared" si="1"/>
        <v>Escocia</v>
      </c>
      <c r="K23" s="278" t="str">
        <f t="shared" si="2"/>
        <v>Marruecos</v>
      </c>
      <c r="L23" s="278" t="str">
        <f t="shared" si="3"/>
        <v/>
      </c>
    </row>
    <row r="24" spans="1:12" x14ac:dyDescent="0.2">
      <c r="A24" t="str">
        <f>+'Groups Stage'!A25</f>
        <v>GC5</v>
      </c>
      <c r="B24" s="141" t="str">
        <f>+'Groups Stage'!E25</f>
        <v>Escocia</v>
      </c>
      <c r="C24">
        <f>+'Groups Stage'!F25</f>
        <v>0</v>
      </c>
      <c r="D24" s="142">
        <f>+'Groups Stage'!G25</f>
        <v>2</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1</v>
      </c>
      <c r="D25" s="144">
        <f>+'Groups Stage'!G26</f>
        <v>1</v>
      </c>
      <c r="E25" s="144" t="str">
        <f>+'Groups Stage'!H26</f>
        <v>Haiti</v>
      </c>
      <c r="I25" s="281" t="str">
        <f t="shared" si="0"/>
        <v/>
      </c>
      <c r="J25" s="281" t="str">
        <f t="shared" si="1"/>
        <v>Marruecos</v>
      </c>
      <c r="K25" s="281" t="str">
        <f t="shared" si="2"/>
        <v>Haiti</v>
      </c>
      <c r="L25" s="281" t="str">
        <f t="shared" si="3"/>
        <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1</v>
      </c>
      <c r="D29" s="147">
        <f>+'Groups Stage'!G30</f>
        <v>2</v>
      </c>
      <c r="E29" s="147" t="str">
        <f>+'Groups Stage'!H30</f>
        <v>Paraguay</v>
      </c>
      <c r="I29" s="280" t="str">
        <f t="shared" si="0"/>
        <v>Paraguay</v>
      </c>
      <c r="J29" s="280" t="str">
        <f t="shared" si="1"/>
        <v/>
      </c>
      <c r="K29" s="280" t="str">
        <f t="shared" si="2"/>
        <v/>
      </c>
      <c r="L29" s="280" t="str">
        <f t="shared" si="3"/>
        <v>Estados Unidos</v>
      </c>
    </row>
    <row r="30" spans="1:12" x14ac:dyDescent="0.2">
      <c r="A30" t="str">
        <f>+'Groups Stage'!A31</f>
        <v>GD2</v>
      </c>
      <c r="B30" s="141" t="str">
        <f>+'Groups Stage'!E31</f>
        <v>Australia</v>
      </c>
      <c r="C30">
        <f>+'Groups Stage'!F31</f>
        <v>2</v>
      </c>
      <c r="D30" s="142">
        <f>+'Groups Stage'!G31</f>
        <v>0</v>
      </c>
      <c r="E30" s="142" t="str">
        <f>+'Groups Stage'!H31</f>
        <v>Turquia</v>
      </c>
      <c r="I30" s="278" t="str">
        <f t="shared" si="0"/>
        <v>Australia</v>
      </c>
      <c r="J30" s="278" t="str">
        <f t="shared" si="1"/>
        <v/>
      </c>
      <c r="K30" s="278" t="str">
        <f t="shared" si="2"/>
        <v/>
      </c>
      <c r="L30" s="278" t="str">
        <f t="shared" si="3"/>
        <v>Turquia</v>
      </c>
    </row>
    <row r="31" spans="1:12" x14ac:dyDescent="0.2">
      <c r="A31" t="str">
        <f>+'Groups Stage'!A32</f>
        <v>GD3</v>
      </c>
      <c r="B31" s="141" t="str">
        <f>+'Groups Stage'!E32</f>
        <v>Turquia</v>
      </c>
      <c r="C31">
        <f>+'Groups Stage'!F32</f>
        <v>0</v>
      </c>
      <c r="D31" s="142">
        <f>+'Groups Stage'!G32</f>
        <v>1</v>
      </c>
      <c r="E31" s="142" t="str">
        <f>+'Groups Stage'!H32</f>
        <v>Paraguay</v>
      </c>
      <c r="I31" s="278" t="str">
        <f t="shared" si="0"/>
        <v>Paraguay</v>
      </c>
      <c r="J31" s="278" t="str">
        <f t="shared" si="1"/>
        <v/>
      </c>
      <c r="K31" s="278" t="str">
        <f t="shared" si="2"/>
        <v/>
      </c>
      <c r="L31" s="278" t="str">
        <f t="shared" si="3"/>
        <v>Turquia</v>
      </c>
    </row>
    <row r="32" spans="1:12" x14ac:dyDescent="0.2">
      <c r="A32" t="str">
        <f>+'Groups Stage'!A33</f>
        <v>GD4</v>
      </c>
      <c r="B32" s="141" t="str">
        <f>+'Groups Stage'!E33</f>
        <v>Estados Unidos</v>
      </c>
      <c r="C32">
        <f>+'Groups Stage'!F33</f>
        <v>2</v>
      </c>
      <c r="D32" s="142">
        <f>+'Groups Stage'!G33</f>
        <v>1</v>
      </c>
      <c r="E32" s="142" t="str">
        <f>+'Groups Stage'!H33</f>
        <v>Australia</v>
      </c>
      <c r="I32" s="278" t="str">
        <f t="shared" si="0"/>
        <v>Estados Unidos</v>
      </c>
      <c r="J32" s="278" t="str">
        <f t="shared" si="1"/>
        <v/>
      </c>
      <c r="K32" s="278" t="str">
        <f t="shared" si="2"/>
        <v/>
      </c>
      <c r="L32" s="278" t="str">
        <f t="shared" si="3"/>
        <v>Australia</v>
      </c>
    </row>
    <row r="33" spans="1:12" x14ac:dyDescent="0.2">
      <c r="A33" t="str">
        <f>+'Groups Stage'!A34</f>
        <v>GD5</v>
      </c>
      <c r="B33" s="141" t="str">
        <f>+'Groups Stage'!E34</f>
        <v>Turquia</v>
      </c>
      <c r="C33">
        <f>+'Groups Stage'!F34</f>
        <v>1</v>
      </c>
      <c r="D33" s="142">
        <f>+'Groups Stage'!G34</f>
        <v>2</v>
      </c>
      <c r="E33" s="142" t="str">
        <f>+'Groups Stage'!H34</f>
        <v>Estados Unidos</v>
      </c>
      <c r="I33" s="278" t="str">
        <f t="shared" si="0"/>
        <v>Estados Unidos</v>
      </c>
      <c r="J33" s="278" t="str">
        <f t="shared" si="1"/>
        <v/>
      </c>
      <c r="K33" s="278" t="str">
        <f t="shared" si="2"/>
        <v/>
      </c>
      <c r="L33" s="278" t="str">
        <f t="shared" si="3"/>
        <v>Turquia</v>
      </c>
    </row>
    <row r="34" spans="1:12" x14ac:dyDescent="0.2">
      <c r="A34" s="7" t="str">
        <f>+'Groups Stage'!A35</f>
        <v>GD6</v>
      </c>
      <c r="B34" s="143" t="str">
        <f>+'Groups Stage'!E35</f>
        <v>Paraguay</v>
      </c>
      <c r="C34" s="7">
        <f>+'Groups Stage'!F35</f>
        <v>1</v>
      </c>
      <c r="D34" s="144">
        <f>+'Groups Stage'!G35</f>
        <v>0</v>
      </c>
      <c r="E34" s="144" t="str">
        <f>+'Groups Stage'!H35</f>
        <v>Australia</v>
      </c>
      <c r="I34" s="281" t="str">
        <f t="shared" si="0"/>
        <v>Paraguay</v>
      </c>
      <c r="J34" s="281" t="str">
        <f t="shared" si="1"/>
        <v/>
      </c>
      <c r="K34" s="281" t="str">
        <f t="shared" si="2"/>
        <v/>
      </c>
      <c r="L34" s="281" t="str">
        <f t="shared" si="3"/>
        <v>Australia</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2</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0</v>
      </c>
      <c r="D39" s="142">
        <f>+'Groups Stage'!G40</f>
        <v>1</v>
      </c>
      <c r="E39" s="142" t="str">
        <f>+'Groups Stage'!H40</f>
        <v>Ecuador</v>
      </c>
      <c r="I39" s="278" t="str">
        <f t="shared" si="0"/>
        <v>Ecuador</v>
      </c>
      <c r="J39" s="278" t="str">
        <f t="shared" si="1"/>
        <v/>
      </c>
      <c r="K39" s="278" t="str">
        <f t="shared" si="2"/>
        <v/>
      </c>
      <c r="L39" s="278" t="str">
        <f t="shared" si="3"/>
        <v>Costa de Marfil</v>
      </c>
    </row>
    <row r="40" spans="1:12" x14ac:dyDescent="0.2">
      <c r="A40" t="str">
        <f>+'Groups Stage'!A41</f>
        <v>GE3</v>
      </c>
      <c r="B40" s="141" t="str">
        <f>+'Groups Stage'!E41</f>
        <v>Alemania</v>
      </c>
      <c r="C40">
        <f>+'Groups Stage'!F41</f>
        <v>2</v>
      </c>
      <c r="D40" s="142">
        <f>+'Groups Stage'!G41</f>
        <v>0</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1</v>
      </c>
      <c r="D41" s="142">
        <f>+'Groups Stage'!G42</f>
        <v>1</v>
      </c>
      <c r="E41" s="142" t="str">
        <f>+'Groups Stage'!H42</f>
        <v>Curazao</v>
      </c>
      <c r="I41" s="278" t="str">
        <f t="shared" si="0"/>
        <v/>
      </c>
      <c r="J41" s="278" t="str">
        <f t="shared" si="1"/>
        <v>Ecuador</v>
      </c>
      <c r="K41" s="278" t="str">
        <f t="shared" si="2"/>
        <v>Curazao</v>
      </c>
      <c r="L41" s="278" t="str">
        <f t="shared" si="3"/>
        <v/>
      </c>
    </row>
    <row r="42" spans="1:12" x14ac:dyDescent="0.2">
      <c r="A42" t="str">
        <f>+'Groups Stage'!A43</f>
        <v>GE5</v>
      </c>
      <c r="B42" s="141" t="str">
        <f>+'Groups Stage'!E43</f>
        <v>Ecuador</v>
      </c>
      <c r="C42">
        <f>+'Groups Stage'!F43</f>
        <v>0</v>
      </c>
      <c r="D42" s="142">
        <f>+'Groups Stage'!G43</f>
        <v>2</v>
      </c>
      <c r="E42" s="142" t="str">
        <f>+'Groups Stage'!H43</f>
        <v>Alemania</v>
      </c>
      <c r="I42" s="278" t="str">
        <f t="shared" si="0"/>
        <v>Alemania</v>
      </c>
      <c r="J42" s="278" t="str">
        <f t="shared" si="1"/>
        <v/>
      </c>
      <c r="K42" s="278" t="str">
        <f t="shared" si="2"/>
        <v/>
      </c>
      <c r="L42" s="278" t="str">
        <f t="shared" si="3"/>
        <v>Ecuador</v>
      </c>
    </row>
    <row r="43" spans="1:12" x14ac:dyDescent="0.2">
      <c r="A43" s="7" t="str">
        <f>+'Groups Stage'!A44</f>
        <v>GE6</v>
      </c>
      <c r="B43" s="143" t="str">
        <f>+'Groups Stage'!E44</f>
        <v>Curazao</v>
      </c>
      <c r="C43" s="7">
        <f>+'Groups Stage'!F44</f>
        <v>1</v>
      </c>
      <c r="D43" s="144">
        <f>+'Groups Stage'!G44</f>
        <v>1</v>
      </c>
      <c r="E43" s="144" t="str">
        <f>+'Groups Stage'!H44</f>
        <v>Costa de Marfil</v>
      </c>
      <c r="I43" s="281" t="str">
        <f t="shared" si="0"/>
        <v/>
      </c>
      <c r="J43" s="281" t="str">
        <f t="shared" si="1"/>
        <v>Curazao</v>
      </c>
      <c r="K43" s="281" t="str">
        <f t="shared" si="2"/>
        <v>Costa de Marfil</v>
      </c>
      <c r="L43" s="281" t="str">
        <f t="shared" si="3"/>
        <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0</v>
      </c>
      <c r="D47" s="147">
        <f>+'Groups Stage'!G48</f>
        <v>1</v>
      </c>
      <c r="E47" s="147" t="str">
        <f>+'Groups Stage'!H48</f>
        <v>Japon</v>
      </c>
      <c r="I47" s="280" t="str">
        <f t="shared" si="0"/>
        <v>Japon</v>
      </c>
      <c r="J47" s="280" t="str">
        <f t="shared" si="1"/>
        <v/>
      </c>
      <c r="K47" s="280" t="str">
        <f t="shared" si="2"/>
        <v/>
      </c>
      <c r="L47" s="280" t="str">
        <f t="shared" si="3"/>
        <v>Paises Bajos</v>
      </c>
    </row>
    <row r="48" spans="1:12" x14ac:dyDescent="0.2">
      <c r="A48" t="str">
        <f>+'Groups Stage'!A49</f>
        <v>GF2</v>
      </c>
      <c r="B48" s="141" t="str">
        <f>+'Groups Stage'!E49</f>
        <v>Suecia</v>
      </c>
      <c r="C48">
        <f>+'Groups Stage'!F49</f>
        <v>1</v>
      </c>
      <c r="D48" s="142">
        <f>+'Groups Stage'!G49</f>
        <v>0</v>
      </c>
      <c r="E48" s="142" t="str">
        <f>+'Groups Stage'!H49</f>
        <v>Tunez</v>
      </c>
      <c r="I48" s="278" t="str">
        <f t="shared" si="0"/>
        <v>Suecia</v>
      </c>
      <c r="J48" s="278" t="str">
        <f t="shared" si="1"/>
        <v/>
      </c>
      <c r="K48" s="278" t="str">
        <f t="shared" si="2"/>
        <v/>
      </c>
      <c r="L48" s="278" t="str">
        <f t="shared" si="3"/>
        <v>Tunez</v>
      </c>
    </row>
    <row r="49" spans="1:12" x14ac:dyDescent="0.2">
      <c r="A49" t="str">
        <f>+'Groups Stage'!A50</f>
        <v>GF3</v>
      </c>
      <c r="B49" s="141" t="str">
        <f>+'Groups Stage'!E50</f>
        <v>Paises Bajos</v>
      </c>
      <c r="C49">
        <f>+'Groups Stage'!F50</f>
        <v>1</v>
      </c>
      <c r="D49" s="142">
        <f>+'Groups Stage'!G50</f>
        <v>1</v>
      </c>
      <c r="E49" s="142" t="str">
        <f>+'Groups Stage'!H50</f>
        <v>Suecia</v>
      </c>
      <c r="I49" s="278" t="str">
        <f t="shared" si="0"/>
        <v/>
      </c>
      <c r="J49" s="278" t="str">
        <f t="shared" si="1"/>
        <v>Paises Bajos</v>
      </c>
      <c r="K49" s="278" t="str">
        <f t="shared" si="2"/>
        <v>Suecia</v>
      </c>
      <c r="L49" s="278" t="str">
        <f t="shared" si="3"/>
        <v/>
      </c>
    </row>
    <row r="50" spans="1:12" x14ac:dyDescent="0.2">
      <c r="A50" t="str">
        <f>+'Groups Stage'!A51</f>
        <v>GF4</v>
      </c>
      <c r="B50" s="141" t="str">
        <f>+'Groups Stage'!E51</f>
        <v>Tunez</v>
      </c>
      <c r="C50">
        <f>+'Groups Stage'!F51</f>
        <v>1</v>
      </c>
      <c r="D50" s="142">
        <f>+'Groups Stage'!G51</f>
        <v>1</v>
      </c>
      <c r="E50" s="142" t="str">
        <f>+'Groups Stage'!H51</f>
        <v>Japon</v>
      </c>
      <c r="I50" s="278" t="str">
        <f t="shared" si="0"/>
        <v/>
      </c>
      <c r="J50" s="278" t="str">
        <f t="shared" si="1"/>
        <v>Tunez</v>
      </c>
      <c r="K50" s="278" t="str">
        <f t="shared" si="2"/>
        <v>Japon</v>
      </c>
      <c r="L50" s="278" t="str">
        <f t="shared" si="3"/>
        <v/>
      </c>
    </row>
    <row r="51" spans="1:12" x14ac:dyDescent="0.2">
      <c r="A51" t="str">
        <f>+'Groups Stage'!A52</f>
        <v>GF5</v>
      </c>
      <c r="B51" s="141" t="str">
        <f>+'Groups Stage'!E52</f>
        <v>Japon</v>
      </c>
      <c r="C51">
        <f>+'Groups Stage'!F52</f>
        <v>1</v>
      </c>
      <c r="D51" s="142">
        <f>+'Groups Stage'!G52</f>
        <v>0</v>
      </c>
      <c r="E51" s="142" t="str">
        <f>+'Groups Stage'!H52</f>
        <v>Suecia</v>
      </c>
      <c r="I51" s="278" t="str">
        <f t="shared" si="0"/>
        <v>Japon</v>
      </c>
      <c r="J51" s="278" t="str">
        <f t="shared" si="1"/>
        <v/>
      </c>
      <c r="K51" s="278" t="str">
        <f t="shared" si="2"/>
        <v/>
      </c>
      <c r="L51" s="278" t="str">
        <f t="shared" si="3"/>
        <v>Suecia</v>
      </c>
    </row>
    <row r="52" spans="1:12" x14ac:dyDescent="0.2">
      <c r="A52" s="7" t="str">
        <f>+'Groups Stage'!A53</f>
        <v>GF6</v>
      </c>
      <c r="B52" s="143" t="str">
        <f>+'Groups Stage'!E53</f>
        <v>Tunez</v>
      </c>
      <c r="C52" s="7">
        <f>+'Groups Stage'!F53</f>
        <v>1</v>
      </c>
      <c r="D52" s="144">
        <f>+'Groups Stage'!G53</f>
        <v>1</v>
      </c>
      <c r="E52" s="144" t="str">
        <f>+'Groups Stage'!H53</f>
        <v>Paises Bajos</v>
      </c>
      <c r="I52" s="281" t="str">
        <f t="shared" si="0"/>
        <v/>
      </c>
      <c r="J52" s="281" t="str">
        <f t="shared" si="1"/>
        <v>Tunez</v>
      </c>
      <c r="K52" s="281" t="str">
        <f t="shared" si="2"/>
        <v>Paises Bajos</v>
      </c>
      <c r="L52" s="281" t="str">
        <f t="shared" si="3"/>
        <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1</v>
      </c>
      <c r="D56" s="147">
        <f>+'Groups Stage'!G57</f>
        <v>0</v>
      </c>
      <c r="E56" s="147" t="str">
        <f>+'Groups Stage'!H57</f>
        <v>Nueva Zelanda</v>
      </c>
      <c r="I56" s="280" t="str">
        <f t="shared" si="0"/>
        <v>Iran</v>
      </c>
      <c r="J56" s="280" t="str">
        <f t="shared" si="1"/>
        <v/>
      </c>
      <c r="K56" s="280" t="str">
        <f t="shared" si="2"/>
        <v/>
      </c>
      <c r="L56" s="280" t="str">
        <f t="shared" si="3"/>
        <v>Nueva Zelanda</v>
      </c>
    </row>
    <row r="57" spans="1:12" x14ac:dyDescent="0.2">
      <c r="A57" t="str">
        <f>+'Groups Stage'!A58</f>
        <v>GG2</v>
      </c>
      <c r="B57" s="141" t="str">
        <f>+'Groups Stage'!E58</f>
        <v>Belgica</v>
      </c>
      <c r="C57">
        <f>+'Groups Stage'!F58</f>
        <v>1</v>
      </c>
      <c r="D57" s="142">
        <f>+'Groups Stage'!G58</f>
        <v>1</v>
      </c>
      <c r="E57" s="142" t="str">
        <f>+'Groups Stage'!H58</f>
        <v>Egipto</v>
      </c>
      <c r="I57" s="278" t="str">
        <f t="shared" si="0"/>
        <v/>
      </c>
      <c r="J57" s="278" t="str">
        <f t="shared" si="1"/>
        <v>Belgica</v>
      </c>
      <c r="K57" s="278" t="str">
        <f t="shared" si="2"/>
        <v>Egipto</v>
      </c>
      <c r="L57" s="278" t="str">
        <f t="shared" si="3"/>
        <v/>
      </c>
    </row>
    <row r="58" spans="1:12" x14ac:dyDescent="0.2">
      <c r="A58" t="str">
        <f>+'Groups Stage'!A59</f>
        <v>GG3</v>
      </c>
      <c r="B58" s="141" t="str">
        <f>+'Groups Stage'!E59</f>
        <v>Belgica</v>
      </c>
      <c r="C58">
        <f>+'Groups Stage'!F59</f>
        <v>1</v>
      </c>
      <c r="D58" s="142">
        <f>+'Groups Stage'!G59</f>
        <v>1</v>
      </c>
      <c r="E58" s="142" t="str">
        <f>+'Groups Stage'!H59</f>
        <v>Iran</v>
      </c>
      <c r="I58" s="278" t="str">
        <f t="shared" si="0"/>
        <v/>
      </c>
      <c r="J58" s="278" t="str">
        <f t="shared" si="1"/>
        <v>Belgica</v>
      </c>
      <c r="K58" s="278" t="str">
        <f t="shared" si="2"/>
        <v>Iran</v>
      </c>
      <c r="L58" s="278" t="str">
        <f t="shared" si="3"/>
        <v/>
      </c>
    </row>
    <row r="59" spans="1:12" x14ac:dyDescent="0.2">
      <c r="A59" t="str">
        <f>+'Groups Stage'!A60</f>
        <v>GG4</v>
      </c>
      <c r="B59" s="141" t="str">
        <f>+'Groups Stage'!E60</f>
        <v>Nueva Zelanda</v>
      </c>
      <c r="C59">
        <f>+'Groups Stage'!F60</f>
        <v>0</v>
      </c>
      <c r="D59" s="142">
        <f>+'Groups Stage'!G60</f>
        <v>1</v>
      </c>
      <c r="E59" s="142" t="str">
        <f>+'Groups Stage'!H60</f>
        <v>Egipto</v>
      </c>
      <c r="I59" s="278" t="str">
        <f t="shared" si="0"/>
        <v>Egipto</v>
      </c>
      <c r="J59" s="278" t="str">
        <f t="shared" si="1"/>
        <v/>
      </c>
      <c r="K59" s="278" t="str">
        <f t="shared" si="2"/>
        <v/>
      </c>
      <c r="L59" s="278" t="str">
        <f t="shared" si="3"/>
        <v>Nueva Zelanda</v>
      </c>
    </row>
    <row r="60" spans="1:12" x14ac:dyDescent="0.2">
      <c r="A60" t="str">
        <f>+'Groups Stage'!A61</f>
        <v>GG5</v>
      </c>
      <c r="B60" s="141" t="str">
        <f>+'Groups Stage'!E61</f>
        <v>Nueva Zelanda</v>
      </c>
      <c r="C60">
        <f>+'Groups Stage'!F61</f>
        <v>1</v>
      </c>
      <c r="D60" s="142">
        <f>+'Groups Stage'!G61</f>
        <v>3</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0</v>
      </c>
      <c r="D61" s="144">
        <f>+'Groups Stage'!G62</f>
        <v>2</v>
      </c>
      <c r="E61" s="144" t="str">
        <f>+'Groups Stage'!H62</f>
        <v>Iran</v>
      </c>
      <c r="I61" s="281" t="str">
        <f t="shared" si="0"/>
        <v>Iran</v>
      </c>
      <c r="J61" s="281" t="str">
        <f t="shared" si="1"/>
        <v/>
      </c>
      <c r="K61" s="281" t="str">
        <f t="shared" si="2"/>
        <v/>
      </c>
      <c r="L61" s="281" t="str">
        <f t="shared" si="3"/>
        <v>Egipto</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3</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0</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2</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1</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2</v>
      </c>
      <c r="D69" s="142">
        <f>+'Groups Stage'!G70</f>
        <v>2</v>
      </c>
      <c r="E69" s="142" t="str">
        <f>+'Groups Stage'!H70</f>
        <v>España</v>
      </c>
      <c r="I69" s="278" t="str">
        <f t="shared" si="4"/>
        <v/>
      </c>
      <c r="J69" s="278" t="str">
        <f t="shared" si="5"/>
        <v>Uruguay</v>
      </c>
      <c r="K69" s="278" t="str">
        <f t="shared" si="6"/>
        <v>España</v>
      </c>
      <c r="L69" s="278" t="str">
        <f t="shared" si="7"/>
        <v/>
      </c>
    </row>
    <row r="70" spans="1:12" x14ac:dyDescent="0.2">
      <c r="A70" s="7" t="str">
        <f>+'Groups Stage'!A71</f>
        <v>GH6</v>
      </c>
      <c r="B70" s="143" t="str">
        <f>+'Groups Stage'!E71</f>
        <v>Cabo Verde</v>
      </c>
      <c r="C70" s="7">
        <f>+'Groups Stage'!F71</f>
        <v>0</v>
      </c>
      <c r="D70" s="144">
        <f>+'Groups Stage'!G71</f>
        <v>1</v>
      </c>
      <c r="E70" s="144" t="str">
        <f>+'Groups Stage'!H71</f>
        <v>Arabia Saudita</v>
      </c>
      <c r="I70" s="281" t="str">
        <f t="shared" si="4"/>
        <v>Arabia Saudita</v>
      </c>
      <c r="J70" s="281" t="str">
        <f t="shared" si="5"/>
        <v/>
      </c>
      <c r="K70" s="281" t="str">
        <f t="shared" si="6"/>
        <v/>
      </c>
      <c r="L70" s="281" t="str">
        <f t="shared" si="7"/>
        <v>Cabo Verde</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2</v>
      </c>
      <c r="D74" s="147">
        <f>+'Groups Stage'!G75</f>
        <v>0</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0</v>
      </c>
      <c r="D75" s="142">
        <f>+'Groups Stage'!G76</f>
        <v>1</v>
      </c>
      <c r="E75" s="142" t="str">
        <f>+'Groups Stage'!H76</f>
        <v>Noruega</v>
      </c>
      <c r="I75" s="278" t="str">
        <f t="shared" si="4"/>
        <v>Noruega</v>
      </c>
      <c r="J75" s="278" t="str">
        <f t="shared" si="5"/>
        <v/>
      </c>
      <c r="K75" s="278" t="str">
        <f t="shared" si="6"/>
        <v/>
      </c>
      <c r="L75" s="278" t="str">
        <f t="shared" si="7"/>
        <v>Irak</v>
      </c>
    </row>
    <row r="76" spans="1:12" x14ac:dyDescent="0.2">
      <c r="A76" t="str">
        <f>+'Groups Stage'!A77</f>
        <v>GI3</v>
      </c>
      <c r="B76" s="141" t="str">
        <f>+'Groups Stage'!E77</f>
        <v>Francia</v>
      </c>
      <c r="C76">
        <f>+'Groups Stage'!F77</f>
        <v>3</v>
      </c>
      <c r="D76" s="142">
        <f>+'Groups Stage'!G77</f>
        <v>0</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1</v>
      </c>
      <c r="D77" s="142">
        <f>+'Groups Stage'!G78</f>
        <v>1</v>
      </c>
      <c r="E77" s="142" t="str">
        <f>+'Groups Stage'!H78</f>
        <v>Senegal</v>
      </c>
      <c r="I77" s="278" t="str">
        <f t="shared" si="4"/>
        <v/>
      </c>
      <c r="J77" s="278" t="str">
        <f t="shared" si="5"/>
        <v>Noruega</v>
      </c>
      <c r="K77" s="278" t="str">
        <f t="shared" si="6"/>
        <v>Senegal</v>
      </c>
      <c r="L77" s="278" t="str">
        <f t="shared" si="7"/>
        <v/>
      </c>
    </row>
    <row r="78" spans="1:12" x14ac:dyDescent="0.2">
      <c r="A78" t="str">
        <f>+'Groups Stage'!A79</f>
        <v>GI5</v>
      </c>
      <c r="B78" s="141" t="str">
        <f>+'Groups Stage'!E79</f>
        <v>Noruega</v>
      </c>
      <c r="C78">
        <f>+'Groups Stage'!F79</f>
        <v>0</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1</v>
      </c>
      <c r="D79" s="144">
        <f>+'Groups Stage'!G80</f>
        <v>1</v>
      </c>
      <c r="E79" s="144" t="str">
        <f>+'Groups Stage'!H80</f>
        <v>Irak</v>
      </c>
      <c r="I79" s="281" t="str">
        <f t="shared" si="4"/>
        <v/>
      </c>
      <c r="J79" s="281" t="str">
        <f t="shared" si="5"/>
        <v>Senegal</v>
      </c>
      <c r="K79" s="281" t="str">
        <f t="shared" si="6"/>
        <v>Irak</v>
      </c>
      <c r="L79" s="281" t="str">
        <f t="shared" si="7"/>
        <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2</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1</v>
      </c>
      <c r="D84" s="142">
        <f>+'Groups Stage'!G85</f>
        <v>1</v>
      </c>
      <c r="E84" s="142" t="str">
        <f>+'Groups Stage'!H85</f>
        <v>Jordania</v>
      </c>
      <c r="I84" s="278" t="str">
        <f t="shared" si="4"/>
        <v/>
      </c>
      <c r="J84" s="278" t="str">
        <f t="shared" si="5"/>
        <v>Austria</v>
      </c>
      <c r="K84" s="278" t="str">
        <f t="shared" si="6"/>
        <v>Jordania</v>
      </c>
      <c r="L84" s="278" t="str">
        <f t="shared" si="7"/>
        <v/>
      </c>
    </row>
    <row r="85" spans="1:12" x14ac:dyDescent="0.2">
      <c r="A85" t="str">
        <f>+'Groups Stage'!A86</f>
        <v>GJ3</v>
      </c>
      <c r="B85" s="141" t="str">
        <f>+'Groups Stage'!E86</f>
        <v>Argentina</v>
      </c>
      <c r="C85">
        <f>+'Groups Stage'!F86</f>
        <v>2</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1</v>
      </c>
      <c r="D86" s="142">
        <f>+'Groups Stage'!G87</f>
        <v>1</v>
      </c>
      <c r="E86" s="142" t="str">
        <f>+'Groups Stage'!H87</f>
        <v>Argelia</v>
      </c>
      <c r="I86" s="278" t="str">
        <f t="shared" si="4"/>
        <v/>
      </c>
      <c r="J86" s="278" t="str">
        <f t="shared" si="5"/>
        <v>Jordania</v>
      </c>
      <c r="K86" s="278" t="str">
        <f t="shared" si="6"/>
        <v>Argelia</v>
      </c>
      <c r="L86" s="278" t="str">
        <f t="shared" si="7"/>
        <v/>
      </c>
    </row>
    <row r="87" spans="1:12" x14ac:dyDescent="0.2">
      <c r="A87" t="str">
        <f>+'Groups Stage'!A88</f>
        <v>GJ5</v>
      </c>
      <c r="B87" s="141" t="str">
        <f>+'Groups Stage'!E88</f>
        <v>Jordania</v>
      </c>
      <c r="C87">
        <f>+'Groups Stage'!F88</f>
        <v>0</v>
      </c>
      <c r="D87" s="142">
        <f>+'Groups Stage'!G88</f>
        <v>2</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1</v>
      </c>
      <c r="D88" s="144">
        <f>+'Groups Stage'!G89</f>
        <v>1</v>
      </c>
      <c r="E88" s="144" t="str">
        <f>+'Groups Stage'!H89</f>
        <v>Austria</v>
      </c>
      <c r="I88" s="281" t="str">
        <f t="shared" si="4"/>
        <v/>
      </c>
      <c r="J88" s="281" t="str">
        <f t="shared" si="5"/>
        <v>Argelia</v>
      </c>
      <c r="K88" s="281" t="str">
        <f t="shared" si="6"/>
        <v>Austria</v>
      </c>
      <c r="L88" s="281" t="str">
        <f t="shared" si="7"/>
        <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2</v>
      </c>
      <c r="D92" s="147">
        <f>+'Groups Stage'!G93</f>
        <v>0</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1</v>
      </c>
      <c r="D93" s="142">
        <f>+'Groups Stage'!G94</f>
        <v>2</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1</v>
      </c>
      <c r="D94" s="142">
        <f>+'Groups Stage'!G95</f>
        <v>1</v>
      </c>
      <c r="E94" s="142" t="str">
        <f>+'Groups Stage'!H95</f>
        <v>Uzbekistan</v>
      </c>
      <c r="I94" s="278" t="str">
        <f t="shared" si="4"/>
        <v/>
      </c>
      <c r="J94" s="278" t="str">
        <f t="shared" si="5"/>
        <v>Portugal</v>
      </c>
      <c r="K94" s="278" t="str">
        <f t="shared" si="6"/>
        <v>Uzbekistan</v>
      </c>
      <c r="L94" s="278" t="str">
        <f t="shared" si="7"/>
        <v/>
      </c>
    </row>
    <row r="95" spans="1:12" x14ac:dyDescent="0.2">
      <c r="A95" t="str">
        <f>+'Groups Stage'!A96</f>
        <v>GK4</v>
      </c>
      <c r="B95" s="141" t="str">
        <f>+'Groups Stage'!E96</f>
        <v>Colombia</v>
      </c>
      <c r="C95">
        <f>+'Groups Stage'!F96</f>
        <v>2</v>
      </c>
      <c r="D95" s="142">
        <f>+'Groups Stage'!G96</f>
        <v>0</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1</v>
      </c>
      <c r="D96" s="142">
        <f>+'Groups Stage'!G97</f>
        <v>1</v>
      </c>
      <c r="E96" s="142" t="str">
        <f>+'Groups Stage'!H97</f>
        <v>Portugal</v>
      </c>
      <c r="I96" s="278" t="str">
        <f t="shared" si="4"/>
        <v/>
      </c>
      <c r="J96" s="278" t="str">
        <f t="shared" si="5"/>
        <v>Colombia</v>
      </c>
      <c r="K96" s="278" t="str">
        <f t="shared" si="6"/>
        <v>Portugal</v>
      </c>
      <c r="L96" s="278" t="str">
        <f t="shared" si="7"/>
        <v/>
      </c>
    </row>
    <row r="97" spans="1:13" x14ac:dyDescent="0.2">
      <c r="A97" s="7" t="str">
        <f>+'Groups Stage'!A98</f>
        <v>GK6</v>
      </c>
      <c r="B97" s="143" t="str">
        <f>+'Groups Stage'!E98</f>
        <v>Congo</v>
      </c>
      <c r="C97" s="7">
        <f>+'Groups Stage'!F98</f>
        <v>1</v>
      </c>
      <c r="D97" s="144">
        <f>+'Groups Stage'!G98</f>
        <v>1</v>
      </c>
      <c r="E97" s="144" t="str">
        <f>+'Groups Stage'!H98</f>
        <v>Uzbekistan</v>
      </c>
      <c r="I97" s="281" t="str">
        <f t="shared" si="4"/>
        <v/>
      </c>
      <c r="J97" s="281" t="str">
        <f t="shared" si="5"/>
        <v>Congo</v>
      </c>
      <c r="K97" s="281" t="str">
        <f t="shared" si="6"/>
        <v>Uzbekistan</v>
      </c>
      <c r="L97" s="281" t="str">
        <f t="shared" si="7"/>
        <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2</v>
      </c>
      <c r="D101" s="142">
        <f>+'Groups Stage'!G102</f>
        <v>0</v>
      </c>
      <c r="E101" s="142" t="str">
        <f>+'Groups Stage'!H102</f>
        <v>Croacia</v>
      </c>
      <c r="I101" s="278" t="str">
        <f t="shared" si="4"/>
        <v>Inglaterra</v>
      </c>
      <c r="J101" s="278" t="str">
        <f t="shared" si="5"/>
        <v/>
      </c>
      <c r="K101" s="278" t="str">
        <f t="shared" si="6"/>
        <v/>
      </c>
      <c r="L101" s="278" t="str">
        <f t="shared" si="7"/>
        <v>Croacia</v>
      </c>
    </row>
    <row r="102" spans="1:13" x14ac:dyDescent="0.2">
      <c r="A102" t="str">
        <f>+'Groups Stage'!A103</f>
        <v>GL2</v>
      </c>
      <c r="B102" s="141" t="str">
        <f>+'Groups Stage'!E103</f>
        <v>Ghana</v>
      </c>
      <c r="C102">
        <f>+'Groups Stage'!F103</f>
        <v>1</v>
      </c>
      <c r="D102" s="142">
        <f>+'Groups Stage'!G103</f>
        <v>1</v>
      </c>
      <c r="E102" s="142" t="str">
        <f>+'Groups Stage'!H103</f>
        <v>Panama</v>
      </c>
      <c r="I102" s="278" t="str">
        <f t="shared" si="4"/>
        <v/>
      </c>
      <c r="J102" s="278" t="str">
        <f t="shared" si="5"/>
        <v>Ghana</v>
      </c>
      <c r="K102" s="278" t="str">
        <f t="shared" si="6"/>
        <v>Panama</v>
      </c>
      <c r="L102" s="278" t="str">
        <f t="shared" si="7"/>
        <v/>
      </c>
    </row>
    <row r="103" spans="1:13" x14ac:dyDescent="0.2">
      <c r="A103" t="str">
        <f>+'Groups Stage'!A104</f>
        <v>GL3</v>
      </c>
      <c r="B103" s="141" t="str">
        <f>+'Groups Stage'!E104</f>
        <v>Inglaterra</v>
      </c>
      <c r="C103">
        <f>+'Groups Stage'!F104</f>
        <v>2</v>
      </c>
      <c r="D103" s="142">
        <f>+'Groups Stage'!G104</f>
        <v>1</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0</v>
      </c>
      <c r="D104" s="142">
        <f>+'Groups Stage'!G105</f>
        <v>1</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0</v>
      </c>
      <c r="D105" s="142">
        <f>+'Groups Stage'!G106</f>
        <v>1</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1</v>
      </c>
      <c r="D106" s="142">
        <f>+'Groups Stage'!G107</f>
        <v>0</v>
      </c>
      <c r="E106" s="142" t="str">
        <f>+'Groups Stage'!H107</f>
        <v>Ghana</v>
      </c>
      <c r="I106" s="281" t="str">
        <f t="shared" si="4"/>
        <v>Croacia</v>
      </c>
      <c r="J106" s="281" t="str">
        <f t="shared" si="5"/>
        <v/>
      </c>
      <c r="K106" s="281" t="str">
        <f t="shared" si="6"/>
        <v/>
      </c>
      <c r="L106" s="281" t="str">
        <f t="shared" si="7"/>
        <v>Ghana</v>
      </c>
    </row>
    <row r="107" spans="1:13" x14ac:dyDescent="0.2">
      <c r="A107" s="245" t="s">
        <v>213</v>
      </c>
      <c r="B107" s="246" t="str">
        <f>+_xlfn.XLOOKUP($A107,'Round of 32 &amp; Round of 16'!$A:$A,'Round of 32 &amp; Round of 16'!B:B,"-",0)</f>
        <v>Corea del Sur</v>
      </c>
      <c r="C107" s="245">
        <f>+_xlfn.XLOOKUP($A107,'Round of 32 &amp; Round of 16'!$A:$A,'Round of 32 &amp; Round of 16'!C:C,"-",0)</f>
        <v>1</v>
      </c>
      <c r="D107" s="247">
        <f>+_xlfn.XLOOKUP($A107,'Round of 32 &amp; Round of 16'!$A:$A,'Round of 32 &amp; Round of 16'!D:D,"-",0)</f>
        <v>0</v>
      </c>
      <c r="E107" s="247" t="str">
        <f>+_xlfn.XLOOKUP($A107,'Round of 32 &amp; Round of 16'!$A:$A,'Round of 32 &amp; Round of 16'!E:E,"-",0)</f>
        <v>Canada</v>
      </c>
      <c r="I107" s="282" t="str">
        <f t="shared" ref="I107:I138" si="8">IF(OR(ISBLANK(C107),ISBLANK(D107)),"",IF(C107&gt;D107,B107,IF(D107&gt;C107,E107,"")))</f>
        <v>Corea del Sur</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Canada</v>
      </c>
      <c r="M107" s="282"/>
    </row>
    <row r="108" spans="1:13" x14ac:dyDescent="0.2">
      <c r="A108" s="248" t="s">
        <v>221</v>
      </c>
      <c r="B108" s="249" t="str">
        <f>+_xlfn.XLOOKUP($A108,'Round of 32 &amp; Round of 16'!$A:$A,'Round of 32 &amp; Round of 16'!B:B,"-",0)</f>
        <v>Alemania</v>
      </c>
      <c r="C108" s="248">
        <f>+_xlfn.XLOOKUP($A108,'Round of 32 &amp; Round of 16'!$A:$A,'Round of 32 &amp; Round of 16'!C:C,"-",0)</f>
        <v>1</v>
      </c>
      <c r="D108" s="250">
        <f>+_xlfn.XLOOKUP($A108,'Round of 32 &amp; Round of 16'!$A:$A,'Round of 32 &amp; Round of 16'!D:D,"-",0)</f>
        <v>0</v>
      </c>
      <c r="E108" s="250" t="str">
        <f>+_xlfn.XLOOKUP($A108,'Round of 32 &amp; Round of 16'!$A:$A,'Round of 32 &amp; Round of 16'!E:E,"-",0)</f>
        <v>Australia</v>
      </c>
      <c r="I108" s="283" t="str">
        <f t="shared" si="8"/>
        <v>Alemania</v>
      </c>
      <c r="J108" s="283" t="str">
        <f t="shared" si="9"/>
        <v/>
      </c>
      <c r="K108" s="283" t="str">
        <f t="shared" si="10"/>
        <v/>
      </c>
      <c r="L108" s="283" t="str">
        <f t="shared" si="11"/>
        <v>Australia</v>
      </c>
      <c r="M108" s="283"/>
    </row>
    <row r="109" spans="1:13" x14ac:dyDescent="0.2">
      <c r="A109" s="248" t="s">
        <v>230</v>
      </c>
      <c r="B109" s="249" t="str">
        <f>+_xlfn.XLOOKUP($A109,'Round of 32 &amp; Round of 16'!$A:$A,'Round of 32 &amp; Round of 16'!B:B,"-",0)</f>
        <v>Japon</v>
      </c>
      <c r="C109" s="248">
        <f>+_xlfn.XLOOKUP($A109,'Round of 32 &amp; Round of 16'!$A:$A,'Round of 32 &amp; Round of 16'!C:C,"-",0)</f>
        <v>1</v>
      </c>
      <c r="D109" s="250">
        <f>+_xlfn.XLOOKUP($A109,'Round of 32 &amp; Round of 16'!$A:$A,'Round of 32 &amp; Round of 16'!D:D,"-",0)</f>
        <v>0</v>
      </c>
      <c r="E109" s="250" t="str">
        <f>+_xlfn.XLOOKUP($A109,'Round of 32 &amp; Round of 16'!$A:$A,'Round of 32 &amp; Round of 16'!E:E,"-",0)</f>
        <v>Escocia</v>
      </c>
      <c r="I109" s="283" t="str">
        <f t="shared" si="8"/>
        <v>Japon</v>
      </c>
      <c r="J109" s="283" t="str">
        <f t="shared" si="9"/>
        <v/>
      </c>
      <c r="K109" s="283" t="str">
        <f t="shared" si="10"/>
        <v/>
      </c>
      <c r="L109" s="283" t="str">
        <f t="shared" si="11"/>
        <v>Escocia</v>
      </c>
      <c r="M109" s="283"/>
    </row>
    <row r="110" spans="1:13" x14ac:dyDescent="0.2">
      <c r="A110" s="248" t="s">
        <v>239</v>
      </c>
      <c r="B110" s="249" t="str">
        <f>+_xlfn.XLOOKUP($A110,'Round of 32 &amp; Round of 16'!$A:$A,'Round of 32 &amp; Round of 16'!B:B,"-",0)</f>
        <v>Brasil</v>
      </c>
      <c r="C110" s="248">
        <f>+_xlfn.XLOOKUP($A110,'Round of 32 &amp; Round of 16'!$A:$A,'Round of 32 &amp; Round of 16'!C:C,"-",0)</f>
        <v>1</v>
      </c>
      <c r="D110" s="250">
        <f>+_xlfn.XLOOKUP($A110,'Round of 32 &amp; Round of 16'!$A:$A,'Round of 32 &amp; Round of 16'!D:D,"-",0)</f>
        <v>0</v>
      </c>
      <c r="E110" s="250" t="str">
        <f>+_xlfn.XLOOKUP($A110,'Round of 32 &amp; Round of 16'!$A:$A,'Round of 32 &amp; Round of 16'!E:E,"-",0)</f>
        <v>Suecia</v>
      </c>
      <c r="I110" s="283" t="str">
        <f t="shared" si="8"/>
        <v>Brasil</v>
      </c>
      <c r="J110" s="283" t="str">
        <f t="shared" si="9"/>
        <v/>
      </c>
      <c r="K110" s="283" t="str">
        <f t="shared" si="10"/>
        <v/>
      </c>
      <c r="L110" s="283" t="str">
        <f t="shared" si="11"/>
        <v>Suecia</v>
      </c>
      <c r="M110" s="283"/>
    </row>
    <row r="111" spans="1:13" x14ac:dyDescent="0.2">
      <c r="A111" s="248" t="s">
        <v>249</v>
      </c>
      <c r="B111" s="249" t="str">
        <f>+_xlfn.XLOOKUP($A111,'Round of 32 &amp; Round of 16'!$A:$A,'Round of 32 &amp; Round of 16'!B:B,"-",0)</f>
        <v>Francia</v>
      </c>
      <c r="C111" s="248">
        <f>+_xlfn.XLOOKUP($A111,'Round of 32 &amp; Round of 16'!$A:$A,'Round of 32 &amp; Round of 16'!C:C,"-",0)</f>
        <v>1</v>
      </c>
      <c r="D111" s="250">
        <f>+_xlfn.XLOOKUP($A111,'Round of 32 &amp; Round of 16'!$A:$A,'Round of 32 &amp; Round of 16'!D:D,"-",0)</f>
        <v>0</v>
      </c>
      <c r="E111" s="250" t="str">
        <f>+_xlfn.XLOOKUP($A111,'Round of 32 &amp; Round of 16'!$A:$A,'Round of 32 &amp; Round of 16'!E:E,"-",0)</f>
        <v>Paises Bajos</v>
      </c>
      <c r="I111" s="283" t="str">
        <f t="shared" si="8"/>
        <v>Francia</v>
      </c>
      <c r="J111" s="283" t="str">
        <f t="shared" si="9"/>
        <v/>
      </c>
      <c r="K111" s="283" t="str">
        <f t="shared" si="10"/>
        <v/>
      </c>
      <c r="L111" s="283" t="str">
        <f t="shared" si="11"/>
        <v>Paises Bajos</v>
      </c>
      <c r="M111" s="283"/>
    </row>
    <row r="112" spans="1:13" x14ac:dyDescent="0.2">
      <c r="A112" s="248" t="s">
        <v>257</v>
      </c>
      <c r="B112" s="249" t="str">
        <f>+_xlfn.XLOOKUP($A112,'Round of 32 &amp; Round of 16'!$A:$A,'Round of 32 &amp; Round of 16'!B:B,"-",0)</f>
        <v>Ecuador</v>
      </c>
      <c r="C112" s="248">
        <f>+_xlfn.XLOOKUP($A112,'Round of 32 &amp; Round of 16'!$A:$A,'Round of 32 &amp; Round of 16'!C:C,"-",0)</f>
        <v>1</v>
      </c>
      <c r="D112" s="250">
        <f>+_xlfn.XLOOKUP($A112,'Round of 32 &amp; Round of 16'!$A:$A,'Round of 32 &amp; Round of 16'!D:D,"-",0)</f>
        <v>0</v>
      </c>
      <c r="E112" s="250" t="str">
        <f>+_xlfn.XLOOKUP($A112,'Round of 32 &amp; Round of 16'!$A:$A,'Round of 32 &amp; Round of 16'!E:E,"-",0)</f>
        <v>Noruega</v>
      </c>
      <c r="I112" s="283" t="str">
        <f t="shared" si="8"/>
        <v>Ecuador</v>
      </c>
      <c r="J112" s="283" t="str">
        <f t="shared" si="9"/>
        <v/>
      </c>
      <c r="K112" s="283" t="str">
        <f t="shared" si="10"/>
        <v/>
      </c>
      <c r="L112" s="283" t="str">
        <f t="shared" si="11"/>
        <v>Noruega</v>
      </c>
      <c r="M112" s="283"/>
    </row>
    <row r="113" spans="1:13" x14ac:dyDescent="0.2">
      <c r="A113" s="248" t="s">
        <v>266</v>
      </c>
      <c r="B113" s="249" t="str">
        <f>+_xlfn.XLOOKUP($A113,'Round of 32 &amp; Round of 16'!$A:$A,'Round of 32 &amp; Round of 16'!B:B,"-",0)</f>
        <v>Mexico</v>
      </c>
      <c r="C113" s="248">
        <f>+_xlfn.XLOOKUP($A113,'Round of 32 &amp; Round of 16'!$A:$A,'Round of 32 &amp; Round of 16'!C:C,"-",0)</f>
        <v>1</v>
      </c>
      <c r="D113" s="250">
        <f>+_xlfn.XLOOKUP($A113,'Round of 32 &amp; Round of 16'!$A:$A,'Round of 32 &amp; Round of 16'!D:D,"-",0)</f>
        <v>0</v>
      </c>
      <c r="E113" s="250" t="str">
        <f>+_xlfn.XLOOKUP($A113,'Round of 32 &amp; Round of 16'!$A:$A,'Round of 32 &amp; Round of 16'!E:E,"-",0)</f>
        <v>Arabia Saudita</v>
      </c>
      <c r="I113" s="283" t="str">
        <f t="shared" si="8"/>
        <v>Mexico</v>
      </c>
      <c r="J113" s="283" t="str">
        <f t="shared" si="9"/>
        <v/>
      </c>
      <c r="K113" s="283" t="str">
        <f t="shared" si="10"/>
        <v/>
      </c>
      <c r="L113" s="283" t="str">
        <f t="shared" si="11"/>
        <v>Arabia Saudita</v>
      </c>
      <c r="M113" s="283"/>
    </row>
    <row r="114" spans="1:13" x14ac:dyDescent="0.2">
      <c r="A114" s="251" t="s">
        <v>273</v>
      </c>
      <c r="B114" s="252" t="str">
        <f>+_xlfn.XLOOKUP($A114,'Round of 32 &amp; Round of 16'!$A:$A,'Round of 32 &amp; Round of 16'!B:B,"-",0)</f>
        <v>Inglaterra</v>
      </c>
      <c r="C114" s="251">
        <f>+_xlfn.XLOOKUP($A114,'Round of 32 &amp; Round of 16'!$A:$A,'Round of 32 &amp; Round of 16'!C:C,"-",0)</f>
        <v>1</v>
      </c>
      <c r="D114" s="253">
        <f>+_xlfn.XLOOKUP($A114,'Round of 32 &amp; Round of 16'!$A:$A,'Round of 32 &amp; Round of 16'!D:D,"-",0)</f>
        <v>0</v>
      </c>
      <c r="E114" s="253" t="str">
        <f>+_xlfn.XLOOKUP($A114,'Round of 32 &amp; Round of 16'!$A:$A,'Round of 32 &amp; Round of 16'!E:E,"-",0)</f>
        <v>Uzbekistan</v>
      </c>
      <c r="I114" s="284" t="str">
        <f t="shared" si="8"/>
        <v>Inglaterra</v>
      </c>
      <c r="J114" s="284" t="str">
        <f t="shared" si="9"/>
        <v/>
      </c>
      <c r="K114" s="284" t="str">
        <f t="shared" si="10"/>
        <v/>
      </c>
      <c r="L114" s="284" t="str">
        <f t="shared" si="11"/>
        <v>Uzbekistan</v>
      </c>
      <c r="M114" s="284"/>
    </row>
    <row r="115" spans="1:13" x14ac:dyDescent="0.2">
      <c r="A115" s="248" t="s">
        <v>214</v>
      </c>
      <c r="B115" s="249" t="str">
        <f>+_xlfn.XLOOKUP($A115,'Round of 32 &amp; Round of 16'!$G:$G,'Round of 32 &amp; Round of 16'!H:H,"-",0)</f>
        <v>Paraguay</v>
      </c>
      <c r="C115" s="248">
        <f>+_xlfn.XLOOKUP($A115,'Round of 32 &amp; Round of 16'!$G:$G,'Round of 32 &amp; Round of 16'!I:I,"-",0)</f>
        <v>1</v>
      </c>
      <c r="D115" s="250">
        <f>+_xlfn.XLOOKUP($A115,'Round of 32 &amp; Round of 16'!$G:$G,'Round of 32 &amp; Round of 16'!J:J,"-",0)</f>
        <v>0</v>
      </c>
      <c r="E115" s="250" t="str">
        <f>+_xlfn.XLOOKUP($A115,'Round of 32 &amp; Round of 16'!$G:$G,'Round of 32 &amp; Round of 16'!K:K,"-",0)</f>
        <v>Bosnia</v>
      </c>
      <c r="I115" s="283" t="str">
        <f t="shared" si="8"/>
        <v>Paraguay</v>
      </c>
      <c r="J115" s="283" t="str">
        <f t="shared" si="9"/>
        <v/>
      </c>
      <c r="K115" s="283" t="str">
        <f t="shared" si="10"/>
        <v/>
      </c>
      <c r="L115" s="283" t="str">
        <f t="shared" si="11"/>
        <v>Bosnia</v>
      </c>
      <c r="M115" s="283"/>
    </row>
    <row r="116" spans="1:13" x14ac:dyDescent="0.2">
      <c r="A116" s="248" t="s">
        <v>222</v>
      </c>
      <c r="B116" s="249" t="str">
        <f>+_xlfn.XLOOKUP($A116,'Round of 32 &amp; Round of 16'!$G:$G,'Round of 32 &amp; Round of 16'!H:H,"-",0)</f>
        <v>Iran</v>
      </c>
      <c r="C116" s="248">
        <f>+_xlfn.XLOOKUP($A116,'Round of 32 &amp; Round of 16'!$G:$G,'Round of 32 &amp; Round of 16'!I:I,"-",0)</f>
        <v>0</v>
      </c>
      <c r="D116" s="250">
        <f>+_xlfn.XLOOKUP($A116,'Round of 32 &amp; Round of 16'!$G:$G,'Round of 32 &amp; Round of 16'!J:J,"-",0)</f>
        <v>1</v>
      </c>
      <c r="E116" s="250" t="str">
        <f>+_xlfn.XLOOKUP($A116,'Round of 32 &amp; Round of 16'!$G:$G,'Round of 32 &amp; Round of 16'!K:K,"-",0)</f>
        <v>Repubilca Checa</v>
      </c>
      <c r="I116" s="283" t="str">
        <f t="shared" si="8"/>
        <v>Repubilca Checa</v>
      </c>
      <c r="J116" s="283" t="str">
        <f t="shared" si="9"/>
        <v/>
      </c>
      <c r="K116" s="283" t="str">
        <f t="shared" si="10"/>
        <v/>
      </c>
      <c r="L116" s="283" t="str">
        <f t="shared" si="11"/>
        <v>Iran</v>
      </c>
      <c r="M116" s="283"/>
    </row>
    <row r="117" spans="1:13" x14ac:dyDescent="0.2">
      <c r="A117" s="248" t="s">
        <v>231</v>
      </c>
      <c r="B117" s="249" t="str">
        <f>+_xlfn.XLOOKUP($A117,'Round of 32 &amp; Round of 16'!$G:$G,'Round of 32 &amp; Round of 16'!H:H,"-",0)</f>
        <v>Portugal</v>
      </c>
      <c r="C117" s="248">
        <f>+_xlfn.XLOOKUP($A117,'Round of 32 &amp; Round of 16'!$G:$G,'Round of 32 &amp; Round of 16'!I:I,"-",0)</f>
        <v>1</v>
      </c>
      <c r="D117" s="250">
        <f>+_xlfn.XLOOKUP($A117,'Round of 32 &amp; Round of 16'!$G:$G,'Round of 32 &amp; Round of 16'!J:J,"-",0)</f>
        <v>0</v>
      </c>
      <c r="E117" s="250" t="str">
        <f>+_xlfn.XLOOKUP($A117,'Round of 32 &amp; Round of 16'!$G:$G,'Round of 32 &amp; Round of 16'!K:K,"-",0)</f>
        <v>Croacia</v>
      </c>
      <c r="I117" s="283" t="str">
        <f t="shared" si="8"/>
        <v>Portugal</v>
      </c>
      <c r="J117" s="283" t="str">
        <f t="shared" si="9"/>
        <v/>
      </c>
      <c r="K117" s="283" t="str">
        <f t="shared" si="10"/>
        <v/>
      </c>
      <c r="L117" s="283" t="str">
        <f t="shared" si="11"/>
        <v>Croacia</v>
      </c>
      <c r="M117" s="283"/>
    </row>
    <row r="118" spans="1:13" x14ac:dyDescent="0.2">
      <c r="A118" s="248" t="s">
        <v>240</v>
      </c>
      <c r="B118" s="249" t="str">
        <f>+_xlfn.XLOOKUP($A118,'Round of 32 &amp; Round of 16'!$G:$G,'Round of 32 &amp; Round of 16'!H:H,"-",0)</f>
        <v>España</v>
      </c>
      <c r="C118" s="248">
        <f>+_xlfn.XLOOKUP($A118,'Round of 32 &amp; Round of 16'!$G:$G,'Round of 32 &amp; Round of 16'!I:I,"-",0)</f>
        <v>1</v>
      </c>
      <c r="D118" s="250">
        <f>+_xlfn.XLOOKUP($A118,'Round of 32 &amp; Round of 16'!$G:$G,'Round of 32 &amp; Round of 16'!J:J,"-",0)</f>
        <v>0</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
      <c r="A119" s="248" t="s">
        <v>250</v>
      </c>
      <c r="B119" s="249" t="str">
        <f>+_xlfn.XLOOKUP($A119,'Round of 32 &amp; Round of 16'!$G:$G,'Round of 32 &amp; Round of 16'!H:H,"-",0)</f>
        <v>Suiza</v>
      </c>
      <c r="C119" s="248">
        <f>+_xlfn.XLOOKUP($A119,'Round of 32 &amp; Round of 16'!$G:$G,'Round of 32 &amp; Round of 16'!I:I,"-",0)</f>
        <v>1</v>
      </c>
      <c r="D119" s="250">
        <f>+_xlfn.XLOOKUP($A119,'Round of 32 &amp; Round of 16'!$G:$G,'Round of 32 &amp; Round of 16'!J:J,"-",0)</f>
        <v>0</v>
      </c>
      <c r="E119" s="250" t="str">
        <f>+_xlfn.XLOOKUP($A119,'Round of 32 &amp; Round of 16'!$G:$G,'Round of 32 &amp; Round of 16'!K:K,"-",0)</f>
        <v>Egipto</v>
      </c>
      <c r="I119" s="283" t="str">
        <f t="shared" si="8"/>
        <v>Suiza</v>
      </c>
      <c r="J119" s="283" t="str">
        <f t="shared" si="9"/>
        <v/>
      </c>
      <c r="K119" s="283" t="str">
        <f t="shared" si="10"/>
        <v/>
      </c>
      <c r="L119" s="283" t="str">
        <f t="shared" si="11"/>
        <v>Egipto</v>
      </c>
      <c r="M119" s="283"/>
    </row>
    <row r="120" spans="1:13" x14ac:dyDescent="0.2">
      <c r="A120" s="248" t="s">
        <v>258</v>
      </c>
      <c r="B120" s="249" t="str">
        <f>+_xlfn.XLOOKUP($A120,'Round of 32 &amp; Round of 16'!$G:$G,'Round of 32 &amp; Round of 16'!H:H,"-",0)</f>
        <v>Argentina</v>
      </c>
      <c r="C120" s="248">
        <f>+_xlfn.XLOOKUP($A120,'Round of 32 &amp; Round of 16'!$G:$G,'Round of 32 &amp; Round of 16'!I:I,"-",0)</f>
        <v>1</v>
      </c>
      <c r="D120" s="250">
        <f>+_xlfn.XLOOKUP($A120,'Round of 32 &amp; Round of 16'!$G:$G,'Round of 32 &amp; Round of 16'!J:J,"-",0)</f>
        <v>0</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
      <c r="A121" s="248" t="s">
        <v>267</v>
      </c>
      <c r="B121" s="249" t="str">
        <f>+_xlfn.XLOOKUP($A121,'Round of 32 &amp; Round of 16'!$G:$G,'Round of 32 &amp; Round of 16'!H:H,"-",0)</f>
        <v>Colombia</v>
      </c>
      <c r="C121" s="248">
        <f>+_xlfn.XLOOKUP($A121,'Round of 32 &amp; Round of 16'!$G:$G,'Round of 32 &amp; Round of 16'!I:I,"-",0)</f>
        <v>1</v>
      </c>
      <c r="D121" s="250">
        <f>+_xlfn.XLOOKUP($A121,'Round of 32 &amp; Round of 16'!$G:$G,'Round of 32 &amp; Round of 16'!J:J,"-",0)</f>
        <v>0</v>
      </c>
      <c r="E121" s="250" t="str">
        <f>+_xlfn.XLOOKUP($A121,'Round of 32 &amp; Round of 16'!$G:$G,'Round of 32 &amp; Round of 16'!K:K,"-",0)</f>
        <v>Senegal</v>
      </c>
      <c r="I121" s="283" t="str">
        <f t="shared" si="8"/>
        <v>Colombia</v>
      </c>
      <c r="J121" s="283" t="str">
        <f t="shared" si="9"/>
        <v/>
      </c>
      <c r="K121" s="283" t="str">
        <f t="shared" si="10"/>
        <v/>
      </c>
      <c r="L121" s="283" t="str">
        <f t="shared" si="11"/>
        <v>Senegal</v>
      </c>
      <c r="M121" s="283"/>
    </row>
    <row r="122" spans="1:13" x14ac:dyDescent="0.2">
      <c r="A122" s="251" t="s">
        <v>274</v>
      </c>
      <c r="B122" s="252" t="str">
        <f>+_xlfn.XLOOKUP($A122,'Round of 32 &amp; Round of 16'!$G:$G,'Round of 32 &amp; Round of 16'!H:H,"-",0)</f>
        <v>Estados Unidos</v>
      </c>
      <c r="C122" s="251">
        <f>+_xlfn.XLOOKUP($A122,'Round of 32 &amp; Round of 16'!$G:$G,'Round of 32 &amp; Round of 16'!I:I,"-",0)</f>
        <v>1</v>
      </c>
      <c r="D122" s="253">
        <f>+_xlfn.XLOOKUP($A122,'Round of 32 &amp; Round of 16'!$G:$G,'Round of 32 &amp; Round of 16'!J:J,"-",0)</f>
        <v>0</v>
      </c>
      <c r="E122" s="253" t="str">
        <f>+_xlfn.XLOOKUP($A122,'Round of 32 &amp; Round of 16'!$G:$G,'Round of 32 &amp; Round of 16'!K:K,"-",0)</f>
        <v>Belgica</v>
      </c>
      <c r="I122" s="284" t="str">
        <f t="shared" si="8"/>
        <v>Estados Unidos</v>
      </c>
      <c r="J122" s="284" t="str">
        <f t="shared" si="9"/>
        <v/>
      </c>
      <c r="K122" s="284" t="str">
        <f t="shared" si="10"/>
        <v/>
      </c>
      <c r="L122" s="284" t="str">
        <f t="shared" si="11"/>
        <v>Belgica</v>
      </c>
      <c r="M122" s="284"/>
    </row>
    <row r="123" spans="1:13" x14ac:dyDescent="0.2">
      <c r="A123" s="254" t="s">
        <v>215</v>
      </c>
      <c r="B123" s="255" t="str">
        <f>+_xlfn.XLOOKUP($A123,'Round of 32 &amp; Round of 16'!$O:$O,'Round of 32 &amp; Round of 16'!P:P,"-",0)</f>
        <v>Alemania</v>
      </c>
      <c r="C123" s="254">
        <f>+_xlfn.XLOOKUP($A123,'Round of 32 &amp; Round of 16'!$O:$O,'Round of 32 &amp; Round of 16'!Q:Q,"-",0)</f>
        <v>0</v>
      </c>
      <c r="D123" s="256">
        <f>+_xlfn.XLOOKUP($A123,'Round of 32 &amp; Round of 16'!$O:$O,'Round of 32 &amp; Round of 16'!R:R,"-",0)</f>
        <v>1</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
      <c r="A124" s="257" t="s">
        <v>232</v>
      </c>
      <c r="B124" s="258" t="str">
        <f>+_xlfn.XLOOKUP($A124,'Round of 32 &amp; Round of 16'!$O:$O,'Round of 32 &amp; Round of 16'!P:P,"-",0)</f>
        <v>Corea del Sur</v>
      </c>
      <c r="C124" s="257">
        <f>+_xlfn.XLOOKUP($A124,'Round of 32 &amp; Round of 16'!$O:$O,'Round of 32 &amp; Round of 16'!Q:Q,"-",0)</f>
        <v>1</v>
      </c>
      <c r="D124" s="259">
        <f>+_xlfn.XLOOKUP($A124,'Round of 32 &amp; Round of 16'!$O:$O,'Round of 32 &amp; Round of 16'!R:R,"-",0)</f>
        <v>0</v>
      </c>
      <c r="E124" s="259" t="str">
        <f>+_xlfn.XLOOKUP($A124,'Round of 32 &amp; Round of 16'!$O:$O,'Round of 32 &amp; Round of 16'!S:S,"-",0)</f>
        <v>Japon</v>
      </c>
      <c r="I124" s="283" t="str">
        <f t="shared" si="8"/>
        <v>Corea del Sur</v>
      </c>
      <c r="J124" s="283" t="str">
        <f t="shared" si="9"/>
        <v/>
      </c>
      <c r="K124" s="283" t="str">
        <f t="shared" si="10"/>
        <v/>
      </c>
      <c r="L124" s="283" t="str">
        <f t="shared" si="11"/>
        <v>Japon</v>
      </c>
      <c r="M124" s="283"/>
    </row>
    <row r="125" spans="1:13" x14ac:dyDescent="0.2">
      <c r="A125" s="257" t="s">
        <v>251</v>
      </c>
      <c r="B125" s="258" t="str">
        <f>+_xlfn.XLOOKUP($A125,'Round of 32 &amp; Round of 16'!$O:$O,'Round of 32 &amp; Round of 16'!P:P,"-",0)</f>
        <v>Brasil</v>
      </c>
      <c r="C125" s="257">
        <f>+_xlfn.XLOOKUP($A125,'Round of 32 &amp; Round of 16'!$O:$O,'Round of 32 &amp; Round of 16'!Q:Q,"-",0)</f>
        <v>1</v>
      </c>
      <c r="D125" s="259">
        <f>+_xlfn.XLOOKUP($A125,'Round of 32 &amp; Round of 16'!$O:$O,'Round of 32 &amp; Round of 16'!R:R,"-",0)</f>
        <v>0</v>
      </c>
      <c r="E125" s="259" t="str">
        <f>+_xlfn.XLOOKUP($A125,'Round of 32 &amp; Round of 16'!$O:$O,'Round of 32 &amp; Round of 16'!S:S,"-",0)</f>
        <v>Ecuador</v>
      </c>
      <c r="I125" s="283" t="str">
        <f t="shared" si="8"/>
        <v>Brasil</v>
      </c>
      <c r="J125" s="283" t="str">
        <f t="shared" si="9"/>
        <v/>
      </c>
      <c r="K125" s="283" t="str">
        <f t="shared" si="10"/>
        <v/>
      </c>
      <c r="L125" s="283" t="str">
        <f t="shared" si="11"/>
        <v>Ecuador</v>
      </c>
      <c r="M125" s="283"/>
    </row>
    <row r="126" spans="1:13" x14ac:dyDescent="0.2">
      <c r="A126" s="260" t="s">
        <v>268</v>
      </c>
      <c r="B126" s="261" t="str">
        <f>+_xlfn.XLOOKUP($A126,'Round of 32 &amp; Round of 16'!$O:$O,'Round of 32 &amp; Round of 16'!P:P,"-",0)</f>
        <v>Mexico</v>
      </c>
      <c r="C126" s="260">
        <f>+_xlfn.XLOOKUP($A126,'Round of 32 &amp; Round of 16'!$O:$O,'Round of 32 &amp; Round of 16'!Q:Q,"-",0)</f>
        <v>0</v>
      </c>
      <c r="D126" s="262">
        <f>+_xlfn.XLOOKUP($A126,'Round of 32 &amp; Round of 16'!$O:$O,'Round of 32 &amp; Round of 16'!R:R,"-",0)</f>
        <v>1</v>
      </c>
      <c r="E126" s="262" t="str">
        <f>+_xlfn.XLOOKUP($A126,'Round of 32 &amp; Round of 16'!$O:$O,'Round of 32 &amp; Round of 16'!S:S,"-",0)</f>
        <v>Inglaterra</v>
      </c>
      <c r="I126" s="284" t="str">
        <f t="shared" si="8"/>
        <v>Inglaterra</v>
      </c>
      <c r="J126" s="284" t="str">
        <f t="shared" si="9"/>
        <v/>
      </c>
      <c r="K126" s="284" t="str">
        <f t="shared" si="10"/>
        <v/>
      </c>
      <c r="L126" s="284" t="str">
        <f t="shared" si="11"/>
        <v>Mexico</v>
      </c>
      <c r="M126" s="284"/>
    </row>
    <row r="127" spans="1:13" x14ac:dyDescent="0.2">
      <c r="A127" s="254" t="s">
        <v>216</v>
      </c>
      <c r="B127" s="255" t="str">
        <f>+_xlfn.XLOOKUP($A127,'Round of 32 &amp; Round of 16'!$U:$U,'Round of 32 &amp; Round of 16'!V:V,"-",0)</f>
        <v>Portugal</v>
      </c>
      <c r="C127" s="254">
        <f>+_xlfn.XLOOKUP($A127,'Round of 32 &amp; Round of 16'!$U:$U,'Round of 32 &amp; Round of 16'!W:W,"-",0)</f>
        <v>0</v>
      </c>
      <c r="D127" s="256">
        <f>+_xlfn.XLOOKUP($A127,'Round of 32 &amp; Round of 16'!$U:$U,'Round of 32 &amp; Round of 16'!X:X,"-",0)</f>
        <v>1</v>
      </c>
      <c r="E127" s="256" t="str">
        <f>+_xlfn.XLOOKUP($A127,'Round of 32 &amp; Round of 16'!$U:$U,'Round of 32 &amp; Round of 16'!Y:Y,"-",0)</f>
        <v>España</v>
      </c>
      <c r="I127" s="282" t="str">
        <f t="shared" si="8"/>
        <v>España</v>
      </c>
      <c r="J127" s="282" t="str">
        <f t="shared" si="9"/>
        <v/>
      </c>
      <c r="K127" s="282" t="str">
        <f t="shared" si="10"/>
        <v/>
      </c>
      <c r="L127" s="282" t="str">
        <f t="shared" si="11"/>
        <v>Portugal</v>
      </c>
      <c r="M127" s="282"/>
    </row>
    <row r="128" spans="1:13" x14ac:dyDescent="0.2">
      <c r="A128" s="257" t="s">
        <v>233</v>
      </c>
      <c r="B128" s="258" t="str">
        <f>+_xlfn.XLOOKUP($A128,'Round of 32 &amp; Round of 16'!$U:$U,'Round of 32 &amp; Round of 16'!V:V,"-",0)</f>
        <v>Paraguay</v>
      </c>
      <c r="C128" s="257">
        <f>+_xlfn.XLOOKUP($A128,'Round of 32 &amp; Round of 16'!$U:$U,'Round of 32 &amp; Round of 16'!W:W,"-",0)</f>
        <v>1</v>
      </c>
      <c r="D128" s="259">
        <f>+_xlfn.XLOOKUP($A128,'Round of 32 &amp; Round of 16'!$U:$U,'Round of 32 &amp; Round of 16'!X:X,"-",0)</f>
        <v>0</v>
      </c>
      <c r="E128" s="259" t="str">
        <f>+_xlfn.XLOOKUP($A128,'Round of 32 &amp; Round of 16'!$U:$U,'Round of 32 &amp; Round of 16'!Y:Y,"-",0)</f>
        <v>Repubilca Checa</v>
      </c>
      <c r="I128" s="283" t="str">
        <f t="shared" si="8"/>
        <v>Paraguay</v>
      </c>
      <c r="J128" s="283" t="str">
        <f t="shared" si="9"/>
        <v/>
      </c>
      <c r="K128" s="283" t="str">
        <f t="shared" si="10"/>
        <v/>
      </c>
      <c r="L128" s="283" t="str">
        <f t="shared" si="11"/>
        <v>Repubilca Checa</v>
      </c>
      <c r="M128" s="283"/>
    </row>
    <row r="129" spans="1:13" x14ac:dyDescent="0.2">
      <c r="A129" s="257" t="s">
        <v>252</v>
      </c>
      <c r="B129" s="258" t="str">
        <f>+_xlfn.XLOOKUP($A129,'Round of 32 &amp; Round of 16'!$U:$U,'Round of 32 &amp; Round of 16'!V:V,"-",0)</f>
        <v>Argentina</v>
      </c>
      <c r="C129" s="257">
        <f>+_xlfn.XLOOKUP($A129,'Round of 32 &amp; Round of 16'!$U:$U,'Round of 32 &amp; Round of 16'!W:W,"-",0)</f>
        <v>1</v>
      </c>
      <c r="D129" s="259">
        <f>+_xlfn.XLOOKUP($A129,'Round of 32 &amp; Round of 16'!$U:$U,'Round of 32 &amp; Round of 16'!X:X,"-",0)</f>
        <v>0</v>
      </c>
      <c r="E129" s="259" t="str">
        <f>+_xlfn.XLOOKUP($A129,'Round of 32 &amp; Round of 16'!$U:$U,'Round of 32 &amp; Round of 16'!Y:Y,"-",0)</f>
        <v>Estados Unidos</v>
      </c>
      <c r="I129" s="283" t="str">
        <f t="shared" si="8"/>
        <v>Argentina</v>
      </c>
      <c r="J129" s="283" t="str">
        <f t="shared" si="9"/>
        <v/>
      </c>
      <c r="K129" s="283" t="str">
        <f t="shared" si="10"/>
        <v/>
      </c>
      <c r="L129" s="283" t="str">
        <f t="shared" si="11"/>
        <v>Estados Unidos</v>
      </c>
      <c r="M129" s="283"/>
    </row>
    <row r="130" spans="1:13" x14ac:dyDescent="0.2">
      <c r="A130" s="260" t="s">
        <v>269</v>
      </c>
      <c r="B130" s="261" t="str">
        <f>+_xlfn.XLOOKUP($A130,'Round of 32 &amp; Round of 16'!$U:$U,'Round of 32 &amp; Round of 16'!V:V,"-",0)</f>
        <v>Suiza</v>
      </c>
      <c r="C130" s="260">
        <f>+_xlfn.XLOOKUP($A130,'Round of 32 &amp; Round of 16'!$U:$U,'Round of 32 &amp; Round of 16'!W:W,"-",0)</f>
        <v>0</v>
      </c>
      <c r="D130" s="262">
        <f>+_xlfn.XLOOKUP($A130,'Round of 32 &amp; Round of 16'!$U:$U,'Round of 32 &amp; Round of 16'!X:X,"-",0)</f>
        <v>1</v>
      </c>
      <c r="E130" s="262" t="str">
        <f>+_xlfn.XLOOKUP($A130,'Round of 32 &amp; Round of 16'!$U:$U,'Round of 32 &amp; Round of 16'!Y:Y,"-",0)</f>
        <v>Colombia</v>
      </c>
      <c r="I130" s="284" t="str">
        <f t="shared" si="8"/>
        <v>Colombia</v>
      </c>
      <c r="J130" s="284" t="str">
        <f t="shared" si="9"/>
        <v/>
      </c>
      <c r="K130" s="284" t="str">
        <f t="shared" si="10"/>
        <v/>
      </c>
      <c r="L130" s="284" t="str">
        <f t="shared" si="11"/>
        <v>Suiza</v>
      </c>
      <c r="M130" s="284"/>
    </row>
    <row r="131" spans="1:13" x14ac:dyDescent="0.2">
      <c r="A131" s="263" t="s">
        <v>277</v>
      </c>
      <c r="B131" s="264" t="str" cm="1">
        <f t="array" ref="B131:E131">+_xlfn.XLOOKUP($A131,'Quarter, Semis &amp; Final'!$A:$A,'Quarter, Semis &amp; Final'!B:E,"-",0)</f>
        <v>Francia</v>
      </c>
      <c r="C131" s="263">
        <v>1</v>
      </c>
      <c r="D131" s="198">
        <v>0</v>
      </c>
      <c r="E131" s="198" t="str">
        <v>Corea del Sur</v>
      </c>
      <c r="I131" s="283" t="str">
        <f t="shared" si="8"/>
        <v>Francia</v>
      </c>
      <c r="J131" s="282" t="str">
        <f t="shared" si="9"/>
        <v/>
      </c>
      <c r="K131" s="283" t="str">
        <f t="shared" si="10"/>
        <v/>
      </c>
      <c r="L131" s="283" t="str">
        <f t="shared" si="11"/>
        <v>Corea del Sur</v>
      </c>
      <c r="M131" s="283"/>
    </row>
    <row r="132" spans="1:13" x14ac:dyDescent="0.2">
      <c r="A132" s="263" t="s">
        <v>282</v>
      </c>
      <c r="B132" s="265" t="str" cm="1">
        <f t="array" ref="B132:E132">+_xlfn.XLOOKUP($A132,'Quarter, Semis &amp; Final'!$A:$A,'Quarter, Semis &amp; Final'!B:E,"-",0)</f>
        <v>España</v>
      </c>
      <c r="C132" s="263">
        <v>1</v>
      </c>
      <c r="D132" s="198">
        <v>0</v>
      </c>
      <c r="E132" s="198" t="str">
        <v>Paraguay</v>
      </c>
      <c r="I132" s="283" t="str">
        <f t="shared" si="8"/>
        <v>España</v>
      </c>
      <c r="J132" s="283" t="str">
        <f t="shared" si="9"/>
        <v/>
      </c>
      <c r="K132" s="283" t="str">
        <f t="shared" si="10"/>
        <v/>
      </c>
      <c r="L132" s="283" t="str">
        <f t="shared" si="11"/>
        <v>Paraguay</v>
      </c>
      <c r="M132" s="283"/>
    </row>
    <row r="133" spans="1:13" x14ac:dyDescent="0.2">
      <c r="A133" s="263" t="s">
        <v>278</v>
      </c>
      <c r="B133" s="265" t="str" cm="1">
        <f t="array" ref="B133:E133">+_xlfn.XLOOKUP($A133,'Quarter, Semis &amp; Final'!$G:$G,'Quarter, Semis &amp; Final'!H:K,"-",0)</f>
        <v>Brasil</v>
      </c>
      <c r="C133" s="263">
        <v>1</v>
      </c>
      <c r="D133" s="198">
        <v>0</v>
      </c>
      <c r="E133" s="198" t="str">
        <v>Inglaterra</v>
      </c>
      <c r="I133" s="283" t="str">
        <f t="shared" si="8"/>
        <v>Brasil</v>
      </c>
      <c r="J133" s="283" t="str">
        <f t="shared" si="9"/>
        <v/>
      </c>
      <c r="K133" s="283" t="str">
        <f t="shared" si="10"/>
        <v/>
      </c>
      <c r="L133" s="283" t="str">
        <f t="shared" si="11"/>
        <v>Inglaterra</v>
      </c>
      <c r="M133" s="283"/>
    </row>
    <row r="134" spans="1:13" x14ac:dyDescent="0.2">
      <c r="A134" s="263" t="s">
        <v>283</v>
      </c>
      <c r="B134" s="265" t="str" cm="1">
        <f t="array" ref="B134:E134">+_xlfn.XLOOKUP($A134,'Quarter, Semis &amp; Final'!$G:$G,'Quarter, Semis &amp; Final'!H:K,"-",0)</f>
        <v>Argentina</v>
      </c>
      <c r="C134" s="263">
        <v>1</v>
      </c>
      <c r="D134" s="198">
        <v>0</v>
      </c>
      <c r="E134" s="198" t="str">
        <v>Colombia</v>
      </c>
      <c r="I134" s="283" t="str">
        <f t="shared" si="8"/>
        <v>Argentina</v>
      </c>
      <c r="J134" s="283" t="str">
        <f t="shared" si="9"/>
        <v/>
      </c>
      <c r="K134" s="283" t="str">
        <f t="shared" si="10"/>
        <v/>
      </c>
      <c r="L134" s="283" t="str">
        <f t="shared" si="11"/>
        <v>Colombia</v>
      </c>
      <c r="M134" s="283"/>
    </row>
    <row r="135" spans="1:13" x14ac:dyDescent="0.2">
      <c r="A135" s="211" t="s">
        <v>287</v>
      </c>
      <c r="B135" s="266" t="str" cm="1">
        <f t="array" ref="B135:E135">+_xlfn.XLOOKUP($A135,'Quarter, Semis &amp; Final'!$A:$A,'Quarter, Semis &amp; Final'!B:E,"-",0)</f>
        <v>Francia</v>
      </c>
      <c r="C135" s="211">
        <v>1</v>
      </c>
      <c r="D135" s="210">
        <v>0</v>
      </c>
      <c r="E135" s="210" t="str">
        <v>España</v>
      </c>
      <c r="I135" s="283" t="str">
        <f t="shared" si="8"/>
        <v>Francia</v>
      </c>
      <c r="J135" s="283" t="str">
        <f t="shared" si="9"/>
        <v/>
      </c>
      <c r="K135" s="283" t="str">
        <f t="shared" si="10"/>
        <v/>
      </c>
      <c r="L135" s="283" t="str">
        <f t="shared" si="11"/>
        <v>España</v>
      </c>
      <c r="M135" s="283"/>
    </row>
    <row r="136" spans="1:13" x14ac:dyDescent="0.2">
      <c r="A136" s="211" t="s">
        <v>288</v>
      </c>
      <c r="B136" s="266" t="str" cm="1">
        <f t="array" ref="B136:E136">+_xlfn.XLOOKUP($A136,'Quarter, Semis &amp; Final'!$G:$G,'Quarter, Semis &amp; Final'!H:K,"-",0)</f>
        <v>Brasil</v>
      </c>
      <c r="C136" s="211">
        <v>0</v>
      </c>
      <c r="D136" s="210">
        <v>1</v>
      </c>
      <c r="E136" s="210" t="str">
        <v>Argentina</v>
      </c>
      <c r="I136" s="283" t="str">
        <f t="shared" si="8"/>
        <v>Argentina</v>
      </c>
      <c r="J136" s="283" t="str">
        <f t="shared" si="9"/>
        <v/>
      </c>
      <c r="K136" s="283" t="str">
        <f t="shared" si="10"/>
        <v/>
      </c>
      <c r="L136" s="283" t="str">
        <f t="shared" si="11"/>
        <v>Brasil</v>
      </c>
      <c r="M136" s="283"/>
    </row>
    <row r="137" spans="1:13" x14ac:dyDescent="0.2">
      <c r="A137" s="267" t="s">
        <v>286</v>
      </c>
      <c r="B137" s="268" t="str">
        <f>+'Quarter, Semis &amp; Final'!P13</f>
        <v>España</v>
      </c>
      <c r="C137" s="267">
        <f>+'Quarter, Semis &amp; Final'!Q13</f>
        <v>1</v>
      </c>
      <c r="D137" s="272">
        <f>+'Quarter, Semis &amp; Final'!R13</f>
        <v>0</v>
      </c>
      <c r="E137" s="272" t="str">
        <f>+'Quarter, Semis &amp; Final'!S13</f>
        <v>Brasil</v>
      </c>
      <c r="I137" s="283" t="str">
        <f t="shared" si="8"/>
        <v>España</v>
      </c>
      <c r="J137" s="283" t="str">
        <f t="shared" si="9"/>
        <v/>
      </c>
      <c r="K137" s="283" t="str">
        <f t="shared" si="10"/>
        <v/>
      </c>
      <c r="L137" s="283" t="str">
        <f t="shared" si="11"/>
        <v>Brasil</v>
      </c>
      <c r="M137" s="283"/>
    </row>
    <row r="138" spans="1:13" x14ac:dyDescent="0.2">
      <c r="A138" s="269" t="s">
        <v>279</v>
      </c>
      <c r="B138" s="270" t="str">
        <f>+'Quarter, Semis &amp; Final'!P4</f>
        <v>Francia</v>
      </c>
      <c r="C138" s="270">
        <f>+'Quarter, Semis &amp; Final'!Q4</f>
        <v>0</v>
      </c>
      <c r="D138" s="271">
        <f>+'Quarter, Semis &amp; Final'!R4</f>
        <v>1</v>
      </c>
      <c r="E138" s="271" t="str">
        <f>+'Quarter, Semis &amp; Final'!S4</f>
        <v>Argentina</v>
      </c>
      <c r="I138" s="284" t="str">
        <f t="shared" si="8"/>
        <v>Argentina</v>
      </c>
      <c r="J138" s="284" t="str">
        <f t="shared" si="9"/>
        <v/>
      </c>
      <c r="K138" s="284" t="str">
        <f t="shared" si="10"/>
        <v/>
      </c>
      <c r="L138" s="284" t="str">
        <f t="shared" si="11"/>
        <v>Francia</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3H</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3K</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3I</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5</v>
      </c>
      <c r="AA2" s="11" t="str">
        <f>+BL2</f>
        <v>b</v>
      </c>
      <c r="AC2" s="6" t="s">
        <v>332</v>
      </c>
      <c r="AD2" s="6" t="str">
        <f>+_xlfn.XLOOKUP(8,$Y:$Y,Q:Q,"Error",0)</f>
        <v>H</v>
      </c>
      <c r="AE2" s="6" t="str">
        <f t="shared" ref="AE2:AK2" si="10">+_xlfn.XLOOKUP(8,$Y:$Y,R:R,"Error",0)</f>
        <v>G</v>
      </c>
      <c r="AF2" s="6" t="str">
        <f t="shared" si="10"/>
        <v>B</v>
      </c>
      <c r="AG2" s="6" t="str">
        <f t="shared" si="10"/>
        <v>D</v>
      </c>
      <c r="AH2" s="6" t="str">
        <f t="shared" si="10"/>
        <v>A</v>
      </c>
      <c r="AI2" s="6" t="str">
        <f t="shared" si="10"/>
        <v>F</v>
      </c>
      <c r="AJ2" s="6" t="str">
        <f t="shared" si="10"/>
        <v>I</v>
      </c>
      <c r="AK2" s="6" t="str">
        <f t="shared" si="10"/>
        <v>K</v>
      </c>
      <c r="AO2" t="s">
        <v>333</v>
      </c>
      <c r="AP2" t="str">
        <f>+_xlfn.XLOOKUP($AO2,'Groups Stage'!$Y:$Y,'Groups Stage'!Z:Z,"-",0)</f>
        <v>Repubilca Checa</v>
      </c>
      <c r="AQ2" s="6">
        <f>+_xlfn.XLOOKUP($AO2,'Groups Stage'!$Y:$Y,'Groups Stage'!AA:AA,"-",0)</f>
        <v>3</v>
      </c>
      <c r="AR2" s="6">
        <f>+_xlfn.XLOOKUP($AO2,'Groups Stage'!$Y:$Y,'Groups Stage'!AB:AB,"-",0)</f>
        <v>0</v>
      </c>
      <c r="AS2" s="6">
        <f>+_xlfn.XLOOKUP($AO2,'Groups Stage'!$Y:$Y,'Groups Stage'!AC:AC,"-",0)</f>
        <v>2</v>
      </c>
      <c r="AT2" s="6">
        <f>+_xlfn.XLOOKUP($AO2,'Groups Stage'!$Y:$Y,'Groups Stage'!AD:AD,"-",0)</f>
        <v>1</v>
      </c>
      <c r="AU2" s="6">
        <f>+_xlfn.XLOOKUP($AO2,'Groups Stage'!$Y:$Y,'Groups Stage'!AE:AE,"-",0)</f>
        <v>-1</v>
      </c>
      <c r="AV2" s="6">
        <f>+_xlfn.XLOOKUP($AO2,'Groups Stage'!$Y:$Y,'Groups Stage'!AF:AF,"-",0)</f>
        <v>1</v>
      </c>
      <c r="AW2" s="6">
        <f>+_xlfn.XLOOKUP($AO2,'Groups Stage'!$Y:$Y,'Groups Stage'!AG:AG,"-",0)</f>
        <v>2</v>
      </c>
      <c r="AX2" s="6">
        <f>+AR2*3+AS2+AU2/100+AV2/10000</f>
        <v>1.9901</v>
      </c>
      <c r="AY2" s="19">
        <f>+AX2+ROW()/10000000000</f>
        <v>1.9901000002</v>
      </c>
      <c r="AZ2" s="22" t="str">
        <f>+'Groups Stage'!CX2</f>
        <v xml:space="preserve"> - </v>
      </c>
      <c r="BA2" s="19">
        <f>+AY2+IF(AZ2="IN",1/100000000,0)</f>
        <v>1.9901000002</v>
      </c>
      <c r="BB2" s="19"/>
      <c r="BC2" s="19">
        <f>+LARGE($AY$2:$AY$13,ROW()-1)</f>
        <v>4.0002000003000004</v>
      </c>
      <c r="BD2" s="20" t="str">
        <f>IF($AQ$15="DONE",_xlfn.XLOOKUP(BC2,$AY$2:$AY$13,$AP$2:$AP$13,"-",0),"--")</f>
        <v>Bosnia</v>
      </c>
      <c r="BE2">
        <f>+_xlfn.XLOOKUP(BD2,$AP$2:$AP$13,$AX$2:$AX$13,"-",0)</f>
        <v>4.0002000000000004</v>
      </c>
      <c r="BF2" s="6" t="str">
        <f t="shared" ref="BF2:BF9" si="11">+IF(COUNTIF($BE$10:$BE$13,BE2)=0,"-","x")</f>
        <v>-</v>
      </c>
      <c r="BG2" t="str">
        <f>+IF(BF2="x","Draw - Select","IN")</f>
        <v>IN</v>
      </c>
      <c r="BI2" s="19">
        <f>+LARGE($BA$2:$BA$13,ROW()-1)</f>
        <v>4.0002000003000004</v>
      </c>
      <c r="BJ2" s="20" t="str">
        <f>IF($AQ$15="DONE",_xlfn.XLOOKUP(BI2,$BA$2:$BA$13,$AP$2:$AP$13,"-",0),"--")</f>
        <v>Bosnia</v>
      </c>
      <c r="BK2" s="20" t="str">
        <f>IF($AQ$15="DONE",_xlfn.XLOOKUP(BI2,$BA$2:$BA$13,$AO$2:$AO$13,"-",0),"--")</f>
        <v>3B</v>
      </c>
      <c r="BL2" t="str">
        <f>+LOWER(RIGHT(BK2,1))</f>
        <v>b</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6</v>
      </c>
      <c r="AA3" s="11" t="str">
        <f t="shared" ref="AA3:AA9" si="14">+BL3</f>
        <v>g</v>
      </c>
      <c r="AC3" s="6"/>
      <c r="AD3" s="6" t="str">
        <f>+"3"&amp;AD2</f>
        <v>3H</v>
      </c>
      <c r="AE3" s="6" t="str">
        <f t="shared" ref="AE3:AK3" si="15">+"3"&amp;AE2</f>
        <v>3G</v>
      </c>
      <c r="AF3" s="6" t="str">
        <f t="shared" si="15"/>
        <v>3B</v>
      </c>
      <c r="AG3" s="6" t="str">
        <f t="shared" si="15"/>
        <v>3D</v>
      </c>
      <c r="AH3" s="6" t="str">
        <f t="shared" si="15"/>
        <v>3A</v>
      </c>
      <c r="AI3" s="6" t="str">
        <f t="shared" si="15"/>
        <v>3F</v>
      </c>
      <c r="AJ3" s="6" t="str">
        <f t="shared" si="15"/>
        <v>3I</v>
      </c>
      <c r="AK3" s="6" t="str">
        <f t="shared" si="15"/>
        <v>3K</v>
      </c>
      <c r="AO3" t="s">
        <v>336</v>
      </c>
      <c r="AP3" t="str">
        <f>+_xlfn.XLOOKUP($AO3,'Groups Stage'!$Y:$Y,'Groups Stage'!Z:Z,"-",0)</f>
        <v>Bosnia</v>
      </c>
      <c r="AQ3" s="6">
        <f>+_xlfn.XLOOKUP($AO3,'Groups Stage'!$Y:$Y,'Groups Stage'!AA:AA,"-",0)</f>
        <v>3</v>
      </c>
      <c r="AR3" s="6">
        <f>+_xlfn.XLOOKUP($AO3,'Groups Stage'!$Y:$Y,'Groups Stage'!AB:AB,"-",0)</f>
        <v>1</v>
      </c>
      <c r="AS3" s="6">
        <f>+_xlfn.XLOOKUP($AO3,'Groups Stage'!$Y:$Y,'Groups Stage'!AC:AC,"-",0)</f>
        <v>1</v>
      </c>
      <c r="AT3" s="6">
        <f>+_xlfn.XLOOKUP($AO3,'Groups Stage'!$Y:$Y,'Groups Stage'!AD:AD,"-",0)</f>
        <v>1</v>
      </c>
      <c r="AU3" s="6">
        <f>+_xlfn.XLOOKUP($AO3,'Groups Stage'!$Y:$Y,'Groups Stage'!AE:AE,"-",0)</f>
        <v>0</v>
      </c>
      <c r="AV3" s="6">
        <f>+_xlfn.XLOOKUP($AO3,'Groups Stage'!$Y:$Y,'Groups Stage'!AF:AF,"-",0)</f>
        <v>2</v>
      </c>
      <c r="AW3" s="6">
        <f>+_xlfn.XLOOKUP($AO3,'Groups Stage'!$Y:$Y,'Groups Stage'!AG:AG,"-",0)</f>
        <v>2</v>
      </c>
      <c r="AX3" s="6">
        <f t="shared" ref="AX3:AX13" si="16">+AR3*3+AS3+AU3/100+AV3/10000</f>
        <v>4.0002000000000004</v>
      </c>
      <c r="AY3" s="19">
        <f t="shared" ref="AY3:AY13" si="17">+AX3+ROW()/10000000000</f>
        <v>4.0002000003000004</v>
      </c>
      <c r="AZ3" s="22" t="str">
        <f>+'Groups Stage'!CX3</f>
        <v xml:space="preserve"> - </v>
      </c>
      <c r="BA3" s="19">
        <f t="shared" ref="BA3:BA13" si="18">+AY3+IF(AZ3="IN",1/100000000,0)</f>
        <v>4.0002000003000004</v>
      </c>
      <c r="BB3" s="19"/>
      <c r="BC3" s="19">
        <f t="shared" ref="BC3:BC13" si="19">+LARGE($AY$2:$AY$13,ROW()-1)</f>
        <v>3.9902000008000003</v>
      </c>
      <c r="BD3" s="20" t="str">
        <f t="shared" ref="BD3:BD13" si="20">IF($AQ$15="DONE",_xlfn.XLOOKUP(BC3,$AY$2:$AY$13,$AP$2:$AP$13,"-",0),"--")</f>
        <v>Egipto</v>
      </c>
      <c r="BE3">
        <f t="shared" ref="BE3:BE13" si="21">+_xlfn.XLOOKUP(BD3,$AP$2:$AP$13,$AX$2:$AX$13,"-",0)</f>
        <v>3.9902000000000002</v>
      </c>
      <c r="BF3" s="6" t="str">
        <f t="shared" si="11"/>
        <v>-</v>
      </c>
      <c r="BG3" t="str">
        <f t="shared" ref="BG3:BG9" si="22">+IF(BF3="x","Draw - Select","IN")</f>
        <v>IN</v>
      </c>
      <c r="BI3" s="19">
        <f t="shared" ref="BI3:BI9" si="23">+LARGE($BA$2:$BA$13,ROW()-1)</f>
        <v>3.9902000008000003</v>
      </c>
      <c r="BJ3" s="20" t="str">
        <f t="shared" ref="BJ3:BJ9" si="24">IF($AQ$15="DONE",_xlfn.XLOOKUP(BI3,$BA$2:$BA$13,$AP$2:$AP$13,"-",0),"--")</f>
        <v>Egipto</v>
      </c>
      <c r="BK3" s="20" t="str">
        <f t="shared" ref="BK3:BK9" si="25">IF($AQ$15="DONE",_xlfn.XLOOKUP(BI3,$BA$2:$BA$13,$AO$2:$AO$13,"-",0),"--")</f>
        <v>3G</v>
      </c>
      <c r="BL3" t="str">
        <f t="shared" ref="BL3:BL9" si="26">+LOWER(RIGHT(BK3,1))</f>
        <v>g</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d</v>
      </c>
      <c r="AC4" s="6"/>
      <c r="AO4" t="s">
        <v>338</v>
      </c>
      <c r="AP4" t="str">
        <f>+_xlfn.XLOOKUP($AO4,'Groups Stage'!$Y:$Y,'Groups Stage'!Z:Z,"-",0)</f>
        <v>Marruecos</v>
      </c>
      <c r="AQ4" s="6">
        <f>+_xlfn.XLOOKUP($AO4,'Groups Stage'!$Y:$Y,'Groups Stage'!AA:AA,"-",0)</f>
        <v>3</v>
      </c>
      <c r="AR4" s="6">
        <f>+_xlfn.XLOOKUP($AO4,'Groups Stage'!$Y:$Y,'Groups Stage'!AB:AB,"-",0)</f>
        <v>0</v>
      </c>
      <c r="AS4" s="6">
        <f>+_xlfn.XLOOKUP($AO4,'Groups Stage'!$Y:$Y,'Groups Stage'!AC:AC,"-",0)</f>
        <v>2</v>
      </c>
      <c r="AT4" s="6">
        <f>+_xlfn.XLOOKUP($AO4,'Groups Stage'!$Y:$Y,'Groups Stage'!AD:AD,"-",0)</f>
        <v>1</v>
      </c>
      <c r="AU4" s="6">
        <f>+_xlfn.XLOOKUP($AO4,'Groups Stage'!$Y:$Y,'Groups Stage'!AE:AE,"-",0)</f>
        <v>-2</v>
      </c>
      <c r="AV4" s="6">
        <f>+_xlfn.XLOOKUP($AO4,'Groups Stage'!$Y:$Y,'Groups Stage'!AF:AF,"-",0)</f>
        <v>2</v>
      </c>
      <c r="AW4" s="6">
        <f>+_xlfn.XLOOKUP($AO4,'Groups Stage'!$Y:$Y,'Groups Stage'!AG:AG,"-",0)</f>
        <v>4</v>
      </c>
      <c r="AX4" s="6">
        <f t="shared" si="16"/>
        <v>1.9802</v>
      </c>
      <c r="AY4" s="19">
        <f t="shared" si="17"/>
        <v>1.9802000004</v>
      </c>
      <c r="AZ4" s="22" t="str">
        <f>+'Groups Stage'!CX4</f>
        <v>OUT</v>
      </c>
      <c r="BA4" s="19">
        <f t="shared" si="18"/>
        <v>1.9802000004</v>
      </c>
      <c r="BB4" s="19"/>
      <c r="BC4" s="19">
        <f t="shared" si="19"/>
        <v>3.0003000005000002</v>
      </c>
      <c r="BD4" s="20" t="str">
        <f t="shared" si="20"/>
        <v>Australia</v>
      </c>
      <c r="BE4">
        <f t="shared" si="21"/>
        <v>3.0003000000000002</v>
      </c>
      <c r="BF4" s="6" t="str">
        <f t="shared" si="11"/>
        <v>-</v>
      </c>
      <c r="BG4" t="str">
        <f t="shared" si="22"/>
        <v>IN</v>
      </c>
      <c r="BI4" s="19">
        <f t="shared" si="23"/>
        <v>3.0003000005000002</v>
      </c>
      <c r="BJ4" s="20" t="str">
        <f t="shared" si="24"/>
        <v>Australia</v>
      </c>
      <c r="BK4" s="20" t="str">
        <f t="shared" si="25"/>
        <v>3D</v>
      </c>
      <c r="BL4" t="str">
        <f t="shared" si="26"/>
        <v>d</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h</v>
      </c>
      <c r="AC5" s="6"/>
      <c r="AO5" t="s">
        <v>335</v>
      </c>
      <c r="AP5" t="str">
        <f>+_xlfn.XLOOKUP($AO5,'Groups Stage'!$Y:$Y,'Groups Stage'!Z:Z,"-",0)</f>
        <v>Australia</v>
      </c>
      <c r="AQ5" s="6">
        <f>+_xlfn.XLOOKUP($AO5,'Groups Stage'!$Y:$Y,'Groups Stage'!AA:AA,"-",0)</f>
        <v>3</v>
      </c>
      <c r="AR5" s="6">
        <f>+_xlfn.XLOOKUP($AO5,'Groups Stage'!$Y:$Y,'Groups Stage'!AB:AB,"-",0)</f>
        <v>1</v>
      </c>
      <c r="AS5" s="6">
        <f>+_xlfn.XLOOKUP($AO5,'Groups Stage'!$Y:$Y,'Groups Stage'!AC:AC,"-",0)</f>
        <v>0</v>
      </c>
      <c r="AT5" s="6">
        <f>+_xlfn.XLOOKUP($AO5,'Groups Stage'!$Y:$Y,'Groups Stage'!AD:AD,"-",0)</f>
        <v>2</v>
      </c>
      <c r="AU5" s="6">
        <f>+_xlfn.XLOOKUP($AO5,'Groups Stage'!$Y:$Y,'Groups Stage'!AE:AE,"-",0)</f>
        <v>0</v>
      </c>
      <c r="AV5" s="6">
        <f>+_xlfn.XLOOKUP($AO5,'Groups Stage'!$Y:$Y,'Groups Stage'!AF:AF,"-",0)</f>
        <v>3</v>
      </c>
      <c r="AW5" s="6">
        <f>+_xlfn.XLOOKUP($AO5,'Groups Stage'!$Y:$Y,'Groups Stage'!AG:AG,"-",0)</f>
        <v>3</v>
      </c>
      <c r="AX5" s="6">
        <f t="shared" si="16"/>
        <v>3.0003000000000002</v>
      </c>
      <c r="AY5" s="19">
        <f t="shared" si="17"/>
        <v>3.0003000005000002</v>
      </c>
      <c r="AZ5" s="22" t="str">
        <f>+'Groups Stage'!CX5</f>
        <v xml:space="preserve"> - </v>
      </c>
      <c r="BA5" s="19">
        <f t="shared" si="18"/>
        <v>3.0003000005000002</v>
      </c>
      <c r="BB5" s="19"/>
      <c r="BC5" s="19">
        <f t="shared" si="19"/>
        <v>2.9701000009000005</v>
      </c>
      <c r="BD5" s="20" t="str">
        <f t="shared" si="20"/>
        <v>Arabia Saudita</v>
      </c>
      <c r="BE5">
        <f t="shared" si="21"/>
        <v>2.9701000000000004</v>
      </c>
      <c r="BF5" s="6" t="str">
        <f t="shared" si="11"/>
        <v>-</v>
      </c>
      <c r="BG5" t="str">
        <f t="shared" si="22"/>
        <v>IN</v>
      </c>
      <c r="BI5" s="19">
        <f t="shared" si="23"/>
        <v>2.9701000009000005</v>
      </c>
      <c r="BJ5" s="20" t="str">
        <f t="shared" si="24"/>
        <v>Arabia Saudita</v>
      </c>
      <c r="BK5" s="20" t="str">
        <f t="shared" si="25"/>
        <v>3H</v>
      </c>
      <c r="BL5" t="str">
        <f t="shared" si="26"/>
        <v>h</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k</v>
      </c>
      <c r="AC6" s="6"/>
      <c r="AO6" t="s">
        <v>324</v>
      </c>
      <c r="AP6" t="str">
        <f>+_xlfn.XLOOKUP($AO6,'Groups Stage'!$Y:$Y,'Groups Stage'!Z:Z,"-",0)</f>
        <v>Curazao</v>
      </c>
      <c r="AQ6" s="6">
        <f>+_xlfn.XLOOKUP($AO6,'Groups Stage'!$Y:$Y,'Groups Stage'!AA:AA,"-",0)</f>
        <v>3</v>
      </c>
      <c r="AR6" s="6">
        <f>+_xlfn.XLOOKUP($AO6,'Groups Stage'!$Y:$Y,'Groups Stage'!AB:AB,"-",0)</f>
        <v>0</v>
      </c>
      <c r="AS6" s="6">
        <f>+_xlfn.XLOOKUP($AO6,'Groups Stage'!$Y:$Y,'Groups Stage'!AC:AC,"-",0)</f>
        <v>2</v>
      </c>
      <c r="AT6" s="6">
        <f>+_xlfn.XLOOKUP($AO6,'Groups Stage'!$Y:$Y,'Groups Stage'!AD:AD,"-",0)</f>
        <v>1</v>
      </c>
      <c r="AU6" s="6">
        <f>+_xlfn.XLOOKUP($AO6,'Groups Stage'!$Y:$Y,'Groups Stage'!AE:AE,"-",0)</f>
        <v>-2</v>
      </c>
      <c r="AV6" s="6">
        <f>+_xlfn.XLOOKUP($AO6,'Groups Stage'!$Y:$Y,'Groups Stage'!AF:AF,"-",0)</f>
        <v>2</v>
      </c>
      <c r="AW6" s="6">
        <f>+_xlfn.XLOOKUP($AO6,'Groups Stage'!$Y:$Y,'Groups Stage'!AG:AG,"-",0)</f>
        <v>4</v>
      </c>
      <c r="AX6" s="6">
        <f t="shared" ref="AX6" si="27">+AR6*3+AS6+AU6/100+AV6/10000</f>
        <v>1.9802</v>
      </c>
      <c r="AY6" s="19">
        <f t="shared" si="17"/>
        <v>1.9802000006</v>
      </c>
      <c r="AZ6" s="22" t="str">
        <f>+'Groups Stage'!CX6</f>
        <v>OUT</v>
      </c>
      <c r="BA6" s="19">
        <f t="shared" si="18"/>
        <v>1.9802000006</v>
      </c>
      <c r="BB6" s="19"/>
      <c r="BC6" s="19">
        <f t="shared" si="19"/>
        <v>1.9903000012000001</v>
      </c>
      <c r="BD6" s="20" t="str">
        <f t="shared" si="20"/>
        <v>Uzbekistan</v>
      </c>
      <c r="BE6">
        <f t="shared" si="21"/>
        <v>1.9903</v>
      </c>
      <c r="BF6" s="6" t="str">
        <f t="shared" si="11"/>
        <v>-</v>
      </c>
      <c r="BG6" t="str">
        <f t="shared" si="22"/>
        <v>IN</v>
      </c>
      <c r="BI6" s="19">
        <f t="shared" si="23"/>
        <v>1.9903000012000001</v>
      </c>
      <c r="BJ6" s="20" t="str">
        <f t="shared" si="24"/>
        <v>Uzbekistan</v>
      </c>
      <c r="BK6" s="20" t="str">
        <f t="shared" si="25"/>
        <v>3K</v>
      </c>
      <c r="BL6" t="str">
        <f t="shared" si="26"/>
        <v>k</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5</v>
      </c>
      <c r="AA7" s="11" t="str">
        <f t="shared" si="14"/>
        <v>f</v>
      </c>
      <c r="AC7" s="6"/>
      <c r="AO7" t="s">
        <v>327</v>
      </c>
      <c r="AP7" t="str">
        <f>+_xlfn.XLOOKUP($AO7,'Groups Stage'!$Y:$Y,'Groups Stage'!Z:Z,"-",0)</f>
        <v>Paises Bajos</v>
      </c>
      <c r="AQ7" s="6">
        <f>+_xlfn.XLOOKUP($AO7,'Groups Stage'!$Y:$Y,'Groups Stage'!AA:AA,"-",0)</f>
        <v>3</v>
      </c>
      <c r="AR7" s="6">
        <f>+_xlfn.XLOOKUP($AO7,'Groups Stage'!$Y:$Y,'Groups Stage'!AB:AB,"-",0)</f>
        <v>0</v>
      </c>
      <c r="AS7" s="6">
        <f>+_xlfn.XLOOKUP($AO7,'Groups Stage'!$Y:$Y,'Groups Stage'!AC:AC,"-",0)</f>
        <v>2</v>
      </c>
      <c r="AT7" s="6">
        <f>+_xlfn.XLOOKUP($AO7,'Groups Stage'!$Y:$Y,'Groups Stage'!AD:AD,"-",0)</f>
        <v>1</v>
      </c>
      <c r="AU7" s="6">
        <f>+_xlfn.XLOOKUP($AO7,'Groups Stage'!$Y:$Y,'Groups Stage'!AE:AE,"-",0)</f>
        <v>-1</v>
      </c>
      <c r="AV7" s="6">
        <f>+_xlfn.XLOOKUP($AO7,'Groups Stage'!$Y:$Y,'Groups Stage'!AF:AF,"-",0)</f>
        <v>2</v>
      </c>
      <c r="AW7" s="6">
        <f>+_xlfn.XLOOKUP($AO7,'Groups Stage'!$Y:$Y,'Groups Stage'!AG:AG,"-",0)</f>
        <v>3</v>
      </c>
      <c r="AX7" s="6">
        <f t="shared" si="16"/>
        <v>1.9902</v>
      </c>
      <c r="AY7" s="19">
        <f t="shared" si="17"/>
        <v>1.9902000007</v>
      </c>
      <c r="AZ7" s="22" t="str">
        <f>+'Groups Stage'!CX7</f>
        <v xml:space="preserve"> - </v>
      </c>
      <c r="BA7" s="19">
        <f t="shared" si="18"/>
        <v>1.9902000007</v>
      </c>
      <c r="BB7" s="19"/>
      <c r="BC7" s="19">
        <f t="shared" si="19"/>
        <v>1.9902000007</v>
      </c>
      <c r="BD7" s="20" t="str">
        <f t="shared" si="20"/>
        <v>Paises Bajos</v>
      </c>
      <c r="BE7">
        <f t="shared" si="21"/>
        <v>1.9902</v>
      </c>
      <c r="BF7" s="6" t="str">
        <f t="shared" si="11"/>
        <v>-</v>
      </c>
      <c r="BG7" t="str">
        <f t="shared" si="22"/>
        <v>IN</v>
      </c>
      <c r="BI7" s="19">
        <f t="shared" si="23"/>
        <v>1.9902000007</v>
      </c>
      <c r="BJ7" s="20" t="str">
        <f t="shared" si="24"/>
        <v>Paises Bajos</v>
      </c>
      <c r="BK7" s="20" t="str">
        <f t="shared" si="25"/>
        <v>3F</v>
      </c>
      <c r="BL7" t="str">
        <f t="shared" si="26"/>
        <v>f</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6</v>
      </c>
      <c r="AA8" s="11" t="str">
        <f t="shared" si="14"/>
        <v>a</v>
      </c>
      <c r="AC8" s="6"/>
      <c r="AO8" t="s">
        <v>329</v>
      </c>
      <c r="AP8" t="str">
        <f>+_xlfn.XLOOKUP($AO8,'Groups Stage'!$Y:$Y,'Groups Stage'!Z:Z,"-",0)</f>
        <v>Egipto</v>
      </c>
      <c r="AQ8" s="6">
        <f>+_xlfn.XLOOKUP($AO8,'Groups Stage'!$Y:$Y,'Groups Stage'!AA:AA,"-",0)</f>
        <v>3</v>
      </c>
      <c r="AR8" s="6">
        <f>+_xlfn.XLOOKUP($AO8,'Groups Stage'!$Y:$Y,'Groups Stage'!AB:AB,"-",0)</f>
        <v>1</v>
      </c>
      <c r="AS8" s="6">
        <f>+_xlfn.XLOOKUP($AO8,'Groups Stage'!$Y:$Y,'Groups Stage'!AC:AC,"-",0)</f>
        <v>1</v>
      </c>
      <c r="AT8" s="6">
        <f>+_xlfn.XLOOKUP($AO8,'Groups Stage'!$Y:$Y,'Groups Stage'!AD:AD,"-",0)</f>
        <v>1</v>
      </c>
      <c r="AU8" s="6">
        <f>+_xlfn.XLOOKUP($AO8,'Groups Stage'!$Y:$Y,'Groups Stage'!AE:AE,"-",0)</f>
        <v>-1</v>
      </c>
      <c r="AV8" s="6">
        <f>+_xlfn.XLOOKUP($AO8,'Groups Stage'!$Y:$Y,'Groups Stage'!AF:AF,"-",0)</f>
        <v>2</v>
      </c>
      <c r="AW8" s="6">
        <f>+_xlfn.XLOOKUP($AO8,'Groups Stage'!$Y:$Y,'Groups Stage'!AG:AG,"-",0)</f>
        <v>3</v>
      </c>
      <c r="AX8" s="6">
        <f t="shared" si="16"/>
        <v>3.9902000000000002</v>
      </c>
      <c r="AY8" s="19">
        <f t="shared" si="17"/>
        <v>3.9902000008000003</v>
      </c>
      <c r="AZ8" s="22" t="str">
        <f>+'Groups Stage'!CX8</f>
        <v xml:space="preserve"> - </v>
      </c>
      <c r="BA8" s="19">
        <f t="shared" si="18"/>
        <v>3.9902000008000003</v>
      </c>
      <c r="BB8" s="19"/>
      <c r="BC8" s="19">
        <f t="shared" si="19"/>
        <v>1.9901000002</v>
      </c>
      <c r="BD8" s="20" t="str">
        <f t="shared" si="20"/>
        <v>Repubilca Checa</v>
      </c>
      <c r="BE8">
        <f t="shared" si="21"/>
        <v>1.9901</v>
      </c>
      <c r="BF8" s="6" t="str">
        <f t="shared" si="11"/>
        <v>-</v>
      </c>
      <c r="BG8" t="str">
        <f t="shared" si="22"/>
        <v>IN</v>
      </c>
      <c r="BI8" s="19">
        <f t="shared" si="23"/>
        <v>1.9901000002</v>
      </c>
      <c r="BJ8" s="20" t="str">
        <f t="shared" si="24"/>
        <v>Repubilca Checa</v>
      </c>
      <c r="BK8" s="20" t="str">
        <f t="shared" si="25"/>
        <v>3A</v>
      </c>
      <c r="BL8" t="str">
        <f t="shared" si="26"/>
        <v>a</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i</v>
      </c>
      <c r="AC9" s="6"/>
      <c r="AO9" t="s">
        <v>328</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-3</v>
      </c>
      <c r="AV9" s="6">
        <f>+_xlfn.XLOOKUP($AO9,'Groups Stage'!$Y:$Y,'Groups Stage'!AF:AF,"-",0)</f>
        <v>1</v>
      </c>
      <c r="AW9" s="6">
        <f>+_xlfn.XLOOKUP($AO9,'Groups Stage'!$Y:$Y,'Groups Stage'!AG:AG,"-",0)</f>
        <v>4</v>
      </c>
      <c r="AX9" s="6">
        <f t="shared" si="16"/>
        <v>2.9701000000000004</v>
      </c>
      <c r="AY9" s="19">
        <f t="shared" si="17"/>
        <v>2.9701000009000005</v>
      </c>
      <c r="AZ9" s="22" t="str">
        <f>+'Groups Stage'!CX9</f>
        <v xml:space="preserve"> - </v>
      </c>
      <c r="BA9" s="19">
        <f t="shared" si="18"/>
        <v>2.9701000009000005</v>
      </c>
      <c r="BB9" s="19"/>
      <c r="BC9" s="19">
        <f t="shared" si="19"/>
        <v>1.9802000011000001</v>
      </c>
      <c r="BD9" s="20" t="str">
        <f t="shared" si="20"/>
        <v>Jordania</v>
      </c>
      <c r="BE9">
        <f t="shared" si="21"/>
        <v>1.9802</v>
      </c>
      <c r="BF9" s="6" t="str">
        <f t="shared" si="11"/>
        <v>x</v>
      </c>
      <c r="BG9" t="str">
        <f t="shared" si="22"/>
        <v>Draw - Select</v>
      </c>
      <c r="BI9" s="19">
        <f t="shared" si="23"/>
        <v>1.980200011</v>
      </c>
      <c r="BJ9" s="20" t="str">
        <f t="shared" si="24"/>
        <v>Senegal</v>
      </c>
      <c r="BK9" s="20" t="str">
        <f t="shared" si="25"/>
        <v>3I</v>
      </c>
      <c r="BL9" t="str">
        <f t="shared" si="26"/>
        <v>i</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6</v>
      </c>
      <c r="AO10" t="s">
        <v>326</v>
      </c>
      <c r="AP10" t="str">
        <f>+_xlfn.XLOOKUP($AO10,'Groups Stage'!$Y:$Y,'Groups Stage'!Z:Z,"-",0)</f>
        <v>Senegal</v>
      </c>
      <c r="AQ10" s="6">
        <f>+_xlfn.XLOOKUP($AO10,'Groups Stage'!$Y:$Y,'Groups Stage'!AA:AA,"-",0)</f>
        <v>3</v>
      </c>
      <c r="AR10" s="6">
        <f>+_xlfn.XLOOKUP($AO10,'Groups Stage'!$Y:$Y,'Groups Stage'!AB:AB,"-",0)</f>
        <v>0</v>
      </c>
      <c r="AS10" s="6">
        <f>+_xlfn.XLOOKUP($AO10,'Groups Stage'!$Y:$Y,'Groups Stage'!AC:AC,"-",0)</f>
        <v>2</v>
      </c>
      <c r="AT10" s="6">
        <f>+_xlfn.XLOOKUP($AO10,'Groups Stage'!$Y:$Y,'Groups Stage'!AD:AD,"-",0)</f>
        <v>1</v>
      </c>
      <c r="AU10" s="6">
        <f>+_xlfn.XLOOKUP($AO10,'Groups Stage'!$Y:$Y,'Groups Stage'!AE:AE,"-",0)</f>
        <v>-2</v>
      </c>
      <c r="AV10" s="6">
        <f>+_xlfn.XLOOKUP($AO10,'Groups Stage'!$Y:$Y,'Groups Stage'!AF:AF,"-",0)</f>
        <v>2</v>
      </c>
      <c r="AW10" s="6">
        <f>+_xlfn.XLOOKUP($AO10,'Groups Stage'!$Y:$Y,'Groups Stage'!AG:AG,"-",0)</f>
        <v>4</v>
      </c>
      <c r="AX10" s="6">
        <f t="shared" si="16"/>
        <v>1.9802</v>
      </c>
      <c r="AY10" s="19">
        <f t="shared" si="17"/>
        <v>1.980200001</v>
      </c>
      <c r="AZ10" s="22" t="str">
        <f>+'Groups Stage'!CX10</f>
        <v>IN</v>
      </c>
      <c r="BA10" s="19">
        <f t="shared" si="18"/>
        <v>1.980200011</v>
      </c>
      <c r="BB10" s="19"/>
      <c r="BC10" s="19">
        <f t="shared" si="19"/>
        <v>1.980200001</v>
      </c>
      <c r="BD10" s="20" t="str">
        <f t="shared" si="20"/>
        <v>Senegal</v>
      </c>
      <c r="BE10">
        <f t="shared" si="21"/>
        <v>1.9802</v>
      </c>
      <c r="BF10" s="6" t="str">
        <f>+IF(COUNTIF($BE$2:$BE$9,BE10)=0,"-","x")</f>
        <v>x</v>
      </c>
      <c r="BG10" t="str">
        <f>+IF(BF10="x","Draw - Select","OUT")</f>
        <v>Draw - Select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325</v>
      </c>
      <c r="AP11" t="str">
        <f>+_xlfn.XLOOKUP($AO11,'Groups Stage'!$Y:$Y,'Groups Stage'!Z:Z,"-",0)</f>
        <v>Jordania</v>
      </c>
      <c r="AQ11" s="6">
        <f>+_xlfn.XLOOKUP($AO11,'Groups Stage'!$Y:$Y,'Groups Stage'!AA:AA,"-",0)</f>
        <v>3</v>
      </c>
      <c r="AR11" s="6">
        <f>+_xlfn.XLOOKUP($AO11,'Groups Stage'!$Y:$Y,'Groups Stage'!AB:AB,"-",0)</f>
        <v>0</v>
      </c>
      <c r="AS11" s="6">
        <f>+_xlfn.XLOOKUP($AO11,'Groups Stage'!$Y:$Y,'Groups Stage'!AC:AC,"-",0)</f>
        <v>2</v>
      </c>
      <c r="AT11" s="6">
        <f>+_xlfn.XLOOKUP($AO11,'Groups Stage'!$Y:$Y,'Groups Stage'!AD:AD,"-",0)</f>
        <v>1</v>
      </c>
      <c r="AU11" s="6">
        <f>+_xlfn.XLOOKUP($AO11,'Groups Stage'!$Y:$Y,'Groups Stage'!AE:AE,"-",0)</f>
        <v>-2</v>
      </c>
      <c r="AV11" s="6">
        <f>+_xlfn.XLOOKUP($AO11,'Groups Stage'!$Y:$Y,'Groups Stage'!AF:AF,"-",0)</f>
        <v>2</v>
      </c>
      <c r="AW11" s="6">
        <f>+_xlfn.XLOOKUP($AO11,'Groups Stage'!$Y:$Y,'Groups Stage'!AG:AG,"-",0)</f>
        <v>4</v>
      </c>
      <c r="AX11" s="6">
        <f t="shared" si="16"/>
        <v>1.9802</v>
      </c>
      <c r="AY11" s="19">
        <f t="shared" si="17"/>
        <v>1.9802000011000001</v>
      </c>
      <c r="AZ11" s="22" t="str">
        <f>+'Groups Stage'!CX11</f>
        <v>OUT</v>
      </c>
      <c r="BA11" s="19">
        <f t="shared" si="18"/>
        <v>1.9802000011000001</v>
      </c>
      <c r="BB11" s="19"/>
      <c r="BC11" s="19">
        <f t="shared" si="19"/>
        <v>1.9802000006</v>
      </c>
      <c r="BD11" s="20" t="str">
        <f t="shared" si="20"/>
        <v>Curazao</v>
      </c>
      <c r="BE11">
        <f t="shared" si="21"/>
        <v>1.9802</v>
      </c>
      <c r="BF11" s="6" t="str">
        <f t="shared" ref="BF11:BF13" si="28">+IF(COUNTIF($BE$2:$BE$9,BE11)=0,"-","x")</f>
        <v>x</v>
      </c>
      <c r="BG11" t="str">
        <f t="shared" ref="BG11:BG13" si="29">+IF(BF11="x","Draw - Select","OUT")</f>
        <v>Draw - Select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4</v>
      </c>
      <c r="AO12" t="s">
        <v>331</v>
      </c>
      <c r="AP12" t="str">
        <f>+_xlfn.XLOOKUP($AO12,'Groups Stage'!$Y:$Y,'Groups Stage'!Z:Z,"-",0)</f>
        <v>Uzbekistan</v>
      </c>
      <c r="AQ12" s="6">
        <f>+_xlfn.XLOOKUP($AO12,'Groups Stage'!$Y:$Y,'Groups Stage'!AA:AA,"-",0)</f>
        <v>3</v>
      </c>
      <c r="AR12" s="6">
        <f>+_xlfn.XLOOKUP($AO12,'Groups Stage'!$Y:$Y,'Groups Stage'!AB:AB,"-",0)</f>
        <v>0</v>
      </c>
      <c r="AS12" s="6">
        <f>+_xlfn.XLOOKUP($AO12,'Groups Stage'!$Y:$Y,'Groups Stage'!AC:AC,"-",0)</f>
        <v>2</v>
      </c>
      <c r="AT12" s="6">
        <f>+_xlfn.XLOOKUP($AO12,'Groups Stage'!$Y:$Y,'Groups Stage'!AD:AD,"-",0)</f>
        <v>1</v>
      </c>
      <c r="AU12" s="6">
        <f>+_xlfn.XLOOKUP($AO12,'Groups Stage'!$Y:$Y,'Groups Stage'!AE:AE,"-",0)</f>
        <v>-1</v>
      </c>
      <c r="AV12" s="6">
        <f>+_xlfn.XLOOKUP($AO12,'Groups Stage'!$Y:$Y,'Groups Stage'!AF:AF,"-",0)</f>
        <v>3</v>
      </c>
      <c r="AW12" s="6">
        <f>+_xlfn.XLOOKUP($AO12,'Groups Stage'!$Y:$Y,'Groups Stage'!AG:AG,"-",0)</f>
        <v>4</v>
      </c>
      <c r="AX12" s="6">
        <f t="shared" si="16"/>
        <v>1.9903</v>
      </c>
      <c r="AY12" s="19">
        <f t="shared" si="17"/>
        <v>1.9903000012000001</v>
      </c>
      <c r="AZ12" s="22" t="str">
        <f>+'Groups Stage'!CX12</f>
        <v xml:space="preserve"> - </v>
      </c>
      <c r="BA12" s="19">
        <f t="shared" si="18"/>
        <v>1.9903000012000001</v>
      </c>
      <c r="BB12" s="19"/>
      <c r="BC12" s="19">
        <f t="shared" si="19"/>
        <v>1.9802000004</v>
      </c>
      <c r="BD12" s="20" t="str">
        <f t="shared" si="20"/>
        <v>Marruecos</v>
      </c>
      <c r="BE12">
        <f t="shared" si="21"/>
        <v>1.9802</v>
      </c>
      <c r="BF12" s="6" t="str">
        <f t="shared" si="28"/>
        <v>x</v>
      </c>
      <c r="BG12" t="str">
        <f t="shared" si="29"/>
        <v>Draw - Select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4</v>
      </c>
      <c r="AO13" t="s">
        <v>330</v>
      </c>
      <c r="AP13" t="str">
        <f>+_xlfn.XLOOKUP($AO13,'Groups Stage'!$Y:$Y,'Groups Stage'!Z:Z,"-",0)</f>
        <v>Ghana</v>
      </c>
      <c r="AQ13" s="6">
        <f>+_xlfn.XLOOKUP($AO13,'Groups Stage'!$Y:$Y,'Groups Stage'!AA:AA,"-",0)</f>
        <v>3</v>
      </c>
      <c r="AR13" s="6">
        <f>+_xlfn.XLOOKUP($AO13,'Groups Stage'!$Y:$Y,'Groups Stage'!AB:AB,"-",0)</f>
        <v>0</v>
      </c>
      <c r="AS13" s="6">
        <f>+_xlfn.XLOOKUP($AO13,'Groups Stage'!$Y:$Y,'Groups Stage'!AC:AC,"-",0)</f>
        <v>1</v>
      </c>
      <c r="AT13" s="6">
        <f>+_xlfn.XLOOKUP($AO13,'Groups Stage'!$Y:$Y,'Groups Stage'!AD:AD,"-",0)</f>
        <v>2</v>
      </c>
      <c r="AU13" s="6">
        <f>+_xlfn.XLOOKUP($AO13,'Groups Stage'!$Y:$Y,'Groups Stage'!AE:AE,"-",0)</f>
        <v>-2</v>
      </c>
      <c r="AV13" s="6">
        <f>+_xlfn.XLOOKUP($AO13,'Groups Stage'!$Y:$Y,'Groups Stage'!AF:AF,"-",0)</f>
        <v>2</v>
      </c>
      <c r="AW13" s="6">
        <f>+_xlfn.XLOOKUP($AO13,'Groups Stage'!$Y:$Y,'Groups Stage'!AG:AG,"-",0)</f>
        <v>4</v>
      </c>
      <c r="AX13" s="6">
        <f t="shared" si="16"/>
        <v>0.98019999999999996</v>
      </c>
      <c r="AY13" s="19">
        <f t="shared" si="17"/>
        <v>0.98020000129999996</v>
      </c>
      <c r="AZ13" s="22" t="str">
        <f>+'Groups Stage'!CX13</f>
        <v xml:space="preserve"> - </v>
      </c>
      <c r="BA13" s="19">
        <f t="shared" si="18"/>
        <v>0.98020000129999996</v>
      </c>
      <c r="BB13" s="19"/>
      <c r="BC13" s="19">
        <f t="shared" si="19"/>
        <v>0.98020000129999996</v>
      </c>
      <c r="BD13" s="20" t="str">
        <f t="shared" si="20"/>
        <v>Ghana</v>
      </c>
      <c r="BE13">
        <f t="shared" si="21"/>
        <v>0.98019999999999996</v>
      </c>
      <c r="BF13" s="6" t="str">
        <f t="shared" si="28"/>
        <v>-</v>
      </c>
      <c r="BG13" t="str">
        <f t="shared"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4</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4</v>
      </c>
      <c r="AQ15" s="6" t="str">
        <f>+IF(SUM(AQ2:AQ13)=3*12,"DONE","-")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5</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4</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5</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6</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6</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4</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4</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4</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4</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4</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4</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5</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4</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5</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4</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5</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4</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5</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4</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5</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5</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6</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5</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6</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5</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6</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6</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6</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6</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6</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6</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7</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6</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7</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5</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6</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5</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6</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5</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6</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5</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6</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6</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5</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6</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6</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5</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6</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7</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6</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5</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5</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6</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6</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4</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4</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4</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4</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4</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4</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5</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4</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4</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4</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5</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4</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5</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5</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6</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5</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6</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5</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6</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5</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6</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5</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6</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6</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5</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6</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6</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6</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7</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6</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4</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4</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5</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4</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4</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4</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4</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5</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5</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6</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4</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5</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4</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5</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5</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4</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5</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5</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6</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5</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4</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5</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6</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5</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5</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6</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5</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6</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5</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6</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5</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6</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6</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6</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6</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6</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7</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6</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7</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6</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5</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6</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5</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6</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5</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6</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6</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5</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6</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6</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5</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6</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7</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6</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6</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6</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4</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4</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4</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4</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4</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4</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5</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4</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4</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5</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4</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5</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4</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5</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6</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5</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6</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5</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6</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5</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6</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5</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6</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6</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5</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6</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6</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5</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6</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6</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7</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4</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4</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5</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4</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4</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5</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4</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5</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4</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5</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5</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6</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5</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4</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5</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4</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5</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5</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4</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5</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6</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5</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5</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4</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5</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6</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5</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5</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6</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5</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6</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6</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6</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6</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7</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6</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7</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5</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6</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5</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6</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5</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6</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5</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6</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6</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5</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6</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6</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5</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6</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7</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6</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6</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6</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6</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7</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6</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7</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6</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6</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7</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7</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6</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7</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6</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7</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7</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6</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7</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7</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8</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7</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5</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6</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5</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6</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5</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6</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6</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5</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6</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7</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6</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5</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6</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5</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6</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5</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6</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6</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7</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5</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6</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6</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7</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7</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6</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7</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5</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6</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6</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6</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5</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6</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6</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6</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6</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6</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6</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7</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6</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4</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4</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5</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4</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4</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4</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5</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4</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5</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5</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6</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4</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4</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5</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4</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5</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6</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5</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4</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5</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6</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5</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5</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6</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6</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5</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6</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6</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5</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6</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6</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6</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7</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6</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6</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5</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6</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6</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5</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6</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6</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7</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6</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5</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6</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6</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7</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6</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6</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7</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6</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7</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4</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5</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4</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5</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5</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4</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5</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6</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5</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5</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4</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5</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5</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6</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5</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5</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6</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5</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4</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5</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5</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6</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5</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5</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6</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5</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5</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6</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5</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6</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3</v>
      </c>
      <c r="R4" s="6">
        <f>+COUNTIFS('Inputs summary'!J:K,$H4)</f>
        <v>1</v>
      </c>
      <c r="S4" s="6">
        <f>+COUNTIFS('Inputs summary'!L:L,$H4)</f>
        <v>1</v>
      </c>
      <c r="T4" s="6">
        <f>+U4-V4</f>
        <v>3</v>
      </c>
      <c r="U4" s="6">
        <f>+SUMIF('Inputs summary'!B:B,H4,'Inputs summary'!C:C)+SUMIF('Inputs summary'!E:E,H4,'Inputs summary'!D:D)</f>
        <v>4</v>
      </c>
      <c r="V4" s="6">
        <f>+SUMIF('Inputs summary'!B:B,H4,'Inputs summary'!D:D)+SUMIF('Inputs summary'!E:E,H4,'Inputs summary'!C:C)</f>
        <v>1</v>
      </c>
      <c r="W4" s="159">
        <f>+P4*100+Q4*3+R4+T4/100+U4/10000+(1/AA4)/100000000</f>
        <v>210.03040000066667</v>
      </c>
      <c r="X4" s="173">
        <f>+SUMPRODUCT(I4:O4,$I$1:$O$1)</f>
        <v>11</v>
      </c>
      <c r="Y4" s="167">
        <f t="shared" ref="Y4:Y51" si="7">+_xlfn.XLOOKUP(H4,AQ:AQ,AR:AR,"-",0)</f>
        <v>2</v>
      </c>
      <c r="Z4" s="173">
        <f>+W4+(1/Y4)*0.000001</f>
        <v>210.03040050066667</v>
      </c>
      <c r="AA4" s="173">
        <f>+_xlfn.XLOOKUP(H4,'Ranking FIFA'!B:B,'Ranking FIFA'!A:A,"--",0)</f>
        <v>15</v>
      </c>
      <c r="AC4" t="str">
        <f>+'Quarter, Semis &amp; Final'!P8</f>
        <v>Argentina</v>
      </c>
      <c r="AD4" t="str">
        <f>+'Quarter, Semis &amp; Final'!P4</f>
        <v>Francia</v>
      </c>
      <c r="AE4" t="str">
        <f>+'Quarter, Semis &amp; Final'!P15</f>
        <v>España</v>
      </c>
      <c r="AF4" t="str">
        <f>+'Quarter, Semis &amp; Final'!B19</f>
        <v>Francia</v>
      </c>
      <c r="AG4" t="str">
        <f>+'Quarter, Semis &amp; Final'!B5</f>
        <v>Francia</v>
      </c>
      <c r="AH4" t="str">
        <f>+'Round of 32 &amp; Round of 16'!P5</f>
        <v>Alemania</v>
      </c>
      <c r="AI4" t="str">
        <f>+'Round of 32 &amp; Round of 16'!B5</f>
        <v>Corea del Sur</v>
      </c>
      <c r="AP4" s="457">
        <f>+_xlfn.XLOOKUP(AQ4,'Ranking FIFA'!B:B,'Ranking FIFA'!A:A,"--",0)</f>
        <v>1</v>
      </c>
      <c r="AQ4" t="s">
        <v>48</v>
      </c>
      <c r="AR4" s="6">
        <v>1</v>
      </c>
      <c r="AS4" s="6">
        <v>1</v>
      </c>
      <c r="AT4" s="169">
        <f t="shared" ref="AT4:AT51" si="8">+SUMIF($H$4:$H$51,AQ4,$X$4:$X$51)</f>
        <v>201111</v>
      </c>
      <c r="AU4" s="166">
        <f t="shared" ref="AU4:AU51" si="9">+SUMIF($H$4:$H$51,AQ4,$W$4:$W$51)</f>
        <v>621.10110000999998</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Paraguay</v>
      </c>
      <c r="BE4" s="166">
        <f>+_xlfn.MAXIFS(W:W,Y:Y,AW4)</f>
        <v>315.04060000025004</v>
      </c>
      <c r="BF4" s="168">
        <f>+IF(AZ4&gt;0,AX4,0)</f>
        <v>0</v>
      </c>
      <c r="BH4">
        <v>1</v>
      </c>
      <c r="BI4" t="str">
        <f t="shared" ref="BI4:BI51" si="11">+H4</f>
        <v>Mexico</v>
      </c>
      <c r="BJ4" s="6">
        <f>+COUNTIFS('Inputs summary'!I$2:I$106,BI4)</f>
        <v>2</v>
      </c>
      <c r="BK4" s="6">
        <f>+COUNTIFS('Inputs summary'!J$2:K$106,BI4)</f>
        <v>1</v>
      </c>
      <c r="BL4" s="6">
        <f>+COUNTIFS('Inputs summary'!L$2:L$106,BI4)</f>
        <v>0</v>
      </c>
      <c r="BM4" s="6">
        <f>+BN4-BO4</f>
        <v>3</v>
      </c>
      <c r="BN4" s="6">
        <f>+SUMIF('Inputs summary'!$B$1:$B$106,$BI4,'Inputs summary'!$C$1:$C$106)+SUMIF('Inputs summary'!$E$1:$E$106,$BI4,'Inputs summary'!$D$1:$D$106)</f>
        <v>3</v>
      </c>
      <c r="BO4" s="6">
        <f>+SUMIF('Inputs summary'!$B$1:$B$106,$BI4,'Inputs summary'!$D$1:$D$106)+SUMIF('Inputs summary'!$E$1:$E$106,$BI4,'Inputs summary'!$C$1:$C$106)</f>
        <v>0</v>
      </c>
      <c r="BP4" s="166">
        <f t="shared" ref="BP4:BP51" si="12">+BJ4*3+BK4*2+BM4/100+BN4/1000+Y4/100000+AA4/10000000</f>
        <v>8.0330214999999985</v>
      </c>
      <c r="BR4">
        <f>+LARGE(BP4:BP51,1)</f>
        <v>9.0770105999999995</v>
      </c>
      <c r="BS4" s="175" t="str">
        <f>+_xlfn.XLOOKUP(BR4,$BP$4:$BP$51,$BI$4:$BI$51,"-",0)</f>
        <v>Brasil</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1</v>
      </c>
      <c r="S5" s="6">
        <f>+COUNTIFS('Inputs summary'!L:L,$H5)</f>
        <v>2</v>
      </c>
      <c r="T5" s="6">
        <f t="shared" ref="T5:T51" si="14">+U5-V5</f>
        <v>-3</v>
      </c>
      <c r="U5" s="6">
        <f>+SUMIF('Inputs summary'!B:B,H5,'Inputs summary'!C:C)+SUMIF('Inputs summary'!E:E,H5,'Inputs summary'!D:D)</f>
        <v>1</v>
      </c>
      <c r="V5" s="6">
        <f>+SUMIF('Inputs summary'!B:B,H5,'Inputs summary'!D:D)+SUMIF('Inputs summary'!E:E,H5,'Inputs summary'!C:C)</f>
        <v>4</v>
      </c>
      <c r="W5" s="159">
        <f t="shared" ref="W5:W51" si="15">+P5*100+Q5*3+R5+T5/100+U5/10000+(1/AA5)/100000000</f>
        <v>0.97010000016666664</v>
      </c>
      <c r="X5" s="173">
        <f t="shared" ref="X5:X51" si="16">+SUMPRODUCT(I5:O5,$I$1:$O$1)</f>
        <v>0</v>
      </c>
      <c r="Y5" s="167">
        <f t="shared" si="7"/>
        <v>3</v>
      </c>
      <c r="Z5" s="173">
        <f t="shared" ref="Z5:Z51" si="17">+W5+(1/Y5)*0.000001</f>
        <v>0.97010033350000002</v>
      </c>
      <c r="AA5" s="173">
        <f>+_xlfn.XLOOKUP(H5,'Ranking FIFA'!B:B,'Ranking FIFA'!A:A,"--",0)</f>
        <v>60</v>
      </c>
      <c r="AD5" t="str">
        <f>+'Quarter, Semis &amp; Final'!S4</f>
        <v>Argentina</v>
      </c>
      <c r="AF5" t="str">
        <f>+'Quarter, Semis &amp; Final'!E19</f>
        <v>España</v>
      </c>
      <c r="AG5" t="str">
        <f>+'Quarter, Semis &amp; Final'!E5</f>
        <v>Corea del Sur</v>
      </c>
      <c r="AH5" t="str">
        <f>+'Round of 32 &amp; Round of 16'!S5</f>
        <v>Francia</v>
      </c>
      <c r="AI5" t="str">
        <f>+'Round of 32 &amp; Round of 16'!E5</f>
        <v>Canada</v>
      </c>
      <c r="AP5" s="457">
        <f>+_xlfn.XLOOKUP(AQ5,'Ranking FIFA'!B:B,'Ranking FIFA'!A:A,"--",0)</f>
        <v>2</v>
      </c>
      <c r="AQ5" t="s">
        <v>49</v>
      </c>
      <c r="AR5" s="6">
        <v>1</v>
      </c>
      <c r="AS5" s="6">
        <v>1</v>
      </c>
      <c r="AT5" s="169">
        <f t="shared" si="8"/>
        <v>11111</v>
      </c>
      <c r="AU5" s="166">
        <f t="shared" si="9"/>
        <v>519.08110000499994</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Repubilca Checa</v>
      </c>
      <c r="BE5" s="166">
        <f>+_xlfn.MAXIFS(W:W,Y:Y,AW5)</f>
        <v>204.99020000024393</v>
      </c>
      <c r="BF5" s="168">
        <f>+IF(AY5&gt;0,AX5,0)*1</f>
        <v>0</v>
      </c>
      <c r="BH5">
        <v>2</v>
      </c>
      <c r="BI5" t="str">
        <f t="shared" si="11"/>
        <v>Sudafrica</v>
      </c>
      <c r="BJ5" s="6">
        <f>+COUNTIFS('Inputs summary'!I$2:I$106,BI5)</f>
        <v>0</v>
      </c>
      <c r="BK5" s="6">
        <f>+COUNTIFS('Inputs summary'!J$2:K$106,BI5)</f>
        <v>1</v>
      </c>
      <c r="BL5" s="6">
        <f>+COUNTIFS('Inputs summary'!L$2:L$106,BI5)</f>
        <v>2</v>
      </c>
      <c r="BM5" s="6">
        <f t="shared" ref="BM5:BM51" si="19">+BN5-BO5</f>
        <v>-3</v>
      </c>
      <c r="BN5" s="6">
        <f>+SUMIF('Inputs summary'!$B$1:$B$106,$BI5,'Inputs summary'!$C$1:$C$106)+SUMIF('Inputs summary'!$E$1:$E$106,$BI5,'Inputs summary'!$D$1:$D$106)</f>
        <v>1</v>
      </c>
      <c r="BO5" s="6">
        <f>+SUMIF('Inputs summary'!$B$1:$B$106,$BI5,'Inputs summary'!$D$1:$D$106)+SUMIF('Inputs summary'!$E$1:$E$106,$BI5,'Inputs summary'!$C$1:$C$106)</f>
        <v>4</v>
      </c>
      <c r="BP5" s="166">
        <f t="shared" si="12"/>
        <v>1.9710359999999998</v>
      </c>
    </row>
    <row r="6" spans="1:71" x14ac:dyDescent="0.2">
      <c r="A6">
        <v>4</v>
      </c>
      <c r="G6">
        <v>3</v>
      </c>
      <c r="H6" t="str">
        <f>+'Groups Stage'!O5</f>
        <v>Corea del Sur</v>
      </c>
      <c r="I6" s="6">
        <f t="shared" si="0"/>
        <v>0</v>
      </c>
      <c r="J6" s="6">
        <f t="shared" si="1"/>
        <v>0</v>
      </c>
      <c r="K6" s="6">
        <f t="shared" si="2"/>
        <v>0</v>
      </c>
      <c r="L6" s="6">
        <f t="shared" si="3"/>
        <v>0</v>
      </c>
      <c r="M6" s="6">
        <f t="shared" si="4"/>
        <v>1</v>
      </c>
      <c r="N6" s="6">
        <f t="shared" si="5"/>
        <v>1</v>
      </c>
      <c r="O6" s="6">
        <f t="shared" si="6"/>
        <v>1</v>
      </c>
      <c r="P6" s="6">
        <f t="shared" si="13"/>
        <v>3</v>
      </c>
      <c r="Q6" s="6">
        <f>+COUNTIFS('Inputs summary'!I:I,$H6)</f>
        <v>4</v>
      </c>
      <c r="R6" s="6">
        <f>+COUNTIFS('Inputs summary'!J:K,$H6)</f>
        <v>0</v>
      </c>
      <c r="S6" s="6">
        <f>+COUNTIFS('Inputs summary'!L:L,$H6)</f>
        <v>2</v>
      </c>
      <c r="T6" s="6">
        <f t="shared" si="14"/>
        <v>2</v>
      </c>
      <c r="U6" s="6">
        <f>+SUMIF('Inputs summary'!B:B,H6,'Inputs summary'!C:C)+SUMIF('Inputs summary'!E:E,H6,'Inputs summary'!D:D)</f>
        <v>4</v>
      </c>
      <c r="V6" s="6">
        <f>+SUMIF('Inputs summary'!B:B,H6,'Inputs summary'!D:D)+SUMIF('Inputs summary'!E:E,H6,'Inputs summary'!C:C)</f>
        <v>2</v>
      </c>
      <c r="W6" s="159">
        <f t="shared" si="15"/>
        <v>312.0204000004</v>
      </c>
      <c r="X6" s="173">
        <f t="shared" si="16"/>
        <v>111</v>
      </c>
      <c r="Y6" s="167">
        <f t="shared" si="7"/>
        <v>2</v>
      </c>
      <c r="Z6" s="173">
        <f t="shared" si="17"/>
        <v>312.0204005004</v>
      </c>
      <c r="AA6" s="173">
        <f>+_xlfn.XLOOKUP(H6,'Ranking FIFA'!B:B,'Ranking FIFA'!A:A,"--",0)</f>
        <v>25</v>
      </c>
      <c r="AF6" t="str">
        <f>+'Quarter, Semis &amp; Final'!H19</f>
        <v>Brasil</v>
      </c>
      <c r="AG6" t="str">
        <f>+'Quarter, Semis &amp; Final'!B9</f>
        <v>España</v>
      </c>
      <c r="AH6" t="str">
        <f>+'Round of 32 &amp; Round of 16'!P13</f>
        <v>Corea del Sur</v>
      </c>
      <c r="AI6" t="str">
        <f>+'Round of 32 &amp; Round of 16'!B9</f>
        <v>Alemania</v>
      </c>
      <c r="AP6" s="457">
        <f>+_xlfn.XLOOKUP(AQ6,'Ranking FIFA'!B:B,'Ranking FIFA'!A:A,"--",0)</f>
        <v>3</v>
      </c>
      <c r="AQ6" t="s">
        <v>50</v>
      </c>
      <c r="AR6" s="6">
        <v>1</v>
      </c>
      <c r="AS6" s="6">
        <v>1</v>
      </c>
      <c r="AT6" s="169">
        <f t="shared" si="8"/>
        <v>2201111</v>
      </c>
      <c r="AU6" s="166">
        <f t="shared" si="9"/>
        <v>824.11110000333326</v>
      </c>
      <c r="AW6" s="154">
        <v>4</v>
      </c>
      <c r="AX6" s="170">
        <f>+_xlfn.MAXIFS(AT:AT,AR:AR,AW6)</f>
        <v>1</v>
      </c>
      <c r="AY6" s="154">
        <f t="shared" si="18"/>
        <v>0</v>
      </c>
      <c r="AZ6" s="154">
        <f t="shared" si="10"/>
        <v>0</v>
      </c>
      <c r="BA6" s="154">
        <f t="shared" si="10"/>
        <v>0</v>
      </c>
      <c r="BB6" s="154">
        <f t="shared" si="10"/>
        <v>0</v>
      </c>
      <c r="BC6" s="154">
        <f t="shared" si="10"/>
        <v>0</v>
      </c>
      <c r="BD6" s="154" t="str">
        <f>+_xlfn.XLOOKUP(BE6,W:W,H:H)</f>
        <v>Uzbekistan</v>
      </c>
      <c r="BE6" s="171">
        <f>+_xlfn.MAXIFS(W:W,Y:Y,AW6)</f>
        <v>101.9803000002</v>
      </c>
      <c r="BF6" s="172">
        <f>+IF(AY6&gt;0,AX6,0)*2</f>
        <v>0</v>
      </c>
      <c r="BH6">
        <v>3</v>
      </c>
      <c r="BI6" t="str">
        <f t="shared" si="11"/>
        <v>Corea del Sur</v>
      </c>
      <c r="BJ6" s="6">
        <f>+COUNTIFS('Inputs summary'!I$2:I$106,BI6)</f>
        <v>2</v>
      </c>
      <c r="BK6" s="6">
        <f>+COUNTIFS('Inputs summary'!J$2:K$106,BI6)</f>
        <v>0</v>
      </c>
      <c r="BL6" s="6">
        <f>+COUNTIFS('Inputs summary'!L$2:L$106,BI6)</f>
        <v>1</v>
      </c>
      <c r="BM6" s="6">
        <f t="shared" si="19"/>
        <v>1</v>
      </c>
      <c r="BN6" s="6">
        <f>+SUMIF('Inputs summary'!$B$1:$B$106,$BI6,'Inputs summary'!$C$1:$C$106)+SUMIF('Inputs summary'!$E$1:$E$106,$BI6,'Inputs summary'!$D$1:$D$106)</f>
        <v>2</v>
      </c>
      <c r="BO6" s="6">
        <f>+SUMIF('Inputs summary'!$B$1:$B$106,$BI6,'Inputs summary'!$D$1:$D$106)+SUMIF('Inputs summary'!$E$1:$E$106,$BI6,'Inputs summary'!$C$1:$C$106)</f>
        <v>1</v>
      </c>
      <c r="BP6" s="166">
        <f t="shared" si="12"/>
        <v>6.0120224999999996</v>
      </c>
    </row>
    <row r="7" spans="1:71" x14ac:dyDescent="0.2">
      <c r="G7">
        <v>4</v>
      </c>
      <c r="H7" t="str">
        <f>+'Groups Stage'!O6</f>
        <v>Repubilca Checa</v>
      </c>
      <c r="I7" s="6">
        <f t="shared" si="0"/>
        <v>0</v>
      </c>
      <c r="J7" s="6">
        <f t="shared" si="1"/>
        <v>0</v>
      </c>
      <c r="K7" s="6">
        <f t="shared" si="2"/>
        <v>0</v>
      </c>
      <c r="L7" s="6">
        <f t="shared" si="3"/>
        <v>0</v>
      </c>
      <c r="M7" s="6">
        <f t="shared" si="4"/>
        <v>0</v>
      </c>
      <c r="N7" s="6">
        <f t="shared" si="5"/>
        <v>1</v>
      </c>
      <c r="O7" s="6">
        <f t="shared" si="6"/>
        <v>1</v>
      </c>
      <c r="P7" s="6">
        <f t="shared" si="13"/>
        <v>2</v>
      </c>
      <c r="Q7" s="6">
        <f>+COUNTIFS('Inputs summary'!I:I,$H7)</f>
        <v>1</v>
      </c>
      <c r="R7" s="6">
        <f>+COUNTIFS('Inputs summary'!J:K,$H7)</f>
        <v>2</v>
      </c>
      <c r="S7" s="6">
        <f>+COUNTIFS('Inputs summary'!L:L,$H7)</f>
        <v>2</v>
      </c>
      <c r="T7" s="6">
        <f t="shared" si="14"/>
        <v>-1</v>
      </c>
      <c r="U7" s="6">
        <f>+SUMIF('Inputs summary'!B:B,H7,'Inputs summary'!C:C)+SUMIF('Inputs summary'!E:E,H7,'Inputs summary'!D:D)</f>
        <v>2</v>
      </c>
      <c r="V7" s="6">
        <f>+SUMIF('Inputs summary'!B:B,H7,'Inputs summary'!D:D)+SUMIF('Inputs summary'!E:E,H7,'Inputs summary'!C:C)</f>
        <v>3</v>
      </c>
      <c r="W7" s="159">
        <f t="shared" si="15"/>
        <v>204.99020000024393</v>
      </c>
      <c r="X7" s="173">
        <f t="shared" si="16"/>
        <v>11</v>
      </c>
      <c r="Y7" s="167">
        <f t="shared" si="7"/>
        <v>3</v>
      </c>
      <c r="Z7" s="173">
        <f t="shared" si="17"/>
        <v>204.99020033357726</v>
      </c>
      <c r="AA7" s="173">
        <f>+_xlfn.XLOOKUP(H7,'Ranking FIFA'!B:B,'Ranking FIFA'!A:A,"--",0)</f>
        <v>41</v>
      </c>
      <c r="AF7" t="str">
        <f>+'Quarter, Semis &amp; Final'!K19</f>
        <v>Argentina</v>
      </c>
      <c r="AG7" t="str">
        <f>+'Quarter, Semis &amp; Final'!E9</f>
        <v>Paraguay</v>
      </c>
      <c r="AH7" t="str">
        <f>+'Round of 32 &amp; Round of 16'!S13</f>
        <v>Japon</v>
      </c>
      <c r="AI7" t="str">
        <f>+'Round of 32 &amp; Round of 16'!E9</f>
        <v>Australia</v>
      </c>
      <c r="AP7" s="457">
        <f>+_xlfn.XLOOKUP(AQ7,'Ranking FIFA'!B:B,'Ranking FIFA'!A:A,"--",0)</f>
        <v>4</v>
      </c>
      <c r="AQ7" t="s">
        <v>51</v>
      </c>
      <c r="AR7" s="6">
        <v>1</v>
      </c>
      <c r="AS7" s="6">
        <v>1</v>
      </c>
      <c r="AT7" s="169">
        <f t="shared" si="8"/>
        <v>111</v>
      </c>
      <c r="AU7" s="166">
        <f t="shared" si="9"/>
        <v>315.05070000249998</v>
      </c>
      <c r="BC7" t="s">
        <v>849</v>
      </c>
      <c r="BD7" s="175" t="str">
        <f>+IF(BF7=0,IF(AX6&lt;1,"No hay Revelación",BD6),_xlfn.XLOOKUP(BF7,BF4:BF6,BD4:BD6,"-",0))</f>
        <v>Uzbekistan</v>
      </c>
      <c r="BF7" s="168">
        <f>+MAX(BF4:BF6)</f>
        <v>0</v>
      </c>
      <c r="BH7">
        <v>4</v>
      </c>
      <c r="BI7" t="str">
        <f t="shared" si="11"/>
        <v>Repubilca Checa</v>
      </c>
      <c r="BJ7" s="6">
        <f>+COUNTIFS('Inputs summary'!I$2:I$106,BI7)</f>
        <v>0</v>
      </c>
      <c r="BK7" s="6">
        <f>+COUNTIFS('Inputs summary'!J$2:K$106,BI7)</f>
        <v>2</v>
      </c>
      <c r="BL7" s="6">
        <f>+COUNTIFS('Inputs summary'!L$2:L$106,BI7)</f>
        <v>1</v>
      </c>
      <c r="BM7" s="6">
        <f t="shared" si="19"/>
        <v>-1</v>
      </c>
      <c r="BN7" s="6">
        <f>+SUMIF('Inputs summary'!$B$1:$B$106,$BI7,'Inputs summary'!$C$1:$C$106)+SUMIF('Inputs summary'!$E$1:$E$106,$BI7,'Inputs summary'!$D$1:$D$106)</f>
        <v>1</v>
      </c>
      <c r="BO7" s="6">
        <f>+SUMIF('Inputs summary'!$B$1:$B$106,$BI7,'Inputs summary'!$D$1:$D$106)+SUMIF('Inputs summary'!$E$1:$E$106,$BI7,'Inputs summary'!$C$1:$C$106)</f>
        <v>2</v>
      </c>
      <c r="BP7" s="166">
        <f t="shared" si="12"/>
        <v>3.9910341000000003</v>
      </c>
    </row>
    <row r="8" spans="1:71" x14ac:dyDescent="0.2">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1</v>
      </c>
      <c r="R8" s="6">
        <f>+COUNTIFS('Inputs summary'!J:K,$H8)</f>
        <v>1</v>
      </c>
      <c r="S8" s="6">
        <f>+COUNTIFS('Inputs summary'!L:L,$H8)</f>
        <v>2</v>
      </c>
      <c r="T8" s="6">
        <f t="shared" si="14"/>
        <v>-1</v>
      </c>
      <c r="U8" s="6">
        <f>+SUMIF('Inputs summary'!B:B,H8,'Inputs summary'!C:C)+SUMIF('Inputs summary'!E:E,H8,'Inputs summary'!D:D)</f>
        <v>2</v>
      </c>
      <c r="V8" s="6">
        <f>+SUMIF('Inputs summary'!B:B,H8,'Inputs summary'!D:D)+SUMIF('Inputs summary'!E:E,H8,'Inputs summary'!C:C)</f>
        <v>3</v>
      </c>
      <c r="W8" s="159">
        <f t="shared" si="15"/>
        <v>103.99020000033333</v>
      </c>
      <c r="X8" s="173">
        <f t="shared" si="16"/>
        <v>1</v>
      </c>
      <c r="Y8" s="167">
        <f t="shared" si="7"/>
        <v>3</v>
      </c>
      <c r="Z8" s="173">
        <f t="shared" si="17"/>
        <v>103.99020033366666</v>
      </c>
      <c r="AA8" s="173">
        <f>+_xlfn.XLOOKUP(H8,'Ranking FIFA'!B:B,'Ranking FIFA'!A:A,"--",0)</f>
        <v>30</v>
      </c>
      <c r="AG8" t="str">
        <f>+'Quarter, Semis &amp; Final'!H5</f>
        <v>Brasil</v>
      </c>
      <c r="AH8" t="str">
        <f>+'Round of 32 &amp; Round of 16'!P21</f>
        <v>Brasil</v>
      </c>
      <c r="AI8" t="str">
        <f>+'Round of 32 &amp; Round of 16'!B13</f>
        <v>Japon</v>
      </c>
      <c r="AP8" s="457">
        <f>+_xlfn.XLOOKUP(AQ8,'Ranking FIFA'!B:B,'Ranking FIFA'!A:A,"--",0)</f>
        <v>5</v>
      </c>
      <c r="AQ8" t="s">
        <v>52</v>
      </c>
      <c r="AR8" s="6">
        <v>1</v>
      </c>
      <c r="AS8" s="6">
        <v>1</v>
      </c>
      <c r="AT8" s="169">
        <f t="shared" si="8"/>
        <v>11</v>
      </c>
      <c r="AU8" s="166">
        <f t="shared" si="9"/>
        <v>208.02050000200001</v>
      </c>
      <c r="BH8">
        <v>5</v>
      </c>
      <c r="BI8" t="str">
        <f t="shared" si="11"/>
        <v>Canada</v>
      </c>
      <c r="BJ8" s="6">
        <f>+COUNTIFS('Inputs summary'!I$2:I$106,BI8)</f>
        <v>1</v>
      </c>
      <c r="BK8" s="6">
        <f>+COUNTIFS('Inputs summary'!J$2:K$106,BI8)</f>
        <v>1</v>
      </c>
      <c r="BL8" s="6">
        <f>+COUNTIFS('Inputs summary'!L$2:L$106,BI8)</f>
        <v>1</v>
      </c>
      <c r="BM8" s="6">
        <f t="shared" si="19"/>
        <v>0</v>
      </c>
      <c r="BN8" s="6">
        <f>+SUMIF('Inputs summary'!$B$1:$B$106,$BI8,'Inputs summary'!$C$1:$C$106)+SUMIF('Inputs summary'!$E$1:$E$106,$BI8,'Inputs summary'!$D$1:$D$106)</f>
        <v>2</v>
      </c>
      <c r="BO8" s="6">
        <f>+SUMIF('Inputs summary'!$B$1:$B$106,$BI8,'Inputs summary'!$D$1:$D$106)+SUMIF('Inputs summary'!$E$1:$E$106,$BI8,'Inputs summary'!$C$1:$C$106)</f>
        <v>2</v>
      </c>
      <c r="BP8" s="166">
        <f t="shared" si="12"/>
        <v>5.002033</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1</v>
      </c>
      <c r="P9" s="6">
        <f t="shared" si="13"/>
        <v>1</v>
      </c>
      <c r="Q9" s="6">
        <f>+COUNTIFS('Inputs summary'!I:I,$H9)</f>
        <v>1</v>
      </c>
      <c r="R9" s="6">
        <f>+COUNTIFS('Inputs summary'!J:K,$H9)</f>
        <v>1</v>
      </c>
      <c r="S9" s="6">
        <f>+COUNTIFS('Inputs summary'!L:L,$H9)</f>
        <v>2</v>
      </c>
      <c r="T9" s="6">
        <f t="shared" si="14"/>
        <v>-1</v>
      </c>
      <c r="U9" s="6">
        <f>+SUMIF('Inputs summary'!B:B,H9,'Inputs summary'!C:C)+SUMIF('Inputs summary'!E:E,H9,'Inputs summary'!D:D)</f>
        <v>2</v>
      </c>
      <c r="V9" s="6">
        <f>+SUMIF('Inputs summary'!B:B,H9,'Inputs summary'!D:D)+SUMIF('Inputs summary'!E:E,H9,'Inputs summary'!C:C)</f>
        <v>3</v>
      </c>
      <c r="W9" s="159">
        <f t="shared" si="15"/>
        <v>103.99020000015385</v>
      </c>
      <c r="X9" s="173">
        <f t="shared" si="16"/>
        <v>1</v>
      </c>
      <c r="Y9" s="167">
        <f t="shared" si="7"/>
        <v>3</v>
      </c>
      <c r="Z9" s="173">
        <f t="shared" si="17"/>
        <v>103.99020033348718</v>
      </c>
      <c r="AA9" s="173">
        <f>+_xlfn.XLOOKUP(H9,'Ranking FIFA'!B:B,'Ranking FIFA'!A:A,"--",0)</f>
        <v>65</v>
      </c>
      <c r="AG9" t="str">
        <f>+'Quarter, Semis &amp; Final'!K5</f>
        <v>Inglaterra</v>
      </c>
      <c r="AH9" t="str">
        <f>+'Round of 32 &amp; Round of 16'!S21</f>
        <v>Ecuador</v>
      </c>
      <c r="AI9" t="str">
        <f>+'Round of 32 &amp; Round of 16'!E13</f>
        <v>Escocia</v>
      </c>
      <c r="AP9" s="457">
        <f>+_xlfn.XLOOKUP(AQ9,'Ranking FIFA'!B:B,'Ranking FIFA'!A:A,"--",0)</f>
        <v>6</v>
      </c>
      <c r="AQ9" t="s">
        <v>53</v>
      </c>
      <c r="AR9" s="6">
        <v>1</v>
      </c>
      <c r="AS9" s="6">
        <v>1</v>
      </c>
      <c r="AT9" s="169">
        <f t="shared" si="8"/>
        <v>1111</v>
      </c>
      <c r="AU9" s="166">
        <f t="shared" si="9"/>
        <v>418.08100000166661</v>
      </c>
      <c r="AW9" t="s">
        <v>850</v>
      </c>
      <c r="AX9" t="str">
        <f>+_xlfn.XLOOKUP(AX10,AU:AU,AQ:AQ,"-",0)</f>
        <v>Paises Bajos</v>
      </c>
      <c r="BH9">
        <v>6</v>
      </c>
      <c r="BI9" t="str">
        <f t="shared" si="11"/>
        <v>Bosnia</v>
      </c>
      <c r="BJ9" s="6">
        <f>+COUNTIFS('Inputs summary'!I$2:I$106,BI9)</f>
        <v>1</v>
      </c>
      <c r="BK9" s="6">
        <f>+COUNTIFS('Inputs summary'!J$2:K$106,BI9)</f>
        <v>1</v>
      </c>
      <c r="BL9" s="6">
        <f>+COUNTIFS('Inputs summary'!L$2:L$106,BI9)</f>
        <v>1</v>
      </c>
      <c r="BM9" s="6">
        <f t="shared" si="19"/>
        <v>0</v>
      </c>
      <c r="BN9" s="6">
        <f>+SUMIF('Inputs summary'!$B$1:$B$106,$BI9,'Inputs summary'!$C$1:$C$106)+SUMIF('Inputs summary'!$E$1:$E$106,$BI9,'Inputs summary'!$D$1:$D$106)</f>
        <v>2</v>
      </c>
      <c r="BO9" s="6">
        <f>+SUMIF('Inputs summary'!$B$1:$B$106,$BI9,'Inputs summary'!$D$1:$D$106)+SUMIF('Inputs summary'!$E$1:$E$106,$BI9,'Inputs summary'!$C$1:$C$106)</f>
        <v>2</v>
      </c>
      <c r="BP9" s="166">
        <f t="shared" si="12"/>
        <v>5.0020364999999991</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1</v>
      </c>
      <c r="S10" s="6">
        <f>+COUNTIFS('Inputs summary'!L:L,$H10)</f>
        <v>2</v>
      </c>
      <c r="T10" s="6">
        <f t="shared" si="14"/>
        <v>-2</v>
      </c>
      <c r="U10" s="6">
        <f>+SUMIF('Inputs summary'!B:B,H10,'Inputs summary'!C:C)+SUMIF('Inputs summary'!E:E,H10,'Inputs summary'!D:D)</f>
        <v>1</v>
      </c>
      <c r="V10" s="6">
        <f>+SUMIF('Inputs summary'!B:B,H10,'Inputs summary'!D:D)+SUMIF('Inputs summary'!E:E,H10,'Inputs summary'!C:C)</f>
        <v>3</v>
      </c>
      <c r="W10" s="159">
        <f t="shared" si="15"/>
        <v>0.9801000001818182</v>
      </c>
      <c r="X10" s="173">
        <f t="shared" si="16"/>
        <v>0</v>
      </c>
      <c r="Y10" s="167">
        <f t="shared" si="7"/>
        <v>4</v>
      </c>
      <c r="Z10" s="173">
        <f t="shared" si="17"/>
        <v>0.98010025018181823</v>
      </c>
      <c r="AA10" s="173">
        <f>+_xlfn.XLOOKUP(H10,'Ranking FIFA'!B:B,'Ranking FIFA'!A:A,"--",0)</f>
        <v>55</v>
      </c>
      <c r="AG10" t="str">
        <f>+'Quarter, Semis &amp; Final'!H9</f>
        <v>Argentina</v>
      </c>
      <c r="AH10" t="str">
        <f>+'Round of 32 &amp; Round of 16'!P29</f>
        <v>Mexico</v>
      </c>
      <c r="AI10" t="str">
        <f>+'Round of 32 &amp; Round of 16'!B17</f>
        <v>Brasil</v>
      </c>
      <c r="AP10" s="457">
        <f>+_xlfn.XLOOKUP(AQ10,'Ranking FIFA'!B:B,'Ranking FIFA'!A:A,"--",0)</f>
        <v>7</v>
      </c>
      <c r="AQ10" t="s">
        <v>54</v>
      </c>
      <c r="AR10" s="6">
        <v>1</v>
      </c>
      <c r="AS10" s="6">
        <v>1</v>
      </c>
      <c r="AT10" s="169">
        <f t="shared" si="8"/>
        <v>1</v>
      </c>
      <c r="AU10" s="166">
        <f t="shared" si="9"/>
        <v>101.98020000142859</v>
      </c>
      <c r="AW10" t="s">
        <v>291</v>
      </c>
      <c r="AX10" s="174">
        <f>+_xlfn.MINIFS(AU:AU,AS:AS,1)</f>
        <v>101.98020000142859</v>
      </c>
      <c r="BH10">
        <v>7</v>
      </c>
      <c r="BI10" t="str">
        <f t="shared" si="11"/>
        <v>Qatar</v>
      </c>
      <c r="BJ10" s="6">
        <f>+COUNTIFS('Inputs summary'!I$2:I$106,BI10)</f>
        <v>0</v>
      </c>
      <c r="BK10" s="6">
        <f>+COUNTIFS('Inputs summary'!J$2:K$106,BI10)</f>
        <v>1</v>
      </c>
      <c r="BL10" s="6">
        <f>+COUNTIFS('Inputs summary'!L$2:L$106,BI10)</f>
        <v>2</v>
      </c>
      <c r="BM10" s="6">
        <f t="shared" si="19"/>
        <v>-2</v>
      </c>
      <c r="BN10" s="6">
        <f>+SUMIF('Inputs summary'!$B$1:$B$106,$BI10,'Inputs summary'!$C$1:$C$106)+SUMIF('Inputs summary'!$E$1:$E$106,$BI10,'Inputs summary'!$D$1:$D$106)</f>
        <v>1</v>
      </c>
      <c r="BO10" s="6">
        <f>+SUMIF('Inputs summary'!$B$1:$B$106,$BI10,'Inputs summary'!$D$1:$D$106)+SUMIF('Inputs summary'!$E$1:$E$106,$BI10,'Inputs summary'!$C$1:$C$106)</f>
        <v>3</v>
      </c>
      <c r="BP10" s="166">
        <f t="shared" si="12"/>
        <v>1.9810455</v>
      </c>
    </row>
    <row r="11" spans="1:71" x14ac:dyDescent="0.2">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3</v>
      </c>
      <c r="R11" s="6">
        <f>+COUNTIFS('Inputs summary'!J:K,$H11)</f>
        <v>1</v>
      </c>
      <c r="S11" s="6">
        <f>+COUNTIFS('Inputs summary'!L:L,$H11)</f>
        <v>1</v>
      </c>
      <c r="T11" s="6">
        <f t="shared" si="14"/>
        <v>2</v>
      </c>
      <c r="U11" s="6">
        <f>+SUMIF('Inputs summary'!B:B,H11,'Inputs summary'!C:C)+SUMIF('Inputs summary'!E:E,H11,'Inputs summary'!D:D)</f>
        <v>4</v>
      </c>
      <c r="V11" s="6">
        <f>+SUMIF('Inputs summary'!B:B,H11,'Inputs summary'!D:D)+SUMIF('Inputs summary'!E:E,H11,'Inputs summary'!C:C)</f>
        <v>2</v>
      </c>
      <c r="W11" s="159">
        <f t="shared" si="15"/>
        <v>210.02040000052634</v>
      </c>
      <c r="X11" s="173">
        <f t="shared" si="16"/>
        <v>11</v>
      </c>
      <c r="Y11" s="167">
        <f t="shared" si="7"/>
        <v>2</v>
      </c>
      <c r="Z11" s="173">
        <f t="shared" si="17"/>
        <v>210.02040050052634</v>
      </c>
      <c r="AA11" s="173">
        <f>+_xlfn.XLOOKUP(H11,'Ranking FIFA'!B:B,'Ranking FIFA'!A:A,"--",0)</f>
        <v>19</v>
      </c>
      <c r="AG11" t="str">
        <f>+'Quarter, Semis &amp; Final'!K9</f>
        <v>Colombia</v>
      </c>
      <c r="AH11" t="str">
        <f>+'Round of 32 &amp; Round of 16'!S29</f>
        <v>Inglaterra</v>
      </c>
      <c r="AI11" t="str">
        <f>+'Round of 32 &amp; Round of 16'!E17</f>
        <v>Suecia</v>
      </c>
      <c r="AP11" s="457">
        <f>+_xlfn.XLOOKUP(AQ11,'Ranking FIFA'!B:B,'Ranking FIFA'!A:A,"--",0)</f>
        <v>9</v>
      </c>
      <c r="AQ11" t="s">
        <v>55</v>
      </c>
      <c r="AR11" s="6">
        <v>1</v>
      </c>
      <c r="AS11" s="6">
        <v>2</v>
      </c>
      <c r="AT11" s="169">
        <f t="shared" si="8"/>
        <v>1</v>
      </c>
      <c r="AU11" s="166">
        <f t="shared" si="9"/>
        <v>105.01050000111111</v>
      </c>
      <c r="AW11" t="s">
        <v>851</v>
      </c>
      <c r="AX11" s="174">
        <f>+_xlfn.XLOOKUP(AX10,AU:AU,AT:AT,"-",0)</f>
        <v>1</v>
      </c>
      <c r="AY11" s="175" t="str">
        <f>+IF(AX11&gt;=AY2,"-",AX9)</f>
        <v>Paises Bajos</v>
      </c>
      <c r="BH11">
        <v>8</v>
      </c>
      <c r="BI11" t="str">
        <f t="shared" si="11"/>
        <v>Suiza</v>
      </c>
      <c r="BJ11" s="6">
        <f>+COUNTIFS('Inputs summary'!I$2:I$106,BI11)</f>
        <v>2</v>
      </c>
      <c r="BK11" s="6">
        <f>+COUNTIFS('Inputs summary'!J$2:K$106,BI11)</f>
        <v>1</v>
      </c>
      <c r="BL11" s="6">
        <f>+COUNTIFS('Inputs summary'!L$2:L$106,BI11)</f>
        <v>0</v>
      </c>
      <c r="BM11" s="6">
        <f t="shared" si="19"/>
        <v>2</v>
      </c>
      <c r="BN11" s="6">
        <f>+SUMIF('Inputs summary'!$B$1:$B$106,$BI11,'Inputs summary'!$C$1:$C$106)+SUMIF('Inputs summary'!$E$1:$E$106,$BI11,'Inputs summary'!$D$1:$D$106)</f>
        <v>3</v>
      </c>
      <c r="BO11" s="6">
        <f>+SUMIF('Inputs summary'!$B$1:$B$106,$BI11,'Inputs summary'!$D$1:$D$106)+SUMIF('Inputs summary'!$E$1:$E$106,$BI11,'Inputs summary'!$C$1:$C$106)</f>
        <v>1</v>
      </c>
      <c r="BP11" s="166">
        <f t="shared" si="12"/>
        <v>8.0230218999999998</v>
      </c>
    </row>
    <row r="12" spans="1:71" x14ac:dyDescent="0.2">
      <c r="G12">
        <v>9</v>
      </c>
      <c r="H12" t="str">
        <f>+'Groups Stage'!O21</f>
        <v>Brasil</v>
      </c>
      <c r="I12" s="6">
        <f t="shared" si="0"/>
        <v>0</v>
      </c>
      <c r="J12" s="6">
        <f t="shared" si="1"/>
        <v>0</v>
      </c>
      <c r="K12" s="6">
        <f t="shared" si="2"/>
        <v>0</v>
      </c>
      <c r="L12" s="6">
        <f t="shared" si="3"/>
        <v>1</v>
      </c>
      <c r="M12" s="6">
        <f t="shared" si="4"/>
        <v>1</v>
      </c>
      <c r="N12" s="6">
        <f t="shared" si="5"/>
        <v>1</v>
      </c>
      <c r="O12" s="6">
        <f t="shared" si="6"/>
        <v>1</v>
      </c>
      <c r="P12" s="6">
        <f t="shared" si="13"/>
        <v>4</v>
      </c>
      <c r="Q12" s="6">
        <f>+COUNTIFS('Inputs summary'!I:I,$H12)</f>
        <v>6</v>
      </c>
      <c r="R12" s="6">
        <f>+COUNTIFS('Inputs summary'!J:K,$H12)</f>
        <v>0</v>
      </c>
      <c r="S12" s="6">
        <f>+COUNTIFS('Inputs summary'!L:L,$H12)</f>
        <v>2</v>
      </c>
      <c r="T12" s="6">
        <f t="shared" si="14"/>
        <v>8</v>
      </c>
      <c r="U12" s="6">
        <f>+SUMIF('Inputs summary'!B:B,H12,'Inputs summary'!C:C)+SUMIF('Inputs summary'!E:E,H12,'Inputs summary'!D:D)</f>
        <v>10</v>
      </c>
      <c r="V12" s="6">
        <f>+SUMIF('Inputs summary'!B:B,H12,'Inputs summary'!D:D)+SUMIF('Inputs summary'!E:E,H12,'Inputs summary'!C:C)</f>
        <v>2</v>
      </c>
      <c r="W12" s="159">
        <f t="shared" si="15"/>
        <v>418.08100000166661</v>
      </c>
      <c r="X12" s="173">
        <f t="shared" si="16"/>
        <v>1111</v>
      </c>
      <c r="Y12" s="167">
        <f t="shared" si="7"/>
        <v>1</v>
      </c>
      <c r="Z12" s="173">
        <f t="shared" si="17"/>
        <v>418.08100100166661</v>
      </c>
      <c r="AA12" s="173">
        <f>+_xlfn.XLOOKUP(H12,'Ranking FIFA'!B:B,'Ranking FIFA'!A:A,"--",0)</f>
        <v>6</v>
      </c>
      <c r="AH12" t="str">
        <f>+'Round of 32 &amp; Round of 16'!V5</f>
        <v>Portugal</v>
      </c>
      <c r="AI12" t="str">
        <f>+'Round of 32 &amp; Round of 16'!B21</f>
        <v>Francia</v>
      </c>
      <c r="AP12" s="457">
        <f>+_xlfn.XLOOKUP(AQ12,'Ranking FIFA'!B:B,'Ranking FIFA'!A:A,"--",0)</f>
        <v>10</v>
      </c>
      <c r="AQ12" t="s">
        <v>56</v>
      </c>
      <c r="AR12" s="6">
        <v>1</v>
      </c>
      <c r="AS12" s="6">
        <v>1</v>
      </c>
      <c r="AT12" s="169">
        <f t="shared" si="8"/>
        <v>11</v>
      </c>
      <c r="AU12" s="166">
        <f t="shared" si="9"/>
        <v>212.06070000099999</v>
      </c>
      <c r="BH12">
        <v>9</v>
      </c>
      <c r="BI12" t="str">
        <f t="shared" si="11"/>
        <v>Brasil</v>
      </c>
      <c r="BJ12" s="6">
        <f>+COUNTIFS('Inputs summary'!I$2:I$106,BI12)</f>
        <v>3</v>
      </c>
      <c r="BK12" s="6">
        <f>+COUNTIFS('Inputs summary'!J$2:K$106,BI12)</f>
        <v>0</v>
      </c>
      <c r="BL12" s="6">
        <f>+COUNTIFS('Inputs summary'!L$2:L$106,BI12)</f>
        <v>0</v>
      </c>
      <c r="BM12" s="6">
        <f t="shared" si="19"/>
        <v>7</v>
      </c>
      <c r="BN12" s="6">
        <f>+SUMIF('Inputs summary'!$B$1:$B$106,$BI12,'Inputs summary'!$C$1:$C$106)+SUMIF('Inputs summary'!$E$1:$E$106,$BI12,'Inputs summary'!$D$1:$D$106)</f>
        <v>7</v>
      </c>
      <c r="BO12" s="6">
        <f>+SUMIF('Inputs summary'!$B$1:$B$106,$BI12,'Inputs summary'!$D$1:$D$106)+SUMIF('Inputs summary'!$E$1:$E$106,$BI12,'Inputs summary'!$C$1:$C$106)</f>
        <v>0</v>
      </c>
      <c r="BP12" s="166">
        <f t="shared" si="12"/>
        <v>9.0770105999999995</v>
      </c>
    </row>
    <row r="13" spans="1:71" x14ac:dyDescent="0.2">
      <c r="G13">
        <v>10</v>
      </c>
      <c r="H13" t="str">
        <f>+'Groups Stage'!O22</f>
        <v>Marruecos</v>
      </c>
      <c r="I13" s="6">
        <f t="shared" si="0"/>
        <v>0</v>
      </c>
      <c r="J13" s="6">
        <f t="shared" si="1"/>
        <v>0</v>
      </c>
      <c r="K13" s="6">
        <f t="shared" si="2"/>
        <v>0</v>
      </c>
      <c r="L13" s="6">
        <f t="shared" si="3"/>
        <v>0</v>
      </c>
      <c r="M13" s="6">
        <f t="shared" si="4"/>
        <v>0</v>
      </c>
      <c r="N13" s="6">
        <f t="shared" si="5"/>
        <v>0</v>
      </c>
      <c r="O13" s="6">
        <f t="shared" si="6"/>
        <v>0</v>
      </c>
      <c r="P13" s="6">
        <f t="shared" si="13"/>
        <v>0</v>
      </c>
      <c r="Q13" s="6">
        <f>+COUNTIFS('Inputs summary'!I:I,$H13)</f>
        <v>0</v>
      </c>
      <c r="R13" s="6">
        <f>+COUNTIFS('Inputs summary'!J:K,$H13)</f>
        <v>2</v>
      </c>
      <c r="S13" s="6">
        <f>+COUNTIFS('Inputs summary'!L:L,$H13)</f>
        <v>1</v>
      </c>
      <c r="T13" s="6">
        <f t="shared" si="14"/>
        <v>-2</v>
      </c>
      <c r="U13" s="6">
        <f>+SUMIF('Inputs summary'!B:B,H13,'Inputs summary'!C:C)+SUMIF('Inputs summary'!E:E,H13,'Inputs summary'!D:D)</f>
        <v>2</v>
      </c>
      <c r="V13" s="6">
        <f>+SUMIF('Inputs summary'!B:B,H13,'Inputs summary'!D:D)+SUMIF('Inputs summary'!E:E,H13,'Inputs summary'!C:C)</f>
        <v>4</v>
      </c>
      <c r="W13" s="159">
        <f t="shared" si="15"/>
        <v>1.9802000012500001</v>
      </c>
      <c r="X13" s="173">
        <f t="shared" si="16"/>
        <v>0</v>
      </c>
      <c r="Y13" s="167">
        <f t="shared" si="7"/>
        <v>2</v>
      </c>
      <c r="Z13" s="173">
        <f t="shared" si="17"/>
        <v>1.9802005012500001</v>
      </c>
      <c r="AA13" s="173">
        <f>+_xlfn.XLOOKUP(H13,'Ranking FIFA'!B:B,'Ranking FIFA'!A:A,"--",0)</f>
        <v>8</v>
      </c>
      <c r="AH13" t="str">
        <f>+'Round of 32 &amp; Round of 16'!Y5</f>
        <v>España</v>
      </c>
      <c r="AI13" t="str">
        <f>+'Round of 32 &amp; Round of 16'!E21</f>
        <v>Paises Bajos</v>
      </c>
      <c r="AP13" s="457">
        <f>+_xlfn.XLOOKUP(AQ13,'Ranking FIFA'!B:B,'Ranking FIFA'!A:A,"--",0)</f>
        <v>11</v>
      </c>
      <c r="AQ13" t="s">
        <v>57</v>
      </c>
      <c r="AR13" s="6">
        <v>1</v>
      </c>
      <c r="AS13" s="6">
        <v>2</v>
      </c>
      <c r="AT13" s="169">
        <f t="shared" si="8"/>
        <v>1</v>
      </c>
      <c r="AU13" s="166">
        <f t="shared" si="9"/>
        <v>105.9902000009091</v>
      </c>
      <c r="AW13" t="s">
        <v>852</v>
      </c>
      <c r="AX13" t="str">
        <f>+_xlfn.XLOOKUP(AX14,AU:AU,AQ:AQ,"-",0)</f>
        <v>Belgica</v>
      </c>
      <c r="BH13">
        <v>10</v>
      </c>
      <c r="BI13" t="str">
        <f t="shared" si="11"/>
        <v>Marruecos</v>
      </c>
      <c r="BJ13" s="6">
        <f>+COUNTIFS('Inputs summary'!I$2:I$106,BI13)</f>
        <v>0</v>
      </c>
      <c r="BK13" s="6">
        <f>+COUNTIFS('Inputs summary'!J$2:K$106,BI13)</f>
        <v>2</v>
      </c>
      <c r="BL13" s="6">
        <f>+COUNTIFS('Inputs summary'!L$2:L$106,BI13)</f>
        <v>1</v>
      </c>
      <c r="BM13" s="6">
        <f t="shared" si="19"/>
        <v>-2</v>
      </c>
      <c r="BN13" s="6">
        <f>+SUMIF('Inputs summary'!$B$1:$B$106,$BI13,'Inputs summary'!$C$1:$C$106)+SUMIF('Inputs summary'!$E$1:$E$106,$BI13,'Inputs summary'!$D$1:$D$106)</f>
        <v>2</v>
      </c>
      <c r="BO13" s="6">
        <f>+SUMIF('Inputs summary'!$B$1:$B$106,$BI13,'Inputs summary'!$D$1:$D$106)+SUMIF('Inputs summary'!$E$1:$E$106,$BI13,'Inputs summary'!$C$1:$C$106)</f>
        <v>4</v>
      </c>
      <c r="BP13" s="166">
        <f t="shared" si="12"/>
        <v>3.9820207999999999</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1</v>
      </c>
      <c r="S14" s="6">
        <f>+COUNTIFS('Inputs summary'!L:L,$H14)</f>
        <v>2</v>
      </c>
      <c r="T14" s="6">
        <f t="shared" si="14"/>
        <v>-4</v>
      </c>
      <c r="U14" s="6">
        <f>+SUMIF('Inputs summary'!B:B,H14,'Inputs summary'!C:C)+SUMIF('Inputs summary'!E:E,H14,'Inputs summary'!D:D)</f>
        <v>1</v>
      </c>
      <c r="V14" s="6">
        <f>+SUMIF('Inputs summary'!B:B,H14,'Inputs summary'!D:D)+SUMIF('Inputs summary'!E:E,H14,'Inputs summary'!C:C)</f>
        <v>5</v>
      </c>
      <c r="W14" s="159">
        <f t="shared" si="15"/>
        <v>0.96010000012048191</v>
      </c>
      <c r="X14" s="173">
        <f t="shared" si="16"/>
        <v>0</v>
      </c>
      <c r="Y14" s="167">
        <f t="shared" si="7"/>
        <v>4</v>
      </c>
      <c r="Z14" s="173">
        <f t="shared" si="17"/>
        <v>0.96010025012048195</v>
      </c>
      <c r="AA14" s="173">
        <f>+_xlfn.XLOOKUP(H14,'Ranking FIFA'!B:B,'Ranking FIFA'!A:A,"--",0)</f>
        <v>83</v>
      </c>
      <c r="AH14" t="str">
        <f>+'Round of 32 &amp; Round of 16'!V13</f>
        <v>Paraguay</v>
      </c>
      <c r="AI14" t="str">
        <f>+'Round of 32 &amp; Round of 16'!B25</f>
        <v>Ecuador</v>
      </c>
      <c r="AP14" s="457">
        <f>+_xlfn.XLOOKUP(AQ14,'Ranking FIFA'!B:B,'Ranking FIFA'!A:A,"--",0)</f>
        <v>17</v>
      </c>
      <c r="AQ14" t="s">
        <v>58</v>
      </c>
      <c r="AR14" s="6">
        <v>1</v>
      </c>
      <c r="AS14" s="6">
        <v>2</v>
      </c>
      <c r="AT14" s="169">
        <f t="shared" si="8"/>
        <v>1</v>
      </c>
      <c r="AU14" s="166">
        <f t="shared" si="9"/>
        <v>107.02050000058823</v>
      </c>
      <c r="AW14" t="s">
        <v>291</v>
      </c>
      <c r="AX14" s="174">
        <f>+_xlfn.MINIFS(AU:AU,AS:AS,2)</f>
        <v>105.01050000111111</v>
      </c>
      <c r="BH14">
        <v>11</v>
      </c>
      <c r="BI14" t="str">
        <f t="shared" si="11"/>
        <v>Haiti</v>
      </c>
      <c r="BJ14" s="6">
        <f>+COUNTIFS('Inputs summary'!I$2:I$106,BI14)</f>
        <v>0</v>
      </c>
      <c r="BK14" s="6">
        <f>+COUNTIFS('Inputs summary'!J$2:K$106,BI14)</f>
        <v>1</v>
      </c>
      <c r="BL14" s="6">
        <f>+COUNTIFS('Inputs summary'!L$2:L$106,BI14)</f>
        <v>2</v>
      </c>
      <c r="BM14" s="6">
        <f t="shared" si="19"/>
        <v>-4</v>
      </c>
      <c r="BN14" s="6">
        <f>+SUMIF('Inputs summary'!$B$1:$B$106,$BI14,'Inputs summary'!$C$1:$C$106)+SUMIF('Inputs summary'!$E$1:$E$106,$BI14,'Inputs summary'!$D$1:$D$106)</f>
        <v>1</v>
      </c>
      <c r="BO14" s="6">
        <f>+SUMIF('Inputs summary'!$B$1:$B$106,$BI14,'Inputs summary'!$D$1:$D$106)+SUMIF('Inputs summary'!$E$1:$E$106,$BI14,'Inputs summary'!$C$1:$C$106)</f>
        <v>5</v>
      </c>
      <c r="BP14" s="166">
        <f t="shared" si="12"/>
        <v>1.9610482999999999</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1</v>
      </c>
      <c r="S15" s="6">
        <f>+COUNTIFS('Inputs summary'!L:L,$H15)</f>
        <v>2</v>
      </c>
      <c r="T15" s="6">
        <f t="shared" si="14"/>
        <v>-2</v>
      </c>
      <c r="U15" s="6">
        <f>+SUMIF('Inputs summary'!B:B,H15,'Inputs summary'!C:C)+SUMIF('Inputs summary'!E:E,H15,'Inputs summary'!D:D)</f>
        <v>2</v>
      </c>
      <c r="V15" s="6">
        <f>+SUMIF('Inputs summary'!B:B,H15,'Inputs summary'!D:D)+SUMIF('Inputs summary'!E:E,H15,'Inputs summary'!C:C)</f>
        <v>4</v>
      </c>
      <c r="W15" s="159">
        <f t="shared" si="15"/>
        <v>103.98020000023257</v>
      </c>
      <c r="X15" s="173">
        <f t="shared" si="16"/>
        <v>1</v>
      </c>
      <c r="Y15" s="167">
        <f t="shared" si="7"/>
        <v>3</v>
      </c>
      <c r="Z15" s="173">
        <f t="shared" si="17"/>
        <v>103.9802003335659</v>
      </c>
      <c r="AA15" s="173">
        <f>+_xlfn.XLOOKUP(H15,'Ranking FIFA'!B:B,'Ranking FIFA'!A:A,"--",0)</f>
        <v>43</v>
      </c>
      <c r="AH15" t="str">
        <f>+'Round of 32 &amp; Round of 16'!Y13</f>
        <v>Repubilca Checa</v>
      </c>
      <c r="AI15" t="str">
        <f>+'Round of 32 &amp; Round of 16'!E25</f>
        <v>Noruega</v>
      </c>
      <c r="AP15" s="457">
        <f>+_xlfn.XLOOKUP(AQ15,'Ranking FIFA'!B:B,'Ranking FIFA'!A:A,"--",0)</f>
        <v>8</v>
      </c>
      <c r="AQ15" t="s">
        <v>59</v>
      </c>
      <c r="AR15" s="6">
        <v>2</v>
      </c>
      <c r="AT15" s="169">
        <f t="shared" si="8"/>
        <v>0</v>
      </c>
      <c r="AU15" s="166">
        <f t="shared" si="9"/>
        <v>1.9802000012500001</v>
      </c>
      <c r="AW15" t="s">
        <v>851</v>
      </c>
      <c r="AX15" s="174">
        <f>+_xlfn.XLOOKUP(AX14,AU:AU,AT:AT,"-",0)</f>
        <v>1</v>
      </c>
      <c r="AY15" s="175" t="str">
        <f>+IF(AX15&gt;=AY2,"-",AX13)</f>
        <v>Belgica</v>
      </c>
      <c r="BH15">
        <v>12</v>
      </c>
      <c r="BI15" t="str">
        <f t="shared" si="11"/>
        <v>Escocia</v>
      </c>
      <c r="BJ15" s="6">
        <f>+COUNTIFS('Inputs summary'!I$2:I$106,BI15)</f>
        <v>1</v>
      </c>
      <c r="BK15" s="6">
        <f>+COUNTIFS('Inputs summary'!J$2:K$106,BI15)</f>
        <v>1</v>
      </c>
      <c r="BL15" s="6">
        <f>+COUNTIFS('Inputs summary'!L$2:L$106,BI15)</f>
        <v>1</v>
      </c>
      <c r="BM15" s="6">
        <f t="shared" si="19"/>
        <v>-1</v>
      </c>
      <c r="BN15" s="6">
        <f>+SUMIF('Inputs summary'!$B$1:$B$106,$BI15,'Inputs summary'!$C$1:$C$106)+SUMIF('Inputs summary'!$E$1:$E$106,$BI15,'Inputs summary'!$D$1:$D$106)</f>
        <v>2</v>
      </c>
      <c r="BO15" s="6">
        <f>+SUMIF('Inputs summary'!$B$1:$B$106,$BI15,'Inputs summary'!$D$1:$D$106)+SUMIF('Inputs summary'!$E$1:$E$106,$BI15,'Inputs summary'!$C$1:$C$106)</f>
        <v>3</v>
      </c>
      <c r="BP15" s="166">
        <f t="shared" si="12"/>
        <v>4.9920342999999994</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1</v>
      </c>
      <c r="O16" s="6">
        <f t="shared" si="6"/>
        <v>1</v>
      </c>
      <c r="P16" s="6">
        <f t="shared" si="13"/>
        <v>2</v>
      </c>
      <c r="Q16" s="6">
        <f>+COUNTIFS('Inputs summary'!I:I,$H16)</f>
        <v>3</v>
      </c>
      <c r="R16" s="6">
        <f>+COUNTIFS('Inputs summary'!J:K,$H16)</f>
        <v>0</v>
      </c>
      <c r="S16" s="6">
        <f>+COUNTIFS('Inputs summary'!L:L,$H16)</f>
        <v>2</v>
      </c>
      <c r="T16" s="6">
        <f t="shared" si="14"/>
        <v>1</v>
      </c>
      <c r="U16" s="6">
        <f>+SUMIF('Inputs summary'!B:B,H16,'Inputs summary'!C:C)+SUMIF('Inputs summary'!E:E,H16,'Inputs summary'!D:D)</f>
        <v>6</v>
      </c>
      <c r="V16" s="6">
        <f>+SUMIF('Inputs summary'!B:B,H16,'Inputs summary'!D:D)+SUMIF('Inputs summary'!E:E,H16,'Inputs summary'!C:C)</f>
        <v>5</v>
      </c>
      <c r="W16" s="159">
        <f t="shared" si="15"/>
        <v>209.01060000062498</v>
      </c>
      <c r="X16" s="173">
        <f t="shared" si="16"/>
        <v>11</v>
      </c>
      <c r="Y16" s="167">
        <f t="shared" si="7"/>
        <v>2</v>
      </c>
      <c r="Z16" s="173">
        <f t="shared" si="17"/>
        <v>209.01060050062497</v>
      </c>
      <c r="AA16" s="173">
        <f>+_xlfn.XLOOKUP(H16,'Ranking FIFA'!B:B,'Ranking FIFA'!A:A,"--",0)</f>
        <v>16</v>
      </c>
      <c r="AH16" t="str">
        <f>+'Round of 32 &amp; Round of 16'!V21</f>
        <v>Argentina</v>
      </c>
      <c r="AI16" t="str">
        <f>+'Round of 32 &amp; Round of 16'!B29</f>
        <v>Mexico</v>
      </c>
      <c r="AP16" s="457">
        <f>+_xlfn.XLOOKUP(AQ16,'Ranking FIFA'!B:B,'Ranking FIFA'!A:A,"--",0)</f>
        <v>13</v>
      </c>
      <c r="AQ16" t="s">
        <v>60</v>
      </c>
      <c r="AR16" s="6">
        <v>2</v>
      </c>
      <c r="AT16" s="169">
        <f t="shared" si="8"/>
        <v>111</v>
      </c>
      <c r="AU16" s="166">
        <f t="shared" si="9"/>
        <v>313.04070000076922</v>
      </c>
      <c r="BH16">
        <v>13</v>
      </c>
      <c r="BI16" t="str">
        <f t="shared" si="11"/>
        <v>Estados Unidos</v>
      </c>
      <c r="BJ16" s="6">
        <f>+COUNTIFS('Inputs summary'!I$2:I$106,BI16)</f>
        <v>2</v>
      </c>
      <c r="BK16" s="6">
        <f>+COUNTIFS('Inputs summary'!J$2:K$106,BI16)</f>
        <v>0</v>
      </c>
      <c r="BL16" s="6">
        <f>+COUNTIFS('Inputs summary'!L$2:L$106,BI16)</f>
        <v>1</v>
      </c>
      <c r="BM16" s="6">
        <f t="shared" si="19"/>
        <v>1</v>
      </c>
      <c r="BN16" s="6">
        <f>+SUMIF('Inputs summary'!$B$1:$B$106,$BI16,'Inputs summary'!$C$1:$C$106)+SUMIF('Inputs summary'!$E$1:$E$106,$BI16,'Inputs summary'!$D$1:$D$106)</f>
        <v>5</v>
      </c>
      <c r="BO16" s="6">
        <f>+SUMIF('Inputs summary'!$B$1:$B$106,$BI16,'Inputs summary'!$D$1:$D$106)+SUMIF('Inputs summary'!$E$1:$E$106,$BI16,'Inputs summary'!$C$1:$C$106)</f>
        <v>4</v>
      </c>
      <c r="BP16" s="166">
        <f t="shared" si="12"/>
        <v>6.0150215999999999</v>
      </c>
    </row>
    <row r="17" spans="7:68" x14ac:dyDescent="0.2">
      <c r="G17">
        <v>14</v>
      </c>
      <c r="H17" t="str">
        <f>+'Groups Stage'!O31</f>
        <v>Paraguay</v>
      </c>
      <c r="I17" s="6">
        <f t="shared" si="0"/>
        <v>0</v>
      </c>
      <c r="J17" s="6">
        <f t="shared" si="1"/>
        <v>0</v>
      </c>
      <c r="K17" s="6">
        <f t="shared" si="2"/>
        <v>0</v>
      </c>
      <c r="L17" s="6">
        <f t="shared" si="3"/>
        <v>0</v>
      </c>
      <c r="M17" s="6">
        <f t="shared" si="4"/>
        <v>1</v>
      </c>
      <c r="N17" s="6">
        <f t="shared" si="5"/>
        <v>1</v>
      </c>
      <c r="O17" s="6">
        <f t="shared" si="6"/>
        <v>1</v>
      </c>
      <c r="P17" s="6">
        <f t="shared" si="13"/>
        <v>3</v>
      </c>
      <c r="Q17" s="6">
        <f>+COUNTIFS('Inputs summary'!I:I,$H17)</f>
        <v>5</v>
      </c>
      <c r="R17" s="6">
        <f>+COUNTIFS('Inputs summary'!J:K,$H17)</f>
        <v>0</v>
      </c>
      <c r="S17" s="6">
        <f>+COUNTIFS('Inputs summary'!L:L,$H17)</f>
        <v>1</v>
      </c>
      <c r="T17" s="6">
        <f t="shared" si="14"/>
        <v>4</v>
      </c>
      <c r="U17" s="6">
        <f>+SUMIF('Inputs summary'!B:B,H17,'Inputs summary'!C:C)+SUMIF('Inputs summary'!E:E,H17,'Inputs summary'!D:D)</f>
        <v>6</v>
      </c>
      <c r="V17" s="6">
        <f>+SUMIF('Inputs summary'!B:B,H17,'Inputs summary'!D:D)+SUMIF('Inputs summary'!E:E,H17,'Inputs summary'!C:C)</f>
        <v>2</v>
      </c>
      <c r="W17" s="159">
        <f t="shared" si="15"/>
        <v>315.04060000025004</v>
      </c>
      <c r="X17" s="173">
        <f t="shared" si="16"/>
        <v>111</v>
      </c>
      <c r="Y17" s="167">
        <f t="shared" si="7"/>
        <v>2</v>
      </c>
      <c r="Z17" s="173">
        <f t="shared" si="17"/>
        <v>315.04060050025004</v>
      </c>
      <c r="AA17" s="173">
        <f>+_xlfn.XLOOKUP(H17,'Ranking FIFA'!B:B,'Ranking FIFA'!A:A,"--",0)</f>
        <v>40</v>
      </c>
      <c r="AH17" t="str">
        <f>+'Round of 32 &amp; Round of 16'!Y21</f>
        <v>Estados Unidos</v>
      </c>
      <c r="AI17" t="str">
        <f>+'Round of 32 &amp; Round of 16'!E29</f>
        <v>Arabia Saudita</v>
      </c>
      <c r="AP17" s="457">
        <f>+_xlfn.XLOOKUP(AQ17,'Ranking FIFA'!B:B,'Ranking FIFA'!A:A,"--",0)</f>
        <v>14</v>
      </c>
      <c r="AQ17" t="s">
        <v>61</v>
      </c>
      <c r="AR17" s="6">
        <v>2</v>
      </c>
      <c r="AT17" s="169">
        <f t="shared" si="8"/>
        <v>1</v>
      </c>
      <c r="AU17" s="166">
        <f t="shared" si="9"/>
        <v>101.97020000071429</v>
      </c>
      <c r="AY17" s="175" t="str">
        <f>+IF(AY11="-",IF(AY15="-","-",AY15),IF(AY15="-",AY11,IF(AX11&lt;=AX15,AY11,AY15)))</f>
        <v>Paises Bajos</v>
      </c>
      <c r="BH17">
        <v>14</v>
      </c>
      <c r="BI17" t="str">
        <f t="shared" si="11"/>
        <v>Paraguay</v>
      </c>
      <c r="BJ17" s="6">
        <f>+COUNTIFS('Inputs summary'!I$2:I$106,BI17)</f>
        <v>3</v>
      </c>
      <c r="BK17" s="6">
        <f>+COUNTIFS('Inputs summary'!J$2:K$106,BI17)</f>
        <v>0</v>
      </c>
      <c r="BL17" s="6">
        <f>+COUNTIFS('Inputs summary'!L$2:L$106,BI17)</f>
        <v>0</v>
      </c>
      <c r="BM17" s="6">
        <f t="shared" si="19"/>
        <v>3</v>
      </c>
      <c r="BN17" s="6">
        <f>+SUMIF('Inputs summary'!$B$1:$B$106,$BI17,'Inputs summary'!$C$1:$C$106)+SUMIF('Inputs summary'!$E$1:$E$106,$BI17,'Inputs summary'!$D$1:$D$106)</f>
        <v>4</v>
      </c>
      <c r="BO17" s="6">
        <f>+SUMIF('Inputs summary'!$B$1:$B$106,$BI17,'Inputs summary'!$D$1:$D$106)+SUMIF('Inputs summary'!$E$1:$E$106,$BI17,'Inputs summary'!$C$1:$C$106)</f>
        <v>1</v>
      </c>
      <c r="BP17" s="166">
        <f t="shared" si="12"/>
        <v>9.0340239999999987</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1</v>
      </c>
      <c r="P18" s="6">
        <f t="shared" si="13"/>
        <v>1</v>
      </c>
      <c r="Q18" s="6">
        <f>+COUNTIFS('Inputs summary'!I:I,$H18)</f>
        <v>1</v>
      </c>
      <c r="R18" s="6">
        <f>+COUNTIFS('Inputs summary'!J:K,$H18)</f>
        <v>0</v>
      </c>
      <c r="S18" s="6">
        <f>+COUNTIFS('Inputs summary'!L:L,$H18)</f>
        <v>3</v>
      </c>
      <c r="T18" s="6">
        <f t="shared" si="14"/>
        <v>-1</v>
      </c>
      <c r="U18" s="6">
        <f>+SUMIF('Inputs summary'!B:B,H18,'Inputs summary'!C:C)+SUMIF('Inputs summary'!E:E,H18,'Inputs summary'!D:D)</f>
        <v>3</v>
      </c>
      <c r="V18" s="6">
        <f>+SUMIF('Inputs summary'!B:B,H18,'Inputs summary'!D:D)+SUMIF('Inputs summary'!E:E,H18,'Inputs summary'!C:C)</f>
        <v>4</v>
      </c>
      <c r="W18" s="159">
        <f t="shared" si="15"/>
        <v>102.99030000037035</v>
      </c>
      <c r="X18" s="173">
        <f t="shared" si="16"/>
        <v>1</v>
      </c>
      <c r="Y18" s="167">
        <f t="shared" si="7"/>
        <v>3</v>
      </c>
      <c r="Z18" s="173">
        <f t="shared" si="17"/>
        <v>102.99030033370369</v>
      </c>
      <c r="AA18" s="173">
        <f>+_xlfn.XLOOKUP(H18,'Ranking FIFA'!B:B,'Ranking FIFA'!A:A,"--",0)</f>
        <v>27</v>
      </c>
      <c r="AH18" t="str">
        <f>+'Round of 32 &amp; Round of 16'!V29</f>
        <v>Suiza</v>
      </c>
      <c r="AI18" t="str">
        <f>+'Round of 32 &amp; Round of 16'!B33</f>
        <v>Inglaterra</v>
      </c>
      <c r="AP18" s="457">
        <f>+_xlfn.XLOOKUP(AQ18,'Ranking FIFA'!B:B,'Ranking FIFA'!A:A,"--",0)</f>
        <v>15</v>
      </c>
      <c r="AQ18" t="s">
        <v>62</v>
      </c>
      <c r="AR18" s="6">
        <v>2</v>
      </c>
      <c r="AT18" s="169">
        <f t="shared" si="8"/>
        <v>11</v>
      </c>
      <c r="AU18" s="166">
        <f t="shared" si="9"/>
        <v>210.03040000066667</v>
      </c>
      <c r="BH18">
        <v>15</v>
      </c>
      <c r="BI18" t="str">
        <f t="shared" si="11"/>
        <v>Australia</v>
      </c>
      <c r="BJ18" s="6">
        <f>+COUNTIFS('Inputs summary'!I$2:I$106,BI18)</f>
        <v>1</v>
      </c>
      <c r="BK18" s="6">
        <f>+COUNTIFS('Inputs summary'!J$2:K$106,BI18)</f>
        <v>0</v>
      </c>
      <c r="BL18" s="6">
        <f>+COUNTIFS('Inputs summary'!L$2:L$106,BI18)</f>
        <v>2</v>
      </c>
      <c r="BM18" s="6">
        <f t="shared" si="19"/>
        <v>0</v>
      </c>
      <c r="BN18" s="6">
        <f>+SUMIF('Inputs summary'!$B$1:$B$106,$BI18,'Inputs summary'!$C$1:$C$106)+SUMIF('Inputs summary'!$E$1:$E$106,$BI18,'Inputs summary'!$D$1:$D$106)</f>
        <v>3</v>
      </c>
      <c r="BO18" s="6">
        <f>+SUMIF('Inputs summary'!$B$1:$B$106,$BI18,'Inputs summary'!$D$1:$D$106)+SUMIF('Inputs summary'!$E$1:$E$106,$BI18,'Inputs summary'!$C$1:$C$106)</f>
        <v>3</v>
      </c>
      <c r="BP18" s="166">
        <f t="shared" si="12"/>
        <v>3.0030327000000003</v>
      </c>
    </row>
    <row r="19" spans="7:68" x14ac:dyDescent="0.2">
      <c r="G19">
        <v>16</v>
      </c>
      <c r="H19" t="str">
        <f>+'Groups Stage'!O33</f>
        <v>Turquia</v>
      </c>
      <c r="I19" s="6">
        <f t="shared" si="0"/>
        <v>0</v>
      </c>
      <c r="J19" s="6">
        <f t="shared" si="1"/>
        <v>0</v>
      </c>
      <c r="K19" s="6">
        <f t="shared" si="2"/>
        <v>0</v>
      </c>
      <c r="L19" s="6">
        <f t="shared" si="3"/>
        <v>0</v>
      </c>
      <c r="M19" s="6">
        <f t="shared" si="4"/>
        <v>0</v>
      </c>
      <c r="N19" s="6">
        <f t="shared" si="5"/>
        <v>0</v>
      </c>
      <c r="O19" s="6">
        <f t="shared" si="6"/>
        <v>0</v>
      </c>
      <c r="P19" s="6">
        <f t="shared" si="13"/>
        <v>0</v>
      </c>
      <c r="Q19" s="6">
        <f>+COUNTIFS('Inputs summary'!I:I,$H19)</f>
        <v>0</v>
      </c>
      <c r="R19" s="6">
        <f>+COUNTIFS('Inputs summary'!J:K,$H19)</f>
        <v>0</v>
      </c>
      <c r="S19" s="6">
        <f>+COUNTIFS('Inputs summary'!L:L,$H19)</f>
        <v>3</v>
      </c>
      <c r="T19" s="6">
        <f t="shared" si="14"/>
        <v>-4</v>
      </c>
      <c r="U19" s="6">
        <f>+SUMIF('Inputs summary'!B:B,H19,'Inputs summary'!C:C)+SUMIF('Inputs summary'!E:E,H19,'Inputs summary'!D:D)</f>
        <v>1</v>
      </c>
      <c r="V19" s="6">
        <f>+SUMIF('Inputs summary'!B:B,H19,'Inputs summary'!D:D)+SUMIF('Inputs summary'!E:E,H19,'Inputs summary'!C:C)</f>
        <v>5</v>
      </c>
      <c r="W19" s="159">
        <f t="shared" si="15"/>
        <v>-3.9899999545454541E-2</v>
      </c>
      <c r="X19" s="173">
        <f t="shared" si="16"/>
        <v>0</v>
      </c>
      <c r="Y19" s="167">
        <f t="shared" si="7"/>
        <v>2</v>
      </c>
      <c r="Z19" s="173">
        <f t="shared" si="17"/>
        <v>-3.9899499545454541E-2</v>
      </c>
      <c r="AA19" s="173">
        <f>+_xlfn.XLOOKUP(H19,'Ranking FIFA'!B:B,'Ranking FIFA'!A:A,"--",0)</f>
        <v>22</v>
      </c>
      <c r="AH19" t="str">
        <f>+'Round of 32 &amp; Round of 16'!Y29</f>
        <v>Colombia</v>
      </c>
      <c r="AI19" t="str">
        <f>+'Round of 32 &amp; Round of 16'!E33</f>
        <v>Uzbekistan</v>
      </c>
      <c r="AP19" s="457">
        <f>+_xlfn.XLOOKUP(AQ19,'Ranking FIFA'!B:B,'Ranking FIFA'!A:A,"--",0)</f>
        <v>16</v>
      </c>
      <c r="AQ19" t="s">
        <v>63</v>
      </c>
      <c r="AR19" s="6">
        <v>2</v>
      </c>
      <c r="AT19" s="169">
        <f t="shared" si="8"/>
        <v>11</v>
      </c>
      <c r="AU19" s="166">
        <f t="shared" si="9"/>
        <v>209.01060000062498</v>
      </c>
      <c r="BH19">
        <v>16</v>
      </c>
      <c r="BI19" t="str">
        <f t="shared" si="11"/>
        <v>Turquia</v>
      </c>
      <c r="BJ19" s="6">
        <f>+COUNTIFS('Inputs summary'!I$2:I$106,BI19)</f>
        <v>0</v>
      </c>
      <c r="BK19" s="6">
        <f>+COUNTIFS('Inputs summary'!J$2:K$106,BI19)</f>
        <v>0</v>
      </c>
      <c r="BL19" s="6">
        <f>+COUNTIFS('Inputs summary'!L$2:L$106,BI19)</f>
        <v>3</v>
      </c>
      <c r="BM19" s="6">
        <f t="shared" si="19"/>
        <v>-4</v>
      </c>
      <c r="BN19" s="6">
        <f>+SUMIF('Inputs summary'!$B$1:$B$106,$BI19,'Inputs summary'!$C$1:$C$106)+SUMIF('Inputs summary'!$E$1:$E$106,$BI19,'Inputs summary'!$D$1:$D$106)</f>
        <v>1</v>
      </c>
      <c r="BO19" s="6">
        <f>+SUMIF('Inputs summary'!$B$1:$B$106,$BI19,'Inputs summary'!$D$1:$D$106)+SUMIF('Inputs summary'!$E$1:$E$106,$BI19,'Inputs summary'!$C$1:$C$106)</f>
        <v>5</v>
      </c>
      <c r="BP19" s="166">
        <f t="shared" si="12"/>
        <v>-3.89778E-2</v>
      </c>
    </row>
    <row r="20" spans="7:68" x14ac:dyDescent="0.2">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4</v>
      </c>
      <c r="R20" s="6">
        <f>+COUNTIFS('Inputs summary'!J:K,$H20)</f>
        <v>0</v>
      </c>
      <c r="S20" s="6">
        <f>+COUNTIFS('Inputs summary'!L:L,$H20)</f>
        <v>1</v>
      </c>
      <c r="T20" s="6">
        <f t="shared" si="14"/>
        <v>6</v>
      </c>
      <c r="U20" s="6">
        <f>+SUMIF('Inputs summary'!B:B,H20,'Inputs summary'!C:C)+SUMIF('Inputs summary'!E:E,H20,'Inputs summary'!D:D)</f>
        <v>7</v>
      </c>
      <c r="V20" s="6">
        <f>+SUMIF('Inputs summary'!B:B,H20,'Inputs summary'!D:D)+SUMIF('Inputs summary'!E:E,H20,'Inputs summary'!C:C)</f>
        <v>1</v>
      </c>
      <c r="W20" s="159">
        <f t="shared" si="15"/>
        <v>212.06070000099999</v>
      </c>
      <c r="X20" s="173">
        <f t="shared" si="16"/>
        <v>11</v>
      </c>
      <c r="Y20" s="167">
        <f t="shared" si="7"/>
        <v>1</v>
      </c>
      <c r="Z20" s="173">
        <f t="shared" si="17"/>
        <v>212.06070100099998</v>
      </c>
      <c r="AA20" s="173">
        <f>+_xlfn.XLOOKUP(H20,'Ranking FIFA'!B:B,'Ranking FIFA'!A:A,"--",0)</f>
        <v>10</v>
      </c>
      <c r="AI20" t="str">
        <f>+'Round of 32 &amp; Round of 16'!H5</f>
        <v>Paraguay</v>
      </c>
      <c r="AP20" s="457">
        <f>+_xlfn.XLOOKUP(AQ20,'Ranking FIFA'!B:B,'Ranking FIFA'!A:A,"--",0)</f>
        <v>18</v>
      </c>
      <c r="AQ20" t="s">
        <v>64</v>
      </c>
      <c r="AR20" s="6">
        <v>2</v>
      </c>
      <c r="AT20" s="169">
        <f t="shared" si="8"/>
        <v>11</v>
      </c>
      <c r="AU20" s="166">
        <f t="shared" si="9"/>
        <v>210.02040000055558</v>
      </c>
      <c r="BH20">
        <v>17</v>
      </c>
      <c r="BI20" t="str">
        <f t="shared" si="11"/>
        <v>Alemania</v>
      </c>
      <c r="BJ20" s="6">
        <f>+COUNTIFS('Inputs summary'!I$2:I$106,BI20)</f>
        <v>3</v>
      </c>
      <c r="BK20" s="6">
        <f>+COUNTIFS('Inputs summary'!J$2:K$106,BI20)</f>
        <v>0</v>
      </c>
      <c r="BL20" s="6">
        <f>+COUNTIFS('Inputs summary'!L$2:L$106,BI20)</f>
        <v>0</v>
      </c>
      <c r="BM20" s="6">
        <f t="shared" si="19"/>
        <v>6</v>
      </c>
      <c r="BN20" s="6">
        <f>+SUMIF('Inputs summary'!$B$1:$B$106,$BI20,'Inputs summary'!$C$1:$C$106)+SUMIF('Inputs summary'!$E$1:$E$106,$BI20,'Inputs summary'!$D$1:$D$106)</f>
        <v>6</v>
      </c>
      <c r="BO20" s="6">
        <f>+SUMIF('Inputs summary'!$B$1:$B$106,$BI20,'Inputs summary'!$D$1:$D$106)+SUMIF('Inputs summary'!$E$1:$E$106,$BI20,'Inputs summary'!$C$1:$C$106)</f>
        <v>0</v>
      </c>
      <c r="BP20" s="166">
        <f t="shared" si="12"/>
        <v>9.0660109999999996</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2</v>
      </c>
      <c r="S21" s="6">
        <f>+COUNTIFS('Inputs summary'!L:L,$H21)</f>
        <v>1</v>
      </c>
      <c r="T21" s="6">
        <f t="shared" si="14"/>
        <v>-2</v>
      </c>
      <c r="U21" s="6">
        <f>+SUMIF('Inputs summary'!B:B,H21,'Inputs summary'!C:C)+SUMIF('Inputs summary'!E:E,H21,'Inputs summary'!D:D)</f>
        <v>2</v>
      </c>
      <c r="V21" s="6">
        <f>+SUMIF('Inputs summary'!B:B,H21,'Inputs summary'!D:D)+SUMIF('Inputs summary'!E:E,H21,'Inputs summary'!C:C)</f>
        <v>4</v>
      </c>
      <c r="W21" s="159">
        <f t="shared" si="15"/>
        <v>1.9802000001219511</v>
      </c>
      <c r="X21" s="173">
        <f t="shared" si="16"/>
        <v>0</v>
      </c>
      <c r="Y21" s="167">
        <f t="shared" si="7"/>
        <v>4</v>
      </c>
      <c r="Z21" s="173">
        <f t="shared" si="17"/>
        <v>1.9802002501219511</v>
      </c>
      <c r="AA21" s="173">
        <f>+_xlfn.XLOOKUP(H21,'Ranking FIFA'!B:B,'Ranking FIFA'!A:A,"--",0)</f>
        <v>82</v>
      </c>
      <c r="AI21" t="str">
        <f>+'Round of 32 &amp; Round of 16'!K5</f>
        <v>Bosnia</v>
      </c>
      <c r="AP21" s="457">
        <f>+_xlfn.XLOOKUP(AQ21,'Ranking FIFA'!B:B,'Ranking FIFA'!A:A,"--",0)</f>
        <v>19</v>
      </c>
      <c r="AQ21" t="s">
        <v>65</v>
      </c>
      <c r="AR21" s="6">
        <v>2</v>
      </c>
      <c r="AT21" s="169">
        <f t="shared" si="8"/>
        <v>11</v>
      </c>
      <c r="AU21" s="166">
        <f t="shared" si="9"/>
        <v>210.02040000052634</v>
      </c>
      <c r="AW21" t="s">
        <v>32</v>
      </c>
      <c r="BH21">
        <v>18</v>
      </c>
      <c r="BI21" t="str">
        <f t="shared" si="11"/>
        <v>Curazao</v>
      </c>
      <c r="BJ21" s="6">
        <f>+COUNTIFS('Inputs summary'!I$2:I$106,BI21)</f>
        <v>0</v>
      </c>
      <c r="BK21" s="6">
        <f>+COUNTIFS('Inputs summary'!J$2:K$106,BI21)</f>
        <v>2</v>
      </c>
      <c r="BL21" s="6">
        <f>+COUNTIFS('Inputs summary'!L$2:L$106,BI21)</f>
        <v>1</v>
      </c>
      <c r="BM21" s="6">
        <f t="shared" si="19"/>
        <v>-2</v>
      </c>
      <c r="BN21" s="6">
        <f>+SUMIF('Inputs summary'!$B$1:$B$106,$BI21,'Inputs summary'!$C$1:$C$106)+SUMIF('Inputs summary'!$E$1:$E$106,$BI21,'Inputs summary'!$D$1:$D$106)</f>
        <v>2</v>
      </c>
      <c r="BO21" s="6">
        <f>+SUMIF('Inputs summary'!$B$1:$B$106,$BI21,'Inputs summary'!$D$1:$D$106)+SUMIF('Inputs summary'!$E$1:$E$106,$BI21,'Inputs summary'!$C$1:$C$106)</f>
        <v>4</v>
      </c>
      <c r="BP21" s="166">
        <f t="shared" si="12"/>
        <v>3.9820481999999995</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0</v>
      </c>
      <c r="P22" s="6">
        <f t="shared" si="13"/>
        <v>0</v>
      </c>
      <c r="Q22" s="6">
        <f>+COUNTIFS('Inputs summary'!I:I,$H22)</f>
        <v>0</v>
      </c>
      <c r="R22" s="6">
        <f>+COUNTIFS('Inputs summary'!J:K,$H22)</f>
        <v>1</v>
      </c>
      <c r="S22" s="6">
        <f>+COUNTIFS('Inputs summary'!L:L,$H22)</f>
        <v>2</v>
      </c>
      <c r="T22" s="6">
        <f t="shared" si="14"/>
        <v>-3</v>
      </c>
      <c r="U22" s="6">
        <f>+SUMIF('Inputs summary'!B:B,H22,'Inputs summary'!C:C)+SUMIF('Inputs summary'!E:E,H22,'Inputs summary'!D:D)</f>
        <v>1</v>
      </c>
      <c r="V22" s="6">
        <f>+SUMIF('Inputs summary'!B:B,H22,'Inputs summary'!D:D)+SUMIF('Inputs summary'!E:E,H22,'Inputs summary'!C:C)</f>
        <v>4</v>
      </c>
      <c r="W22" s="159">
        <f t="shared" si="15"/>
        <v>0.97010000029411758</v>
      </c>
      <c r="X22" s="173">
        <f t="shared" si="16"/>
        <v>0</v>
      </c>
      <c r="Y22" s="167">
        <f t="shared" si="7"/>
        <v>3</v>
      </c>
      <c r="Z22" s="173">
        <f t="shared" si="17"/>
        <v>0.97010033362745096</v>
      </c>
      <c r="AA22" s="173">
        <f>+_xlfn.XLOOKUP(H22,'Ranking FIFA'!B:B,'Ranking FIFA'!A:A,"--",0)</f>
        <v>34</v>
      </c>
      <c r="AI22" t="str">
        <f>+'Round of 32 &amp; Round of 16'!H9</f>
        <v>Iran</v>
      </c>
      <c r="AP22" s="457">
        <f>+_xlfn.XLOOKUP(AQ22,'Ranking FIFA'!B:B,'Ranking FIFA'!A:A,"--",0)</f>
        <v>22</v>
      </c>
      <c r="AQ22" s="456" t="s">
        <v>66</v>
      </c>
      <c r="AR22" s="6">
        <v>2</v>
      </c>
      <c r="AT22" s="169">
        <f t="shared" si="8"/>
        <v>0</v>
      </c>
      <c r="AU22" s="166">
        <f t="shared" si="9"/>
        <v>-3.9899999545454541E-2</v>
      </c>
      <c r="AW22">
        <f>+SMALL($Z$3:$Z$51,1)</f>
        <v>-4.9999749855072467E-2</v>
      </c>
      <c r="AX22" t="str">
        <f>+_xlfn.XLOOKUP(AW22,Z:Z,H:H,"-",0)</f>
        <v>Cabo Verde</v>
      </c>
      <c r="BH22">
        <v>19</v>
      </c>
      <c r="BI22" t="str">
        <f t="shared" si="11"/>
        <v>Costa de Marfil</v>
      </c>
      <c r="BJ22" s="6">
        <f>+COUNTIFS('Inputs summary'!I$2:I$106,BI22)</f>
        <v>0</v>
      </c>
      <c r="BK22" s="6">
        <f>+COUNTIFS('Inputs summary'!J$2:K$106,BI22)</f>
        <v>1</v>
      </c>
      <c r="BL22" s="6">
        <f>+COUNTIFS('Inputs summary'!L$2:L$106,BI22)</f>
        <v>2</v>
      </c>
      <c r="BM22" s="6">
        <f t="shared" si="19"/>
        <v>-3</v>
      </c>
      <c r="BN22" s="6">
        <f>+SUMIF('Inputs summary'!$B$1:$B$106,$BI22,'Inputs summary'!$C$1:$C$106)+SUMIF('Inputs summary'!$E$1:$E$106,$BI22,'Inputs summary'!$D$1:$D$106)</f>
        <v>1</v>
      </c>
      <c r="BO22" s="6">
        <f>+SUMIF('Inputs summary'!$B$1:$B$106,$BI22,'Inputs summary'!$D$1:$D$106)+SUMIF('Inputs summary'!$E$1:$E$106,$BI22,'Inputs summary'!$C$1:$C$106)</f>
        <v>4</v>
      </c>
      <c r="BP22" s="166">
        <f t="shared" si="12"/>
        <v>1.9710333999999998</v>
      </c>
    </row>
    <row r="23" spans="7:68" x14ac:dyDescent="0.2">
      <c r="G23">
        <v>20</v>
      </c>
      <c r="H23" t="str">
        <f>+'Groups Stage'!O42</f>
        <v>Ecuador</v>
      </c>
      <c r="I23" s="6">
        <f t="shared" si="0"/>
        <v>0</v>
      </c>
      <c r="J23" s="6">
        <f t="shared" si="1"/>
        <v>0</v>
      </c>
      <c r="K23" s="6">
        <f t="shared" si="2"/>
        <v>0</v>
      </c>
      <c r="L23" s="6">
        <f t="shared" si="3"/>
        <v>0</v>
      </c>
      <c r="M23" s="6">
        <f t="shared" si="4"/>
        <v>0</v>
      </c>
      <c r="N23" s="6">
        <f t="shared" si="5"/>
        <v>1</v>
      </c>
      <c r="O23" s="6">
        <f t="shared" si="6"/>
        <v>1</v>
      </c>
      <c r="P23" s="6">
        <f t="shared" si="13"/>
        <v>2</v>
      </c>
      <c r="Q23" s="6">
        <f>+COUNTIFS('Inputs summary'!I:I,$H23)</f>
        <v>2</v>
      </c>
      <c r="R23" s="6">
        <f>+COUNTIFS('Inputs summary'!J:K,$H23)</f>
        <v>1</v>
      </c>
      <c r="S23" s="6">
        <f>+COUNTIFS('Inputs summary'!L:L,$H23)</f>
        <v>2</v>
      </c>
      <c r="T23" s="6">
        <f t="shared" si="14"/>
        <v>-1</v>
      </c>
      <c r="U23" s="6">
        <f>+SUMIF('Inputs summary'!B:B,H23,'Inputs summary'!C:C)+SUMIF('Inputs summary'!E:E,H23,'Inputs summary'!D:D)</f>
        <v>3</v>
      </c>
      <c r="V23" s="6">
        <f>+SUMIF('Inputs summary'!B:B,H23,'Inputs summary'!D:D)+SUMIF('Inputs summary'!E:E,H23,'Inputs summary'!C:C)</f>
        <v>4</v>
      </c>
      <c r="W23" s="159">
        <f t="shared" si="15"/>
        <v>206.99030000043481</v>
      </c>
      <c r="X23" s="173">
        <f t="shared" si="16"/>
        <v>11</v>
      </c>
      <c r="Y23" s="167">
        <f t="shared" si="7"/>
        <v>2</v>
      </c>
      <c r="Z23" s="173">
        <f t="shared" si="17"/>
        <v>206.99030050043481</v>
      </c>
      <c r="AA23" s="173">
        <f>+_xlfn.XLOOKUP(H23,'Ranking FIFA'!B:B,'Ranking FIFA'!A:A,"--",0)</f>
        <v>23</v>
      </c>
      <c r="AI23" t="str">
        <f>+'Round of 32 &amp; Round of 16'!K9</f>
        <v>Repubilca Checa</v>
      </c>
      <c r="AP23" s="457">
        <f>+_xlfn.XLOOKUP(AQ23,'Ranking FIFA'!B:B,'Ranking FIFA'!A:A,"--",0)</f>
        <v>23</v>
      </c>
      <c r="AQ23" t="s">
        <v>67</v>
      </c>
      <c r="AR23" s="6">
        <v>2</v>
      </c>
      <c r="AT23" s="169">
        <f t="shared" si="8"/>
        <v>11</v>
      </c>
      <c r="AU23" s="166">
        <f t="shared" si="9"/>
        <v>206.99030000043481</v>
      </c>
      <c r="BH23">
        <v>20</v>
      </c>
      <c r="BI23" t="str">
        <f t="shared" si="11"/>
        <v>Ecuador</v>
      </c>
      <c r="BJ23" s="6">
        <f>+COUNTIFS('Inputs summary'!I$2:I$106,BI23)</f>
        <v>1</v>
      </c>
      <c r="BK23" s="6">
        <f>+COUNTIFS('Inputs summary'!J$2:K$106,BI23)</f>
        <v>1</v>
      </c>
      <c r="BL23" s="6">
        <f>+COUNTIFS('Inputs summary'!L$2:L$106,BI23)</f>
        <v>1</v>
      </c>
      <c r="BM23" s="6">
        <f t="shared" si="19"/>
        <v>-1</v>
      </c>
      <c r="BN23" s="6">
        <f>+SUMIF('Inputs summary'!$B$1:$B$106,$BI23,'Inputs summary'!$C$1:$C$106)+SUMIF('Inputs summary'!$E$1:$E$106,$BI23,'Inputs summary'!$D$1:$D$106)</f>
        <v>2</v>
      </c>
      <c r="BO23" s="6">
        <f>+SUMIF('Inputs summary'!$B$1:$B$106,$BI23,'Inputs summary'!$D$1:$D$106)+SUMIF('Inputs summary'!$E$1:$E$106,$BI23,'Inputs summary'!$C$1:$C$106)</f>
        <v>3</v>
      </c>
      <c r="BP23" s="166">
        <f t="shared" si="12"/>
        <v>4.9920223000000004</v>
      </c>
    </row>
    <row r="24" spans="7:68" x14ac:dyDescent="0.2">
      <c r="G24">
        <v>21</v>
      </c>
      <c r="H24" t="str">
        <f>+'Groups Stage'!O48</f>
        <v>Paises Bajos</v>
      </c>
      <c r="I24" s="6">
        <f t="shared" si="0"/>
        <v>0</v>
      </c>
      <c r="J24" s="6">
        <f t="shared" si="1"/>
        <v>0</v>
      </c>
      <c r="K24" s="6">
        <f t="shared" si="2"/>
        <v>0</v>
      </c>
      <c r="L24" s="6">
        <f t="shared" si="3"/>
        <v>0</v>
      </c>
      <c r="M24" s="6">
        <f t="shared" si="4"/>
        <v>0</v>
      </c>
      <c r="N24" s="6">
        <f t="shared" si="5"/>
        <v>0</v>
      </c>
      <c r="O24" s="6">
        <f t="shared" si="6"/>
        <v>1</v>
      </c>
      <c r="P24" s="6">
        <f t="shared" si="13"/>
        <v>1</v>
      </c>
      <c r="Q24" s="6">
        <f>+COUNTIFS('Inputs summary'!I:I,$H24)</f>
        <v>0</v>
      </c>
      <c r="R24" s="6">
        <f>+COUNTIFS('Inputs summary'!J:K,$H24)</f>
        <v>2</v>
      </c>
      <c r="S24" s="6">
        <f>+COUNTIFS('Inputs summary'!L:L,$H24)</f>
        <v>2</v>
      </c>
      <c r="T24" s="6">
        <f t="shared" si="14"/>
        <v>-2</v>
      </c>
      <c r="U24" s="6">
        <f>+SUMIF('Inputs summary'!B:B,H24,'Inputs summary'!C:C)+SUMIF('Inputs summary'!E:E,H24,'Inputs summary'!D:D)</f>
        <v>2</v>
      </c>
      <c r="V24" s="6">
        <f>+SUMIF('Inputs summary'!B:B,H24,'Inputs summary'!D:D)+SUMIF('Inputs summary'!E:E,H24,'Inputs summary'!C:C)</f>
        <v>4</v>
      </c>
      <c r="W24" s="159">
        <f t="shared" si="15"/>
        <v>101.98020000142859</v>
      </c>
      <c r="X24" s="173">
        <f t="shared" si="16"/>
        <v>1</v>
      </c>
      <c r="Y24" s="167">
        <f t="shared" si="7"/>
        <v>1</v>
      </c>
      <c r="Z24" s="173">
        <f t="shared" si="17"/>
        <v>101.98020100142858</v>
      </c>
      <c r="AA24" s="173">
        <f>+_xlfn.XLOOKUP(H24,'Ranking FIFA'!B:B,'Ranking FIFA'!A:A,"--",0)</f>
        <v>7</v>
      </c>
      <c r="AI24" t="str">
        <f>+'Round of 32 &amp; Round of 16'!H13</f>
        <v>Portugal</v>
      </c>
      <c r="AP24" s="457">
        <f>+_xlfn.XLOOKUP(AQ24,'Ranking FIFA'!B:B,'Ranking FIFA'!A:A,"--",0)</f>
        <v>25</v>
      </c>
      <c r="AQ24" t="s">
        <v>68</v>
      </c>
      <c r="AR24" s="6">
        <v>2</v>
      </c>
      <c r="AT24" s="169">
        <f t="shared" si="8"/>
        <v>111</v>
      </c>
      <c r="AU24" s="166">
        <f t="shared" si="9"/>
        <v>312.0204000004</v>
      </c>
      <c r="BH24">
        <v>21</v>
      </c>
      <c r="BI24" t="str">
        <f t="shared" si="11"/>
        <v>Paises Bajos</v>
      </c>
      <c r="BJ24" s="6">
        <f>+COUNTIFS('Inputs summary'!I$2:I$106,BI24)</f>
        <v>0</v>
      </c>
      <c r="BK24" s="6">
        <f>+COUNTIFS('Inputs summary'!J$2:K$106,BI24)</f>
        <v>2</v>
      </c>
      <c r="BL24" s="6">
        <f>+COUNTIFS('Inputs summary'!L$2:L$106,BI24)</f>
        <v>1</v>
      </c>
      <c r="BM24" s="6">
        <f t="shared" si="19"/>
        <v>-1</v>
      </c>
      <c r="BN24" s="6">
        <f>+SUMIF('Inputs summary'!$B$1:$B$106,$BI24,'Inputs summary'!$C$1:$C$106)+SUMIF('Inputs summary'!$E$1:$E$106,$BI24,'Inputs summary'!$D$1:$D$106)</f>
        <v>2</v>
      </c>
      <c r="BO24" s="6">
        <f>+SUMIF('Inputs summary'!$B$1:$B$106,$BI24,'Inputs summary'!$D$1:$D$106)+SUMIF('Inputs summary'!$E$1:$E$106,$BI24,'Inputs summary'!$C$1:$C$106)</f>
        <v>3</v>
      </c>
      <c r="BP24" s="166">
        <f t="shared" si="12"/>
        <v>3.9920107000000002</v>
      </c>
    </row>
    <row r="25" spans="7:68" x14ac:dyDescent="0.2">
      <c r="G25">
        <v>22</v>
      </c>
      <c r="H25" t="str">
        <f>+'Groups Stage'!O49</f>
        <v>Japon</v>
      </c>
      <c r="I25" s="6">
        <f t="shared" si="0"/>
        <v>0</v>
      </c>
      <c r="J25" s="6">
        <f t="shared" si="1"/>
        <v>0</v>
      </c>
      <c r="K25" s="6">
        <f t="shared" si="2"/>
        <v>0</v>
      </c>
      <c r="L25" s="6">
        <f t="shared" si="3"/>
        <v>0</v>
      </c>
      <c r="M25" s="6">
        <f t="shared" si="4"/>
        <v>0</v>
      </c>
      <c r="N25" s="6">
        <f t="shared" si="5"/>
        <v>1</v>
      </c>
      <c r="O25" s="6">
        <f t="shared" si="6"/>
        <v>1</v>
      </c>
      <c r="P25" s="6">
        <f t="shared" si="13"/>
        <v>2</v>
      </c>
      <c r="Q25" s="6">
        <f>+COUNTIFS('Inputs summary'!I:I,$H25)</f>
        <v>3</v>
      </c>
      <c r="R25" s="6">
        <f>+COUNTIFS('Inputs summary'!J:K,$H25)</f>
        <v>1</v>
      </c>
      <c r="S25" s="6">
        <f>+COUNTIFS('Inputs summary'!L:L,$H25)</f>
        <v>1</v>
      </c>
      <c r="T25" s="6">
        <f t="shared" si="14"/>
        <v>2</v>
      </c>
      <c r="U25" s="6">
        <f>+SUMIF('Inputs summary'!B:B,H25,'Inputs summary'!C:C)+SUMIF('Inputs summary'!E:E,H25,'Inputs summary'!D:D)</f>
        <v>4</v>
      </c>
      <c r="V25" s="6">
        <f>+SUMIF('Inputs summary'!B:B,H25,'Inputs summary'!D:D)+SUMIF('Inputs summary'!E:E,H25,'Inputs summary'!C:C)</f>
        <v>2</v>
      </c>
      <c r="W25" s="159">
        <f t="shared" si="15"/>
        <v>210.02040000055558</v>
      </c>
      <c r="X25" s="173">
        <f t="shared" si="16"/>
        <v>11</v>
      </c>
      <c r="Y25" s="167">
        <f t="shared" si="7"/>
        <v>2</v>
      </c>
      <c r="Z25" s="173">
        <f t="shared" si="17"/>
        <v>210.02040050055558</v>
      </c>
      <c r="AA25" s="173">
        <f>+_xlfn.XLOOKUP(H25,'Ranking FIFA'!B:B,'Ranking FIFA'!A:A,"--",0)</f>
        <v>18</v>
      </c>
      <c r="AI25" t="str">
        <f>+'Round of 32 &amp; Round of 16'!K13</f>
        <v>Croacia</v>
      </c>
      <c r="AP25" s="457">
        <f>+_xlfn.XLOOKUP(AQ25,'Ranking FIFA'!B:B,'Ranking FIFA'!A:A,"--",0)</f>
        <v>31</v>
      </c>
      <c r="AQ25" t="s">
        <v>69</v>
      </c>
      <c r="AR25" s="6">
        <v>2</v>
      </c>
      <c r="AT25" s="169">
        <f t="shared" si="8"/>
        <v>1</v>
      </c>
      <c r="AU25" s="166">
        <f t="shared" si="9"/>
        <v>103.9802000003226</v>
      </c>
      <c r="BH25">
        <v>22</v>
      </c>
      <c r="BI25" t="str">
        <f t="shared" si="11"/>
        <v>Japon</v>
      </c>
      <c r="BJ25" s="6">
        <f>+COUNTIFS('Inputs summary'!I$2:I$106,BI25)</f>
        <v>2</v>
      </c>
      <c r="BK25" s="6">
        <f>+COUNTIFS('Inputs summary'!J$2:K$106,BI25)</f>
        <v>1</v>
      </c>
      <c r="BL25" s="6">
        <f>+COUNTIFS('Inputs summary'!L$2:L$106,BI25)</f>
        <v>0</v>
      </c>
      <c r="BM25" s="6">
        <f t="shared" si="19"/>
        <v>2</v>
      </c>
      <c r="BN25" s="6">
        <f>+SUMIF('Inputs summary'!$B$1:$B$106,$BI25,'Inputs summary'!$C$1:$C$106)+SUMIF('Inputs summary'!$E$1:$E$106,$BI25,'Inputs summary'!$D$1:$D$106)</f>
        <v>3</v>
      </c>
      <c r="BO25" s="6">
        <f>+SUMIF('Inputs summary'!$B$1:$B$106,$BI25,'Inputs summary'!$D$1:$D$106)+SUMIF('Inputs summary'!$E$1:$E$106,$BI25,'Inputs summary'!$C$1:$C$106)</f>
        <v>1</v>
      </c>
      <c r="BP25" s="166">
        <f t="shared" si="12"/>
        <v>8.0230217999999986</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1</v>
      </c>
      <c r="S26" s="6">
        <f>+COUNTIFS('Inputs summary'!L:L,$H26)</f>
        <v>2</v>
      </c>
      <c r="T26" s="6">
        <f t="shared" si="14"/>
        <v>-1</v>
      </c>
      <c r="U26" s="6">
        <f>+SUMIF('Inputs summary'!B:B,H26,'Inputs summary'!C:C)+SUMIF('Inputs summary'!E:E,H26,'Inputs summary'!D:D)</f>
        <v>2</v>
      </c>
      <c r="V26" s="6">
        <f>+SUMIF('Inputs summary'!B:B,H26,'Inputs summary'!D:D)+SUMIF('Inputs summary'!E:E,H26,'Inputs summary'!C:C)</f>
        <v>3</v>
      </c>
      <c r="W26" s="159">
        <f t="shared" si="15"/>
        <v>103.99020000026316</v>
      </c>
      <c r="X26" s="173">
        <f t="shared" si="16"/>
        <v>1</v>
      </c>
      <c r="Y26" s="167">
        <f t="shared" si="7"/>
        <v>2</v>
      </c>
      <c r="Z26" s="173">
        <f t="shared" si="17"/>
        <v>103.99020050026316</v>
      </c>
      <c r="AA26" s="173">
        <f>+_xlfn.XLOOKUP(H26,'Ranking FIFA'!B:B,'Ranking FIFA'!A:A,"--",0)</f>
        <v>38</v>
      </c>
      <c r="AI26" t="str">
        <f>+'Round of 32 &amp; Round of 16'!H17</f>
        <v>España</v>
      </c>
      <c r="AP26" s="457">
        <f>+_xlfn.XLOOKUP(AQ26,'Ranking FIFA'!B:B,'Ranking FIFA'!A:A,"--",0)</f>
        <v>38</v>
      </c>
      <c r="AQ26" s="456" t="s">
        <v>70</v>
      </c>
      <c r="AR26" s="6">
        <v>2</v>
      </c>
      <c r="AT26" s="169">
        <f t="shared" si="8"/>
        <v>1</v>
      </c>
      <c r="AU26" s="166">
        <f t="shared" si="9"/>
        <v>103.99020000026316</v>
      </c>
      <c r="BH26">
        <v>23</v>
      </c>
      <c r="BI26" t="str">
        <f t="shared" si="11"/>
        <v>Suecia</v>
      </c>
      <c r="BJ26" s="6">
        <f>+COUNTIFS('Inputs summary'!I$2:I$106,BI26)</f>
        <v>1</v>
      </c>
      <c r="BK26" s="6">
        <f>+COUNTIFS('Inputs summary'!J$2:K$106,BI26)</f>
        <v>1</v>
      </c>
      <c r="BL26" s="6">
        <f>+COUNTIFS('Inputs summary'!L$2:L$106,BI26)</f>
        <v>1</v>
      </c>
      <c r="BM26" s="6">
        <f t="shared" si="19"/>
        <v>0</v>
      </c>
      <c r="BN26" s="6">
        <f>+SUMIF('Inputs summary'!$B$1:$B$106,$BI26,'Inputs summary'!$C$1:$C$106)+SUMIF('Inputs summary'!$E$1:$E$106,$BI26,'Inputs summary'!$D$1:$D$106)</f>
        <v>2</v>
      </c>
      <c r="BO26" s="6">
        <f>+SUMIF('Inputs summary'!$B$1:$B$106,$BI26,'Inputs summary'!$D$1:$D$106)+SUMIF('Inputs summary'!$E$1:$E$106,$BI26,'Inputs summary'!$C$1:$C$106)</f>
        <v>2</v>
      </c>
      <c r="BP26" s="166">
        <f t="shared" si="12"/>
        <v>5.0020237999999999</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2</v>
      </c>
      <c r="S27" s="6">
        <f>+COUNTIFS('Inputs summary'!L:L,$H27)</f>
        <v>1</v>
      </c>
      <c r="T27" s="6">
        <f t="shared" si="14"/>
        <v>-1</v>
      </c>
      <c r="U27" s="6">
        <f>+SUMIF('Inputs summary'!B:B,H27,'Inputs summary'!C:C)+SUMIF('Inputs summary'!E:E,H27,'Inputs summary'!D:D)</f>
        <v>2</v>
      </c>
      <c r="V27" s="6">
        <f>+SUMIF('Inputs summary'!B:B,H27,'Inputs summary'!D:D)+SUMIF('Inputs summary'!E:E,H27,'Inputs summary'!C:C)</f>
        <v>3</v>
      </c>
      <c r="W27" s="159">
        <f t="shared" si="15"/>
        <v>1.9902000002272726</v>
      </c>
      <c r="X27" s="173">
        <f t="shared" si="16"/>
        <v>0</v>
      </c>
      <c r="Y27" s="167">
        <f t="shared" si="7"/>
        <v>3</v>
      </c>
      <c r="Z27" s="173">
        <f t="shared" si="17"/>
        <v>1.990200333560606</v>
      </c>
      <c r="AA27" s="173">
        <f>+_xlfn.XLOOKUP(H27,'Ranking FIFA'!B:B,'Ranking FIFA'!A:A,"--",0)</f>
        <v>44</v>
      </c>
      <c r="AI27" t="str">
        <f>+'Round of 32 &amp; Round of 16'!K17</f>
        <v>Austria</v>
      </c>
      <c r="AP27" s="457">
        <f>+_xlfn.XLOOKUP(AQ27,'Ranking FIFA'!B:B,'Ranking FIFA'!A:A,"--",0)</f>
        <v>40</v>
      </c>
      <c r="AQ27" t="s">
        <v>71</v>
      </c>
      <c r="AR27" s="6">
        <v>2</v>
      </c>
      <c r="AT27" s="169">
        <f t="shared" si="8"/>
        <v>111</v>
      </c>
      <c r="AU27" s="166">
        <f t="shared" si="9"/>
        <v>315.04060000025004</v>
      </c>
      <c r="BH27">
        <v>24</v>
      </c>
      <c r="BI27" t="str">
        <f t="shared" si="11"/>
        <v>Tunez</v>
      </c>
      <c r="BJ27" s="6">
        <f>+COUNTIFS('Inputs summary'!I$2:I$106,BI27)</f>
        <v>0</v>
      </c>
      <c r="BK27" s="6">
        <f>+COUNTIFS('Inputs summary'!J$2:K$106,BI27)</f>
        <v>2</v>
      </c>
      <c r="BL27" s="6">
        <f>+COUNTIFS('Inputs summary'!L$2:L$106,BI27)</f>
        <v>1</v>
      </c>
      <c r="BM27" s="6">
        <f t="shared" si="19"/>
        <v>-1</v>
      </c>
      <c r="BN27" s="6">
        <f>+SUMIF('Inputs summary'!$B$1:$B$106,$BI27,'Inputs summary'!$C$1:$C$106)+SUMIF('Inputs summary'!$E$1:$E$106,$BI27,'Inputs summary'!$D$1:$D$106)</f>
        <v>2</v>
      </c>
      <c r="BO27" s="6">
        <f>+SUMIF('Inputs summary'!$B$1:$B$106,$BI27,'Inputs summary'!$D$1:$D$106)+SUMIF('Inputs summary'!$E$1:$E$106,$BI27,'Inputs summary'!$C$1:$C$106)</f>
        <v>3</v>
      </c>
      <c r="BP27" s="166">
        <f t="shared" si="12"/>
        <v>3.9920344000000001</v>
      </c>
    </row>
    <row r="28" spans="7:68" x14ac:dyDescent="0.2">
      <c r="G28">
        <v>25</v>
      </c>
      <c r="H28" t="str">
        <f>+'Groups Stage'!O57</f>
        <v>Iran</v>
      </c>
      <c r="I28" s="6">
        <f t="shared" si="0"/>
        <v>0</v>
      </c>
      <c r="J28" s="6">
        <f t="shared" si="1"/>
        <v>0</v>
      </c>
      <c r="K28" s="6">
        <f t="shared" si="2"/>
        <v>0</v>
      </c>
      <c r="L28" s="6">
        <f t="shared" si="3"/>
        <v>0</v>
      </c>
      <c r="M28" s="6">
        <f t="shared" si="4"/>
        <v>0</v>
      </c>
      <c r="N28" s="6">
        <f t="shared" si="5"/>
        <v>0</v>
      </c>
      <c r="O28" s="6">
        <f t="shared" si="6"/>
        <v>1</v>
      </c>
      <c r="P28" s="6">
        <f t="shared" si="13"/>
        <v>1</v>
      </c>
      <c r="Q28" s="6">
        <f>+COUNTIFS('Inputs summary'!I:I,$H28)</f>
        <v>2</v>
      </c>
      <c r="R28" s="6">
        <f>+COUNTIFS('Inputs summary'!J:K,$H28)</f>
        <v>1</v>
      </c>
      <c r="S28" s="6">
        <f>+COUNTIFS('Inputs summary'!L:L,$H28)</f>
        <v>1</v>
      </c>
      <c r="T28" s="6">
        <f t="shared" si="14"/>
        <v>2</v>
      </c>
      <c r="U28" s="6">
        <f>+SUMIF('Inputs summary'!B:B,H28,'Inputs summary'!C:C)+SUMIF('Inputs summary'!E:E,H28,'Inputs summary'!D:D)</f>
        <v>4</v>
      </c>
      <c r="V28" s="6">
        <f>+SUMIF('Inputs summary'!B:B,H28,'Inputs summary'!D:D)+SUMIF('Inputs summary'!E:E,H28,'Inputs summary'!C:C)</f>
        <v>2</v>
      </c>
      <c r="W28" s="159">
        <f t="shared" si="15"/>
        <v>107.02040000047619</v>
      </c>
      <c r="X28" s="173">
        <f t="shared" si="16"/>
        <v>1</v>
      </c>
      <c r="Y28" s="167">
        <f t="shared" si="7"/>
        <v>3</v>
      </c>
      <c r="Z28" s="173">
        <f t="shared" si="17"/>
        <v>107.02040033380952</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101.97020000041667</v>
      </c>
      <c r="BH28">
        <v>25</v>
      </c>
      <c r="BI28" t="str">
        <f t="shared" si="11"/>
        <v>Iran</v>
      </c>
      <c r="BJ28" s="6">
        <f>+COUNTIFS('Inputs summary'!I$2:I$106,BI28)</f>
        <v>2</v>
      </c>
      <c r="BK28" s="6">
        <f>+COUNTIFS('Inputs summary'!J$2:K$106,BI28)</f>
        <v>1</v>
      </c>
      <c r="BL28" s="6">
        <f>+COUNTIFS('Inputs summary'!L$2:L$106,BI28)</f>
        <v>0</v>
      </c>
      <c r="BM28" s="6">
        <f t="shared" si="19"/>
        <v>3</v>
      </c>
      <c r="BN28" s="6">
        <f>+SUMIF('Inputs summary'!$B$1:$B$106,$BI28,'Inputs summary'!$C$1:$C$106)+SUMIF('Inputs summary'!$E$1:$E$106,$BI28,'Inputs summary'!$D$1:$D$106)</f>
        <v>4</v>
      </c>
      <c r="BO28" s="6">
        <f>+SUMIF('Inputs summary'!$B$1:$B$106,$BI28,'Inputs summary'!$D$1:$D$106)+SUMIF('Inputs summary'!$E$1:$E$106,$BI28,'Inputs summary'!$C$1:$C$106)</f>
        <v>1</v>
      </c>
      <c r="BP28" s="166">
        <f t="shared" si="12"/>
        <v>8.0340320999999992</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0</v>
      </c>
      <c r="S29" s="6">
        <f>+COUNTIFS('Inputs summary'!L:L,$H29)</f>
        <v>3</v>
      </c>
      <c r="T29" s="6">
        <f t="shared" si="14"/>
        <v>-4</v>
      </c>
      <c r="U29" s="6">
        <f>+SUMIF('Inputs summary'!B:B,H29,'Inputs summary'!C:C)+SUMIF('Inputs summary'!E:E,H29,'Inputs summary'!D:D)</f>
        <v>1</v>
      </c>
      <c r="V29" s="6">
        <f>+SUMIF('Inputs summary'!B:B,H29,'Inputs summary'!D:D)+SUMIF('Inputs summary'!E:E,H29,'Inputs summary'!C:C)</f>
        <v>5</v>
      </c>
      <c r="W29" s="159">
        <f t="shared" si="15"/>
        <v>-3.9899999882352939E-2</v>
      </c>
      <c r="X29" s="173">
        <f t="shared" si="16"/>
        <v>0</v>
      </c>
      <c r="Y29" s="167">
        <f t="shared" si="7"/>
        <v>4</v>
      </c>
      <c r="Z29" s="173">
        <f t="shared" si="17"/>
        <v>-3.9899749882352939E-2</v>
      </c>
      <c r="AA29" s="173">
        <f>+_xlfn.XLOOKUP(H29,'Ranking FIFA'!B:B,'Ranking FIFA'!A:A,"--",0)</f>
        <v>85</v>
      </c>
      <c r="AI29" t="str">
        <f>+'Round of 32 &amp; Round of 16'!K21</f>
        <v>Egipto</v>
      </c>
      <c r="AP29" s="457">
        <f>+_xlfn.XLOOKUP(AQ29,'Ranking FIFA'!B:B,'Ranking FIFA'!A:A,"--",0)</f>
        <v>27</v>
      </c>
      <c r="AQ29" t="s">
        <v>73</v>
      </c>
      <c r="AR29" s="6">
        <v>3</v>
      </c>
      <c r="AT29" s="169">
        <f t="shared" si="8"/>
        <v>1</v>
      </c>
      <c r="AU29" s="166">
        <f t="shared" si="9"/>
        <v>102.99030000037035</v>
      </c>
      <c r="BH29">
        <v>26</v>
      </c>
      <c r="BI29" t="str">
        <f t="shared" si="11"/>
        <v>Nueva Zelanda</v>
      </c>
      <c r="BJ29" s="6">
        <f>+COUNTIFS('Inputs summary'!I$2:I$106,BI29)</f>
        <v>0</v>
      </c>
      <c r="BK29" s="6">
        <f>+COUNTIFS('Inputs summary'!J$2:K$106,BI29)</f>
        <v>0</v>
      </c>
      <c r="BL29" s="6">
        <f>+COUNTIFS('Inputs summary'!L$2:L$106,BI29)</f>
        <v>3</v>
      </c>
      <c r="BM29" s="6">
        <f t="shared" si="19"/>
        <v>-4</v>
      </c>
      <c r="BN29" s="6">
        <f>+SUMIF('Inputs summary'!$B$1:$B$106,$BI29,'Inputs summary'!$C$1:$C$106)+SUMIF('Inputs summary'!$E$1:$E$106,$BI29,'Inputs summary'!$D$1:$D$106)</f>
        <v>1</v>
      </c>
      <c r="BO29" s="6">
        <f>+SUMIF('Inputs summary'!$B$1:$B$106,$BI29,'Inputs summary'!$D$1:$D$106)+SUMIF('Inputs summary'!$E$1:$E$106,$BI29,'Inputs summary'!$C$1:$C$106)</f>
        <v>5</v>
      </c>
      <c r="BP29" s="166">
        <f t="shared" si="12"/>
        <v>-3.89515E-2</v>
      </c>
    </row>
    <row r="30" spans="7:68" x14ac:dyDescent="0.2">
      <c r="G30">
        <v>27</v>
      </c>
      <c r="H30" t="str">
        <f>+'Groups Stage'!O59</f>
        <v>Belgica</v>
      </c>
      <c r="I30" s="6">
        <f t="shared" si="0"/>
        <v>0</v>
      </c>
      <c r="J30" s="6">
        <f t="shared" si="1"/>
        <v>0</v>
      </c>
      <c r="K30" s="6">
        <f t="shared" si="2"/>
        <v>0</v>
      </c>
      <c r="L30" s="6">
        <f t="shared" si="3"/>
        <v>0</v>
      </c>
      <c r="M30" s="6">
        <f t="shared" si="4"/>
        <v>0</v>
      </c>
      <c r="N30" s="6">
        <f t="shared" si="5"/>
        <v>0</v>
      </c>
      <c r="O30" s="6">
        <f t="shared" si="6"/>
        <v>1</v>
      </c>
      <c r="P30" s="6">
        <f t="shared" si="13"/>
        <v>1</v>
      </c>
      <c r="Q30" s="6">
        <f>+COUNTIFS('Inputs summary'!I:I,$H30)</f>
        <v>1</v>
      </c>
      <c r="R30" s="6">
        <f>+COUNTIFS('Inputs summary'!J:K,$H30)</f>
        <v>2</v>
      </c>
      <c r="S30" s="6">
        <f>+COUNTIFS('Inputs summary'!L:L,$H30)</f>
        <v>1</v>
      </c>
      <c r="T30" s="6">
        <f t="shared" si="14"/>
        <v>1</v>
      </c>
      <c r="U30" s="6">
        <f>+SUMIF('Inputs summary'!B:B,H30,'Inputs summary'!C:C)+SUMIF('Inputs summary'!E:E,H30,'Inputs summary'!D:D)</f>
        <v>5</v>
      </c>
      <c r="V30" s="6">
        <f>+SUMIF('Inputs summary'!B:B,H30,'Inputs summary'!D:D)+SUMIF('Inputs summary'!E:E,H30,'Inputs summary'!C:C)</f>
        <v>4</v>
      </c>
      <c r="W30" s="159">
        <f t="shared" si="15"/>
        <v>105.01050000111111</v>
      </c>
      <c r="X30" s="173">
        <f t="shared" si="16"/>
        <v>1</v>
      </c>
      <c r="Y30" s="167">
        <f t="shared" si="7"/>
        <v>1</v>
      </c>
      <c r="Z30" s="173">
        <f t="shared" si="17"/>
        <v>105.01050100111111</v>
      </c>
      <c r="AA30" s="173">
        <f>+_xlfn.XLOOKUP(H30,'Ranking FIFA'!B:B,'Ranking FIFA'!A:A,"--",0)</f>
        <v>9</v>
      </c>
      <c r="AI30" t="str">
        <f>+'Round of 32 &amp; Round of 16'!H25</f>
        <v>Argentina</v>
      </c>
      <c r="AP30" s="457">
        <f>+_xlfn.XLOOKUP(AQ30,'Ranking FIFA'!B:B,'Ranking FIFA'!A:A,"--",0)</f>
        <v>28</v>
      </c>
      <c r="AQ30" t="s">
        <v>74</v>
      </c>
      <c r="AR30" s="6">
        <v>3</v>
      </c>
      <c r="AT30" s="169">
        <f t="shared" si="8"/>
        <v>0</v>
      </c>
      <c r="AU30" s="166">
        <f t="shared" si="9"/>
        <v>1.9802000003571427</v>
      </c>
      <c r="BH30">
        <v>27</v>
      </c>
      <c r="BI30" t="str">
        <f t="shared" si="11"/>
        <v>Belgica</v>
      </c>
      <c r="BJ30" s="6">
        <f>+COUNTIFS('Inputs summary'!I$2:I$106,BI30)</f>
        <v>1</v>
      </c>
      <c r="BK30" s="6">
        <f>+COUNTIFS('Inputs summary'!J$2:K$106,BI30)</f>
        <v>2</v>
      </c>
      <c r="BL30" s="6">
        <f>+COUNTIFS('Inputs summary'!L$2:L$106,BI30)</f>
        <v>0</v>
      </c>
      <c r="BM30" s="6">
        <f t="shared" si="19"/>
        <v>2</v>
      </c>
      <c r="BN30" s="6">
        <f>+SUMIF('Inputs summary'!$B$1:$B$106,$BI30,'Inputs summary'!$C$1:$C$106)+SUMIF('Inputs summary'!$E$1:$E$106,$BI30,'Inputs summary'!$D$1:$D$106)</f>
        <v>5</v>
      </c>
      <c r="BO30" s="6">
        <f>+SUMIF('Inputs summary'!$B$1:$B$106,$BI30,'Inputs summary'!$D$1:$D$106)+SUMIF('Inputs summary'!$E$1:$E$106,$BI30,'Inputs summary'!$C$1:$C$106)</f>
        <v>3</v>
      </c>
      <c r="BP30" s="166">
        <f t="shared" si="12"/>
        <v>7.0250108999999989</v>
      </c>
    </row>
    <row r="31" spans="7:68" x14ac:dyDescent="0.2">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1</v>
      </c>
      <c r="R31" s="6">
        <f>+COUNTIFS('Inputs summary'!J:K,$H31)</f>
        <v>1</v>
      </c>
      <c r="S31" s="6">
        <f>+COUNTIFS('Inputs summary'!L:L,$H31)</f>
        <v>2</v>
      </c>
      <c r="T31" s="6">
        <f t="shared" si="14"/>
        <v>-2</v>
      </c>
      <c r="U31" s="6">
        <f>+SUMIF('Inputs summary'!B:B,H31,'Inputs summary'!C:C)+SUMIF('Inputs summary'!E:E,H31,'Inputs summary'!D:D)</f>
        <v>2</v>
      </c>
      <c r="V31" s="6">
        <f>+SUMIF('Inputs summary'!B:B,H31,'Inputs summary'!D:D)+SUMIF('Inputs summary'!E:E,H31,'Inputs summary'!C:C)</f>
        <v>4</v>
      </c>
      <c r="W31" s="159">
        <f t="shared" si="15"/>
        <v>103.98020000034484</v>
      </c>
      <c r="X31" s="173">
        <f t="shared" si="16"/>
        <v>1</v>
      </c>
      <c r="Y31" s="167">
        <f t="shared" si="7"/>
        <v>3</v>
      </c>
      <c r="Z31" s="173">
        <f t="shared" si="17"/>
        <v>103.98020033367817</v>
      </c>
      <c r="AA31" s="173">
        <f>+_xlfn.XLOOKUP(H31,'Ranking FIFA'!B:B,'Ranking FIFA'!A:A,"--",0)</f>
        <v>29</v>
      </c>
      <c r="AI31" t="str">
        <f>+'Round of 32 &amp; Round of 16'!K25</f>
        <v>Uruguay</v>
      </c>
      <c r="AP31" s="457">
        <f>+_xlfn.XLOOKUP(AQ31,'Ranking FIFA'!B:B,'Ranking FIFA'!A:A,"--",0)</f>
        <v>29</v>
      </c>
      <c r="AQ31" t="s">
        <v>75</v>
      </c>
      <c r="AR31" s="6">
        <v>3</v>
      </c>
      <c r="AT31" s="169">
        <f t="shared" si="8"/>
        <v>1</v>
      </c>
      <c r="AU31" s="166">
        <f t="shared" si="9"/>
        <v>103.98020000034484</v>
      </c>
      <c r="BH31">
        <v>28</v>
      </c>
      <c r="BI31" t="str">
        <f t="shared" si="11"/>
        <v>Egipto</v>
      </c>
      <c r="BJ31" s="6">
        <f>+COUNTIFS('Inputs summary'!I$2:I$106,BI31)</f>
        <v>1</v>
      </c>
      <c r="BK31" s="6">
        <f>+COUNTIFS('Inputs summary'!J$2:K$106,BI31)</f>
        <v>1</v>
      </c>
      <c r="BL31" s="6">
        <f>+COUNTIFS('Inputs summary'!L$2:L$106,BI31)</f>
        <v>1</v>
      </c>
      <c r="BM31" s="6">
        <f t="shared" si="19"/>
        <v>-1</v>
      </c>
      <c r="BN31" s="6">
        <f>+SUMIF('Inputs summary'!$B$1:$B$106,$BI31,'Inputs summary'!$C$1:$C$106)+SUMIF('Inputs summary'!$E$1:$E$106,$BI31,'Inputs summary'!$D$1:$D$106)</f>
        <v>2</v>
      </c>
      <c r="BO31" s="6">
        <f>+SUMIF('Inputs summary'!$B$1:$B$106,$BI31,'Inputs summary'!$D$1:$D$106)+SUMIF('Inputs summary'!$E$1:$E$106,$BI31,'Inputs summary'!$C$1:$C$106)</f>
        <v>3</v>
      </c>
      <c r="BP31" s="166">
        <f t="shared" si="12"/>
        <v>4.9920328999999999</v>
      </c>
    </row>
    <row r="32" spans="7:68" x14ac:dyDescent="0.2">
      <c r="G32">
        <v>29</v>
      </c>
      <c r="H32" t="str">
        <f>+'Groups Stage'!O66</f>
        <v>España</v>
      </c>
      <c r="I32" s="6">
        <f t="shared" si="0"/>
        <v>0</v>
      </c>
      <c r="J32" s="6">
        <f t="shared" si="1"/>
        <v>0</v>
      </c>
      <c r="K32" s="6">
        <f t="shared" si="2"/>
        <v>1</v>
      </c>
      <c r="L32" s="6">
        <f t="shared" si="3"/>
        <v>1</v>
      </c>
      <c r="M32" s="6">
        <f t="shared" si="4"/>
        <v>1</v>
      </c>
      <c r="N32" s="6">
        <f t="shared" si="5"/>
        <v>1</v>
      </c>
      <c r="O32" s="6">
        <f t="shared" si="6"/>
        <v>1</v>
      </c>
      <c r="P32" s="6">
        <f t="shared" si="13"/>
        <v>5</v>
      </c>
      <c r="Q32" s="6">
        <f>+COUNTIFS('Inputs summary'!I:I,$H32)</f>
        <v>6</v>
      </c>
      <c r="R32" s="6">
        <f>+COUNTIFS('Inputs summary'!J:K,$H32)</f>
        <v>1</v>
      </c>
      <c r="S32" s="6">
        <f>+COUNTIFS('Inputs summary'!L:L,$H32)</f>
        <v>1</v>
      </c>
      <c r="T32" s="6">
        <f t="shared" si="14"/>
        <v>8</v>
      </c>
      <c r="U32" s="6">
        <f>+SUMIF('Inputs summary'!B:B,H32,'Inputs summary'!C:C)+SUMIF('Inputs summary'!E:E,H32,'Inputs summary'!D:D)</f>
        <v>11</v>
      </c>
      <c r="V32" s="6">
        <f>+SUMIF('Inputs summary'!B:B,H32,'Inputs summary'!D:D)+SUMIF('Inputs summary'!E:E,H32,'Inputs summary'!C:C)</f>
        <v>3</v>
      </c>
      <c r="W32" s="159">
        <f t="shared" si="15"/>
        <v>519.08110000499994</v>
      </c>
      <c r="X32" s="173">
        <f t="shared" si="16"/>
        <v>11111</v>
      </c>
      <c r="Y32" s="167">
        <f t="shared" si="7"/>
        <v>1</v>
      </c>
      <c r="Z32" s="173">
        <f t="shared" si="17"/>
        <v>519.08110100499994</v>
      </c>
      <c r="AA32" s="173">
        <f>+_xlfn.XLOOKUP(H32,'Ranking FIFA'!B:B,'Ranking FIFA'!A:A,"--",0)</f>
        <v>2</v>
      </c>
      <c r="AI32" t="str">
        <f>+'Round of 32 &amp; Round of 16'!H29</f>
        <v>Colombia</v>
      </c>
      <c r="AP32" s="457">
        <f>+_xlfn.XLOOKUP(AQ32,'Ranking FIFA'!B:B,'Ranking FIFA'!A:A,"--",0)</f>
        <v>30</v>
      </c>
      <c r="AQ32" t="s">
        <v>76</v>
      </c>
      <c r="AR32" s="6">
        <v>3</v>
      </c>
      <c r="AT32" s="169">
        <f t="shared" si="8"/>
        <v>1</v>
      </c>
      <c r="AU32" s="166">
        <f t="shared" si="9"/>
        <v>103.99020000033333</v>
      </c>
      <c r="BH32">
        <v>29</v>
      </c>
      <c r="BI32" t="str">
        <f t="shared" si="11"/>
        <v>España</v>
      </c>
      <c r="BJ32" s="6">
        <f>+COUNTIFS('Inputs summary'!I$2:I$106,BI32)</f>
        <v>2</v>
      </c>
      <c r="BK32" s="6">
        <f>+COUNTIFS('Inputs summary'!J$2:K$106,BI32)</f>
        <v>1</v>
      </c>
      <c r="BL32" s="6">
        <f>+COUNTIFS('Inputs summary'!L$2:L$106,BI32)</f>
        <v>0</v>
      </c>
      <c r="BM32" s="6">
        <f t="shared" si="19"/>
        <v>5</v>
      </c>
      <c r="BN32" s="6">
        <f>+SUMIF('Inputs summary'!$B$1:$B$106,$BI32,'Inputs summary'!$C$1:$C$106)+SUMIF('Inputs summary'!$E$1:$E$106,$BI32,'Inputs summary'!$D$1:$D$106)</f>
        <v>7</v>
      </c>
      <c r="BO32" s="6">
        <f>+SUMIF('Inputs summary'!$B$1:$B$106,$BI32,'Inputs summary'!$D$1:$D$106)+SUMIF('Inputs summary'!$E$1:$E$106,$BI32,'Inputs summary'!$C$1:$C$106)</f>
        <v>2</v>
      </c>
      <c r="BP32" s="166">
        <f t="shared" si="12"/>
        <v>8.0570102000000006</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-5</v>
      </c>
      <c r="U33" s="6">
        <f>+SUMIF('Inputs summary'!B:B,H33,'Inputs summary'!C:C)+SUMIF('Inputs summary'!E:E,H33,'Inputs summary'!D:D)</f>
        <v>0</v>
      </c>
      <c r="V33" s="6">
        <f>+SUMIF('Inputs summary'!B:B,H33,'Inputs summary'!D:D)+SUMIF('Inputs summary'!E:E,H33,'Inputs summary'!C:C)</f>
        <v>5</v>
      </c>
      <c r="W33" s="159">
        <f t="shared" si="15"/>
        <v>-4.9999999855072468E-2</v>
      </c>
      <c r="X33" s="173">
        <f t="shared" si="16"/>
        <v>0</v>
      </c>
      <c r="Y33" s="167">
        <f t="shared" si="7"/>
        <v>4</v>
      </c>
      <c r="Z33" s="173">
        <f t="shared" si="17"/>
        <v>-4.9999749855072467E-2</v>
      </c>
      <c r="AA33" s="173">
        <f>+_xlfn.XLOOKUP(H33,'Ranking FIFA'!B:B,'Ranking FIFA'!A:A,"--",0)</f>
        <v>69</v>
      </c>
      <c r="AI33" t="str">
        <f>+'Round of 32 &amp; Round of 16'!K29</f>
        <v>Senegal</v>
      </c>
      <c r="AP33" s="457">
        <f>+_xlfn.XLOOKUP(AQ33,'Ranking FIFA'!B:B,'Ranking FIFA'!A:A,"--",0)</f>
        <v>33</v>
      </c>
      <c r="AQ33" t="s">
        <v>77</v>
      </c>
      <c r="AR33" s="6">
        <v>3</v>
      </c>
      <c r="AT33" s="169">
        <f t="shared" si="8"/>
        <v>0</v>
      </c>
      <c r="AU33" s="166">
        <f t="shared" si="9"/>
        <v>0.98010000030303024</v>
      </c>
      <c r="BH33">
        <v>30</v>
      </c>
      <c r="BI33" t="str">
        <f t="shared" si="11"/>
        <v>Cabo Verde</v>
      </c>
      <c r="BJ33" s="6">
        <f>+COUNTIFS('Inputs summary'!I$2:I$106,BI33)</f>
        <v>0</v>
      </c>
      <c r="BK33" s="6">
        <f>+COUNTIFS('Inputs summary'!J$2:K$106,BI33)</f>
        <v>0</v>
      </c>
      <c r="BL33" s="6">
        <f>+COUNTIFS('Inputs summary'!L$2:L$106,BI33)</f>
        <v>3</v>
      </c>
      <c r="BM33" s="6">
        <f t="shared" si="19"/>
        <v>-5</v>
      </c>
      <c r="BN33" s="6">
        <f>+SUMIF('Inputs summary'!$B$1:$B$106,$BI33,'Inputs summary'!$C$1:$C$106)+SUMIF('Inputs summary'!$E$1:$E$106,$BI33,'Inputs summary'!$D$1:$D$106)</f>
        <v>0</v>
      </c>
      <c r="BO33" s="6">
        <f>+SUMIF('Inputs summary'!$B$1:$B$106,$BI33,'Inputs summary'!$D$1:$D$106)+SUMIF('Inputs summary'!$E$1:$E$106,$BI33,'Inputs summary'!$C$1:$C$106)</f>
        <v>5</v>
      </c>
      <c r="BP33" s="166">
        <f t="shared" si="12"/>
        <v>-4.9953100000000007E-2</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1</v>
      </c>
      <c r="R34" s="6">
        <f>+COUNTIFS('Inputs summary'!J:K,$H34)</f>
        <v>0</v>
      </c>
      <c r="S34" s="6">
        <f>+COUNTIFS('Inputs summary'!L:L,$H34)</f>
        <v>3</v>
      </c>
      <c r="T34" s="6">
        <f t="shared" si="14"/>
        <v>-4</v>
      </c>
      <c r="U34" s="6">
        <f>+SUMIF('Inputs summary'!B:B,H34,'Inputs summary'!C:C)+SUMIF('Inputs summary'!E:E,H34,'Inputs summary'!D:D)</f>
        <v>1</v>
      </c>
      <c r="V34" s="6">
        <f>+SUMIF('Inputs summary'!B:B,H34,'Inputs summary'!D:D)+SUMIF('Inputs summary'!E:E,H34,'Inputs summary'!C:C)</f>
        <v>5</v>
      </c>
      <c r="W34" s="159">
        <f t="shared" si="15"/>
        <v>102.96010000016393</v>
      </c>
      <c r="X34" s="173">
        <f t="shared" si="16"/>
        <v>1</v>
      </c>
      <c r="Y34" s="167">
        <f t="shared" si="7"/>
        <v>3</v>
      </c>
      <c r="Z34" s="173">
        <f t="shared" si="17"/>
        <v>102.96010033349727</v>
      </c>
      <c r="AA34" s="173">
        <f>+_xlfn.XLOOKUP(H34,'Ranking FIFA'!B:B,'Ranking FIFA'!A:A,"--",0)</f>
        <v>61</v>
      </c>
      <c r="AI34" t="str">
        <f>+'Round of 32 &amp; Round of 16'!H33</f>
        <v>Estados Unidos</v>
      </c>
      <c r="AP34" s="457">
        <f>+_xlfn.XLOOKUP(AQ34,'Ranking FIFA'!B:B,'Ranking FIFA'!A:A,"--",0)</f>
        <v>34</v>
      </c>
      <c r="AQ34" t="s">
        <v>78</v>
      </c>
      <c r="AR34" s="6">
        <v>3</v>
      </c>
      <c r="AT34" s="169">
        <f t="shared" si="8"/>
        <v>0</v>
      </c>
      <c r="AU34" s="166">
        <f t="shared" si="9"/>
        <v>0.97010000029411758</v>
      </c>
      <c r="BH34">
        <v>31</v>
      </c>
      <c r="BI34" t="str">
        <f t="shared" si="11"/>
        <v>Arabia Saudita</v>
      </c>
      <c r="BJ34" s="6">
        <f>+COUNTIFS('Inputs summary'!I$2:I$106,BI34)</f>
        <v>1</v>
      </c>
      <c r="BK34" s="6">
        <f>+COUNTIFS('Inputs summary'!J$2:K$106,BI34)</f>
        <v>0</v>
      </c>
      <c r="BL34" s="6">
        <f>+COUNTIFS('Inputs summary'!L$2:L$106,BI34)</f>
        <v>2</v>
      </c>
      <c r="BM34" s="6">
        <f t="shared" si="19"/>
        <v>-3</v>
      </c>
      <c r="BN34" s="6">
        <f>+SUMIF('Inputs summary'!$B$1:$B$106,$BI34,'Inputs summary'!$C$1:$C$106)+SUMIF('Inputs summary'!$E$1:$E$106,$BI34,'Inputs summary'!$D$1:$D$106)</f>
        <v>1</v>
      </c>
      <c r="BO34" s="6">
        <f>+SUMIF('Inputs summary'!$B$1:$B$106,$BI34,'Inputs summary'!$D$1:$D$106)+SUMIF('Inputs summary'!$E$1:$E$106,$BI34,'Inputs summary'!$C$1:$C$106)</f>
        <v>4</v>
      </c>
      <c r="BP34" s="166">
        <f t="shared" si="12"/>
        <v>2.9710361000000001</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1</v>
      </c>
      <c r="S35" s="6">
        <f>+COUNTIFS('Inputs summary'!L:L,$H35)</f>
        <v>1</v>
      </c>
      <c r="T35" s="6">
        <f t="shared" si="14"/>
        <v>2</v>
      </c>
      <c r="U35" s="6">
        <f>+SUMIF('Inputs summary'!B:B,H35,'Inputs summary'!C:C)+SUMIF('Inputs summary'!E:E,H35,'Inputs summary'!D:D)</f>
        <v>5</v>
      </c>
      <c r="V35" s="6">
        <f>+SUMIF('Inputs summary'!B:B,H35,'Inputs summary'!D:D)+SUMIF('Inputs summary'!E:E,H35,'Inputs summary'!C:C)</f>
        <v>3</v>
      </c>
      <c r="W35" s="159">
        <f t="shared" si="15"/>
        <v>107.02050000058823</v>
      </c>
      <c r="X35" s="173">
        <f t="shared" si="16"/>
        <v>1</v>
      </c>
      <c r="Y35" s="167">
        <f t="shared" si="7"/>
        <v>1</v>
      </c>
      <c r="Z35" s="173">
        <f t="shared" si="17"/>
        <v>107.02050100058823</v>
      </c>
      <c r="AA35" s="173">
        <f>+_xlfn.XLOOKUP(H35,'Ranking FIFA'!B:B,'Ranking FIFA'!A:A,"--",0)</f>
        <v>17</v>
      </c>
      <c r="AI35" t="str">
        <f>+'Round of 32 &amp; Round of 16'!K33</f>
        <v>Belgica</v>
      </c>
      <c r="AP35" s="457">
        <f>+_xlfn.XLOOKUP(AQ35,'Ranking FIFA'!B:B,'Ranking FIFA'!A:A,"--",0)</f>
        <v>41</v>
      </c>
      <c r="AQ35" s="456" t="s">
        <v>79</v>
      </c>
      <c r="AR35" s="6">
        <v>3</v>
      </c>
      <c r="AT35" s="169">
        <f t="shared" si="8"/>
        <v>11</v>
      </c>
      <c r="AU35" s="166">
        <f t="shared" si="9"/>
        <v>204.99020000024393</v>
      </c>
      <c r="BH35">
        <v>32</v>
      </c>
      <c r="BI35" t="str">
        <f t="shared" si="11"/>
        <v>Uruguay</v>
      </c>
      <c r="BJ35" s="6">
        <f>+COUNTIFS('Inputs summary'!I$2:I$106,BI35)</f>
        <v>2</v>
      </c>
      <c r="BK35" s="6">
        <f>+COUNTIFS('Inputs summary'!J$2:K$106,BI35)</f>
        <v>1</v>
      </c>
      <c r="BL35" s="6">
        <f>+COUNTIFS('Inputs summary'!L$2:L$106,BI35)</f>
        <v>0</v>
      </c>
      <c r="BM35" s="6">
        <f t="shared" si="19"/>
        <v>3</v>
      </c>
      <c r="BN35" s="6">
        <f>+SUMIF('Inputs summary'!$B$1:$B$106,$BI35,'Inputs summary'!$C$1:$C$106)+SUMIF('Inputs summary'!$E$1:$E$106,$BI35,'Inputs summary'!$D$1:$D$106)</f>
        <v>5</v>
      </c>
      <c r="BO35" s="6">
        <f>+SUMIF('Inputs summary'!$B$1:$B$106,$BI35,'Inputs summary'!$D$1:$D$106)+SUMIF('Inputs summary'!$E$1:$E$106,$BI35,'Inputs summary'!$C$1:$C$106)</f>
        <v>2</v>
      </c>
      <c r="BP35" s="166">
        <f t="shared" si="12"/>
        <v>8.0350117000000001</v>
      </c>
    </row>
    <row r="36" spans="7:68" x14ac:dyDescent="0.2">
      <c r="G36">
        <v>33</v>
      </c>
      <c r="H36" t="str">
        <f>+'Groups Stage'!O75</f>
        <v>Francia</v>
      </c>
      <c r="I36" s="6">
        <f t="shared" si="0"/>
        <v>0</v>
      </c>
      <c r="J36" s="6">
        <f t="shared" si="1"/>
        <v>2</v>
      </c>
      <c r="K36" s="6">
        <f t="shared" si="2"/>
        <v>0</v>
      </c>
      <c r="L36" s="6">
        <f t="shared" si="3"/>
        <v>1</v>
      </c>
      <c r="M36" s="6">
        <f t="shared" si="4"/>
        <v>1</v>
      </c>
      <c r="N36" s="6">
        <f t="shared" si="5"/>
        <v>1</v>
      </c>
      <c r="O36" s="6">
        <f t="shared" si="6"/>
        <v>1</v>
      </c>
      <c r="P36" s="6">
        <f t="shared" si="13"/>
        <v>6</v>
      </c>
      <c r="Q36" s="6">
        <f>+COUNTIFS('Inputs summary'!I:I,$H36)</f>
        <v>7</v>
      </c>
      <c r="R36" s="6">
        <f>+COUNTIFS('Inputs summary'!J:K,$H36)</f>
        <v>0</v>
      </c>
      <c r="S36" s="6">
        <f>+COUNTIFS('Inputs summary'!L:L,$H36)</f>
        <v>1</v>
      </c>
      <c r="T36" s="6">
        <f t="shared" si="14"/>
        <v>10</v>
      </c>
      <c r="U36" s="6">
        <f>+SUMIF('Inputs summary'!B:B,H36,'Inputs summary'!C:C)+SUMIF('Inputs summary'!E:E,H36,'Inputs summary'!D:D)</f>
        <v>11</v>
      </c>
      <c r="V36" s="6">
        <f>+SUMIF('Inputs summary'!B:B,H36,'Inputs summary'!D:D)+SUMIF('Inputs summary'!E:E,H36,'Inputs summary'!C:C)</f>
        <v>1</v>
      </c>
      <c r="W36" s="159">
        <f t="shared" si="15"/>
        <v>621.10110000999998</v>
      </c>
      <c r="X36" s="173">
        <f t="shared" si="16"/>
        <v>201111</v>
      </c>
      <c r="Y36" s="167">
        <f t="shared" si="7"/>
        <v>1</v>
      </c>
      <c r="Z36" s="173">
        <f t="shared" si="17"/>
        <v>621.10110100999998</v>
      </c>
      <c r="AA36" s="173">
        <f>+_xlfn.XLOOKUP(H36,'Ranking FIFA'!B:B,'Ranking FIFA'!A:A,"--",0)</f>
        <v>1</v>
      </c>
      <c r="AP36" s="457">
        <f>+_xlfn.XLOOKUP(AQ36,'Ranking FIFA'!B:B,'Ranking FIFA'!A:A,"--",0)</f>
        <v>43</v>
      </c>
      <c r="AQ36" t="s">
        <v>80</v>
      </c>
      <c r="AR36" s="6">
        <v>3</v>
      </c>
      <c r="AT36" s="169">
        <f t="shared" si="8"/>
        <v>1</v>
      </c>
      <c r="AU36" s="166">
        <f t="shared" si="9"/>
        <v>103.98020000023257</v>
      </c>
      <c r="BH36">
        <v>33</v>
      </c>
      <c r="BI36" t="str">
        <f t="shared" si="11"/>
        <v>Francia</v>
      </c>
      <c r="BJ36" s="6">
        <f>+COUNTIFS('Inputs summary'!I$2:I$106,BI36)</f>
        <v>3</v>
      </c>
      <c r="BK36" s="6">
        <f>+COUNTIFS('Inputs summary'!J$2:K$106,BI36)</f>
        <v>0</v>
      </c>
      <c r="BL36" s="6">
        <f>+COUNTIFS('Inputs summary'!L$2:L$106,BI36)</f>
        <v>0</v>
      </c>
      <c r="BM36" s="6">
        <f t="shared" si="19"/>
        <v>7</v>
      </c>
      <c r="BN36" s="6">
        <f>+SUMIF('Inputs summary'!$B$1:$B$106,$BI36,'Inputs summary'!$C$1:$C$106)+SUMIF('Inputs summary'!$E$1:$E$106,$BI36,'Inputs summary'!$D$1:$D$106)</f>
        <v>7</v>
      </c>
      <c r="BO36" s="6">
        <f>+SUMIF('Inputs summary'!$B$1:$B$106,$BI36,'Inputs summary'!$D$1:$D$106)+SUMIF('Inputs summary'!$E$1:$E$106,$BI36,'Inputs summary'!$C$1:$C$106)</f>
        <v>0</v>
      </c>
      <c r="BP36" s="166">
        <f t="shared" si="12"/>
        <v>9.077010099999999</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0</v>
      </c>
      <c r="R37" s="6">
        <f>+COUNTIFS('Inputs summary'!J:K,$H37)</f>
        <v>2</v>
      </c>
      <c r="S37" s="6">
        <f>+COUNTIFS('Inputs summary'!L:L,$H37)</f>
        <v>2</v>
      </c>
      <c r="T37" s="6">
        <f t="shared" si="14"/>
        <v>-3</v>
      </c>
      <c r="U37" s="6">
        <f>+SUMIF('Inputs summary'!B:B,H37,'Inputs summary'!C:C)+SUMIF('Inputs summary'!E:E,H37,'Inputs summary'!D:D)</f>
        <v>2</v>
      </c>
      <c r="V37" s="6">
        <f>+SUMIF('Inputs summary'!B:B,H37,'Inputs summary'!D:D)+SUMIF('Inputs summary'!E:E,H37,'Inputs summary'!C:C)</f>
        <v>5</v>
      </c>
      <c r="W37" s="159">
        <f t="shared" si="15"/>
        <v>101.97020000071429</v>
      </c>
      <c r="X37" s="173">
        <f t="shared" si="16"/>
        <v>1</v>
      </c>
      <c r="Y37" s="167">
        <f t="shared" si="7"/>
        <v>2</v>
      </c>
      <c r="Z37" s="173">
        <f t="shared" si="17"/>
        <v>101.97020050071428</v>
      </c>
      <c r="AA37" s="173">
        <f>+_xlfn.XLOOKUP(H37,'Ranking FIFA'!B:B,'Ranking FIFA'!A:A,"--",0)</f>
        <v>14</v>
      </c>
      <c r="AP37" s="457">
        <f>+_xlfn.XLOOKUP(AQ37,'Ranking FIFA'!B:B,'Ranking FIFA'!A:A,"--",0)</f>
        <v>44</v>
      </c>
      <c r="AQ37" t="s">
        <v>81</v>
      </c>
      <c r="AR37" s="6">
        <v>3</v>
      </c>
      <c r="AT37" s="169">
        <f t="shared" si="8"/>
        <v>0</v>
      </c>
      <c r="AU37" s="166">
        <f t="shared" si="9"/>
        <v>1.9902000002272726</v>
      </c>
      <c r="BH37">
        <v>34</v>
      </c>
      <c r="BI37" t="str">
        <f t="shared" si="11"/>
        <v>Senegal</v>
      </c>
      <c r="BJ37" s="6">
        <f>+COUNTIFS('Inputs summary'!I$2:I$106,BI37)</f>
        <v>0</v>
      </c>
      <c r="BK37" s="6">
        <f>+COUNTIFS('Inputs summary'!J$2:K$106,BI37)</f>
        <v>2</v>
      </c>
      <c r="BL37" s="6">
        <f>+COUNTIFS('Inputs summary'!L$2:L$106,BI37)</f>
        <v>1</v>
      </c>
      <c r="BM37" s="6">
        <f t="shared" si="19"/>
        <v>-2</v>
      </c>
      <c r="BN37" s="6">
        <f>+SUMIF('Inputs summary'!$B$1:$B$106,$BI37,'Inputs summary'!$C$1:$C$106)+SUMIF('Inputs summary'!$E$1:$E$106,$BI37,'Inputs summary'!$D$1:$D$106)</f>
        <v>2</v>
      </c>
      <c r="BO37" s="6">
        <f>+SUMIF('Inputs summary'!$B$1:$B$106,$BI37,'Inputs summary'!$D$1:$D$106)+SUMIF('Inputs summary'!$E$1:$E$106,$BI37,'Inputs summary'!$C$1:$C$106)</f>
        <v>4</v>
      </c>
      <c r="BP37" s="166">
        <f t="shared" si="12"/>
        <v>3.9820213999999998</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1</v>
      </c>
      <c r="S38" s="6">
        <f>+COUNTIFS('Inputs summary'!L:L,$H38)</f>
        <v>2</v>
      </c>
      <c r="T38" s="6">
        <f t="shared" si="14"/>
        <v>-4</v>
      </c>
      <c r="U38" s="6">
        <f>+SUMIF('Inputs summary'!B:B,H38,'Inputs summary'!C:C)+SUMIF('Inputs summary'!E:E,H38,'Inputs summary'!D:D)</f>
        <v>1</v>
      </c>
      <c r="V38" s="6">
        <f>+SUMIF('Inputs summary'!B:B,H38,'Inputs summary'!D:D)+SUMIF('Inputs summary'!E:E,H38,'Inputs summary'!C:C)</f>
        <v>5</v>
      </c>
      <c r="W38" s="159">
        <f t="shared" si="15"/>
        <v>0.96010000017543851</v>
      </c>
      <c r="X38" s="173">
        <f t="shared" si="16"/>
        <v>0</v>
      </c>
      <c r="Y38" s="167">
        <f t="shared" si="7"/>
        <v>4</v>
      </c>
      <c r="Z38" s="173">
        <f t="shared" si="17"/>
        <v>0.96010025017543854</v>
      </c>
      <c r="AA38" s="173">
        <f>+_xlfn.XLOOKUP(H38,'Ranking FIFA'!B:B,'Ranking FIFA'!A:A,"--",0)</f>
        <v>57</v>
      </c>
      <c r="AP38" s="457">
        <f>+_xlfn.XLOOKUP(AQ38,'Ranking FIFA'!B:B,'Ranking FIFA'!A:A,"--",0)</f>
        <v>60</v>
      </c>
      <c r="AQ38" t="s">
        <v>82</v>
      </c>
      <c r="AR38" s="6">
        <v>3</v>
      </c>
      <c r="AT38" s="169">
        <f t="shared" si="8"/>
        <v>0</v>
      </c>
      <c r="AU38" s="166">
        <f t="shared" si="9"/>
        <v>0.97010000016666664</v>
      </c>
      <c r="BH38">
        <v>35</v>
      </c>
      <c r="BI38" t="str">
        <f t="shared" si="11"/>
        <v>Irak</v>
      </c>
      <c r="BJ38" s="6">
        <f>+COUNTIFS('Inputs summary'!I$2:I$106,BI38)</f>
        <v>0</v>
      </c>
      <c r="BK38" s="6">
        <f>+COUNTIFS('Inputs summary'!J$2:K$106,BI38)</f>
        <v>1</v>
      </c>
      <c r="BL38" s="6">
        <f>+COUNTIFS('Inputs summary'!L$2:L$106,BI38)</f>
        <v>2</v>
      </c>
      <c r="BM38" s="6">
        <f t="shared" si="19"/>
        <v>-4</v>
      </c>
      <c r="BN38" s="6">
        <f>+SUMIF('Inputs summary'!$B$1:$B$106,$BI38,'Inputs summary'!$C$1:$C$106)+SUMIF('Inputs summary'!$E$1:$E$106,$BI38,'Inputs summary'!$D$1:$D$106)</f>
        <v>1</v>
      </c>
      <c r="BO38" s="6">
        <f>+SUMIF('Inputs summary'!$B$1:$B$106,$BI38,'Inputs summary'!$D$1:$D$106)+SUMIF('Inputs summary'!$E$1:$E$106,$BI38,'Inputs summary'!$C$1:$C$106)</f>
        <v>5</v>
      </c>
      <c r="BP38" s="166">
        <f t="shared" si="12"/>
        <v>1.9610456999999999</v>
      </c>
    </row>
    <row r="39" spans="7:68" x14ac:dyDescent="0.2">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1</v>
      </c>
      <c r="R39" s="6">
        <f>+COUNTIFS('Inputs summary'!J:K,$H39)</f>
        <v>1</v>
      </c>
      <c r="S39" s="6">
        <f>+COUNTIFS('Inputs summary'!L:L,$H39)</f>
        <v>2</v>
      </c>
      <c r="T39" s="6">
        <f t="shared" si="14"/>
        <v>-2</v>
      </c>
      <c r="U39" s="6">
        <f>+SUMIF('Inputs summary'!B:B,H39,'Inputs summary'!C:C)+SUMIF('Inputs summary'!E:E,H39,'Inputs summary'!D:D)</f>
        <v>2</v>
      </c>
      <c r="V39" s="6">
        <f>+SUMIF('Inputs summary'!B:B,H39,'Inputs summary'!D:D)+SUMIF('Inputs summary'!E:E,H39,'Inputs summary'!C:C)</f>
        <v>4</v>
      </c>
      <c r="W39" s="159">
        <f t="shared" si="15"/>
        <v>103.9802000003226</v>
      </c>
      <c r="X39" s="173">
        <f t="shared" si="16"/>
        <v>1</v>
      </c>
      <c r="Y39" s="167">
        <f t="shared" si="7"/>
        <v>2</v>
      </c>
      <c r="Z39" s="173">
        <f t="shared" si="17"/>
        <v>103.9802005003226</v>
      </c>
      <c r="AA39" s="173">
        <f>+_xlfn.XLOOKUP(H39,'Ranking FIFA'!B:B,'Ranking FIFA'!A:A,"--",0)</f>
        <v>31</v>
      </c>
      <c r="AP39" s="457">
        <f>+_xlfn.XLOOKUP(AQ39,'Ranking FIFA'!B:B,'Ranking FIFA'!A:A,"--",0)</f>
        <v>61</v>
      </c>
      <c r="AQ39" t="s">
        <v>83</v>
      </c>
      <c r="AR39" s="6">
        <v>3</v>
      </c>
      <c r="AT39" s="169">
        <f t="shared" si="8"/>
        <v>1</v>
      </c>
      <c r="AU39" s="166">
        <f t="shared" si="9"/>
        <v>102.96010000016393</v>
      </c>
      <c r="BH39">
        <v>36</v>
      </c>
      <c r="BI39" t="str">
        <f t="shared" si="11"/>
        <v>Noruega</v>
      </c>
      <c r="BJ39" s="6">
        <f>+COUNTIFS('Inputs summary'!I$2:I$106,BI39)</f>
        <v>1</v>
      </c>
      <c r="BK39" s="6">
        <f>+COUNTIFS('Inputs summary'!J$2:K$106,BI39)</f>
        <v>1</v>
      </c>
      <c r="BL39" s="6">
        <f>+COUNTIFS('Inputs summary'!L$2:L$106,BI39)</f>
        <v>1</v>
      </c>
      <c r="BM39" s="6">
        <f t="shared" si="19"/>
        <v>-1</v>
      </c>
      <c r="BN39" s="6">
        <f>+SUMIF('Inputs summary'!$B$1:$B$106,$BI39,'Inputs summary'!$C$1:$C$106)+SUMIF('Inputs summary'!$E$1:$E$106,$BI39,'Inputs summary'!$D$1:$D$106)</f>
        <v>2</v>
      </c>
      <c r="BO39" s="6">
        <f>+SUMIF('Inputs summary'!$B$1:$B$106,$BI39,'Inputs summary'!$D$1:$D$106)+SUMIF('Inputs summary'!$E$1:$E$106,$BI39,'Inputs summary'!$C$1:$C$106)</f>
        <v>3</v>
      </c>
      <c r="BP39" s="166">
        <f t="shared" si="12"/>
        <v>4.9920230999999999</v>
      </c>
    </row>
    <row r="40" spans="7:68" x14ac:dyDescent="0.2">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8</v>
      </c>
      <c r="R40" s="6">
        <f>+COUNTIFS('Inputs summary'!J:K,$H40)</f>
        <v>0</v>
      </c>
      <c r="S40" s="6">
        <f>+COUNTIFS('Inputs summary'!L:L,$H40)</f>
        <v>0</v>
      </c>
      <c r="T40" s="6">
        <f t="shared" si="14"/>
        <v>11</v>
      </c>
      <c r="U40" s="6">
        <f>+SUMIF('Inputs summary'!B:B,H40,'Inputs summary'!C:C)+SUMIF('Inputs summary'!E:E,H40,'Inputs summary'!D:D)</f>
        <v>11</v>
      </c>
      <c r="V40" s="6">
        <f>+SUMIF('Inputs summary'!B:B,H40,'Inputs summary'!D:D)+SUMIF('Inputs summary'!E:E,H40,'Inputs summary'!C:C)</f>
        <v>0</v>
      </c>
      <c r="W40" s="159">
        <f t="shared" si="15"/>
        <v>824.11110000333326</v>
      </c>
      <c r="X40" s="173">
        <f t="shared" si="16"/>
        <v>2201111</v>
      </c>
      <c r="Y40" s="167">
        <f t="shared" si="7"/>
        <v>1</v>
      </c>
      <c r="Z40" s="173">
        <f t="shared" si="17"/>
        <v>824.11110100333326</v>
      </c>
      <c r="AA40" s="173">
        <f>+_xlfn.XLOOKUP(H40,'Ranking FIFA'!B:B,'Ranking FIFA'!A:A,"--",0)</f>
        <v>3</v>
      </c>
      <c r="AP40" s="457">
        <f>+_xlfn.XLOOKUP(AQ40,'Ranking FIFA'!B:B,'Ranking FIFA'!A:A,"--",0)</f>
        <v>65</v>
      </c>
      <c r="AQ40" s="456" t="s">
        <v>84</v>
      </c>
      <c r="AR40" s="6">
        <v>3</v>
      </c>
      <c r="AT40" s="169">
        <f t="shared" si="8"/>
        <v>1</v>
      </c>
      <c r="AU40" s="166">
        <f t="shared" si="9"/>
        <v>103.99020000015385</v>
      </c>
      <c r="BH40">
        <v>37</v>
      </c>
      <c r="BI40" t="str">
        <f t="shared" si="11"/>
        <v>Argentina</v>
      </c>
      <c r="BJ40" s="6">
        <f>+COUNTIFS('Inputs summary'!I$2:I$106,BI40)</f>
        <v>3</v>
      </c>
      <c r="BK40" s="6">
        <f>+COUNTIFS('Inputs summary'!J$2:K$106,BI40)</f>
        <v>0</v>
      </c>
      <c r="BL40" s="6">
        <f>+COUNTIFS('Inputs summary'!L$2:L$106,BI40)</f>
        <v>0</v>
      </c>
      <c r="BM40" s="6">
        <f t="shared" si="19"/>
        <v>6</v>
      </c>
      <c r="BN40" s="6">
        <f>+SUMIF('Inputs summary'!$B$1:$B$106,$BI40,'Inputs summary'!$C$1:$C$106)+SUMIF('Inputs summary'!$E$1:$E$106,$BI40,'Inputs summary'!$D$1:$D$106)</f>
        <v>6</v>
      </c>
      <c r="BO40" s="6">
        <f>+SUMIF('Inputs summary'!$B$1:$B$106,$BI40,'Inputs summary'!$D$1:$D$106)+SUMIF('Inputs summary'!$E$1:$E$106,$BI40,'Inputs summary'!$C$1:$C$106)</f>
        <v>0</v>
      </c>
      <c r="BP40" s="166">
        <f t="shared" si="12"/>
        <v>9.0660103000000003</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0</v>
      </c>
      <c r="P41" s="6">
        <f t="shared" si="13"/>
        <v>0</v>
      </c>
      <c r="Q41" s="6">
        <f>+COUNTIFS('Inputs summary'!I:I,$H41)</f>
        <v>0</v>
      </c>
      <c r="R41" s="6">
        <f>+COUNTIFS('Inputs summary'!J:K,$H41)</f>
        <v>2</v>
      </c>
      <c r="S41" s="6">
        <f>+COUNTIFS('Inputs summary'!L:L,$H41)</f>
        <v>1</v>
      </c>
      <c r="T41" s="6">
        <f t="shared" si="14"/>
        <v>-2</v>
      </c>
      <c r="U41" s="6">
        <f>+SUMIF('Inputs summary'!B:B,H41,'Inputs summary'!C:C)+SUMIF('Inputs summary'!E:E,H41,'Inputs summary'!D:D)</f>
        <v>2</v>
      </c>
      <c r="V41" s="6">
        <f>+SUMIF('Inputs summary'!B:B,H41,'Inputs summary'!D:D)+SUMIF('Inputs summary'!E:E,H41,'Inputs summary'!C:C)</f>
        <v>4</v>
      </c>
      <c r="W41" s="159">
        <f t="shared" si="15"/>
        <v>1.9802000003571427</v>
      </c>
      <c r="X41" s="173">
        <f t="shared" si="16"/>
        <v>0</v>
      </c>
      <c r="Y41" s="167">
        <f t="shared" si="7"/>
        <v>3</v>
      </c>
      <c r="Z41" s="173">
        <f t="shared" si="17"/>
        <v>1.9802003336904761</v>
      </c>
      <c r="AA41" s="173">
        <f>+_xlfn.XLOOKUP(H41,'Ranking FIFA'!B:B,'Ranking FIFA'!A:A,"--",0)</f>
        <v>28</v>
      </c>
      <c r="AP41" s="457">
        <f>+_xlfn.XLOOKUP(AQ41,'Ranking FIFA'!B:B,'Ranking FIFA'!A:A,"--",0)</f>
        <v>74</v>
      </c>
      <c r="AQ41" t="s">
        <v>85</v>
      </c>
      <c r="AR41" s="6">
        <v>3</v>
      </c>
      <c r="AT41" s="169">
        <f t="shared" si="8"/>
        <v>0</v>
      </c>
      <c r="AU41" s="166">
        <f t="shared" si="9"/>
        <v>0.98020000013513509</v>
      </c>
      <c r="BH41">
        <v>38</v>
      </c>
      <c r="BI41" t="str">
        <f t="shared" si="11"/>
        <v>Argelia</v>
      </c>
      <c r="BJ41" s="6">
        <f>+COUNTIFS('Inputs summary'!I$2:I$106,BI41)</f>
        <v>0</v>
      </c>
      <c r="BK41" s="6">
        <f>+COUNTIFS('Inputs summary'!J$2:K$106,BI41)</f>
        <v>2</v>
      </c>
      <c r="BL41" s="6">
        <f>+COUNTIFS('Inputs summary'!L$2:L$106,BI41)</f>
        <v>1</v>
      </c>
      <c r="BM41" s="6">
        <f t="shared" si="19"/>
        <v>-2</v>
      </c>
      <c r="BN41" s="6">
        <f>+SUMIF('Inputs summary'!$B$1:$B$106,$BI41,'Inputs summary'!$C$1:$C$106)+SUMIF('Inputs summary'!$E$1:$E$106,$BI41,'Inputs summary'!$D$1:$D$106)</f>
        <v>2</v>
      </c>
      <c r="BO41" s="6">
        <f>+SUMIF('Inputs summary'!$B$1:$B$106,$BI41,'Inputs summary'!$D$1:$D$106)+SUMIF('Inputs summary'!$E$1:$E$106,$BI41,'Inputs summary'!$C$1:$C$106)</f>
        <v>4</v>
      </c>
      <c r="BP41" s="166">
        <f t="shared" si="12"/>
        <v>3.9820327999999998</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0</v>
      </c>
      <c r="R42" s="6">
        <f>+COUNTIFS('Inputs summary'!J:K,$H42)</f>
        <v>2</v>
      </c>
      <c r="S42" s="6">
        <f>+COUNTIFS('Inputs summary'!L:L,$H42)</f>
        <v>2</v>
      </c>
      <c r="T42" s="6">
        <f t="shared" si="14"/>
        <v>-3</v>
      </c>
      <c r="U42" s="6">
        <f>+SUMIF('Inputs summary'!B:B,H42,'Inputs summary'!C:C)+SUMIF('Inputs summary'!E:E,H42,'Inputs summary'!D:D)</f>
        <v>2</v>
      </c>
      <c r="V42" s="6">
        <f>+SUMIF('Inputs summary'!B:B,H42,'Inputs summary'!D:D)+SUMIF('Inputs summary'!E:E,H42,'Inputs summary'!C:C)</f>
        <v>5</v>
      </c>
      <c r="W42" s="159">
        <f t="shared" si="15"/>
        <v>101.97020000041667</v>
      </c>
      <c r="X42" s="173">
        <f t="shared" si="16"/>
        <v>1</v>
      </c>
      <c r="Y42" s="167">
        <f t="shared" si="7"/>
        <v>3</v>
      </c>
      <c r="Z42" s="173">
        <f t="shared" si="17"/>
        <v>101.97020033375</v>
      </c>
      <c r="AA42" s="173">
        <f>+_xlfn.XLOOKUP(H42,'Ranking FIFA'!B:B,'Ranking FIFA'!A:A,"--",0)</f>
        <v>24</v>
      </c>
      <c r="AP42" s="457">
        <f>+_xlfn.XLOOKUP(AQ42,'Ranking FIFA'!B:B,'Ranking FIFA'!A:A,"--",0)</f>
        <v>21</v>
      </c>
      <c r="AQ42" t="s">
        <v>86</v>
      </c>
      <c r="AR42" s="6">
        <v>3</v>
      </c>
      <c r="AT42" s="169">
        <f t="shared" si="8"/>
        <v>1</v>
      </c>
      <c r="AU42" s="166">
        <f t="shared" si="9"/>
        <v>107.02040000047619</v>
      </c>
      <c r="BH42">
        <v>39</v>
      </c>
      <c r="BI42" t="str">
        <f t="shared" si="11"/>
        <v>Austria</v>
      </c>
      <c r="BJ42" s="6">
        <f>+COUNTIFS('Inputs summary'!I$2:I$106,BI42)</f>
        <v>0</v>
      </c>
      <c r="BK42" s="6">
        <f>+COUNTIFS('Inputs summary'!J$2:K$106,BI42)</f>
        <v>2</v>
      </c>
      <c r="BL42" s="6">
        <f>+COUNTIFS('Inputs summary'!L$2:L$106,BI42)</f>
        <v>1</v>
      </c>
      <c r="BM42" s="6">
        <f t="shared" si="19"/>
        <v>-2</v>
      </c>
      <c r="BN42" s="6">
        <f>+SUMIF('Inputs summary'!$B$1:$B$106,$BI42,'Inputs summary'!$C$1:$C$106)+SUMIF('Inputs summary'!$E$1:$E$106,$BI42,'Inputs summary'!$D$1:$D$106)</f>
        <v>2</v>
      </c>
      <c r="BO42" s="6">
        <f>+SUMIF('Inputs summary'!$B$1:$B$106,$BI42,'Inputs summary'!$D$1:$D$106)+SUMIF('Inputs summary'!$E$1:$E$106,$BI42,'Inputs summary'!$C$1:$C$106)</f>
        <v>4</v>
      </c>
      <c r="BP42" s="166">
        <f t="shared" si="12"/>
        <v>3.9820324</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2</v>
      </c>
      <c r="S43" s="6">
        <f>+COUNTIFS('Inputs summary'!L:L,$H43)</f>
        <v>1</v>
      </c>
      <c r="T43" s="6">
        <f t="shared" si="14"/>
        <v>-2</v>
      </c>
      <c r="U43" s="6">
        <f>+SUMIF('Inputs summary'!B:B,H43,'Inputs summary'!C:C)+SUMIF('Inputs summary'!E:E,H43,'Inputs summary'!D:D)</f>
        <v>2</v>
      </c>
      <c r="V43" s="6">
        <f>+SUMIF('Inputs summary'!B:B,H43,'Inputs summary'!D:D)+SUMIF('Inputs summary'!E:E,H43,'Inputs summary'!C:C)</f>
        <v>4</v>
      </c>
      <c r="W43" s="159">
        <f t="shared" si="15"/>
        <v>1.9802000001587301</v>
      </c>
      <c r="X43" s="173">
        <f t="shared" si="16"/>
        <v>0</v>
      </c>
      <c r="Y43" s="167">
        <f t="shared" si="7"/>
        <v>4</v>
      </c>
      <c r="Z43" s="173">
        <f t="shared" si="17"/>
        <v>1.9802002501587301</v>
      </c>
      <c r="AA43" s="173">
        <f>+_xlfn.XLOOKUP(H43,'Ranking FIFA'!B:B,'Ranking FIFA'!A:A,"--",0)</f>
        <v>63</v>
      </c>
      <c r="AP43" s="457">
        <f>+_xlfn.XLOOKUP(AQ43,'Ranking FIFA'!B:B,'Ranking FIFA'!A:A,"--",0)</f>
        <v>46</v>
      </c>
      <c r="AQ43" s="456" t="s">
        <v>87</v>
      </c>
      <c r="AR43" s="6">
        <v>4</v>
      </c>
      <c r="AT43" s="169">
        <f t="shared" si="8"/>
        <v>0</v>
      </c>
      <c r="AU43" s="166">
        <f t="shared" si="9"/>
        <v>0.96010000021739128</v>
      </c>
      <c r="BH43">
        <v>40</v>
      </c>
      <c r="BI43" t="str">
        <f t="shared" si="11"/>
        <v>Jordania</v>
      </c>
      <c r="BJ43" s="6">
        <f>+COUNTIFS('Inputs summary'!I$2:I$106,BI43)</f>
        <v>0</v>
      </c>
      <c r="BK43" s="6">
        <f>+COUNTIFS('Inputs summary'!J$2:K$106,BI43)</f>
        <v>2</v>
      </c>
      <c r="BL43" s="6">
        <f>+COUNTIFS('Inputs summary'!L$2:L$106,BI43)</f>
        <v>1</v>
      </c>
      <c r="BM43" s="6">
        <f t="shared" si="19"/>
        <v>-2</v>
      </c>
      <c r="BN43" s="6">
        <f>+SUMIF('Inputs summary'!$B$1:$B$106,$BI43,'Inputs summary'!$C$1:$C$106)+SUMIF('Inputs summary'!$E$1:$E$106,$BI43,'Inputs summary'!$D$1:$D$106)</f>
        <v>2</v>
      </c>
      <c r="BO43" s="6">
        <f>+SUMIF('Inputs summary'!$B$1:$B$106,$BI43,'Inputs summary'!$D$1:$D$106)+SUMIF('Inputs summary'!$E$1:$E$106,$BI43,'Inputs summary'!$C$1:$C$106)</f>
        <v>4</v>
      </c>
      <c r="BP43" s="166">
        <f t="shared" si="12"/>
        <v>3.9820462999999995</v>
      </c>
    </row>
    <row r="44" spans="7:68" x14ac:dyDescent="0.2">
      <c r="G44">
        <v>41</v>
      </c>
      <c r="H44" t="str">
        <f>+'Groups Stage'!O93</f>
        <v>Portugal</v>
      </c>
      <c r="I44" s="6">
        <f t="shared" si="0"/>
        <v>0</v>
      </c>
      <c r="J44" s="6">
        <f t="shared" si="1"/>
        <v>0</v>
      </c>
      <c r="K44" s="6">
        <f t="shared" si="2"/>
        <v>0</v>
      </c>
      <c r="L44" s="6">
        <f t="shared" si="3"/>
        <v>0</v>
      </c>
      <c r="M44" s="6">
        <f t="shared" si="4"/>
        <v>0</v>
      </c>
      <c r="N44" s="6">
        <f t="shared" si="5"/>
        <v>1</v>
      </c>
      <c r="O44" s="6">
        <f t="shared" si="6"/>
        <v>1</v>
      </c>
      <c r="P44" s="6">
        <f t="shared" si="13"/>
        <v>2</v>
      </c>
      <c r="Q44" s="6">
        <f>+COUNTIFS('Inputs summary'!I:I,$H44)</f>
        <v>2</v>
      </c>
      <c r="R44" s="6">
        <f>+COUNTIFS('Inputs summary'!J:K,$H44)</f>
        <v>2</v>
      </c>
      <c r="S44" s="6">
        <f>+COUNTIFS('Inputs summary'!L:L,$H44)</f>
        <v>1</v>
      </c>
      <c r="T44" s="6">
        <f t="shared" si="14"/>
        <v>2</v>
      </c>
      <c r="U44" s="6">
        <f>+SUMIF('Inputs summary'!B:B,H44,'Inputs summary'!C:C)+SUMIF('Inputs summary'!E:E,H44,'Inputs summary'!D:D)</f>
        <v>5</v>
      </c>
      <c r="V44" s="6">
        <f>+SUMIF('Inputs summary'!B:B,H44,'Inputs summary'!D:D)+SUMIF('Inputs summary'!E:E,H44,'Inputs summary'!C:C)</f>
        <v>3</v>
      </c>
      <c r="W44" s="159">
        <f t="shared" si="15"/>
        <v>208.02050000200001</v>
      </c>
      <c r="X44" s="173">
        <f t="shared" si="16"/>
        <v>11</v>
      </c>
      <c r="Y44" s="167">
        <f t="shared" si="7"/>
        <v>1</v>
      </c>
      <c r="Z44" s="173">
        <f t="shared" si="17"/>
        <v>208.020501002</v>
      </c>
      <c r="AA44" s="173">
        <f>+_xlfn.XLOOKUP(H44,'Ranking FIFA'!B:B,'Ranking FIFA'!A:A,"--",0)</f>
        <v>5</v>
      </c>
      <c r="AP44" s="457">
        <f>+_xlfn.XLOOKUP(AQ44,'Ranking FIFA'!B:B,'Ranking FIFA'!A:A,"--",0)</f>
        <v>50</v>
      </c>
      <c r="AQ44" t="s">
        <v>88</v>
      </c>
      <c r="AR44" s="6">
        <v>4</v>
      </c>
      <c r="AT44" s="169">
        <f t="shared" si="8"/>
        <v>1</v>
      </c>
      <c r="AU44" s="166">
        <f t="shared" si="9"/>
        <v>101.9803000002</v>
      </c>
      <c r="BH44">
        <v>41</v>
      </c>
      <c r="BI44" t="str">
        <f t="shared" si="11"/>
        <v>Portugal</v>
      </c>
      <c r="BJ44" s="6">
        <f>+COUNTIFS('Inputs summary'!I$2:I$106,BI44)</f>
        <v>1</v>
      </c>
      <c r="BK44" s="6">
        <f>+COUNTIFS('Inputs summary'!J$2:K$106,BI44)</f>
        <v>2</v>
      </c>
      <c r="BL44" s="6">
        <f>+COUNTIFS('Inputs summary'!L$2:L$106,BI44)</f>
        <v>0</v>
      </c>
      <c r="BM44" s="6">
        <f t="shared" si="19"/>
        <v>2</v>
      </c>
      <c r="BN44" s="6">
        <f>+SUMIF('Inputs summary'!$B$1:$B$106,$BI44,'Inputs summary'!$C$1:$C$106)+SUMIF('Inputs summary'!$E$1:$E$106,$BI44,'Inputs summary'!$D$1:$D$106)</f>
        <v>4</v>
      </c>
      <c r="BO44" s="6">
        <f>+SUMIF('Inputs summary'!$B$1:$B$106,$BI44,'Inputs summary'!$D$1:$D$106)+SUMIF('Inputs summary'!$E$1:$E$106,$BI44,'Inputs summary'!$C$1:$C$106)</f>
        <v>2</v>
      </c>
      <c r="BP44" s="166">
        <f t="shared" si="12"/>
        <v>7.0240104999999984</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-4</v>
      </c>
      <c r="U45" s="6">
        <f>+SUMIF('Inputs summary'!B:B,H45,'Inputs summary'!C:C)+SUMIF('Inputs summary'!E:E,H45,'Inputs summary'!D:D)</f>
        <v>1</v>
      </c>
      <c r="V45" s="6">
        <f>+SUMIF('Inputs summary'!B:B,H45,'Inputs summary'!D:D)+SUMIF('Inputs summary'!E:E,H45,'Inputs summary'!C:C)</f>
        <v>5</v>
      </c>
      <c r="W45" s="159">
        <f t="shared" si="15"/>
        <v>0.96010000021739128</v>
      </c>
      <c r="X45" s="173">
        <f t="shared" si="16"/>
        <v>0</v>
      </c>
      <c r="Y45" s="167">
        <f t="shared" si="7"/>
        <v>4</v>
      </c>
      <c r="Z45" s="173">
        <f t="shared" si="17"/>
        <v>0.96010025021739132</v>
      </c>
      <c r="AA45" s="173">
        <f>+_xlfn.XLOOKUP(H45,'Ranking FIFA'!B:B,'Ranking FIFA'!A:A,"--",0)</f>
        <v>46</v>
      </c>
      <c r="AP45" s="457">
        <f>+_xlfn.XLOOKUP(AQ45,'Ranking FIFA'!B:B,'Ranking FIFA'!A:A,"--",0)</f>
        <v>55</v>
      </c>
      <c r="AQ45" t="s">
        <v>89</v>
      </c>
      <c r="AR45" s="6">
        <v>4</v>
      </c>
      <c r="AT45" s="169">
        <f t="shared" si="8"/>
        <v>0</v>
      </c>
      <c r="AU45" s="166">
        <f t="shared" si="9"/>
        <v>0.9801000001818182</v>
      </c>
      <c r="BH45">
        <v>42</v>
      </c>
      <c r="BI45" t="str">
        <f t="shared" si="11"/>
        <v>Congo</v>
      </c>
      <c r="BJ45" s="6">
        <f>+COUNTIFS('Inputs summary'!I$2:I$106,BI45)</f>
        <v>0</v>
      </c>
      <c r="BK45" s="6">
        <f>+COUNTIFS('Inputs summary'!J$2:K$106,BI45)</f>
        <v>1</v>
      </c>
      <c r="BL45" s="6">
        <f>+COUNTIFS('Inputs summary'!L$2:L$106,BI45)</f>
        <v>2</v>
      </c>
      <c r="BM45" s="6">
        <f t="shared" si="19"/>
        <v>-4</v>
      </c>
      <c r="BN45" s="6">
        <f>+SUMIF('Inputs summary'!$B$1:$B$106,$BI45,'Inputs summary'!$C$1:$C$106)+SUMIF('Inputs summary'!$E$1:$E$106,$BI45,'Inputs summary'!$D$1:$D$106)</f>
        <v>1</v>
      </c>
      <c r="BO45" s="6">
        <f>+SUMIF('Inputs summary'!$B$1:$B$106,$BI45,'Inputs summary'!$D$1:$D$106)+SUMIF('Inputs summary'!$E$1:$E$106,$BI45,'Inputs summary'!$C$1:$C$106)</f>
        <v>5</v>
      </c>
      <c r="BP45" s="166">
        <f t="shared" si="12"/>
        <v>1.9610445999999999</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1</v>
      </c>
      <c r="P46" s="6">
        <f t="shared" si="13"/>
        <v>1</v>
      </c>
      <c r="Q46" s="6">
        <f>+COUNTIFS('Inputs summary'!I:I,$H46)</f>
        <v>0</v>
      </c>
      <c r="R46" s="6">
        <f>+COUNTIFS('Inputs summary'!J:K,$H46)</f>
        <v>2</v>
      </c>
      <c r="S46" s="6">
        <f>+COUNTIFS('Inputs summary'!L:L,$H46)</f>
        <v>2</v>
      </c>
      <c r="T46" s="6">
        <f t="shared" si="14"/>
        <v>-2</v>
      </c>
      <c r="U46" s="6">
        <f>+SUMIF('Inputs summary'!B:B,H46,'Inputs summary'!C:C)+SUMIF('Inputs summary'!E:E,H46,'Inputs summary'!D:D)</f>
        <v>3</v>
      </c>
      <c r="V46" s="6">
        <f>+SUMIF('Inputs summary'!B:B,H46,'Inputs summary'!D:D)+SUMIF('Inputs summary'!E:E,H46,'Inputs summary'!C:C)</f>
        <v>5</v>
      </c>
      <c r="W46" s="159">
        <f t="shared" si="15"/>
        <v>101.9803000002</v>
      </c>
      <c r="X46" s="173">
        <f t="shared" si="16"/>
        <v>1</v>
      </c>
      <c r="Y46" s="167">
        <f t="shared" si="7"/>
        <v>4</v>
      </c>
      <c r="Z46" s="173">
        <f t="shared" si="17"/>
        <v>101.9803002502</v>
      </c>
      <c r="AA46" s="173">
        <f>+_xlfn.XLOOKUP(H46,'Ranking FIFA'!B:B,'Ranking FIFA'!A:A,"--",0)</f>
        <v>50</v>
      </c>
      <c r="AP46" s="457">
        <f>+_xlfn.XLOOKUP(AQ46,'Ranking FIFA'!B:B,'Ranking FIFA'!A:A,"--",0)</f>
        <v>57</v>
      </c>
      <c r="AQ46" s="456" t="s">
        <v>90</v>
      </c>
      <c r="AR46" s="6">
        <v>4</v>
      </c>
      <c r="AT46" s="169">
        <f t="shared" si="8"/>
        <v>0</v>
      </c>
      <c r="AU46" s="166">
        <f t="shared" si="9"/>
        <v>0.96010000017543851</v>
      </c>
      <c r="BH46">
        <v>43</v>
      </c>
      <c r="BI46" t="str">
        <f t="shared" si="11"/>
        <v>Uzbekistan</v>
      </c>
      <c r="BJ46" s="6">
        <f>+COUNTIFS('Inputs summary'!I$2:I$106,BI46)</f>
        <v>0</v>
      </c>
      <c r="BK46" s="6">
        <f>+COUNTIFS('Inputs summary'!J$2:K$106,BI46)</f>
        <v>2</v>
      </c>
      <c r="BL46" s="6">
        <f>+COUNTIFS('Inputs summary'!L$2:L$106,BI46)</f>
        <v>1</v>
      </c>
      <c r="BM46" s="6">
        <f t="shared" si="19"/>
        <v>-1</v>
      </c>
      <c r="BN46" s="6">
        <f>+SUMIF('Inputs summary'!$B$1:$B$106,$BI46,'Inputs summary'!$C$1:$C$106)+SUMIF('Inputs summary'!$E$1:$E$106,$BI46,'Inputs summary'!$D$1:$D$106)</f>
        <v>3</v>
      </c>
      <c r="BO46" s="6">
        <f>+SUMIF('Inputs summary'!$B$1:$B$106,$BI46,'Inputs summary'!$D$1:$D$106)+SUMIF('Inputs summary'!$E$1:$E$106,$BI46,'Inputs summary'!$C$1:$C$106)</f>
        <v>4</v>
      </c>
      <c r="BP46" s="166">
        <f t="shared" si="12"/>
        <v>3.993045</v>
      </c>
    </row>
    <row r="47" spans="7:68" x14ac:dyDescent="0.2">
      <c r="G47">
        <v>44</v>
      </c>
      <c r="H47" t="str">
        <f>+'Groups Stage'!O96</f>
        <v>Colombia</v>
      </c>
      <c r="I47" s="6">
        <f t="shared" si="0"/>
        <v>0</v>
      </c>
      <c r="J47" s="6">
        <f t="shared" si="1"/>
        <v>0</v>
      </c>
      <c r="K47" s="6">
        <f t="shared" si="2"/>
        <v>0</v>
      </c>
      <c r="L47" s="6">
        <f t="shared" si="3"/>
        <v>0</v>
      </c>
      <c r="M47" s="6">
        <f t="shared" si="4"/>
        <v>1</v>
      </c>
      <c r="N47" s="6">
        <f t="shared" si="5"/>
        <v>1</v>
      </c>
      <c r="O47" s="6">
        <f t="shared" si="6"/>
        <v>1</v>
      </c>
      <c r="P47" s="6">
        <f t="shared" si="13"/>
        <v>3</v>
      </c>
      <c r="Q47" s="6">
        <f>+COUNTIFS('Inputs summary'!I:I,$H47)</f>
        <v>4</v>
      </c>
      <c r="R47" s="6">
        <f>+COUNTIFS('Inputs summary'!J:K,$H47)</f>
        <v>1</v>
      </c>
      <c r="S47" s="6">
        <f>+COUNTIFS('Inputs summary'!L:L,$H47)</f>
        <v>1</v>
      </c>
      <c r="T47" s="6">
        <f t="shared" si="14"/>
        <v>4</v>
      </c>
      <c r="U47" s="6">
        <f>+SUMIF('Inputs summary'!B:B,H47,'Inputs summary'!C:C)+SUMIF('Inputs summary'!E:E,H47,'Inputs summary'!D:D)</f>
        <v>7</v>
      </c>
      <c r="V47" s="6">
        <f>+SUMIF('Inputs summary'!B:B,H47,'Inputs summary'!D:D)+SUMIF('Inputs summary'!E:E,H47,'Inputs summary'!C:C)</f>
        <v>3</v>
      </c>
      <c r="W47" s="159">
        <f t="shared" si="15"/>
        <v>313.04070000076922</v>
      </c>
      <c r="X47" s="173">
        <f t="shared" si="16"/>
        <v>111</v>
      </c>
      <c r="Y47" s="167">
        <f t="shared" si="7"/>
        <v>2</v>
      </c>
      <c r="Z47" s="173">
        <f t="shared" si="17"/>
        <v>313.04070050076922</v>
      </c>
      <c r="AA47" s="173">
        <f>+_xlfn.XLOOKUP(H47,'Ranking FIFA'!B:B,'Ranking FIFA'!A:A,"--",0)</f>
        <v>13</v>
      </c>
      <c r="AP47" s="457">
        <f>+_xlfn.XLOOKUP(AQ47,'Ranking FIFA'!B:B,'Ranking FIFA'!A:A,"--",0)</f>
        <v>63</v>
      </c>
      <c r="AQ47" t="s">
        <v>91</v>
      </c>
      <c r="AR47" s="6">
        <v>4</v>
      </c>
      <c r="AT47" s="169">
        <f t="shared" si="8"/>
        <v>0</v>
      </c>
      <c r="AU47" s="166">
        <f t="shared" si="9"/>
        <v>1.9802000001587301</v>
      </c>
      <c r="BH47">
        <v>44</v>
      </c>
      <c r="BI47" t="str">
        <f t="shared" si="11"/>
        <v>Colombia</v>
      </c>
      <c r="BJ47" s="6">
        <f>+COUNTIFS('Inputs summary'!I$2:I$106,BI47)</f>
        <v>2</v>
      </c>
      <c r="BK47" s="6">
        <f>+COUNTIFS('Inputs summary'!J$2:K$106,BI47)</f>
        <v>1</v>
      </c>
      <c r="BL47" s="6">
        <f>+COUNTIFS('Inputs summary'!L$2:L$106,BI47)</f>
        <v>0</v>
      </c>
      <c r="BM47" s="6">
        <f t="shared" si="19"/>
        <v>3</v>
      </c>
      <c r="BN47" s="6">
        <f>+SUMIF('Inputs summary'!$B$1:$B$106,$BI47,'Inputs summary'!$C$1:$C$106)+SUMIF('Inputs summary'!$E$1:$E$106,$BI47,'Inputs summary'!$D$1:$D$106)</f>
        <v>5</v>
      </c>
      <c r="BO47" s="6">
        <f>+SUMIF('Inputs summary'!$B$1:$B$106,$BI47,'Inputs summary'!$D$1:$D$106)+SUMIF('Inputs summary'!$E$1:$E$106,$BI47,'Inputs summary'!$C$1:$C$106)</f>
        <v>2</v>
      </c>
      <c r="BP47" s="166">
        <f t="shared" si="12"/>
        <v>8.0350212999999986</v>
      </c>
    </row>
    <row r="48" spans="7:68" x14ac:dyDescent="0.2">
      <c r="G48">
        <v>45</v>
      </c>
      <c r="H48" t="str">
        <f>+'Groups Stage'!O102</f>
        <v>Inglaterra</v>
      </c>
      <c r="I48" s="6">
        <f t="shared" si="0"/>
        <v>0</v>
      </c>
      <c r="J48" s="6">
        <f t="shared" si="1"/>
        <v>0</v>
      </c>
      <c r="K48" s="6">
        <f t="shared" si="2"/>
        <v>0</v>
      </c>
      <c r="L48" s="6">
        <f t="shared" si="3"/>
        <v>0</v>
      </c>
      <c r="M48" s="6">
        <f t="shared" si="4"/>
        <v>1</v>
      </c>
      <c r="N48" s="6">
        <f t="shared" si="5"/>
        <v>1</v>
      </c>
      <c r="O48" s="6">
        <f t="shared" si="6"/>
        <v>1</v>
      </c>
      <c r="P48" s="6">
        <f t="shared" si="13"/>
        <v>3</v>
      </c>
      <c r="Q48" s="6">
        <f>+COUNTIFS('Inputs summary'!I:I,$H48)</f>
        <v>5</v>
      </c>
      <c r="R48" s="6">
        <f>+COUNTIFS('Inputs summary'!J:K,$H48)</f>
        <v>0</v>
      </c>
      <c r="S48" s="6">
        <f>+COUNTIFS('Inputs summary'!L:L,$H48)</f>
        <v>1</v>
      </c>
      <c r="T48" s="6">
        <f t="shared" si="14"/>
        <v>5</v>
      </c>
      <c r="U48" s="6">
        <f>+SUMIF('Inputs summary'!B:B,H48,'Inputs summary'!C:C)+SUMIF('Inputs summary'!E:E,H48,'Inputs summary'!D:D)</f>
        <v>7</v>
      </c>
      <c r="V48" s="6">
        <f>+SUMIF('Inputs summary'!B:B,H48,'Inputs summary'!D:D)+SUMIF('Inputs summary'!E:E,H48,'Inputs summary'!C:C)</f>
        <v>2</v>
      </c>
      <c r="W48" s="159">
        <f t="shared" si="15"/>
        <v>315.05070000249998</v>
      </c>
      <c r="X48" s="173">
        <f t="shared" si="16"/>
        <v>111</v>
      </c>
      <c r="Y48" s="167">
        <f t="shared" si="7"/>
        <v>1</v>
      </c>
      <c r="Z48" s="173">
        <f t="shared" si="17"/>
        <v>315.05070100249998</v>
      </c>
      <c r="AA48" s="173">
        <f>+_xlfn.XLOOKUP(H48,'Ranking FIFA'!B:B,'Ranking FIFA'!A:A,"--",0)</f>
        <v>4</v>
      </c>
      <c r="AP48" s="457">
        <f>+_xlfn.XLOOKUP(AQ48,'Ranking FIFA'!B:B,'Ranking FIFA'!A:A,"--",0)</f>
        <v>69</v>
      </c>
      <c r="AQ48" t="s">
        <v>92</v>
      </c>
      <c r="AR48" s="6">
        <v>4</v>
      </c>
      <c r="AT48" s="169">
        <f t="shared" si="8"/>
        <v>0</v>
      </c>
      <c r="AU48" s="166">
        <f t="shared" si="9"/>
        <v>-4.9999999855072468E-2</v>
      </c>
      <c r="BH48">
        <v>45</v>
      </c>
      <c r="BI48" t="str">
        <f t="shared" si="11"/>
        <v>Inglaterra</v>
      </c>
      <c r="BJ48" s="6">
        <f>+COUNTIFS('Inputs summary'!I$2:I$106,BI48)</f>
        <v>3</v>
      </c>
      <c r="BK48" s="6">
        <f>+COUNTIFS('Inputs summary'!J$2:K$106,BI48)</f>
        <v>0</v>
      </c>
      <c r="BL48" s="6">
        <f>+COUNTIFS('Inputs summary'!L$2:L$106,BI48)</f>
        <v>0</v>
      </c>
      <c r="BM48" s="6">
        <f t="shared" si="19"/>
        <v>4</v>
      </c>
      <c r="BN48" s="6">
        <f>+SUMIF('Inputs summary'!$B$1:$B$106,$BI48,'Inputs summary'!$C$1:$C$106)+SUMIF('Inputs summary'!$E$1:$E$106,$BI48,'Inputs summary'!$D$1:$D$106)</f>
        <v>5</v>
      </c>
      <c r="BO48" s="6">
        <f>+SUMIF('Inputs summary'!$B$1:$B$106,$BI48,'Inputs summary'!$D$1:$D$106)+SUMIF('Inputs summary'!$E$1:$E$106,$BI48,'Inputs summary'!$C$1:$C$106)</f>
        <v>1</v>
      </c>
      <c r="BP48" s="166">
        <f t="shared" si="12"/>
        <v>9.0450103999999989</v>
      </c>
    </row>
    <row r="49" spans="7:68" x14ac:dyDescent="0.2">
      <c r="G49">
        <v>46</v>
      </c>
      <c r="H49" t="str">
        <f>+'Groups Stage'!O103</f>
        <v>Croacia</v>
      </c>
      <c r="I49" s="6">
        <f t="shared" si="0"/>
        <v>0</v>
      </c>
      <c r="J49" s="6">
        <f t="shared" si="1"/>
        <v>0</v>
      </c>
      <c r="K49" s="6">
        <f t="shared" si="2"/>
        <v>0</v>
      </c>
      <c r="L49" s="6">
        <f t="shared" si="3"/>
        <v>0</v>
      </c>
      <c r="M49" s="6">
        <f t="shared" si="4"/>
        <v>0</v>
      </c>
      <c r="N49" s="6">
        <f t="shared" si="5"/>
        <v>0</v>
      </c>
      <c r="O49" s="6">
        <f t="shared" si="6"/>
        <v>1</v>
      </c>
      <c r="P49" s="6">
        <f t="shared" si="13"/>
        <v>1</v>
      </c>
      <c r="Q49" s="6">
        <f>+COUNTIFS('Inputs summary'!I:I,$H49)</f>
        <v>2</v>
      </c>
      <c r="R49" s="6">
        <f>+COUNTIFS('Inputs summary'!J:K,$H49)</f>
        <v>0</v>
      </c>
      <c r="S49" s="6">
        <f>+COUNTIFS('Inputs summary'!L:L,$H49)</f>
        <v>2</v>
      </c>
      <c r="T49" s="6">
        <f t="shared" si="14"/>
        <v>-1</v>
      </c>
      <c r="U49" s="6">
        <f>+SUMIF('Inputs summary'!B:B,H49,'Inputs summary'!C:C)+SUMIF('Inputs summary'!E:E,H49,'Inputs summary'!D:D)</f>
        <v>2</v>
      </c>
      <c r="V49" s="6">
        <f>+SUMIF('Inputs summary'!B:B,H49,'Inputs summary'!D:D)+SUMIF('Inputs summary'!E:E,H49,'Inputs summary'!C:C)</f>
        <v>3</v>
      </c>
      <c r="W49" s="159">
        <f t="shared" si="15"/>
        <v>105.9902000009091</v>
      </c>
      <c r="X49" s="173">
        <f t="shared" si="16"/>
        <v>1</v>
      </c>
      <c r="Y49" s="167">
        <f t="shared" si="7"/>
        <v>1</v>
      </c>
      <c r="Z49" s="173">
        <f t="shared" si="17"/>
        <v>105.9902010009091</v>
      </c>
      <c r="AA49" s="173">
        <f>+_xlfn.XLOOKUP(H49,'Ranking FIFA'!B:B,'Ranking FIFA'!A:A,"--",0)</f>
        <v>11</v>
      </c>
      <c r="AP49" s="457">
        <f>+_xlfn.XLOOKUP(AQ49,'Ranking FIFA'!B:B,'Ranking FIFA'!A:A,"--",0)</f>
        <v>82</v>
      </c>
      <c r="AQ49" t="s">
        <v>93</v>
      </c>
      <c r="AR49" s="6">
        <v>4</v>
      </c>
      <c r="AT49" s="169">
        <f t="shared" si="8"/>
        <v>0</v>
      </c>
      <c r="AU49" s="166">
        <f t="shared" si="9"/>
        <v>1.9802000001219511</v>
      </c>
      <c r="BH49">
        <v>46</v>
      </c>
      <c r="BI49" t="str">
        <f t="shared" si="11"/>
        <v>Croacia</v>
      </c>
      <c r="BJ49" s="6">
        <f>+COUNTIFS('Inputs summary'!I$2:I$106,BI49)</f>
        <v>2</v>
      </c>
      <c r="BK49" s="6">
        <f>+COUNTIFS('Inputs summary'!J$2:K$106,BI49)</f>
        <v>0</v>
      </c>
      <c r="BL49" s="6">
        <f>+COUNTIFS('Inputs summary'!L$2:L$106,BI49)</f>
        <v>1</v>
      </c>
      <c r="BM49" s="6">
        <f t="shared" si="19"/>
        <v>0</v>
      </c>
      <c r="BN49" s="6">
        <f>+SUMIF('Inputs summary'!$B$1:$B$106,$BI49,'Inputs summary'!$C$1:$C$106)+SUMIF('Inputs summary'!$E$1:$E$106,$BI49,'Inputs summary'!$D$1:$D$106)</f>
        <v>2</v>
      </c>
      <c r="BO49" s="6">
        <f>+SUMIF('Inputs summary'!$B$1:$B$106,$BI49,'Inputs summary'!$D$1:$D$106)+SUMIF('Inputs summary'!$E$1:$E$106,$BI49,'Inputs summary'!$C$1:$C$106)</f>
        <v>2</v>
      </c>
      <c r="BP49" s="166">
        <f t="shared" si="12"/>
        <v>6.0020110999999998</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0</v>
      </c>
      <c r="P50" s="6">
        <f t="shared" si="13"/>
        <v>0</v>
      </c>
      <c r="Q50" s="6">
        <f>+COUNTIFS('Inputs summary'!I:I,$H50)</f>
        <v>0</v>
      </c>
      <c r="R50" s="6">
        <f>+COUNTIFS('Inputs summary'!J:K,$H50)</f>
        <v>1</v>
      </c>
      <c r="S50" s="6">
        <f>+COUNTIFS('Inputs summary'!L:L,$H50)</f>
        <v>2</v>
      </c>
      <c r="T50" s="6">
        <f t="shared" si="14"/>
        <v>-2</v>
      </c>
      <c r="U50" s="6">
        <f>+SUMIF('Inputs summary'!B:B,H50,'Inputs summary'!C:C)+SUMIF('Inputs summary'!E:E,H50,'Inputs summary'!D:D)</f>
        <v>2</v>
      </c>
      <c r="V50" s="6">
        <f>+SUMIF('Inputs summary'!B:B,H50,'Inputs summary'!D:D)+SUMIF('Inputs summary'!E:E,H50,'Inputs summary'!C:C)</f>
        <v>4</v>
      </c>
      <c r="W50" s="159">
        <f t="shared" si="15"/>
        <v>0.98020000013513509</v>
      </c>
      <c r="X50" s="173">
        <f t="shared" si="16"/>
        <v>0</v>
      </c>
      <c r="Y50" s="167">
        <f t="shared" si="7"/>
        <v>3</v>
      </c>
      <c r="Z50" s="173">
        <f t="shared" si="17"/>
        <v>0.98020033346846847</v>
      </c>
      <c r="AA50" s="173">
        <f>+_xlfn.XLOOKUP(H50,'Ranking FIFA'!B:B,'Ranking FIFA'!A:A,"--",0)</f>
        <v>74</v>
      </c>
      <c r="AP50" s="457">
        <f>+_xlfn.XLOOKUP(AQ50,'Ranking FIFA'!B:B,'Ranking FIFA'!A:A,"--",0)</f>
        <v>83</v>
      </c>
      <c r="AQ50" t="s">
        <v>94</v>
      </c>
      <c r="AR50" s="6">
        <v>4</v>
      </c>
      <c r="AT50" s="169">
        <f t="shared" si="8"/>
        <v>0</v>
      </c>
      <c r="AU50" s="166">
        <f t="shared" si="9"/>
        <v>0.96010000012048191</v>
      </c>
      <c r="BH50">
        <v>47</v>
      </c>
      <c r="BI50" t="str">
        <f t="shared" si="11"/>
        <v>Ghana</v>
      </c>
      <c r="BJ50" s="6">
        <f>+COUNTIFS('Inputs summary'!I$2:I$106,BI50)</f>
        <v>0</v>
      </c>
      <c r="BK50" s="6">
        <f>+COUNTIFS('Inputs summary'!J$2:K$106,BI50)</f>
        <v>1</v>
      </c>
      <c r="BL50" s="6">
        <f>+COUNTIFS('Inputs summary'!L$2:L$106,BI50)</f>
        <v>2</v>
      </c>
      <c r="BM50" s="6">
        <f t="shared" si="19"/>
        <v>-2</v>
      </c>
      <c r="BN50" s="6">
        <f>+SUMIF('Inputs summary'!$B$1:$B$106,$BI50,'Inputs summary'!$C$1:$C$106)+SUMIF('Inputs summary'!$E$1:$E$106,$BI50,'Inputs summary'!$D$1:$D$106)</f>
        <v>2</v>
      </c>
      <c r="BO50" s="6">
        <f>+SUMIF('Inputs summary'!$B$1:$B$106,$BI50,'Inputs summary'!$D$1:$D$106)+SUMIF('Inputs summary'!$E$1:$E$106,$BI50,'Inputs summary'!$C$1:$C$106)</f>
        <v>4</v>
      </c>
      <c r="BP50" s="166">
        <f t="shared" si="12"/>
        <v>1.9820374000000001</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1</v>
      </c>
      <c r="S51" s="6">
        <f>+COUNTIFS('Inputs summary'!L:L,$H51)</f>
        <v>2</v>
      </c>
      <c r="T51" s="6">
        <f t="shared" si="14"/>
        <v>-2</v>
      </c>
      <c r="U51" s="6">
        <f>+SUMIF('Inputs summary'!B:B,H51,'Inputs summary'!C:C)+SUMIF('Inputs summary'!E:E,H51,'Inputs summary'!D:D)</f>
        <v>1</v>
      </c>
      <c r="V51" s="6">
        <f>+SUMIF('Inputs summary'!B:B,H51,'Inputs summary'!D:D)+SUMIF('Inputs summary'!E:E,H51,'Inputs summary'!C:C)</f>
        <v>3</v>
      </c>
      <c r="W51" s="159">
        <f t="shared" si="15"/>
        <v>0.98010000030303024</v>
      </c>
      <c r="X51" s="173">
        <f t="shared" si="16"/>
        <v>0</v>
      </c>
      <c r="Y51" s="167">
        <f t="shared" si="7"/>
        <v>3</v>
      </c>
      <c r="Z51" s="173">
        <f t="shared" si="17"/>
        <v>0.98010033363636362</v>
      </c>
      <c r="AA51" s="173">
        <f>+_xlfn.XLOOKUP(H51,'Ranking FIFA'!B:B,'Ranking FIFA'!A:A,"--",0)</f>
        <v>33</v>
      </c>
      <c r="AP51" s="457">
        <f>+_xlfn.XLOOKUP(AQ51,'Ranking FIFA'!B:B,'Ranking FIFA'!A:A,"--",0)</f>
        <v>85</v>
      </c>
      <c r="AQ51" t="s">
        <v>95</v>
      </c>
      <c r="AR51" s="6">
        <v>4</v>
      </c>
      <c r="AT51" s="169">
        <f t="shared" si="8"/>
        <v>0</v>
      </c>
      <c r="AU51" s="166">
        <f t="shared" si="9"/>
        <v>-3.9899999882352939E-2</v>
      </c>
      <c r="BH51">
        <v>48</v>
      </c>
      <c r="BI51" t="str">
        <f t="shared" si="11"/>
        <v>Panama</v>
      </c>
      <c r="BJ51" s="6">
        <f>+COUNTIFS('Inputs summary'!I$2:I$106,BI51)</f>
        <v>0</v>
      </c>
      <c r="BK51" s="6">
        <f>+COUNTIFS('Inputs summary'!J$2:K$106,BI51)</f>
        <v>1</v>
      </c>
      <c r="BL51" s="6">
        <f>+COUNTIFS('Inputs summary'!L$2:L$106,BI51)</f>
        <v>2</v>
      </c>
      <c r="BM51" s="6">
        <f t="shared" si="19"/>
        <v>-2</v>
      </c>
      <c r="BN51" s="6">
        <f>+SUMIF('Inputs summary'!$B$1:$B$106,$BI51,'Inputs summary'!$C$1:$C$106)+SUMIF('Inputs summary'!$E$1:$E$106,$BI51,'Inputs summary'!$D$1:$D$106)</f>
        <v>1</v>
      </c>
      <c r="BO51" s="6">
        <f>+SUMIF('Inputs summary'!$B$1:$B$106,$BI51,'Inputs summary'!$D$1:$D$106)+SUMIF('Inputs summary'!$E$1:$E$106,$BI51,'Inputs summary'!$C$1:$C$106)</f>
        <v>3</v>
      </c>
      <c r="BP51" s="166">
        <f t="shared" si="12"/>
        <v>1.9810332999999998</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2026-05-28T15:14:42Z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