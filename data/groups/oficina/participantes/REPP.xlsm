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8_{89206D8E-34BD-452A-9C23-FC07ACF6841F}" xr6:coauthVersionLast="47" xr6:coauthVersionMax="47" xr10:uidLastSave="{D1CFB5E2-4A1D-4323-9067-C186C8DAFE21}"/>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E61" i="4"/>
  <c r="BE59" i="4"/>
  <c r="BE66" i="4"/>
  <c r="BE57" i="4"/>
  <c r="BN57" i="4" s="1"/>
  <c r="BE58" i="4"/>
  <c r="BN60" i="4" s="1"/>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l="1"/>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4" i="5"/>
  <c r="W44" i="5" s="1"/>
  <c r="AU8" i="5" s="1"/>
  <c r="T9" i="5"/>
  <c r="W9" i="5" s="1"/>
  <c r="AU40" i="5" s="1"/>
  <c r="T4" i="5"/>
  <c r="W4" i="5" s="1"/>
  <c r="AU18" i="5" s="1"/>
  <c r="T7" i="5"/>
  <c r="W7" i="5" s="1"/>
  <c r="AU35" i="5" s="1"/>
  <c r="T17" i="5"/>
  <c r="W17" i="5" s="1"/>
  <c r="AU27"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17" i="5"/>
  <c r="Z44" i="5"/>
  <c r="Z4" i="5"/>
  <c r="Z7" i="5"/>
  <c r="Z9"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<sst xmlns="http://schemas.openxmlformats.org/spreadsheetml/2006/main" count="5997" uniqueCount="866">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</sst>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repp\AppData\Local\Microsoft\Windows\INetCache\Content.Outlook\FFTFD3QE\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96" sqref="G96"/>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-3</v>
      </c>
      <c r="T4" s="24">
        <f>+SUMIF(E3:E8,$O4,F3:F8)+SUMIF(H3:H8,$O4,G3:G8)</f>
        <v>2</v>
      </c>
      <c r="U4" s="24">
        <f>+SUMIF(E3:E8,$O4,G3:G8)+SUMIF(H3:H8,$O4,F3:F8)</f>
        <v>5</v>
      </c>
      <c r="V4" s="45">
        <f t="shared" ref="V4:V6" si="10">+P4*3+Q4*1+BT4+CN4+S4/1000+T4/10000+AV4/1000000+ROW()/10000000</f>
        <v>0.99720039999999999</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4.0004004999999996</v>
      </c>
      <c r="AI4" s="51"/>
      <c r="AL4" s="45">
        <f>+LARGE(V3:V6,2)</f>
        <v>4.0004004999999996</v>
      </c>
      <c r="AM4" s="52">
        <f t="shared" ref="AM4:AM6" si="13">+(AH4-AL4)*100000000000000000000</f>
        <v>0</v>
      </c>
      <c r="AP4" s="53" t="str">
        <f>+O4</f>
        <v>Sudafrica</v>
      </c>
      <c r="AQ4" s="23">
        <f>+P4*3+Q4*1+BT4+CN4+S4/1000+T4/10000</f>
        <v>0.99719999999999998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Repubilca Checa</v>
      </c>
      <c r="AA5" s="70">
        <f t="shared" si="12"/>
        <v>3</v>
      </c>
      <c r="AB5" s="71">
        <f t="shared" si="0"/>
        <v>0</v>
      </c>
      <c r="AC5" s="71">
        <f t="shared" si="0"/>
        <v>3</v>
      </c>
      <c r="AD5" s="71">
        <f t="shared" si="0"/>
        <v>0</v>
      </c>
      <c r="AE5" s="71">
        <f t="shared" si="0"/>
        <v>0</v>
      </c>
      <c r="AF5" s="71">
        <f t="shared" si="0"/>
        <v>3</v>
      </c>
      <c r="AG5" s="71">
        <f t="shared" si="0"/>
        <v>3</v>
      </c>
      <c r="AH5" s="72">
        <f>+VLOOKUP($Z5,$O$3:$V$6,COLUMN()-26,FALSE)</f>
        <v>3.0003006000000001</v>
      </c>
      <c r="AI5" s="73">
        <f>+(COUNTIFS($CV$2:$CV$13,Z5,$CX$2:$CX$13,"IN")+COUNTIFS($CV$2:$CV$13,Z5,$CW$2:$CW$13,"IN"))*IF(SUM(AA3:AA6)=12,1,0)</f>
        <v>1</v>
      </c>
      <c r="AL5" s="45">
        <f>+LARGE(V3:V6,3)</f>
        <v>3.0003006000000001</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3</v>
      </c>
      <c r="R6" s="24">
        <f>+COUNTIF(M3:M8,"="&amp;$O6)</f>
        <v>0</v>
      </c>
      <c r="S6" s="24">
        <f t="shared" si="9"/>
        <v>0</v>
      </c>
      <c r="T6" s="24">
        <f>+SUMIF(E3:E8,$O6,F3:F8)+SUMIF(H3:H8,$O6,G3:G8)</f>
        <v>3</v>
      </c>
      <c r="U6" s="24">
        <f>+SUMIF(E3:E8,$O6,G3:G8)+SUMIF(H3:H8,$O6,F3:F8)</f>
        <v>3</v>
      </c>
      <c r="V6" s="45">
        <f t="shared" si="10"/>
        <v>3.0003006000000001</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-3</v>
      </c>
      <c r="AF6" s="77">
        <f t="shared" si="0"/>
        <v>2</v>
      </c>
      <c r="AG6" s="77">
        <f t="shared" si="0"/>
        <v>5</v>
      </c>
      <c r="AH6" s="78">
        <f>+VLOOKUP($Z6,$O$3:$V$6,COLUMN()-26,FALSE)</f>
        <v>0.99720039999999999</v>
      </c>
      <c r="AI6" s="73"/>
      <c r="AL6" s="45">
        <f>+LARGE(V3:V6,4)</f>
        <v>0.99720039999999999</v>
      </c>
      <c r="AM6" s="52">
        <f t="shared" si="13"/>
        <v>0</v>
      </c>
      <c r="AP6" s="53" t="str">
        <f>+O6</f>
        <v>Repubilca Checa</v>
      </c>
      <c r="AQ6" s="23">
        <f>+P6*3+Q6*1+BT6+CN6+S6/1000+T6/10000</f>
        <v>3.0003000000000002</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OUT</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4</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4.3014011999999999</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5</v>
      </c>
      <c r="AF12" s="49">
        <f t="shared" si="38"/>
        <v>6</v>
      </c>
      <c r="AG12" s="49">
        <f t="shared" si="38"/>
        <v>1</v>
      </c>
      <c r="AH12" s="50">
        <f>+VLOOKUP($Z12,$O$12:$V$15,COLUMN()-26,FALSE)</f>
        <v>9.0056015000000009</v>
      </c>
      <c r="AI12" s="51"/>
      <c r="AL12" s="45">
        <f>+LARGE(V12:V15,1)</f>
        <v>9.0056015000000009</v>
      </c>
      <c r="AM12" s="52">
        <f>+(AH12-AL12)*100000000000000000000</f>
        <v>0</v>
      </c>
      <c r="AP12" s="53" t="str">
        <f>+O12</f>
        <v>Canada</v>
      </c>
      <c r="AQ12" s="23">
        <f>+P12*3+Q12*1+BT12+CN12+S12/1000+T12/10000</f>
        <v>4.3014000000000001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1</v>
      </c>
      <c r="BH12" s="59">
        <f t="shared" ref="BH12:BH17" si="40">+$G12</f>
        <v>1</v>
      </c>
      <c r="BI12" s="57" t="str">
        <f>+IF(_xlfn.XLOOKUP($H12,$AY:$AY,$AZ:$AZ,"-",0)=BF10,$H12,"-")</f>
        <v>Bosnia</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-1</v>
      </c>
      <c r="T13" s="24">
        <f t="shared" ref="T13" si="48">+SUMIF(E12:E17,$O13,F12:F17)+SUMIF(H12:H17,$O13,G12:G17)</f>
        <v>3</v>
      </c>
      <c r="U13" s="24">
        <f t="shared" ref="U13" si="49">+SUMIF(E12:E17,$O13,G12:G17)+SUMIF(H12:H17,$O13,F12:F17)</f>
        <v>4</v>
      </c>
      <c r="V13" s="45">
        <f t="shared" ref="V13:V15" si="50">+P13*3+Q13*1+BT13+CN13+S13/1000+T13/10000+AV13/1000000+ROW()/10000000</f>
        <v>4.2993012999999998</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1</v>
      </c>
      <c r="AF13" s="64">
        <f t="shared" si="38"/>
        <v>4</v>
      </c>
      <c r="AG13" s="64">
        <f t="shared" si="38"/>
        <v>3</v>
      </c>
      <c r="AH13" s="65">
        <f>+VLOOKUP($Z13,$O$12:$V$15,COLUMN()-26,FALSE)</f>
        <v>4.3014011999999999</v>
      </c>
      <c r="AI13" s="51"/>
      <c r="AL13" s="45">
        <f>+LARGE(V12:V15,2)</f>
        <v>4.3014011999999999</v>
      </c>
      <c r="AM13" s="52">
        <f t="shared" ref="AM13:AM15" si="53">+(AH13-AL13)*100000000000000000000</f>
        <v>0</v>
      </c>
      <c r="AP13" s="53" t="str">
        <f>+O13</f>
        <v>Bosnia</v>
      </c>
      <c r="AQ13" s="23">
        <f>+P13*3+Q13*1+BT13+CN13+S13/1000+T13/10000</f>
        <v>4.2992999999999997</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-5</v>
      </c>
      <c r="T14" s="24">
        <f t="shared" ref="T14" si="76">+SUMIF(E12:E17,$O14,F12:F17)+SUMIF(H12:H17,$O14,G12:G17)</f>
        <v>1</v>
      </c>
      <c r="U14" s="24">
        <f t="shared" ref="U14" si="77">+SUMIF(E12:E17,$O14,G12:G17)+SUMIF(H12:H17,$O14,F12:F17)</f>
        <v>6</v>
      </c>
      <c r="V14" s="45">
        <f t="shared" si="50"/>
        <v>-4.8985999999999995E-3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-1</v>
      </c>
      <c r="AF14" s="71">
        <f t="shared" si="38"/>
        <v>3</v>
      </c>
      <c r="AG14" s="71">
        <f t="shared" si="38"/>
        <v>4</v>
      </c>
      <c r="AH14" s="72">
        <f>+VLOOKUP($Z14,$O$12:$V$15,COLUMN()-26,FALSE)</f>
        <v>4.2993012999999998</v>
      </c>
      <c r="AI14" s="73">
        <f>+(COUNTIFS($CV$2:$CV$13,Z14,$CX$2:$CX$13,"IN")+COUNTIFS($CV$2:$CV$13,Z14,$CW$2:$CW$13,"IN"))*IF(SUM(AA12:AA15)=12,1,0)</f>
        <v>1</v>
      </c>
      <c r="AL14" s="45">
        <f>+LARGE(V12:V15,3)</f>
        <v>4.2993012999999998</v>
      </c>
      <c r="AM14" s="52">
        <f t="shared" si="53"/>
        <v>0</v>
      </c>
      <c r="AP14" s="53" t="str">
        <f>+O14</f>
        <v>Qatar</v>
      </c>
      <c r="AQ14" s="23">
        <f>+P14*3+Q14*1+BT14+CN14+S14/1000+T14/10000</f>
        <v>-4.8999999999999998E-3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5</v>
      </c>
      <c r="T15" s="24">
        <f t="shared" ref="T15" si="78">+SUMIF(E12:E17,$O15,F12:F17)+SUMIF(H12:H17,$O15,G12:G17)</f>
        <v>6</v>
      </c>
      <c r="U15" s="24">
        <f t="shared" ref="U15" si="79">+SUMIF(E12:E17,$O15,G12:G17)+SUMIF(H12:H17,$O15,F12:F17)</f>
        <v>1</v>
      </c>
      <c r="V15" s="45">
        <f t="shared" si="50"/>
        <v>9.0056015000000009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1</v>
      </c>
      <c r="AG15" s="77">
        <f t="shared" si="38"/>
        <v>6</v>
      </c>
      <c r="AH15" s="78">
        <f>+VLOOKUP($Z15,$O$12:$V$15,COLUMN()-26,FALSE)</f>
        <v>-4.8985999999999995E-3</v>
      </c>
      <c r="AI15" s="73"/>
      <c r="AL15" s="45">
        <f>+LARGE(V12:V15,4)</f>
        <v>-4.8985999999999995E-3</v>
      </c>
      <c r="AM15" s="52">
        <f t="shared" si="53"/>
        <v>0</v>
      </c>
      <c r="AP15" s="53" t="str">
        <f>+O15</f>
        <v>Suiza</v>
      </c>
      <c r="AQ15" s="23">
        <f>+P15*3+Q15*1+BT15+CN15+S15/1000+T15/10000</f>
        <v>9.0056000000000012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Canada</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Canada</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2</v>
      </c>
      <c r="G17" s="43">
        <v>1</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Bosnia</v>
      </c>
      <c r="BG17" s="58">
        <f t="shared" si="39"/>
        <v>2</v>
      </c>
      <c r="BH17" s="59">
        <f t="shared" si="40"/>
        <v>1</v>
      </c>
      <c r="BI17" s="57" t="str">
        <f>+IF(_xlfn.XLOOKUP($H17,$AY:$AY,$AZ:$AZ,"-",0)=BF10,$H17,"-")</f>
        <v>-</v>
      </c>
      <c r="BY17" s="25" t="str">
        <f t="shared" si="66"/>
        <v>-</v>
      </c>
      <c r="BZ17" s="57" t="str">
        <f>+IF(_xlfn.XLOOKUP($E17,$AY:$AY,$AZ:$AZ,"-",0)=BZ10,$E17,"-")</f>
        <v>-</v>
      </c>
      <c r="CA17" s="58">
        <f t="shared" si="41"/>
        <v>2</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7</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7.3057020999999995</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5</v>
      </c>
      <c r="AF21" s="49">
        <f t="shared" si="82"/>
        <v>7</v>
      </c>
      <c r="AG21" s="49">
        <f t="shared" si="82"/>
        <v>2</v>
      </c>
      <c r="AH21" s="50">
        <f>+VLOOKUP($Z21,$O$21:$V$24,COLUMN()-26,FALSE)</f>
        <v>7.3057020999999995</v>
      </c>
      <c r="AI21" s="51"/>
      <c r="AL21" s="45">
        <f>+LARGE(V21:V24,1)</f>
        <v>7.3057020999999995</v>
      </c>
      <c r="AM21" s="52">
        <f>+(AH21-AL21)*100000000000000000000</f>
        <v>0</v>
      </c>
      <c r="AP21" s="53" t="str">
        <f>+O21</f>
        <v>Brasil</v>
      </c>
      <c r="AQ21" s="23">
        <f>+P21*3+Q21*1+BT21+CN21+S21/1000+T21/10000</f>
        <v>7.3056999999999999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1</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4</v>
      </c>
      <c r="T22" s="24">
        <f t="shared" ref="T22" si="92">+SUMIF(E21:E26,$O22,F21:F26)+SUMIF(H21:H26,$O22,G21:G26)</f>
        <v>5</v>
      </c>
      <c r="U22" s="24">
        <f t="shared" ref="U22" si="93">+SUMIF(E21:E26,$O22,G21:G26)+SUMIF(H21:H26,$O22,F21:F26)</f>
        <v>1</v>
      </c>
      <c r="V22" s="45">
        <f t="shared" ref="V22:V24" si="94">+P22*3+Q22*1+BT22+CN22+S22/1000+T22/10000+AV22/1000000+ROW()/10000000</f>
        <v>7.3045021999999991</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4</v>
      </c>
      <c r="AF22" s="64">
        <f t="shared" si="82"/>
        <v>5</v>
      </c>
      <c r="AG22" s="64">
        <f t="shared" si="82"/>
        <v>1</v>
      </c>
      <c r="AH22" s="65">
        <f>+VLOOKUP($Z22,$O$21:$V$24,COLUMN()-26,FALSE)</f>
        <v>7.3045021999999991</v>
      </c>
      <c r="AI22" s="51"/>
      <c r="AL22" s="45">
        <f>+LARGE(V21:V24,2)</f>
        <v>7.3045021999999991</v>
      </c>
      <c r="AM22" s="52">
        <f t="shared" ref="AM22:AM24" si="97">+(AH22-AL22)*100000000000000000000</f>
        <v>0</v>
      </c>
      <c r="AP22" s="53" t="str">
        <f>+O22</f>
        <v>Marruecos</v>
      </c>
      <c r="AQ22" s="23">
        <f>+P22*3+Q22*1+BT22+CN22+S22/1000+T22/10000</f>
        <v>7.3044999999999991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1</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1</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1</v>
      </c>
      <c r="U23" s="24">
        <f t="shared" ref="U23" si="121">+SUMIF(E21:E26,$O23,G21:G26)+SUMIF(H21:H26,$O23,F21:F26)</f>
        <v>8</v>
      </c>
      <c r="V23" s="45">
        <f t="shared" si="94"/>
        <v>-6.8976999999999997E-3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2.9983024000000005</v>
      </c>
      <c r="AI23" s="73">
        <f>+(COUNTIFS($CV$2:$CV$13,Z23,$CX$2:$CX$13,"IN")+COUNTIFS($CV$2:$CV$13,Z23,$CW$2:$CW$13,"IN"))*IF(SUM(AA21:AA24)=12,1,0)</f>
        <v>0</v>
      </c>
      <c r="AL23" s="45">
        <f>+LARGE(V21:V24,3)</f>
        <v>2.9983024000000005</v>
      </c>
      <c r="AM23" s="52">
        <f t="shared" si="97"/>
        <v>0</v>
      </c>
      <c r="AP23" s="53" t="str">
        <f>+O23</f>
        <v>Haiti</v>
      </c>
      <c r="AQ23" s="23">
        <f>+P23*3+Q23*1+BT23+CN23+S23/1000+T23/10000</f>
        <v>-6.8999999999999999E-3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3</v>
      </c>
      <c r="U24" s="24">
        <f t="shared" ref="U24" si="123">+SUMIF(E21:E26,$O24,G21:G26)+SUMIF(H21:H26,$O24,F21:F26)</f>
        <v>5</v>
      </c>
      <c r="V24" s="45">
        <f t="shared" si="94"/>
        <v>2.9983024000000005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1</v>
      </c>
      <c r="AG24" s="77">
        <f t="shared" si="82"/>
        <v>8</v>
      </c>
      <c r="AH24" s="78">
        <f>+VLOOKUP($Z24,$O$21:$V$24,COLUMN()-26,FALSE)</f>
        <v>-6.8976999999999997E-3</v>
      </c>
      <c r="AI24" s="73"/>
      <c r="AL24" s="45">
        <f>+LARGE(V21:V24,4)</f>
        <v>-6.8976999999999997E-3</v>
      </c>
      <c r="AM24" s="52">
        <f t="shared" si="97"/>
        <v>0</v>
      </c>
      <c r="AP24" s="53" t="str">
        <f>+O24</f>
        <v>Escocia</v>
      </c>
      <c r="AQ24" s="23">
        <f>+P24*3+Q24*1+BT24+CN24+S24/1000+T24/10000</f>
        <v>2.9983000000000004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0</v>
      </c>
      <c r="BH24" s="59">
        <f t="shared" si="84"/>
        <v>2</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v>
      </c>
      <c r="CA25" s="58">
        <f t="shared" si="85"/>
        <v>1</v>
      </c>
      <c r="CB25" s="59">
        <f t="shared" si="86"/>
        <v>2</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0</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2</v>
      </c>
      <c r="T30" s="24">
        <f t="shared" ref="T30" si="124">+SUMIF(E30:E35,$O30,F30:F35)+SUMIF(H30:H35,$O30,G30:G35)</f>
        <v>6</v>
      </c>
      <c r="U30" s="24">
        <f t="shared" ref="U30" si="125">+SUMIF(E30:E35,$O30,G30:G35)+SUMIF(H30:H35,$O30,F30:F35)</f>
        <v>4</v>
      </c>
      <c r="V30" s="45">
        <f>+P30*3+Q30*1+BT30+CN30+S30/1000+T30/10000+AV30/1000000+ROW()/10000000</f>
        <v>5.3026030000000004</v>
      </c>
      <c r="W30" s="26" t="str">
        <f>+O30</f>
        <v>Estados Unidos</v>
      </c>
      <c r="Y30" s="46" t="str">
        <f>+CONCATENATE("1",RIGHT(E29,1))</f>
        <v>1D</v>
      </c>
      <c r="Z30" s="47" t="str">
        <f>+VLOOKUP(AL30,V30:W33,2,FALSE)</f>
        <v>Estados Unidos</v>
      </c>
      <c r="AA30" s="48">
        <f>+SUM(AB30:AD30)</f>
        <v>3</v>
      </c>
      <c r="AB30" s="49">
        <f t="shared" ref="AB30:AG33" si="126">+VLOOKUP($Z30,$O$30:$U$33,COLUMN()-26,FALSE)</f>
        <v>1</v>
      </c>
      <c r="AC30" s="49">
        <f t="shared" si="126"/>
        <v>2</v>
      </c>
      <c r="AD30" s="49">
        <f t="shared" si="126"/>
        <v>0</v>
      </c>
      <c r="AE30" s="49">
        <f t="shared" si="126"/>
        <v>2</v>
      </c>
      <c r="AF30" s="49">
        <f t="shared" si="126"/>
        <v>6</v>
      </c>
      <c r="AG30" s="49">
        <f t="shared" si="126"/>
        <v>4</v>
      </c>
      <c r="AH30" s="50">
        <f>+VLOOKUP($Z30,$O$30:$V$33,COLUMN()-26,FALSE)</f>
        <v>5.3026030000000004</v>
      </c>
      <c r="AI30" s="51"/>
      <c r="AL30" s="45">
        <f>+LARGE(V30:V33,1)</f>
        <v>5.3026030000000004</v>
      </c>
      <c r="AM30" s="52">
        <f>+(AH30-AL30)*100000000000000000000</f>
        <v>0</v>
      </c>
      <c r="AP30" s="53" t="str">
        <f>+O30</f>
        <v>Estados Unidos</v>
      </c>
      <c r="AQ30" s="23">
        <f>+P30*3+Q30*1+BT30+CN30+S30/1000+T30/10000</f>
        <v>5.3026</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2</v>
      </c>
      <c r="BM30" s="24">
        <f>+COUNTIFS(J:J,$BK30,$BE:$BE,"OK")</f>
        <v>0</v>
      </c>
      <c r="BN30" s="24">
        <f>+COUNTIFS(K:K,$BK30,$BE:$BE,"OK")+COUNTIFS(L:L,$BK30,$BE:$BE,"OK")</f>
        <v>2</v>
      </c>
      <c r="BO30" s="24">
        <f>+COUNTIFS(M:M,$BK30,$BE:$BE,"OK")</f>
        <v>0</v>
      </c>
      <c r="BP30" s="24">
        <f>+BQ30-BR30</f>
        <v>0</v>
      </c>
      <c r="BQ30" s="24">
        <f>+SUMIFS(BG:BG,$BE:$BE,"OK",BF:BF,$BK30)+SUMIFS(BH:BH,$BE:$BE,"OK",BI:BI,$BK30)</f>
        <v>3</v>
      </c>
      <c r="BR30" s="24">
        <f>+SUMIFS(BH:BH,$BE:$BE,"OK",BF:BF,$BK30)+SUMIFS(BG:BG,$BE:$BE,"OK",BI:BI,$BK30)</f>
        <v>3</v>
      </c>
      <c r="BS30" s="60">
        <f>+BM30*3+BN30*1+BP30/100+BQ30/10000</f>
        <v>2.0003000000000002</v>
      </c>
      <c r="BT30" s="29">
        <f>+IF(BL30=0,0,_xlfn.XLOOKUP(BS30,BV30:BV33,BW30:BW33))</f>
        <v>0.3</v>
      </c>
      <c r="BU30" s="45"/>
      <c r="BV30" s="24">
        <f>+LARGE(BS30:BS33,1)</f>
        <v>2.0003000000000002</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3</v>
      </c>
      <c r="U31" s="24">
        <f t="shared" ref="U31" si="137">+SUMIF(E30:E35,$O31,G30:G35)+SUMIF(H30:H35,$O31,F30:F35)</f>
        <v>2</v>
      </c>
      <c r="V31" s="45">
        <f t="shared" ref="V31:V33" si="138">+P31*3+Q31*1+BT31+CN31+S31/1000+T31/10000+AV31/1000000+ROW()/10000000</f>
        <v>5.1013031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5.3015033000000003</v>
      </c>
      <c r="AI31" s="51"/>
      <c r="AL31" s="45">
        <f>+LARGE(V30:V33,2)</f>
        <v>5.3015033000000003</v>
      </c>
      <c r="AM31" s="52">
        <f t="shared" ref="AM31:AM33" si="141">+(AH31-AL31)*100000000000000000000</f>
        <v>0</v>
      </c>
      <c r="AP31" s="53" t="str">
        <f>+O31</f>
        <v>Paraguay</v>
      </c>
      <c r="AQ31" s="23">
        <f>+P31*3+Q31*1+BT31+CN31+S31/1000+T31/10000</f>
        <v>5.1013000000000002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Turquia</v>
      </c>
      <c r="BK31" s="26" t="str">
        <f t="shared" ref="BK31:BK33" si="146">+O31</f>
        <v>Paraguay</v>
      </c>
      <c r="BL31" s="26">
        <f t="shared" ref="BL31:BL33" si="147">+COUNTIFS($BE:$BE,"OK",$BI:$BI,BK31)+COUNTIFS($BE:$BE,"OK",$BF:$BF,BK31)</f>
        <v>2</v>
      </c>
      <c r="BM31" s="24">
        <f t="shared" ref="BM31:BM33" si="148">+COUNTIFS(J:J,$BK31,$BE:$BE,"OK")</f>
        <v>0</v>
      </c>
      <c r="BN31" s="24">
        <f t="shared" ref="BN31:BN33" si="149">+COUNTIFS(K:K,$BK31,$BE:$BE,"OK")+COUNTIFS(L:L,$BK31,$BE:$BE,"OK")</f>
        <v>2</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2.0002</v>
      </c>
      <c r="BT31" s="29">
        <f>+IF(BL31=0,0,_xlfn.XLOOKUP(BS31,BV30:BV33,BW30:BW33))</f>
        <v>0.1</v>
      </c>
      <c r="BU31" s="45"/>
      <c r="BV31" s="24">
        <f>+LARGE(BS30:BS33,2)</f>
        <v>2.0003000000000002</v>
      </c>
      <c r="BW31" s="24">
        <f>+BX31/$BW$1</f>
        <v>0.2</v>
      </c>
      <c r="BX31" s="23">
        <v>2</v>
      </c>
      <c r="BY31" s="25" t="str">
        <f t="shared" ref="BY31:BY35" si="154">+IF(OR(BZ31="-",CC31="-"),"-","OK")</f>
        <v>-</v>
      </c>
      <c r="BZ31" s="57" t="str">
        <f>+IF(_xlfn.XLOOKUP($E31,$AY:$AY,$AZ:$AZ,"-",0)=BZ28,$E31,"-")</f>
        <v>Australia</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-4</v>
      </c>
      <c r="T32" s="24">
        <f t="shared" ref="T32" si="164">+SUMIF(E30:E35,$O32,F30:F35)+SUMIF(H30:H35,$O32,G30:G35)</f>
        <v>2</v>
      </c>
      <c r="U32" s="24">
        <f t="shared" ref="U32" si="165">+SUMIF(E30:E35,$O32,G30:G35)+SUMIF(H30:H35,$O32,F30:F35)</f>
        <v>6</v>
      </c>
      <c r="V32" s="45">
        <f t="shared" si="138"/>
        <v>-3.7967999999999999E-3</v>
      </c>
      <c r="W32" s="26" t="str">
        <f t="shared" si="139"/>
        <v>Australia</v>
      </c>
      <c r="Y32" s="68" t="str">
        <f>+CONCATENATE("3",RIGHT(E29,1))</f>
        <v>3D</v>
      </c>
      <c r="Z32" s="69" t="str">
        <f>+VLOOKUP(AL32,V30:W33,2,FALSE)</f>
        <v>Paraguay</v>
      </c>
      <c r="AA32" s="70">
        <f t="shared" si="140"/>
        <v>3</v>
      </c>
      <c r="AB32" s="71">
        <f t="shared" si="126"/>
        <v>1</v>
      </c>
      <c r="AC32" s="71">
        <f t="shared" si="126"/>
        <v>2</v>
      </c>
      <c r="AD32" s="71">
        <f t="shared" si="126"/>
        <v>0</v>
      </c>
      <c r="AE32" s="71">
        <f t="shared" si="126"/>
        <v>1</v>
      </c>
      <c r="AF32" s="71">
        <f t="shared" si="126"/>
        <v>3</v>
      </c>
      <c r="AG32" s="71">
        <f t="shared" si="126"/>
        <v>2</v>
      </c>
      <c r="AH32" s="72">
        <f>+VLOOKUP($Z32,$O$30:$V$33,COLUMN()-26,FALSE)</f>
        <v>5.1013031</v>
      </c>
      <c r="AI32" s="73">
        <f>+(COUNTIFS($CV$2:$CV$13,Z32,$CX$2:$CX$13,"IN")+COUNTIFS($CV$2:$CV$13,Z32,$CW$2:$CW$13,"IN"))*IF(SUM(AA30:AA33)=12,1,0)</f>
        <v>1</v>
      </c>
      <c r="AL32" s="45">
        <f>+LARGE(V30:V33,3)</f>
        <v>5.1013031</v>
      </c>
      <c r="AM32" s="52">
        <f t="shared" si="141"/>
        <v>0</v>
      </c>
      <c r="AP32" s="53" t="str">
        <f>+O32</f>
        <v>Australia</v>
      </c>
      <c r="AQ32" s="23">
        <f>+P32*3+Q32*1+BT32+CN32+S32/1000+T32/10000</f>
        <v>-3.8E-3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OK</v>
      </c>
      <c r="BF32" s="57" t="str">
        <f>+IF(_xlfn.XLOOKUP($E32,$AY:$AY,$AZ:$AZ,"-",0)=BF28,$E32,"-")</f>
        <v>Turquia</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2.0002</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3</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5.3015033000000003</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2</v>
      </c>
      <c r="AG33" s="77">
        <f t="shared" si="126"/>
        <v>6</v>
      </c>
      <c r="AH33" s="78">
        <f>+VLOOKUP($Z33,$O$30:$V$33,COLUMN()-26,FALSE)</f>
        <v>-3.7967999999999999E-3</v>
      </c>
      <c r="AI33" s="73"/>
      <c r="AL33" s="45">
        <f>+LARGE(V30:V33,4)</f>
        <v>-3.7967999999999999E-3</v>
      </c>
      <c r="AM33" s="52">
        <f t="shared" si="141"/>
        <v>0</v>
      </c>
      <c r="AP33" s="53" t="str">
        <f>+O33</f>
        <v>Turquia</v>
      </c>
      <c r="AQ33" s="23">
        <f>+P33*3+Q33*1+BT33+CN33+S33/1000+T33/10000</f>
        <v>5.3014999999999999</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3</v>
      </c>
      <c r="BB33" s="29">
        <f>+IF(AZ33=BF28,ROW()*0.001,AZ33)</f>
        <v>3.3000000000000002E-2</v>
      </c>
      <c r="BC33" s="29">
        <f>+COUNTIFS($AX$1:AZ33,AZ33,$AZ$1:BB33,BB33)</f>
        <v>1</v>
      </c>
      <c r="BD33" s="29"/>
      <c r="BE33" s="25" t="str">
        <f>+IF(OR(BF33="-",BI33="-",BF28=0),"-","OK")</f>
        <v>-</v>
      </c>
      <c r="BF33" s="57" t="str">
        <f>+IF(_xlfn.XLOOKUP($E33,$AY:$AY,$AZ:$AZ,"-",0)=BF28,$E33,"-")</f>
        <v>Estados Unidos</v>
      </c>
      <c r="BG33" s="58">
        <f t="shared" si="127"/>
        <v>3</v>
      </c>
      <c r="BH33" s="59">
        <f t="shared" si="128"/>
        <v>1</v>
      </c>
      <c r="BI33" s="57" t="str">
        <f>+IF(_xlfn.XLOOKUP($H33,$AY:$AY,$AZ:$AZ,"-",0)=BF28,$H33,"-")</f>
        <v>-</v>
      </c>
      <c r="BK33" s="26" t="str">
        <f t="shared" si="146"/>
        <v>Turquia</v>
      </c>
      <c r="BL33" s="26">
        <f t="shared" si="147"/>
        <v>2</v>
      </c>
      <c r="BM33" s="24">
        <f t="shared" si="148"/>
        <v>0</v>
      </c>
      <c r="BN33" s="24">
        <f t="shared" si="149"/>
        <v>2</v>
      </c>
      <c r="BO33" s="24">
        <f t="shared" si="150"/>
        <v>0</v>
      </c>
      <c r="BP33" s="24">
        <f t="shared" si="151"/>
        <v>0</v>
      </c>
      <c r="BQ33" s="24">
        <f>+SUMIFS(BG:BG,$BE:$BE,"OK",BF:BF,$BK33)+SUMIFS(BH:BH,$BE:$BE,"OK",BI:BI,$BK33)</f>
        <v>3</v>
      </c>
      <c r="BR33" s="24">
        <f t="shared" si="152"/>
        <v>3</v>
      </c>
      <c r="BS33" s="60">
        <f t="shared" si="153"/>
        <v>2.0003000000000002</v>
      </c>
      <c r="BT33" s="29">
        <f>+IF(BL33=0,0,_xlfn.XLOOKUP(BS33,BV30:BV33,BW30:BW33))</f>
        <v>0.3</v>
      </c>
      <c r="BU33" s="45"/>
      <c r="BV33" s="24">
        <f>+LARGE(BS30:BS33,4)</f>
        <v>0</v>
      </c>
      <c r="BW33" s="24">
        <f>+BX33/$BW$1</f>
        <v>0</v>
      </c>
      <c r="BX33" s="23">
        <v>0</v>
      </c>
      <c r="BY33" s="25" t="str">
        <f t="shared" si="154"/>
        <v>-</v>
      </c>
      <c r="BZ33" s="57" t="str">
        <f>+IF(_xlfn.XLOOKUP($E33,$AY:$AY,$AZ:$AZ,"-",0)=BZ28,$E33,"-")</f>
        <v>-</v>
      </c>
      <c r="CA33" s="58">
        <f t="shared" si="129"/>
        <v>3</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OK</v>
      </c>
      <c r="BF34" s="57" t="str">
        <f>+IF(_xlfn.XLOOKUP($E34,$AY:$AY,$AZ:$AZ,"-",0)=BF28,$E34,"-")</f>
        <v>Turquia</v>
      </c>
      <c r="BG34" s="58">
        <f t="shared" si="127"/>
        <v>2</v>
      </c>
      <c r="BH34" s="59">
        <f t="shared" si="128"/>
        <v>2</v>
      </c>
      <c r="BI34" s="57" t="str">
        <f>+IF(_xlfn.XLOOKUP($H34,$AY:$AY,$AZ:$AZ,"-",0)=BF28,$H34,"-")</f>
        <v>Estados Unidos</v>
      </c>
      <c r="BY34" s="25" t="str">
        <f t="shared" si="154"/>
        <v>-</v>
      </c>
      <c r="BZ34" s="57" t="str">
        <f>+IF(_xlfn.XLOOKUP($E34,$AY:$AY,$AZ:$AZ,"-",0)=BZ28,$E34,"-")</f>
        <v>-</v>
      </c>
      <c r="CA34" s="58">
        <f t="shared" si="129"/>
        <v>2</v>
      </c>
      <c r="CB34" s="59">
        <f t="shared" si="130"/>
        <v>2</v>
      </c>
      <c r="CC34" s="57" t="str">
        <f>+IF(_xlfn.XLOOKUP($H34,$AY:$AY,$AZ:$AZ,"-",0)=BZ28,$H34,"-")</f>
        <v>-</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4</v>
      </c>
      <c r="T39" s="24">
        <f t="shared" ref="T39" si="168">+SUMIF(E39:E44,$O39,F39:F44)+SUMIF(H39:H44,$O39,G39:G44)</f>
        <v>5</v>
      </c>
      <c r="U39" s="24">
        <f t="shared" ref="U39" si="169">+SUMIF(E39:E44,$O39,G39:G44)+SUMIF(H39:H44,$O39,F39:F44)</f>
        <v>1</v>
      </c>
      <c r="V39" s="45">
        <f>+P39*3+Q39*1+BT39+CN39+S39/1000+T39/10000+AV39/1000000+ROW()/10000000</f>
        <v>7.0045038999999996</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4</v>
      </c>
      <c r="AF39" s="49">
        <f t="shared" si="170"/>
        <v>5</v>
      </c>
      <c r="AG39" s="49">
        <f t="shared" si="170"/>
        <v>1</v>
      </c>
      <c r="AH39" s="50">
        <f>+VLOOKUP($Z39,$O$39:$V$42,COLUMN()-26,FALSE)</f>
        <v>7.0045038999999996</v>
      </c>
      <c r="AI39" s="51"/>
      <c r="AL39" s="45">
        <f>+LARGE(V39:V42,1)</f>
        <v>7.0045038999999996</v>
      </c>
      <c r="AM39" s="52">
        <f>+(AH39-AL39)*100000000000000000000</f>
        <v>0</v>
      </c>
      <c r="AP39" s="53" t="str">
        <f>+O39</f>
        <v>Alemania</v>
      </c>
      <c r="AQ39" s="23">
        <f>+P39*3+Q39*1+BT39+CN39+S39/1000+T39/10000</f>
        <v>7.0044999999999993</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2</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3</v>
      </c>
      <c r="AF40" s="64">
        <f t="shared" si="170"/>
        <v>4</v>
      </c>
      <c r="AG40" s="64">
        <f t="shared" si="170"/>
        <v>1</v>
      </c>
      <c r="AH40" s="65">
        <f>+VLOOKUP($Z40,$O$39:$V$42,COLUMN()-26,FALSE)</f>
        <v>5.0034042000000003</v>
      </c>
      <c r="AI40" s="51"/>
      <c r="AL40" s="45">
        <f>+LARGE(V39:V42,2)</f>
        <v>5.0034042000000003</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4.0004040999999999</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4.0004040999999999</v>
      </c>
      <c r="AI41" s="73">
        <f>+(COUNTIFS($CV$2:$CV$13,Z41,$CX$2:$CX$13,"IN")+COUNTIFS($CV$2:$CV$13,Z41,$CW$2:$CW$13,"IN"))*IF(SUM(AA39:AA42)=12,1,0)</f>
        <v>1</v>
      </c>
      <c r="AL41" s="45">
        <f>+LARGE(V39:V42,3)</f>
        <v>4.0004040999999999</v>
      </c>
      <c r="AM41" s="52">
        <f t="shared" si="185"/>
        <v>0</v>
      </c>
      <c r="AP41" s="53" t="str">
        <f>+O41</f>
        <v>Costa de Marfil</v>
      </c>
      <c r="AQ41" s="23">
        <f>+P41*3+Q41*1+BT41+CN41+S41/1000+T41/10000</f>
        <v>4.0004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3</v>
      </c>
      <c r="T42" s="24">
        <f t="shared" ref="T42" si="210">+SUMIF(E39:E44,$O42,F39:F44)+SUMIF(H39:H44,$O42,G39:G44)</f>
        <v>4</v>
      </c>
      <c r="U42" s="24">
        <f t="shared" ref="U42" si="211">+SUMIF(E39:E44,$O42,G39:G44)+SUMIF(H39:H44,$O42,F39:F44)</f>
        <v>1</v>
      </c>
      <c r="V42" s="45">
        <f t="shared" si="182"/>
        <v>5.0034042000000003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5.0034000000000001</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0</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0</v>
      </c>
      <c r="BH43" s="59">
        <f t="shared" si="172"/>
        <v>0</v>
      </c>
      <c r="BI43" s="57" t="str">
        <f>+IF(_xlfn.XLOOKUP($H43,$AY:$AY,$AZ:$AZ,"-",0)=BF37,$H43,"-")</f>
        <v>-</v>
      </c>
      <c r="BY43" s="25" t="str">
        <f t="shared" si="198"/>
        <v>-</v>
      </c>
      <c r="BZ43" s="57" t="str">
        <f>+IF(_xlfn.XLOOKUP($E43,$AY:$AY,$AZ:$AZ,"-",0)=BZ37,$E43,"-")</f>
        <v>-</v>
      </c>
      <c r="CA43" s="58">
        <f t="shared" si="173"/>
        <v>0</v>
      </c>
      <c r="CB43" s="59">
        <f t="shared" si="174"/>
        <v>0</v>
      </c>
      <c r="CC43" s="57" t="str">
        <f>+IF(_xlfn.XLOOKUP($H43,$AY:$AY,$AZ:$AZ,"-",0)=BZ37,$H43,"-")</f>
        <v>Alemania</v>
      </c>
    </row>
    <row r="44" spans="1:102" x14ac:dyDescent="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1</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2</v>
      </c>
      <c r="Q49" s="24">
        <f>+COUNTIF(K48:L53,"="&amp;$O49)</f>
        <v>0</v>
      </c>
      <c r="R49" s="24">
        <f>+COUNTIF(M48:M53,"="&amp;$O49)</f>
        <v>1</v>
      </c>
      <c r="S49" s="24">
        <f t="shared" ref="S49:S51" si="223">+T49-U49</f>
        <v>2</v>
      </c>
      <c r="T49" s="24">
        <f t="shared" ref="T49" si="224">+SUMIF(E48:E53,$O49,F48:F53)+SUMIF(H48:H53,$O49,G48:G53)</f>
        <v>5</v>
      </c>
      <c r="U49" s="24">
        <f t="shared" ref="U49" si="225">+SUMIF(E48:E53,$O49,G48:G53)+SUMIF(H48:H53,$O49,F48:F53)</f>
        <v>3</v>
      </c>
      <c r="V49" s="45">
        <f t="shared" ref="V49:V51" si="226">+P49*3+Q49*1+BT49+CN49+S49/1000+T49/10000+AV49/1000000+ROW()/10000000</f>
        <v>6.0025048999999999</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2</v>
      </c>
      <c r="AF49" s="64">
        <f t="shared" si="214"/>
        <v>5</v>
      </c>
      <c r="AG49" s="64">
        <f t="shared" si="214"/>
        <v>3</v>
      </c>
      <c r="AH49" s="65">
        <f>+VLOOKUP($Z49,$O$48:$V$51,COLUMN()-26,FALSE)</f>
        <v>6.0025048999999999</v>
      </c>
      <c r="AI49" s="51"/>
      <c r="AL49" s="45">
        <f>+LARGE(V48:V51,2)</f>
        <v>6.0025048999999999</v>
      </c>
      <c r="AM49" s="52">
        <f t="shared" ref="AM49:AM51" si="229">+(AH49-AL49)*100000000000000000000</f>
        <v>0</v>
      </c>
      <c r="AP49" s="53" t="str">
        <f>+O49</f>
        <v>Japon</v>
      </c>
      <c r="AQ49" s="23">
        <f>+P49*3+Q49*1+BT49+CN49+S49/1000+T49/10000</f>
        <v>6.0024999999999995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1</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-2</v>
      </c>
      <c r="T50" s="24">
        <f t="shared" ref="T50" si="252">+SUMIF(E48:E53,$O50,F48:F53)+SUMIF(H48:H53,$O50,G48:G53)</f>
        <v>3</v>
      </c>
      <c r="U50" s="24">
        <f t="shared" ref="U50" si="253">+SUMIF(E48:E53,$O50,G48:G53)+SUMIF(H48:H53,$O50,F48:F53)</f>
        <v>5</v>
      </c>
      <c r="V50" s="45">
        <f t="shared" si="226"/>
        <v>1.298305</v>
      </c>
      <c r="W50" s="26" t="str">
        <f t="shared" si="227"/>
        <v>Suecia</v>
      </c>
      <c r="Y50" s="68" t="str">
        <f>+CONCATENATE("3",RIGHT(E47,1))</f>
        <v>3F</v>
      </c>
      <c r="Z50" s="69" t="str">
        <f>+VLOOKUP(AL50,V48:W51,2,FALSE)</f>
        <v>Suecia</v>
      </c>
      <c r="AA50" s="70">
        <f t="shared" si="228"/>
        <v>3</v>
      </c>
      <c r="AB50" s="71">
        <f t="shared" si="214"/>
        <v>0</v>
      </c>
      <c r="AC50" s="71">
        <f t="shared" si="214"/>
        <v>1</v>
      </c>
      <c r="AD50" s="71">
        <f t="shared" si="214"/>
        <v>2</v>
      </c>
      <c r="AE50" s="71">
        <f t="shared" si="214"/>
        <v>-2</v>
      </c>
      <c r="AF50" s="71">
        <f t="shared" si="214"/>
        <v>3</v>
      </c>
      <c r="AG50" s="71">
        <f t="shared" si="214"/>
        <v>5</v>
      </c>
      <c r="AH50" s="72">
        <f>+VLOOKUP($Z50,$O$48:$V$51,COLUMN()-26,FALSE)</f>
        <v>1.298305</v>
      </c>
      <c r="AI50" s="73">
        <f>+(COUNTIFS($CV$2:$CV$13,Z50,$CX$2:$CX$13,"IN")+COUNTIFS($CV$2:$CV$13,Z50,$CW$2:$CW$13,"IN"))*IF(SUM(AA48:AA51)=12,1,0)</f>
        <v>0</v>
      </c>
      <c r="AL50" s="45">
        <f>+LARGE(V48:V51,3)</f>
        <v>1.298305</v>
      </c>
      <c r="AM50" s="52">
        <f t="shared" si="229"/>
        <v>0</v>
      </c>
      <c r="AP50" s="53" t="str">
        <f>+O50</f>
        <v>Suecia</v>
      </c>
      <c r="AQ50" s="23">
        <f>+P50*3+Q50*1+BT50+CN50+S50/1000+T50/10000</f>
        <v>1.2983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-4</v>
      </c>
      <c r="T51" s="24">
        <f t="shared" ref="T51" si="254">+SUMIF(E48:E53,$O51,F48:F53)+SUMIF(H48:H53,$O51,G48:G53)</f>
        <v>1</v>
      </c>
      <c r="U51" s="24">
        <f t="shared" ref="U51" si="255">+SUMIF(E48:E53,$O51,G48:G53)+SUMIF(H48:H53,$O51,F48:F53)</f>
        <v>5</v>
      </c>
      <c r="V51" s="45">
        <f t="shared" si="226"/>
        <v>1.2961051000000001</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-4</v>
      </c>
      <c r="AF51" s="77">
        <f t="shared" si="214"/>
        <v>1</v>
      </c>
      <c r="AG51" s="77">
        <f t="shared" si="214"/>
        <v>5</v>
      </c>
      <c r="AH51" s="78">
        <f>+VLOOKUP($Z51,$O$48:$V$51,COLUMN()-26,FALSE)</f>
        <v>1.2961051000000001</v>
      </c>
      <c r="AI51" s="73"/>
      <c r="AL51" s="45">
        <f>+LARGE(V48:V51,4)</f>
        <v>1.2961051000000001</v>
      </c>
      <c r="AM51" s="52">
        <f t="shared" si="229"/>
        <v>0</v>
      </c>
      <c r="AP51" s="53" t="str">
        <f>+O51</f>
        <v>Tunez</v>
      </c>
      <c r="AQ51" s="23">
        <f>+P51*3+Q51*1+BT51+CN51+S51/1000+T51/10000</f>
        <v>1.2961</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2</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0</v>
      </c>
      <c r="T57" s="24">
        <f t="shared" ref="T57" si="256">+SUMIF(E57:E62,$O57,F57:F62)+SUMIF(H57:H62,$O57,G57:G62)</f>
        <v>2</v>
      </c>
      <c r="U57" s="24">
        <f t="shared" ref="U57" si="257">+SUMIF(E57:E62,$O57,G57:G62)+SUMIF(H57:H62,$O57,F57:F62)</f>
        <v>2</v>
      </c>
      <c r="V57" s="45">
        <f>+P57*3+Q57*1+BT57+CN57+S57/1000+T57/10000+AV57/1000000+ROW()/10000000</f>
        <v>4.0002057000000004</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4</v>
      </c>
      <c r="AG57" s="49">
        <f t="shared" si="258"/>
        <v>1</v>
      </c>
      <c r="AH57" s="50">
        <f>+VLOOKUP($Z57,$O$57:$V$60,COLUMN()-26,FALSE)</f>
        <v>7.0034058999999997</v>
      </c>
      <c r="AI57" s="51"/>
      <c r="AL57" s="45">
        <f>+LARGE(V57:V60,1)</f>
        <v>7.0034058999999997</v>
      </c>
      <c r="AM57" s="52">
        <f>+(AH57-AL57)*100000000000000000000</f>
        <v>0</v>
      </c>
      <c r="AP57" s="53" t="str">
        <f>+O57</f>
        <v>Iran</v>
      </c>
      <c r="AQ57" s="23">
        <f>+P57*3+Q57*1+BT57+CN57+S57/1000+T57/10000</f>
        <v>4.0002000000000004</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3</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1</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-3.8942000000000004E-3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1</v>
      </c>
      <c r="AF58" s="64">
        <f t="shared" si="258"/>
        <v>4</v>
      </c>
      <c r="AG58" s="64">
        <f t="shared" si="258"/>
        <v>3</v>
      </c>
      <c r="AH58" s="65">
        <f>+VLOOKUP($Z58,$O$57:$V$60,COLUMN()-26,FALSE)</f>
        <v>5.0014060000000002</v>
      </c>
      <c r="AI58" s="51"/>
      <c r="AL58" s="45">
        <f>+LARGE(V57:V60,2)</f>
        <v>5.0014060000000002</v>
      </c>
      <c r="AM58" s="52">
        <f t="shared" ref="AM58:AM60" si="273">+(AH58-AL58)*100000000000000000000</f>
        <v>0</v>
      </c>
      <c r="AP58" s="53" t="str">
        <f>+O58</f>
        <v>Nueva Zelanda</v>
      </c>
      <c r="AQ58" s="23">
        <f>+P58*3+Q58*1+BT58+CN58+S58/1000+T58/10000</f>
        <v>-3.9000000000000003E-3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5</v>
      </c>
      <c r="BD58" s="29"/>
      <c r="BE58" s="25" t="str">
        <f>+IF(OR(BF58="-",BI58="-",BF55=0),"-","OK")</f>
        <v>-</v>
      </c>
      <c r="BF58" s="57" t="str">
        <f>+IF(_xlfn.XLOOKUP($E58,$AY:$AY,$AZ:$AZ,"-",0)=BF55,$E58,"-")</f>
        <v>-</v>
      </c>
      <c r="BG58" s="58">
        <f t="shared" si="259"/>
        <v>1</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3</v>
      </c>
      <c r="T59" s="24">
        <f t="shared" ref="T59" si="296">+SUMIF(E57:E62,$O59,F57:F62)+SUMIF(H57:H62,$O59,G57:G62)</f>
        <v>4</v>
      </c>
      <c r="U59" s="24">
        <f t="shared" ref="U59" si="297">+SUMIF(E57:E62,$O59,G57:G62)+SUMIF(H57:H62,$O59,F57:F62)</f>
        <v>1</v>
      </c>
      <c r="V59" s="45">
        <f t="shared" si="270"/>
        <v>7.0034058999999997</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0</v>
      </c>
      <c r="AF59" s="71">
        <f t="shared" si="258"/>
        <v>2</v>
      </c>
      <c r="AG59" s="71">
        <f t="shared" si="258"/>
        <v>2</v>
      </c>
      <c r="AH59" s="72">
        <f>+VLOOKUP($Z59,$O$57:$V$60,COLUMN()-26,FALSE)</f>
        <v>4.0002057000000004</v>
      </c>
      <c r="AI59" s="73">
        <f>+(COUNTIFS($CV$2:$CV$13,Z59,$CX$2:$CX$13,"IN")+COUNTIFS($CV$2:$CV$13,Z59,$CW$2:$CW$13,"IN"))*IF(SUM(AA57:AA60)=12,1,0)</f>
        <v>1</v>
      </c>
      <c r="AL59" s="45">
        <f>+LARGE(V57:V60,3)</f>
        <v>4.0002057000000004</v>
      </c>
      <c r="AM59" s="52">
        <f t="shared" si="273"/>
        <v>0</v>
      </c>
      <c r="AP59" s="53" t="str">
        <f>+O59</f>
        <v>Belgica</v>
      </c>
      <c r="AQ59" s="23">
        <f>+P59*3+Q59*1+BT59+CN59+S59/1000+T59/10000</f>
        <v>7.0034000000000001</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3</v>
      </c>
      <c r="BD59" s="29"/>
      <c r="BE59" s="25" t="str">
        <f>+IF(OR(BF59="-",BI59="-",BF55=0),"-","OK")</f>
        <v>-</v>
      </c>
      <c r="BF59" s="57" t="str">
        <f>+IF(_xlfn.XLOOKUP($E59,$AY:$AY,$AZ:$AZ,"-",0)=BF55,$E59,"-")</f>
        <v>-</v>
      </c>
      <c r="BG59" s="58">
        <f t="shared" si="259"/>
        <v>1</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1</v>
      </c>
      <c r="T60" s="24">
        <f t="shared" ref="T60" si="298">+SUMIF(E57:E62,$O60,F57:F62)+SUMIF(H57:H62,$O60,G57:G62)</f>
        <v>4</v>
      </c>
      <c r="U60" s="24">
        <f t="shared" ref="U60" si="299">+SUMIF(E57:E62,$O60,G57:G62)+SUMIF(H57:H62,$O60,F57:F62)</f>
        <v>3</v>
      </c>
      <c r="V60" s="45">
        <f t="shared" si="270"/>
        <v>5.0014060000000002</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-3.8942000000000004E-3</v>
      </c>
      <c r="AI60" s="73"/>
      <c r="AL60" s="45">
        <f>+LARGE(V57:V60,4)</f>
        <v>-3.8942000000000004E-3</v>
      </c>
      <c r="AM60" s="52">
        <f t="shared" si="273"/>
        <v>0</v>
      </c>
      <c r="AP60" s="53" t="str">
        <f>+O60</f>
        <v>Egipto</v>
      </c>
      <c r="AQ60" s="23">
        <f>+P60*3+Q60*1+BT60+CN60+S60/1000+T60/10000</f>
        <v>5.0014000000000003</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2</v>
      </c>
      <c r="BD60" s="29"/>
      <c r="BE60" s="25" t="str">
        <f>+IF(OR(BF60="-",BI60="-",BF55=0),"-","OK")</f>
        <v>-</v>
      </c>
      <c r="BF60" s="57" t="str">
        <f>+IF(_xlfn.XLOOKUP($E60,$AY:$AY,$AZ:$AZ,"-",0)=BF55,$E60,"-")</f>
        <v>-</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6</v>
      </c>
      <c r="U66" s="24">
        <f t="shared" ref="U66" si="301">+SUMIF(E66:E71,$O66,G66:G71)+SUMIF(H66:H71,$O66,F66:F71)</f>
        <v>0</v>
      </c>
      <c r="V66" s="45">
        <f>+P66*3+Q66*1+BT66+CN66+S66/1000+T66/10000+AV66/1000000+ROW()/10000000</f>
        <v>7.3066066000000003</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6</v>
      </c>
      <c r="AG66" s="49">
        <f t="shared" si="302"/>
        <v>0</v>
      </c>
      <c r="AH66" s="50">
        <f>+VLOOKUP($Z66,$O$66:$V$69,COLUMN()-26,FALSE)</f>
        <v>7.3066066000000003</v>
      </c>
      <c r="AI66" s="51"/>
      <c r="AL66" s="45">
        <f>+LARGE(V66:V69,1)</f>
        <v>7.3066066000000003</v>
      </c>
      <c r="AM66" s="52">
        <f>+(AH66-AL66)*100000000000000000000</f>
        <v>0</v>
      </c>
      <c r="AP66" s="53" t="str">
        <f>+O66</f>
        <v>España</v>
      </c>
      <c r="AQ66" s="23">
        <f>+P66*3+Q66*1+BT66+CN66+S66/1000+T66/10000</f>
        <v>7.3066000000000004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4</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0</v>
      </c>
      <c r="BR66" s="24">
        <f>+SUMIFS(BH:BH,$BE:$BE,"OK",BF:BF,$BK66)+SUMIFS(BG:BG,$BE:$BE,"OK",BI:BI,$BK66)</f>
        <v>0</v>
      </c>
      <c r="BS66" s="60">
        <f>+BM66*3+BN66*1+BP66/100+BQ66/10000</f>
        <v>1</v>
      </c>
      <c r="BT66" s="60">
        <f>+IF(BL66=0,0,_xlfn.XLOOKUP(BS66,BV66:BV69,BW66:BW69))</f>
        <v>0.3</v>
      </c>
      <c r="BU66" s="45"/>
      <c r="BV66" s="24">
        <f>+LARGE(BS66:BS69,1)</f>
        <v>1</v>
      </c>
      <c r="BW66" s="24">
        <f>+BX66/$BW$1</f>
        <v>0.3</v>
      </c>
      <c r="BX66" s="23">
        <v>3</v>
      </c>
      <c r="BY66" s="25" t="str">
        <f>+IF(OR(BZ66="-",CC66="-"),"-","OK")</f>
        <v>-</v>
      </c>
      <c r="BZ66" s="57" t="str">
        <f>+IF(_xlfn.XLOOKUP($E66,$AY:$AY,$AZ:$AZ,"-",0)=BZ64,$E66,"-")</f>
        <v>-</v>
      </c>
      <c r="CA66" s="58">
        <f t="shared" ref="CA66:CA71" si="305">+$F66</f>
        <v>4</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4</v>
      </c>
      <c r="AG67" s="64">
        <f t="shared" si="302"/>
        <v>1</v>
      </c>
      <c r="AH67" s="65">
        <f>+VLOOKUP($Z67,$O$66:$V$69,COLUMN()-26,FALSE)</f>
        <v>7.3034068999999997</v>
      </c>
      <c r="AI67" s="51"/>
      <c r="AL67" s="45">
        <f>+LARGE(V66:V69,2)</f>
        <v>7.3034068999999997</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4</v>
      </c>
      <c r="U68" s="24">
        <f t="shared" ref="U68" si="341">+SUMIF(E66:E71,$O68,G66:G71)+SUMIF(H66:H71,$O68,F66:F71)</f>
        <v>5</v>
      </c>
      <c r="V68" s="45">
        <f t="shared" si="314"/>
        <v>2.9994068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4</v>
      </c>
      <c r="AG68" s="71">
        <f t="shared" si="302"/>
        <v>5</v>
      </c>
      <c r="AH68" s="72">
        <f>+VLOOKUP($Z68,$O$66:$V$69,COLUMN()-26,FALSE)</f>
        <v>2.9994068</v>
      </c>
      <c r="AI68" s="73">
        <f>+(COUNTIFS($CV$2:$CV$13,Z68,$CX$2:$CX$13,"IN")+COUNTIFS($CV$2:$CV$13,Z68,$CW$2:$CW$13,"IN"))*IF(SUM(AA66:AA69)=12,1,0)</f>
        <v>1</v>
      </c>
      <c r="AL68" s="45">
        <f>+LARGE(V66:V69,3)</f>
        <v>2.9994068</v>
      </c>
      <c r="AM68" s="52">
        <f t="shared" si="317"/>
        <v>0</v>
      </c>
      <c r="AP68" s="53" t="str">
        <f>+O68</f>
        <v>Arabia Saudita</v>
      </c>
      <c r="AQ68" s="23">
        <f>+P68*3+Q68*1+BT68+CN68+S68/1000+T68/10000</f>
        <v>2.9994000000000001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4</v>
      </c>
      <c r="U69" s="24">
        <f t="shared" ref="U69" si="343">+SUMIF(E66:E71,$O69,G66:G71)+SUMIF(H66:H71,$O69,F66:F71)</f>
        <v>1</v>
      </c>
      <c r="V69" s="45">
        <f t="shared" si="314"/>
        <v>7.3034068999999997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7.3033999999999999</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0</v>
      </c>
      <c r="BR69" s="24">
        <f t="shared" si="328"/>
        <v>0</v>
      </c>
      <c r="BS69" s="60">
        <f t="shared" si="329"/>
        <v>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0</v>
      </c>
      <c r="G70" s="43">
        <v>0</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0</v>
      </c>
      <c r="BH70" s="59">
        <f t="shared" si="304"/>
        <v>0</v>
      </c>
      <c r="BI70" s="57" t="str">
        <f>+IF(_xlfn.XLOOKUP($H70,$AY:$AY,$AZ:$AZ,"-",0)=BF64,$H70,"-")</f>
        <v>España</v>
      </c>
      <c r="BY70" s="25" t="str">
        <f t="shared" si="330"/>
        <v>-</v>
      </c>
      <c r="BZ70" s="57" t="str">
        <f>+IF(_xlfn.XLOOKUP($E70,$AY:$AY,$AZ:$AZ,"-",0)=BZ64,$E70,"-")</f>
        <v>-</v>
      </c>
      <c r="CA70" s="58">
        <f t="shared" si="305"/>
        <v>0</v>
      </c>
      <c r="CB70" s="59">
        <f t="shared" si="306"/>
        <v>0</v>
      </c>
      <c r="CC70" s="57" t="str">
        <f>+IF(_xlfn.XLOOKUP($H70,$AY:$AY,$AZ:$AZ,"-",0)=BZ64,$H70,"-")</f>
        <v>-</v>
      </c>
    </row>
    <row r="71" spans="1:102" x14ac:dyDescent="0.2">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Cabo Verde</v>
      </c>
      <c r="CA71" s="58">
        <f t="shared" si="305"/>
        <v>1</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3</v>
      </c>
      <c r="BD75" s="29"/>
      <c r="BE75" s="25" t="str">
        <f>+IF(OR(BF75="-",BI75="-",BF73=0),"-","OK")</f>
        <v>-</v>
      </c>
      <c r="BF75" s="57" t="str">
        <f>+IF(_xlfn.XLOOKUP($E75,$AY:$AY,$AZ:$AZ,"-",0)=BF73,$E75,"-")</f>
        <v>-</v>
      </c>
      <c r="BG75" s="58">
        <f t="shared" ref="BG75:BG80" si="352">+$F75</f>
        <v>2</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1.0002</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2</v>
      </c>
      <c r="AF76" s="64">
        <f t="shared" si="349"/>
        <v>6</v>
      </c>
      <c r="AG76" s="64">
        <f t="shared" si="350"/>
        <v>4</v>
      </c>
      <c r="AH76" s="65">
        <f t="shared" si="351"/>
        <v>4.3026077999999996</v>
      </c>
      <c r="AI76" s="51"/>
      <c r="AL76" s="45">
        <f>+LARGE(V75:V78,2)</f>
        <v>4.3026077999999996</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1.0002</v>
      </c>
      <c r="BT76" s="29">
        <f>+IF(BL76=0,0,_xlfn.XLOOKUP(BS76,BV75:BV78,BW75:BW78))</f>
        <v>0.3</v>
      </c>
      <c r="BU76" s="45"/>
      <c r="BV76" s="24">
        <f>+LARGE(BS75:BS78,2)</f>
        <v>1.0002</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1</v>
      </c>
      <c r="U77" s="24">
        <f t="shared" ref="U77" si="391">+SUMIF(E75:E80,$O77,G75:G80)+SUMIF(H75:H80,$O77,F75:F80)</f>
        <v>8</v>
      </c>
      <c r="V77" s="45">
        <f t="shared" si="363"/>
        <v>-6.8922999999999996E-3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5</v>
      </c>
      <c r="AH77" s="72">
        <f t="shared" si="351"/>
        <v>4.2994075999999994</v>
      </c>
      <c r="AI77" s="73">
        <f>+(COUNTIFS($CV$2:$CV$13,Z77,$CX$2:$CX$13,"IN")+COUNTIFS($CV$2:$CV$13,Z77,$CW$2:$CW$13,"IN"))*IF(SUM(AA75:AA78)=12,1,0)</f>
        <v>1</v>
      </c>
      <c r="AL77" s="45">
        <f>+LARGE(V75:V78,3)</f>
        <v>4.2994075999999994</v>
      </c>
      <c r="AM77" s="52">
        <f t="shared" si="367"/>
        <v>0</v>
      </c>
      <c r="AP77" s="53" t="str">
        <f>+O77</f>
        <v>Irak</v>
      </c>
      <c r="AQ77" s="23">
        <f>+P77*3+Q77*1+BT77+CN77+S77/1000+T77/10000</f>
        <v>-6.8999999999999999E-3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2</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2</v>
      </c>
      <c r="T78" s="24">
        <f t="shared" ref="T78" si="392">+SUMIF(E75:E80,$O78,F75:F80)+SUMIF(H75:H80,$O78,G75:G80)</f>
        <v>6</v>
      </c>
      <c r="U78" s="24">
        <f t="shared" ref="U78" si="393">+SUMIF(E75:E80,$O78,G75:G80)+SUMIF(H75:H80,$O78,F75:F80)</f>
        <v>4</v>
      </c>
      <c r="V78" s="45">
        <f t="shared" si="363"/>
        <v>4.3026077999999996</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1</v>
      </c>
      <c r="AG78" s="77">
        <f t="shared" si="350"/>
        <v>8</v>
      </c>
      <c r="AH78" s="78">
        <f t="shared" si="351"/>
        <v>-6.8922999999999996E-3</v>
      </c>
      <c r="AI78" s="73"/>
      <c r="AL78" s="45">
        <f>+LARGE(V75:V78,4)</f>
        <v>-6.8922999999999996E-3</v>
      </c>
      <c r="AM78" s="52">
        <f t="shared" si="367"/>
        <v>0</v>
      </c>
      <c r="AP78" s="53" t="str">
        <f>+O78</f>
        <v>Noruega</v>
      </c>
      <c r="AQ78" s="23">
        <f>+P78*3+Q78*1+BT78+CN78+S78/1000+T78/10000</f>
        <v>4.3026</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2</v>
      </c>
      <c r="BH78" s="59">
        <f t="shared" si="353"/>
        <v>2</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2</v>
      </c>
      <c r="BR78" s="24">
        <f t="shared" si="378"/>
        <v>2</v>
      </c>
      <c r="BS78" s="60">
        <f t="shared" si="379"/>
        <v>1.0002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9</v>
      </c>
      <c r="U84" s="24">
        <f t="shared" ref="U84" si="395">+SUMIF(E84:E89,$O84,G84:G89)+SUMIF(H84:H89,$O84,F84:F89)</f>
        <v>0</v>
      </c>
      <c r="V84" s="45">
        <f>+P84*3+Q84*1+BT84+CN84+S84/1000+T84/10000+AV84/1000000+ROW()/10000000</f>
        <v>9.0099084000000005</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9</v>
      </c>
      <c r="AG84" s="49">
        <f t="shared" ref="AG84:AH87" si="400">+_xlfn.XLOOKUP($Z84,$O:$O,U:U,"Error",0)</f>
        <v>0</v>
      </c>
      <c r="AH84" s="50">
        <f t="shared" si="400"/>
        <v>9.0099084000000005</v>
      </c>
      <c r="AI84" s="51"/>
      <c r="AL84" s="45">
        <f>+LARGE(V84:V87,1)</f>
        <v>9.0099084000000005</v>
      </c>
      <c r="AM84" s="52">
        <f>+(AH84-AL84)*100000000000000000000</f>
        <v>0</v>
      </c>
      <c r="AP84" s="53" t="str">
        <f>+O84</f>
        <v>Argentina</v>
      </c>
      <c r="AQ84" s="23">
        <f>+P84*3+Q84*1+BT84+CN84+S84/1000+T84/10000</f>
        <v>9.0099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1</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1.2952085000000002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0</v>
      </c>
      <c r="AF85" s="49">
        <f t="shared" si="399"/>
        <v>4</v>
      </c>
      <c r="AG85" s="49">
        <f t="shared" si="400"/>
        <v>4</v>
      </c>
      <c r="AH85" s="65">
        <f t="shared" si="400"/>
        <v>6.0004086000000001</v>
      </c>
      <c r="AI85" s="51"/>
      <c r="AL85" s="45">
        <f>+LARGE(V84:V87,2)</f>
        <v>6.0004086000000001</v>
      </c>
      <c r="AM85" s="52">
        <f>+(AH85-AL85)*100000000000000000000</f>
        <v>0</v>
      </c>
      <c r="AP85" s="53" t="str">
        <f>+O85</f>
        <v>Argelia</v>
      </c>
      <c r="AQ85" s="23">
        <f>+P85*3+Q85*1+BT85+CN85+S85/1000+T85/10000</f>
        <v>1.2952000000000001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1</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0</v>
      </c>
      <c r="T86" s="24">
        <f t="shared" ref="T86" si="419">+SUMIF(E84:E89,$O86,F84:F89)+SUMIF(H84:H89,$O86,G84:G89)</f>
        <v>4</v>
      </c>
      <c r="U86" s="24">
        <f t="shared" ref="U86" si="420">+SUMIF(E84:E89,$O86,G84:G89)+SUMIF(H84:H89,$O86,F84:F89)</f>
        <v>4</v>
      </c>
      <c r="V86" s="45">
        <f>+P86*3+Q86*1+BT86+CN86+S86/1000+T86/10000+AV86/1000000+ROW()/10000000</f>
        <v>6.0004086000000001</v>
      </c>
      <c r="W86" s="26" t="str">
        <f t="shared" si="413"/>
        <v>Austria</v>
      </c>
      <c r="Y86" s="68" t="str">
        <f>+CONCATENATE("3",RIGHT(E83,1))</f>
        <v>3J</v>
      </c>
      <c r="Z86" s="69" t="str">
        <f>+VLOOKUP(AL86,V84:W87,2,FALSE)</f>
        <v>Jordania</v>
      </c>
      <c r="AA86" s="70">
        <f t="shared" si="414"/>
        <v>3</v>
      </c>
      <c r="AB86" s="71">
        <f t="shared" si="415"/>
        <v>0</v>
      </c>
      <c r="AC86" s="71">
        <f t="shared" si="396"/>
        <v>1</v>
      </c>
      <c r="AD86" s="71">
        <f t="shared" si="397"/>
        <v>2</v>
      </c>
      <c r="AE86" s="71">
        <f t="shared" si="398"/>
        <v>-4</v>
      </c>
      <c r="AF86" s="71">
        <f t="shared" si="399"/>
        <v>2</v>
      </c>
      <c r="AG86" s="71">
        <f t="shared" si="400"/>
        <v>6</v>
      </c>
      <c r="AH86" s="72">
        <f t="shared" si="400"/>
        <v>1.2962087</v>
      </c>
      <c r="AI86" s="73">
        <f>+(COUNTIFS($CV$2:$CV$13,Z86,$CX$2:$CX$13,"IN")+COUNTIFS($CV$2:$CV$13,Z86,$CW$2:$CW$13,"IN"))*IF(SUM(AA84:AA87)=12,1,0)</f>
        <v>0</v>
      </c>
      <c r="AL86" s="45">
        <f>+LARGE(V84:V87,3)</f>
        <v>1.2962087</v>
      </c>
      <c r="AM86" s="52">
        <f>+(AH86-AL86)*100000000000000000000</f>
        <v>0</v>
      </c>
      <c r="AP86" s="53" t="str">
        <f>+O86</f>
        <v>Austria</v>
      </c>
      <c r="AQ86" s="23">
        <f>+P86*3+Q86*1+BT86+CN86+S86/1000+T86/10000</f>
        <v>6.0004</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2</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-4</v>
      </c>
      <c r="T87" s="24">
        <f t="shared" ref="T87" si="421">+SUMIF(E84:E89,$O87,F84:F89)+SUMIF(H84:H89,$O87,G84:G89)</f>
        <v>2</v>
      </c>
      <c r="U87" s="24">
        <f t="shared" ref="U87" si="422">+SUMIF(E84:E89,$O87,G84:G89)+SUMIF(H84:H89,$O87,F84:F89)</f>
        <v>6</v>
      </c>
      <c r="V87" s="45">
        <f>+P87*3+Q87*1+BT87+CN87+S87/1000+T87/10000+AV87/1000000+ROW()/10000000</f>
        <v>1.2962087</v>
      </c>
      <c r="W87" s="26" t="str">
        <f t="shared" si="413"/>
        <v>Jordania</v>
      </c>
      <c r="Y87" s="74" t="str">
        <f>+CONCATENATE("4",RIGHT(E83,1))</f>
        <v>4J</v>
      </c>
      <c r="Z87" s="75" t="str">
        <f>+VLOOKUP(AL87,V84:W87,2,FALSE)</f>
        <v>Argelia</v>
      </c>
      <c r="AA87" s="76">
        <f t="shared" si="414"/>
        <v>3</v>
      </c>
      <c r="AB87" s="77">
        <f t="shared" si="415"/>
        <v>0</v>
      </c>
      <c r="AC87" s="77">
        <f t="shared" si="396"/>
        <v>1</v>
      </c>
      <c r="AD87" s="77">
        <f t="shared" si="397"/>
        <v>2</v>
      </c>
      <c r="AE87" s="77">
        <f t="shared" si="398"/>
        <v>-5</v>
      </c>
      <c r="AF87" s="77">
        <f t="shared" si="399"/>
        <v>2</v>
      </c>
      <c r="AG87" s="77">
        <f t="shared" si="400"/>
        <v>7</v>
      </c>
      <c r="AH87" s="78">
        <f t="shared" si="400"/>
        <v>1.2952085000000002</v>
      </c>
      <c r="AI87" s="73"/>
      <c r="AL87" s="45">
        <f>+LARGE(V84:V87,4)</f>
        <v>1.2952085000000002</v>
      </c>
      <c r="AM87" s="52">
        <f>+(AH87-AL87)*100000000000000000000</f>
        <v>0</v>
      </c>
      <c r="AP87" s="53" t="str">
        <f>+O87</f>
        <v>Jordania</v>
      </c>
      <c r="AQ87" s="23">
        <f>+P87*3+Q87*1+BT87+CN87+S87/1000+T87/10000</f>
        <v>1.2962</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9.0057093000000012</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9.0057093000000012</v>
      </c>
      <c r="AI93" s="51"/>
      <c r="AL93" s="45">
        <f>+LARGE(V93:V96,1)</f>
        <v>9.0057093000000012</v>
      </c>
      <c r="AM93" s="52">
        <f>+(AH93-AL93)*100000000000000000000</f>
        <v>0</v>
      </c>
      <c r="AP93" s="53" t="str">
        <f>+O93</f>
        <v>Portugal</v>
      </c>
      <c r="AQ93" s="23">
        <f>+P93*3+Q93*1+BT93+CN93+S93/1000+T93/10000</f>
        <v>9.0057000000000009</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5</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1.2961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2</v>
      </c>
      <c r="U95" s="24">
        <f t="shared" ref="U95" si="450">+SUMIF(E93:E98,$O95,G93:G98)+SUMIF(H93:H98,$O95,F93:F98)</f>
        <v>6</v>
      </c>
      <c r="V95" s="45">
        <f t="shared" si="442"/>
        <v>1.2962095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2</v>
      </c>
      <c r="AG95" s="71">
        <f t="shared" si="429"/>
        <v>6</v>
      </c>
      <c r="AH95" s="72">
        <f t="shared" si="429"/>
        <v>1.2962095</v>
      </c>
      <c r="AI95" s="73">
        <f>+(COUNTIFS($CV$2:$CV$13,Z95,$CX$2:$CX$13,"IN")+COUNTIFS($CV$2:$CV$13,Z95,$CW$2:$CW$13,"IN"))*IF(SUM(AA93:AA96)=12,1,0)</f>
        <v>0</v>
      </c>
      <c r="AL95" s="45">
        <f>+LARGE(V93:V96,3)</f>
        <v>1.2962095</v>
      </c>
      <c r="AM95" s="52">
        <f>+(AH95-AL95)*100000000000000000000</f>
        <v>0</v>
      </c>
      <c r="AP95" s="53" t="str">
        <f>+O95</f>
        <v>Uzbekistan</v>
      </c>
      <c r="AQ95" s="23">
        <f>+P95*3+Q95*1+BT95+CN95+S95/1000+T95/10000</f>
        <v>1.2962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7</v>
      </c>
      <c r="U102" s="24">
        <f t="shared" ref="U102" si="454">+SUMIF(E102:E107,$O102,G102:G107)+SUMIF(H102:H107,$O102,F102:F107)</f>
        <v>3</v>
      </c>
      <c r="V102" s="45">
        <f>+P102*3+Q102*1+BT102+CN102+S102/1000+T102/10000+AV102/1000000+ROW()/10000000</f>
        <v>9.0047131999999994</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7</v>
      </c>
      <c r="AG102" s="49">
        <f t="shared" ref="AG102:AH105" si="459">+_xlfn.XLOOKUP($Z102,$O:$O,U:U,"Error",0)</f>
        <v>3</v>
      </c>
      <c r="AH102" s="50">
        <f t="shared" si="459"/>
        <v>9.0047131999999994</v>
      </c>
      <c r="AI102" s="51"/>
      <c r="AL102" s="45">
        <f>+LARGE(V102:V105,1)</f>
        <v>9.0047131999999994</v>
      </c>
      <c r="AM102" s="52">
        <f>+(AH102-AL102)*100000000000000000000</f>
        <v>0</v>
      </c>
      <c r="AP102" s="53" t="str">
        <f>+O102</f>
        <v>Inglaterra</v>
      </c>
      <c r="AQ102" s="23">
        <f>+P102*3+Q102*1+BT102+CN102+S102/1000+T102/10000</f>
        <v>9.0046999999999997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2</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3</v>
      </c>
      <c r="V103" s="45">
        <f t="shared" ref="V103:V105" si="472">+P103*3+Q103*1+BT103+CN103+S103/1000+T103/10000+AV103/1000000+ROW()/10000000</f>
        <v>6.0014102999999999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6.0014102999999999</v>
      </c>
      <c r="AI103" s="51"/>
      <c r="AL103" s="45">
        <f>+LARGE(V102:V105,2)</f>
        <v>6.0014102999999999</v>
      </c>
      <c r="AM103" s="52">
        <f>+(AH103-AL103)*100000000000000000000</f>
        <v>0</v>
      </c>
      <c r="AP103" s="53" t="str">
        <f>+O103</f>
        <v>Croacia</v>
      </c>
      <c r="AQ103" s="23">
        <f>+P103*3+Q103*1+BT103+CN103+S103/1000+T103/10000</f>
        <v>6.0014000000000003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4</v>
      </c>
      <c r="BD103" s="29"/>
      <c r="BE103" s="25" t="str">
        <f>+IF(OR(BF103="-",BI103="-",BF100=0),"-","OK")</f>
        <v>-</v>
      </c>
      <c r="BF103" s="57" t="str">
        <f>+IF(_xlfn.XLOOKUP($E103,$AY:$AY,$AZ:$AZ,"-",0)=BF100,$E103,"-")</f>
        <v>-</v>
      </c>
      <c r="BG103" s="58">
        <f t="shared" si="460"/>
        <v>1</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-3</v>
      </c>
      <c r="T104" s="24">
        <f t="shared" ref="T104" si="479">+SUMIF(E102:E107,$O104,F102:F107)+SUMIF(H102:H107,$O104,G102:G107)</f>
        <v>2</v>
      </c>
      <c r="U104" s="24">
        <f t="shared" ref="U104" si="480">+SUMIF(E102:E107,$O104,G102:G107)+SUMIF(H102:H107,$O104,F102:F107)</f>
        <v>5</v>
      </c>
      <c r="V104" s="45">
        <f t="shared" si="472"/>
        <v>-2.7896000000000002E-3</v>
      </c>
      <c r="W104" s="26" t="str">
        <f t="shared" si="473"/>
        <v>Ghana</v>
      </c>
      <c r="Y104" s="68" t="str">
        <f>+CONCATENATE("3",RIGHT(E101,1))</f>
        <v>3L</v>
      </c>
      <c r="Z104" s="69" t="str">
        <f>+VLOOKUP(AL104,V102:W105,2,FALSE)</f>
        <v>Panama</v>
      </c>
      <c r="AA104" s="70">
        <f t="shared" si="474"/>
        <v>3</v>
      </c>
      <c r="AB104" s="71">
        <f t="shared" si="475"/>
        <v>1</v>
      </c>
      <c r="AC104" s="71">
        <f t="shared" si="455"/>
        <v>0</v>
      </c>
      <c r="AD104" s="71">
        <f t="shared" si="456"/>
        <v>2</v>
      </c>
      <c r="AE104" s="71">
        <f t="shared" si="457"/>
        <v>-2</v>
      </c>
      <c r="AF104" s="71">
        <f t="shared" si="458"/>
        <v>4</v>
      </c>
      <c r="AG104" s="71">
        <f t="shared" si="459"/>
        <v>6</v>
      </c>
      <c r="AH104" s="72">
        <f t="shared" si="459"/>
        <v>2.9984105000000003</v>
      </c>
      <c r="AI104" s="73">
        <f>+(COUNTIFS($CV$2:$CV$13,Z104,$CX$2:$CX$13,"IN")+COUNTIFS($CV$2:$CV$13,Z104,$CW$2:$CW$13,"IN"))*IF(SUM(AA102:AA105)=12,1,0)</f>
        <v>1</v>
      </c>
      <c r="AL104" s="45">
        <f>+LARGE(V102:V105,3)</f>
        <v>2.9984105000000003</v>
      </c>
      <c r="AM104" s="52">
        <f>+(AH104-AL104)*100000000000000000000</f>
        <v>0</v>
      </c>
      <c r="AP104" s="53" t="str">
        <f>+O104</f>
        <v>Ghana</v>
      </c>
      <c r="AQ104" s="23">
        <f>+P104*3+Q104*1+BT104+CN104+S104/1000+T104/10000</f>
        <v>-2.8E-3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8</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2.9984105000000003</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-3</v>
      </c>
      <c r="AF105" s="77">
        <f t="shared" si="458"/>
        <v>2</v>
      </c>
      <c r="AG105" s="77">
        <f t="shared" si="459"/>
        <v>5</v>
      </c>
      <c r="AH105" s="78">
        <f t="shared" si="459"/>
        <v>-2.7896000000000002E-3</v>
      </c>
      <c r="AI105" s="73"/>
      <c r="AL105" s="45">
        <f>+LARGE(V102:V105,4)</f>
        <v>-2.7896000000000002E-3</v>
      </c>
      <c r="AM105" s="52">
        <f>+(AH105-AL105)*100000000000000000000</f>
        <v>0</v>
      </c>
      <c r="AP105" s="53" t="str">
        <f>+O105</f>
        <v>Panama</v>
      </c>
      <c r="AQ105" s="23">
        <f>+P105*3+Q105*1+BT105+CN105+S105/1000+T105/10000</f>
        <v>2.9984000000000002</v>
      </c>
      <c r="AS105" s="54">
        <f t="shared" si="476"/>
        <v>0</v>
      </c>
      <c r="AT105" s="54">
        <f>+IF(AND(AM106="si",OR(AR102=1,AR103=1,AR104=1)),1,0)</f>
        <v>0</v>
      </c>
      <c r="AU105" s="79" t="str">
        <f t="shared" si="477"/>
        <v>Panama</v>
      </c>
      <c r="AV105" s="80"/>
      <c r="AX105" s="23" t="str">
        <f>+Y101</f>
        <v>Grupo L</v>
      </c>
      <c r="AY105" s="24" t="str">
        <f>+O105</f>
        <v>Panama</v>
      </c>
      <c r="AZ105" s="29">
        <f>+P105*3+Q105</f>
        <v>3</v>
      </c>
      <c r="BA105" s="29">
        <f>+COUNTIFS($AX$1:AX105,AX105,$AZ$1:AZ105,AZ105)</f>
        <v>1</v>
      </c>
      <c r="BB105" s="29">
        <f>+IF(AZ105=BF100,ROW()*0.001,AZ105)</f>
        <v>3</v>
      </c>
      <c r="BC105" s="29">
        <f>+COUNTIFS($AX$1:AZ105,AZ105,$AZ$1:BB105,BB105)</f>
        <v>4</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K13" sqref="H13:K13"/>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Estados Unidos</v>
      </c>
      <c r="I5" s="112">
        <v>2</v>
      </c>
      <c r="J5" s="113">
        <v>1</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1</v>
      </c>
      <c r="D9" s="113">
        <v>0</v>
      </c>
      <c r="E9" s="428" t="str">
        <f>+_xlfn.XLOOKUP(D8,'Groups Stage'!$Y:$Y,'Groups Stage'!$Z:$Z,"-",0)</f>
        <v>Paraguay</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Estados Unidos</v>
      </c>
      <c r="W13" s="112">
        <v>1</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3H</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Arabia Saudita</v>
      </c>
      <c r="F21" s="110"/>
      <c r="G21" s="417" t="s">
        <v>250</v>
      </c>
      <c r="H21" s="111" t="str">
        <f>+_xlfn.XLOOKUP(I20,'Groups Stage'!$Y:$Y,'Groups Stage'!$Z:$Z,"-",0)</f>
        <v>Suiza</v>
      </c>
      <c r="I21" s="112">
        <v>2</v>
      </c>
      <c r="J21" s="113">
        <v>0</v>
      </c>
      <c r="K21" s="418" t="str">
        <f>+_xlfn.XLOOKUP(J20,'Groups Stage'!$Y:$Y,'Groups Stage'!$Z:$Z,"-",0)</f>
        <v>Iran</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3</v>
      </c>
      <c r="X21" s="113">
        <v>1</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Costa de Marfil</v>
      </c>
      <c r="F29" s="110"/>
      <c r="G29" s="417" t="s">
        <v>267</v>
      </c>
      <c r="H29" s="111" t="str">
        <f>+_xlfn.XLOOKUP(I28,'Groups Stage'!$Y:$Y,'Groups Stage'!$Z:$Z,"-",0)</f>
        <v>Portugal</v>
      </c>
      <c r="I29" s="112">
        <v>3</v>
      </c>
      <c r="J29" s="113">
        <v>1</v>
      </c>
      <c r="K29" s="418" t="str">
        <f>+_xlfn.XLOOKUP(J28,'Groups Stage'!$Y:$Y,'Groups Stage'!$Z:$Z,"-",0)</f>
        <v>Panama</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1</v>
      </c>
      <c r="E33" s="448" t="str">
        <f>+_xlfn.XLOOKUP(D32,'Groups Stage'!$Y:$Y,'Groups Stage'!$Z:$Z,"-",0)</f>
        <v>Senegal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1</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Argentina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3</v>
      </c>
      <c r="J10" s="137">
        <v>1</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3</v>
      </c>
      <c r="R13" s="113">
        <v>2</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0</v>
      </c>
      <c r="D19" s="113">
        <v>1</v>
      </c>
      <c r="E19" s="114" t="str">
        <f>+B11</f>
        <v>España</v>
      </c>
      <c r="F19" s="121"/>
      <c r="G19" s="180" t="s">
        <v>288</v>
      </c>
      <c r="H19" s="111" t="str">
        <f>+H7</f>
        <v>Inglaterra</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16" activePane="bottomLeft" state="frozen"/>
      <selection pane="bottomLeft" activeCell="D18" sqref="D18:D3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822.12150000499992</v>
      </c>
      <c r="D2" s="189" t="str">
        <f>+_xlfn.XLOOKUP($C2,Aux!$W:$W,Aux!H:H,"-",0)</f>
        <v>España</v>
      </c>
      <c r="E2" s="191">
        <f>+F2*3+G2</f>
        <v>22</v>
      </c>
      <c r="F2" s="191">
        <f>+_xlfn.XLOOKUP($C2,Aux!$W:$W,Aux!Q:Q,"-",0)</f>
        <v>7</v>
      </c>
      <c r="G2" s="191">
        <f>+_xlfn.XLOOKUP($C2,Aux!$W:$W,Aux!R:R,"-",0)</f>
        <v>1</v>
      </c>
      <c r="H2" s="191">
        <f>+_xlfn.XLOOKUP($C2,Aux!$W:$W,Aux!S:S,"-",0)</f>
        <v>0</v>
      </c>
      <c r="I2" s="191">
        <f>+_xlfn.XLOOKUP($C2,Aux!$W:$W,Aux!T:T,"-",0)</f>
        <v>12</v>
      </c>
      <c r="J2" s="191">
        <f>+_xlfn.XLOOKUP($C2,Aux!$W:$W,Aux!U:U,"-",0)</f>
        <v>15</v>
      </c>
      <c r="K2" s="192">
        <f>+_xlfn.XLOOKUP($C2,Aux!$W:$W,Aux!V:V,"-",0)</f>
        <v>3</v>
      </c>
    </row>
    <row r="3" spans="1:31" ht="18" x14ac:dyDescent="0.25">
      <c r="A3" s="401">
        <v>2</v>
      </c>
      <c r="B3" s="386" t="s">
        <v>292</v>
      </c>
      <c r="C3" s="194">
        <f>+LARGE(Aux!$W$4:$W$51,A3)</f>
        <v>619.12170000333333</v>
      </c>
      <c r="D3" s="193" t="str">
        <f>+_xlfn.XLOOKUP($C3,Aux!$W:$W,Aux!H:H,"-",0)</f>
        <v>Argentina</v>
      </c>
      <c r="E3" s="195">
        <f t="shared" ref="E3:E49" si="0">+F3*3+G3</f>
        <v>19</v>
      </c>
      <c r="F3" s="195">
        <f>+_xlfn.XLOOKUP($C3,Aux!$W:$W,Aux!Q:Q,"-",0)</f>
        <v>6</v>
      </c>
      <c r="G3" s="195">
        <f>+_xlfn.XLOOKUP($C3,Aux!$W:$W,Aux!R:R,"-",0)</f>
        <v>1</v>
      </c>
      <c r="H3" s="195">
        <f>+_xlfn.XLOOKUP($C3,Aux!$W:$W,Aux!S:S,"-",0)</f>
        <v>1</v>
      </c>
      <c r="I3" s="195">
        <f>+_xlfn.XLOOKUP($C3,Aux!$W:$W,Aux!T:T,"-",0)</f>
        <v>12</v>
      </c>
      <c r="J3" s="195">
        <f>+_xlfn.XLOOKUP($C3,Aux!$W:$W,Aux!U:U,"-",0)</f>
        <v>17</v>
      </c>
      <c r="K3" s="196">
        <f>+_xlfn.XLOOKUP($C3,Aux!$W:$W,Aux!V:V,"-",0)</f>
        <v>5</v>
      </c>
    </row>
    <row r="4" spans="1:31" x14ac:dyDescent="0.2">
      <c r="A4" s="402">
        <v>3</v>
      </c>
      <c r="B4" s="387" t="s">
        <v>293</v>
      </c>
      <c r="C4" s="199">
        <f>+LARGE(Aux!$W$4:$W$51,A4)</f>
        <v>521.11160001000007</v>
      </c>
      <c r="D4" s="198" t="str">
        <f>+_xlfn.XLOOKUP($C4,Aux!$W:$W,Aux!H:H,"-",0)</f>
        <v>Francia</v>
      </c>
      <c r="E4" s="200">
        <f t="shared" si="0"/>
        <v>21</v>
      </c>
      <c r="F4" s="200">
        <f>+_xlfn.XLOOKUP($C4,Aux!$W:$W,Aux!Q:Q,"-",0)</f>
        <v>7</v>
      </c>
      <c r="G4" s="200">
        <f>+_xlfn.XLOOKUP($C4,Aux!$W:$W,Aux!R:R,"-",0)</f>
        <v>0</v>
      </c>
      <c r="H4" s="200">
        <f>+_xlfn.XLOOKUP($C4,Aux!$W:$W,Aux!S:S,"-",0)</f>
        <v>1</v>
      </c>
      <c r="I4" s="200">
        <f>+_xlfn.XLOOKUP($C4,Aux!$W:$W,Aux!T:T,"-",0)</f>
        <v>11</v>
      </c>
      <c r="J4" s="200">
        <f>+_xlfn.XLOOKUP($C4,Aux!$W:$W,Aux!U:U,"-",0)</f>
        <v>16</v>
      </c>
      <c r="K4" s="201">
        <f>+_xlfn.XLOOKUP($C4,Aux!$W:$W,Aux!V:V,"-",0)</f>
        <v>5</v>
      </c>
    </row>
    <row r="5" spans="1:31" x14ac:dyDescent="0.2">
      <c r="A5" s="403">
        <v>4</v>
      </c>
      <c r="B5" s="388" t="s">
        <v>294</v>
      </c>
      <c r="C5" s="203">
        <f>+LARGE(Aux!$W$4:$W$51,A5)</f>
        <v>418.06160000249997</v>
      </c>
      <c r="D5" s="202" t="str">
        <f>+_xlfn.XLOOKUP($C5,Aux!$W:$W,Aux!H:H,"-",0)</f>
        <v>Inglaterra</v>
      </c>
      <c r="E5" s="204">
        <f t="shared" si="0"/>
        <v>18</v>
      </c>
      <c r="F5" s="204">
        <f>+_xlfn.XLOOKUP($C5,Aux!$W:$W,Aux!Q:Q,"-",0)</f>
        <v>6</v>
      </c>
      <c r="G5" s="204">
        <f>+_xlfn.XLOOKUP($C5,Aux!$W:$W,Aux!R:R,"-",0)</f>
        <v>0</v>
      </c>
      <c r="H5" s="204">
        <f>+_xlfn.XLOOKUP($C5,Aux!$W:$W,Aux!S:S,"-",0)</f>
        <v>2</v>
      </c>
      <c r="I5" s="204">
        <f>+_xlfn.XLOOKUP($C5,Aux!$W:$W,Aux!T:T,"-",0)</f>
        <v>6</v>
      </c>
      <c r="J5" s="204">
        <f>+_xlfn.XLOOKUP($C5,Aux!$W:$W,Aux!U:U,"-",0)</f>
        <v>16</v>
      </c>
      <c r="K5" s="205">
        <f>+_xlfn.XLOOKUP($C5,Aux!$W:$W,Aux!V:V,"-",0)</f>
        <v>10</v>
      </c>
    </row>
    <row r="6" spans="1:31" x14ac:dyDescent="0.2">
      <c r="A6" s="404">
        <v>5</v>
      </c>
      <c r="B6" s="390" t="s">
        <v>295</v>
      </c>
      <c r="C6" s="207">
        <f>+LARGE(Aux!$W$4:$W$51,A6)</f>
        <v>316.09130000199997</v>
      </c>
      <c r="D6" s="206" t="str">
        <f>+_xlfn.XLOOKUP($C6,Aux!$W:$W,Aux!H:H,"-",0)</f>
        <v>Portugal</v>
      </c>
      <c r="E6" s="208">
        <f t="shared" si="0"/>
        <v>16</v>
      </c>
      <c r="F6" s="208">
        <f>+_xlfn.XLOOKUP($C6,Aux!$W:$W,Aux!Q:Q,"-",0)</f>
        <v>5</v>
      </c>
      <c r="G6" s="208">
        <f>+_xlfn.XLOOKUP($C6,Aux!$W:$W,Aux!R:R,"-",0)</f>
        <v>1</v>
      </c>
      <c r="H6" s="208">
        <f>+_xlfn.XLOOKUP($C6,Aux!$W:$W,Aux!S:S,"-",0)</f>
        <v>0</v>
      </c>
      <c r="I6" s="208">
        <f>+_xlfn.XLOOKUP($C6,Aux!$W:$W,Aux!T:T,"-",0)</f>
        <v>9</v>
      </c>
      <c r="J6" s="208">
        <f>+_xlfn.XLOOKUP($C6,Aux!$W:$W,Aux!U:U,"-",0)</f>
        <v>13</v>
      </c>
      <c r="K6" s="209">
        <f>+_xlfn.XLOOKUP($C6,Aux!$W:$W,Aux!V:V,"-",0)</f>
        <v>4</v>
      </c>
    </row>
    <row r="7" spans="1:31" x14ac:dyDescent="0.2">
      <c r="A7" s="404">
        <v>6</v>
      </c>
      <c r="B7" s="390" t="s">
        <v>295</v>
      </c>
      <c r="C7" s="207">
        <f>+LARGE(Aux!$W$4:$W$51,A7)</f>
        <v>315.0611000014286</v>
      </c>
      <c r="D7" s="206" t="str">
        <f>+_xlfn.XLOOKUP($C7,Aux!$W:$W,Aux!H:H,"-",0)</f>
        <v>Paises Bajos</v>
      </c>
      <c r="E7" s="208">
        <f t="shared" si="0"/>
        <v>15</v>
      </c>
      <c r="F7" s="208">
        <f>+_xlfn.XLOOKUP($C7,Aux!$W:$W,Aux!Q:Q,"-",0)</f>
        <v>5</v>
      </c>
      <c r="G7" s="208">
        <f>+_xlfn.XLOOKUP($C7,Aux!$W:$W,Aux!R:R,"-",0)</f>
        <v>0</v>
      </c>
      <c r="H7" s="208">
        <f>+_xlfn.XLOOKUP($C7,Aux!$W:$W,Aux!S:S,"-",0)</f>
        <v>1</v>
      </c>
      <c r="I7" s="208">
        <f>+_xlfn.XLOOKUP($C7,Aux!$W:$W,Aux!T:T,"-",0)</f>
        <v>6</v>
      </c>
      <c r="J7" s="208">
        <f>+_xlfn.XLOOKUP($C7,Aux!$W:$W,Aux!U:U,"-",0)</f>
        <v>11</v>
      </c>
      <c r="K7" s="209">
        <f>+_xlfn.XLOOKUP($C7,Aux!$W:$W,Aux!V:V,"-",0)</f>
        <v>5</v>
      </c>
    </row>
    <row r="8" spans="1:31" x14ac:dyDescent="0.2">
      <c r="A8" s="404">
        <v>7</v>
      </c>
      <c r="B8" s="390" t="s">
        <v>295</v>
      </c>
      <c r="C8" s="207">
        <f>+LARGE(Aux!$W$4:$W$51,A8)</f>
        <v>313.07120000166663</v>
      </c>
      <c r="D8" s="206" t="str">
        <f>+_xlfn.XLOOKUP($C8,Aux!$W:$W,Aux!H:H,"-",0)</f>
        <v>Brasil</v>
      </c>
      <c r="E8" s="208">
        <f t="shared" si="0"/>
        <v>13</v>
      </c>
      <c r="F8" s="208">
        <f>+_xlfn.XLOOKUP($C8,Aux!$W:$W,Aux!Q:Q,"-",0)</f>
        <v>4</v>
      </c>
      <c r="G8" s="208">
        <f>+_xlfn.XLOOKUP($C8,Aux!$W:$W,Aux!R:R,"-",0)</f>
        <v>1</v>
      </c>
      <c r="H8" s="208">
        <f>+_xlfn.XLOOKUP($C8,Aux!$W:$W,Aux!S:S,"-",0)</f>
        <v>1</v>
      </c>
      <c r="I8" s="208">
        <f>+_xlfn.XLOOKUP($C8,Aux!$W:$W,Aux!T:T,"-",0)</f>
        <v>7</v>
      </c>
      <c r="J8" s="208">
        <f>+_xlfn.XLOOKUP($C8,Aux!$W:$W,Aux!U:U,"-",0)</f>
        <v>12</v>
      </c>
      <c r="K8" s="209">
        <f>+_xlfn.XLOOKUP($C8,Aux!$W:$W,Aux!V:V,"-",0)</f>
        <v>5</v>
      </c>
    </row>
    <row r="9" spans="1:31" x14ac:dyDescent="0.2">
      <c r="A9" s="405">
        <v>8</v>
      </c>
      <c r="B9" s="391" t="s">
        <v>295</v>
      </c>
      <c r="C9" s="227">
        <f>+LARGE(Aux!$W$4:$W$51,A9)</f>
        <v>313.04080000111117</v>
      </c>
      <c r="D9" s="226" t="str">
        <f>+_xlfn.XLOOKUP($C9,Aux!$W:$W,Aux!H:H,"-",0)</f>
        <v>Belgica</v>
      </c>
      <c r="E9" s="228">
        <f t="shared" si="0"/>
        <v>13</v>
      </c>
      <c r="F9" s="228">
        <f>+_xlfn.XLOOKUP($C9,Aux!$W:$W,Aux!Q:Q,"-",0)</f>
        <v>4</v>
      </c>
      <c r="G9" s="228">
        <f>+_xlfn.XLOOKUP($C9,Aux!$W:$W,Aux!R:R,"-",0)</f>
        <v>1</v>
      </c>
      <c r="H9" s="228">
        <f>+_xlfn.XLOOKUP($C9,Aux!$W:$W,Aux!S:S,"-",0)</f>
        <v>1</v>
      </c>
      <c r="I9" s="228">
        <f>+_xlfn.XLOOKUP($C9,Aux!$W:$W,Aux!T:T,"-",0)</f>
        <v>4</v>
      </c>
      <c r="J9" s="228">
        <f>+_xlfn.XLOOKUP($C9,Aux!$W:$W,Aux!U:U,"-",0)</f>
        <v>8</v>
      </c>
      <c r="K9" s="229">
        <f>+_xlfn.XLOOKUP($C9,Aux!$W:$W,Aux!V:V,"-",0)</f>
        <v>4</v>
      </c>
    </row>
    <row r="10" spans="1:31" x14ac:dyDescent="0.2">
      <c r="A10" s="406">
        <v>9</v>
      </c>
      <c r="B10" s="392" t="s">
        <v>296</v>
      </c>
      <c r="C10" s="231">
        <f>+LARGE(Aux!$W$4:$W$51,A10)</f>
        <v>212.05080000052632</v>
      </c>
      <c r="D10" s="230" t="str">
        <f>+_xlfn.XLOOKUP($C10,Aux!$W:$W,Aux!H:H,"-",0)</f>
        <v>Suiza</v>
      </c>
      <c r="E10" s="232">
        <f t="shared" si="0"/>
        <v>12</v>
      </c>
      <c r="F10" s="232">
        <f>+_xlfn.XLOOKUP($C10,Aux!$W:$W,Aux!Q:Q,"-",0)</f>
        <v>4</v>
      </c>
      <c r="G10" s="232">
        <f>+_xlfn.XLOOKUP($C10,Aux!$W:$W,Aux!R:R,"-",0)</f>
        <v>0</v>
      </c>
      <c r="H10" s="232">
        <f>+_xlfn.XLOOKUP($C10,Aux!$W:$W,Aux!S:S,"-",0)</f>
        <v>1</v>
      </c>
      <c r="I10" s="232">
        <f>+_xlfn.XLOOKUP($C10,Aux!$W:$W,Aux!T:T,"-",0)</f>
        <v>5</v>
      </c>
      <c r="J10" s="232">
        <f>+_xlfn.XLOOKUP($C10,Aux!$W:$W,Aux!U:U,"-",0)</f>
        <v>8</v>
      </c>
      <c r="K10" s="233">
        <f>+_xlfn.XLOOKUP($C10,Aux!$W:$W,Aux!V:V,"-",0)</f>
        <v>3</v>
      </c>
    </row>
    <row r="11" spans="1:31" x14ac:dyDescent="0.2">
      <c r="A11" s="406">
        <v>10</v>
      </c>
      <c r="B11" s="392" t="s">
        <v>296</v>
      </c>
      <c r="C11" s="231">
        <f>+LARGE(Aux!$W$4:$W$51,A11)</f>
        <v>210.04070000099998</v>
      </c>
      <c r="D11" s="230" t="str">
        <f>+_xlfn.XLOOKUP($C11,Aux!$W:$W,Aux!H:H,"-",0)</f>
        <v>Alemania</v>
      </c>
      <c r="E11" s="232">
        <f t="shared" si="0"/>
        <v>10</v>
      </c>
      <c r="F11" s="232">
        <f>+_xlfn.XLOOKUP($C11,Aux!$W:$W,Aux!Q:Q,"-",0)</f>
        <v>3</v>
      </c>
      <c r="G11" s="232">
        <f>+_xlfn.XLOOKUP($C11,Aux!$W:$W,Aux!R:R,"-",0)</f>
        <v>1</v>
      </c>
      <c r="H11" s="232">
        <f>+_xlfn.XLOOKUP($C11,Aux!$W:$W,Aux!S:S,"-",0)</f>
        <v>1</v>
      </c>
      <c r="I11" s="232">
        <f>+_xlfn.XLOOKUP($C11,Aux!$W:$W,Aux!T:T,"-",0)</f>
        <v>4</v>
      </c>
      <c r="J11" s="232">
        <f>+_xlfn.XLOOKUP($C11,Aux!$W:$W,Aux!U:U,"-",0)</f>
        <v>7</v>
      </c>
      <c r="K11" s="233">
        <f>+_xlfn.XLOOKUP($C11,Aux!$W:$W,Aux!V:V,"-",0)</f>
        <v>3</v>
      </c>
    </row>
    <row r="12" spans="1:31" x14ac:dyDescent="0.2">
      <c r="A12" s="406">
        <v>11</v>
      </c>
      <c r="B12" s="392" t="s">
        <v>296</v>
      </c>
      <c r="C12" s="231">
        <f>+LARGE(Aux!$W$4:$W$51,A12)</f>
        <v>210.03080000066666</v>
      </c>
      <c r="D12" s="230" t="str">
        <f>+_xlfn.XLOOKUP($C12,Aux!$W:$W,Aux!H:H,"-",0)</f>
        <v>Mexico</v>
      </c>
      <c r="E12" s="232">
        <f t="shared" si="0"/>
        <v>10</v>
      </c>
      <c r="F12" s="232">
        <f>+_xlfn.XLOOKUP($C12,Aux!$W:$W,Aux!Q:Q,"-",0)</f>
        <v>3</v>
      </c>
      <c r="G12" s="232">
        <f>+_xlfn.XLOOKUP($C12,Aux!$W:$W,Aux!R:R,"-",0)</f>
        <v>1</v>
      </c>
      <c r="H12" s="232">
        <f>+_xlfn.XLOOKUP($C12,Aux!$W:$W,Aux!S:S,"-",0)</f>
        <v>1</v>
      </c>
      <c r="I12" s="232">
        <f>+_xlfn.XLOOKUP($C12,Aux!$W:$W,Aux!T:T,"-",0)</f>
        <v>3</v>
      </c>
      <c r="J12" s="232">
        <f>+_xlfn.XLOOKUP($C12,Aux!$W:$W,Aux!U:U,"-",0)</f>
        <v>8</v>
      </c>
      <c r="K12" s="233">
        <f>+_xlfn.XLOOKUP($C12,Aux!$W:$W,Aux!V:V,"-",0)</f>
        <v>5</v>
      </c>
    </row>
    <row r="13" spans="1:31" x14ac:dyDescent="0.2">
      <c r="A13" s="406">
        <v>12</v>
      </c>
      <c r="B13" s="392" t="s">
        <v>296</v>
      </c>
      <c r="C13" s="231">
        <f>+LARGE(Aux!$W$4:$W$51,A13)</f>
        <v>209.03090000076924</v>
      </c>
      <c r="D13" s="230" t="str">
        <f>+_xlfn.XLOOKUP($C13,Aux!$W:$W,Aux!H:H,"-",0)</f>
        <v>Colombia</v>
      </c>
      <c r="E13" s="232">
        <f t="shared" si="0"/>
        <v>9</v>
      </c>
      <c r="F13" s="232">
        <f>+_xlfn.XLOOKUP($C13,Aux!$W:$W,Aux!Q:Q,"-",0)</f>
        <v>3</v>
      </c>
      <c r="G13" s="232">
        <f>+_xlfn.XLOOKUP($C13,Aux!$W:$W,Aux!R:R,"-",0)</f>
        <v>0</v>
      </c>
      <c r="H13" s="232">
        <f>+_xlfn.XLOOKUP($C13,Aux!$W:$W,Aux!S:S,"-",0)</f>
        <v>2</v>
      </c>
      <c r="I13" s="232">
        <f>+_xlfn.XLOOKUP($C13,Aux!$W:$W,Aux!T:T,"-",0)</f>
        <v>3</v>
      </c>
      <c r="J13" s="232">
        <f>+_xlfn.XLOOKUP($C13,Aux!$W:$W,Aux!U:U,"-",0)</f>
        <v>9</v>
      </c>
      <c r="K13" s="233">
        <f>+_xlfn.XLOOKUP($C13,Aux!$W:$W,Aux!V:V,"-",0)</f>
        <v>6</v>
      </c>
    </row>
    <row r="14" spans="1:31" x14ac:dyDescent="0.2">
      <c r="A14" s="406">
        <v>13</v>
      </c>
      <c r="B14" s="392" t="s">
        <v>296</v>
      </c>
      <c r="C14" s="231">
        <f>+LARGE(Aux!$W$4:$W$51,A14)</f>
        <v>208.02090000062501</v>
      </c>
      <c r="D14" s="230" t="str">
        <f>+_xlfn.XLOOKUP($C14,Aux!$W:$W,Aux!H:H,"-",0)</f>
        <v>Estados Unidos</v>
      </c>
      <c r="E14" s="232">
        <f t="shared" si="0"/>
        <v>8</v>
      </c>
      <c r="F14" s="232">
        <f>+_xlfn.XLOOKUP($C14,Aux!$W:$W,Aux!Q:Q,"-",0)</f>
        <v>2</v>
      </c>
      <c r="G14" s="232">
        <f>+_xlfn.XLOOKUP($C14,Aux!$W:$W,Aux!R:R,"-",0)</f>
        <v>2</v>
      </c>
      <c r="H14" s="232">
        <f>+_xlfn.XLOOKUP($C14,Aux!$W:$W,Aux!S:S,"-",0)</f>
        <v>1</v>
      </c>
      <c r="I14" s="232">
        <f>+_xlfn.XLOOKUP($C14,Aux!$W:$W,Aux!T:T,"-",0)</f>
        <v>2</v>
      </c>
      <c r="J14" s="232">
        <f>+_xlfn.XLOOKUP($C14,Aux!$W:$W,Aux!U:U,"-",0)</f>
        <v>9</v>
      </c>
      <c r="K14" s="233">
        <f>+_xlfn.XLOOKUP($C14,Aux!$W:$W,Aux!V:V,"-",0)</f>
        <v>7</v>
      </c>
    </row>
    <row r="15" spans="1:31" x14ac:dyDescent="0.2">
      <c r="A15" s="406">
        <v>14</v>
      </c>
      <c r="B15" s="392" t="s">
        <v>296</v>
      </c>
      <c r="C15" s="231">
        <f>+LARGE(Aux!$W$4:$W$51,A15)</f>
        <v>208.00080000045455</v>
      </c>
      <c r="D15" s="230" t="str">
        <f>+_xlfn.XLOOKUP($C15,Aux!$W:$W,Aux!H:H,"-",0)</f>
        <v>Turquia</v>
      </c>
      <c r="E15" s="232">
        <f t="shared" si="0"/>
        <v>8</v>
      </c>
      <c r="F15" s="232">
        <f>+_xlfn.XLOOKUP($C15,Aux!$W:$W,Aux!Q:Q,"-",0)</f>
        <v>2</v>
      </c>
      <c r="G15" s="232">
        <f>+_xlfn.XLOOKUP($C15,Aux!$W:$W,Aux!R:R,"-",0)</f>
        <v>2</v>
      </c>
      <c r="H15" s="232">
        <f>+_xlfn.XLOOKUP($C15,Aux!$W:$W,Aux!S:S,"-",0)</f>
        <v>1</v>
      </c>
      <c r="I15" s="232">
        <f>+_xlfn.XLOOKUP($C15,Aux!$W:$W,Aux!T:T,"-",0)</f>
        <v>0</v>
      </c>
      <c r="J15" s="232">
        <f>+_xlfn.XLOOKUP($C15,Aux!$W:$W,Aux!U:U,"-",0)</f>
        <v>8</v>
      </c>
      <c r="K15" s="233">
        <f>+_xlfn.XLOOKUP($C15,Aux!$W:$W,Aux!V:V,"-",0)</f>
        <v>8</v>
      </c>
    </row>
    <row r="16" spans="1:31" x14ac:dyDescent="0.2">
      <c r="A16" s="406">
        <v>15</v>
      </c>
      <c r="B16" s="392" t="s">
        <v>296</v>
      </c>
      <c r="C16" s="231">
        <f>+LARGE(Aux!$W$4:$W$51,A16)</f>
        <v>207.0209000003226</v>
      </c>
      <c r="D16" s="230" t="str">
        <f>+_xlfn.XLOOKUP($C16,Aux!$W:$W,Aux!H:H,"-",0)</f>
        <v>Noruega</v>
      </c>
      <c r="E16" s="232">
        <f t="shared" si="0"/>
        <v>7</v>
      </c>
      <c r="F16" s="232">
        <f>+_xlfn.XLOOKUP($C16,Aux!$W:$W,Aux!Q:Q,"-",0)</f>
        <v>2</v>
      </c>
      <c r="G16" s="232">
        <f>+_xlfn.XLOOKUP($C16,Aux!$W:$W,Aux!R:R,"-",0)</f>
        <v>1</v>
      </c>
      <c r="H16" s="232">
        <f>+_xlfn.XLOOKUP($C16,Aux!$W:$W,Aux!S:S,"-",0)</f>
        <v>2</v>
      </c>
      <c r="I16" s="232">
        <f>+_xlfn.XLOOKUP($C16,Aux!$W:$W,Aux!T:T,"-",0)</f>
        <v>2</v>
      </c>
      <c r="J16" s="232">
        <f>+_xlfn.XLOOKUP($C16,Aux!$W:$W,Aux!U:U,"-",0)</f>
        <v>9</v>
      </c>
      <c r="K16" s="233">
        <f>+_xlfn.XLOOKUP($C16,Aux!$W:$W,Aux!V:V,"-",0)</f>
        <v>7</v>
      </c>
    </row>
    <row r="17" spans="1:11" x14ac:dyDescent="0.2">
      <c r="A17" s="407">
        <v>16</v>
      </c>
      <c r="B17" s="393" t="s">
        <v>296</v>
      </c>
      <c r="C17" s="235">
        <f>+LARGE(Aux!$W$4:$W$51,A17)</f>
        <v>206.99070000040001</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107.03060000125001</v>
      </c>
      <c r="D18" s="210" t="str">
        <f>+_xlfn.XLOOKUP($C18,Aux!$W:$W,Aux!H:H,"-",0)</f>
        <v>Marruecos</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
      <c r="A19" s="408">
        <v>18</v>
      </c>
      <c r="B19" s="394" t="s">
        <v>297</v>
      </c>
      <c r="C19" s="212">
        <f>+LARGE(Aux!$W$4:$W$51,A19)</f>
        <v>107.02050000058823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2</v>
      </c>
      <c r="J19" s="213">
        <f>+_xlfn.XLOOKUP($C19,Aux!$W:$W,Aux!U:U,"-",0)</f>
        <v>5</v>
      </c>
      <c r="K19" s="197">
        <f>+_xlfn.XLOOKUP($C19,Aux!$W:$W,Aux!V:V,"-",0)</f>
        <v>3</v>
      </c>
    </row>
    <row r="20" spans="1:11" x14ac:dyDescent="0.2">
      <c r="A20" s="408">
        <v>19</v>
      </c>
      <c r="B20" s="394" t="s">
        <v>297</v>
      </c>
      <c r="C20" s="212">
        <f>+LARGE(Aux!$W$4:$W$51,A20)</f>
        <v>106.0005000009091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106.00050000055556</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5</v>
      </c>
      <c r="K21" s="197">
        <f>+_xlfn.XLOOKUP($C21,Aux!$W:$W,Aux!V:V,"-",0)</f>
        <v>5</v>
      </c>
    </row>
    <row r="22" spans="1:11" x14ac:dyDescent="0.2">
      <c r="A22" s="408">
        <v>21</v>
      </c>
      <c r="B22" s="394" t="s">
        <v>297</v>
      </c>
      <c r="C22" s="212">
        <f>+LARGE(Aux!$W$4:$W$51,A22)</f>
        <v>105.98040000041667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-2</v>
      </c>
      <c r="J22" s="213">
        <f>+_xlfn.XLOOKUP($C22,Aux!$W:$W,Aux!U:U,"-",0)</f>
        <v>4</v>
      </c>
      <c r="K22" s="197">
        <f>+_xlfn.XLOOKUP($C22,Aux!$W:$W,Aux!V:V,"-",0)</f>
        <v>6</v>
      </c>
    </row>
    <row r="23" spans="1:11" x14ac:dyDescent="0.2">
      <c r="A23" s="408">
        <v>22</v>
      </c>
      <c r="B23" s="394" t="s">
        <v>297</v>
      </c>
      <c r="C23" s="212">
        <f>+LARGE(Aux!$W$4:$W$51,A23)</f>
        <v>105.02050000043478</v>
      </c>
      <c r="D23" s="210" t="str">
        <f>+_xlfn.XLOOKUP($C23,Aux!$W:$W,Aux!H:H,"-",0)</f>
        <v>Ecuador</v>
      </c>
      <c r="E23" s="213">
        <f t="shared" si="0"/>
        <v>5</v>
      </c>
      <c r="F23" s="213">
        <f>+_xlfn.XLOOKUP($C23,Aux!$W:$W,Aux!Q:Q,"-",0)</f>
        <v>1</v>
      </c>
      <c r="G23" s="213">
        <f>+_xlfn.XLOOKUP($C23,Aux!$W:$W,Aux!R:R,"-",0)</f>
        <v>2</v>
      </c>
      <c r="H23" s="213">
        <f>+_xlfn.XLOOKUP($C23,Aux!$W:$W,Aux!S:S,"-",0)</f>
        <v>1</v>
      </c>
      <c r="I23" s="213">
        <f>+_xlfn.XLOOKUP($C23,Aux!$W:$W,Aux!T:T,"-",0)</f>
        <v>2</v>
      </c>
      <c r="J23" s="213">
        <f>+_xlfn.XLOOKUP($C23,Aux!$W:$W,Aux!U:U,"-",0)</f>
        <v>5</v>
      </c>
      <c r="K23" s="197">
        <f>+_xlfn.XLOOKUP($C23,Aux!$W:$W,Aux!V:V,"-",0)</f>
        <v>3</v>
      </c>
    </row>
    <row r="24" spans="1:11" x14ac:dyDescent="0.2">
      <c r="A24" s="408">
        <v>23</v>
      </c>
      <c r="B24" s="394" t="s">
        <v>297</v>
      </c>
      <c r="C24" s="212">
        <f>+LARGE(Aux!$W$4:$W$51,A24)</f>
        <v>105.00050000034483</v>
      </c>
      <c r="D24" s="210" t="str">
        <f>+_xlfn.XLOOKUP($C24,Aux!$W:$W,Aux!H:H,"-",0)</f>
        <v>Egipto</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
      <c r="A25" s="408">
        <v>24</v>
      </c>
      <c r="B25" s="394" t="s">
        <v>297</v>
      </c>
      <c r="C25" s="212">
        <f>+LARGE(Aux!$W$4:$W$51,A25)</f>
        <v>105.00030000024999</v>
      </c>
      <c r="D25" s="210" t="str">
        <f>+_xlfn.XLOOKUP($C25,Aux!$W:$W,Aux!H:H,"-",0)</f>
        <v>Paraguay</v>
      </c>
      <c r="E25" s="213">
        <f t="shared" si="0"/>
        <v>5</v>
      </c>
      <c r="F25" s="213">
        <f>+_xlfn.XLOOKUP($C25,Aux!$W:$W,Aux!Q:Q,"-",0)</f>
        <v>1</v>
      </c>
      <c r="G25" s="213">
        <f>+_xlfn.XLOOKUP($C25,Aux!$W:$W,Aux!R:R,"-",0)</f>
        <v>2</v>
      </c>
      <c r="H25" s="213">
        <f>+_xlfn.XLOOKUP($C25,Aux!$W:$W,Aux!S:S,"-",0)</f>
        <v>1</v>
      </c>
      <c r="I25" s="213">
        <f>+_xlfn.XLOOKUP($C25,Aux!$W:$W,Aux!T:T,"-",0)</f>
        <v>0</v>
      </c>
      <c r="J25" s="213">
        <f>+_xlfn.XLOOKUP($C25,Aux!$W:$W,Aux!U:U,"-",0)</f>
        <v>3</v>
      </c>
      <c r="K25" s="197">
        <f>+_xlfn.XLOOKUP($C25,Aux!$W:$W,Aux!V:V,"-",0)</f>
        <v>3</v>
      </c>
    </row>
    <row r="26" spans="1:11" x14ac:dyDescent="0.2">
      <c r="A26" s="408">
        <v>25</v>
      </c>
      <c r="B26" s="394" t="s">
        <v>297</v>
      </c>
      <c r="C26" s="212">
        <f>+LARGE(Aux!$W$4:$W$51,A26)</f>
        <v>104.00050000033333</v>
      </c>
      <c r="D26" s="210" t="str">
        <f>+_xlfn.XLOOKUP($C26,Aux!$W:$W,Aux!H:H,"-",0)</f>
        <v>Canada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
      <c r="A27" s="408">
        <v>26</v>
      </c>
      <c r="B27" s="394" t="s">
        <v>297</v>
      </c>
      <c r="C27" s="212">
        <f>+LARGE(Aux!$W$4:$W$51,A27)</f>
        <v>103.99050000029412</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
      <c r="A28" s="408">
        <v>27</v>
      </c>
      <c r="B28" s="394" t="s">
        <v>297</v>
      </c>
      <c r="C28" s="212">
        <f>+LARGE(Aux!$W$4:$W$51,A28)</f>
        <v>103.98040000015385</v>
      </c>
      <c r="D28" s="210" t="str">
        <f>+_xlfn.XLOOKUP($C28,Aux!$W:$W,Aux!H:H,"-",0)</f>
        <v>Bosnia</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x14ac:dyDescent="0.2">
      <c r="A29" s="408">
        <v>28</v>
      </c>
      <c r="B29" s="394" t="s">
        <v>297</v>
      </c>
      <c r="C29" s="212">
        <f>+LARGE(Aux!$W$4:$W$51,A29)</f>
        <v>103.9802000004762</v>
      </c>
      <c r="D29" s="210" t="str">
        <f>+_xlfn.XLOOKUP($C29,Aux!$W:$W,Aux!H:H,"-",0)</f>
        <v>Iran</v>
      </c>
      <c r="E29" s="213">
        <f t="shared" si="0"/>
        <v>4</v>
      </c>
      <c r="F29" s="213">
        <f>+_xlfn.XLOOKUP($C29,Aux!$W:$W,Aux!Q:Q,"-",0)</f>
        <v>1</v>
      </c>
      <c r="G29" s="213">
        <f>+_xlfn.XLOOKUP($C29,Aux!$W:$W,Aux!R:R,"-",0)</f>
        <v>1</v>
      </c>
      <c r="H29" s="213">
        <f>+_xlfn.XLOOKUP($C29,Aux!$W:$W,Aux!S:S,"-",0)</f>
        <v>2</v>
      </c>
      <c r="I29" s="213">
        <f>+_xlfn.XLOOKUP($C29,Aux!$W:$W,Aux!T:T,"-",0)</f>
        <v>-2</v>
      </c>
      <c r="J29" s="213">
        <f>+_xlfn.XLOOKUP($C29,Aux!$W:$W,Aux!U:U,"-",0)</f>
        <v>2</v>
      </c>
      <c r="K29" s="197">
        <f>+_xlfn.XLOOKUP($C29,Aux!$W:$W,Aux!V:V,"-",0)</f>
        <v>4</v>
      </c>
    </row>
    <row r="30" spans="1:11" x14ac:dyDescent="0.2">
      <c r="A30" s="408">
        <v>29</v>
      </c>
      <c r="B30" s="394" t="s">
        <v>297</v>
      </c>
      <c r="C30" s="212">
        <f>+LARGE(Aux!$W$4:$W$51,A30)</f>
        <v>103.97050000071428</v>
      </c>
      <c r="D30" s="210" t="str">
        <f>+_xlfn.XLOOKUP($C30,Aux!$W:$W,Aux!H:H,"-",0)</f>
        <v>Senegal</v>
      </c>
      <c r="E30" s="213">
        <f t="shared" si="0"/>
        <v>4</v>
      </c>
      <c r="F30" s="213">
        <f>+_xlfn.XLOOKUP($C30,Aux!$W:$W,Aux!Q:Q,"-",0)</f>
        <v>1</v>
      </c>
      <c r="G30" s="213">
        <f>+_xlfn.XLOOKUP($C30,Aux!$W:$W,Aux!R:R,"-",0)</f>
        <v>1</v>
      </c>
      <c r="H30" s="213">
        <f>+_xlfn.XLOOKUP($C30,Aux!$W:$W,Aux!S:S,"-",0)</f>
        <v>2</v>
      </c>
      <c r="I30" s="213">
        <f>+_xlfn.XLOOKUP($C30,Aux!$W:$W,Aux!T:T,"-",0)</f>
        <v>-3</v>
      </c>
      <c r="J30" s="213">
        <f>+_xlfn.XLOOKUP($C30,Aux!$W:$W,Aux!U:U,"-",0)</f>
        <v>5</v>
      </c>
      <c r="K30" s="197">
        <f>+_xlfn.XLOOKUP($C30,Aux!$W:$W,Aux!V:V,"-",0)</f>
        <v>8</v>
      </c>
    </row>
    <row r="31" spans="1:11" x14ac:dyDescent="0.2">
      <c r="A31" s="408">
        <v>30</v>
      </c>
      <c r="B31" s="394" t="s">
        <v>297</v>
      </c>
      <c r="C31" s="212">
        <f>+LARGE(Aux!$W$4:$W$51,A31)</f>
        <v>102.99040000024389</v>
      </c>
      <c r="D31" s="210" t="str">
        <f>+_xlfn.XLOOKUP($C31,Aux!$W:$W,Aux!H:H,"-",0)</f>
        <v>Repubilca Checa</v>
      </c>
      <c r="E31" s="213">
        <f t="shared" si="0"/>
        <v>3</v>
      </c>
      <c r="F31" s="213">
        <f>+_xlfn.XLOOKUP($C31,Aux!$W:$W,Aux!Q:Q,"-",0)</f>
        <v>0</v>
      </c>
      <c r="G31" s="213">
        <f>+_xlfn.XLOOKUP($C31,Aux!$W:$W,Aux!R:R,"-",0)</f>
        <v>3</v>
      </c>
      <c r="H31" s="213">
        <f>+_xlfn.XLOOKUP($C31,Aux!$W:$W,Aux!S:S,"-",0)</f>
        <v>1</v>
      </c>
      <c r="I31" s="213">
        <f>+_xlfn.XLOOKUP($C31,Aux!$W:$W,Aux!T:T,"-",0)</f>
        <v>-1</v>
      </c>
      <c r="J31" s="213">
        <f>+_xlfn.XLOOKUP($C31,Aux!$W:$W,Aux!U:U,"-",0)</f>
        <v>4</v>
      </c>
      <c r="K31" s="197">
        <f>+_xlfn.XLOOKUP($C31,Aux!$W:$W,Aux!V:V,"-",0)</f>
        <v>5</v>
      </c>
    </row>
    <row r="32" spans="1:11" x14ac:dyDescent="0.2">
      <c r="A32" s="408">
        <v>31</v>
      </c>
      <c r="B32" s="394" t="s">
        <v>297</v>
      </c>
      <c r="C32" s="212">
        <f>+LARGE(Aux!$W$4:$W$51,A32)</f>
        <v>102.96050000030303</v>
      </c>
      <c r="D32" s="210" t="str">
        <f>+_xlfn.XLOOKUP($C32,Aux!$W:$W,Aux!H:H,"-",0)</f>
        <v>Panama</v>
      </c>
      <c r="E32" s="213">
        <f t="shared" si="0"/>
        <v>3</v>
      </c>
      <c r="F32" s="213">
        <f>+_xlfn.XLOOKUP($C32,Aux!$W:$W,Aux!Q:Q,"-",0)</f>
        <v>1</v>
      </c>
      <c r="G32" s="213">
        <f>+_xlfn.XLOOKUP($C32,Aux!$W:$W,Aux!R:R,"-",0)</f>
        <v>0</v>
      </c>
      <c r="H32" s="213">
        <f>+_xlfn.XLOOKUP($C32,Aux!$W:$W,Aux!S:S,"-",0)</f>
        <v>3</v>
      </c>
      <c r="I32" s="213">
        <f>+_xlfn.XLOOKUP($C32,Aux!$W:$W,Aux!T:T,"-",0)</f>
        <v>-4</v>
      </c>
      <c r="J32" s="213">
        <f>+_xlfn.XLOOKUP($C32,Aux!$W:$W,Aux!U:U,"-",0)</f>
        <v>5</v>
      </c>
      <c r="K32" s="197">
        <f>+_xlfn.XLOOKUP($C32,Aux!$W:$W,Aux!V:V,"-",0)</f>
        <v>9</v>
      </c>
    </row>
    <row r="33" spans="1:11" x14ac:dyDescent="0.2">
      <c r="A33" s="409">
        <v>32</v>
      </c>
      <c r="B33" s="395" t="s">
        <v>297</v>
      </c>
      <c r="C33" s="215">
        <f>+LARGE(Aux!$W$4:$W$51,A33)</f>
        <v>102.96040000016393</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-4</v>
      </c>
      <c r="J33" s="216">
        <f>+_xlfn.XLOOKUP($C33,Aux!$W:$W,Aux!U:U,"-",0)</f>
        <v>4</v>
      </c>
      <c r="K33" s="217">
        <f>+_xlfn.XLOOKUP($C33,Aux!$W:$W,Aux!V:V,"-",0)</f>
        <v>8</v>
      </c>
    </row>
    <row r="34" spans="1:11" x14ac:dyDescent="0.2">
      <c r="A34" s="410">
        <v>33</v>
      </c>
      <c r="B34" s="396" t="s">
        <v>298</v>
      </c>
      <c r="C34" s="219">
        <f>+LARGE(Aux!$W$4:$W$51,A34)</f>
        <v>2.9803000002325581</v>
      </c>
      <c r="D34" s="218" t="str">
        <f>+_xlfn.XLOOKUP($C34,Aux!$W:$W,Aux!H:H,"-",0)</f>
        <v>Escocia</v>
      </c>
      <c r="E34" s="220">
        <f t="shared" si="0"/>
        <v>3</v>
      </c>
      <c r="F34" s="220">
        <f>+_xlfn.XLOOKUP($C34,Aux!$W:$W,Aux!Q:Q,"-",0)</f>
        <v>1</v>
      </c>
      <c r="G34" s="220">
        <f>+_xlfn.XLOOKUP($C34,Aux!$W:$W,Aux!R:R,"-",0)</f>
        <v>0</v>
      </c>
      <c r="H34" s="220">
        <f>+_xlfn.XLOOKUP($C34,Aux!$W:$W,Aux!S:S,"-",0)</f>
        <v>2</v>
      </c>
      <c r="I34" s="220">
        <f>+_xlfn.XLOOKUP($C34,Aux!$W:$W,Aux!T:T,"-",0)</f>
        <v>-2</v>
      </c>
      <c r="J34" s="220">
        <f>+_xlfn.XLOOKUP($C34,Aux!$W:$W,Aux!U:U,"-",0)</f>
        <v>3</v>
      </c>
      <c r="K34" s="221">
        <f>+_xlfn.XLOOKUP($C34,Aux!$W:$W,Aux!V:V,"-",0)</f>
        <v>5</v>
      </c>
    </row>
    <row r="35" spans="1:11" x14ac:dyDescent="0.2">
      <c r="A35" s="410">
        <v>34</v>
      </c>
      <c r="B35" s="396" t="s">
        <v>298</v>
      </c>
      <c r="C35" s="219">
        <f>+LARGE(Aux!$W$4:$W$51,A35)</f>
        <v>0.98030000026315789</v>
      </c>
      <c r="D35" s="218" t="str">
        <f>+_xlfn.XLOOKUP($C35,Aux!$W:$W,Aux!H:H,"-",0)</f>
        <v>Suecia</v>
      </c>
      <c r="E35" s="220">
        <f t="shared" si="0"/>
        <v>1</v>
      </c>
      <c r="F35" s="220">
        <f>+_xlfn.XLOOKUP($C35,Aux!$W:$W,Aux!Q:Q,"-",0)</f>
        <v>0</v>
      </c>
      <c r="G35" s="220">
        <f>+_xlfn.XLOOKUP($C35,Aux!$W:$W,Aux!R:R,"-",0)</f>
        <v>1</v>
      </c>
      <c r="H35" s="220">
        <f>+_xlfn.XLOOKUP($C35,Aux!$W:$W,Aux!S:S,"-",0)</f>
        <v>2</v>
      </c>
      <c r="I35" s="220">
        <f>+_xlfn.XLOOKUP($C35,Aux!$W:$W,Aux!T:T,"-",0)</f>
        <v>-2</v>
      </c>
      <c r="J35" s="220">
        <f>+_xlfn.XLOOKUP($C35,Aux!$W:$W,Aux!U:U,"-",0)</f>
        <v>3</v>
      </c>
      <c r="K35" s="221">
        <f>+_xlfn.XLOOKUP($C35,Aux!$W:$W,Aux!V:V,"-",0)</f>
        <v>5</v>
      </c>
    </row>
    <row r="36" spans="1:11" x14ac:dyDescent="0.2">
      <c r="A36" s="410">
        <v>35</v>
      </c>
      <c r="B36" s="396" t="s">
        <v>298</v>
      </c>
      <c r="C36" s="219">
        <f>+LARGE(Aux!$W$4:$W$51,A36)</f>
        <v>0.97020000016666663</v>
      </c>
      <c r="D36" s="218" t="str">
        <f>+_xlfn.XLOOKUP($C36,Aux!$W:$W,Aux!H:H,"-",0)</f>
        <v>Sudafrica</v>
      </c>
      <c r="E36" s="220">
        <f t="shared" si="0"/>
        <v>1</v>
      </c>
      <c r="F36" s="220">
        <f>+_xlfn.XLOOKUP($C36,Aux!$W:$W,Aux!Q:Q,"-",0)</f>
        <v>0</v>
      </c>
      <c r="G36" s="220">
        <f>+_xlfn.XLOOKUP($C36,Aux!$W:$W,Aux!R:R,"-",0)</f>
        <v>1</v>
      </c>
      <c r="H36" s="220">
        <f>+_xlfn.XLOOKUP($C36,Aux!$W:$W,Aux!S:S,"-",0)</f>
        <v>2</v>
      </c>
      <c r="I36" s="220">
        <f>+_xlfn.XLOOKUP($C36,Aux!$W:$W,Aux!T:T,"-",0)</f>
        <v>-3</v>
      </c>
      <c r="J36" s="220">
        <f>+_xlfn.XLOOKUP($C36,Aux!$W:$W,Aux!U:U,"-",0)</f>
        <v>2</v>
      </c>
      <c r="K36" s="221">
        <f>+_xlfn.XLOOKUP($C36,Aux!$W:$W,Aux!V:V,"-",0)</f>
        <v>5</v>
      </c>
    </row>
    <row r="37" spans="1:11" x14ac:dyDescent="0.2">
      <c r="A37" s="410">
        <v>36</v>
      </c>
      <c r="B37" s="396" t="s">
        <v>298</v>
      </c>
      <c r="C37" s="219">
        <f>+LARGE(Aux!$W$4:$W$51,A37)</f>
        <v>0.96020000019999996</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-4</v>
      </c>
      <c r="J37" s="220">
        <f>+_xlfn.XLOOKUP($C37,Aux!$W:$W,Aux!U:U,"-",0)</f>
        <v>2</v>
      </c>
      <c r="K37" s="221">
        <f>+_xlfn.XLOOKUP($C37,Aux!$W:$W,Aux!V:V,"-",0)</f>
        <v>6</v>
      </c>
    </row>
    <row r="38" spans="1:11" x14ac:dyDescent="0.2">
      <c r="A38" s="410">
        <v>37</v>
      </c>
      <c r="B38" s="396" t="s">
        <v>298</v>
      </c>
      <c r="C38" s="219">
        <f>+LARGE(Aux!$W$4:$W$51,A38)</f>
        <v>0.96020000015873008</v>
      </c>
      <c r="D38" s="218" t="str">
        <f>+_xlfn.XLOOKUP($C38,Aux!$W:$W,Aux!H:H,"-",0)</f>
        <v>Jordania</v>
      </c>
      <c r="E38" s="220">
        <f t="shared" si="0"/>
        <v>1</v>
      </c>
      <c r="F38" s="220">
        <f>+_xlfn.XLOOKUP($C38,Aux!$W:$W,Aux!Q:Q,"-",0)</f>
        <v>0</v>
      </c>
      <c r="G38" s="220">
        <f>+_xlfn.XLOOKUP($C38,Aux!$W:$W,Aux!R:R,"-",0)</f>
        <v>1</v>
      </c>
      <c r="H38" s="220">
        <f>+_xlfn.XLOOKUP($C38,Aux!$W:$W,Aux!S:S,"-",0)</f>
        <v>2</v>
      </c>
      <c r="I38" s="220">
        <f>+_xlfn.XLOOKUP($C38,Aux!$W:$W,Aux!T:T,"-",0)</f>
        <v>-4</v>
      </c>
      <c r="J38" s="220">
        <f>+_xlfn.XLOOKUP($C38,Aux!$W:$W,Aux!U:U,"-",0)</f>
        <v>2</v>
      </c>
      <c r="K38" s="221">
        <f>+_xlfn.XLOOKUP($C38,Aux!$W:$W,Aux!V:V,"-",0)</f>
        <v>6</v>
      </c>
    </row>
    <row r="39" spans="1:11" x14ac:dyDescent="0.2">
      <c r="A39" s="410">
        <v>38</v>
      </c>
      <c r="B39" s="396" t="s">
        <v>298</v>
      </c>
      <c r="C39" s="219">
        <f>+LARGE(Aux!$W$4:$W$51,A39)</f>
        <v>0.96010000022727271</v>
      </c>
      <c r="D39" s="218" t="str">
        <f>+_xlfn.XLOOKUP($C39,Aux!$W:$W,Aux!H:H,"-",0)</f>
        <v>Tunez</v>
      </c>
      <c r="E39" s="220">
        <f t="shared" si="0"/>
        <v>1</v>
      </c>
      <c r="F39" s="220">
        <f>+_xlfn.XLOOKUP($C39,Aux!$W:$W,Aux!Q:Q,"-",0)</f>
        <v>0</v>
      </c>
      <c r="G39" s="220">
        <f>+_xlfn.XLOOKUP($C39,Aux!$W:$W,Aux!R:R,"-",0)</f>
        <v>1</v>
      </c>
      <c r="H39" s="220">
        <f>+_xlfn.XLOOKUP($C39,Aux!$W:$W,Aux!S:S,"-",0)</f>
        <v>2</v>
      </c>
      <c r="I39" s="220">
        <f>+_xlfn.XLOOKUP($C39,Aux!$W:$W,Aux!T:T,"-",0)</f>
        <v>-4</v>
      </c>
      <c r="J39" s="220">
        <f>+_xlfn.XLOOKUP($C39,Aux!$W:$W,Aux!U:U,"-",0)</f>
        <v>1</v>
      </c>
      <c r="K39" s="221">
        <f>+_xlfn.XLOOKUP($C39,Aux!$W:$W,Aux!V:V,"-",0)</f>
        <v>5</v>
      </c>
    </row>
    <row r="40" spans="1:11" x14ac:dyDescent="0.2">
      <c r="A40" s="410">
        <v>39</v>
      </c>
      <c r="B40" s="396" t="s">
        <v>298</v>
      </c>
      <c r="C40" s="219">
        <f>+LARGE(Aux!$W$4:$W$51,A40)</f>
        <v>0.96010000021739128</v>
      </c>
      <c r="D40" s="218" t="str">
        <f>+_xlfn.XLOOKUP($C40,Aux!$W:$W,Aux!H:H,"-",0)</f>
        <v>Congo</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0.9502000003571428</v>
      </c>
      <c r="D41" s="218" t="str">
        <f>+_xlfn.XLOOKUP($C41,Aux!$W:$W,Aux!H:H,"-",0)</f>
        <v>Argelia</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
      <c r="A42" s="410">
        <v>41</v>
      </c>
      <c r="B42" s="396" t="s">
        <v>298</v>
      </c>
      <c r="C42" s="219">
        <f>+LARGE(Aux!$W$4:$W$51,A42)</f>
        <v>-2.9799999864864864E-2</v>
      </c>
      <c r="D42" s="218" t="str">
        <f>+_xlfn.XLOOKUP($C42,Aux!$W:$W,Aux!H:H,"-",0)</f>
        <v>Ghana</v>
      </c>
      <c r="E42" s="220">
        <f t="shared" si="0"/>
        <v>0</v>
      </c>
      <c r="F42" s="220">
        <f>+_xlfn.XLOOKUP($C42,Aux!$W:$W,Aux!Q:Q,"-",0)</f>
        <v>0</v>
      </c>
      <c r="G42" s="220">
        <f>+_xlfn.XLOOKUP($C42,Aux!$W:$W,Aux!R:R,"-",0)</f>
        <v>0</v>
      </c>
      <c r="H42" s="220">
        <f>+_xlfn.XLOOKUP($C42,Aux!$W:$W,Aux!S:S,"-",0)</f>
        <v>3</v>
      </c>
      <c r="I42" s="220">
        <f>+_xlfn.XLOOKUP($C42,Aux!$W:$W,Aux!T:T,"-",0)</f>
        <v>-3</v>
      </c>
      <c r="J42" s="220">
        <f>+_xlfn.XLOOKUP($C42,Aux!$W:$W,Aux!U:U,"-",0)</f>
        <v>2</v>
      </c>
      <c r="K42" s="221">
        <f>+_xlfn.XLOOKUP($C42,Aux!$W:$W,Aux!V:V,"-",0)</f>
        <v>5</v>
      </c>
    </row>
    <row r="43" spans="1:11" x14ac:dyDescent="0.2">
      <c r="A43" s="410">
        <v>42</v>
      </c>
      <c r="B43" s="396" t="s">
        <v>298</v>
      </c>
      <c r="C43" s="219">
        <f>+LARGE(Aux!$W$4:$W$51,A43)</f>
        <v>-3.9799999629629629E-2</v>
      </c>
      <c r="D43" s="218" t="str">
        <f>+_xlfn.XLOOKUP($C43,Aux!$W:$W,Aux!H:H,"-",0)</f>
        <v>Australia</v>
      </c>
      <c r="E43" s="220">
        <f t="shared" si="0"/>
        <v>0</v>
      </c>
      <c r="F43" s="220">
        <f>+_xlfn.XLOOKUP($C43,Aux!$W:$W,Aux!Q:Q,"-",0)</f>
        <v>0</v>
      </c>
      <c r="G43" s="220">
        <f>+_xlfn.XLOOKUP($C43,Aux!$W:$W,Aux!R:R,"-",0)</f>
        <v>0</v>
      </c>
      <c r="H43" s="220">
        <f>+_xlfn.XLOOKUP($C43,Aux!$W:$W,Aux!S:S,"-",0)</f>
        <v>3</v>
      </c>
      <c r="I43" s="220">
        <f>+_xlfn.XLOOKUP($C43,Aux!$W:$W,Aux!T:T,"-",0)</f>
        <v>-4</v>
      </c>
      <c r="J43" s="220">
        <f>+_xlfn.XLOOKUP($C43,Aux!$W:$W,Aux!U:U,"-",0)</f>
        <v>2</v>
      </c>
      <c r="K43" s="221">
        <f>+_xlfn.XLOOKUP($C43,Aux!$W:$W,Aux!V:V,"-",0)</f>
        <v>6</v>
      </c>
    </row>
    <row r="44" spans="1:11" x14ac:dyDescent="0.2">
      <c r="A44" s="410">
        <v>43</v>
      </c>
      <c r="B44" s="396" t="s">
        <v>298</v>
      </c>
      <c r="C44" s="219">
        <f>+LARGE(Aux!$W$4:$W$51,A44)</f>
        <v>-3.9899999882352939E-2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-4</v>
      </c>
      <c r="J44" s="220">
        <f>+_xlfn.XLOOKUP($C44,Aux!$W:$W,Aux!U:U,"-",0)</f>
        <v>1</v>
      </c>
      <c r="K44" s="221">
        <f>+_xlfn.XLOOKUP($C44,Aux!$W:$W,Aux!V:V,"-",0)</f>
        <v>5</v>
      </c>
    </row>
    <row r="45" spans="1:11" x14ac:dyDescent="0.2">
      <c r="A45" s="410">
        <v>44</v>
      </c>
      <c r="B45" s="396" t="s">
        <v>298</v>
      </c>
      <c r="C45" s="219">
        <f>+LARGE(Aux!$W$4:$W$51,A45)</f>
        <v>-4.9899999818181821E-2</v>
      </c>
      <c r="D45" s="218" t="str">
        <f>+_xlfn.XLOOKUP($C45,Aux!$W:$W,Aux!H:H,"-",0)</f>
        <v>Qatar</v>
      </c>
      <c r="E45" s="220">
        <f t="shared" si="0"/>
        <v>0</v>
      </c>
      <c r="F45" s="220">
        <f>+_xlfn.XLOOKUP($C45,Aux!$W:$W,Aux!Q:Q,"-",0)</f>
        <v>0</v>
      </c>
      <c r="G45" s="220">
        <f>+_xlfn.XLOOKUP($C45,Aux!$W:$W,Aux!R:R,"-",0)</f>
        <v>0</v>
      </c>
      <c r="H45" s="220">
        <f>+_xlfn.XLOOKUP($C45,Aux!$W:$W,Aux!S:S,"-",0)</f>
        <v>3</v>
      </c>
      <c r="I45" s="220">
        <f>+_xlfn.XLOOKUP($C45,Aux!$W:$W,Aux!T:T,"-",0)</f>
        <v>-5</v>
      </c>
      <c r="J45" s="220">
        <f>+_xlfn.XLOOKUP($C45,Aux!$W:$W,Aux!U:U,"-",0)</f>
        <v>1</v>
      </c>
      <c r="K45" s="221">
        <f>+_xlfn.XLOOKUP($C45,Aux!$W:$W,Aux!V:V,"-",0)</f>
        <v>6</v>
      </c>
    </row>
    <row r="46" spans="1:11" x14ac:dyDescent="0.2">
      <c r="A46" s="410">
        <v>45</v>
      </c>
      <c r="B46" s="396" t="s">
        <v>298</v>
      </c>
      <c r="C46" s="219">
        <f>+LARGE(Aux!$W$4:$W$51,A46)</f>
        <v>-6.989999982456141E-2</v>
      </c>
      <c r="D46" s="218" t="str">
        <f>+_xlfn.XLOOKUP($C46,Aux!$W:$W,Aux!H:H,"-",0)</f>
        <v>Irak</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
      <c r="A47" s="410">
        <v>46</v>
      </c>
      <c r="B47" s="396" t="s">
        <v>298</v>
      </c>
      <c r="C47" s="219">
        <f>+LARGE(Aux!$W$4:$W$51,A47)</f>
        <v>-6.9899999878048791E-2</v>
      </c>
      <c r="D47" s="218" t="str">
        <f>+_xlfn.XLOOKUP($C47,Aux!$W:$W,Aux!H:H,"-",0)</f>
        <v>Curazao</v>
      </c>
      <c r="E47" s="220">
        <f t="shared" si="0"/>
        <v>0</v>
      </c>
      <c r="F47" s="220">
        <f>+_xlfn.XLOOKUP($C47,Aux!$W:$W,Aux!Q:Q,"-",0)</f>
        <v>0</v>
      </c>
      <c r="G47" s="220">
        <f>+_xlfn.XLOOKUP($C47,Aux!$W:$W,Aux!R:R,"-",0)</f>
        <v>0</v>
      </c>
      <c r="H47" s="220">
        <f>+_xlfn.XLOOKUP($C47,Aux!$W:$W,Aux!S:S,"-",0)</f>
        <v>3</v>
      </c>
      <c r="I47" s="220">
        <f>+_xlfn.XLOOKUP($C47,Aux!$W:$W,Aux!T:T,"-",0)</f>
        <v>-7</v>
      </c>
      <c r="J47" s="220">
        <f>+_xlfn.XLOOKUP($C47,Aux!$W:$W,Aux!U:U,"-",0)</f>
        <v>1</v>
      </c>
      <c r="K47" s="221">
        <f>+_xlfn.XLOOKUP($C47,Aux!$W:$W,Aux!V:V,"-",0)</f>
        <v>8</v>
      </c>
    </row>
    <row r="48" spans="1:11" x14ac:dyDescent="0.2">
      <c r="A48" s="410">
        <v>47</v>
      </c>
      <c r="B48" s="396" t="s">
        <v>298</v>
      </c>
      <c r="C48" s="219">
        <f>+LARGE(Aux!$W$4:$W$51,A48)</f>
        <v>-6.9899999879518074E-2</v>
      </c>
      <c r="D48" s="218" t="str">
        <f>+_xlfn.XLOOKUP($C48,Aux!$W:$W,Aux!H:H,"-",0)</f>
        <v>Haiti</v>
      </c>
      <c r="E48" s="220">
        <f t="shared" si="0"/>
        <v>0</v>
      </c>
      <c r="F48" s="220">
        <f>+_xlfn.XLOOKUP($C48,Aux!$W:$W,Aux!Q:Q,"-",0)</f>
        <v>0</v>
      </c>
      <c r="G48" s="220">
        <f>+_xlfn.XLOOKUP($C48,Aux!$W:$W,Aux!R:R,"-",0)</f>
        <v>0</v>
      </c>
      <c r="H48" s="220">
        <f>+_xlfn.XLOOKUP($C48,Aux!$W:$W,Aux!S:S,"-",0)</f>
        <v>3</v>
      </c>
      <c r="I48" s="220">
        <f>+_xlfn.XLOOKUP($C48,Aux!$W:$W,Aux!T:T,"-",0)</f>
        <v>-7</v>
      </c>
      <c r="J48" s="220">
        <f>+_xlfn.XLOOKUP($C48,Aux!$W:$W,Aux!U:U,"-",0)</f>
        <v>1</v>
      </c>
      <c r="K48" s="221">
        <f>+_xlfn.XLOOKUP($C48,Aux!$W:$W,Aux!V:V,"-",0)</f>
        <v>8</v>
      </c>
    </row>
    <row r="49" spans="1:11" x14ac:dyDescent="0.2">
      <c r="A49" s="411">
        <v>48</v>
      </c>
      <c r="B49" s="397" t="s">
        <v>298</v>
      </c>
      <c r="C49" s="223">
        <f>+LARGE(Aux!$W$4:$W$51,A49)</f>
        <v>-7.9899999855072457E-2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Croacia</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Argentina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1</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3</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1</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0</v>
      </c>
      <c r="D69" s="142">
        <f>+'Groups Stage'!G70</f>
        <v>0</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2</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1</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2</v>
      </c>
      <c r="E102" s="142" t="str">
        <f>+'Groups Stage'!H103</f>
        <v>Panama</v>
      </c>
      <c r="I102" s="278" t="str">
        <f t="shared" si="4"/>
        <v>Panama</v>
      </c>
      <c r="J102" s="278" t="str">
        <f t="shared" si="5"/>
        <v/>
      </c>
      <c r="K102" s="278" t="str">
        <f t="shared" si="6"/>
        <v/>
      </c>
      <c r="L102" s="278" t="str">
        <f t="shared" si="7"/>
        <v>Ghana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Arabia Saudita</v>
      </c>
      <c r="I111" s="283" t="str">
        <f t="shared" si="8"/>
        <v>Francia</v>
      </c>
      <c r="J111" s="283" t="str">
        <f t="shared" si="9"/>
        <v/>
      </c>
      <c r="K111" s="283" t="str">
        <f t="shared" si="10"/>
        <v/>
      </c>
      <c r="L111" s="283" t="str">
        <f t="shared" si="11"/>
        <v>Arabia Saudita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Panama</v>
      </c>
      <c r="I121" s="283" t="str">
        <f t="shared" si="8"/>
        <v>Portugal</v>
      </c>
      <c r="J121" s="283" t="str">
        <f t="shared" si="9"/>
        <v/>
      </c>
      <c r="K121" s="283" t="str">
        <f t="shared" si="10"/>
        <v/>
      </c>
      <c r="L121" s="283" t="str">
        <f t="shared" si="11"/>
        <v>Panama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1</v>
      </c>
      <c r="D131" s="198">
        <v>0</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
      <c r="A135" s="211" t="s">
        <v>287</v>
      </c>
      <c r="B135" s="266" t="str" cm="1">
        <f t="array" ref="B135:E135">+_xlfn.XLOOKUP($A135,'Quarter, Semis &amp; Final'!$A:$A,'Quarter, Semis &amp; Final'!B:E,"-",0)</f>
        <v>Francia</v>
      </c>
      <c r="C135" s="211">
        <v>0</v>
      </c>
      <c r="D135" s="210">
        <v>1</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Inglaterra</v>
      </c>
      <c r="C136" s="211">
        <v>0</v>
      </c>
      <c r="D136" s="210">
        <v>1</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Francia</v>
      </c>
      <c r="C137" s="267">
        <f>+'Quarter, Semis &amp; Final'!Q13</f>
        <v>3</v>
      </c>
      <c r="D137" s="272">
        <f>+'Quarter, Semis &amp; Final'!R13</f>
        <v>2</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
      <c r="A138" s="269" t="s">
        <v>279</v>
      </c>
      <c r="B138" s="270" t="str">
        <f>+'Quarter, Semis &amp; Final'!P4</f>
        <v>España</v>
      </c>
      <c r="C138" s="270">
        <f>+'Quarter, Semis &amp; Final'!Q4</f>
        <v>2</v>
      </c>
      <c r="D138" s="271">
        <f>+'Quarter, Semis &amp; Final'!R4</f>
        <v>1</v>
      </c>
      <c r="E138" s="271" t="str">
        <f>+'Quarter, Semis &amp; Final'!S4</f>
        <v>Argentina</v>
      </c>
      <c r="I138" s="284" t="str">
        <f t="shared" si="8"/>
        <v>España</v>
      </c>
      <c r="J138" s="284" t="str">
        <f t="shared" si="9"/>
        <v/>
      </c>
      <c r="K138" s="284" t="str">
        <f t="shared" si="10"/>
        <v/>
      </c>
      <c r="L138" s="284" t="str">
        <f t="shared" si="11"/>
        <v>Argentina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3H</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d</v>
      </c>
      <c r="AC2" s="6" t="s">
        <v>332</v>
      </c>
      <c r="AD2" s="6" t="str">
        <f>+_xlfn.XLOOKUP(8,$Y:$Y,Q:Q,"Error",0)</f>
        <v>E</v>
      </c>
      <c r="AE2" s="6" t="str">
        <f t="shared" ref="AE2:AK2" si="10">+_xlfn.XLOOKUP(8,$Y:$Y,R:R,"Error",0)</f>
        <v>G</v>
      </c>
      <c r="AF2" s="6" t="str">
        <f t="shared" si="10"/>
        <v>B</v>
      </c>
      <c r="AG2" s="6" t="str">
        <f t="shared" si="10"/>
        <v>D</v>
      </c>
      <c r="AH2" s="6" t="str">
        <f t="shared" si="10"/>
        <v>A</v>
      </c>
      <c r="AI2" s="6" t="str">
        <f t="shared" si="10"/>
        <v>H</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3</v>
      </c>
      <c r="AW2" s="6">
        <f>+_xlfn.XLOOKUP($AO2,'Groups Stage'!$Y:$Y,'Groups Stage'!AG:AG,"-",0)</f>
        <v>3</v>
      </c>
      <c r="AX2" s="6">
        <f>+AR2*3+AS2+AU2/100+AV2/10000</f>
        <v>3.0003000000000002</v>
      </c>
      <c r="AY2" s="19">
        <f>+AX2+ROW()/10000000000</f>
        <v>3.0003000002000002</v>
      </c>
      <c r="AZ2" s="22" t="str">
        <f>+'Groups Stage'!CX2</f>
        <v xml:space="preserve"> - </v>
      </c>
      <c r="BA2" s="19">
        <f>+AY2+IF(AZ2="IN",1/100000000,0)</f>
        <v>3.0003000002000002</v>
      </c>
      <c r="BB2" s="19"/>
      <c r="BC2" s="19">
        <f>+LARGE($AY$2:$AY$13,ROW()-1)</f>
        <v>5.0103000005</v>
      </c>
      <c r="BD2" s="20" t="str">
        <f>IF($AQ$15="DONE",_xlfn.XLOOKUP(BC2,$AY$2:$AY$13,$AP$2:$AP$13,"-",0),"--")</f>
        <v>Paraguay</v>
      </c>
      <c r="BE2">
        <f>+_xlfn.XLOOKUP(BD2,$AP$2:$AP$13,$AX$2:$AX$13,"-",0)</f>
        <v>5.0103</v>
      </c>
      <c r="BF2" s="6" t="str">
        <f t="shared" ref="BF2:BF9" si="11">+IF(COUNTIF($BE$10:$BE$13,BE2)=0,"-","x")</f>
        <v>-</v>
      </c>
      <c r="BG2" t="str">
        <f>+IF(BF2="x","Draw - Select","IN")</f>
        <v>IN</v>
      </c>
      <c r="BI2" s="19">
        <f>+LARGE($BA$2:$BA$13,ROW()-1)</f>
        <v>5.0103000005</v>
      </c>
      <c r="BJ2" s="20" t="str">
        <f>IF($AQ$15="DONE",_xlfn.XLOOKUP(BI2,$BA$2:$BA$13,$AP$2:$AP$13,"-",0),"--")</f>
        <v>Paraguay</v>
      </c>
      <c r="BK2" s="20" t="str">
        <f>IF($AQ$15="DONE",_xlfn.XLOOKUP(BI2,$BA$2:$BA$13,$AO$2:$AO$13,"-",0),"--")</f>
        <v>3D</v>
      </c>
      <c r="BL2" t="str">
        <f>+LOWER(RIGHT(BK2,1))</f>
        <v>d</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3E</v>
      </c>
      <c r="AE3" s="6" t="str">
        <f t="shared" ref="AE3:AK3" si="15">+"3"&amp;AE2</f>
        <v>3G</v>
      </c>
      <c r="AF3" s="6" t="str">
        <f t="shared" si="15"/>
        <v>3B</v>
      </c>
      <c r="AG3" s="6" t="str">
        <f t="shared" si="15"/>
        <v>3D</v>
      </c>
      <c r="AH3" s="6" t="str">
        <f t="shared" si="15"/>
        <v>3A</v>
      </c>
      <c r="AI3" s="6" t="str">
        <f t="shared" si="15"/>
        <v>3H</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3.9903000000000004</v>
      </c>
      <c r="AY3" s="19">
        <f t="shared" ref="AY3:AY13" si="17">+AX3+ROW()/10000000000</f>
        <v>3.9903000003000004</v>
      </c>
      <c r="AZ3" s="22" t="str">
        <f>+'Groups Stage'!CX3</f>
        <v xml:space="preserve"> - </v>
      </c>
      <c r="BA3" s="19">
        <f t="shared" ref="BA3:BA13" si="18">+AY3+IF(AZ3="IN",1/100000000,0)</f>
        <v>3.9903000003000004</v>
      </c>
      <c r="BB3" s="19"/>
      <c r="BC3" s="19">
        <f t="shared" ref="BC3:BC13" si="19">+LARGE($AY$2:$AY$13,ROW()-1)</f>
        <v>4.0004000006</v>
      </c>
      <c r="BD3" s="20" t="str">
        <f t="shared" ref="BD3:BD13" si="20">IF($AQ$15="DONE",_xlfn.XLOOKUP(BC3,$AY$2:$AY$13,$AP$2:$AP$13,"-",0),"--")</f>
        <v>Costa de Marfil</v>
      </c>
      <c r="BE3">
        <f t="shared" ref="BE3:BE13" si="21">+_xlfn.XLOOKUP(BD3,$AP$2:$AP$13,$AX$2:$AX$13,"-",0)</f>
        <v>4.0004</v>
      </c>
      <c r="BF3" s="6" t="str">
        <f t="shared" si="11"/>
        <v>-</v>
      </c>
      <c r="BG3" t="str">
        <f t="shared" ref="BG3:BG9" si="22">+IF(BF3="x","Draw - Select","IN")</f>
        <v>IN</v>
      </c>
      <c r="BI3" s="19">
        <f t="shared" ref="BI3:BI9" si="23">+LARGE($BA$2:$BA$13,ROW()-1)</f>
        <v>4.0004000006</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g</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4.0002000008000005</v>
      </c>
      <c r="BD4" s="20" t="str">
        <f t="shared" si="20"/>
        <v>Iran</v>
      </c>
      <c r="BE4">
        <f t="shared" si="21"/>
        <v>4.0002000000000004</v>
      </c>
      <c r="BF4" s="6" t="str">
        <f t="shared" si="11"/>
        <v>-</v>
      </c>
      <c r="BG4" t="str">
        <f t="shared" si="22"/>
        <v>IN</v>
      </c>
      <c r="BI4" s="19">
        <f t="shared" si="23"/>
        <v>4.0002000008000005</v>
      </c>
      <c r="BJ4" s="20" t="str">
        <f t="shared" si="24"/>
        <v>Iran</v>
      </c>
      <c r="BK4" s="20" t="str">
        <f t="shared" si="25"/>
        <v>3G</v>
      </c>
      <c r="BL4" t="str">
        <f t="shared" si="26"/>
        <v>g</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i</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2</v>
      </c>
      <c r="AT5" s="6">
        <f>+_xlfn.XLOOKUP($AO5,'Groups Stage'!$Y:$Y,'Groups Stage'!AD:AD,"-",0)</f>
        <v>0</v>
      </c>
      <c r="AU5" s="6">
        <f>+_xlfn.XLOOKUP($AO5,'Groups Stage'!$Y:$Y,'Groups Stage'!AE:AE,"-",0)</f>
        <v>1</v>
      </c>
      <c r="AV5" s="6">
        <f>+_xlfn.XLOOKUP($AO5,'Groups Stage'!$Y:$Y,'Groups Stage'!AF:AF,"-",0)</f>
        <v>3</v>
      </c>
      <c r="AW5" s="6">
        <f>+_xlfn.XLOOKUP($AO5,'Groups Stage'!$Y:$Y,'Groups Stage'!AG:AG,"-",0)</f>
        <v>2</v>
      </c>
      <c r="AX5" s="6">
        <f t="shared" si="16"/>
        <v>5.0103</v>
      </c>
      <c r="AY5" s="19">
        <f t="shared" si="17"/>
        <v>5.0103000005</v>
      </c>
      <c r="AZ5" s="22" t="str">
        <f>+'Groups Stage'!CX5</f>
        <v xml:space="preserve"> - </v>
      </c>
      <c r="BA5" s="19">
        <f t="shared" si="18"/>
        <v>5.0103000005</v>
      </c>
      <c r="BB5" s="19"/>
      <c r="BC5" s="19">
        <f t="shared" si="19"/>
        <v>3.9904000010000003</v>
      </c>
      <c r="BD5" s="20" t="str">
        <f t="shared" si="20"/>
        <v>Senegal</v>
      </c>
      <c r="BE5">
        <f t="shared" si="21"/>
        <v>3.9904000000000002</v>
      </c>
      <c r="BF5" s="6" t="str">
        <f t="shared" si="11"/>
        <v>-</v>
      </c>
      <c r="BG5" t="str">
        <f t="shared" si="22"/>
        <v>IN</v>
      </c>
      <c r="BI5" s="19">
        <f t="shared" si="23"/>
        <v>3.9904000010000003</v>
      </c>
      <c r="BJ5" s="20" t="str">
        <f t="shared" si="24"/>
        <v>Senegal</v>
      </c>
      <c r="BK5" s="20" t="str">
        <f t="shared" si="25"/>
        <v>3I</v>
      </c>
      <c r="BL5" t="str">
        <f t="shared" si="26"/>
        <v>i</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b</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3.9903000003000004</v>
      </c>
      <c r="BD6" s="20" t="str">
        <f t="shared" si="20"/>
        <v>Bosnia</v>
      </c>
      <c r="BE6">
        <f t="shared" si="21"/>
        <v>3.9903000000000004</v>
      </c>
      <c r="BF6" s="6" t="str">
        <f t="shared" si="11"/>
        <v>-</v>
      </c>
      <c r="BG6" t="str">
        <f t="shared" si="22"/>
        <v>IN</v>
      </c>
      <c r="BI6" s="19">
        <f t="shared" si="23"/>
        <v>3.9903000003000004</v>
      </c>
      <c r="BJ6" s="20" t="str">
        <f t="shared" si="24"/>
        <v>Bosnia</v>
      </c>
      <c r="BK6" s="20" t="str">
        <f t="shared" si="25"/>
        <v>3B</v>
      </c>
      <c r="BL6" t="str">
        <f t="shared" si="26"/>
        <v>b</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a</v>
      </c>
      <c r="AC7" s="6"/>
      <c r="AO7" t="s">
        <v>327</v>
      </c>
      <c r="AP7" t="str">
        <f>+_xlfn.XLOOKUP($AO7,'Groups Stage'!$Y:$Y,'Groups Stage'!Z:Z,"-",0)</f>
        <v>Suecia</v>
      </c>
      <c r="AQ7" s="6">
        <f>+_xlfn.XLOOKUP($AO7,'Groups Stage'!$Y:$Y,'Groups Stage'!AA:AA,"-",0)</f>
        <v>3</v>
      </c>
      <c r="AR7" s="6">
        <f>+_xlfn.XLOOKUP($AO7,'Groups Stage'!$Y:$Y,'Groups Stage'!AB:AB,"-",0)</f>
        <v>0</v>
      </c>
      <c r="AS7" s="6">
        <f>+_xlfn.XLOOKUP($AO7,'Groups Stage'!$Y:$Y,'Groups Stage'!AC:AC,"-",0)</f>
        <v>1</v>
      </c>
      <c r="AT7" s="6">
        <f>+_xlfn.XLOOKUP($AO7,'Groups Stage'!$Y:$Y,'Groups Stage'!AD:AD,"-",0)</f>
        <v>2</v>
      </c>
      <c r="AU7" s="6">
        <f>+_xlfn.XLOOKUP($AO7,'Groups Stage'!$Y:$Y,'Groups Stage'!AE:AE,"-",0)</f>
        <v>-2</v>
      </c>
      <c r="AV7" s="6">
        <f>+_xlfn.XLOOKUP($AO7,'Groups Stage'!$Y:$Y,'Groups Stage'!AF:AF,"-",0)</f>
        <v>3</v>
      </c>
      <c r="AW7" s="6">
        <f>+_xlfn.XLOOKUP($AO7,'Groups Stage'!$Y:$Y,'Groups Stage'!AG:AG,"-",0)</f>
        <v>5</v>
      </c>
      <c r="AX7" s="6">
        <f t="shared" si="16"/>
        <v>0.98029999999999995</v>
      </c>
      <c r="AY7" s="19">
        <f t="shared" si="17"/>
        <v>0.9803000006999999</v>
      </c>
      <c r="AZ7" s="22" t="str">
        <f>+'Groups Stage'!CX7</f>
        <v xml:space="preserve"> - </v>
      </c>
      <c r="BA7" s="19">
        <f t="shared" si="18"/>
        <v>0.9803000006999999</v>
      </c>
      <c r="BB7" s="19"/>
      <c r="BC7" s="19">
        <f t="shared" si="19"/>
        <v>3.0003000002000002</v>
      </c>
      <c r="BD7" s="20" t="str">
        <f t="shared" si="20"/>
        <v>Repubilca Checa</v>
      </c>
      <c r="BE7">
        <f t="shared" si="21"/>
        <v>3.0003000000000002</v>
      </c>
      <c r="BF7" s="6" t="str">
        <f t="shared" si="11"/>
        <v>-</v>
      </c>
      <c r="BG7" t="str">
        <f t="shared" si="22"/>
        <v>IN</v>
      </c>
      <c r="BI7" s="19">
        <f t="shared" si="23"/>
        <v>3.0003000002000002</v>
      </c>
      <c r="BJ7" s="20" t="str">
        <f t="shared" si="24"/>
        <v>Repubilca Checa</v>
      </c>
      <c r="BK7" s="20" t="str">
        <f t="shared" si="25"/>
        <v>3A</v>
      </c>
      <c r="BL7" t="str">
        <f t="shared" si="26"/>
        <v>a</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h</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2</v>
      </c>
      <c r="AW8" s="6">
        <f>+_xlfn.XLOOKUP($AO8,'Groups Stage'!$Y:$Y,'Groups Stage'!AG:AG,"-",0)</f>
        <v>2</v>
      </c>
      <c r="AX8" s="6">
        <f t="shared" si="16"/>
        <v>4.0002000000000004</v>
      </c>
      <c r="AY8" s="19">
        <f t="shared" si="17"/>
        <v>4.0002000008000005</v>
      </c>
      <c r="AZ8" s="22" t="str">
        <f>+'Groups Stage'!CX8</f>
        <v xml:space="preserve"> - </v>
      </c>
      <c r="BA8" s="19">
        <f t="shared" si="18"/>
        <v>4.0002000008000005</v>
      </c>
      <c r="BB8" s="19"/>
      <c r="BC8" s="19">
        <f t="shared" si="19"/>
        <v>2.9904000009000002</v>
      </c>
      <c r="BD8" s="20" t="str">
        <f t="shared" si="20"/>
        <v>Arabia Saudita</v>
      </c>
      <c r="BE8">
        <f t="shared" si="21"/>
        <v>2.9904000000000002</v>
      </c>
      <c r="BF8" s="6" t="str">
        <f t="shared" si="11"/>
        <v>-</v>
      </c>
      <c r="BG8" t="str">
        <f t="shared" si="22"/>
        <v>IN</v>
      </c>
      <c r="BI8" s="19">
        <f t="shared" si="23"/>
        <v>2.9904000009000002</v>
      </c>
      <c r="BJ8" s="20" t="str">
        <f t="shared" si="24"/>
        <v>Arabia Saudita</v>
      </c>
      <c r="BK8" s="20" t="str">
        <f t="shared" si="25"/>
        <v>3H</v>
      </c>
      <c r="BL8" t="str">
        <f t="shared" si="26"/>
        <v>h</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l</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4</v>
      </c>
      <c r="AW9" s="6">
        <f>+_xlfn.XLOOKUP($AO9,'Groups Stage'!$Y:$Y,'Groups Stage'!AG:AG,"-",0)</f>
        <v>5</v>
      </c>
      <c r="AX9" s="6">
        <f t="shared" si="16"/>
        <v>2.9904000000000002</v>
      </c>
      <c r="AY9" s="19">
        <f t="shared" si="17"/>
        <v>2.9904000009000002</v>
      </c>
      <c r="AZ9" s="22" t="str">
        <f>+'Groups Stage'!CX9</f>
        <v xml:space="preserve"> - </v>
      </c>
      <c r="BA9" s="19">
        <f t="shared" si="18"/>
        <v>2.9904000009000002</v>
      </c>
      <c r="BB9" s="19"/>
      <c r="BC9" s="19">
        <f t="shared" si="19"/>
        <v>2.9804000013</v>
      </c>
      <c r="BD9" s="20" t="str">
        <f t="shared" si="20"/>
        <v>Panama</v>
      </c>
      <c r="BE9">
        <f t="shared" si="21"/>
        <v>2.9803999999999999</v>
      </c>
      <c r="BF9" s="6" t="str">
        <f t="shared" si="11"/>
        <v>-</v>
      </c>
      <c r="BG9" t="str">
        <f t="shared" si="22"/>
        <v>IN</v>
      </c>
      <c r="BI9" s="19">
        <f t="shared" si="23"/>
        <v>2.9804000013</v>
      </c>
      <c r="BJ9" s="20" t="str">
        <f t="shared" si="24"/>
        <v>Panama</v>
      </c>
      <c r="BK9" s="20" t="str">
        <f t="shared" si="25"/>
        <v>3L</v>
      </c>
      <c r="BL9" t="str">
        <f t="shared" si="26"/>
        <v>l</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5</v>
      </c>
      <c r="AX10" s="6">
        <f t="shared" si="16"/>
        <v>3.9904000000000002</v>
      </c>
      <c r="AY10" s="19">
        <f t="shared" si="17"/>
        <v>3.9904000010000003</v>
      </c>
      <c r="AZ10" s="22">
        <f>+'Groups Stage'!CX10</f>
        <v>0</v>
      </c>
      <c r="BA10" s="19">
        <f t="shared" si="18"/>
        <v>3.9904000010000003</v>
      </c>
      <c r="BB10" s="19"/>
      <c r="BC10" s="19">
        <f t="shared" si="19"/>
        <v>2.9803000004000002</v>
      </c>
      <c r="BD10" s="20" t="str">
        <f t="shared" si="20"/>
        <v>Escocia</v>
      </c>
      <c r="BE10">
        <f t="shared" si="21"/>
        <v>2.9803000000000002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-4</v>
      </c>
      <c r="AV11" s="6">
        <f>+_xlfn.XLOOKUP($AO11,'Groups Stage'!$Y:$Y,'Groups Stage'!AF:AF,"-",0)</f>
        <v>2</v>
      </c>
      <c r="AW11" s="6">
        <f>+_xlfn.XLOOKUP($AO11,'Groups Stage'!$Y:$Y,'Groups Stage'!AG:AG,"-",0)</f>
        <v>6</v>
      </c>
      <c r="AX11" s="6">
        <f t="shared" si="16"/>
        <v>0.96019999999999994</v>
      </c>
      <c r="AY11" s="19">
        <f t="shared" si="17"/>
        <v>0.96020000109999992</v>
      </c>
      <c r="AZ11" s="22" t="str">
        <f>+'Groups Stage'!CX11</f>
        <v xml:space="preserve"> - </v>
      </c>
      <c r="BA11" s="19">
        <f t="shared" si="18"/>
        <v>0.96020000109999992</v>
      </c>
      <c r="BB11" s="19"/>
      <c r="BC11" s="19">
        <f t="shared" si="19"/>
        <v>0.9803000006999999</v>
      </c>
      <c r="BD11" s="20" t="str">
        <f t="shared" si="20"/>
        <v>Suecia</v>
      </c>
      <c r="BE11">
        <f t="shared" si="21"/>
        <v>0.98029999999999995</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2</v>
      </c>
      <c r="AW12" s="6">
        <f>+_xlfn.XLOOKUP($AO12,'Groups Stage'!$Y:$Y,'Groups Stage'!AG:AG,"-",0)</f>
        <v>6</v>
      </c>
      <c r="AX12" s="6">
        <f t="shared" si="16"/>
        <v>0.96019999999999994</v>
      </c>
      <c r="AY12" s="19">
        <f t="shared" si="17"/>
        <v>0.96020000119999993</v>
      </c>
      <c r="AZ12" s="22" t="str">
        <f>+'Groups Stage'!CX12</f>
        <v xml:space="preserve"> - </v>
      </c>
      <c r="BA12" s="19">
        <f t="shared" si="18"/>
        <v>0.96020000119999993</v>
      </c>
      <c r="BB12" s="19"/>
      <c r="BC12" s="19">
        <f t="shared" si="19"/>
        <v>0.96020000119999993</v>
      </c>
      <c r="BD12" s="20" t="str">
        <f t="shared" si="20"/>
        <v>Uzbekistan</v>
      </c>
      <c r="BE12">
        <f t="shared" si="21"/>
        <v>0.96019999999999994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4</v>
      </c>
      <c r="AW13" s="6">
        <f>+_xlfn.XLOOKUP($AO13,'Groups Stage'!$Y:$Y,'Groups Stage'!AG:AG,"-",0)</f>
        <v>6</v>
      </c>
      <c r="AX13" s="6">
        <f t="shared" si="16"/>
        <v>2.9803999999999999</v>
      </c>
      <c r="AY13" s="19">
        <f t="shared" si="17"/>
        <v>2.9804000013</v>
      </c>
      <c r="AZ13" s="22" t="str">
        <f>+'Groups Stage'!CX13</f>
        <v xml:space="preserve"> - </v>
      </c>
      <c r="BA13" s="19">
        <f t="shared" si="18"/>
        <v>2.9804000013</v>
      </c>
      <c r="BB13" s="19"/>
      <c r="BC13" s="19">
        <f t="shared" si="19"/>
        <v>0.96020000109999992</v>
      </c>
      <c r="BD13" s="20" t="str">
        <f t="shared" si="20"/>
        <v>Jordania</v>
      </c>
      <c r="BE13">
        <f t="shared" si="21"/>
        <v>0.96019999999999994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7</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7</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7</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7</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7</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7</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7</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7</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8</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7</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7</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8</v>
      </c>
      <c r="V4" s="6">
        <f>+SUMIF('Inputs summary'!B:B,H4,'Inputs summary'!D:D)+SUMIF('Inputs summary'!E:E,H4,'Inputs summary'!C:C)</f>
        <v>5</v>
      </c>
      <c r="W4" s="159">
        <f>+P4*100+Q4*3+R4+T4/100+U4/10000+(1/AA4)/100000000</f>
        <v>210.03080000066666</v>
      </c>
      <c r="X4" s="173">
        <f>+SUMPRODUCT(I4:O4,$I$1:$O$1)</f>
        <v>11</v>
      </c>
      <c r="Y4" s="167">
        <f t="shared" ref="Y4:Y51" si="7">+_xlfn.XLOOKUP(H4,AQ:AQ,AR:AR,"-",0)</f>
        <v>2</v>
      </c>
      <c r="Z4" s="173">
        <f>+W4+(1/Y4)*0.000001</f>
        <v>210.03080050066666</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521.11160001000007</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212.05080000052632</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9.0990102999999998</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2</v>
      </c>
      <c r="V5" s="6">
        <f>+SUMIF('Inputs summary'!B:B,H5,'Inputs summary'!D:D)+SUMIF('Inputs summary'!E:E,H5,'Inputs summary'!C:C)</f>
        <v>5</v>
      </c>
      <c r="W5" s="159">
        <f t="shared" ref="W5:W51" si="15">+P5*100+Q5*3+R5+T5/100+U5/10000+(1/AA5)/100000000</f>
        <v>0.97020000016666663</v>
      </c>
      <c r="X5" s="173">
        <f t="shared" ref="X5:X51" si="16">+SUMPRODUCT(I5:O5,$I$1:$O$1)</f>
        <v>0</v>
      </c>
      <c r="Y5" s="167">
        <f t="shared" si="7"/>
        <v>3</v>
      </c>
      <c r="Z5" s="173">
        <f t="shared" ref="Z5:Z51" si="17">+W5+(1/Y5)*0.000001</f>
        <v>0.97020033350000001</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822.12150000499992</v>
      </c>
      <c r="AW5" s="6">
        <v>3</v>
      </c>
      <c r="AX5" s="169">
        <f>+_xlfn.MAXIFS(AT:AT,AR:AR,AW5)</f>
        <v>1</v>
      </c>
      <c r="AY5" s="6">
        <f t="shared" ref="AY5:AY6" si="18">+IF($AX5&gt;AY$2,1,0)</f>
        <v>0</v>
      </c>
      <c r="AZ5" s="6">
        <f t="shared" si="10"/>
        <v>0</v>
      </c>
      <c r="BA5" s="6">
        <f t="shared" si="10"/>
        <v>0</v>
      </c>
      <c r="BB5" s="6">
        <f t="shared" si="10"/>
        <v>0</v>
      </c>
      <c r="BC5" s="6">
        <f t="shared" si="10"/>
        <v>0</v>
      </c>
      <c r="BD5" s="6" t="str">
        <f>+_xlfn.XLOOKUP(BE5,W:W,H:H)</f>
        <v>Austria</v>
      </c>
      <c r="BE5" s="166">
        <f>+_xlfn.MAXIFS(W:W,Y:Y,AW5)</f>
        <v>105.98040000041667</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2</v>
      </c>
      <c r="BO5" s="6">
        <f>+SUMIF('Inputs summary'!$B$1:$B$106,$BI5,'Inputs summary'!$D$1:$D$106)+SUMIF('Inputs summary'!$E$1:$E$106,$BI5,'Inputs summary'!$C$1:$C$106)</f>
        <v>5</v>
      </c>
      <c r="BP5" s="166">
        <f t="shared" si="12"/>
        <v>1.9720359999999999</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-1</v>
      </c>
      <c r="U6" s="6">
        <f>+SUMIF('Inputs summary'!B:B,H6,'Inputs summary'!C:C)+SUMIF('Inputs summary'!E:E,H6,'Inputs summary'!D:D)</f>
        <v>7</v>
      </c>
      <c r="V6" s="6">
        <f>+SUMIF('Inputs summary'!B:B,H6,'Inputs summary'!D:D)+SUMIF('Inputs summary'!E:E,H6,'Inputs summary'!C:C)</f>
        <v>8</v>
      </c>
      <c r="W6" s="159">
        <f t="shared" si="15"/>
        <v>206.99070000040001</v>
      </c>
      <c r="X6" s="173">
        <f t="shared" si="16"/>
        <v>11</v>
      </c>
      <c r="Y6" s="167">
        <f t="shared" si="7"/>
        <v>2</v>
      </c>
      <c r="Z6" s="173">
        <f t="shared" si="17"/>
        <v>206.99070050040001</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201111</v>
      </c>
      <c r="AU6" s="166">
        <f t="shared" si="9"/>
        <v>619.12170000333333</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0.96020000019999996</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3</v>
      </c>
      <c r="S7" s="6">
        <f>+COUNTIFS('Inputs summary'!L:L,$H7)</f>
        <v>1</v>
      </c>
      <c r="T7" s="6">
        <f t="shared" si="14"/>
        <v>-1</v>
      </c>
      <c r="U7" s="6">
        <f>+SUMIF('Inputs summary'!B:B,H7,'Inputs summary'!C:C)+SUMIF('Inputs summary'!E:E,H7,'Inputs summary'!D:D)</f>
        <v>4</v>
      </c>
      <c r="V7" s="6">
        <f>+SUMIF('Inputs summary'!B:B,H7,'Inputs summary'!D:D)+SUMIF('Inputs summary'!E:E,H7,'Inputs summary'!C:C)</f>
        <v>5</v>
      </c>
      <c r="W7" s="159">
        <f t="shared" si="15"/>
        <v>102.99040000024389</v>
      </c>
      <c r="X7" s="173">
        <f t="shared" si="16"/>
        <v>1</v>
      </c>
      <c r="Y7" s="167">
        <f t="shared" si="7"/>
        <v>3</v>
      </c>
      <c r="Z7" s="173">
        <f t="shared" si="17"/>
        <v>102.99040033357723</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Paraguay</v>
      </c>
      <c r="AP7" s="457">
        <f>+_xlfn.XLOOKUP(AQ7,'Ranking FIFA'!B:B,'Ranking FIFA'!A:A,"--",0)</f>
        <v>4</v>
      </c>
      <c r="AQ7" t="s">
        <v>51</v>
      </c>
      <c r="AR7" s="6">
        <v>1</v>
      </c>
      <c r="AS7" s="6">
        <v>1</v>
      </c>
      <c r="AT7" s="169">
        <f t="shared" si="8"/>
        <v>1111</v>
      </c>
      <c r="AU7" s="166">
        <f t="shared" si="9"/>
        <v>418.06160000249997</v>
      </c>
      <c r="BC7" t="s">
        <v>849</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3</v>
      </c>
      <c r="BL7" s="6">
        <f>+COUNTIFS('Inputs summary'!L$2:L$106,BI7)</f>
        <v>0</v>
      </c>
      <c r="BM7" s="6">
        <f t="shared" si="19"/>
        <v>0</v>
      </c>
      <c r="BN7" s="6">
        <f>+SUMIF('Inputs summary'!$B$1:$B$106,$BI7,'Inputs summary'!$C$1:$C$106)+SUMIF('Inputs summary'!$E$1:$E$106,$BI7,'Inputs summary'!$D$1:$D$106)</f>
        <v>3</v>
      </c>
      <c r="BO7" s="6">
        <f>+SUMIF('Inputs summary'!$B$1:$B$106,$BI7,'Inputs summary'!$D$1:$D$106)+SUMIF('Inputs summary'!$E$1:$E$106,$BI7,'Inputs summary'!$C$1:$C$106)</f>
        <v>3</v>
      </c>
      <c r="BP7" s="166">
        <f t="shared" si="12"/>
        <v>6.0030340999999998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0</v>
      </c>
      <c r="U8" s="6">
        <f>+SUMIF('Inputs summary'!B:B,H8,'Inputs summary'!C:C)+SUMIF('Inputs summary'!E:E,H8,'Inputs summary'!D:D)</f>
        <v>5</v>
      </c>
      <c r="V8" s="6">
        <f>+SUMIF('Inputs summary'!B:B,H8,'Inputs summary'!D:D)+SUMIF('Inputs summary'!E:E,H8,'Inputs summary'!C:C)</f>
        <v>5</v>
      </c>
      <c r="W8" s="159">
        <f t="shared" si="15"/>
        <v>104.00050000033333</v>
      </c>
      <c r="X8" s="173">
        <f t="shared" si="16"/>
        <v>1</v>
      </c>
      <c r="Y8" s="167">
        <f t="shared" si="7"/>
        <v>3</v>
      </c>
      <c r="Z8" s="173">
        <f t="shared" si="17"/>
        <v>104.00050033366666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316.09130000199997</v>
      </c>
      <c r="BH8">
        <v>5</v>
      </c>
      <c r="BI8" t="str">
        <f t="shared" si="11"/>
        <v>Canada</v>
      </c>
      <c r="BJ8" s="6">
        <f>+COUNTIFS('Inputs summary'!I$2:I$106,BI8)</f>
        <v>1</v>
      </c>
      <c r="BK8" s="6">
        <f>+COUNTIFS('Inputs summary'!J$2:K$106,BI8)</f>
        <v>1</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5.0140329999999995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4</v>
      </c>
      <c r="V9" s="6">
        <f>+SUMIF('Inputs summary'!B:B,H9,'Inputs summary'!D:D)+SUMIF('Inputs summary'!E:E,H9,'Inputs summary'!C:C)</f>
        <v>6</v>
      </c>
      <c r="W9" s="159">
        <f t="shared" si="15"/>
        <v>103.98040000015385</v>
      </c>
      <c r="X9" s="173">
        <f t="shared" si="16"/>
        <v>1</v>
      </c>
      <c r="Y9" s="167">
        <f t="shared" si="7"/>
        <v>3</v>
      </c>
      <c r="Z9" s="173">
        <f t="shared" si="17"/>
        <v>103.98040033348718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313.07120000166663</v>
      </c>
      <c r="AW9" t="s">
        <v>850</v>
      </c>
      <c r="AX9" t="str">
        <f>+_xlfn.XLOOKUP(AX10,AU:AU,AQ:AQ,"-",0)</f>
        <v>Alemania</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3</v>
      </c>
      <c r="BO9" s="6">
        <f>+SUMIF('Inputs summary'!$B$1:$B$106,$BI9,'Inputs summary'!$D$1:$D$106)+SUMIF('Inputs summary'!$E$1:$E$106,$BI9,'Inputs summary'!$C$1:$C$106)</f>
        <v>4</v>
      </c>
      <c r="BP9" s="166">
        <f t="shared" si="12"/>
        <v>4.9930364999999997</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1</v>
      </c>
      <c r="V10" s="6">
        <f>+SUMIF('Inputs summary'!B:B,H10,'Inputs summary'!D:D)+SUMIF('Inputs summary'!E:E,H10,'Inputs summary'!C:C)</f>
        <v>6</v>
      </c>
      <c r="W10" s="159">
        <f t="shared" si="15"/>
        <v>-4.9899999818181821E-2</v>
      </c>
      <c r="X10" s="173">
        <f t="shared" si="16"/>
        <v>0</v>
      </c>
      <c r="Y10" s="167">
        <f t="shared" si="7"/>
        <v>4</v>
      </c>
      <c r="Z10" s="173">
        <f t="shared" si="17"/>
        <v>-4.9899749818181821E-2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315.0611000014286</v>
      </c>
      <c r="AW10" t="s">
        <v>291</v>
      </c>
      <c r="AX10" s="174">
        <f>+_xlfn.MINIFS(AU:AU,AS:AS,1)</f>
        <v>210.04070000099998</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-4.8954500000000005E-2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5</v>
      </c>
      <c r="U11" s="6">
        <f>+SUMIF('Inputs summary'!B:B,H11,'Inputs summary'!C:C)+SUMIF('Inputs summary'!E:E,H11,'Inputs summary'!D:D)</f>
        <v>8</v>
      </c>
      <c r="V11" s="6">
        <f>+SUMIF('Inputs summary'!B:B,H11,'Inputs summary'!D:D)+SUMIF('Inputs summary'!E:E,H11,'Inputs summary'!C:C)</f>
        <v>3</v>
      </c>
      <c r="W11" s="159">
        <f t="shared" si="15"/>
        <v>212.05080000052632</v>
      </c>
      <c r="X11" s="173">
        <f t="shared" si="16"/>
        <v>11</v>
      </c>
      <c r="Y11" s="167">
        <f t="shared" si="7"/>
        <v>2</v>
      </c>
      <c r="Z11" s="173">
        <f t="shared" si="17"/>
        <v>212.05080050052632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313.04080000111117</v>
      </c>
      <c r="AW11" t="s">
        <v>851</v>
      </c>
      <c r="AX11" s="174">
        <f>+_xlfn.XLOOKUP(AX10,AU:AU,AT:AT,"-",0)</f>
        <v>11</v>
      </c>
      <c r="AY11" s="175" t="str">
        <f>+IF(AX11&gt;=AY2,"-",AX9)</f>
        <v>Alemania</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6</v>
      </c>
      <c r="BO11" s="6">
        <f>+SUMIF('Inputs summary'!$B$1:$B$106,$BI11,'Inputs summary'!$D$1:$D$106)+SUMIF('Inputs summary'!$E$1:$E$106,$BI11,'Inputs summary'!$C$1:$C$106)</f>
        <v>1</v>
      </c>
      <c r="BP11" s="166">
        <f t="shared" si="12"/>
        <v>9.0560219000000011</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4</v>
      </c>
      <c r="R12" s="6">
        <f>+COUNTIFS('Inputs summary'!J:K,$H12)</f>
        <v>1</v>
      </c>
      <c r="S12" s="6">
        <f>+COUNTIFS('Inputs summary'!L:L,$H12)</f>
        <v>1</v>
      </c>
      <c r="T12" s="6">
        <f t="shared" si="14"/>
        <v>7</v>
      </c>
      <c r="U12" s="6">
        <f>+SUMIF('Inputs summary'!B:B,H12,'Inputs summary'!C:C)+SUMIF('Inputs summary'!E:E,H12,'Inputs summary'!D:D)</f>
        <v>12</v>
      </c>
      <c r="V12" s="6">
        <f>+SUMIF('Inputs summary'!B:B,H12,'Inputs summary'!D:D)+SUMIF('Inputs summary'!E:E,H12,'Inputs summary'!C:C)</f>
        <v>5</v>
      </c>
      <c r="W12" s="159">
        <f t="shared" si="15"/>
        <v>313.07120000166663</v>
      </c>
      <c r="X12" s="173">
        <f t="shared" si="16"/>
        <v>111</v>
      </c>
      <c r="Y12" s="167">
        <f t="shared" si="7"/>
        <v>1</v>
      </c>
      <c r="Z12" s="173">
        <f t="shared" si="17"/>
        <v>313.07120100166662</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210.04070000099998</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8.0570105999999999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3</v>
      </c>
      <c r="U13" s="6">
        <f>+SUMIF('Inputs summary'!B:B,H13,'Inputs summary'!C:C)+SUMIF('Inputs summary'!E:E,H13,'Inputs summary'!D:D)</f>
        <v>6</v>
      </c>
      <c r="V13" s="6">
        <f>+SUMIF('Inputs summary'!B:B,H13,'Inputs summary'!D:D)+SUMIF('Inputs summary'!E:E,H13,'Inputs summary'!C:C)</f>
        <v>3</v>
      </c>
      <c r="W13" s="159">
        <f t="shared" si="15"/>
        <v>107.03060000125001</v>
      </c>
      <c r="X13" s="173">
        <f t="shared" si="16"/>
        <v>1</v>
      </c>
      <c r="Y13" s="167">
        <f t="shared" si="7"/>
        <v>2</v>
      </c>
      <c r="Z13" s="173">
        <f t="shared" si="17"/>
        <v>107.03060050125001</v>
      </c>
      <c r="AA13" s="173">
        <f>+_xlfn.XLOOKUP(H13,'Ranking FIFA'!B:B,'Ranking FIFA'!A:A,"--",0)</f>
        <v>8</v>
      </c>
      <c r="AH13" t="str">
        <f>+'Round of 32 &amp; Round of 16'!Y5</f>
        <v>España</v>
      </c>
      <c r="AI13" t="str">
        <f>+'Round of 32 &amp; Round of 16'!E21</f>
        <v>Arabia Saudita</v>
      </c>
      <c r="AP13" s="457">
        <f>+_xlfn.XLOOKUP(AQ13,'Ranking FIFA'!B:B,'Ranking FIFA'!A:A,"--",0)</f>
        <v>11</v>
      </c>
      <c r="AQ13" t="s">
        <v>57</v>
      </c>
      <c r="AR13" s="6">
        <v>1</v>
      </c>
      <c r="AS13" s="6">
        <v>2</v>
      </c>
      <c r="AT13" s="169">
        <f t="shared" si="8"/>
        <v>1</v>
      </c>
      <c r="AU13" s="166">
        <f t="shared" si="9"/>
        <v>106.0005000009091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4</v>
      </c>
      <c r="BN13" s="6">
        <f>+SUMIF('Inputs summary'!$B$1:$B$106,$BI13,'Inputs summary'!$C$1:$C$106)+SUMIF('Inputs summary'!$E$1:$E$106,$BI13,'Inputs summary'!$D$1:$D$106)</f>
        <v>5</v>
      </c>
      <c r="BO13" s="6">
        <f>+SUMIF('Inputs summary'!$B$1:$B$106,$BI13,'Inputs summary'!$D$1:$D$106)+SUMIF('Inputs summary'!$E$1:$E$106,$BI13,'Inputs summary'!$C$1:$C$106)</f>
        <v>1</v>
      </c>
      <c r="BP13" s="166">
        <f t="shared" si="12"/>
        <v>8.0450207999999996</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1</v>
      </c>
      <c r="V14" s="6">
        <f>+SUMIF('Inputs summary'!B:B,H14,'Inputs summary'!D:D)+SUMIF('Inputs summary'!E:E,H14,'Inputs summary'!C:C)</f>
        <v>8</v>
      </c>
      <c r="W14" s="159">
        <f t="shared" si="15"/>
        <v>-6.9899999879518074E-2</v>
      </c>
      <c r="X14" s="173">
        <f t="shared" si="16"/>
        <v>0</v>
      </c>
      <c r="Y14" s="167">
        <f t="shared" si="7"/>
        <v>4</v>
      </c>
      <c r="Z14" s="173">
        <f t="shared" si="17"/>
        <v>-6.989974987951808E-2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107.02050000058823</v>
      </c>
      <c r="AW14" t="s">
        <v>291</v>
      </c>
      <c r="AX14" s="174">
        <f>+_xlfn.MINIFS(AU:AU,AS:AS,2)</f>
        <v>106.0005000009091</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1</v>
      </c>
      <c r="BO14" s="6">
        <f>+SUMIF('Inputs summary'!$B$1:$B$106,$BI14,'Inputs summary'!$D$1:$D$106)+SUMIF('Inputs summary'!$E$1:$E$106,$BI14,'Inputs summary'!$C$1:$C$106)</f>
        <v>8</v>
      </c>
      <c r="BP14" s="166">
        <f t="shared" si="12"/>
        <v>-6.8951700000000005E-2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3</v>
      </c>
      <c r="V15" s="6">
        <f>+SUMIF('Inputs summary'!B:B,H15,'Inputs summary'!D:D)+SUMIF('Inputs summary'!E:E,H15,'Inputs summary'!C:C)</f>
        <v>5</v>
      </c>
      <c r="W15" s="159">
        <f t="shared" si="15"/>
        <v>2.9803000002325581</v>
      </c>
      <c r="X15" s="173">
        <f t="shared" si="16"/>
        <v>0</v>
      </c>
      <c r="Y15" s="167">
        <f t="shared" si="7"/>
        <v>3</v>
      </c>
      <c r="Z15" s="173">
        <f t="shared" si="17"/>
        <v>2.9803003335658915</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107.03060000125001</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3</v>
      </c>
      <c r="BO15" s="6">
        <f>+SUMIF('Inputs summary'!$B$1:$B$106,$BI15,'Inputs summary'!$D$1:$D$106)+SUMIF('Inputs summary'!$E$1:$E$106,$BI15,'Inputs summary'!$C$1:$C$106)</f>
        <v>5</v>
      </c>
      <c r="BP15" s="166">
        <f t="shared" si="12"/>
        <v>2.9830343000000004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2</v>
      </c>
      <c r="U16" s="6">
        <f>+SUMIF('Inputs summary'!B:B,H16,'Inputs summary'!C:C)+SUMIF('Inputs summary'!E:E,H16,'Inputs summary'!D:D)</f>
        <v>9</v>
      </c>
      <c r="V16" s="6">
        <f>+SUMIF('Inputs summary'!B:B,H16,'Inputs summary'!D:D)+SUMIF('Inputs summary'!E:E,H16,'Inputs summary'!C:C)</f>
        <v>7</v>
      </c>
      <c r="W16" s="159">
        <f t="shared" si="15"/>
        <v>208.02090000062501</v>
      </c>
      <c r="X16" s="173">
        <f t="shared" si="16"/>
        <v>11</v>
      </c>
      <c r="Y16" s="167">
        <f t="shared" si="7"/>
        <v>2</v>
      </c>
      <c r="Z16" s="173">
        <f t="shared" si="17"/>
        <v>208.020900500625</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209.03090000076924</v>
      </c>
      <c r="BH16">
        <v>13</v>
      </c>
      <c r="BI16" t="str">
        <f t="shared" si="11"/>
        <v>Estados Unidos</v>
      </c>
      <c r="BJ16" s="6">
        <f>+COUNTIFS('Inputs summary'!I$2:I$106,BI16)</f>
        <v>1</v>
      </c>
      <c r="BK16" s="6">
        <f>+COUNTIFS('Inputs summary'!J$2:K$106,BI16)</f>
        <v>2</v>
      </c>
      <c r="BL16" s="6">
        <f>+COUNTIFS('Inputs summary'!L$2:L$106,BI16)</f>
        <v>0</v>
      </c>
      <c r="BM16" s="6">
        <f t="shared" si="19"/>
        <v>2</v>
      </c>
      <c r="BN16" s="6">
        <f>+SUMIF('Inputs summary'!$B$1:$B$106,$BI16,'Inputs summary'!$C$1:$C$106)+SUMIF('Inputs summary'!$E$1:$E$106,$BI16,'Inputs summary'!$D$1:$D$106)</f>
        <v>6</v>
      </c>
      <c r="BO16" s="6">
        <f>+SUMIF('Inputs summary'!$B$1:$B$106,$BI16,'Inputs summary'!$D$1:$D$106)+SUMIF('Inputs summary'!$E$1:$E$106,$BI16,'Inputs summary'!$C$1:$C$106)</f>
        <v>4</v>
      </c>
      <c r="BP16" s="166">
        <f t="shared" si="12"/>
        <v>7.0260216</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3</v>
      </c>
      <c r="V17" s="6">
        <f>+SUMIF('Inputs summary'!B:B,H17,'Inputs summary'!D:D)+SUMIF('Inputs summary'!E:E,H17,'Inputs summary'!C:C)</f>
        <v>3</v>
      </c>
      <c r="W17" s="159">
        <f t="shared" si="15"/>
        <v>105.00030000024999</v>
      </c>
      <c r="X17" s="173">
        <f t="shared" si="16"/>
        <v>1</v>
      </c>
      <c r="Y17" s="167">
        <f t="shared" si="7"/>
        <v>2</v>
      </c>
      <c r="Z17" s="173">
        <f t="shared" si="17"/>
        <v>105.00030050024999</v>
      </c>
      <c r="AA17" s="173">
        <f>+_xlfn.XLOOKUP(H17,'Ranking FIFA'!B:B,'Ranking FIFA'!A:A,"--",0)</f>
        <v>40</v>
      </c>
      <c r="AH17" t="str">
        <f>+'Round of 32 &amp; Round of 16'!Y21</f>
        <v>Turquia</v>
      </c>
      <c r="AI17" t="str">
        <f>+'Round of 32 &amp; Round of 16'!E29</f>
        <v>Costa de Marfil</v>
      </c>
      <c r="AP17" s="457">
        <f>+_xlfn.XLOOKUP(AQ17,'Ranking FIFA'!B:B,'Ranking FIFA'!A:A,"--",0)</f>
        <v>14</v>
      </c>
      <c r="AQ17" t="s">
        <v>61</v>
      </c>
      <c r="AR17" s="6">
        <v>2</v>
      </c>
      <c r="AT17" s="169">
        <f t="shared" si="8"/>
        <v>1</v>
      </c>
      <c r="AU17" s="166">
        <f t="shared" si="9"/>
        <v>103.97050000071428</v>
      </c>
      <c r="AY17" s="175" t="str">
        <f>+IF(AY11="-",IF(AY15="-","-",AY15),IF(AY15="-",AY11,IF(AX11&lt;=AX15,AY11,AY15)))</f>
        <v>Croacia</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3</v>
      </c>
      <c r="BO17" s="6">
        <f>+SUMIF('Inputs summary'!$B$1:$B$106,$BI17,'Inputs summary'!$D$1:$D$106)+SUMIF('Inputs summary'!$E$1:$E$106,$BI17,'Inputs summary'!$C$1:$C$106)</f>
        <v>2</v>
      </c>
      <c r="BP17" s="166">
        <f t="shared" si="12"/>
        <v>7.0130239999999997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2</v>
      </c>
      <c r="V18" s="6">
        <f>+SUMIF('Inputs summary'!B:B,H18,'Inputs summary'!D:D)+SUMIF('Inputs summary'!E:E,H18,'Inputs summary'!C:C)</f>
        <v>6</v>
      </c>
      <c r="W18" s="159">
        <f t="shared" si="15"/>
        <v>-3.9799999629629629E-2</v>
      </c>
      <c r="X18" s="173">
        <f t="shared" si="16"/>
        <v>0</v>
      </c>
      <c r="Y18" s="167">
        <f t="shared" si="7"/>
        <v>3</v>
      </c>
      <c r="Z18" s="173">
        <f t="shared" si="17"/>
        <v>-3.9799666296296297E-2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210.03080000066666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2</v>
      </c>
      <c r="BO18" s="6">
        <f>+SUMIF('Inputs summary'!$B$1:$B$106,$BI18,'Inputs summary'!$D$1:$D$106)+SUMIF('Inputs summary'!$E$1:$E$106,$BI18,'Inputs summary'!$C$1:$C$106)</f>
        <v>6</v>
      </c>
      <c r="BP18" s="166">
        <f t="shared" si="12"/>
        <v>-3.7967299999999995E-2</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0</v>
      </c>
      <c r="U19" s="6">
        <f>+SUMIF('Inputs summary'!B:B,H19,'Inputs summary'!C:C)+SUMIF('Inputs summary'!E:E,H19,'Inputs summary'!D:D)</f>
        <v>8</v>
      </c>
      <c r="V19" s="6">
        <f>+SUMIF('Inputs summary'!B:B,H19,'Inputs summary'!D:D)+SUMIF('Inputs summary'!E:E,H19,'Inputs summary'!C:C)</f>
        <v>8</v>
      </c>
      <c r="W19" s="159">
        <f t="shared" si="15"/>
        <v>208.00080000045455</v>
      </c>
      <c r="X19" s="173">
        <f t="shared" si="16"/>
        <v>11</v>
      </c>
      <c r="Y19" s="167">
        <f t="shared" si="7"/>
        <v>2</v>
      </c>
      <c r="Z19" s="173">
        <f t="shared" si="17"/>
        <v>208.00080050045455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208.02090000062501</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4</v>
      </c>
      <c r="U20" s="6">
        <f>+SUMIF('Inputs summary'!B:B,H20,'Inputs summary'!C:C)+SUMIF('Inputs summary'!E:E,H20,'Inputs summary'!D:D)</f>
        <v>7</v>
      </c>
      <c r="V20" s="6">
        <f>+SUMIF('Inputs summary'!B:B,H20,'Inputs summary'!D:D)+SUMIF('Inputs summary'!E:E,H20,'Inputs summary'!C:C)</f>
        <v>3</v>
      </c>
      <c r="W20" s="159">
        <f t="shared" si="15"/>
        <v>210.04070000099998</v>
      </c>
      <c r="X20" s="173">
        <f t="shared" si="16"/>
        <v>11</v>
      </c>
      <c r="Y20" s="167">
        <f t="shared" si="7"/>
        <v>1</v>
      </c>
      <c r="Z20" s="173">
        <f t="shared" si="17"/>
        <v>210.04070100099997</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106.00050000055556</v>
      </c>
      <c r="BH20">
        <v>17</v>
      </c>
      <c r="BI20" t="str">
        <f t="shared" si="11"/>
        <v>Alemania</v>
      </c>
      <c r="BJ20" s="6">
        <f>+COUNTIFS('Inputs summary'!I$2:I$106,BI20)</f>
        <v>2</v>
      </c>
      <c r="BK20" s="6">
        <f>+COUNTIFS('Inputs summary'!J$2:K$106,BI20)</f>
        <v>1</v>
      </c>
      <c r="BL20" s="6">
        <f>+COUNTIFS('Inputs summary'!L$2:L$106,BI20)</f>
        <v>0</v>
      </c>
      <c r="BM20" s="6">
        <f t="shared" si="19"/>
        <v>4</v>
      </c>
      <c r="BN20" s="6">
        <f>+SUMIF('Inputs summary'!$B$1:$B$106,$BI20,'Inputs summary'!$C$1:$C$106)+SUMIF('Inputs summary'!$E$1:$E$106,$BI20,'Inputs summary'!$D$1:$D$106)</f>
        <v>5</v>
      </c>
      <c r="BO20" s="6">
        <f>+SUMIF('Inputs summary'!$B$1:$B$106,$BI20,'Inputs summary'!$D$1:$D$106)+SUMIF('Inputs summary'!$E$1:$E$106,$BI20,'Inputs summary'!$C$1:$C$106)</f>
        <v>1</v>
      </c>
      <c r="BP20" s="166">
        <f t="shared" si="12"/>
        <v>8.0450109999999988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212.05080000052632</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208.00080000045455</v>
      </c>
      <c r="AW22">
        <f>+SMALL($Z$3:$Z$51,1)</f>
        <v>-7.9899749855072463E-2</v>
      </c>
      <c r="AX22" t="str">
        <f>+_xlfn.XLOOKUP(AW22,Z:Z,H:H,"-",0)</f>
        <v>Cabo Verde</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2</v>
      </c>
      <c r="U23" s="6">
        <f>+SUMIF('Inputs summary'!B:B,H23,'Inputs summary'!C:C)+SUMIF('Inputs summary'!E:E,H23,'Inputs summary'!D:D)</f>
        <v>5</v>
      </c>
      <c r="V23" s="6">
        <f>+SUMIF('Inputs summary'!B:B,H23,'Inputs summary'!D:D)+SUMIF('Inputs summary'!E:E,H23,'Inputs summary'!C:C)</f>
        <v>3</v>
      </c>
      <c r="W23" s="159">
        <f t="shared" si="15"/>
        <v>105.02050000043478</v>
      </c>
      <c r="X23" s="173">
        <f t="shared" si="16"/>
        <v>1</v>
      </c>
      <c r="Y23" s="167">
        <f t="shared" si="7"/>
        <v>2</v>
      </c>
      <c r="Z23" s="173">
        <f t="shared" si="17"/>
        <v>105.02050050043478</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105.02050000043478</v>
      </c>
      <c r="BH23">
        <v>20</v>
      </c>
      <c r="BI23" t="str">
        <f t="shared" si="11"/>
        <v>Ecuador</v>
      </c>
      <c r="BJ23" s="6">
        <f>+COUNTIFS('Inputs summary'!I$2:I$106,BI23)</f>
        <v>1</v>
      </c>
      <c r="BK23" s="6">
        <f>+COUNTIFS('Inputs summary'!J$2:K$106,BI23)</f>
        <v>2</v>
      </c>
      <c r="BL23" s="6">
        <f>+COUNTIFS('Inputs summary'!L$2:L$106,BI23)</f>
        <v>0</v>
      </c>
      <c r="BM23" s="6">
        <f t="shared" si="19"/>
        <v>3</v>
      </c>
      <c r="BN23" s="6">
        <f>+SUMIF('Inputs summary'!$B$1:$B$106,$BI23,'Inputs summary'!$C$1:$C$106)+SUMIF('Inputs summary'!$E$1:$E$106,$BI23,'Inputs summary'!$D$1:$D$106)</f>
        <v>4</v>
      </c>
      <c r="BO23" s="6">
        <f>+SUMIF('Inputs summary'!$B$1:$B$106,$BI23,'Inputs summary'!$D$1:$D$106)+SUMIF('Inputs summary'!$E$1:$E$106,$BI23,'Inputs summary'!$C$1:$C$106)</f>
        <v>1</v>
      </c>
      <c r="BP23" s="166">
        <f t="shared" si="12"/>
        <v>7.0340223000000002</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11</v>
      </c>
      <c r="V24" s="6">
        <f>+SUMIF('Inputs summary'!B:B,H24,'Inputs summary'!D:D)+SUMIF('Inputs summary'!E:E,H24,'Inputs summary'!C:C)</f>
        <v>5</v>
      </c>
      <c r="W24" s="159">
        <f t="shared" si="15"/>
        <v>315.0611000014286</v>
      </c>
      <c r="X24" s="173">
        <f t="shared" si="16"/>
        <v>111</v>
      </c>
      <c r="Y24" s="167">
        <f t="shared" si="7"/>
        <v>1</v>
      </c>
      <c r="Z24" s="173">
        <f t="shared" si="17"/>
        <v>315.0611010014286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206.99070000040001</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106.00050000055556</v>
      </c>
      <c r="X25" s="173">
        <f t="shared" si="16"/>
        <v>1</v>
      </c>
      <c r="Y25" s="167">
        <f t="shared" si="7"/>
        <v>2</v>
      </c>
      <c r="Z25" s="173">
        <f t="shared" si="17"/>
        <v>106.00050050055556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207.0209000003226</v>
      </c>
      <c r="BH25">
        <v>22</v>
      </c>
      <c r="BI25" t="str">
        <f t="shared" si="11"/>
        <v>Japon</v>
      </c>
      <c r="BJ25" s="6">
        <f>+COUNTIFS('Inputs summary'!I$2:I$106,BI25)</f>
        <v>2</v>
      </c>
      <c r="BK25" s="6">
        <f>+COUNTIFS('Inputs summary'!J$2:K$106,BI25)</f>
        <v>0</v>
      </c>
      <c r="BL25" s="6">
        <f>+COUNTIFS('Inputs summary'!L$2:L$106,BI25)</f>
        <v>1</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6.0250217999999993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9">
        <f t="shared" si="15"/>
        <v>0.98030000026315789</v>
      </c>
      <c r="X26" s="173">
        <f t="shared" si="16"/>
        <v>0</v>
      </c>
      <c r="Y26" s="167">
        <f t="shared" si="7"/>
        <v>2</v>
      </c>
      <c r="Z26" s="173">
        <f t="shared" si="17"/>
        <v>0.98030050026315785</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0.98030000026315789</v>
      </c>
      <c r="BH26">
        <v>23</v>
      </c>
      <c r="BI26" t="str">
        <f t="shared" si="11"/>
        <v>Suecia</v>
      </c>
      <c r="BJ26" s="6">
        <f>+COUNTIFS('Inputs summary'!I$2:I$106,BI26)</f>
        <v>0</v>
      </c>
      <c r="BK26" s="6">
        <f>+COUNTIFS('Inputs summary'!J$2:K$106,BI26)</f>
        <v>1</v>
      </c>
      <c r="BL26" s="6">
        <f>+COUNTIFS('Inputs summary'!L$2:L$106,BI26)</f>
        <v>2</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1.9830237999999998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-4</v>
      </c>
      <c r="U27" s="6">
        <f>+SUMIF('Inputs summary'!B:B,H27,'Inputs summary'!C:C)+SUMIF('Inputs summary'!E:E,H27,'Inputs summary'!D:D)</f>
        <v>1</v>
      </c>
      <c r="V27" s="6">
        <f>+SUMIF('Inputs summary'!B:B,H27,'Inputs summary'!D:D)+SUMIF('Inputs summary'!E:E,H27,'Inputs summary'!C:C)</f>
        <v>5</v>
      </c>
      <c r="W27" s="159">
        <f t="shared" si="15"/>
        <v>0.96010000022727271</v>
      </c>
      <c r="X27" s="173">
        <f t="shared" si="16"/>
        <v>0</v>
      </c>
      <c r="Y27" s="167">
        <f t="shared" si="7"/>
        <v>3</v>
      </c>
      <c r="Z27" s="173">
        <f t="shared" si="17"/>
        <v>0.96010033356060609</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105.00030000024999</v>
      </c>
      <c r="BH27">
        <v>24</v>
      </c>
      <c r="BI27" t="str">
        <f t="shared" si="11"/>
        <v>Tunez</v>
      </c>
      <c r="BJ27" s="6">
        <f>+COUNTIFS('Inputs summary'!I$2:I$106,BI27)</f>
        <v>0</v>
      </c>
      <c r="BK27" s="6">
        <f>+COUNTIFS('Inputs summary'!J$2:K$106,BI27)</f>
        <v>1</v>
      </c>
      <c r="BL27" s="6">
        <f>+COUNTIFS('Inputs summary'!L$2:L$106,BI27)</f>
        <v>2</v>
      </c>
      <c r="BM27" s="6">
        <f t="shared" si="19"/>
        <v>-4</v>
      </c>
      <c r="BN27" s="6">
        <f>+SUMIF('Inputs summary'!$B$1:$B$106,$BI27,'Inputs summary'!$C$1:$C$106)+SUMIF('Inputs summary'!$E$1:$E$106,$BI27,'Inputs summary'!$D$1:$D$106)</f>
        <v>1</v>
      </c>
      <c r="BO27" s="6">
        <f>+SUMIF('Inputs summary'!$B$1:$B$106,$BI27,'Inputs summary'!$D$1:$D$106)+SUMIF('Inputs summary'!$E$1:$E$106,$BI27,'Inputs summary'!$C$1:$C$106)</f>
        <v>5</v>
      </c>
      <c r="BP27" s="166">
        <f t="shared" si="12"/>
        <v>1.9610343999999997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2</v>
      </c>
      <c r="V28" s="6">
        <f>+SUMIF('Inputs summary'!B:B,H28,'Inputs summary'!D:D)+SUMIF('Inputs summary'!E:E,H28,'Inputs summary'!C:C)</f>
        <v>4</v>
      </c>
      <c r="W28" s="159">
        <f t="shared" si="15"/>
        <v>103.9802000004762</v>
      </c>
      <c r="X28" s="173">
        <f t="shared" si="16"/>
        <v>1</v>
      </c>
      <c r="Y28" s="167">
        <f t="shared" si="7"/>
        <v>3</v>
      </c>
      <c r="Z28" s="173">
        <f t="shared" si="17"/>
        <v>103.98020033380953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0</v>
      </c>
      <c r="BN28" s="6">
        <f>+SUMIF('Inputs summary'!$B$1:$B$106,$BI28,'Inputs summary'!$C$1:$C$106)+SUMIF('Inputs summary'!$E$1:$E$106,$BI28,'Inputs summary'!$D$1:$D$106)</f>
        <v>2</v>
      </c>
      <c r="BO28" s="6">
        <f>+SUMIF('Inputs summary'!$B$1:$B$106,$BI28,'Inputs summary'!$D$1:$D$106)+SUMIF('Inputs summary'!$E$1:$E$106,$BI28,'Inputs summary'!$C$1:$C$106)</f>
        <v>2</v>
      </c>
      <c r="BP28" s="166">
        <f t="shared" si="12"/>
        <v>5.0020320999999992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1</v>
      </c>
      <c r="V29" s="6">
        <f>+SUMIF('Inputs summary'!B:B,H29,'Inputs summary'!D:D)+SUMIF('Inputs summary'!E:E,H29,'Inputs summary'!C:C)</f>
        <v>5</v>
      </c>
      <c r="W29" s="159">
        <f t="shared" si="15"/>
        <v>-3.9899999882352939E-2</v>
      </c>
      <c r="X29" s="173">
        <f t="shared" si="16"/>
        <v>0</v>
      </c>
      <c r="Y29" s="167">
        <f t="shared" si="7"/>
        <v>4</v>
      </c>
      <c r="Z29" s="173">
        <f t="shared" si="17"/>
        <v>-3.9899749882352939E-2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-3.9799999629629629E-2</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-3.89515E-2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8</v>
      </c>
      <c r="V30" s="6">
        <f>+SUMIF('Inputs summary'!B:B,H30,'Inputs summary'!D:D)+SUMIF('Inputs summary'!E:E,H30,'Inputs summary'!C:C)</f>
        <v>4</v>
      </c>
      <c r="W30" s="159">
        <f t="shared" si="15"/>
        <v>313.04080000111117</v>
      </c>
      <c r="X30" s="173">
        <f t="shared" si="16"/>
        <v>111</v>
      </c>
      <c r="Y30" s="167">
        <f t="shared" si="7"/>
        <v>1</v>
      </c>
      <c r="Z30" s="173">
        <f t="shared" si="17"/>
        <v>313.04080100111116</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0.9502000003571428</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4</v>
      </c>
      <c r="BO30" s="6">
        <f>+SUMIF('Inputs summary'!$B$1:$B$106,$BI30,'Inputs summary'!$D$1:$D$106)+SUMIF('Inputs summary'!$E$1:$E$106,$BI30,'Inputs summary'!$C$1:$C$106)</f>
        <v>1</v>
      </c>
      <c r="BP30" s="166">
        <f t="shared" si="12"/>
        <v>8.0340108999999984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2</v>
      </c>
      <c r="S31" s="6">
        <f>+COUNTIFS('Inputs summary'!L:L,$H31)</f>
        <v>1</v>
      </c>
      <c r="T31" s="6">
        <f t="shared" si="14"/>
        <v>0</v>
      </c>
      <c r="U31" s="6">
        <f>+SUMIF('Inputs summary'!B:B,H31,'Inputs summary'!C:C)+SUMIF('Inputs summary'!E:E,H31,'Inputs summary'!D:D)</f>
        <v>5</v>
      </c>
      <c r="V31" s="6">
        <f>+SUMIF('Inputs summary'!B:B,H31,'Inputs summary'!D:D)+SUMIF('Inputs summary'!E:E,H31,'Inputs summary'!C:C)</f>
        <v>5</v>
      </c>
      <c r="W31" s="159">
        <f t="shared" si="15"/>
        <v>105.00050000034483</v>
      </c>
      <c r="X31" s="173">
        <f t="shared" si="16"/>
        <v>1</v>
      </c>
      <c r="Y31" s="167">
        <f t="shared" si="7"/>
        <v>3</v>
      </c>
      <c r="Z31" s="173">
        <f t="shared" si="17"/>
        <v>105.00050033367816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105.00050000034483</v>
      </c>
      <c r="BH31">
        <v>28</v>
      </c>
      <c r="BI31" t="str">
        <f t="shared" si="11"/>
        <v>Egipto</v>
      </c>
      <c r="BJ31" s="6">
        <f>+COUNTIFS('Inputs summary'!I$2:I$106,BI31)</f>
        <v>1</v>
      </c>
      <c r="BK31" s="6">
        <f>+COUNTIFS('Inputs summary'!J$2:K$106,BI31)</f>
        <v>2</v>
      </c>
      <c r="BL31" s="6">
        <f>+COUNTIFS('Inputs summary'!L$2:L$106,BI31)</f>
        <v>0</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7.0140328999999992</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12</v>
      </c>
      <c r="U32" s="6">
        <f>+SUMIF('Inputs summary'!B:B,H32,'Inputs summary'!C:C)+SUMIF('Inputs summary'!E:E,H32,'Inputs summary'!D:D)</f>
        <v>15</v>
      </c>
      <c r="V32" s="6">
        <f>+SUMIF('Inputs summary'!B:B,H32,'Inputs summary'!D:D)+SUMIF('Inputs summary'!E:E,H32,'Inputs summary'!C:C)</f>
        <v>3</v>
      </c>
      <c r="W32" s="159">
        <f t="shared" si="15"/>
        <v>822.12150000499992</v>
      </c>
      <c r="X32" s="173">
        <f t="shared" si="16"/>
        <v>2201111</v>
      </c>
      <c r="Y32" s="167">
        <f t="shared" si="7"/>
        <v>1</v>
      </c>
      <c r="Z32" s="173">
        <f t="shared" si="17"/>
        <v>822.12150100499991</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104.00050000033333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6</v>
      </c>
      <c r="BO32" s="6">
        <f>+SUMIF('Inputs summary'!$B$1:$B$106,$BI32,'Inputs summary'!$D$1:$D$106)+SUMIF('Inputs summary'!$E$1:$E$106,$BI32,'Inputs summary'!$C$1:$C$106)</f>
        <v>0</v>
      </c>
      <c r="BP32" s="166">
        <f t="shared" si="12"/>
        <v>8.0660102000000009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102.96050000030303</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4</v>
      </c>
      <c r="V34" s="6">
        <f>+SUMIF('Inputs summary'!B:B,H34,'Inputs summary'!D:D)+SUMIF('Inputs summary'!E:E,H34,'Inputs summary'!C:C)</f>
        <v>8</v>
      </c>
      <c r="W34" s="159">
        <f t="shared" si="15"/>
        <v>102.96040000016393</v>
      </c>
      <c r="X34" s="173">
        <f t="shared" si="16"/>
        <v>1</v>
      </c>
      <c r="Y34" s="167">
        <f t="shared" si="7"/>
        <v>3</v>
      </c>
      <c r="Z34" s="173">
        <f t="shared" si="17"/>
        <v>102.96040033349726</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4</v>
      </c>
      <c r="BO34" s="6">
        <f>+SUMIF('Inputs summary'!$B$1:$B$106,$BI34,'Inputs summary'!$D$1:$D$106)+SUMIF('Inputs summary'!$E$1:$E$106,$BI34,'Inputs summary'!$C$1:$C$106)</f>
        <v>5</v>
      </c>
      <c r="BP34" s="166">
        <f t="shared" si="12"/>
        <v>2.9940361000000002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107.02050000058823</v>
      </c>
      <c r="X35" s="173">
        <f t="shared" si="16"/>
        <v>1</v>
      </c>
      <c r="Y35" s="167">
        <f t="shared" si="7"/>
        <v>1</v>
      </c>
      <c r="Z35" s="173">
        <f t="shared" si="17"/>
        <v>107.02050100058823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102.99040000024389</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4</v>
      </c>
      <c r="BO35" s="6">
        <f>+SUMIF('Inputs summary'!$B$1:$B$106,$BI35,'Inputs summary'!$D$1:$D$106)+SUMIF('Inputs summary'!$E$1:$E$106,$BI35,'Inputs summary'!$C$1:$C$106)</f>
        <v>1</v>
      </c>
      <c r="BP35" s="166">
        <f t="shared" si="12"/>
        <v>8.0340116999999989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11</v>
      </c>
      <c r="U36" s="6">
        <f>+SUMIF('Inputs summary'!B:B,H36,'Inputs summary'!C:C)+SUMIF('Inputs summary'!E:E,H36,'Inputs summary'!D:D)</f>
        <v>16</v>
      </c>
      <c r="V36" s="6">
        <f>+SUMIF('Inputs summary'!B:B,H36,'Inputs summary'!D:D)+SUMIF('Inputs summary'!E:E,H36,'Inputs summary'!C:C)</f>
        <v>5</v>
      </c>
      <c r="W36" s="159">
        <f t="shared" si="15"/>
        <v>521.11160001000007</v>
      </c>
      <c r="X36" s="173">
        <f t="shared" si="16"/>
        <v>11111</v>
      </c>
      <c r="Y36" s="167">
        <f t="shared" si="7"/>
        <v>1</v>
      </c>
      <c r="Z36" s="173">
        <f t="shared" si="17"/>
        <v>521.11160101000007</v>
      </c>
      <c r="AA36" s="173">
        <f>+_xlfn.XLOOKUP(H36,'Ranking FIFA'!B:B,'Ranking FIFA'!A:A,"--",0)</f>
        <v>1</v>
      </c>
      <c r="AP36" s="457">
        <f>+_xlfn.XLOOKUP(AQ36,'Ranking FIFA'!B:B,'Ranking FIFA'!A:A,"--",0)</f>
        <v>43</v>
      </c>
      <c r="AQ36" t="s">
        <v>80</v>
      </c>
      <c r="AR36" s="6">
        <v>3</v>
      </c>
      <c r="AT36" s="169">
        <f t="shared" si="8"/>
        <v>0</v>
      </c>
      <c r="AU36" s="166">
        <f t="shared" si="9"/>
        <v>2.9803000002325581</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5</v>
      </c>
      <c r="V37" s="6">
        <f>+SUMIF('Inputs summary'!B:B,H37,'Inputs summary'!D:D)+SUMIF('Inputs summary'!E:E,H37,'Inputs summary'!C:C)</f>
        <v>8</v>
      </c>
      <c r="W37" s="159">
        <f t="shared" si="15"/>
        <v>103.97050000071428</v>
      </c>
      <c r="X37" s="173">
        <f t="shared" si="16"/>
        <v>1</v>
      </c>
      <c r="Y37" s="167">
        <f t="shared" si="7"/>
        <v>2</v>
      </c>
      <c r="Z37" s="173">
        <f t="shared" si="17"/>
        <v>103.97050050071428</v>
      </c>
      <c r="AA37" s="173">
        <f>+_xlfn.XLOOKUP(H37,'Ranking FIFA'!B:B,'Ranking FIFA'!A:A,"--",0)</f>
        <v>14</v>
      </c>
      <c r="AP37" s="457">
        <f>+_xlfn.XLOOKUP(AQ37,'Ranking FIFA'!B:B,'Ranking FIFA'!A:A,"--",0)</f>
        <v>44</v>
      </c>
      <c r="AQ37" t="s">
        <v>81</v>
      </c>
      <c r="AR37" s="6">
        <v>3</v>
      </c>
      <c r="AT37" s="169">
        <f t="shared" si="8"/>
        <v>0</v>
      </c>
      <c r="AU37" s="166">
        <f t="shared" si="9"/>
        <v>0.96010000022727271</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1</v>
      </c>
      <c r="V38" s="6">
        <f>+SUMIF('Inputs summary'!B:B,H38,'Inputs summary'!D:D)+SUMIF('Inputs summary'!E:E,H38,'Inputs summary'!C:C)</f>
        <v>8</v>
      </c>
      <c r="W38" s="159">
        <f t="shared" si="15"/>
        <v>-6.989999982456141E-2</v>
      </c>
      <c r="X38" s="173">
        <f t="shared" si="16"/>
        <v>0</v>
      </c>
      <c r="Y38" s="167">
        <f t="shared" si="7"/>
        <v>4</v>
      </c>
      <c r="Z38" s="173">
        <f t="shared" si="17"/>
        <v>-6.9899749824561416E-2</v>
      </c>
      <c r="AA38" s="173">
        <f>+_xlfn.XLOOKUP(H38,'Ranking FIFA'!B:B,'Ranking FIFA'!A:A,"--",0)</f>
        <v>57</v>
      </c>
      <c r="AP38" s="457">
        <f>+_xlfn.XLOOKUP(AQ38,'Ranking FIFA'!B:B,'Ranking FIFA'!A:A,"--",0)</f>
        <v>60</v>
      </c>
      <c r="AQ38" t="s">
        <v>82</v>
      </c>
      <c r="AR38" s="6">
        <v>3</v>
      </c>
      <c r="AT38" s="169">
        <f t="shared" si="8"/>
        <v>0</v>
      </c>
      <c r="AU38" s="166">
        <f t="shared" si="9"/>
        <v>0.97020000016666663</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1</v>
      </c>
      <c r="BO38" s="6">
        <f>+SUMIF('Inputs summary'!$B$1:$B$106,$BI38,'Inputs summary'!$D$1:$D$106)+SUMIF('Inputs summary'!$E$1:$E$106,$BI38,'Inputs summary'!$C$1:$C$106)</f>
        <v>8</v>
      </c>
      <c r="BP38" s="166">
        <f t="shared" si="12"/>
        <v>-6.895430000000001E-2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2</v>
      </c>
      <c r="U39" s="6">
        <f>+SUMIF('Inputs summary'!B:B,H39,'Inputs summary'!C:C)+SUMIF('Inputs summary'!E:E,H39,'Inputs summary'!D:D)</f>
        <v>9</v>
      </c>
      <c r="V39" s="6">
        <f>+SUMIF('Inputs summary'!B:B,H39,'Inputs summary'!D:D)+SUMIF('Inputs summary'!E:E,H39,'Inputs summary'!C:C)</f>
        <v>7</v>
      </c>
      <c r="W39" s="159">
        <f t="shared" si="15"/>
        <v>207.0209000003226</v>
      </c>
      <c r="X39" s="173">
        <f t="shared" si="16"/>
        <v>11</v>
      </c>
      <c r="Y39" s="167">
        <f t="shared" si="7"/>
        <v>2</v>
      </c>
      <c r="Z39" s="173">
        <f t="shared" si="17"/>
        <v>207.0209005003226</v>
      </c>
      <c r="AA39" s="173">
        <f>+_xlfn.XLOOKUP(H39,'Ranking FIFA'!B:B,'Ranking FIFA'!A:A,"--",0)</f>
        <v>31</v>
      </c>
      <c r="AP39" s="457">
        <f>+_xlfn.XLOOKUP(AQ39,'Ranking FIFA'!B:B,'Ranking FIFA'!A:A,"--",0)</f>
        <v>61</v>
      </c>
      <c r="AQ39" t="s">
        <v>83</v>
      </c>
      <c r="AR39" s="6">
        <v>3</v>
      </c>
      <c r="AT39" s="169">
        <f t="shared" si="8"/>
        <v>1</v>
      </c>
      <c r="AU39" s="166">
        <f t="shared" si="9"/>
        <v>102.96040000016393</v>
      </c>
      <c r="BH39">
        <v>36</v>
      </c>
      <c r="BI39" t="str">
        <f t="shared" si="11"/>
        <v>Noruega</v>
      </c>
      <c r="BJ39" s="6">
        <f>+COUNTIFS('Inputs summary'!I$2:I$106,BI39)</f>
        <v>1</v>
      </c>
      <c r="BK39" s="6">
        <f>+COUNTIFS('Inputs summary'!J$2:K$106,BI39)</f>
        <v>1</v>
      </c>
      <c r="BL39" s="6">
        <f>+COUNTIFS('Inputs summary'!L$2:L$106,BI39)</f>
        <v>1</v>
      </c>
      <c r="BM39" s="6">
        <f t="shared" si="19"/>
        <v>2</v>
      </c>
      <c r="BN39" s="6">
        <f>+SUMIF('Inputs summary'!$B$1:$B$106,$BI39,'Inputs summary'!$C$1:$C$106)+SUMIF('Inputs summary'!$E$1:$E$106,$BI39,'Inputs summary'!$D$1:$D$106)</f>
        <v>6</v>
      </c>
      <c r="BO39" s="6">
        <f>+SUMIF('Inputs summary'!$B$1:$B$106,$BI39,'Inputs summary'!$D$1:$D$106)+SUMIF('Inputs summary'!$E$1:$E$106,$BI39,'Inputs summary'!$C$1:$C$106)</f>
        <v>4</v>
      </c>
      <c r="BP39" s="166">
        <f t="shared" si="12"/>
        <v>5.0260230999999997</v>
      </c>
    </row>
    <row r="40" spans="7:68" x14ac:dyDescent="0.2">
      <c r="G40">
        <v>37</v>
      </c>
      <c r="H40" t="str">
        <f>+'Groups Stage'!O84</f>
        <v>Argentina</v>
      </c>
      <c r="I40" s="6">
        <f t="shared" si="0"/>
        <v>0</v>
      </c>
      <c r="J40" s="6">
        <f t="shared" si="1"/>
        <v>2</v>
      </c>
      <c r="K40" s="6">
        <f t="shared" si="2"/>
        <v>0</v>
      </c>
      <c r="L40" s="6">
        <f t="shared" si="3"/>
        <v>1</v>
      </c>
      <c r="M40" s="6">
        <f t="shared" si="4"/>
        <v>1</v>
      </c>
      <c r="N40" s="6">
        <f t="shared" si="5"/>
        <v>1</v>
      </c>
      <c r="O40" s="6">
        <f t="shared" si="6"/>
        <v>1</v>
      </c>
      <c r="P40" s="6">
        <f t="shared" si="13"/>
        <v>6</v>
      </c>
      <c r="Q40" s="6">
        <f>+COUNTIFS('Inputs summary'!I:I,$H40)</f>
        <v>6</v>
      </c>
      <c r="R40" s="6">
        <f>+COUNTIFS('Inputs summary'!J:K,$H40)</f>
        <v>1</v>
      </c>
      <c r="S40" s="6">
        <f>+COUNTIFS('Inputs summary'!L:L,$H40)</f>
        <v>1</v>
      </c>
      <c r="T40" s="6">
        <f t="shared" si="14"/>
        <v>12</v>
      </c>
      <c r="U40" s="6">
        <f>+SUMIF('Inputs summary'!B:B,H40,'Inputs summary'!C:C)+SUMIF('Inputs summary'!E:E,H40,'Inputs summary'!D:D)</f>
        <v>17</v>
      </c>
      <c r="V40" s="6">
        <f>+SUMIF('Inputs summary'!B:B,H40,'Inputs summary'!D:D)+SUMIF('Inputs summary'!E:E,H40,'Inputs summary'!C:C)</f>
        <v>5</v>
      </c>
      <c r="W40" s="159">
        <f t="shared" si="15"/>
        <v>619.12170000333333</v>
      </c>
      <c r="X40" s="173">
        <f t="shared" si="16"/>
        <v>201111</v>
      </c>
      <c r="Y40" s="167">
        <f t="shared" si="7"/>
        <v>1</v>
      </c>
      <c r="Z40" s="173">
        <f t="shared" si="17"/>
        <v>619.12170100333333</v>
      </c>
      <c r="AA40" s="173">
        <f>+_xlfn.XLOOKUP(H40,'Ranking FIFA'!B:B,'Ranking FIFA'!A:A,"--",0)</f>
        <v>3</v>
      </c>
      <c r="AP40" s="457">
        <f>+_xlfn.XLOOKUP(AQ40,'Ranking FIFA'!B:B,'Ranking FIFA'!A:A,"--",0)</f>
        <v>65</v>
      </c>
      <c r="AQ40" s="456" t="s">
        <v>84</v>
      </c>
      <c r="AR40" s="6">
        <v>3</v>
      </c>
      <c r="AT40" s="169">
        <f t="shared" si="8"/>
        <v>1</v>
      </c>
      <c r="AU40" s="166">
        <f t="shared" si="9"/>
        <v>103.98040000015385</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9</v>
      </c>
      <c r="BO40" s="6">
        <f>+SUMIF('Inputs summary'!$B$1:$B$106,$BI40,'Inputs summary'!$D$1:$D$106)+SUMIF('Inputs summary'!$E$1:$E$106,$BI40,'Inputs summary'!$C$1:$C$106)</f>
        <v>0</v>
      </c>
      <c r="BP40" s="166">
        <f t="shared" si="12"/>
        <v>9.0990102999999998</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-5</v>
      </c>
      <c r="U41" s="6">
        <f>+SUMIF('Inputs summary'!B:B,H41,'Inputs summary'!C:C)+SUMIF('Inputs summary'!E:E,H41,'Inputs summary'!D:D)</f>
        <v>2</v>
      </c>
      <c r="V41" s="6">
        <f>+SUMIF('Inputs summary'!B:B,H41,'Inputs summary'!D:D)+SUMIF('Inputs summary'!E:E,H41,'Inputs summary'!C:C)</f>
        <v>7</v>
      </c>
      <c r="W41" s="159">
        <f t="shared" si="15"/>
        <v>0.9502000003571428</v>
      </c>
      <c r="X41" s="173">
        <f t="shared" si="16"/>
        <v>0</v>
      </c>
      <c r="Y41" s="167">
        <f t="shared" si="7"/>
        <v>3</v>
      </c>
      <c r="Z41" s="173">
        <f t="shared" si="17"/>
        <v>0.95020033369047618</v>
      </c>
      <c r="AA41" s="173">
        <f>+_xlfn.XLOOKUP(H41,'Ranking FIFA'!B:B,'Ranking FIFA'!A:A,"--",0)</f>
        <v>28</v>
      </c>
      <c r="AP41" s="457">
        <f>+_xlfn.XLOOKUP(AQ41,'Ranking FIFA'!B:B,'Ranking FIFA'!A:A,"--",0)</f>
        <v>74</v>
      </c>
      <c r="AQ41" t="s">
        <v>85</v>
      </c>
      <c r="AR41" s="6">
        <v>3</v>
      </c>
      <c r="AT41" s="169">
        <f t="shared" si="8"/>
        <v>0</v>
      </c>
      <c r="AU41" s="166">
        <f t="shared" si="9"/>
        <v>-2.9799999864864864E-2</v>
      </c>
      <c r="BH41">
        <v>38</v>
      </c>
      <c r="BI41" t="str">
        <f t="shared" si="11"/>
        <v>Argelia</v>
      </c>
      <c r="BJ41" s="6">
        <f>+COUNTIFS('Inputs summary'!I$2:I$106,BI41)</f>
        <v>0</v>
      </c>
      <c r="BK41" s="6">
        <f>+COUNTIFS('Inputs summary'!J$2:K$106,BI41)</f>
        <v>1</v>
      </c>
      <c r="BL41" s="6">
        <f>+COUNTIFS('Inputs summary'!L$2:L$106,BI41)</f>
        <v>2</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1.9520328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v>
      </c>
      <c r="AU42" s="166">
        <f t="shared" si="9"/>
        <v>103.9802000004762</v>
      </c>
      <c r="BH42">
        <v>39</v>
      </c>
      <c r="BI42" t="str">
        <f t="shared" si="11"/>
        <v>Austria</v>
      </c>
      <c r="BJ42" s="6">
        <f>+COUNTIFS('Inputs summary'!I$2:I$106,BI42)</f>
        <v>2</v>
      </c>
      <c r="BK42" s="6">
        <f>+COUNTIFS('Inputs summary'!J$2:K$106,BI42)</f>
        <v>0</v>
      </c>
      <c r="BL42" s="6">
        <f>+COUNTIFS('Inputs summary'!L$2:L$106,BI42)</f>
        <v>1</v>
      </c>
      <c r="BM42" s="6">
        <f t="shared" si="19"/>
        <v>0</v>
      </c>
      <c r="BN42" s="6">
        <f>+SUMIF('Inputs summary'!$B$1:$B$106,$BI42,'Inputs summary'!$C$1:$C$106)+SUMIF('Inputs summary'!$E$1:$E$106,$BI42,'Inputs summary'!$D$1:$D$106)</f>
        <v>4</v>
      </c>
      <c r="BO42" s="6">
        <f>+SUMIF('Inputs summary'!$B$1:$B$106,$BI42,'Inputs summary'!$D$1:$D$106)+SUMIF('Inputs summary'!$E$1:$E$106,$BI42,'Inputs summary'!$C$1:$C$106)</f>
        <v>4</v>
      </c>
      <c r="BP42" s="166">
        <f t="shared" si="12"/>
        <v>6.0040323999999989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-4</v>
      </c>
      <c r="U43" s="6">
        <f>+SUMIF('Inputs summary'!B:B,H43,'Inputs summary'!C:C)+SUMIF('Inputs summary'!E:E,H43,'Inputs summary'!D:D)</f>
        <v>2</v>
      </c>
      <c r="V43" s="6">
        <f>+SUMIF('Inputs summary'!B:B,H43,'Inputs summary'!D:D)+SUMIF('Inputs summary'!E:E,H43,'Inputs summary'!C:C)</f>
        <v>6</v>
      </c>
      <c r="W43" s="159">
        <f t="shared" si="15"/>
        <v>0.96020000015873008</v>
      </c>
      <c r="X43" s="173">
        <f t="shared" si="16"/>
        <v>0</v>
      </c>
      <c r="Y43" s="167">
        <f t="shared" si="7"/>
        <v>4</v>
      </c>
      <c r="Z43" s="173">
        <f t="shared" si="17"/>
        <v>0.96020025015873012</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-4</v>
      </c>
      <c r="BN43" s="6">
        <f>+SUMIF('Inputs summary'!$B$1:$B$106,$BI43,'Inputs summary'!$C$1:$C$106)+SUMIF('Inputs summary'!$E$1:$E$106,$BI43,'Inputs summary'!$D$1:$D$106)</f>
        <v>2</v>
      </c>
      <c r="BO43" s="6">
        <f>+SUMIF('Inputs summary'!$B$1:$B$106,$BI43,'Inputs summary'!$D$1:$D$106)+SUMIF('Inputs summary'!$E$1:$E$106,$BI43,'Inputs summary'!$C$1:$C$106)</f>
        <v>6</v>
      </c>
      <c r="BP43" s="166">
        <f t="shared" si="12"/>
        <v>1.9620462999999999</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9</v>
      </c>
      <c r="U44" s="6">
        <f>+SUMIF('Inputs summary'!B:B,H44,'Inputs summary'!C:C)+SUMIF('Inputs summary'!E:E,H44,'Inputs summary'!D:D)</f>
        <v>13</v>
      </c>
      <c r="V44" s="6">
        <f>+SUMIF('Inputs summary'!B:B,H44,'Inputs summary'!D:D)+SUMIF('Inputs summary'!E:E,H44,'Inputs summary'!C:C)</f>
        <v>4</v>
      </c>
      <c r="W44" s="159">
        <f t="shared" si="15"/>
        <v>316.09130000199997</v>
      </c>
      <c r="X44" s="173">
        <f t="shared" si="16"/>
        <v>111</v>
      </c>
      <c r="Y44" s="167">
        <f t="shared" si="7"/>
        <v>1</v>
      </c>
      <c r="Z44" s="173">
        <f t="shared" si="17"/>
        <v>316.09130100199997</v>
      </c>
      <c r="AA44" s="173">
        <f>+_xlfn.XLOOKUP(H44,'Ranking FIFA'!B:B,'Ranking FIFA'!A:A,"--",0)</f>
        <v>5</v>
      </c>
      <c r="AP44" s="457">
        <f>+_xlfn.XLOOKUP(AQ44,'Ranking FIFA'!B:B,'Ranking FIFA'!A:A,"--",0)</f>
        <v>50</v>
      </c>
      <c r="AQ44" t="s">
        <v>88</v>
      </c>
      <c r="AR44" s="6">
        <v>4</v>
      </c>
      <c r="AT44" s="169">
        <f t="shared" si="8"/>
        <v>0</v>
      </c>
      <c r="AU44" s="166">
        <f t="shared" si="9"/>
        <v>0.96020000019999996</v>
      </c>
      <c r="BH44">
        <v>41</v>
      </c>
      <c r="BI44" t="str">
        <f t="shared" si="11"/>
        <v>Portugal</v>
      </c>
      <c r="BJ44" s="6">
        <f>+COUNTIFS('Inputs summary'!I$2:I$106,BI44)</f>
        <v>3</v>
      </c>
      <c r="BK44" s="6">
        <f>+COUNTIFS('Inputs summary'!J$2:K$106,BI44)</f>
        <v>0</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9.0570105000000005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-4.9899999818181821E-2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2</v>
      </c>
      <c r="V46" s="6">
        <f>+SUMIF('Inputs summary'!B:B,H46,'Inputs summary'!D:D)+SUMIF('Inputs summary'!E:E,H46,'Inputs summary'!C:C)</f>
        <v>6</v>
      </c>
      <c r="W46" s="159">
        <f t="shared" si="15"/>
        <v>0.96020000019999996</v>
      </c>
      <c r="X46" s="173">
        <f t="shared" si="16"/>
        <v>0</v>
      </c>
      <c r="Y46" s="167">
        <f t="shared" si="7"/>
        <v>4</v>
      </c>
      <c r="Z46" s="173">
        <f t="shared" si="17"/>
        <v>0.96020025019999999</v>
      </c>
      <c r="AA46" s="173">
        <f>+_xlfn.XLOOKUP(H46,'Ranking FIFA'!B:B,'Ranking FIFA'!A:A,"--",0)</f>
        <v>50</v>
      </c>
      <c r="AP46" s="457">
        <f>+_xlfn.XLOOKUP(AQ46,'Ranking FIFA'!B:B,'Ranking FIFA'!A:A,"--",0)</f>
        <v>57</v>
      </c>
      <c r="AQ46" s="456" t="s">
        <v>90</v>
      </c>
      <c r="AR46" s="6">
        <v>4</v>
      </c>
      <c r="AT46" s="169">
        <f t="shared" si="8"/>
        <v>0</v>
      </c>
      <c r="AU46" s="166">
        <f t="shared" si="9"/>
        <v>-6.989999982456141E-2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2</v>
      </c>
      <c r="BO46" s="6">
        <f>+SUMIF('Inputs summary'!$B$1:$B$106,$BI46,'Inputs summary'!$D$1:$D$106)+SUMIF('Inputs summary'!$E$1:$E$106,$BI46,'Inputs summary'!$C$1:$C$106)</f>
        <v>6</v>
      </c>
      <c r="BP46" s="166">
        <f t="shared" si="12"/>
        <v>1.962045</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3</v>
      </c>
      <c r="U47" s="6">
        <f>+SUMIF('Inputs summary'!B:B,H47,'Inputs summary'!C:C)+SUMIF('Inputs summary'!E:E,H47,'Inputs summary'!D:D)</f>
        <v>9</v>
      </c>
      <c r="V47" s="6">
        <f>+SUMIF('Inputs summary'!B:B,H47,'Inputs summary'!D:D)+SUMIF('Inputs summary'!E:E,H47,'Inputs summary'!C:C)</f>
        <v>6</v>
      </c>
      <c r="W47" s="159">
        <f t="shared" si="15"/>
        <v>209.03090000076924</v>
      </c>
      <c r="X47" s="173">
        <f t="shared" si="16"/>
        <v>11</v>
      </c>
      <c r="Y47" s="167">
        <f t="shared" si="7"/>
        <v>2</v>
      </c>
      <c r="Z47" s="173">
        <f t="shared" si="17"/>
        <v>209.03090050076923</v>
      </c>
      <c r="AA47" s="173">
        <f>+_xlfn.XLOOKUP(H47,'Ranking FIFA'!B:B,'Ranking FIFA'!A:A,"--",0)</f>
        <v>13</v>
      </c>
      <c r="AP47" s="457">
        <f>+_xlfn.XLOOKUP(AQ47,'Ranking FIFA'!B:B,'Ranking FIFA'!A:A,"--",0)</f>
        <v>63</v>
      </c>
      <c r="AQ47" t="s">
        <v>91</v>
      </c>
      <c r="AR47" s="6">
        <v>4</v>
      </c>
      <c r="AT47" s="169">
        <f t="shared" si="8"/>
        <v>0</v>
      </c>
      <c r="AU47" s="166">
        <f t="shared" si="9"/>
        <v>0.96020000015873008</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6</v>
      </c>
      <c r="U48" s="6">
        <f>+SUMIF('Inputs summary'!B:B,H48,'Inputs summary'!C:C)+SUMIF('Inputs summary'!E:E,H48,'Inputs summary'!D:D)</f>
        <v>16</v>
      </c>
      <c r="V48" s="6">
        <f>+SUMIF('Inputs summary'!B:B,H48,'Inputs summary'!D:D)+SUMIF('Inputs summary'!E:E,H48,'Inputs summary'!C:C)</f>
        <v>10</v>
      </c>
      <c r="W48" s="159">
        <f t="shared" si="15"/>
        <v>418.06160000249997</v>
      </c>
      <c r="X48" s="173">
        <f t="shared" si="16"/>
        <v>1111</v>
      </c>
      <c r="Y48" s="167">
        <f t="shared" si="7"/>
        <v>1</v>
      </c>
      <c r="Z48" s="173">
        <f t="shared" si="17"/>
        <v>418.06160100249997</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7</v>
      </c>
      <c r="BO48" s="6">
        <f>+SUMIF('Inputs summary'!$B$1:$B$106,$BI48,'Inputs summary'!$D$1:$D$106)+SUMIF('Inputs summary'!$E$1:$E$106,$BI48,'Inputs summary'!$C$1:$C$106)</f>
        <v>3</v>
      </c>
      <c r="BP48" s="166">
        <f t="shared" si="12"/>
        <v>9.0470103999999978</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5</v>
      </c>
      <c r="V49" s="6">
        <f>+SUMIF('Inputs summary'!B:B,H49,'Inputs summary'!D:D)+SUMIF('Inputs summary'!E:E,H49,'Inputs summary'!C:C)</f>
        <v>5</v>
      </c>
      <c r="W49" s="159">
        <f t="shared" si="15"/>
        <v>106.0005000009091</v>
      </c>
      <c r="X49" s="173">
        <f t="shared" si="16"/>
        <v>1</v>
      </c>
      <c r="Y49" s="167">
        <f t="shared" si="7"/>
        <v>1</v>
      </c>
      <c r="Z49" s="173">
        <f t="shared" si="17"/>
        <v>106.0005010009091</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3</v>
      </c>
      <c r="BP49" s="166">
        <f t="shared" si="12"/>
        <v>6.0140110999999994</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-3</v>
      </c>
      <c r="U50" s="6">
        <f>+SUMIF('Inputs summary'!B:B,H50,'Inputs summary'!C:C)+SUMIF('Inputs summary'!E:E,H50,'Inputs summary'!D:D)</f>
        <v>2</v>
      </c>
      <c r="V50" s="6">
        <f>+SUMIF('Inputs summary'!B:B,H50,'Inputs summary'!D:D)+SUMIF('Inputs summary'!E:E,H50,'Inputs summary'!C:C)</f>
        <v>5</v>
      </c>
      <c r="W50" s="159">
        <f t="shared" si="15"/>
        <v>-2.9799999864864864E-2</v>
      </c>
      <c r="X50" s="173">
        <f t="shared" si="16"/>
        <v>0</v>
      </c>
      <c r="Y50" s="167">
        <f t="shared" si="7"/>
        <v>3</v>
      </c>
      <c r="Z50" s="173">
        <f t="shared" si="17"/>
        <v>-2.979966653153153E-2</v>
      </c>
      <c r="AA50" s="173">
        <f>+_xlfn.XLOOKUP(H50,'Ranking FIFA'!B:B,'Ranking FIFA'!A:A,"--",0)</f>
        <v>74</v>
      </c>
      <c r="AP50" s="457">
        <f>+_xlfn.XLOOKUP(AQ50,'Ranking FIFA'!B:B,'Ranking FIFA'!A:A,"--",0)</f>
        <v>83</v>
      </c>
      <c r="AQ50" t="s">
        <v>94</v>
      </c>
      <c r="AR50" s="6">
        <v>4</v>
      </c>
      <c r="AT50" s="169">
        <f t="shared" si="8"/>
        <v>0</v>
      </c>
      <c r="AU50" s="166">
        <f t="shared" si="9"/>
        <v>-6.9899999879518074E-2</v>
      </c>
      <c r="BH50">
        <v>47</v>
      </c>
      <c r="BI50" t="str">
        <f t="shared" si="11"/>
        <v>Ghana</v>
      </c>
      <c r="BJ50" s="6">
        <f>+COUNTIFS('Inputs summary'!I$2:I$106,BI50)</f>
        <v>0</v>
      </c>
      <c r="BK50" s="6">
        <f>+COUNTIFS('Inputs summary'!J$2:K$106,BI50)</f>
        <v>0</v>
      </c>
      <c r="BL50" s="6">
        <f>+COUNTIFS('Inputs summary'!L$2:L$106,BI50)</f>
        <v>3</v>
      </c>
      <c r="BM50" s="6">
        <f t="shared" si="19"/>
        <v>-3</v>
      </c>
      <c r="BN50" s="6">
        <f>+SUMIF('Inputs summary'!$B$1:$B$106,$BI50,'Inputs summary'!$C$1:$C$106)+SUMIF('Inputs summary'!$E$1:$E$106,$BI50,'Inputs summary'!$D$1:$D$106)</f>
        <v>2</v>
      </c>
      <c r="BO50" s="6">
        <f>+SUMIF('Inputs summary'!$B$1:$B$106,$BI50,'Inputs summary'!$D$1:$D$106)+SUMIF('Inputs summary'!$E$1:$E$106,$BI50,'Inputs summary'!$C$1:$C$106)</f>
        <v>5</v>
      </c>
      <c r="BP50" s="166">
        <f t="shared" si="12"/>
        <v>-2.7962599999999997E-2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0</v>
      </c>
      <c r="S51" s="6">
        <f>+COUNTIFS('Inputs summary'!L:L,$H51)</f>
        <v>3</v>
      </c>
      <c r="T51" s="6">
        <f t="shared" si="14"/>
        <v>-4</v>
      </c>
      <c r="U51" s="6">
        <f>+SUMIF('Inputs summary'!B:B,H51,'Inputs summary'!C:C)+SUMIF('Inputs summary'!E:E,H51,'Inputs summary'!D:D)</f>
        <v>5</v>
      </c>
      <c r="V51" s="6">
        <f>+SUMIF('Inputs summary'!B:B,H51,'Inputs summary'!D:D)+SUMIF('Inputs summary'!E:E,H51,'Inputs summary'!C:C)</f>
        <v>9</v>
      </c>
      <c r="W51" s="159">
        <f t="shared" si="15"/>
        <v>102.96050000030303</v>
      </c>
      <c r="X51" s="173">
        <f t="shared" si="16"/>
        <v>1</v>
      </c>
      <c r="Y51" s="167">
        <f t="shared" si="7"/>
        <v>3</v>
      </c>
      <c r="Z51" s="173">
        <f t="shared" si="17"/>
        <v>102.96050033363636</v>
      </c>
      <c r="AA51" s="173">
        <f>+_xlfn.XLOOKUP(H51,'Ranking FIFA'!B:B,'Ranking FIFA'!A:A,"--",0)</f>
        <v>33</v>
      </c>
      <c r="AP51" s="457">
        <f>+_xlfn.XLOOKUP(AQ51,'Ranking FIFA'!B:B,'Ranking FIFA'!A:A,"--",0)</f>
        <v>85</v>
      </c>
      <c r="AQ51" t="s">
        <v>95</v>
      </c>
      <c r="AR51" s="6">
        <v>4</v>
      </c>
      <c r="AT51" s="169">
        <f t="shared" si="8"/>
        <v>0</v>
      </c>
      <c r="AU51" s="166">
        <f t="shared" si="9"/>
        <v>-3.9899999882352939E-2</v>
      </c>
      <c r="BH51">
        <v>48</v>
      </c>
      <c r="BI51" t="str">
        <f t="shared" si="11"/>
        <v>Panama</v>
      </c>
      <c r="BJ51" s="6">
        <f>+COUNTIFS('Inputs summary'!I$2:I$106,BI51)</f>
        <v>1</v>
      </c>
      <c r="BK51" s="6">
        <f>+COUNTIFS('Inputs summary'!J$2:K$106,BI51)</f>
        <v>0</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2.9840333000000001</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2026-06-04T17:04:50Z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