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3" documentId="8_{090567B0-0FB0-4301-9550-A1C14210A5DB}" xr6:coauthVersionLast="47" xr6:coauthVersionMax="47" xr10:uidLastSave="{7F3BAE8C-F155-47EA-95EC-0D917DACE271}"/>
  <bookViews>
    <workbookView xWindow="-108" yWindow="-108" windowWidth="23256" windowHeight="13896" tabRatio="808" activeTab="1"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state="hidden"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iterate="1" iterateCount="10" iterateDelta="1E-4" concurrentManualCount="12"/>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I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J106" i="9" l="1"/>
  <c r="BO18" i="5"/>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18" i="5" l="1"/>
  <c r="BM7" i="5"/>
  <c r="BO50" i="5"/>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V5" i="4" l="1"/>
  <c r="V85"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L131" i="9" l="1"/>
  <c r="E21" i="7"/>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L135" i="9"/>
  <c r="K135" i="9"/>
  <c r="B135" i="9"/>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T44" i="5" s="1"/>
  <c r="W44" i="5" s="1"/>
  <c r="AU8" i="5" s="1"/>
  <c r="U18" i="5"/>
  <c r="U37" i="5"/>
  <c r="U9" i="5"/>
  <c r="T9" i="5" s="1"/>
  <c r="W9" i="5" s="1"/>
  <c r="AU40" i="5" s="1"/>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T10" i="5" s="1"/>
  <c r="W10" i="5" s="1"/>
  <c r="U23" i="5"/>
  <c r="U39" i="5"/>
  <c r="U22" i="5"/>
  <c r="U30" i="5"/>
  <c r="U4" i="5"/>
  <c r="T4" i="5" s="1"/>
  <c r="W4" i="5" s="1"/>
  <c r="AU18" i="5" s="1"/>
  <c r="U7" i="5"/>
  <c r="T7" i="5" s="1"/>
  <c r="W7" i="5" s="1"/>
  <c r="AU35" i="5" s="1"/>
  <c r="U12" i="5"/>
  <c r="T18" i="5" l="1"/>
  <c r="W18" i="5" s="1"/>
  <c r="AU29" i="5" s="1"/>
  <c r="Z10" i="5"/>
  <c r="AU45" i="5"/>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 i="5"/>
  <c r="Z44" i="5"/>
  <c r="Z7" i="5"/>
  <c r="Z17" i="5"/>
  <c r="Z9" i="5"/>
  <c r="T46" i="5"/>
  <c r="W46" i="5" s="1"/>
  <c r="AU44" i="5" s="1"/>
  <c r="T23" i="5"/>
  <c r="W23" i="5" s="1"/>
  <c r="AU23" i="5" s="1"/>
  <c r="T14" i="5"/>
  <c r="W14" i="5" s="1"/>
  <c r="AU50" i="5" s="1"/>
  <c r="Z18" i="5" l="1"/>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<sst xmlns="http://schemas.openxmlformats.org/spreadsheetml/2006/main" count="5997" uniqueCount="866">
  <si>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</si>
  <si>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</si>
  <si>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</si>
  <si>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</si>
  <si>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</si>
  <si>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</si>
  <si>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</si>
  <si>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</si>
  <si>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</si>
  <si>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</si>
  <si>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</si>
  <si>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</si>
  <si>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</si>
  <si>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</si>
  <si>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</si>
  <si>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</si>
  <si>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</si>
  <si>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</si>
  <si>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</si>
  <si>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</si>
  <si>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</si>
  <si>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</si>
  <si>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</si>
  <si>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</si>
  <si>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</si>
  <si>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</si>
  <si>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</si>
  <si>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</si>
  <si>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</si>
  <si>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</si>
  <si>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</si>
  <si>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</si>
  <si>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</si>
  <si>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</si>
  <si>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</si>
  <si>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</si>
  <si>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</si>
  <si>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</si>
  <si>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</si>
  <si>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</si>
  <si>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</si>
  <si>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</si>
  <si>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</si>
  <si>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</si>
  <si>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</si>
  <si>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</si>
  <si>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</si>
  <si>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</si>
  <si>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</si>
  <si>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</si>
  <si>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</si>
  <si>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</si>
  <si>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</si>
  <si>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</si>
  <si>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</si>
  <si>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</si>
  <si>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</si>
  <si>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</si>
  <si>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</si>
  <si>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</si>
  <si>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</si>
  <si>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</si>
  <si>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</si>
  <si>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</si>
  <si>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</si>
  <si>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</si>
  <si>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</si>
  <si>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</si>
  <si>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</si>
  <si>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</si>
  <si>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</si>
  <si>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</si>
  <si>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</si>
  <si>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</si>
  <si>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</si>
  <si>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</si>
  <si>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</si>
  <si>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</si>
  <si>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</si>
  <si>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</si>
  <si>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</si>
  <si>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</si>
  <si>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</si>
  <si>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</si>
  <si>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</si>
  <si>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</si>
  <si>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</si>
  <si>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</si>
  <si>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</si>
  <si>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</si>
  <si>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</si>
  <si>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</si>
  <si>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</si>
  <si>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</si>
  <si>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</si>
  <si>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</si>
  <si>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</si>
  <si>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</si>
  <si>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</si>
  <si>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</si>
  <si>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</si>
  <si>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</si>
  <si>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</si>
  <si>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</si>
  <si>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</si>
  <si>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</si>
  <si>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</si>
  <si>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</si>
  <si>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</si>
  <si>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</si>
  <si>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</si>
  <si>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</si>
  <si>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</si>
  <si>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</si>
  <si>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</si>
  <si>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</si>
  <si>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</si>
  <si>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</si>
  <si>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</si>
  <si>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</si>
  <si>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</si>
  <si>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</si>
  <si>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</si>
  <si>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</si>
  <si>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</si>
  <si>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</si>
  <si>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</si>
  <si>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</si>
  <si>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</si>
  <si>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</si>
  <si>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</si>
  <si>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</si>
  <si>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</si>
  <si>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</si>
  <si>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</si>
  <si>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</si>
  <si>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</si>
  <si>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</si>
  <si>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</si>
  <si>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</si>
  <si>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</si>
  <si>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</si>
  <si>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</si>
  <si>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</si>
  <si>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</si>
  <si>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</si>
  <si>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</si>
  <si>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</si>
  <si>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</si>
  <si>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</si>
  <si>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</si>
  <si>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</si>
  <si>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</si>
  <si>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</si>
  <si>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</si>
  <si>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</si>
  <si>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</si>
  <si>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</si>
  <si>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</si>
  <si>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</si>
  <si>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</si>
  <si>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</si>
  <si>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</si>
  <si>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</si>
  <si>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</si>
  <si>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</si>
  <si>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</si>
  <si>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</si>
  <si>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</si>
  <si>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</si>
  <si>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</si>
  <si>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</si>
  <si>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</si>
  <si>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</si>
  <si>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</si>
  <si>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</si>
  <si>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</si>
  <si>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</si>
  <si>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</si>
  <si>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</si>
  <si>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</si>
  <si>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</si>
  <si>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</si>
  <si>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</si>
  <si>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</si>
  <si>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</si>
  <si>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</si>
  <si>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</si>
  <si>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</si>
  <si>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</si>
  <si>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</si>
  <si>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</si>
  <si>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</si>
  <si>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</si>
  <si>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</si>
  <si>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</si>
  <si>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</si>
  <si>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</si>
  <si>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</si>
  <si>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</si>
  <si>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</si>
  <si>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</si>
  <si>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</si>
  <si>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</si>
  <si>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</si>
  <si>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</si>
  <si>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</si>
  <si>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</si>
  <si>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</si>
  <si>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</si>
  <si>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</si>
  <si>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</si>
  <si>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</si>
  <si>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</si>
  <si>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</si>
  <si>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</si>
  <si>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</si>
  <si>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</si>
  <si>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</si>
  <si>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</si>
  <si>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</si>
  <si>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</si>
  <si>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</si>
  <si>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</si>
  <si>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</si>
  <si>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</si>
  <si>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</si>
  <si>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</si>
  <si>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</si>
  <si>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</si>
  <si>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</si>
  <si>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</si>
  <si>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</si>
  <si>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</si>
  <si>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</si>
  <si>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</si>
  <si>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</si>
  <si>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</si>
  <si>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</si>
  <si>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</si>
  <si>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</si>
  <si>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</si>
  <si>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</si>
  <si>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</si>
  <si>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</si>
  <si>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</si>
  <si>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</si>
  <si>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</si>
  <si>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</si>
  <si>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</si>
  <si>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</si>
  <si>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</si>
  <si>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</si>
  <si>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</si>
  <si>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</si>
  <si>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</si>
  <si>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</si>
  <si>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</si>
  <si>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</si>
  <si>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</si>
  <si>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</si>
  <si>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</si>
  <si>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</si>
  <si>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</si>
  <si>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</si>
  <si>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</si>
  <si>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</si>
  <si>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</si>
  <si>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</si>
  <si>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</si>
  <si>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</si>
  <si>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</si>
  <si>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</si>
  <si>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</si>
  <si>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</si>
  <si>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</si>
  <si>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</si>
  <si>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</si>
  <si>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</si>
  <si>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</si>
  <si>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</si>
  <si>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</si>
  <si>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</si>
  <si>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</si>
  <si>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</si>
  <si>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</si>
  <si>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</si>
  <si>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</si>
  <si>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</si>
  <si>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</si>
  <si>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</si>
  <si>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</si>
  <si>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</si>
  <si>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</si>
  <si>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</si>
  <si>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</si>
  <si>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</si>
  <si>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</si>
  <si>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</si>
  <si>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</si>
  <si>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</si>
  <si>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</si>
  <si>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</si>
  <si>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</si>
  <si>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</si>
  <si>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</si>
  <si>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</si>
  <si>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</si>
  <si>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</si>
  <si>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</si>
  <si>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</si>
  <si>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</si>
  <si>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</si>
  <si>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</si>
  <si>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</si>
  <si>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</si>
  <si>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</si>
  <si>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</si>
  <si>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</si>
  <si>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</si>
  <si>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</si>
  <si>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</si>
  <si>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</si>
  <si>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</si>
  <si>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</si>
  <si>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</si>
  <si>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</si>
  <si>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</si>
  <si>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</si>
  <si>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</si>
  <si>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</si>
  <si>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</si>
  <si>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</si>
  <si>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</si>
  <si>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</si>
  <si>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</si>
  <si>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</si>
  <si>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</si>
  <si>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</si>
  <si>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</si>
  <si>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</si>
  <si>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</si>
  <si>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</si>
  <si>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</si>
  <si>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</si>
  <si>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</si>
  <si>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</si>
  <si>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</si>
  <si>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</si>
  <si>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</si>
  <si>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</si>
  <si>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</si>
  <si>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</si>
  <si>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</si>
  <si>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</si>
  <si>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</si>
  <si>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</si>
  <si>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</si>
  <si>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</si>
  <si>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</si>
  <si>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</si>
  <si>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</si>
  <si>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</si>
  <si>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</si>
  <si>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</si>
  <si>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</si>
  <si>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</si>
  <si>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</si>
  <si>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</si>
  <si>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</si>
  <si>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</si>
  <si>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</si>
  <si>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</si>
  <si>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</si>
  <si>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</si>
  <si>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</si>
  <si>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</si>
  <si>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</si>
  <si>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</si>
  <si>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</si>
  <si>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</si>
  <si>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</si>
  <si>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</si>
  <si>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</si>
  <si>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</si>
  <si>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</si>
  <si>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</si>
  <si>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</si>
  <si>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</si>
  <si>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</si>
  <si>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</si>
  <si>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</si>
  <si>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</si>
  <si>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</si>
  <si>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</si>
  <si>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</si>
  <si>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</si>
  <si>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</si>
  <si>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</si>
  <si>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</si>
  <si>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</si>
  <si>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</si>
  <si>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</si>
  <si>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</si>
  <si>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</si>
  <si>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</si>
  <si>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</si>
  <si>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</si>
  <si>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</si>
  <si>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</si>
  <si>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</si>
  <si>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</si>
  <si>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</si>
  <si>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</si>
  <si>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</si>
  <si>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</si>
  <si>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</si>
  <si>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</si>
  <si>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</si>
  <si>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</si>
  <si>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</si>
  <si>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</si>
  <si>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</si>
  <si>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</si>
  <si>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</si>
  <si>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</si>
  <si>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</si>
  <si>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</si>
  <si>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</si>
  <si>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</si>
  <si>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</si>
  <si>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</si>
  <si>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</si>
  <si>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</si>
  <si>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</si>
  <si>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</si>
  <si>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</si>
  <si>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</si>
  <si>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</si>
  <si>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</si>
  <si>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</si>
  <si>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</si>
  <si>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</si>
  <si>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</si>
  <si>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</si>
  <si>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</si>
  <si>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</si>
  <si>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</si>
  <si>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</si>
  <si>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</si>
  <si>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</si>
  <si>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</si>
  <si>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</si>
  <si>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</si>
  <si>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</si>
  <si>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</si>
  <si>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</si>
  <si>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</si>
  <si>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</si>
  <si>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</si>
  <si>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</si>
  <si>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</si>
  <si>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</si>
  <si>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</si>
  <si>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</si>
  <si>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</si>
  <si>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</si>
  <si>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</si>
  <si>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</si>
  <si>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</si>
  <si>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</si>
  <si>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</si>
  <si>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</si>
  <si>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</si>
  <si>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</si>
  <si>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</si>
  <si>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</si>
  <si>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</si>
  <si>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</si>
  <si>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</si>
  <si>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</si>
  <si>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</si>
  <si>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</si>
  <si>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</si>
  <si>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</si>
  <si>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</si>
  <si>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</si>
  <si>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</si>
  <si>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</si>
  <si>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</si>
  <si>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</si>
  <si>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</si>
  <si>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</si>
  <si>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</si>
  <si>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</si>
  <si>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</si>
  <si>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</si>
  <si>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</si>
  <si>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</si>
  <si>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</si>
  <si>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</si>
  <si>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</si>
  <si>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</si>
  <si>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</si>
  <si>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</si>
  <si>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</si>
  <si>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</si>
  <si>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</si>
  <si>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</si>
  <si>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</si>
  <si>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</si>
  <si>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</si>
  <si>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</si>
  <si>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</si>
  <si>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</si>
  <si>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</si>
  <si>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</si>
  <si>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</si>
  <si>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</si>
  <si>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</si>
  <si>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</si>
  <si>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</si>
  <si>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</si>
  <si>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</si>
  <si>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</si>
  <si>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</si>
  <si>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</si>
  <si>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</si>
  <si>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</si>
  <si>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</si>
  <si>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</si>
  <si>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</si>
  <si>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</si>
  <si>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</si>
  <si>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</si>
  <si>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</si>
  <si>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</si>
  <si>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</si>
  <si>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</si>
  <si>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</si>
  <si>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</si>
  <si>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</si>
  <si>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</si>
  <si>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</si>
  <si>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</si>
  <si>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</si>
  <si>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</si>
  <si>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</si>
  <si>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</si>
  <si>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</si>
  <si>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</si>
  <si>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</si>
  <si>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</si>
  <si>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</si>
  <si>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</si>
  <si>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</si>
  <si>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</si>
  <si>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</si>
  <si>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</si>
  <si>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</si>
  <si>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</si>
  <si>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</si>
  <si>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</si>
  <si>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</si>
  <si>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</si>
  <si>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</si>
  <si>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</si>
  <si>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</si>
  <si>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</si>
  <si>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</si>
  <si>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</si>
  <si>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</si>
  <si>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</si>
  <si>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</si>
  <si>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</si>
  <si>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</si>
  <si>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</si>
  <si>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</si>
  <si>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</si>
  <si>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</si>
  <si>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</si>
  <si>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</si>
  <si>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</si>
  <si>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</si>
  <si>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</si>
  <si>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</si>
  <si>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</si>
  <si>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</si>
  <si>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</si>
  <si>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</si>
  <si>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</si>
  <si>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</si>
  <si>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</si>
  <si>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</si>
  <si>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</si>
  <si>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</si>
  <si>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</si>
  <si>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</si>
  <si>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</si>
  <si>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</si>
  <si>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</si>
  <si>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</si>
  <si>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</si>
  <si>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</si>
  <si>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</si>
  <si>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</si>
  <si>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</si>
  <si>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</si>
  <si>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</si>
  <si>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</si>
  <si>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</si>
  <si>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</si>
  <si>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</si>
  <si>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</si>
  <si>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</si>
  <si>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</si>
  <si>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</si>
  <si>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</si>
  <si>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</si>
  <si>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</si>
  <si>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</si>
  <si>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</si>
  <si>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</si>
  <si>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</si>
  <si>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</si>
  <si>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</si>
  <si>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</si>
  <si>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</si>
  <si>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</si>
  <si>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</si>
  <si>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</si>
  <si>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</si>
  <si>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</si>
  <si>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</si>
  <si>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</si>
  <si>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</si>
  <si>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</si>
  <si>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</si>
  <si>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</si>
  <si>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</si>
  <si>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</si>
  <si>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</si>
  <si>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</si>
  <si>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</si>
  <si>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</si>
  <si>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</si>
  <si>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</si>
  <si>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</si>
  <si>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</si>
  <si>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</si>
  <si>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</si>
  <si>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</si>
  <si>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</si>
  <si>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</si>
  <si>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</si>
  <si>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</si>
  <si>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</si>
  <si>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</si>
  <si>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</si>
  <si>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</si>
  <si>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</si>
  <si>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</si>
  <si>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</si>
  <si>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</si>
  <si>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</si>
  <si>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</si>
  <si>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</si>
  <si>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</si>
  <si>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</si>
  <si>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</si>
  <si>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</si>
  <si>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</si>
  <si>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</si>
  <si>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</si>
  <si>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</si>
  <si>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</si>
  <si>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</si>
  <si>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</si>
  <si>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</si>
  <si>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</si>
  <si>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</si>
  <si>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</si>
  <si>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</si>
  <si>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</si>
  <si>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</si>
  <si>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</si>
  <si>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</si>
  <si>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</si>
  <si>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</si>
  <si>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</si>
  <si>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</si>
  <si>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</si>
  <si>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</si>
  <si>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</si>
  <si>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</si>
  <si>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</si>
  <si>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</si>
  <si>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</si>
  <si>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</si>
  <si>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</si>
  <si>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</si>
  <si>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</si>
  <si>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</si>
  <si>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</si>
  <si>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</si>
  <si>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</si>
  <si>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</si>
  <si>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</si>
  <si>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</si>
  <si>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</si>
  <si>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</si>
  <si>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</si>
  <si>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</si>
  <si>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</si>
  <si>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</si>
  <si>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</si>
  <si>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</si>
  <si>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</si>
  <si>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</si>
  <si>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</si>
  <si>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</si>
  <si>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</si>
  <si>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</si>
  <si>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</si>
  <si>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</si>
  <si>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</si>
  <si>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</si>
  <si>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</si>
  <si>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</si>
  <si>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</si>
  <si>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</si>
  <si>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</si>
  <si>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</si>
  <si>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</si>
  <si>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</si>
  <si>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</si>
  <si>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</si>
  <si>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</si>
  <si>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</si>
  <si>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</si>
  <si>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</si>
  <si>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</si>
  <si>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</si>
  <si>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</si>
  <si>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</si>
  <si>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</si>
  <si>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</si>
  <si>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</si>
  <si>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</si>
  <si>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</si>
  <si>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</si>
  <si>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</si>
  <si>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</si>
  <si>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</si>
  <si>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</si>
  <si>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</si>
  <si>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</si>
  <si>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</si>
  <si>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</si>
  <si>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</si>
  <si>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</si>
  <si>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</si>
  <si>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</si>
  <si>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</si>
  <si>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</si>
  <si>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</si>
  <si>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</si>
  <si>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</si>
  <si>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</si>
  <si>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</si>
  <si>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</si>
  <si>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</si>
  <si>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</si>
  <si>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</si>
  <si>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</si>
  <si>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</si>
  <si>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</si>
  <si>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</si>
  <si>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</si>
  <si>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</si>
  <si>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</si>
  <si>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</si>
  <si>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</si>
  <si>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</si>
  <si>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</si>
  <si>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</si>
  <si>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</si>
  <si>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</si>
  <si>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</si>
  <si>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</si>
  <si>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</si>
  <si>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</si>
  <si>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</si>
  <si>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</si>
  <si>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</si>
  <si>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</si>
  <si>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</si>
  <si>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</si>
  <si>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</si>
  <si>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</si>
  <si>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</si>
  <si>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</si>
  <si>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</si>
  <si>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</si>
  <si>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</si>
  <si>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</si>
  <si>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</si>
  <si>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</si>
  <si>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</si>
  <si>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</si>
  <si>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</si>
  <si>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</si>
  <si>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</si>
  <si>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</si>
  <si>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</si>
  <si>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</si>
  <si>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</si>
  <si>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</si>
  <si>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</si>
  <si>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</si>
  <si>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</si>
  <si>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</si>
  <si>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</si>
  <si>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</si>
  <si>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</si>
  <si>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</si>
  <si>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</si>
  <si>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</si>
  <si>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</si>
  <si>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</si>
  <si>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</si>
  <si>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</si>
  <si>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</si>
  <si>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</si>
  <si>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</si>
  <si>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</si>
  <si>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</si>
  <si>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</si>
  <si>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</si>
  <si>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</si>
  <si>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</si>
  <si>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</si>
  <si>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</si>
  <si>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</si>
  <si>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</si>
  <si>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</si>
  <si>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</si>
  <si>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</si>
  <si>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</si>
  <si>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</si>
  <si>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</si>
  <si>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</si>
  <si>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</si>
  <si>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</si>
  <si>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</si>
  <si>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</si>
  <si>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</si>
  <si>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</si>
  <si>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</si>
  <si>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</si>
  <si>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</si>
  <si>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</si>
  <si>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</si>
  <si>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</si>
  <si>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Messi</t>
  </si>
  <si>
    <t>Julian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</si>
</sst>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file:///C:\Users\sicu\AppData\Local\Microsoft\Windows\INetCache\Content.Outlook\R3TNPNSI\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C4" sqref="C4"/>
    </sheetView>
  </sheetViews>
  <sheetFormatPr defaultColWidth="9" defaultRowHeight="13.8" x14ac:dyDescent="0.25"/>
  <cols>
    <col min="1" max="1" width="12" style="458" customWidth="1"/>
    <col min="2" max="2" width="16.19921875" style="458" customWidth="1"/>
    <col min="3" max="4" width="9" style="458"/>
    <col min="5" max="6" width="9" style="469"/>
    <col min="7" max="7" width="9" style="458"/>
    <col min="8" max="8" width="27" style="466" bestFit="1" customWidth="1"/>
    <col min="9" max="16384" width="9" style="458"/>
  </cols>
  <sheetData>
    <row r="2" spans="1:9" x14ac:dyDescent="0.25">
      <c r="C2" s="459" t="s">
        <v>0</v>
      </c>
      <c r="D2" s="459" t="s">
        <v>1</v>
      </c>
      <c r="E2" s="460" t="s">
        <v>2</v>
      </c>
      <c r="F2" s="460" t="s">
        <v>2</v>
      </c>
      <c r="H2" s="461" t="s">
        <v>3</v>
      </c>
      <c r="I2" s="462"/>
    </row>
    <row r="3" spans="1:9" x14ac:dyDescent="0.25">
      <c r="A3" s="481" t="s">
        <v>4</v>
      </c>
      <c r="B3" s="463" t="s">
        <v>5</v>
      </c>
      <c r="C3" s="464">
        <v>1</v>
      </c>
      <c r="D3" s="463">
        <v>72</v>
      </c>
      <c r="E3" s="465">
        <f>+D3*C3</f>
        <v>72</v>
      </c>
      <c r="F3" s="484">
        <f>+SUM(E3:E5)</f>
        <v>176</v>
      </c>
      <c r="H3" s="466" t="s">
        <v>6</v>
      </c>
      <c r="I3" s="467">
        <v>-20</v>
      </c>
    </row>
    <row r="4" spans="1:9" x14ac:dyDescent="0.25">
      <c r="A4" s="482"/>
      <c r="B4" s="458" t="s">
        <v>7</v>
      </c>
      <c r="C4" s="468">
        <v>1</v>
      </c>
      <c r="D4" s="458">
        <v>72</v>
      </c>
      <c r="E4" s="469">
        <f t="shared" ref="E4:E17" si="0">+D4*C4</f>
        <v>72</v>
      </c>
      <c r="F4" s="485"/>
      <c r="H4" s="466" t="s">
        <v>8</v>
      </c>
      <c r="I4" s="467">
        <v>-20</v>
      </c>
    </row>
    <row r="5" spans="1:9"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x14ac:dyDescent="0.25">
      <c r="A10" s="482"/>
      <c r="B10" s="458" t="s">
        <v>18</v>
      </c>
      <c r="C10" s="468">
        <v>5</v>
      </c>
      <c r="D10" s="458">
        <v>1</v>
      </c>
      <c r="E10" s="469">
        <f>+D10*C10</f>
        <v>5</v>
      </c>
      <c r="F10" s="488"/>
      <c r="H10" s="458" t="s">
        <v>19</v>
      </c>
    </row>
    <row r="11" spans="1:9" x14ac:dyDescent="0.25">
      <c r="A11" s="483"/>
      <c r="B11" s="462" t="s">
        <v>20</v>
      </c>
      <c r="C11" s="470">
        <v>20</v>
      </c>
      <c r="D11" s="462">
        <v>1</v>
      </c>
      <c r="E11" s="471">
        <f>+D11*C11</f>
        <v>20</v>
      </c>
      <c r="F11" s="489"/>
      <c r="H11" s="458" t="s">
        <v>21</v>
      </c>
    </row>
    <row r="12" spans="1:9" x14ac:dyDescent="0.25">
      <c r="A12" s="481" t="s">
        <v>22</v>
      </c>
      <c r="B12" s="458" t="s">
        <v>23</v>
      </c>
      <c r="C12" s="468">
        <v>12</v>
      </c>
      <c r="D12" s="458">
        <v>1</v>
      </c>
      <c r="E12" s="469">
        <f t="shared" si="0"/>
        <v>12</v>
      </c>
      <c r="F12" s="487">
        <f>+SUM(E12:E17)</f>
        <v>64</v>
      </c>
      <c r="H12" s="458" t="s">
        <v>24</v>
      </c>
    </row>
    <row r="13" spans="1:9" x14ac:dyDescent="0.25">
      <c r="A13" s="482"/>
      <c r="B13" s="458" t="s">
        <v>25</v>
      </c>
      <c r="C13" s="468">
        <v>12</v>
      </c>
      <c r="D13" s="458">
        <v>1</v>
      </c>
      <c r="E13" s="469">
        <f t="shared" si="0"/>
        <v>12</v>
      </c>
      <c r="F13" s="488"/>
      <c r="H13" s="458" t="s">
        <v>26</v>
      </c>
    </row>
    <row r="14" spans="1:9" x14ac:dyDescent="0.25">
      <c r="A14" s="482"/>
      <c r="B14" s="458" t="s">
        <v>27</v>
      </c>
      <c r="C14" s="468">
        <v>12</v>
      </c>
      <c r="D14" s="458">
        <v>1</v>
      </c>
      <c r="E14" s="469">
        <f t="shared" si="0"/>
        <v>12</v>
      </c>
      <c r="F14" s="488"/>
    </row>
    <row r="15" spans="1:9" x14ac:dyDescent="0.25">
      <c r="A15" s="482"/>
      <c r="B15" s="458" t="s">
        <v>28</v>
      </c>
      <c r="C15" s="468">
        <v>12</v>
      </c>
      <c r="D15" s="458">
        <v>1</v>
      </c>
      <c r="E15" s="469">
        <f t="shared" si="0"/>
        <v>12</v>
      </c>
      <c r="F15" s="488"/>
      <c r="H15" s="458" t="s">
        <v>29</v>
      </c>
    </row>
    <row r="16" spans="1:9" x14ac:dyDescent="0.25">
      <c r="A16" s="482"/>
      <c r="B16" s="458" t="s">
        <v>30</v>
      </c>
      <c r="C16" s="468">
        <v>8</v>
      </c>
      <c r="D16" s="458">
        <v>1</v>
      </c>
      <c r="E16" s="469">
        <f t="shared" si="0"/>
        <v>8</v>
      </c>
      <c r="F16" s="488"/>
      <c r="H16" s="458" t="s">
        <v>31</v>
      </c>
    </row>
    <row r="17" spans="1:6" x14ac:dyDescent="0.25">
      <c r="A17" s="483"/>
      <c r="B17" s="462" t="s">
        <v>32</v>
      </c>
      <c r="C17" s="470">
        <v>8</v>
      </c>
      <c r="D17" s="462">
        <v>1</v>
      </c>
      <c r="E17" s="471">
        <f t="shared" si="0"/>
        <v>8</v>
      </c>
      <c r="F17" s="489"/>
    </row>
    <row r="18" spans="1:6" x14ac:dyDescent="0.25">
      <c r="E18" s="469">
        <f>+SUM(E3:E17)</f>
        <v>431</v>
      </c>
    </row>
    <row r="20" spans="1:6" x14ac:dyDescent="0.25">
      <c r="A20" s="474" t="s">
        <v>33</v>
      </c>
    </row>
    <row r="21" spans="1:6" x14ac:dyDescent="0.25">
      <c r="A21" s="458" t="s">
        <v>34</v>
      </c>
    </row>
    <row r="23" spans="1:6" x14ac:dyDescent="0.25">
      <c r="A23" s="458" t="s">
        <v>35</v>
      </c>
    </row>
    <row r="25" spans="1:6" x14ac:dyDescent="0.25">
      <c r="A25" s="458" t="s">
        <v>36</v>
      </c>
    </row>
    <row r="26" spans="1:6" x14ac:dyDescent="0.25">
      <c r="A26" s="458" t="s">
        <v>37</v>
      </c>
    </row>
    <row r="27" spans="1:6" x14ac:dyDescent="0.25">
      <c r="A27" s="458" t="s">
        <v>38</v>
      </c>
    </row>
    <row r="28" spans="1:6" x14ac:dyDescent="0.25">
      <c r="A28" s="458" t="s">
        <v>39</v>
      </c>
    </row>
    <row r="29" spans="1:6" x14ac:dyDescent="0.25">
      <c r="A29" s="458" t="s">
        <v>40</v>
      </c>
    </row>
    <row r="30" spans="1:6" x14ac:dyDescent="0.25">
      <c r="A30" s="458" t="s">
        <v>41</v>
      </c>
    </row>
    <row r="31" spans="1:6" x14ac:dyDescent="0.25">
      <c r="A31" s="458" t="s">
        <v>42</v>
      </c>
    </row>
    <row r="32" spans="1:6" x14ac:dyDescent="0.25">
      <c r="A32" s="458" t="s">
        <v>43</v>
      </c>
    </row>
    <row r="35" spans="1:4" x14ac:dyDescent="0.25">
      <c r="A35" s="475" t="s">
        <v>44</v>
      </c>
      <c r="B35" s="476" t="s">
        <v>45</v>
      </c>
      <c r="C35" s="477" t="s">
        <v>46</v>
      </c>
      <c r="D35" s="477" t="s">
        <v>47</v>
      </c>
    </row>
    <row r="36" spans="1:4" x14ac:dyDescent="0.25">
      <c r="A36" s="478">
        <f>+_xlfn.XLOOKUP(B36,'Ranking FIFA'!B:B,'Ranking FIFA'!A:A,"--",0)</f>
        <v>1</v>
      </c>
      <c r="B36" s="479" t="s">
        <v>48</v>
      </c>
      <c r="C36" s="480">
        <v>1</v>
      </c>
      <c r="D36" s="480">
        <v>1</v>
      </c>
    </row>
    <row r="37" spans="1:4" x14ac:dyDescent="0.25">
      <c r="A37" s="478">
        <f>+_xlfn.XLOOKUP(B37,'Ranking FIFA'!B:B,'Ranking FIFA'!A:A,"--",0)</f>
        <v>2</v>
      </c>
      <c r="B37" s="479" t="s">
        <v>49</v>
      </c>
      <c r="C37" s="480">
        <v>1</v>
      </c>
      <c r="D37" s="480">
        <v>1</v>
      </c>
    </row>
    <row r="38" spans="1:4" x14ac:dyDescent="0.25">
      <c r="A38" s="478">
        <f>+_xlfn.XLOOKUP(B38,'Ranking FIFA'!B:B,'Ranking FIFA'!A:A,"--",0)</f>
        <v>3</v>
      </c>
      <c r="B38" s="479" t="s">
        <v>50</v>
      </c>
      <c r="C38" s="480">
        <v>1</v>
      </c>
      <c r="D38" s="480">
        <v>1</v>
      </c>
    </row>
    <row r="39" spans="1:4" x14ac:dyDescent="0.25">
      <c r="A39" s="478">
        <f>+_xlfn.XLOOKUP(B39,'Ranking FIFA'!B:B,'Ranking FIFA'!A:A,"--",0)</f>
        <v>4</v>
      </c>
      <c r="B39" s="479" t="s">
        <v>51</v>
      </c>
      <c r="C39" s="480">
        <v>1</v>
      </c>
      <c r="D39" s="480">
        <v>1</v>
      </c>
    </row>
    <row r="40" spans="1:4" x14ac:dyDescent="0.25">
      <c r="A40" s="478">
        <f>+_xlfn.XLOOKUP(B40,'Ranking FIFA'!B:B,'Ranking FIFA'!A:A,"--",0)</f>
        <v>5</v>
      </c>
      <c r="B40" s="479" t="s">
        <v>52</v>
      </c>
      <c r="C40" s="480">
        <v>1</v>
      </c>
      <c r="D40" s="480">
        <v>1</v>
      </c>
    </row>
    <row r="41" spans="1:4" x14ac:dyDescent="0.25">
      <c r="A41" s="478">
        <f>+_xlfn.XLOOKUP(B41,'Ranking FIFA'!B:B,'Ranking FIFA'!A:A,"--",0)</f>
        <v>6</v>
      </c>
      <c r="B41" s="479" t="s">
        <v>53</v>
      </c>
      <c r="C41" s="480">
        <v>1</v>
      </c>
      <c r="D41" s="480">
        <v>1</v>
      </c>
    </row>
    <row r="42" spans="1:4" x14ac:dyDescent="0.25">
      <c r="A42" s="478">
        <f>+_xlfn.XLOOKUP(B42,'Ranking FIFA'!B:B,'Ranking FIFA'!A:A,"--",0)</f>
        <v>7</v>
      </c>
      <c r="B42" s="479" t="s">
        <v>54</v>
      </c>
      <c r="C42" s="480">
        <v>1</v>
      </c>
      <c r="D42" s="480">
        <v>1</v>
      </c>
    </row>
    <row r="43" spans="1:4" x14ac:dyDescent="0.25">
      <c r="A43" s="478">
        <f>+_xlfn.XLOOKUP(B43,'Ranking FIFA'!B:B,'Ranking FIFA'!A:A,"--",0)</f>
        <v>9</v>
      </c>
      <c r="B43" s="479" t="s">
        <v>55</v>
      </c>
      <c r="C43" s="480">
        <v>1</v>
      </c>
      <c r="D43" s="480">
        <v>2</v>
      </c>
    </row>
    <row r="44" spans="1:4" x14ac:dyDescent="0.25">
      <c r="A44" s="478">
        <f>+_xlfn.XLOOKUP(B44,'Ranking FIFA'!B:B,'Ranking FIFA'!A:A,"--",0)</f>
        <v>10</v>
      </c>
      <c r="B44" s="479" t="s">
        <v>56</v>
      </c>
      <c r="C44" s="480">
        <v>1</v>
      </c>
      <c r="D44" s="480">
        <v>1</v>
      </c>
    </row>
    <row r="45" spans="1:4" x14ac:dyDescent="0.25">
      <c r="A45" s="478">
        <f>+_xlfn.XLOOKUP(B45,'Ranking FIFA'!B:B,'Ranking FIFA'!A:A,"--",0)</f>
        <v>11</v>
      </c>
      <c r="B45" s="479" t="s">
        <v>57</v>
      </c>
      <c r="C45" s="480">
        <v>1</v>
      </c>
      <c r="D45" s="480">
        <v>2</v>
      </c>
    </row>
    <row r="46" spans="1:4" x14ac:dyDescent="0.25">
      <c r="A46" s="478">
        <f>+_xlfn.XLOOKUP(B46,'Ranking FIFA'!B:B,'Ranking FIFA'!A:A,"--",0)</f>
        <v>17</v>
      </c>
      <c r="B46" s="479" t="s">
        <v>58</v>
      </c>
      <c r="C46" s="480">
        <v>1</v>
      </c>
      <c r="D46" s="480">
        <v>2</v>
      </c>
    </row>
    <row r="47" spans="1:4" x14ac:dyDescent="0.25">
      <c r="A47" s="478">
        <f>+_xlfn.XLOOKUP(B47,'Ranking FIFA'!B:B,'Ranking FIFA'!A:A,"--",0)</f>
        <v>8</v>
      </c>
      <c r="B47" s="479" t="s">
        <v>59</v>
      </c>
      <c r="C47" s="480">
        <v>2</v>
      </c>
      <c r="D47" s="480"/>
    </row>
    <row r="48" spans="1:4" x14ac:dyDescent="0.25">
      <c r="A48" s="478">
        <f>+_xlfn.XLOOKUP(B48,'Ranking FIFA'!B:B,'Ranking FIFA'!A:A,"--",0)</f>
        <v>13</v>
      </c>
      <c r="B48" s="479" t="s">
        <v>60</v>
      </c>
      <c r="C48" s="480">
        <v>2</v>
      </c>
      <c r="D48" s="480"/>
    </row>
    <row r="49" spans="1:4" x14ac:dyDescent="0.25">
      <c r="A49" s="478">
        <f>+_xlfn.XLOOKUP(B49,'Ranking FIFA'!B:B,'Ranking FIFA'!A:A,"--",0)</f>
        <v>14</v>
      </c>
      <c r="B49" s="479" t="s">
        <v>61</v>
      </c>
      <c r="C49" s="480">
        <v>2</v>
      </c>
      <c r="D49" s="480"/>
    </row>
    <row r="50" spans="1:4" x14ac:dyDescent="0.25">
      <c r="A50" s="478">
        <f>+_xlfn.XLOOKUP(B50,'Ranking FIFA'!B:B,'Ranking FIFA'!A:A,"--",0)</f>
        <v>15</v>
      </c>
      <c r="B50" s="479" t="s">
        <v>62</v>
      </c>
      <c r="C50" s="480">
        <v>2</v>
      </c>
      <c r="D50" s="480"/>
    </row>
    <row r="51" spans="1:4" x14ac:dyDescent="0.25">
      <c r="A51" s="478">
        <f>+_xlfn.XLOOKUP(B51,'Ranking FIFA'!B:B,'Ranking FIFA'!A:A,"--",0)</f>
        <v>16</v>
      </c>
      <c r="B51" s="479" t="s">
        <v>63</v>
      </c>
      <c r="C51" s="480">
        <v>2</v>
      </c>
      <c r="D51" s="480"/>
    </row>
    <row r="52" spans="1:4" x14ac:dyDescent="0.25">
      <c r="A52" s="478">
        <f>+_xlfn.XLOOKUP(B52,'Ranking FIFA'!B:B,'Ranking FIFA'!A:A,"--",0)</f>
        <v>18</v>
      </c>
      <c r="B52" s="479" t="s">
        <v>64</v>
      </c>
      <c r="C52" s="480">
        <v>2</v>
      </c>
      <c r="D52" s="480"/>
    </row>
    <row r="53" spans="1:4" x14ac:dyDescent="0.25">
      <c r="A53" s="478">
        <f>+_xlfn.XLOOKUP(B53,'Ranking FIFA'!B:B,'Ranking FIFA'!A:A,"--",0)</f>
        <v>19</v>
      </c>
      <c r="B53" s="479" t="s">
        <v>65</v>
      </c>
      <c r="C53" s="480">
        <v>2</v>
      </c>
      <c r="D53" s="480"/>
    </row>
    <row r="54" spans="1:4" x14ac:dyDescent="0.25">
      <c r="A54" s="478">
        <f>+_xlfn.XLOOKUP(B54,'Ranking FIFA'!B:B,'Ranking FIFA'!A:A,"--",0)</f>
        <v>22</v>
      </c>
      <c r="B54" s="479" t="s">
        <v>66</v>
      </c>
      <c r="C54" s="480">
        <v>2</v>
      </c>
      <c r="D54" s="480"/>
    </row>
    <row r="55" spans="1:4" x14ac:dyDescent="0.25">
      <c r="A55" s="478">
        <f>+_xlfn.XLOOKUP(B55,'Ranking FIFA'!B:B,'Ranking FIFA'!A:A,"--",0)</f>
        <v>23</v>
      </c>
      <c r="B55" s="479" t="s">
        <v>67</v>
      </c>
      <c r="C55" s="480">
        <v>2</v>
      </c>
      <c r="D55" s="480"/>
    </row>
    <row r="56" spans="1:4" x14ac:dyDescent="0.25">
      <c r="A56" s="478">
        <f>+_xlfn.XLOOKUP(B56,'Ranking FIFA'!B:B,'Ranking FIFA'!A:A,"--",0)</f>
        <v>25</v>
      </c>
      <c r="B56" s="479" t="s">
        <v>68</v>
      </c>
      <c r="C56" s="480">
        <v>2</v>
      </c>
      <c r="D56" s="480"/>
    </row>
    <row r="57" spans="1:4" x14ac:dyDescent="0.25">
      <c r="A57" s="478">
        <f>+_xlfn.XLOOKUP(B57,'Ranking FIFA'!B:B,'Ranking FIFA'!A:A,"--",0)</f>
        <v>31</v>
      </c>
      <c r="B57" s="479" t="s">
        <v>69</v>
      </c>
      <c r="C57" s="480">
        <v>2</v>
      </c>
      <c r="D57" s="480"/>
    </row>
    <row r="58" spans="1:4" x14ac:dyDescent="0.25">
      <c r="A58" s="478">
        <f>+_xlfn.XLOOKUP(B58,'Ranking FIFA'!B:B,'Ranking FIFA'!A:A,"--",0)</f>
        <v>38</v>
      </c>
      <c r="B58" s="479" t="s">
        <v>70</v>
      </c>
      <c r="C58" s="480">
        <v>2</v>
      </c>
      <c r="D58" s="480"/>
    </row>
    <row r="59" spans="1:4" x14ac:dyDescent="0.25">
      <c r="A59" s="478">
        <f>+_xlfn.XLOOKUP(B59,'Ranking FIFA'!B:B,'Ranking FIFA'!A:A,"--",0)</f>
        <v>40</v>
      </c>
      <c r="B59" s="479" t="s">
        <v>71</v>
      </c>
      <c r="C59" s="480">
        <v>2</v>
      </c>
      <c r="D59" s="480"/>
    </row>
    <row r="60" spans="1:4" x14ac:dyDescent="0.25">
      <c r="A60" s="478">
        <f>+_xlfn.XLOOKUP(B60,'Ranking FIFA'!B:B,'Ranking FIFA'!A:A,"--",0)</f>
        <v>24</v>
      </c>
      <c r="B60" s="479" t="s">
        <v>72</v>
      </c>
      <c r="C60" s="480">
        <v>3</v>
      </c>
      <c r="D60" s="480"/>
    </row>
    <row r="61" spans="1:4" x14ac:dyDescent="0.25">
      <c r="A61" s="478">
        <f>+_xlfn.XLOOKUP(B61,'Ranking FIFA'!B:B,'Ranking FIFA'!A:A,"--",0)</f>
        <v>27</v>
      </c>
      <c r="B61" s="479" t="s">
        <v>73</v>
      </c>
      <c r="C61" s="480">
        <v>3</v>
      </c>
      <c r="D61" s="480"/>
    </row>
    <row r="62" spans="1:4" x14ac:dyDescent="0.25">
      <c r="A62" s="478">
        <f>+_xlfn.XLOOKUP(B62,'Ranking FIFA'!B:B,'Ranking FIFA'!A:A,"--",0)</f>
        <v>28</v>
      </c>
      <c r="B62" s="479" t="s">
        <v>74</v>
      </c>
      <c r="C62" s="480">
        <v>3</v>
      </c>
      <c r="D62" s="480"/>
    </row>
    <row r="63" spans="1:4" x14ac:dyDescent="0.25">
      <c r="A63" s="478">
        <f>+_xlfn.XLOOKUP(B63,'Ranking FIFA'!B:B,'Ranking FIFA'!A:A,"--",0)</f>
        <v>29</v>
      </c>
      <c r="B63" s="479" t="s">
        <v>75</v>
      </c>
      <c r="C63" s="480">
        <v>3</v>
      </c>
      <c r="D63" s="480"/>
    </row>
    <row r="64" spans="1:4" x14ac:dyDescent="0.25">
      <c r="A64" s="478">
        <f>+_xlfn.XLOOKUP(B64,'Ranking FIFA'!B:B,'Ranking FIFA'!A:A,"--",0)</f>
        <v>30</v>
      </c>
      <c r="B64" s="479" t="s">
        <v>76</v>
      </c>
      <c r="C64" s="480">
        <v>3</v>
      </c>
      <c r="D64" s="480"/>
    </row>
    <row r="65" spans="1:4" x14ac:dyDescent="0.25">
      <c r="A65" s="478">
        <f>+_xlfn.XLOOKUP(B65,'Ranking FIFA'!B:B,'Ranking FIFA'!A:A,"--",0)</f>
        <v>33</v>
      </c>
      <c r="B65" s="479" t="s">
        <v>77</v>
      </c>
      <c r="C65" s="480">
        <v>3</v>
      </c>
      <c r="D65" s="480"/>
    </row>
    <row r="66" spans="1:4" x14ac:dyDescent="0.25">
      <c r="A66" s="478">
        <f>+_xlfn.XLOOKUP(B66,'Ranking FIFA'!B:B,'Ranking FIFA'!A:A,"--",0)</f>
        <v>34</v>
      </c>
      <c r="B66" s="479" t="s">
        <v>78</v>
      </c>
      <c r="C66" s="480">
        <v>3</v>
      </c>
      <c r="D66" s="480"/>
    </row>
    <row r="67" spans="1:4" x14ac:dyDescent="0.25">
      <c r="A67" s="478">
        <f>+_xlfn.XLOOKUP(B67,'Ranking FIFA'!B:B,'Ranking FIFA'!A:A,"--",0)</f>
        <v>41</v>
      </c>
      <c r="B67" s="479" t="s">
        <v>79</v>
      </c>
      <c r="C67" s="480">
        <v>3</v>
      </c>
      <c r="D67" s="480"/>
    </row>
    <row r="68" spans="1:4" x14ac:dyDescent="0.25">
      <c r="A68" s="478">
        <f>+_xlfn.XLOOKUP(B68,'Ranking FIFA'!B:B,'Ranking FIFA'!A:A,"--",0)</f>
        <v>43</v>
      </c>
      <c r="B68" s="479" t="s">
        <v>80</v>
      </c>
      <c r="C68" s="480">
        <v>3</v>
      </c>
      <c r="D68" s="480"/>
    </row>
    <row r="69" spans="1:4" x14ac:dyDescent="0.25">
      <c r="A69" s="478">
        <f>+_xlfn.XLOOKUP(B69,'Ranking FIFA'!B:B,'Ranking FIFA'!A:A,"--",0)</f>
        <v>44</v>
      </c>
      <c r="B69" s="479" t="s">
        <v>81</v>
      </c>
      <c r="C69" s="480">
        <v>3</v>
      </c>
      <c r="D69" s="480"/>
    </row>
    <row r="70" spans="1:4" x14ac:dyDescent="0.25">
      <c r="A70" s="478">
        <f>+_xlfn.XLOOKUP(B70,'Ranking FIFA'!B:B,'Ranking FIFA'!A:A,"--",0)</f>
        <v>60</v>
      </c>
      <c r="B70" s="479" t="s">
        <v>82</v>
      </c>
      <c r="C70" s="480">
        <v>3</v>
      </c>
      <c r="D70" s="480"/>
    </row>
    <row r="71" spans="1:4" x14ac:dyDescent="0.25">
      <c r="A71" s="478">
        <f>+_xlfn.XLOOKUP(B71,'Ranking FIFA'!B:B,'Ranking FIFA'!A:A,"--",0)</f>
        <v>61</v>
      </c>
      <c r="B71" s="479" t="s">
        <v>83</v>
      </c>
      <c r="C71" s="480">
        <v>3</v>
      </c>
      <c r="D71" s="480"/>
    </row>
    <row r="72" spans="1:4" x14ac:dyDescent="0.25">
      <c r="A72" s="478">
        <f>+_xlfn.XLOOKUP(B72,'Ranking FIFA'!B:B,'Ranking FIFA'!A:A,"--",0)</f>
        <v>65</v>
      </c>
      <c r="B72" s="479" t="s">
        <v>84</v>
      </c>
      <c r="C72" s="480">
        <v>3</v>
      </c>
      <c r="D72" s="480"/>
    </row>
    <row r="73" spans="1:4" x14ac:dyDescent="0.25">
      <c r="A73" s="478">
        <f>+_xlfn.XLOOKUP(B73,'Ranking FIFA'!B:B,'Ranking FIFA'!A:A,"--",0)</f>
        <v>74</v>
      </c>
      <c r="B73" s="479" t="s">
        <v>85</v>
      </c>
      <c r="C73" s="480">
        <v>3</v>
      </c>
      <c r="D73" s="480"/>
    </row>
    <row r="74" spans="1:4" x14ac:dyDescent="0.25">
      <c r="A74" s="478">
        <f>+_xlfn.XLOOKUP(B74,'Ranking FIFA'!B:B,'Ranking FIFA'!A:A,"--",0)</f>
        <v>21</v>
      </c>
      <c r="B74" s="479" t="s">
        <v>86</v>
      </c>
      <c r="C74" s="480">
        <v>3</v>
      </c>
      <c r="D74" s="480"/>
    </row>
    <row r="75" spans="1:4" x14ac:dyDescent="0.25">
      <c r="A75" s="478">
        <f>+_xlfn.XLOOKUP(B75,'Ranking FIFA'!B:B,'Ranking FIFA'!A:A,"--",0)</f>
        <v>46</v>
      </c>
      <c r="B75" s="479" t="s">
        <v>87</v>
      </c>
      <c r="C75" s="480">
        <v>4</v>
      </c>
      <c r="D75" s="480"/>
    </row>
    <row r="76" spans="1:4" x14ac:dyDescent="0.25">
      <c r="A76" s="478">
        <f>+_xlfn.XLOOKUP(B76,'Ranking FIFA'!B:B,'Ranking FIFA'!A:A,"--",0)</f>
        <v>50</v>
      </c>
      <c r="B76" s="479" t="s">
        <v>88</v>
      </c>
      <c r="C76" s="480">
        <v>4</v>
      </c>
      <c r="D76" s="480"/>
    </row>
    <row r="77" spans="1:4" x14ac:dyDescent="0.25">
      <c r="A77" s="478">
        <f>+_xlfn.XLOOKUP(B77,'Ranking FIFA'!B:B,'Ranking FIFA'!A:A,"--",0)</f>
        <v>55</v>
      </c>
      <c r="B77" s="479" t="s">
        <v>89</v>
      </c>
      <c r="C77" s="480">
        <v>4</v>
      </c>
      <c r="D77" s="480"/>
    </row>
    <row r="78" spans="1:4" x14ac:dyDescent="0.25">
      <c r="A78" s="478">
        <f>+_xlfn.XLOOKUP(B78,'Ranking FIFA'!B:B,'Ranking FIFA'!A:A,"--",0)</f>
        <v>57</v>
      </c>
      <c r="B78" s="479" t="s">
        <v>90</v>
      </c>
      <c r="C78" s="480">
        <v>4</v>
      </c>
      <c r="D78" s="480"/>
    </row>
    <row r="79" spans="1:4" x14ac:dyDescent="0.25">
      <c r="A79" s="478">
        <f>+_xlfn.XLOOKUP(B79,'Ranking FIFA'!B:B,'Ranking FIFA'!A:A,"--",0)</f>
        <v>63</v>
      </c>
      <c r="B79" s="479" t="s">
        <v>91</v>
      </c>
      <c r="C79" s="480">
        <v>4</v>
      </c>
      <c r="D79" s="480"/>
    </row>
    <row r="80" spans="1:4" x14ac:dyDescent="0.25">
      <c r="A80" s="478">
        <f>+_xlfn.XLOOKUP(B80,'Ranking FIFA'!B:B,'Ranking FIFA'!A:A,"--",0)</f>
        <v>69</v>
      </c>
      <c r="B80" s="479" t="s">
        <v>92</v>
      </c>
      <c r="C80" s="480">
        <v>4</v>
      </c>
      <c r="D80" s="480"/>
    </row>
    <row r="81" spans="1:4" x14ac:dyDescent="0.25">
      <c r="A81" s="478">
        <f>+_xlfn.XLOOKUP(B81,'Ranking FIFA'!B:B,'Ranking FIFA'!A:A,"--",0)</f>
        <v>82</v>
      </c>
      <c r="B81" s="479" t="s">
        <v>93</v>
      </c>
      <c r="C81" s="480">
        <v>4</v>
      </c>
      <c r="D81" s="480"/>
    </row>
    <row r="82" spans="1:4" x14ac:dyDescent="0.25">
      <c r="A82" s="478">
        <f>+_xlfn.XLOOKUP(B82,'Ranking FIFA'!B:B,'Ranking FIFA'!A:A,"--",0)</f>
        <v>83</v>
      </c>
      <c r="B82" s="479" t="s">
        <v>94</v>
      </c>
      <c r="C82" s="480">
        <v>4</v>
      </c>
      <c r="D82" s="480"/>
    </row>
    <row r="83" spans="1:4" x14ac:dyDescent="0.25">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tabSelected="1" zoomScale="80" zoomScaleNormal="80" workbookViewId="0">
      <selection activeCell="AE119" sqref="AE119"/>
    </sheetView>
  </sheetViews>
  <sheetFormatPr defaultColWidth="8.19921875" defaultRowHeight="13.8" outlineLevelCol="2" x14ac:dyDescent="0.25"/>
  <cols>
    <col min="1" max="1" width="8" style="24" bestFit="1" customWidth="1"/>
    <col min="2" max="2" width="14.19921875" style="24" bestFit="1" customWidth="1"/>
    <col min="3" max="3" width="21.796875" style="24" hidden="1" customWidth="1"/>
    <col min="4" max="4" width="2.296875" style="23" customWidth="1"/>
    <col min="5" max="5" width="17" style="25" bestFit="1" customWidth="1"/>
    <col min="6" max="7" width="3.19921875" style="24" customWidth="1"/>
    <col min="8" max="8" width="17" style="26" bestFit="1" customWidth="1"/>
    <col min="9" max="9" width="8.19921875" style="23" customWidth="1"/>
    <col min="10" max="10" width="2.69921875" style="24" hidden="1" customWidth="1" outlineLevel="1"/>
    <col min="11" max="12" width="2.19921875" style="24" hidden="1" customWidth="1" outlineLevel="1"/>
    <col min="13" max="13" width="2.59765625" style="24" hidden="1" customWidth="1" outlineLevel="1"/>
    <col min="14" max="14" width="5.5" style="23" hidden="1" customWidth="1" outlineLevel="1"/>
    <col min="15" max="15" width="13.5" style="23" hidden="1" customWidth="1" outlineLevel="1"/>
    <col min="16" max="16" width="2.296875" style="23" hidden="1" customWidth="1" outlineLevel="1"/>
    <col min="17" max="18" width="2.09765625" style="23" hidden="1" customWidth="1" outlineLevel="1"/>
    <col min="19" max="19" width="3.19921875" style="23" hidden="1" customWidth="1" outlineLevel="1"/>
    <col min="20" max="20" width="3.296875" style="23" hidden="1" customWidth="1" outlineLevel="1"/>
    <col min="21" max="21" width="2.796875" style="23" hidden="1" customWidth="1" outlineLevel="1"/>
    <col min="22" max="22" width="4.59765625" style="23" hidden="1" customWidth="1" outlineLevel="1"/>
    <col min="23" max="23" width="13.5" style="23" hidden="1" customWidth="1" outlineLevel="1"/>
    <col min="24" max="24" width="3.796875" style="23" hidden="1" customWidth="1" outlineLevel="1"/>
    <col min="25" max="25" width="3" style="23" bestFit="1" customWidth="1" collapsed="1"/>
    <col min="26" max="26" width="17" style="23" bestFit="1" customWidth="1"/>
    <col min="27" max="33" width="5.296875" style="23" bestFit="1" customWidth="1"/>
    <col min="34" max="34" width="5.296875" style="23" customWidth="1"/>
    <col min="35" max="35" width="5.296875" style="23" hidden="1" customWidth="1" outlineLevel="1"/>
    <col min="36" max="37" width="8.19921875" style="23" hidden="1" customWidth="1" outlineLevel="1"/>
    <col min="38" max="38" width="11.69921875" style="23" hidden="1" customWidth="1" outlineLevel="1"/>
    <col min="39" max="39" width="19.59765625" style="23" hidden="1" customWidth="1" outlineLevel="1"/>
    <col min="40" max="40" width="8.19921875" style="23" hidden="1" customWidth="1" outlineLevel="1"/>
    <col min="41" max="41" width="6.09765625" style="23" customWidth="1" collapsed="1"/>
    <col min="42" max="42" width="4.59765625" style="23" customWidth="1"/>
    <col min="43" max="43" width="14" style="23" hidden="1" customWidth="1" outlineLevel="2"/>
    <col min="44" max="44" width="8.19921875" style="23" hidden="1" customWidth="1" outlineLevel="2"/>
    <col min="45" max="46" width="5.59765625" style="23" hidden="1" customWidth="1" outlineLevel="2"/>
    <col min="47" max="47" width="13.796875" style="23" bestFit="1" customWidth="1" collapsed="1"/>
    <col min="48" max="49" width="4" style="27" customWidth="1"/>
    <col min="50" max="50" width="8.19921875" style="23" hidden="1" customWidth="1" outlineLevel="2"/>
    <col min="51" max="51" width="12.09765625" style="23" hidden="1" customWidth="1" outlineLevel="2"/>
    <col min="52" max="56" width="8.19921875" style="23" hidden="1" customWidth="1" outlineLevel="2"/>
    <col min="57" max="57" width="8.19921875" style="24" hidden="1" customWidth="1" outlineLevel="2"/>
    <col min="58" max="61" width="13" style="23" hidden="1" customWidth="1" outlineLevel="2"/>
    <col min="62" max="63" width="8.19921875" style="23" hidden="1" customWidth="1" outlineLevel="2"/>
    <col min="64" max="70" width="3.69921875" style="23" hidden="1" customWidth="1" outlineLevel="2"/>
    <col min="71" max="71" width="8.59765625" style="23" hidden="1" customWidth="1" outlineLevel="2"/>
    <col min="72" max="72" width="8.19921875" style="23" hidden="1" customWidth="1" outlineLevel="2"/>
    <col min="73" max="73" width="6" style="23" hidden="1" customWidth="1" outlineLevel="2"/>
    <col min="74" max="75" width="8.19921875" style="23" hidden="1" customWidth="1" outlineLevel="2"/>
    <col min="76" max="76" width="4.19921875" style="23" hidden="1" customWidth="1" outlineLevel="2"/>
    <col min="77" max="77" width="8.19921875" style="23" hidden="1" customWidth="1" outlineLevel="2"/>
    <col min="78" max="81" width="13" style="23" hidden="1" customWidth="1" outlineLevel="2"/>
    <col min="82" max="97" width="8.19921875" style="23" hidden="1" customWidth="1" outlineLevel="2"/>
    <col min="98" max="98" width="8.19921875" style="23" collapsed="1"/>
    <col min="99" max="99" width="4.09765625" style="23" customWidth="1"/>
    <col min="100" max="100" width="12.19921875" style="23" customWidth="1"/>
    <col min="101" max="101" width="16.19921875" style="24" customWidth="1"/>
    <col min="102" max="102" width="12.19921875" style="24" customWidth="1"/>
    <col min="103" max="16384" width="8.19921875" style="23"/>
  </cols>
  <sheetData>
    <row r="1" spans="1:102" x14ac:dyDescent="0.25">
      <c r="A1" s="23"/>
      <c r="BF1" s="28" t="str">
        <f>+IF(BA3&gt;1,AZ3,IF(BA4&gt;1,AZ4,IF(BA5&gt;1,AZ5,IF(BA6&gt;1,AZ6,"-"))))</f>
        <v>-</v>
      </c>
      <c r="BW1" s="23">
        <v>10</v>
      </c>
      <c r="BZ1" s="29" t="str">
        <f>+IF(BC3&gt;1,BB3,IF(BC4&gt;1,BB4,IF(BC5&gt;1,BB5,IF(BC6&gt;1,BB6,"-"))))</f>
        <v>-</v>
      </c>
      <c r="CQ1" s="23">
        <v>10</v>
      </c>
      <c r="CS1" s="30" t="s">
        <v>96</v>
      </c>
      <c r="CV1" s="31" t="s">
        <v>97</v>
      </c>
      <c r="CW1" s="32" t="s">
        <v>98</v>
      </c>
      <c r="CX1" s="33" t="s">
        <v>99</v>
      </c>
    </row>
    <row r="2" spans="1:102" x14ac:dyDescent="0.25">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508" t="s">
        <v>103</v>
      </c>
      <c r="Z2" s="509"/>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Sudafrica</v>
      </c>
      <c r="CW2" s="36" t="str">
        <f>+_xlfn.XLOOKUP(CV2,'Mejores 3eros'!$BD$2:$BD$13,'Mejores 3eros'!$BG$2:$BG$13,"-",0)</f>
        <v>IN</v>
      </c>
      <c r="CX2" s="37" t="s">
        <v>116</v>
      </c>
    </row>
    <row r="3" spans="1:102" x14ac:dyDescent="0.25">
      <c r="A3" s="38" t="s">
        <v>117</v>
      </c>
      <c r="B3" s="39">
        <v>46184</v>
      </c>
      <c r="C3" s="40"/>
      <c r="D3" s="41"/>
      <c r="E3" s="42" t="s">
        <v>62</v>
      </c>
      <c r="F3" s="43">
        <v>1</v>
      </c>
      <c r="G3" s="43">
        <v>0</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2</v>
      </c>
      <c r="Q3" s="24">
        <f>+COUNTIF(K3:L8,"="&amp;$O3)</f>
        <v>1</v>
      </c>
      <c r="R3" s="24">
        <f>+COUNTIF(M3:M8,"="&amp;$O3)</f>
        <v>0</v>
      </c>
      <c r="S3" s="24">
        <f>+T3-U3</f>
        <v>2</v>
      </c>
      <c r="T3" s="24">
        <f>+SUMIF(E3:E8,$O3,F3:F8)+SUMIF(H3:H8,$O3,G3:G8)</f>
        <v>3</v>
      </c>
      <c r="U3" s="24">
        <f>+SUMIF(E3:E8,$O3,G3:G8)+SUMIF(H3:H8,$O3,F3:F8)</f>
        <v>1</v>
      </c>
      <c r="V3" s="45">
        <f>+P3*3+Q3*1+BT3+CN3+S3/1000+T3/10000+AV3/1000000+ROW()/10000000</f>
        <v>7.0023002999999999</v>
      </c>
      <c r="W3" s="26" t="str">
        <f>+O3</f>
        <v>Mexico</v>
      </c>
      <c r="Y3" s="46" t="str">
        <f>+CONCATENATE("1",RIGHT(E2,1))</f>
        <v>1A</v>
      </c>
      <c r="Z3" s="47" t="str">
        <f>+VLOOKUP(AL3,V3:W6,2,FALSE)</f>
        <v>Mexico</v>
      </c>
      <c r="AA3" s="48">
        <f>+SUM(AB3:AD3)</f>
        <v>3</v>
      </c>
      <c r="AB3" s="49">
        <f t="shared" ref="AB3:AG6" si="0">+VLOOKUP($Z3,$O$3:$U$6,COLUMN()-26,FALSE)</f>
        <v>2</v>
      </c>
      <c r="AC3" s="49">
        <f t="shared" si="0"/>
        <v>1</v>
      </c>
      <c r="AD3" s="49">
        <f t="shared" si="0"/>
        <v>0</v>
      </c>
      <c r="AE3" s="49">
        <f t="shared" si="0"/>
        <v>2</v>
      </c>
      <c r="AF3" s="49">
        <f t="shared" si="0"/>
        <v>3</v>
      </c>
      <c r="AG3" s="49">
        <f t="shared" si="0"/>
        <v>1</v>
      </c>
      <c r="AH3" s="50">
        <f>+VLOOKUP($Z3,$O$3:$V$6,COLUMN()-26,FALSE)</f>
        <v>7.0023002999999999</v>
      </c>
      <c r="AI3" s="51"/>
      <c r="AL3" s="45">
        <f>+LARGE(V3:V6,1)</f>
        <v>7.0023002999999999</v>
      </c>
      <c r="AM3" s="52">
        <f>+(AH3-AL3)*100000000000000000000</f>
        <v>0</v>
      </c>
      <c r="AP3" s="53" t="str">
        <f>+O3</f>
        <v>Mexico</v>
      </c>
      <c r="AQ3" s="23">
        <f>+P3*3+Q3*1+BT3+CN3+S3/1000+T3/10000</f>
        <v>7.0023</v>
      </c>
      <c r="AR3" s="23" t="b">
        <f>+IF(OR(AQ3=AQ4,AQ3=AQ5,AQ3=AQ6),1)</f>
        <v>0</v>
      </c>
      <c r="AS3" s="54">
        <f>+AV3</f>
        <v>0</v>
      </c>
      <c r="AT3" s="54">
        <f>+IF(AND(AM7="si",OR(AR3=1,AR4=1,AR5=1)),1,0)</f>
        <v>0</v>
      </c>
      <c r="AU3" s="55" t="str">
        <f>+O3</f>
        <v>Mexico</v>
      </c>
      <c r="AV3" s="56"/>
      <c r="AX3" s="23" t="str">
        <f>+Y2</f>
        <v>Grupo A</v>
      </c>
      <c r="AY3" s="24" t="str">
        <f>+O3</f>
        <v>Mexico</v>
      </c>
      <c r="AZ3" s="29">
        <f>+P3*3+Q3</f>
        <v>7</v>
      </c>
      <c r="BA3" s="29">
        <f>+COUNTIFS($AX$1:AX3,AX3,$AZ$1:AZ3,AZ3)</f>
        <v>1</v>
      </c>
      <c r="BB3" s="29">
        <f>+IF(AZ3=BF1,ROW()*0.001,AZ3)</f>
        <v>7</v>
      </c>
      <c r="BC3" s="29">
        <f>+COUNTIFS($AX$1:AZ3,AZ3,$AZ$1:BB3,BB3)</f>
        <v>1</v>
      </c>
      <c r="BD3" s="29"/>
      <c r="BE3" s="25" t="str">
        <f>+IF(OR(BF3="-",BI3="-",BF1=0),"-","OK")</f>
        <v>-</v>
      </c>
      <c r="BF3" s="57" t="str">
        <f>+IF(_xlfn.XLOOKUP($E3,$AY:$AY,$AZ:$AZ,"-",0)=BF1,$E3,"-")</f>
        <v>-</v>
      </c>
      <c r="BG3" s="58">
        <f t="shared" ref="BG3:BG8" si="1">+$F3</f>
        <v>1</v>
      </c>
      <c r="BH3" s="59">
        <f t="shared" ref="BH3:BH8" si="2">+$G3</f>
        <v>0</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1</v>
      </c>
      <c r="CB3" s="59">
        <f t="shared" ref="CB3:CB8" si="4">+$G3</f>
        <v>0</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Bosnia</v>
      </c>
      <c r="CW3" s="36" t="str">
        <f>+_xlfn.XLOOKUP(CV3,'Mejores 3eros'!$BD$2:$BD$13,'Mejores 3eros'!$BG$2:$BG$13,"-",0)</f>
        <v>OUT</v>
      </c>
      <c r="CX3" s="37" t="s">
        <v>116</v>
      </c>
    </row>
    <row r="4" spans="1:102" x14ac:dyDescent="0.25">
      <c r="A4" s="38" t="s">
        <v>118</v>
      </c>
      <c r="B4" s="39">
        <v>46184</v>
      </c>
      <c r="C4" s="40"/>
      <c r="D4" s="41"/>
      <c r="E4" s="42" t="s">
        <v>68</v>
      </c>
      <c r="F4" s="43">
        <v>0</v>
      </c>
      <c r="G4" s="43">
        <v>2</v>
      </c>
      <c r="H4" s="44" t="s">
        <v>79</v>
      </c>
      <c r="J4" s="24" t="str">
        <f t="shared" ref="J4:J8" si="5">IF(OR(ISBLANK(F4),ISBLANK(G4)),"",IF(F4&gt;G4,E4,IF(G4&gt;F4,H4,"")))</f>
        <v>Repubilca Checa</v>
      </c>
      <c r="K4" s="24" t="str">
        <f t="shared" ref="K4:K8" si="6">IF(OR(ISBLANK(F4),ISBLANK(G4)),"",IF(F4=G4,E4,""))</f>
        <v/>
      </c>
      <c r="L4" s="24" t="str">
        <f t="shared" ref="L4:L8" si="7">IF(OR(ISBLANK(F4),ISBLANK(G4)),"",IF(F4=G4,H4,""))</f>
        <v/>
      </c>
      <c r="M4" s="24" t="str">
        <f t="shared" ref="M4:M8" si="8">IF(OR(ISBLANK(F4),ISBLANK(G4)),"",IF(F4&lt;G4,E4,IF(G4&lt;F4,H4,"")))</f>
        <v>Corea del Sur</v>
      </c>
      <c r="O4" s="26" t="str">
        <f>+H3</f>
        <v>Sudafrica</v>
      </c>
      <c r="P4" s="24">
        <f>+COUNTIF(J3:J8,"="&amp;$O4)</f>
        <v>1</v>
      </c>
      <c r="Q4" s="24">
        <f>+COUNTIF(K3:L8,"="&amp;$O4)</f>
        <v>1</v>
      </c>
      <c r="R4" s="24">
        <f>+COUNTIF(M3:M8,"="&amp;$O4)</f>
        <v>1</v>
      </c>
      <c r="S4" s="24">
        <f t="shared" ref="S4:S6" si="9">+T4-U4</f>
        <v>0</v>
      </c>
      <c r="T4" s="24">
        <f>+SUMIF(E3:E8,$O4,F3:F8)+SUMIF(H3:H8,$O4,G3:G8)</f>
        <v>2</v>
      </c>
      <c r="U4" s="24">
        <f>+SUMIF(E3:E8,$O4,G3:G8)+SUMIF(H3:H8,$O4,F3:F8)</f>
        <v>2</v>
      </c>
      <c r="V4" s="45">
        <f t="shared" ref="V4:V6" si="10">+P4*3+Q4*1+BT4+CN4+S4/1000+T4/10000+AV4/1000000+ROW()/10000000</f>
        <v>4.0002004000000007</v>
      </c>
      <c r="W4" s="26" t="str">
        <f t="shared" ref="W4:W6" si="11">+O4</f>
        <v>Sudafrica</v>
      </c>
      <c r="Y4" s="61" t="str">
        <f>+CONCATENATE("2",RIGHT(E2,1))</f>
        <v>2A</v>
      </c>
      <c r="Z4" s="62" t="str">
        <f>+VLOOKUP(AL4,V3:W6,2,FALSE)</f>
        <v>Repubilca Checa</v>
      </c>
      <c r="AA4" s="63">
        <f t="shared" ref="AA4:AA6" si="12">+SUM(AB4:AD4)</f>
        <v>3</v>
      </c>
      <c r="AB4" s="64">
        <f t="shared" si="0"/>
        <v>1</v>
      </c>
      <c r="AC4" s="64">
        <f t="shared" si="0"/>
        <v>2</v>
      </c>
      <c r="AD4" s="64">
        <f t="shared" si="0"/>
        <v>0</v>
      </c>
      <c r="AE4" s="64">
        <f t="shared" si="0"/>
        <v>2</v>
      </c>
      <c r="AF4" s="64">
        <f t="shared" si="0"/>
        <v>4</v>
      </c>
      <c r="AG4" s="64">
        <f t="shared" si="0"/>
        <v>2</v>
      </c>
      <c r="AH4" s="65">
        <f>+VLOOKUP($Z4,$O$3:$V$6,COLUMN()-26,FALSE)</f>
        <v>5.0024005999999996</v>
      </c>
      <c r="AI4" s="51"/>
      <c r="AL4" s="45">
        <f>+LARGE(V3:V6,2)</f>
        <v>5.0024005999999996</v>
      </c>
      <c r="AM4" s="52">
        <f t="shared" ref="AM4:AM6" si="13">+(AH4-AL4)*100000000000000000000</f>
        <v>0</v>
      </c>
      <c r="AP4" s="53" t="str">
        <f>+O4</f>
        <v>Sudafrica</v>
      </c>
      <c r="AQ4" s="23">
        <f>+P4*3+Q4*1+BT4+CN4+S4/1000+T4/10000</f>
        <v>4.0002000000000004</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4</v>
      </c>
      <c r="BA4" s="29">
        <f>+COUNTIFS($AX$1:AX4,AX4,$AZ$1:AZ4,AZ4)</f>
        <v>1</v>
      </c>
      <c r="BB4" s="29">
        <f>+IF(AZ4=BF1,ROW()*0.001,AZ4)</f>
        <v>4</v>
      </c>
      <c r="BC4" s="29">
        <f>+COUNTIFS($AX$1:AZ4,AZ4,$AZ$1:BB4,BB4)</f>
        <v>1</v>
      </c>
      <c r="BD4" s="29"/>
      <c r="BE4" s="25" t="str">
        <f>+IF(OR(BF4="-",BI4="-",BF1=0),"-","OK")</f>
        <v>-</v>
      </c>
      <c r="BF4" s="57" t="str">
        <f>+IF(_xlfn.XLOOKUP($E4,$AY:$AY,$AZ:$AZ,"-",0)=BF1,$E4,"-")</f>
        <v>-</v>
      </c>
      <c r="BG4" s="58">
        <f t="shared" si="1"/>
        <v>0</v>
      </c>
      <c r="BH4" s="59">
        <f t="shared" si="2"/>
        <v>2</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0</v>
      </c>
      <c r="CB4" s="59">
        <f t="shared" si="4"/>
        <v>2</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Escocia</v>
      </c>
      <c r="CW4" s="36" t="str">
        <f>+_xlfn.XLOOKUP(CV4,'Mejores 3eros'!$BD$2:$BD$13,'Mejores 3eros'!$BG$2:$BG$13,"-",0)</f>
        <v>IN</v>
      </c>
      <c r="CX4" s="37"/>
    </row>
    <row r="5" spans="1:102" x14ac:dyDescent="0.25">
      <c r="A5" s="38" t="s">
        <v>119</v>
      </c>
      <c r="B5" s="39">
        <v>46191</v>
      </c>
      <c r="C5" s="40"/>
      <c r="D5" s="41"/>
      <c r="E5" s="42" t="s">
        <v>79</v>
      </c>
      <c r="F5" s="43">
        <v>1</v>
      </c>
      <c r="G5" s="43">
        <v>1</v>
      </c>
      <c r="H5" s="44" t="s">
        <v>82</v>
      </c>
      <c r="J5" s="24" t="str">
        <f t="shared" si="5"/>
        <v/>
      </c>
      <c r="K5" s="24" t="str">
        <f t="shared" si="6"/>
        <v>Repubilca Checa</v>
      </c>
      <c r="L5" s="24" t="str">
        <f t="shared" si="7"/>
        <v>Sudafrica</v>
      </c>
      <c r="M5" s="24" t="str">
        <f t="shared" si="8"/>
        <v/>
      </c>
      <c r="O5" s="26" t="str">
        <f>+E4</f>
        <v>Corea del Sur</v>
      </c>
      <c r="P5" s="24">
        <f>+COUNTIF(J3:J8,"="&amp;$O5)</f>
        <v>0</v>
      </c>
      <c r="Q5" s="24">
        <f>+COUNTIF(K3:L8,"="&amp;$O5)</f>
        <v>0</v>
      </c>
      <c r="R5" s="24">
        <f>+COUNTIF(M3:M8,"="&amp;$O5)</f>
        <v>3</v>
      </c>
      <c r="S5" s="24">
        <f t="shared" si="9"/>
        <v>-4</v>
      </c>
      <c r="T5" s="24">
        <f>+SUMIF(E3:E8,$O5,F3:F8)+SUMIF(H3:H8,$O5,G3:G8)</f>
        <v>0</v>
      </c>
      <c r="U5" s="24">
        <f>+SUMIF(E3:E8,$O5,G3:G8)+SUMIF(H3:H8,$O5,F3:F8)</f>
        <v>4</v>
      </c>
      <c r="V5" s="45">
        <f t="shared" si="10"/>
        <v>-3.9995000000000005E-3</v>
      </c>
      <c r="W5" s="26" t="str">
        <f t="shared" si="11"/>
        <v>Corea del Sur</v>
      </c>
      <c r="Y5" s="68" t="str">
        <f>+CONCATENATE("3",RIGHT(E2,1))</f>
        <v>3A</v>
      </c>
      <c r="Z5" s="69" t="str">
        <f>+VLOOKUP(AL5,V3:W6,2,FALSE)</f>
        <v>Sudafrica</v>
      </c>
      <c r="AA5" s="70">
        <f t="shared" si="12"/>
        <v>3</v>
      </c>
      <c r="AB5" s="71">
        <f t="shared" si="0"/>
        <v>1</v>
      </c>
      <c r="AC5" s="71">
        <f t="shared" si="0"/>
        <v>1</v>
      </c>
      <c r="AD5" s="71">
        <f t="shared" si="0"/>
        <v>1</v>
      </c>
      <c r="AE5" s="71">
        <f t="shared" si="0"/>
        <v>0</v>
      </c>
      <c r="AF5" s="71">
        <f t="shared" si="0"/>
        <v>2</v>
      </c>
      <c r="AG5" s="71">
        <f t="shared" si="0"/>
        <v>2</v>
      </c>
      <c r="AH5" s="72">
        <f>+VLOOKUP($Z5,$O$3:$V$6,COLUMN()-26,FALSE)</f>
        <v>4.0002004000000007</v>
      </c>
      <c r="AI5" s="73">
        <f>+(COUNTIFS($CV$2:$CV$13,Z5,$CX$2:$CX$13,"IN")+COUNTIFS($CV$2:$CV$13,Z5,$CW$2:$CW$13,"IN"))*IF(SUM(AA3:AA6)=12,1,0)</f>
        <v>1</v>
      </c>
      <c r="AL5" s="45">
        <f>+LARGE(V3:V6,3)</f>
        <v>4.0002004000000007</v>
      </c>
      <c r="AM5" s="52">
        <f t="shared" si="13"/>
        <v>0</v>
      </c>
      <c r="AP5" s="53" t="str">
        <f>+O5</f>
        <v>Corea del Sur</v>
      </c>
      <c r="AQ5" s="23">
        <f>+P5*3+Q5*1+BT5+CN5+S5/1000+T5/10000</f>
        <v>-4.0000000000000001E-3</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0</v>
      </c>
      <c r="BA5" s="29">
        <f>+COUNTIFS($AX$1:AX5,AX5,$AZ$1:AZ5,AZ5)</f>
        <v>1</v>
      </c>
      <c r="BB5" s="29">
        <f>+IF(AZ5=BF1,ROW()*0.001,AZ5)</f>
        <v>0</v>
      </c>
      <c r="BC5" s="29">
        <f>+COUNTIFS($AX$1:AZ5,AZ5,$AZ$1:BB5,BB5)</f>
        <v>1</v>
      </c>
      <c r="BD5" s="29"/>
      <c r="BE5" s="25" t="str">
        <f>+IF(OR(BF5="-",BI5="-",BF1=0),"-","OK")</f>
        <v>-</v>
      </c>
      <c r="BF5" s="57" t="str">
        <f>+IF(_xlfn.XLOOKUP($E5,$AY:$AY,$AZ:$AZ,"-",0)=BF1,$E5,"-")</f>
        <v>-</v>
      </c>
      <c r="BG5" s="58">
        <f t="shared" si="1"/>
        <v>1</v>
      </c>
      <c r="BH5" s="59">
        <f t="shared" si="2"/>
        <v>1</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1</v>
      </c>
      <c r="CB5" s="59">
        <f t="shared" si="4"/>
        <v>1</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Australia</v>
      </c>
      <c r="CW5" s="36" t="str">
        <f>+_xlfn.XLOOKUP(CV5,'Mejores 3eros'!$BD$2:$BD$13,'Mejores 3eros'!$BG$2:$BG$13,"-",0)</f>
        <v>IN</v>
      </c>
      <c r="CX5" s="37" t="s">
        <v>116</v>
      </c>
    </row>
    <row r="6" spans="1:102" x14ac:dyDescent="0.25">
      <c r="A6" s="38" t="s">
        <v>120</v>
      </c>
      <c r="B6" s="39">
        <v>46191</v>
      </c>
      <c r="C6" s="40"/>
      <c r="D6" s="41"/>
      <c r="E6" s="42" t="s">
        <v>62</v>
      </c>
      <c r="F6" s="43">
        <v>1</v>
      </c>
      <c r="G6" s="43">
        <v>0</v>
      </c>
      <c r="H6" s="44" t="s">
        <v>68</v>
      </c>
      <c r="J6" s="24" t="str">
        <f t="shared" si="5"/>
        <v>Mexico</v>
      </c>
      <c r="K6" s="24" t="str">
        <f t="shared" si="6"/>
        <v/>
      </c>
      <c r="L6" s="24" t="str">
        <f t="shared" si="7"/>
        <v/>
      </c>
      <c r="M6" s="24" t="str">
        <f t="shared" si="8"/>
        <v>Corea del Sur</v>
      </c>
      <c r="O6" s="26" t="str">
        <f>+H4</f>
        <v>Repubilca Checa</v>
      </c>
      <c r="P6" s="24">
        <f>+COUNTIF(J3:J8,"="&amp;$O6)</f>
        <v>1</v>
      </c>
      <c r="Q6" s="24">
        <f>+COUNTIF(K3:L8,"="&amp;$O6)</f>
        <v>2</v>
      </c>
      <c r="R6" s="24">
        <f>+COUNTIF(M3:M8,"="&amp;$O6)</f>
        <v>0</v>
      </c>
      <c r="S6" s="24">
        <f t="shared" si="9"/>
        <v>2</v>
      </c>
      <c r="T6" s="24">
        <f>+SUMIF(E3:E8,$O6,F3:F8)+SUMIF(H3:H8,$O6,G3:G8)</f>
        <v>4</v>
      </c>
      <c r="U6" s="24">
        <f>+SUMIF(E3:E8,$O6,G3:G8)+SUMIF(H3:H8,$O6,F3:F8)</f>
        <v>2</v>
      </c>
      <c r="V6" s="45">
        <f t="shared" si="10"/>
        <v>5.0024005999999996</v>
      </c>
      <c r="W6" s="26" t="str">
        <f t="shared" si="11"/>
        <v>Repubilca Checa</v>
      </c>
      <c r="Y6" s="74" t="str">
        <f>+CONCATENATE("4",RIGHT(E2,1))</f>
        <v>4A</v>
      </c>
      <c r="Z6" s="75" t="str">
        <f>+VLOOKUP(AL6,V3:W6,2,FALSE)</f>
        <v>Corea del Sur</v>
      </c>
      <c r="AA6" s="76">
        <f t="shared" si="12"/>
        <v>3</v>
      </c>
      <c r="AB6" s="77">
        <f t="shared" si="0"/>
        <v>0</v>
      </c>
      <c r="AC6" s="77">
        <f t="shared" si="0"/>
        <v>0</v>
      </c>
      <c r="AD6" s="77">
        <f t="shared" si="0"/>
        <v>3</v>
      </c>
      <c r="AE6" s="77">
        <f t="shared" si="0"/>
        <v>-4</v>
      </c>
      <c r="AF6" s="77">
        <f t="shared" si="0"/>
        <v>0</v>
      </c>
      <c r="AG6" s="77">
        <f t="shared" si="0"/>
        <v>4</v>
      </c>
      <c r="AH6" s="78">
        <f>+VLOOKUP($Z6,$O$3:$V$6,COLUMN()-26,FALSE)</f>
        <v>-3.9995000000000005E-3</v>
      </c>
      <c r="AI6" s="73"/>
      <c r="AL6" s="45">
        <f>+LARGE(V3:V6,4)</f>
        <v>-3.9995000000000005E-3</v>
      </c>
      <c r="AM6" s="52">
        <f t="shared" si="13"/>
        <v>0</v>
      </c>
      <c r="AP6" s="53" t="str">
        <f>+O6</f>
        <v>Repubilca Checa</v>
      </c>
      <c r="AQ6" s="23">
        <f>+P6*3+Q6*1+BT6+CN6+S6/1000+T6/10000</f>
        <v>5.0023999999999997</v>
      </c>
      <c r="AS6" s="54">
        <f t="shared" si="14"/>
        <v>0</v>
      </c>
      <c r="AT6" s="54">
        <f>+IF(AND(AM7="si",OR(AR3=1,AR4=1,AR5=1)),1,0)</f>
        <v>0</v>
      </c>
      <c r="AU6" s="79" t="str">
        <f t="shared" si="15"/>
        <v>Repubilca Checa</v>
      </c>
      <c r="AV6" s="80"/>
      <c r="AX6" s="23" t="str">
        <f>+Y2</f>
        <v>Grupo A</v>
      </c>
      <c r="AY6" s="24" t="str">
        <f t="shared" si="16"/>
        <v>Repubilca Checa</v>
      </c>
      <c r="AZ6" s="29">
        <f t="shared" si="17"/>
        <v>5</v>
      </c>
      <c r="BA6" s="29">
        <f>+COUNTIFS($AX$1:AX6,AX6,$AZ$1:AZ6,AZ6)</f>
        <v>1</v>
      </c>
      <c r="BB6" s="29">
        <f>+IF(AZ6=BF1,ROW()*0.001,AZ6)</f>
        <v>5</v>
      </c>
      <c r="BC6" s="29">
        <f>+COUNTIFS($AX$1:AZ6,AZ6,$AZ$1:BB6,BB6)</f>
        <v>1</v>
      </c>
      <c r="BD6" s="29"/>
      <c r="BE6" s="25" t="str">
        <f>+IF(OR(BF6="-",BI6="-",BF1=0),"-","OK")</f>
        <v>-</v>
      </c>
      <c r="BF6" s="57" t="str">
        <f>+IF(_xlfn.XLOOKUP($E6,$AY:$AY,$AZ:$AZ,"-",0)=BF1,$E6,"-")</f>
        <v>-</v>
      </c>
      <c r="BG6" s="58">
        <f t="shared" si="1"/>
        <v>1</v>
      </c>
      <c r="BH6" s="59">
        <f t="shared" si="2"/>
        <v>0</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1</v>
      </c>
      <c r="CB6" s="59">
        <f t="shared" si="4"/>
        <v>0</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Costa de Marfil</v>
      </c>
      <c r="CW6" s="36" t="str">
        <f>+_xlfn.XLOOKUP(CV6,'Mejores 3eros'!$BD$2:$BD$13,'Mejores 3eros'!$BG$2:$BG$13,"-",0)</f>
        <v>IN</v>
      </c>
      <c r="CX6" s="37" t="s">
        <v>116</v>
      </c>
    </row>
    <row r="7" spans="1:102" x14ac:dyDescent="0.25">
      <c r="A7" s="38" t="s">
        <v>121</v>
      </c>
      <c r="B7" s="39">
        <v>46197</v>
      </c>
      <c r="C7" s="40"/>
      <c r="D7" s="41"/>
      <c r="E7" s="42" t="s">
        <v>79</v>
      </c>
      <c r="F7" s="43">
        <v>1</v>
      </c>
      <c r="G7" s="43">
        <v>1</v>
      </c>
      <c r="H7" s="44" t="s">
        <v>62</v>
      </c>
      <c r="J7" s="24" t="str">
        <f t="shared" si="5"/>
        <v/>
      </c>
      <c r="K7" s="24" t="str">
        <f t="shared" si="6"/>
        <v>Repubilca Checa</v>
      </c>
      <c r="L7" s="24" t="str">
        <f t="shared" si="7"/>
        <v>Mexico</v>
      </c>
      <c r="M7" s="24" t="str">
        <f t="shared" si="8"/>
        <v/>
      </c>
      <c r="AL7" s="25" t="s">
        <v>122</v>
      </c>
      <c r="AM7" s="52" t="str">
        <f>+IF(SUM(AA3:AA6)=12,"si","no")</f>
        <v>si</v>
      </c>
      <c r="BE7" s="25" t="str">
        <f>+IF(OR(BF7="-",BI7="-",BF1=0),"-","OK")</f>
        <v>-</v>
      </c>
      <c r="BF7" s="57" t="str">
        <f>+IF(_xlfn.XLOOKUP($E7,$AY:$AY,$AZ:$AZ,"-",0)=BF1,$E7,"-")</f>
        <v>-</v>
      </c>
      <c r="BG7" s="58">
        <f t="shared" si="1"/>
        <v>1</v>
      </c>
      <c r="BH7" s="59">
        <f t="shared" si="2"/>
        <v>1</v>
      </c>
      <c r="BI7" s="57" t="str">
        <f>+IF(_xlfn.XLOOKUP($H7,$AY:$AY,$AZ:$AZ,"-",0)=BF1,$H7,"-")</f>
        <v>-</v>
      </c>
      <c r="BY7" s="25" t="str">
        <f t="shared" si="26"/>
        <v>-</v>
      </c>
      <c r="BZ7" s="57" t="str">
        <f>+IF(_xlfn.XLOOKUP($E7,$AY:$AY,$AZ:$AZ,"-",0)=BZ1,$E7,"-")</f>
        <v>-</v>
      </c>
      <c r="CA7" s="58">
        <f t="shared" si="3"/>
        <v>1</v>
      </c>
      <c r="CB7" s="59">
        <f t="shared" si="4"/>
        <v>1</v>
      </c>
      <c r="CC7" s="57" t="str">
        <f>+IF(_xlfn.XLOOKUP($H7,$AY:$AY,$AZ:$AZ,"-",0)=BZ1,$H7,"-")</f>
        <v>-</v>
      </c>
      <c r="CV7" s="35" t="str">
        <f>+'Mejores 3eros'!AP7</f>
        <v>Suecia</v>
      </c>
      <c r="CW7" s="36" t="str">
        <f>+_xlfn.XLOOKUP(CV7,'Mejores 3eros'!$BD$2:$BD$13,'Mejores 3eros'!$BG$2:$BG$13,"-",0)</f>
        <v>IN</v>
      </c>
      <c r="CX7" s="37" t="s">
        <v>116</v>
      </c>
    </row>
    <row r="8" spans="1:102" x14ac:dyDescent="0.25">
      <c r="A8" s="38" t="s">
        <v>123</v>
      </c>
      <c r="B8" s="39">
        <v>46197</v>
      </c>
      <c r="C8" s="40"/>
      <c r="D8" s="41"/>
      <c r="E8" s="42" t="s">
        <v>82</v>
      </c>
      <c r="F8" s="43">
        <v>1</v>
      </c>
      <c r="G8" s="43">
        <v>0</v>
      </c>
      <c r="H8" s="44" t="s">
        <v>68</v>
      </c>
      <c r="J8" s="24" t="str">
        <f t="shared" si="5"/>
        <v>Sudafrica</v>
      </c>
      <c r="K8" s="24" t="str">
        <f t="shared" si="6"/>
        <v/>
      </c>
      <c r="L8" s="24" t="str">
        <f t="shared" si="7"/>
        <v/>
      </c>
      <c r="M8" s="24" t="str">
        <f t="shared" si="8"/>
        <v>Corea del Sur</v>
      </c>
      <c r="Y8" s="53" t="s">
        <v>124</v>
      </c>
      <c r="AR8" s="23">
        <f>+IF(AND(AM7="si",OR(AR3=1,AR4=1,AR5=1)),1,0)</f>
        <v>0</v>
      </c>
      <c r="BE8" s="25" t="str">
        <f>+IF(OR(BF8="-",BI8="-",BF1=0),"-","OK")</f>
        <v>-</v>
      </c>
      <c r="BF8" s="57" t="str">
        <f>+IF(_xlfn.XLOOKUP($E8,$AY:$AY,$AZ:$AZ,"-",0)=BF1,$E8,"-")</f>
        <v>-</v>
      </c>
      <c r="BG8" s="58">
        <f t="shared" si="1"/>
        <v>1</v>
      </c>
      <c r="BH8" s="59">
        <f t="shared" si="2"/>
        <v>0</v>
      </c>
      <c r="BI8" s="57" t="str">
        <f>+IF(_xlfn.XLOOKUP($H8,$AY:$AY,$AZ:$AZ,"-",0)=BF1,$H8,"-")</f>
        <v>-</v>
      </c>
      <c r="BY8" s="25" t="str">
        <f t="shared" si="26"/>
        <v>-</v>
      </c>
      <c r="BZ8" s="57" t="str">
        <f>+IF(_xlfn.XLOOKUP($E8,$AY:$AY,$AZ:$AZ,"-",0)=BZ1,$E8,"-")</f>
        <v>-</v>
      </c>
      <c r="CA8" s="58">
        <f t="shared" si="3"/>
        <v>1</v>
      </c>
      <c r="CB8" s="59">
        <f t="shared" si="4"/>
        <v>0</v>
      </c>
      <c r="CC8" s="57" t="str">
        <f>+IF(_xlfn.XLOOKUP($H8,$AY:$AY,$AZ:$AZ,"-",0)=BZ1,$H8,"-")</f>
        <v>-</v>
      </c>
      <c r="CV8" s="35" t="str">
        <f>+'Mejores 3eros'!AP8</f>
        <v>Egipto</v>
      </c>
      <c r="CW8" s="36" t="str">
        <f>+_xlfn.XLOOKUP(CV8,'Mejores 3eros'!$BD$2:$BD$13,'Mejores 3eros'!$BG$2:$BG$13,"-",0)</f>
        <v>OUT</v>
      </c>
      <c r="CX8" s="37" t="s">
        <v>116</v>
      </c>
    </row>
    <row r="9" spans="1:102" s="83" customFormat="1" x14ac:dyDescent="0.25">
      <c r="A9" s="81"/>
      <c r="B9" s="82"/>
      <c r="C9" s="81"/>
      <c r="E9" s="84"/>
      <c r="F9" s="81"/>
      <c r="G9" s="81"/>
      <c r="H9" s="85"/>
      <c r="J9" s="81"/>
      <c r="K9" s="81"/>
      <c r="L9" s="81"/>
      <c r="M9" s="81"/>
      <c r="AV9" s="86"/>
      <c r="AW9" s="86"/>
      <c r="BE9" s="81"/>
      <c r="CV9" s="35" t="str">
        <f>+'Mejores 3eros'!AP9</f>
        <v>Arabia Saudita</v>
      </c>
      <c r="CW9" s="36" t="str">
        <f>+_xlfn.XLOOKUP(CV9,'Mejores 3eros'!$BD$2:$BD$13,'Mejores 3eros'!$BG$2:$BG$13,"-",0)</f>
        <v>OUT</v>
      </c>
      <c r="CX9" s="37" t="s">
        <v>116</v>
      </c>
    </row>
    <row r="10" spans="1:102" x14ac:dyDescent="0.25">
      <c r="A10" s="23"/>
      <c r="BF10" s="28">
        <f>+IF(BA12&gt;1,AZ12,IF(BA13&gt;1,AZ13,IF(BA14&gt;1,AZ14,IF(BA15&gt;1,AZ15,"-"))))</f>
        <v>7</v>
      </c>
      <c r="BW10" s="23">
        <v>10</v>
      </c>
      <c r="BZ10" s="29">
        <f>+IF(BC12&gt;1,BB12,IF(BC13&gt;1,BB13,IF(BC14&gt;1,BB14,IF(BC15&gt;1,BB15,"-"))))</f>
        <v>0</v>
      </c>
      <c r="CQ10" s="23">
        <v>10</v>
      </c>
      <c r="CV10" s="35" t="str">
        <f>+'Mejores 3eros'!AP10</f>
        <v>Senegal</v>
      </c>
      <c r="CW10" s="36" t="str">
        <f>+_xlfn.XLOOKUP(CV10,'Mejores 3eros'!$BD$2:$BD$13,'Mejores 3eros'!$BG$2:$BG$13,"-",0)</f>
        <v>IN</v>
      </c>
      <c r="CX10" s="37"/>
    </row>
    <row r="11" spans="1:102" x14ac:dyDescent="0.25">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510" t="s">
        <v>125</v>
      </c>
      <c r="Z11" s="511"/>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Argelia</v>
      </c>
      <c r="CW11" s="36" t="str">
        <f>+_xlfn.XLOOKUP(CV11,'Mejores 3eros'!$BD$2:$BD$13,'Mejores 3eros'!$BG$2:$BG$13,"-",0)</f>
        <v>IN</v>
      </c>
      <c r="CX11" s="37" t="s">
        <v>116</v>
      </c>
    </row>
    <row r="12" spans="1:102" x14ac:dyDescent="0.25">
      <c r="A12" s="38" t="s">
        <v>126</v>
      </c>
      <c r="B12" s="39">
        <v>46185</v>
      </c>
      <c r="C12" s="40"/>
      <c r="D12" s="41"/>
      <c r="E12" s="42" t="s">
        <v>76</v>
      </c>
      <c r="F12" s="43">
        <v>1</v>
      </c>
      <c r="G12" s="43">
        <v>0</v>
      </c>
      <c r="H12" s="44" t="s">
        <v>84</v>
      </c>
      <c r="J12" s="24" t="str">
        <f>IF(OR(ISBLANK(F12),ISBLANK(G12)),"",IF(F12&gt;G12,E12,IF(G12&gt;F12,H12,"")))</f>
        <v>Canada</v>
      </c>
      <c r="K12" s="24" t="str">
        <f>IF(OR(ISBLANK(F12),ISBLANK(G12)),"",IF(F12=G12,E12,""))</f>
        <v/>
      </c>
      <c r="L12" s="24" t="str">
        <f>IF(OR(ISBLANK(F12),ISBLANK(G12)),"",IF(F12=G12,H12,""))</f>
        <v/>
      </c>
      <c r="M12" s="24" t="str">
        <f>IF(OR(ISBLANK(F12),ISBLANK(G12)),"",IF(F12&lt;G12,E12,IF(G12&lt;F12,H12,"")))</f>
        <v>Bosnia</v>
      </c>
      <c r="O12" s="26" t="str">
        <f>+E12</f>
        <v>Canada</v>
      </c>
      <c r="P12" s="24">
        <f>+COUNTIF(J12:J17,"="&amp;$O12)</f>
        <v>2</v>
      </c>
      <c r="Q12" s="24">
        <f>+COUNTIF(K12:L17,"="&amp;$O12)</f>
        <v>1</v>
      </c>
      <c r="R12" s="24">
        <f>+COUNTIF(M12:M17,"="&amp;$O12)</f>
        <v>0</v>
      </c>
      <c r="S12" s="24">
        <f>+T12-U12</f>
        <v>3</v>
      </c>
      <c r="T12" s="24">
        <f t="shared" ref="T12" si="36">+SUMIF(E12:E17,$O12,F12:F17)+SUMIF(H12:H17,$O12,G12:G17)</f>
        <v>4</v>
      </c>
      <c r="U12" s="24">
        <f t="shared" ref="U12" si="37">+SUMIF(E12:E17,$O12,G12:G17)+SUMIF(H12:H17,$O12,F12:F17)</f>
        <v>1</v>
      </c>
      <c r="V12" s="45">
        <f>+P12*3+Q12*1+BT12+CN12+S12/1000+T12/10000+AV12/1000000+ROW()/10000000</f>
        <v>7.3034011999999997</v>
      </c>
      <c r="W12" s="26" t="str">
        <f>+O12</f>
        <v>Canada</v>
      </c>
      <c r="Y12" s="46" t="str">
        <f>+CONCATENATE("1",RIGHT(E11,1))</f>
        <v>1B</v>
      </c>
      <c r="Z12" s="47" t="str">
        <f>+VLOOKUP(AL12,V12:W15,2,FALSE)</f>
        <v>Suiza</v>
      </c>
      <c r="AA12" s="48">
        <f>+SUM(AB12:AD12)</f>
        <v>3</v>
      </c>
      <c r="AB12" s="49">
        <f t="shared" ref="AB12:AG15" si="38">+VLOOKUP($Z12,$O$12:$U$15,COLUMN()-26,FALSE)</f>
        <v>2</v>
      </c>
      <c r="AC12" s="49">
        <f t="shared" si="38"/>
        <v>1</v>
      </c>
      <c r="AD12" s="49">
        <f t="shared" si="38"/>
        <v>0</v>
      </c>
      <c r="AE12" s="49">
        <f t="shared" si="38"/>
        <v>4</v>
      </c>
      <c r="AF12" s="49">
        <f t="shared" si="38"/>
        <v>6</v>
      </c>
      <c r="AG12" s="49">
        <f t="shared" si="38"/>
        <v>2</v>
      </c>
      <c r="AH12" s="50">
        <f>+VLOOKUP($Z12,$O$12:$V$15,COLUMN()-26,FALSE)</f>
        <v>7.3046014999999995</v>
      </c>
      <c r="AI12" s="51"/>
      <c r="AL12" s="45">
        <f>+LARGE(V12:V15,1)</f>
        <v>7.3046014999999995</v>
      </c>
      <c r="AM12" s="52">
        <f>+(AH12-AL12)*100000000000000000000</f>
        <v>0</v>
      </c>
      <c r="AP12" s="53" t="str">
        <f>+O12</f>
        <v>Canada</v>
      </c>
      <c r="AQ12" s="23">
        <f>+P12*3+Q12*1+BT12+CN12+S12/1000+T12/10000</f>
        <v>7.3033999999999999</v>
      </c>
      <c r="AR12" s="23" t="b">
        <f>+IF(OR(AQ12=AQ13,AQ12=AQ14,AQ12=AQ15),1)</f>
        <v>0</v>
      </c>
      <c r="AS12" s="54">
        <f>+AV12</f>
        <v>0</v>
      </c>
      <c r="AT12" s="54">
        <f>+IF(AND(AM16="si",OR(AR12=1,AR13=1,AR14=1)),1,0)</f>
        <v>0</v>
      </c>
      <c r="AU12" s="55" t="str">
        <f>+O12</f>
        <v>Canada</v>
      </c>
      <c r="AV12" s="56"/>
      <c r="AX12" s="23" t="str">
        <f>+Y11</f>
        <v>Grupo B</v>
      </c>
      <c r="AY12" s="24" t="str">
        <f>+O12</f>
        <v>Canada</v>
      </c>
      <c r="AZ12" s="29">
        <f>+P12*3+Q12</f>
        <v>7</v>
      </c>
      <c r="BA12" s="29">
        <f>+COUNTIFS($AX$1:AX12,AX12,$AZ$1:AZ12,AZ12)</f>
        <v>1</v>
      </c>
      <c r="BB12" s="29">
        <f>+IF(AZ12=BF10,ROW()*0.001,AZ12)</f>
        <v>1.2E-2</v>
      </c>
      <c r="BC12" s="29">
        <f>+COUNTIFS($AX$1:AZ12,AZ12,$AZ$1:BB12,BB12)</f>
        <v>1</v>
      </c>
      <c r="BD12" s="29"/>
      <c r="BE12" s="25" t="str">
        <f>+IF(OR(BF12="-",BI12="-",BF10=0),"-","OK")</f>
        <v>-</v>
      </c>
      <c r="BF12" s="57" t="str">
        <f>+IF(_xlfn.XLOOKUP($E12,$AY:$AY,$AZ:$AZ,"-",0)=BF10,$E12,"-")</f>
        <v>Canada</v>
      </c>
      <c r="BG12" s="58">
        <f t="shared" ref="BG12:BG17" si="39">+$F12</f>
        <v>1</v>
      </c>
      <c r="BH12" s="59">
        <f t="shared" ref="BH12:BH17" si="40">+$G12</f>
        <v>0</v>
      </c>
      <c r="BI12" s="57" t="str">
        <f>+IF(_xlfn.XLOOKUP($H12,$AY:$AY,$AZ:$AZ,"-",0)=BF10,$H12,"-")</f>
        <v>-</v>
      </c>
      <c r="BK12" s="26" t="str">
        <f>+O12</f>
        <v>Canada</v>
      </c>
      <c r="BL12" s="26">
        <f>+COUNTIFS($BE:$BE,"OK",$BI:$BI,BK12)+COUNTIFS($BE:$BE,"OK",$BF:$BF,BK12)</f>
        <v>1</v>
      </c>
      <c r="BM12" s="24">
        <f>+COUNTIFS(J:J,$BK12,$BE:$BE,"OK")</f>
        <v>0</v>
      </c>
      <c r="BN12" s="24">
        <f>+COUNTIFS(K:K,$BK12,$BE:$BE,"OK")+COUNTIFS(L:L,$BK12,$BE:$BE,"OK")</f>
        <v>1</v>
      </c>
      <c r="BO12" s="24">
        <f>+COUNTIFS(M:M,$BK12,$BE:$BE,"OK")</f>
        <v>0</v>
      </c>
      <c r="BP12" s="24">
        <f>+BQ12-BR12</f>
        <v>0</v>
      </c>
      <c r="BQ12" s="24">
        <f>+SUMIFS(BG:BG,$BE:$BE,"OK",BF:BF,$BK12)+SUMIFS(BH:BH,$BE:$BE,"OK",BI:BI,$BK12)</f>
        <v>1</v>
      </c>
      <c r="BR12" s="24">
        <f>+SUMIFS(BH:BH,$BE:$BE,"OK",BF:BF,$BK12)+SUMIFS(BG:BG,$BE:$BE,"OK",BI:BI,$BK12)</f>
        <v>1</v>
      </c>
      <c r="BS12" s="60">
        <f>+BM12*3+BN12*1+BP12/100+BQ12/10000</f>
        <v>1.0001</v>
      </c>
      <c r="BT12" s="29">
        <f>+IF(BL12=0,0,_xlfn.XLOOKUP(BS12,BV12:BV15,BW12:BW15))</f>
        <v>0.3</v>
      </c>
      <c r="BU12" s="45"/>
      <c r="BV12" s="24">
        <f>+LARGE(BS12:BS15,1)</f>
        <v>1.0001</v>
      </c>
      <c r="BW12" s="24">
        <f>+BX12/$BW$1</f>
        <v>0.3</v>
      </c>
      <c r="BX12" s="23">
        <v>3</v>
      </c>
      <c r="BY12" s="25" t="str">
        <f>+IF(OR(BZ12="-",CC12="-"),"-","OK")</f>
        <v>-</v>
      </c>
      <c r="BZ12" s="57" t="str">
        <f>+IF(_xlfn.XLOOKUP($E12,$AY:$AY,$AZ:$AZ,"-",0)=BZ10,$E12,"-")</f>
        <v>-</v>
      </c>
      <c r="CA12" s="58">
        <f t="shared" ref="CA12:CA17" si="41">+$F12</f>
        <v>1</v>
      </c>
      <c r="CB12" s="59">
        <f t="shared" ref="CB12:CB17" si="42">+$G12</f>
        <v>0</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Congo</v>
      </c>
      <c r="CW12" s="36" t="str">
        <f>+_xlfn.XLOOKUP(CV12,'Mejores 3eros'!$BD$2:$BD$13,'Mejores 3eros'!$BG$2:$BG$13,"-",0)</f>
        <v>OUT</v>
      </c>
      <c r="CX12" s="37" t="s">
        <v>116</v>
      </c>
    </row>
    <row r="13" spans="1:102" ht="14.4" thickBot="1" x14ac:dyDescent="0.3">
      <c r="A13" s="38" t="s">
        <v>127</v>
      </c>
      <c r="B13" s="39">
        <v>46186</v>
      </c>
      <c r="C13" s="40"/>
      <c r="D13" s="41"/>
      <c r="E13" s="42" t="s">
        <v>89</v>
      </c>
      <c r="F13" s="43">
        <v>1</v>
      </c>
      <c r="G13" s="43">
        <v>3</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1</v>
      </c>
      <c r="Q13" s="24">
        <f>+COUNTIF(K12:L17,"="&amp;$O13)</f>
        <v>0</v>
      </c>
      <c r="R13" s="24">
        <f>+COUNTIF(M12:M17,"="&amp;$O13)</f>
        <v>2</v>
      </c>
      <c r="S13" s="24">
        <f t="shared" ref="S13:S15" si="47">+T13-U13</f>
        <v>-1</v>
      </c>
      <c r="T13" s="24">
        <f t="shared" ref="T13" si="48">+SUMIF(E12:E17,$O13,F12:F17)+SUMIF(H12:H17,$O13,G12:G17)</f>
        <v>2</v>
      </c>
      <c r="U13" s="24">
        <f t="shared" ref="U13" si="49">+SUMIF(E12:E17,$O13,G12:G17)+SUMIF(H12:H17,$O13,F12:F17)</f>
        <v>3</v>
      </c>
      <c r="V13" s="45">
        <f t="shared" ref="V13:V15" si="50">+P13*3+Q13*1+BT13+CN13+S13/1000+T13/10000+AV13/1000000+ROW()/10000000</f>
        <v>2.9992013000000002</v>
      </c>
      <c r="W13" s="26" t="str">
        <f t="shared" ref="W13:W15" si="51">+O13</f>
        <v>Bosnia</v>
      </c>
      <c r="Y13" s="61" t="str">
        <f>+CONCATENATE("2",RIGHT(E11,1))</f>
        <v>2B</v>
      </c>
      <c r="Z13" s="62" t="str">
        <f>+VLOOKUP(AL13,V12:W15,2,FALSE)</f>
        <v>Canada</v>
      </c>
      <c r="AA13" s="63">
        <f t="shared" ref="AA13:AA15" si="52">+SUM(AB13:AD13)</f>
        <v>3</v>
      </c>
      <c r="AB13" s="64">
        <f t="shared" si="38"/>
        <v>2</v>
      </c>
      <c r="AC13" s="64">
        <f t="shared" si="38"/>
        <v>1</v>
      </c>
      <c r="AD13" s="64">
        <f t="shared" si="38"/>
        <v>0</v>
      </c>
      <c r="AE13" s="64">
        <f t="shared" si="38"/>
        <v>3</v>
      </c>
      <c r="AF13" s="64">
        <f t="shared" si="38"/>
        <v>4</v>
      </c>
      <c r="AG13" s="64">
        <f t="shared" si="38"/>
        <v>1</v>
      </c>
      <c r="AH13" s="65">
        <f>+VLOOKUP($Z13,$O$12:$V$15,COLUMN()-26,FALSE)</f>
        <v>7.3034011999999997</v>
      </c>
      <c r="AI13" s="51"/>
      <c r="AL13" s="45">
        <f>+LARGE(V12:V15,2)</f>
        <v>7.3034011999999997</v>
      </c>
      <c r="AM13" s="52">
        <f t="shared" ref="AM13:AM15" si="53">+(AH13-AL13)*100000000000000000000</f>
        <v>0</v>
      </c>
      <c r="AP13" s="53" t="str">
        <f>+O13</f>
        <v>Bosnia</v>
      </c>
      <c r="AQ13" s="23">
        <f>+P13*3+Q13*1+BT13+CN13+S13/1000+T13/10000</f>
        <v>2.9992000000000001</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3</v>
      </c>
      <c r="BA13" s="29">
        <f>+COUNTIFS($AX$1:AX13,AX13,$AZ$1:AZ13,AZ13)</f>
        <v>1</v>
      </c>
      <c r="BB13" s="29">
        <f>+IF(AZ13=BF10,ROW()*0.001,AZ13)</f>
        <v>3</v>
      </c>
      <c r="BC13" s="29">
        <f>+COUNTIFS($AX$1:AZ13,AZ13,$AZ$1:BB13,BB13)</f>
        <v>1</v>
      </c>
      <c r="BD13" s="29"/>
      <c r="BE13" s="25" t="str">
        <f>+IF(OR(BF13="-",BI13="-",BF10=0),"-","OK")</f>
        <v>-</v>
      </c>
      <c r="BF13" s="57" t="str">
        <f>+IF(_xlfn.XLOOKUP($E13,$AY:$AY,$AZ:$AZ,"-",0)=BF10,$E13,"-")</f>
        <v>-</v>
      </c>
      <c r="BG13" s="58">
        <f t="shared" si="39"/>
        <v>1</v>
      </c>
      <c r="BH13" s="59">
        <f t="shared" si="40"/>
        <v>3</v>
      </c>
      <c r="BI13" s="57" t="str">
        <f>+IF(_xlfn.XLOOKUP($H13,$AY:$AY,$AZ:$AZ,"-",0)=BF10,$H13,"-")</f>
        <v>Suiza</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1.0001</v>
      </c>
      <c r="BW13" s="24">
        <f>+BX13/$BW$1</f>
        <v>0.2</v>
      </c>
      <c r="BX13" s="23">
        <v>2</v>
      </c>
      <c r="BY13" s="25" t="str">
        <f t="shared" ref="BY13:BY17" si="66">+IF(OR(BZ13="-",CC13="-"),"-","OK")</f>
        <v>-</v>
      </c>
      <c r="BZ13" s="57" t="str">
        <f>+IF(_xlfn.XLOOKUP($E13,$AY:$AY,$AZ:$AZ,"-",0)=BZ10,$E13,"-")</f>
        <v>Qatar</v>
      </c>
      <c r="CA13" s="58">
        <f t="shared" si="41"/>
        <v>1</v>
      </c>
      <c r="CB13" s="59">
        <f t="shared" si="42"/>
        <v>3</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Croacia</v>
      </c>
      <c r="CW13" s="89" t="str">
        <f>+_xlfn.XLOOKUP(CV13,'Mejores 3eros'!$BD$2:$BD$13,'Mejores 3eros'!$BG$2:$BG$13,"-",0)</f>
        <v>IN</v>
      </c>
      <c r="CX13" s="90" t="s">
        <v>116</v>
      </c>
    </row>
    <row r="14" spans="1:102" x14ac:dyDescent="0.25">
      <c r="A14" s="38" t="s">
        <v>128</v>
      </c>
      <c r="B14" s="39">
        <v>46191</v>
      </c>
      <c r="C14" s="40"/>
      <c r="D14" s="41"/>
      <c r="E14" s="42" t="s">
        <v>65</v>
      </c>
      <c r="F14" s="43">
        <v>2</v>
      </c>
      <c r="G14" s="43">
        <v>0</v>
      </c>
      <c r="H14" s="44" t="s">
        <v>84</v>
      </c>
      <c r="J14" s="24" t="str">
        <f t="shared" si="43"/>
        <v>Suiza</v>
      </c>
      <c r="K14" s="24" t="str">
        <f t="shared" si="44"/>
        <v/>
      </c>
      <c r="L14" s="24" t="str">
        <f t="shared" si="45"/>
        <v/>
      </c>
      <c r="M14" s="24" t="str">
        <f t="shared" si="46"/>
        <v>Bosnia</v>
      </c>
      <c r="O14" s="26" t="str">
        <f>+E13</f>
        <v>Qatar</v>
      </c>
      <c r="P14" s="24">
        <f>+COUNTIF(J12:J17,"="&amp;$O14)</f>
        <v>0</v>
      </c>
      <c r="Q14" s="24">
        <f>+COUNTIF(K12:L17,"="&amp;$O14)</f>
        <v>0</v>
      </c>
      <c r="R14" s="24">
        <f>+COUNTIF(M12:M17,"="&amp;$O14)</f>
        <v>3</v>
      </c>
      <c r="S14" s="24">
        <f t="shared" si="47"/>
        <v>-6</v>
      </c>
      <c r="T14" s="24">
        <f t="shared" ref="T14" si="76">+SUMIF(E12:E17,$O14,F12:F17)+SUMIF(H12:H17,$O14,G12:G17)</f>
        <v>1</v>
      </c>
      <c r="U14" s="24">
        <f t="shared" ref="U14" si="77">+SUMIF(E12:E17,$O14,G12:G17)+SUMIF(H12:H17,$O14,F12:F17)</f>
        <v>7</v>
      </c>
      <c r="V14" s="45">
        <f t="shared" si="50"/>
        <v>-5.8985999999999995E-3</v>
      </c>
      <c r="W14" s="26" t="str">
        <f t="shared" si="51"/>
        <v>Qatar</v>
      </c>
      <c r="Y14" s="68" t="str">
        <f>+CONCATENATE("3",RIGHT(E11,1))</f>
        <v>3B</v>
      </c>
      <c r="Z14" s="69" t="str">
        <f>+VLOOKUP(AL14,V12:W15,2,FALSE)</f>
        <v>Bosnia</v>
      </c>
      <c r="AA14" s="70">
        <f t="shared" si="52"/>
        <v>3</v>
      </c>
      <c r="AB14" s="71">
        <f t="shared" si="38"/>
        <v>1</v>
      </c>
      <c r="AC14" s="71">
        <f t="shared" si="38"/>
        <v>0</v>
      </c>
      <c r="AD14" s="71">
        <f t="shared" si="38"/>
        <v>2</v>
      </c>
      <c r="AE14" s="71">
        <f t="shared" si="38"/>
        <v>-1</v>
      </c>
      <c r="AF14" s="71">
        <f t="shared" si="38"/>
        <v>2</v>
      </c>
      <c r="AG14" s="71">
        <f t="shared" si="38"/>
        <v>3</v>
      </c>
      <c r="AH14" s="72">
        <f>+VLOOKUP($Z14,$O$12:$V$15,COLUMN()-26,FALSE)</f>
        <v>2.9992013000000002</v>
      </c>
      <c r="AI14" s="73">
        <f>+(COUNTIFS($CV$2:$CV$13,Z14,$CX$2:$CX$13,"IN")+COUNTIFS($CV$2:$CV$13,Z14,$CW$2:$CW$13,"IN"))*IF(SUM(AA12:AA15)=12,1,0)</f>
        <v>0</v>
      </c>
      <c r="AL14" s="45">
        <f>+LARGE(V12:V15,3)</f>
        <v>2.9992013000000002</v>
      </c>
      <c r="AM14" s="52">
        <f t="shared" si="53"/>
        <v>0</v>
      </c>
      <c r="AP14" s="53" t="str">
        <f>+O14</f>
        <v>Qatar</v>
      </c>
      <c r="AQ14" s="23">
        <f>+P14*3+Q14*1+BT14+CN14+S14/1000+T14/10000</f>
        <v>-5.8999999999999999E-3</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0</v>
      </c>
      <c r="BA14" s="29">
        <f>+COUNTIFS($AX$1:AX14,AX14,$AZ$1:AZ14,AZ14)</f>
        <v>1</v>
      </c>
      <c r="BB14" s="29">
        <f>+IF(AZ14=BF10,ROW()*0.001,AZ14)</f>
        <v>0</v>
      </c>
      <c r="BC14" s="29">
        <f>+COUNTIFS($AX$1:AZ14,AZ14,$AZ$1:BB14,BB14)</f>
        <v>2</v>
      </c>
      <c r="BD14" s="29"/>
      <c r="BE14" s="25" t="str">
        <f>+IF(OR(BF14="-",BI14="-",BF10=0),"-","OK")</f>
        <v>-</v>
      </c>
      <c r="BF14" s="57" t="str">
        <f>+IF(_xlfn.XLOOKUP($E14,$AY:$AY,$AZ:$AZ,"-",0)=BF10,$E14,"-")</f>
        <v>Suiza</v>
      </c>
      <c r="BG14" s="58">
        <f t="shared" si="39"/>
        <v>2</v>
      </c>
      <c r="BH14" s="59">
        <f t="shared" si="40"/>
        <v>0</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2</v>
      </c>
      <c r="CB14" s="59">
        <f t="shared" si="42"/>
        <v>0</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5">
      <c r="A15" s="38" t="s">
        <v>129</v>
      </c>
      <c r="B15" s="39">
        <v>46191</v>
      </c>
      <c r="C15" s="40"/>
      <c r="D15" s="41"/>
      <c r="E15" s="42" t="s">
        <v>76</v>
      </c>
      <c r="F15" s="43">
        <v>2</v>
      </c>
      <c r="G15" s="43">
        <v>0</v>
      </c>
      <c r="H15" s="44" t="s">
        <v>89</v>
      </c>
      <c r="J15" s="24" t="str">
        <f t="shared" si="43"/>
        <v>Canada</v>
      </c>
      <c r="K15" s="24" t="str">
        <f t="shared" si="44"/>
        <v/>
      </c>
      <c r="L15" s="24" t="str">
        <f t="shared" si="45"/>
        <v/>
      </c>
      <c r="M15" s="24" t="str">
        <f t="shared" si="46"/>
        <v>Qatar</v>
      </c>
      <c r="O15" s="26" t="str">
        <f>+H13</f>
        <v>Suiza</v>
      </c>
      <c r="P15" s="24">
        <f>+COUNTIF(J12:J17,"="&amp;$O15)</f>
        <v>2</v>
      </c>
      <c r="Q15" s="24">
        <f>+COUNTIF(K12:L17,"="&amp;$O15)</f>
        <v>1</v>
      </c>
      <c r="R15" s="24">
        <f>+COUNTIF(M12:M17,"="&amp;$O15)</f>
        <v>0</v>
      </c>
      <c r="S15" s="24">
        <f t="shared" si="47"/>
        <v>4</v>
      </c>
      <c r="T15" s="24">
        <f t="shared" ref="T15" si="78">+SUMIF(E12:E17,$O15,F12:F17)+SUMIF(H12:H17,$O15,G12:G17)</f>
        <v>6</v>
      </c>
      <c r="U15" s="24">
        <f t="shared" ref="U15" si="79">+SUMIF(E12:E17,$O15,G12:G17)+SUMIF(H12:H17,$O15,F12:F17)</f>
        <v>2</v>
      </c>
      <c r="V15" s="45">
        <f t="shared" si="50"/>
        <v>7.3046014999999995</v>
      </c>
      <c r="W15" s="26" t="str">
        <f t="shared" si="51"/>
        <v>Suiza</v>
      </c>
      <c r="Y15" s="74" t="str">
        <f>+CONCATENATE("4",RIGHT(E11,1))</f>
        <v>4B</v>
      </c>
      <c r="Z15" s="75" t="str">
        <f>+VLOOKUP(AL15,V12:W15,2,FALSE)</f>
        <v>Qatar</v>
      </c>
      <c r="AA15" s="76">
        <f t="shared" si="52"/>
        <v>3</v>
      </c>
      <c r="AB15" s="77">
        <f t="shared" si="38"/>
        <v>0</v>
      </c>
      <c r="AC15" s="77">
        <f t="shared" si="38"/>
        <v>0</v>
      </c>
      <c r="AD15" s="77">
        <f t="shared" si="38"/>
        <v>3</v>
      </c>
      <c r="AE15" s="77">
        <f t="shared" si="38"/>
        <v>-6</v>
      </c>
      <c r="AF15" s="77">
        <f t="shared" si="38"/>
        <v>1</v>
      </c>
      <c r="AG15" s="77">
        <f t="shared" si="38"/>
        <v>7</v>
      </c>
      <c r="AH15" s="78">
        <f>+VLOOKUP($Z15,$O$12:$V$15,COLUMN()-26,FALSE)</f>
        <v>-5.8985999999999995E-3</v>
      </c>
      <c r="AI15" s="73"/>
      <c r="AL15" s="45">
        <f>+LARGE(V12:V15,4)</f>
        <v>-5.8985999999999995E-3</v>
      </c>
      <c r="AM15" s="52">
        <f t="shared" si="53"/>
        <v>0</v>
      </c>
      <c r="AP15" s="53" t="str">
        <f>+O15</f>
        <v>Suiza</v>
      </c>
      <c r="AQ15" s="23">
        <f>+P15*3+Q15*1+BT15+CN15+S15/1000+T15/10000</f>
        <v>7.3045999999999998</v>
      </c>
      <c r="AS15" s="54">
        <f t="shared" si="54"/>
        <v>0</v>
      </c>
      <c r="AT15" s="54">
        <f>+IF(AND(AM16="si",OR(AR12=1,AR13=1,AR14=1)),1,0)</f>
        <v>0</v>
      </c>
      <c r="AU15" s="79" t="str">
        <f t="shared" si="55"/>
        <v>Suiza</v>
      </c>
      <c r="AV15" s="80"/>
      <c r="AX15" s="23" t="str">
        <f>+Y11</f>
        <v>Grupo B</v>
      </c>
      <c r="AY15" s="24" t="str">
        <f t="shared" si="56"/>
        <v>Suiza</v>
      </c>
      <c r="AZ15" s="29">
        <f t="shared" si="57"/>
        <v>7</v>
      </c>
      <c r="BA15" s="29">
        <f>+COUNTIFS($AX$1:AX15,AX15,$AZ$1:AZ15,AZ15)</f>
        <v>2</v>
      </c>
      <c r="BB15" s="29">
        <f>+IF(AZ15=BF10,ROW()*0.001,AZ15)</f>
        <v>1.4999999999999999E-2</v>
      </c>
      <c r="BC15" s="29">
        <f>+COUNTIFS($AX$1:AZ15,AZ15,$AZ$1:BB15,BB15)</f>
        <v>1</v>
      </c>
      <c r="BD15" s="29"/>
      <c r="BE15" s="25" t="str">
        <f>+IF(OR(BF15="-",BI15="-",BF10=0),"-","OK")</f>
        <v>-</v>
      </c>
      <c r="BF15" s="57" t="str">
        <f>+IF(_xlfn.XLOOKUP($E15,$AY:$AY,$AZ:$AZ,"-",0)=BF10,$E15,"-")</f>
        <v>Canada</v>
      </c>
      <c r="BG15" s="58">
        <f t="shared" si="39"/>
        <v>2</v>
      </c>
      <c r="BH15" s="59">
        <f t="shared" si="40"/>
        <v>0</v>
      </c>
      <c r="BI15" s="57" t="str">
        <f>+IF(_xlfn.XLOOKUP($H15,$AY:$AY,$AZ:$AZ,"-",0)=BF10,$H15,"-")</f>
        <v>-</v>
      </c>
      <c r="BK15" s="26" t="str">
        <f t="shared" si="58"/>
        <v>Suiza</v>
      </c>
      <c r="BL15" s="26">
        <f t="shared" si="59"/>
        <v>1</v>
      </c>
      <c r="BM15" s="24">
        <f t="shared" si="60"/>
        <v>0</v>
      </c>
      <c r="BN15" s="24">
        <f t="shared" si="61"/>
        <v>1</v>
      </c>
      <c r="BO15" s="24">
        <f t="shared" si="62"/>
        <v>0</v>
      </c>
      <c r="BP15" s="24">
        <f t="shared" si="63"/>
        <v>0</v>
      </c>
      <c r="BQ15" s="24">
        <f>+SUMIFS(BG:BG,$BE:$BE,"OK",BF:BF,$BK15)+SUMIFS(BH:BH,$BE:$BE,"OK",BI:BI,$BK15)</f>
        <v>1</v>
      </c>
      <c r="BR15" s="24">
        <f t="shared" si="64"/>
        <v>1</v>
      </c>
      <c r="BS15" s="60">
        <f t="shared" si="65"/>
        <v>1.0001</v>
      </c>
      <c r="BT15" s="29">
        <f>+IF(BL15=0,0,_xlfn.XLOOKUP(BS15,BV12:BV15,BW12:BW15))</f>
        <v>0.3</v>
      </c>
      <c r="BU15" s="45"/>
      <c r="BV15" s="24">
        <f>+LARGE(BS12:BS15,4)</f>
        <v>0</v>
      </c>
      <c r="BW15" s="24">
        <f>+BX15/$BW$1</f>
        <v>0</v>
      </c>
      <c r="BX15" s="23">
        <v>0</v>
      </c>
      <c r="BY15" s="25" t="str">
        <f t="shared" si="66"/>
        <v>-</v>
      </c>
      <c r="BZ15" s="57" t="str">
        <f>+IF(_xlfn.XLOOKUP($E15,$AY:$AY,$AZ:$AZ,"-",0)=BZ10,$E15,"-")</f>
        <v>-</v>
      </c>
      <c r="CA15" s="58">
        <f t="shared" si="41"/>
        <v>2</v>
      </c>
      <c r="CB15" s="59">
        <f t="shared" si="42"/>
        <v>0</v>
      </c>
      <c r="CC15" s="57" t="str">
        <f>+IF(_xlfn.XLOOKUP($H15,$AY:$AY,$AZ:$AZ,"-",0)=BZ10,$H15,"-")</f>
        <v>Qatar</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2</v>
      </c>
    </row>
    <row r="16" spans="1:102" x14ac:dyDescent="0.25">
      <c r="A16" s="38" t="s">
        <v>130</v>
      </c>
      <c r="B16" s="39">
        <v>46197</v>
      </c>
      <c r="C16" s="40"/>
      <c r="D16" s="41"/>
      <c r="E16" s="42" t="s">
        <v>65</v>
      </c>
      <c r="F16" s="43">
        <v>1</v>
      </c>
      <c r="G16" s="43">
        <v>1</v>
      </c>
      <c r="H16" s="44" t="s">
        <v>76</v>
      </c>
      <c r="J16" s="24" t="str">
        <f t="shared" si="43"/>
        <v/>
      </c>
      <c r="K16" s="24" t="str">
        <f t="shared" si="44"/>
        <v>Suiza</v>
      </c>
      <c r="L16" s="24" t="str">
        <f t="shared" si="45"/>
        <v>Canada</v>
      </c>
      <c r="M16" s="24" t="str">
        <f t="shared" si="46"/>
        <v/>
      </c>
      <c r="AL16" s="25" t="s">
        <v>122</v>
      </c>
      <c r="AM16" s="52" t="str">
        <f>+IF(SUM(AA12:AA15)=12,"si","no")</f>
        <v>si</v>
      </c>
      <c r="BE16" s="25" t="str">
        <f>+IF(OR(BF16="-",BI16="-",BF10=0),"-","OK")</f>
        <v>OK</v>
      </c>
      <c r="BF16" s="57" t="str">
        <f>+IF(_xlfn.XLOOKUP($E16,$AY:$AY,$AZ:$AZ,"-",0)=BF10,$E16,"-")</f>
        <v>Suiza</v>
      </c>
      <c r="BG16" s="58">
        <f t="shared" si="39"/>
        <v>1</v>
      </c>
      <c r="BH16" s="59">
        <f t="shared" si="40"/>
        <v>1</v>
      </c>
      <c r="BI16" s="57" t="str">
        <f>+IF(_xlfn.XLOOKUP($H16,$AY:$AY,$AZ:$AZ,"-",0)=BF10,$H16,"-")</f>
        <v>Canada</v>
      </c>
      <c r="BY16" s="25" t="str">
        <f t="shared" si="66"/>
        <v>-</v>
      </c>
      <c r="BZ16" s="57" t="str">
        <f>+IF(_xlfn.XLOOKUP($E16,$AY:$AY,$AZ:$AZ,"-",0)=BZ10,$E16,"-")</f>
        <v>-</v>
      </c>
      <c r="CA16" s="58">
        <f t="shared" si="41"/>
        <v>1</v>
      </c>
      <c r="CB16" s="59">
        <f t="shared" si="42"/>
        <v>1</v>
      </c>
      <c r="CC16" s="57" t="str">
        <f>+IF(_xlfn.XLOOKUP($H16,$AY:$AY,$AZ:$AZ,"-",0)=BZ10,$H16,"-")</f>
        <v>-</v>
      </c>
      <c r="CW16" s="23"/>
    </row>
    <row r="17" spans="1:102" x14ac:dyDescent="0.25">
      <c r="A17" s="38" t="s">
        <v>131</v>
      </c>
      <c r="B17" s="39">
        <v>46197</v>
      </c>
      <c r="C17" s="40"/>
      <c r="D17" s="41"/>
      <c r="E17" s="42" t="s">
        <v>84</v>
      </c>
      <c r="F17" s="43">
        <v>2</v>
      </c>
      <c r="G17" s="43">
        <v>0</v>
      </c>
      <c r="H17" s="44" t="s">
        <v>89</v>
      </c>
      <c r="J17" s="24" t="str">
        <f t="shared" si="43"/>
        <v>Bosnia</v>
      </c>
      <c r="K17" s="24" t="str">
        <f t="shared" si="44"/>
        <v/>
      </c>
      <c r="L17" s="24" t="str">
        <f t="shared" si="45"/>
        <v/>
      </c>
      <c r="M17" s="24" t="str">
        <f t="shared" si="46"/>
        <v>Qatar</v>
      </c>
      <c r="Y17" s="53" t="s">
        <v>124</v>
      </c>
      <c r="AR17" s="23">
        <f>+IF(AND(AM16="si",OR(AR12=1,AR13=1,AR14=1)),1,0)</f>
        <v>0</v>
      </c>
      <c r="BE17" s="25" t="str">
        <f>+IF(OR(BF17="-",BI17="-",BF10=0),"-","OK")</f>
        <v>-</v>
      </c>
      <c r="BF17" s="57" t="str">
        <f>+IF(_xlfn.XLOOKUP($E17,$AY:$AY,$AZ:$AZ,"-",0)=BF10,$E17,"-")</f>
        <v>-</v>
      </c>
      <c r="BG17" s="58">
        <f t="shared" si="39"/>
        <v>2</v>
      </c>
      <c r="BH17" s="59">
        <f t="shared" si="40"/>
        <v>0</v>
      </c>
      <c r="BI17" s="57" t="str">
        <f>+IF(_xlfn.XLOOKUP($H17,$AY:$AY,$AZ:$AZ,"-",0)=BF10,$H17,"-")</f>
        <v>-</v>
      </c>
      <c r="BY17" s="25" t="str">
        <f t="shared" si="66"/>
        <v>-</v>
      </c>
      <c r="BZ17" s="57" t="str">
        <f>+IF(_xlfn.XLOOKUP($E17,$AY:$AY,$AZ:$AZ,"-",0)=BZ10,$E17,"-")</f>
        <v>-</v>
      </c>
      <c r="CA17" s="58">
        <f t="shared" si="41"/>
        <v>2</v>
      </c>
      <c r="CB17" s="59">
        <f t="shared" si="42"/>
        <v>0</v>
      </c>
      <c r="CC17" s="57" t="str">
        <f>+IF(_xlfn.XLOOKUP($H17,$AY:$AY,$AZ:$AZ,"-",0)=BZ10,$H17,"-")</f>
        <v>Qatar</v>
      </c>
      <c r="CW17" s="23"/>
    </row>
    <row r="18" spans="1:102" s="83" customFormat="1" x14ac:dyDescent="0.25">
      <c r="A18" s="81"/>
      <c r="B18" s="82"/>
      <c r="C18" s="81"/>
      <c r="E18" s="84"/>
      <c r="F18" s="81"/>
      <c r="G18" s="81"/>
      <c r="H18" s="85"/>
      <c r="J18" s="81"/>
      <c r="K18" s="81"/>
      <c r="L18" s="81"/>
      <c r="M18" s="81"/>
      <c r="AV18" s="86"/>
      <c r="AW18" s="86"/>
      <c r="BE18" s="81"/>
      <c r="CX18" s="81"/>
    </row>
    <row r="19" spans="1:102" x14ac:dyDescent="0.25">
      <c r="A19" s="23"/>
      <c r="BF19" s="28" t="str">
        <f>+IF(BA21&gt;1,AZ21,IF(BA22&gt;1,AZ22,IF(BA23&gt;1,AZ23,IF(BA24&gt;1,AZ24,"-"))))</f>
        <v>-</v>
      </c>
      <c r="BW19" s="23">
        <v>10</v>
      </c>
      <c r="BZ19" s="29">
        <f>+IF(BC21&gt;1,BB21,IF(BC22&gt;1,BB22,IF(BC23&gt;1,BB23,IF(BC24&gt;1,BB24,"-"))))</f>
        <v>0</v>
      </c>
      <c r="CQ19" s="23">
        <v>10</v>
      </c>
    </row>
    <row r="20" spans="1:102" x14ac:dyDescent="0.25">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12" t="s">
        <v>132</v>
      </c>
      <c r="Z20" s="513"/>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5">
      <c r="A21" s="38" t="s">
        <v>133</v>
      </c>
      <c r="B21" s="39">
        <v>46186</v>
      </c>
      <c r="C21" s="40"/>
      <c r="D21" s="41"/>
      <c r="E21" s="42" t="s">
        <v>53</v>
      </c>
      <c r="F21" s="43">
        <v>0</v>
      </c>
      <c r="G21" s="43">
        <v>1</v>
      </c>
      <c r="H21" s="44" t="s">
        <v>59</v>
      </c>
      <c r="J21" s="24" t="str">
        <f>IF(OR(ISBLANK(F21),ISBLANK(G21)),"",IF(F21&gt;G21,E21,IF(G21&gt;F21,H21,"")))</f>
        <v>Marruecos</v>
      </c>
      <c r="K21" s="24" t="str">
        <f>IF(OR(ISBLANK(F21),ISBLANK(G21)),"",IF(F21=G21,E21,""))</f>
        <v/>
      </c>
      <c r="L21" s="24" t="str">
        <f>IF(OR(ISBLANK(F21),ISBLANK(G21)),"",IF(F21=G21,H21,""))</f>
        <v/>
      </c>
      <c r="M21" s="24" t="str">
        <f>IF(OR(ISBLANK(F21),ISBLANK(G21)),"",IF(F21&lt;G21,E21,IF(G21&lt;F21,H21,"")))</f>
        <v>Brasil</v>
      </c>
      <c r="O21" s="26" t="str">
        <f>+E21</f>
        <v>Brasil</v>
      </c>
      <c r="P21" s="24">
        <f>+COUNTIF(J21:J26,"="&amp;$O21)</f>
        <v>2</v>
      </c>
      <c r="Q21" s="24">
        <f>+COUNTIF(K21:L26,"="&amp;$O21)</f>
        <v>0</v>
      </c>
      <c r="R21" s="24">
        <f>+COUNTIF(M21:M26,"="&amp;$O21)</f>
        <v>1</v>
      </c>
      <c r="S21" s="24">
        <f>+T21-U21</f>
        <v>5</v>
      </c>
      <c r="T21" s="24">
        <f t="shared" ref="T21" si="80">+SUMIF(E21:E26,$O21,F21:F26)+SUMIF(H21:H26,$O21,G21:G26)</f>
        <v>6</v>
      </c>
      <c r="U21" s="24">
        <f t="shared" ref="U21" si="81">+SUMIF(E21:E26,$O21,G21:G26)+SUMIF(H21:H26,$O21,F21:F26)</f>
        <v>1</v>
      </c>
      <c r="V21" s="45">
        <f>+P21*3+Q21*1+BT21+CN21+S21/1000+T21/10000+AV21/1000000+ROW()/10000000</f>
        <v>6.0056020999999999</v>
      </c>
      <c r="W21" s="26" t="str">
        <f>+O21</f>
        <v>Brasil</v>
      </c>
      <c r="Y21" s="46" t="str">
        <f>+CONCATENATE("1",RIGHT(E20,1))</f>
        <v>1C</v>
      </c>
      <c r="Z21" s="47" t="str">
        <f>+VLOOKUP(AL21,V21:W24,2,FALSE)</f>
        <v>Marruecos</v>
      </c>
      <c r="AA21" s="48">
        <f>+SUM(AB21:AD21)</f>
        <v>3</v>
      </c>
      <c r="AB21" s="49">
        <f t="shared" ref="AB21:AG24" si="82">+VLOOKUP($Z21,$O$21:$U$24,COLUMN()-26,FALSE)</f>
        <v>3</v>
      </c>
      <c r="AC21" s="49">
        <f t="shared" si="82"/>
        <v>0</v>
      </c>
      <c r="AD21" s="49">
        <f t="shared" si="82"/>
        <v>0</v>
      </c>
      <c r="AE21" s="49">
        <f t="shared" si="82"/>
        <v>5</v>
      </c>
      <c r="AF21" s="49">
        <f t="shared" si="82"/>
        <v>6</v>
      </c>
      <c r="AG21" s="49">
        <f t="shared" si="82"/>
        <v>1</v>
      </c>
      <c r="AH21" s="50">
        <f>+VLOOKUP($Z21,$O$21:$V$24,COLUMN()-26,FALSE)</f>
        <v>9.005602200000002</v>
      </c>
      <c r="AI21" s="51"/>
      <c r="AL21" s="45">
        <f>+LARGE(V21:V24,1)</f>
        <v>9.005602200000002</v>
      </c>
      <c r="AM21" s="52">
        <f>+(AH21-AL21)*100000000000000000000</f>
        <v>0</v>
      </c>
      <c r="AP21" s="53" t="str">
        <f>+O21</f>
        <v>Brasil</v>
      </c>
      <c r="AQ21" s="23">
        <f>+P21*3+Q21*1+BT21+CN21+S21/1000+T21/10000</f>
        <v>6.0056000000000003</v>
      </c>
      <c r="AR21" s="23" t="b">
        <f>+IF(OR(AQ21=AQ22,AQ21=AQ23,AQ21=AQ24),1)</f>
        <v>0</v>
      </c>
      <c r="AS21" s="54">
        <f>+AV21</f>
        <v>0</v>
      </c>
      <c r="AT21" s="54">
        <f>+IF(AND(AM25="si",OR(AR21=1,AR22=1,AR23=1)),1,0)</f>
        <v>0</v>
      </c>
      <c r="AU21" s="55" t="str">
        <f>+O21</f>
        <v>Brasil</v>
      </c>
      <c r="AV21" s="56"/>
      <c r="AX21" s="23" t="str">
        <f>+Y20</f>
        <v>Grupo C</v>
      </c>
      <c r="AY21" s="24" t="str">
        <f>+O21</f>
        <v>Brasil</v>
      </c>
      <c r="AZ21" s="29">
        <f>+P21*3+Q21</f>
        <v>6</v>
      </c>
      <c r="BA21" s="29">
        <f>+COUNTIFS($AX$1:AX21,AX21,$AZ$1:AZ21,AZ21)</f>
        <v>1</v>
      </c>
      <c r="BB21" s="29">
        <f>+IF(AZ21=BF19,ROW()*0.001,AZ21)</f>
        <v>6</v>
      </c>
      <c r="BC21" s="29">
        <f>+COUNTIFS($AX$1:AZ21,AZ21,$AZ$1:BB21,BB21)</f>
        <v>1</v>
      </c>
      <c r="BD21" s="29"/>
      <c r="BE21" s="25" t="str">
        <f>+IF(OR(BF21="-",BI21="-",BF19=0),"-","OK")</f>
        <v>-</v>
      </c>
      <c r="BF21" s="57" t="str">
        <f>+IF(_xlfn.XLOOKUP($E21,$AY:$AY,$AZ:$AZ,"-",0)=BF19,$E21,"-")</f>
        <v>-</v>
      </c>
      <c r="BG21" s="58">
        <f t="shared" ref="BG21:BG26" si="83">+$F21</f>
        <v>0</v>
      </c>
      <c r="BH21" s="59">
        <f t="shared" ref="BH21:BH26" si="84">+$G21</f>
        <v>1</v>
      </c>
      <c r="BI21" s="57" t="str">
        <f>+IF(_xlfn.XLOOKUP($H21,$AY:$AY,$AZ:$AZ,"-",0)=BF19,$H21,"-")</f>
        <v>-</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0</v>
      </c>
      <c r="BW21" s="24">
        <f>+BX21/$BW$1</f>
        <v>0.3</v>
      </c>
      <c r="BX21" s="23">
        <v>3</v>
      </c>
      <c r="BY21" s="25" t="str">
        <f>+IF(OR(BZ21="-",CC21="-"),"-","OK")</f>
        <v>-</v>
      </c>
      <c r="BZ21" s="57" t="str">
        <f>+IF(_xlfn.XLOOKUP($E21,$AY:$AY,$AZ:$AZ,"-",0)=BZ19,$E21,"-")</f>
        <v>-</v>
      </c>
      <c r="CA21" s="58">
        <f t="shared" ref="CA21:CA26" si="85">+$F21</f>
        <v>0</v>
      </c>
      <c r="CB21" s="59">
        <f t="shared" ref="CB21:CB26" si="86">+$G21</f>
        <v>1</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5">
      <c r="A22" s="38" t="s">
        <v>134</v>
      </c>
      <c r="B22" s="39">
        <v>46186</v>
      </c>
      <c r="C22" s="40"/>
      <c r="D22" s="41"/>
      <c r="E22" s="42" t="s">
        <v>94</v>
      </c>
      <c r="F22" s="43">
        <v>0</v>
      </c>
      <c r="G22" s="43">
        <v>3</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3</v>
      </c>
      <c r="Q22" s="24">
        <f>+COUNTIF(K21:L26,"="&amp;$O22)</f>
        <v>0</v>
      </c>
      <c r="R22" s="24">
        <f>+COUNTIF(M21:M26,"="&amp;$O22)</f>
        <v>0</v>
      </c>
      <c r="S22" s="24">
        <f t="shared" ref="S22:S24" si="91">+T22-U22</f>
        <v>5</v>
      </c>
      <c r="T22" s="24">
        <f t="shared" ref="T22" si="92">+SUMIF(E21:E26,$O22,F21:F26)+SUMIF(H21:H26,$O22,G21:G26)</f>
        <v>6</v>
      </c>
      <c r="U22" s="24">
        <f t="shared" ref="U22" si="93">+SUMIF(E21:E26,$O22,G21:G26)+SUMIF(H21:H26,$O22,F21:F26)</f>
        <v>1</v>
      </c>
      <c r="V22" s="45">
        <f t="shared" ref="V22:V24" si="94">+P22*3+Q22*1+BT22+CN22+S22/1000+T22/10000+AV22/1000000+ROW()/10000000</f>
        <v>9.005602200000002</v>
      </c>
      <c r="W22" s="26" t="str">
        <f t="shared" ref="W22:W24" si="95">+O22</f>
        <v>Marruecos</v>
      </c>
      <c r="Y22" s="61" t="str">
        <f>+CONCATENATE("2",RIGHT(E20,1))</f>
        <v>2C</v>
      </c>
      <c r="Z22" s="62" t="str">
        <f>+VLOOKUP(AL22,V21:W24,2,FALSE)</f>
        <v>Brasil</v>
      </c>
      <c r="AA22" s="63">
        <f t="shared" ref="AA22:AA24" si="96">+SUM(AB22:AD22)</f>
        <v>3</v>
      </c>
      <c r="AB22" s="64">
        <f t="shared" si="82"/>
        <v>2</v>
      </c>
      <c r="AC22" s="64">
        <f t="shared" si="82"/>
        <v>0</v>
      </c>
      <c r="AD22" s="64">
        <f t="shared" si="82"/>
        <v>1</v>
      </c>
      <c r="AE22" s="64">
        <f t="shared" si="82"/>
        <v>5</v>
      </c>
      <c r="AF22" s="64">
        <f t="shared" si="82"/>
        <v>6</v>
      </c>
      <c r="AG22" s="64">
        <f t="shared" si="82"/>
        <v>1</v>
      </c>
      <c r="AH22" s="65">
        <f>+VLOOKUP($Z22,$O$21:$V$24,COLUMN()-26,FALSE)</f>
        <v>6.0056020999999999</v>
      </c>
      <c r="AI22" s="51"/>
      <c r="AL22" s="45">
        <f>+LARGE(V21:V24,2)</f>
        <v>6.0056020999999999</v>
      </c>
      <c r="AM22" s="52">
        <f t="shared" ref="AM22:AM24" si="97">+(AH22-AL22)*100000000000000000000</f>
        <v>0</v>
      </c>
      <c r="AP22" s="53" t="str">
        <f>+O22</f>
        <v>Marruecos</v>
      </c>
      <c r="AQ22" s="23">
        <f>+P22*3+Q22*1+BT22+CN22+S22/1000+T22/10000</f>
        <v>9.0056000000000012</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9</v>
      </c>
      <c r="BA22" s="29">
        <f>+COUNTIFS($AX$1:AX22,AX22,$AZ$1:AZ22,AZ22)</f>
        <v>1</v>
      </c>
      <c r="BB22" s="29">
        <f>+IF(AZ22=BF19,ROW()*0.001,AZ22)</f>
        <v>9</v>
      </c>
      <c r="BC22" s="29">
        <f>+COUNTIFS($AX$1:AZ22,AZ22,$AZ$1:BB22,BB22)</f>
        <v>1</v>
      </c>
      <c r="BD22" s="29"/>
      <c r="BE22" s="25" t="str">
        <f>+IF(OR(BF22="-",BI22="-",BF19=0),"-","OK")</f>
        <v>-</v>
      </c>
      <c r="BF22" s="57" t="str">
        <f>+IF(_xlfn.XLOOKUP($E22,$AY:$AY,$AZ:$AZ,"-",0)=BF19,$E22,"-")</f>
        <v>-</v>
      </c>
      <c r="BG22" s="58">
        <f t="shared" si="83"/>
        <v>0</v>
      </c>
      <c r="BH22" s="59">
        <f t="shared" si="84"/>
        <v>3</v>
      </c>
      <c r="BI22" s="57" t="str">
        <f>+IF(_xlfn.XLOOKUP($H22,$AY:$AY,$AZ:$AZ,"-",0)=BF19,$H22,"-")</f>
        <v>-</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0</v>
      </c>
      <c r="BW22" s="24">
        <f>+BX22/$BW$1</f>
        <v>0.2</v>
      </c>
      <c r="BX22" s="23">
        <v>2</v>
      </c>
      <c r="BY22" s="25" t="str">
        <f t="shared" ref="BY22:BY26" si="110">+IF(OR(BZ22="-",CC22="-"),"-","OK")</f>
        <v>-</v>
      </c>
      <c r="BZ22" s="57" t="str">
        <f>+IF(_xlfn.XLOOKUP($E22,$AY:$AY,$AZ:$AZ,"-",0)=BZ19,$E22,"-")</f>
        <v>Haiti</v>
      </c>
      <c r="CA22" s="58">
        <f t="shared" si="85"/>
        <v>0</v>
      </c>
      <c r="CB22" s="59">
        <f t="shared" si="86"/>
        <v>3</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5">
      <c r="A23" s="38" t="s">
        <v>135</v>
      </c>
      <c r="B23" s="39">
        <v>46192</v>
      </c>
      <c r="C23" s="40"/>
      <c r="D23" s="41"/>
      <c r="E23" s="42" t="s">
        <v>53</v>
      </c>
      <c r="F23" s="43">
        <v>4</v>
      </c>
      <c r="G23" s="43">
        <v>0</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-10</v>
      </c>
      <c r="T23" s="24">
        <f t="shared" ref="T23" si="120">+SUMIF(E21:E26,$O23,F21:F26)+SUMIF(H21:H26,$O23,G21:G26)</f>
        <v>0</v>
      </c>
      <c r="U23" s="24">
        <f t="shared" ref="U23" si="121">+SUMIF(E21:E26,$O23,G21:G26)+SUMIF(H21:H26,$O23,F21:F26)</f>
        <v>10</v>
      </c>
      <c r="V23" s="45">
        <f t="shared" si="94"/>
        <v>-9.9977E-3</v>
      </c>
      <c r="W23" s="26" t="str">
        <f t="shared" si="95"/>
        <v>Haiti</v>
      </c>
      <c r="Y23" s="68" t="str">
        <f>+CONCATENATE("3",RIGHT(E20,1))</f>
        <v>3C</v>
      </c>
      <c r="Z23" s="69" t="str">
        <f>+VLOOKUP(AL23,V21:W24,2,FALSE)</f>
        <v>Escocia</v>
      </c>
      <c r="AA23" s="70">
        <f t="shared" si="96"/>
        <v>3</v>
      </c>
      <c r="AB23" s="71">
        <f t="shared" si="82"/>
        <v>1</v>
      </c>
      <c r="AC23" s="71">
        <f t="shared" si="82"/>
        <v>0</v>
      </c>
      <c r="AD23" s="71">
        <f t="shared" si="82"/>
        <v>2</v>
      </c>
      <c r="AE23" s="71">
        <f t="shared" si="82"/>
        <v>0</v>
      </c>
      <c r="AF23" s="71">
        <f t="shared" si="82"/>
        <v>4</v>
      </c>
      <c r="AG23" s="71">
        <f t="shared" si="82"/>
        <v>4</v>
      </c>
      <c r="AH23" s="72">
        <f>+VLOOKUP($Z23,$O$21:$V$24,COLUMN()-26,FALSE)</f>
        <v>3.0004024</v>
      </c>
      <c r="AI23" s="73">
        <f>+(COUNTIFS($CV$2:$CV$13,Z23,$CX$2:$CX$13,"IN")+COUNTIFS($CV$2:$CV$13,Z23,$CW$2:$CW$13,"IN"))*IF(SUM(AA21:AA24)=12,1,0)</f>
        <v>1</v>
      </c>
      <c r="AL23" s="45">
        <f>+LARGE(V21:V24,3)</f>
        <v>3.0004024</v>
      </c>
      <c r="AM23" s="52">
        <f t="shared" si="97"/>
        <v>0</v>
      </c>
      <c r="AP23" s="53" t="str">
        <f>+O23</f>
        <v>Haiti</v>
      </c>
      <c r="AQ23" s="23">
        <f>+P23*3+Q23*1+BT23+CN23+S23/1000+T23/10000</f>
        <v>-0.01</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3</v>
      </c>
      <c r="BD23" s="29"/>
      <c r="BE23" s="25" t="str">
        <f>+IF(OR(BF23="-",BI23="-",BF19=0),"-","OK")</f>
        <v>-</v>
      </c>
      <c r="BF23" s="57" t="str">
        <f>+IF(_xlfn.XLOOKUP($E23,$AY:$AY,$AZ:$AZ,"-",0)=BF19,$E23,"-")</f>
        <v>-</v>
      </c>
      <c r="BG23" s="58">
        <f t="shared" si="83"/>
        <v>4</v>
      </c>
      <c r="BH23" s="59">
        <f t="shared" si="84"/>
        <v>0</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v>
      </c>
      <c r="CA23" s="58">
        <f t="shared" si="85"/>
        <v>4</v>
      </c>
      <c r="CB23" s="59">
        <f t="shared" si="86"/>
        <v>0</v>
      </c>
      <c r="CC23" s="57" t="str">
        <f>+IF(_xlfn.XLOOKUP($H23,$AY:$AY,$AZ:$AZ,"-",0)=BZ19,$H23,"-")</f>
        <v>Haiti</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5">
      <c r="A24" s="38" t="s">
        <v>136</v>
      </c>
      <c r="B24" s="39">
        <v>46192</v>
      </c>
      <c r="C24" s="40"/>
      <c r="D24" s="41"/>
      <c r="E24" s="42" t="s">
        <v>80</v>
      </c>
      <c r="F24" s="43">
        <v>1</v>
      </c>
      <c r="G24" s="43">
        <v>2</v>
      </c>
      <c r="H24" s="44" t="s">
        <v>59</v>
      </c>
      <c r="J24" s="24" t="str">
        <f t="shared" si="87"/>
        <v>Marruecos</v>
      </c>
      <c r="K24" s="24" t="str">
        <f t="shared" si="88"/>
        <v/>
      </c>
      <c r="L24" s="24" t="str">
        <f t="shared" si="89"/>
        <v/>
      </c>
      <c r="M24" s="24" t="str">
        <f t="shared" si="90"/>
        <v>Escocia</v>
      </c>
      <c r="O24" s="26" t="str">
        <f>+H22</f>
        <v>Escocia</v>
      </c>
      <c r="P24" s="24">
        <f>+COUNTIF(J21:J26,"="&amp;$O24)</f>
        <v>1</v>
      </c>
      <c r="Q24" s="24">
        <f>+COUNTIF(K21:L26,"="&amp;$O24)</f>
        <v>0</v>
      </c>
      <c r="R24" s="24">
        <f>+COUNTIF(M21:M26,"="&amp;$O24)</f>
        <v>2</v>
      </c>
      <c r="S24" s="24">
        <f t="shared" si="91"/>
        <v>0</v>
      </c>
      <c r="T24" s="24">
        <f t="shared" ref="T24" si="122">+SUMIF(E21:E26,$O24,F21:F26)+SUMIF(H21:H26,$O24,G21:G26)</f>
        <v>4</v>
      </c>
      <c r="U24" s="24">
        <f t="shared" ref="U24" si="123">+SUMIF(E21:E26,$O24,G21:G26)+SUMIF(H21:H26,$O24,F21:F26)</f>
        <v>4</v>
      </c>
      <c r="V24" s="45">
        <f t="shared" si="94"/>
        <v>3.0004024</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-10</v>
      </c>
      <c r="AF24" s="77">
        <f t="shared" si="82"/>
        <v>0</v>
      </c>
      <c r="AG24" s="77">
        <f t="shared" si="82"/>
        <v>10</v>
      </c>
      <c r="AH24" s="78">
        <f>+VLOOKUP($Z24,$O$21:$V$24,COLUMN()-26,FALSE)</f>
        <v>-9.9977E-3</v>
      </c>
      <c r="AI24" s="73"/>
      <c r="AL24" s="45">
        <f>+LARGE(V21:V24,4)</f>
        <v>-9.9977E-3</v>
      </c>
      <c r="AM24" s="52">
        <f t="shared" si="97"/>
        <v>0</v>
      </c>
      <c r="AP24" s="53" t="str">
        <f>+O24</f>
        <v>Escocia</v>
      </c>
      <c r="AQ24" s="23">
        <f>+P24*3+Q24*1+BT24+CN24+S24/1000+T24/10000</f>
        <v>3.0004</v>
      </c>
      <c r="AS24" s="54">
        <f t="shared" si="98"/>
        <v>0</v>
      </c>
      <c r="AT24" s="54">
        <f>+IF(AND(AM25="si",OR(AR21=1,AR22=1,AR23=1)),1,0)</f>
        <v>0</v>
      </c>
      <c r="AU24" s="79" t="str">
        <f t="shared" si="99"/>
        <v>Escocia</v>
      </c>
      <c r="AV24" s="80"/>
      <c r="AX24" s="23" t="str">
        <f>+Y20</f>
        <v>Grupo C</v>
      </c>
      <c r="AY24" s="24" t="str">
        <f t="shared" si="100"/>
        <v>Escocia</v>
      </c>
      <c r="AZ24" s="29">
        <f t="shared" si="101"/>
        <v>3</v>
      </c>
      <c r="BA24" s="29">
        <f>+COUNTIFS($AX$1:AX24,AX24,$AZ$1:AZ24,AZ24)</f>
        <v>1</v>
      </c>
      <c r="BB24" s="29">
        <f>+IF(AZ24=BF19,ROW()*0.001,AZ24)</f>
        <v>3</v>
      </c>
      <c r="BC24" s="29">
        <f>+COUNTIFS($AX$1:AZ24,AZ24,$AZ$1:BB24,BB24)</f>
        <v>2</v>
      </c>
      <c r="BD24" s="29"/>
      <c r="BE24" s="25" t="str">
        <f>+IF(OR(BF24="-",BI24="-",BF19=0),"-","OK")</f>
        <v>-</v>
      </c>
      <c r="BF24" s="57" t="str">
        <f>+IF(_xlfn.XLOOKUP($E24,$AY:$AY,$AZ:$AZ,"-",0)=BF19,$E24,"-")</f>
        <v>-</v>
      </c>
      <c r="BG24" s="58">
        <f t="shared" si="83"/>
        <v>1</v>
      </c>
      <c r="BH24" s="59">
        <f t="shared" si="84"/>
        <v>2</v>
      </c>
      <c r="BI24" s="57" t="str">
        <f>+IF(_xlfn.XLOOKUP($H24,$AY:$AY,$AZ:$AZ,"-",0)=BF19,$H24,"-")</f>
        <v>-</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1</v>
      </c>
      <c r="CB24" s="59">
        <f t="shared" si="86"/>
        <v>2</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5">
      <c r="A25" s="38" t="s">
        <v>137</v>
      </c>
      <c r="B25" s="39">
        <v>46197</v>
      </c>
      <c r="C25" s="40"/>
      <c r="D25" s="41"/>
      <c r="E25" s="42" t="s">
        <v>80</v>
      </c>
      <c r="F25" s="43">
        <v>0</v>
      </c>
      <c r="G25" s="43">
        <v>2</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v>
      </c>
      <c r="BG25" s="58">
        <f t="shared" si="83"/>
        <v>0</v>
      </c>
      <c r="BH25" s="59">
        <f t="shared" si="84"/>
        <v>2</v>
      </c>
      <c r="BI25" s="57" t="str">
        <f>+IF(_xlfn.XLOOKUP($H25,$AY:$AY,$AZ:$AZ,"-",0)=BF19,$H25,"-")</f>
        <v>-</v>
      </c>
      <c r="BY25" s="25" t="str">
        <f t="shared" si="110"/>
        <v>-</v>
      </c>
      <c r="BZ25" s="57" t="str">
        <f>+IF(_xlfn.XLOOKUP($E25,$AY:$AY,$AZ:$AZ,"-",0)=BZ19,$E25,"-")</f>
        <v>-</v>
      </c>
      <c r="CA25" s="58">
        <f t="shared" si="85"/>
        <v>0</v>
      </c>
      <c r="CB25" s="59">
        <f t="shared" si="86"/>
        <v>2</v>
      </c>
      <c r="CC25" s="57" t="str">
        <f>+IF(_xlfn.XLOOKUP($H25,$AY:$AY,$AZ:$AZ,"-",0)=BZ19,$H25,"-")</f>
        <v>-</v>
      </c>
    </row>
    <row r="26" spans="1:102" x14ac:dyDescent="0.25">
      <c r="A26" s="38" t="s">
        <v>138</v>
      </c>
      <c r="B26" s="39">
        <v>46197</v>
      </c>
      <c r="C26" s="40"/>
      <c r="D26" s="41"/>
      <c r="E26" s="42" t="s">
        <v>59</v>
      </c>
      <c r="F26" s="43">
        <v>3</v>
      </c>
      <c r="G26" s="43">
        <v>0</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v>
      </c>
      <c r="BG26" s="58">
        <f t="shared" si="83"/>
        <v>3</v>
      </c>
      <c r="BH26" s="59">
        <f t="shared" si="84"/>
        <v>0</v>
      </c>
      <c r="BI26" s="57" t="str">
        <f>+IF(_xlfn.XLOOKUP($H26,$AY:$AY,$AZ:$AZ,"-",0)=BF19,$H26,"-")</f>
        <v>-</v>
      </c>
      <c r="BY26" s="25" t="str">
        <f t="shared" si="110"/>
        <v>-</v>
      </c>
      <c r="BZ26" s="57" t="str">
        <f>+IF(_xlfn.XLOOKUP($E26,$AY:$AY,$AZ:$AZ,"-",0)=BZ19,$E26,"-")</f>
        <v>-</v>
      </c>
      <c r="CA26" s="58">
        <f t="shared" si="85"/>
        <v>3</v>
      </c>
      <c r="CB26" s="59">
        <f t="shared" si="86"/>
        <v>0</v>
      </c>
      <c r="CC26" s="57" t="str">
        <f>+IF(_xlfn.XLOOKUP($H26,$AY:$AY,$AZ:$AZ,"-",0)=BZ19,$H26,"-")</f>
        <v>Haiti</v>
      </c>
    </row>
    <row r="27" spans="1:102" s="83" customFormat="1" x14ac:dyDescent="0.25">
      <c r="A27" s="81"/>
      <c r="B27" s="82"/>
      <c r="C27" s="81"/>
      <c r="E27" s="84"/>
      <c r="F27" s="81"/>
      <c r="G27" s="81"/>
      <c r="H27" s="85"/>
      <c r="J27" s="81"/>
      <c r="K27" s="81"/>
      <c r="L27" s="81"/>
      <c r="M27" s="81"/>
      <c r="AV27" s="86"/>
      <c r="AW27" s="86"/>
      <c r="BE27" s="81"/>
      <c r="CW27" s="81"/>
      <c r="CX27" s="81"/>
    </row>
    <row r="28" spans="1:102" x14ac:dyDescent="0.25">
      <c r="A28" s="23"/>
      <c r="BF28" s="28" t="str">
        <f>+IF(BA30&gt;1,AZ30,IF(BA31&gt;1,AZ31,IF(BA32&gt;1,AZ32,IF(BA33&gt;1,AZ33,"-"))))</f>
        <v>-</v>
      </c>
      <c r="BW28" s="23">
        <v>10</v>
      </c>
      <c r="BZ28" s="29">
        <f>+IF(BC30&gt;1,BB30,IF(BC31&gt;1,BB31,IF(BC32&gt;1,BB32,IF(BC33&gt;1,BB33,"-"))))</f>
        <v>4</v>
      </c>
      <c r="CQ28" s="23">
        <v>10</v>
      </c>
    </row>
    <row r="29" spans="1:102" x14ac:dyDescent="0.25">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502" t="s">
        <v>139</v>
      </c>
      <c r="Z29" s="503"/>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5">
      <c r="A30" s="38" t="s">
        <v>140</v>
      </c>
      <c r="B30" s="39">
        <v>46185</v>
      </c>
      <c r="C30" s="40"/>
      <c r="D30" s="41"/>
      <c r="E30" s="42" t="s">
        <v>63</v>
      </c>
      <c r="F30" s="43">
        <v>1</v>
      </c>
      <c r="G30" s="43">
        <v>2</v>
      </c>
      <c r="H30" s="44" t="s">
        <v>71</v>
      </c>
      <c r="J30" s="24" t="str">
        <f>IF(OR(ISBLANK(F30),ISBLANK(G30)),"",IF(F30&gt;G30,E30,IF(G30&gt;F30,H30,"")))</f>
        <v>Paraguay</v>
      </c>
      <c r="K30" s="24" t="str">
        <f>IF(OR(ISBLANK(F30),ISBLANK(G30)),"",IF(F30=G30,E30,""))</f>
        <v/>
      </c>
      <c r="L30" s="24" t="str">
        <f>IF(OR(ISBLANK(F30),ISBLANK(G30)),"",IF(F30=G30,H30,""))</f>
        <v/>
      </c>
      <c r="M30" s="24" t="str">
        <f>IF(OR(ISBLANK(F30),ISBLANK(G30)),"",IF(F30&lt;G30,E30,IF(G30&lt;F30,H30,"")))</f>
        <v>Estados Unidos</v>
      </c>
      <c r="O30" s="26" t="str">
        <f>+E30</f>
        <v>Estados Unidos</v>
      </c>
      <c r="P30" s="24">
        <f>+COUNTIF(J30:J35,"="&amp;$O30)</f>
        <v>1</v>
      </c>
      <c r="Q30" s="24">
        <f>+COUNTIF(K30:L35,"="&amp;$O30)</f>
        <v>1</v>
      </c>
      <c r="R30" s="24">
        <f>+COUNTIF(M30:M35,"="&amp;$O30)</f>
        <v>1</v>
      </c>
      <c r="S30" s="24">
        <f>+T30-U30</f>
        <v>0</v>
      </c>
      <c r="T30" s="24">
        <f t="shared" ref="T30" si="124">+SUMIF(E30:E35,$O30,F30:F35)+SUMIF(H30:H35,$O30,G30:G35)</f>
        <v>4</v>
      </c>
      <c r="U30" s="24">
        <f t="shared" ref="U30" si="125">+SUMIF(E30:E35,$O30,G30:G35)+SUMIF(H30:H35,$O30,F30:F35)</f>
        <v>4</v>
      </c>
      <c r="V30" s="45">
        <f>+P30*3+Q30*1+BT30+CN30+S30/1000+T30/10000+AV30/1000000+ROW()/10000000</f>
        <v>4.0004030000000004</v>
      </c>
      <c r="W30" s="26" t="str">
        <f>+O30</f>
        <v>Estados Unidos</v>
      </c>
      <c r="Y30" s="46" t="str">
        <f>+CONCATENATE("1",RIGHT(E29,1))</f>
        <v>1D</v>
      </c>
      <c r="Z30" s="47" t="str">
        <f>+VLOOKUP(AL30,V30:W33,2,FALSE)</f>
        <v>Paraguay</v>
      </c>
      <c r="AA30" s="48">
        <f>+SUM(AB30:AD30)</f>
        <v>3</v>
      </c>
      <c r="AB30" s="49">
        <f t="shared" ref="AB30:AG33" si="126">+VLOOKUP($Z30,$O$30:$U$33,COLUMN()-26,FALSE)</f>
        <v>3</v>
      </c>
      <c r="AC30" s="49">
        <f t="shared" si="126"/>
        <v>0</v>
      </c>
      <c r="AD30" s="49">
        <f t="shared" si="126"/>
        <v>0</v>
      </c>
      <c r="AE30" s="49">
        <f t="shared" si="126"/>
        <v>4</v>
      </c>
      <c r="AF30" s="49">
        <f t="shared" si="126"/>
        <v>5</v>
      </c>
      <c r="AG30" s="49">
        <f t="shared" si="126"/>
        <v>1</v>
      </c>
      <c r="AH30" s="50">
        <f>+VLOOKUP($Z30,$O$30:$V$33,COLUMN()-26,FALSE)</f>
        <v>9.0045031000000009</v>
      </c>
      <c r="AI30" s="51"/>
      <c r="AL30" s="45">
        <f>+LARGE(V30:V33,1)</f>
        <v>9.0045031000000009</v>
      </c>
      <c r="AM30" s="52">
        <f>+(AH30-AL30)*100000000000000000000</f>
        <v>0</v>
      </c>
      <c r="AP30" s="53" t="str">
        <f>+O30</f>
        <v>Estados Unidos</v>
      </c>
      <c r="AQ30" s="23">
        <f>+P30*3+Q30*1+BT30+CN30+S30/1000+T30/10000</f>
        <v>4.0004</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4</v>
      </c>
      <c r="BA30" s="29">
        <f>+COUNTIFS($AX$1:AX30,AX30,$AZ$1:AZ30,AZ30)</f>
        <v>1</v>
      </c>
      <c r="BB30" s="29">
        <f>+IF(AZ30=BF28,ROW()*0.001,AZ30)</f>
        <v>4</v>
      </c>
      <c r="BC30" s="29">
        <f>+COUNTIFS($AX$1:AZ30,AZ30,$AZ$1:BB30,BB30)</f>
        <v>2</v>
      </c>
      <c r="BD30" s="29"/>
      <c r="BE30" s="25" t="str">
        <f>+IF(OR(BF30="-",BI30="-",BF28=0),"-","OK")</f>
        <v>-</v>
      </c>
      <c r="BF30" s="57" t="str">
        <f>+IF(_xlfn.XLOOKUP($E30,$AY:$AY,$AZ:$AZ,"-",0)=BF28,$E30,"-")</f>
        <v>-</v>
      </c>
      <c r="BG30" s="58">
        <f t="shared" ref="BG30:BG35" si="127">+$F30</f>
        <v>1</v>
      </c>
      <c r="BH30" s="59">
        <f t="shared" ref="BH30:BH35" si="128">+$G30</f>
        <v>2</v>
      </c>
      <c r="BI30" s="57" t="str">
        <f>+IF(_xlfn.XLOOKUP($H30,$AY:$AY,$AZ:$AZ,"-",0)=BF28,$H30,"-")</f>
        <v>-</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0</v>
      </c>
      <c r="BW30" s="24">
        <f>+BX30/$BW$1</f>
        <v>0.3</v>
      </c>
      <c r="BX30" s="23">
        <v>3</v>
      </c>
      <c r="BY30" s="25" t="str">
        <f>+IF(OR(BZ30="-",CC30="-"),"-","OK")</f>
        <v>-</v>
      </c>
      <c r="BZ30" s="57" t="str">
        <f>+IF(_xlfn.XLOOKUP($E30,$AY:$AY,$AZ:$AZ,"-",0)=BZ28,$E30,"-")</f>
        <v>Estados Unidos</v>
      </c>
      <c r="CA30" s="58">
        <f t="shared" ref="CA30:CA35" si="129">+$F30</f>
        <v>1</v>
      </c>
      <c r="CB30" s="59">
        <f t="shared" ref="CB30:CB35" si="130">+$G30</f>
        <v>2</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5">
      <c r="A31" s="38" t="s">
        <v>141</v>
      </c>
      <c r="B31" s="39">
        <v>46187</v>
      </c>
      <c r="C31" s="40"/>
      <c r="D31" s="41"/>
      <c r="E31" s="42" t="s">
        <v>73</v>
      </c>
      <c r="F31" s="43">
        <v>2</v>
      </c>
      <c r="G31" s="43">
        <v>1</v>
      </c>
      <c r="H31" s="44" t="s">
        <v>66</v>
      </c>
      <c r="J31" s="24" t="str">
        <f t="shared" ref="J31:J35" si="131">IF(OR(ISBLANK(F31),ISBLANK(G31)),"",IF(F31&gt;G31,E31,IF(G31&gt;F31,H31,"")))</f>
        <v>Australia</v>
      </c>
      <c r="K31" s="24" t="str">
        <f t="shared" ref="K31:K35" si="132">IF(OR(ISBLANK(F31),ISBLANK(G31)),"",IF(F31=G31,E31,""))</f>
        <v/>
      </c>
      <c r="L31" s="24" t="str">
        <f t="shared" ref="L31:L35" si="133">IF(OR(ISBLANK(F31),ISBLANK(G31)),"",IF(F31=G31,H31,""))</f>
        <v/>
      </c>
      <c r="M31" s="24" t="str">
        <f t="shared" ref="M31:M35" si="134">IF(OR(ISBLANK(F31),ISBLANK(G31)),"",IF(F31&lt;G31,E31,IF(G31&lt;F31,H31,"")))</f>
        <v>Turquia</v>
      </c>
      <c r="O31" s="26" t="str">
        <f>+H30</f>
        <v>Paraguay</v>
      </c>
      <c r="P31" s="24">
        <f>+COUNTIF(J30:J35,"="&amp;$O31)</f>
        <v>3</v>
      </c>
      <c r="Q31" s="24">
        <f>+COUNTIF(K30:L35,"="&amp;$O31)</f>
        <v>0</v>
      </c>
      <c r="R31" s="24">
        <f>+COUNTIF(M30:M35,"="&amp;$O31)</f>
        <v>0</v>
      </c>
      <c r="S31" s="24">
        <f t="shared" ref="S31:S33" si="135">+T31-U31</f>
        <v>4</v>
      </c>
      <c r="T31" s="24">
        <f t="shared" ref="T31" si="136">+SUMIF(E30:E35,$O31,F30:F35)+SUMIF(H30:H35,$O31,G30:G35)</f>
        <v>5</v>
      </c>
      <c r="U31" s="24">
        <f t="shared" ref="U31" si="137">+SUMIF(E30:E35,$O31,G30:G35)+SUMIF(H30:H35,$O31,F30:F35)</f>
        <v>1</v>
      </c>
      <c r="V31" s="45">
        <f t="shared" ref="V31:V33" si="138">+P31*3+Q31*1+BT31+CN31+S31/1000+T31/10000+AV31/1000000+ROW()/10000000</f>
        <v>9.0045031000000009</v>
      </c>
      <c r="W31" s="26" t="str">
        <f t="shared" ref="W31:W33" si="139">+O31</f>
        <v>Paraguay</v>
      </c>
      <c r="Y31" s="61" t="str">
        <f>+CONCATENATE("2",RIGHT(E29,1))</f>
        <v>2D</v>
      </c>
      <c r="Z31" s="62" t="str">
        <f>+VLOOKUP(AL31,V30:W33,2,FALSE)</f>
        <v>Estados Unidos</v>
      </c>
      <c r="AA31" s="63">
        <f t="shared" ref="AA31:AA33" si="140">+SUM(AB31:AD31)</f>
        <v>3</v>
      </c>
      <c r="AB31" s="64">
        <f t="shared" si="126"/>
        <v>1</v>
      </c>
      <c r="AC31" s="64">
        <f t="shared" si="126"/>
        <v>1</v>
      </c>
      <c r="AD31" s="64">
        <f t="shared" si="126"/>
        <v>1</v>
      </c>
      <c r="AE31" s="64">
        <f t="shared" si="126"/>
        <v>0</v>
      </c>
      <c r="AF31" s="64">
        <f t="shared" si="126"/>
        <v>4</v>
      </c>
      <c r="AG31" s="64">
        <f t="shared" si="126"/>
        <v>4</v>
      </c>
      <c r="AH31" s="65">
        <f>+VLOOKUP($Z31,$O$30:$V$33,COLUMN()-26,FALSE)</f>
        <v>4.0004030000000004</v>
      </c>
      <c r="AI31" s="51"/>
      <c r="AL31" s="45">
        <f>+LARGE(V30:V33,2)</f>
        <v>4.0004030000000004</v>
      </c>
      <c r="AM31" s="52">
        <f t="shared" ref="AM31:AM33" si="141">+(AH31-AL31)*100000000000000000000</f>
        <v>0</v>
      </c>
      <c r="AP31" s="53" t="str">
        <f>+O31</f>
        <v>Paraguay</v>
      </c>
      <c r="AQ31" s="23">
        <f>+P31*3+Q31*1+BT31+CN31+S31/1000+T31/10000</f>
        <v>9.0045000000000002</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9</v>
      </c>
      <c r="BA31" s="29">
        <f>+COUNTIFS($AX$1:AX31,AX31,$AZ$1:AZ31,AZ31)</f>
        <v>1</v>
      </c>
      <c r="BB31" s="29">
        <f>+IF(AZ31=BF28,ROW()*0.001,AZ31)</f>
        <v>9</v>
      </c>
      <c r="BC31" s="29">
        <f>+COUNTIFS($AX$1:AZ31,AZ31,$AZ$1:BB31,BB31)</f>
        <v>2</v>
      </c>
      <c r="BD31" s="29"/>
      <c r="BE31" s="25" t="str">
        <f>+IF(OR(BF31="-",BI31="-",BF28=0),"-","OK")</f>
        <v>-</v>
      </c>
      <c r="BF31" s="57" t="str">
        <f>+IF(_xlfn.XLOOKUP($E31,$AY:$AY,$AZ:$AZ,"-",0)=BF28,$E31,"-")</f>
        <v>-</v>
      </c>
      <c r="BG31" s="58">
        <f t="shared" si="127"/>
        <v>2</v>
      </c>
      <c r="BH31" s="59">
        <f t="shared" si="128"/>
        <v>1</v>
      </c>
      <c r="BI31" s="57" t="str">
        <f>+IF(_xlfn.XLOOKUP($H31,$AY:$AY,$AZ:$AZ,"-",0)=BF28,$H31,"-")</f>
        <v>-</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v>
      </c>
      <c r="CA31" s="58">
        <f t="shared" si="129"/>
        <v>2</v>
      </c>
      <c r="CB31" s="59">
        <f t="shared" si="130"/>
        <v>1</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5">
      <c r="A32" s="38" t="s">
        <v>142</v>
      </c>
      <c r="B32" s="39">
        <v>46193</v>
      </c>
      <c r="C32" s="40"/>
      <c r="D32" s="41"/>
      <c r="E32" s="42" t="s">
        <v>66</v>
      </c>
      <c r="F32" s="43">
        <v>0</v>
      </c>
      <c r="G32" s="43">
        <v>2</v>
      </c>
      <c r="H32" s="44" t="s">
        <v>71</v>
      </c>
      <c r="J32" s="24" t="str">
        <f t="shared" si="131"/>
        <v>Paraguay</v>
      </c>
      <c r="K32" s="24" t="str">
        <f t="shared" si="132"/>
        <v/>
      </c>
      <c r="L32" s="24" t="str">
        <f t="shared" si="133"/>
        <v/>
      </c>
      <c r="M32" s="24" t="str">
        <f t="shared" si="134"/>
        <v>Turquia</v>
      </c>
      <c r="O32" s="26" t="str">
        <f>+E31</f>
        <v>Australia</v>
      </c>
      <c r="P32" s="24">
        <f>+COUNTIF(J30:J35,"="&amp;$O32)</f>
        <v>1</v>
      </c>
      <c r="Q32" s="24">
        <f>+COUNTIF(K30:L35,"="&amp;$O32)</f>
        <v>0</v>
      </c>
      <c r="R32" s="24">
        <f>+COUNTIF(M30:M35,"="&amp;$O32)</f>
        <v>2</v>
      </c>
      <c r="S32" s="24">
        <f t="shared" si="135"/>
        <v>-1</v>
      </c>
      <c r="T32" s="24">
        <f t="shared" ref="T32" si="164">+SUMIF(E30:E35,$O32,F30:F35)+SUMIF(H30:H35,$O32,G30:G35)</f>
        <v>3</v>
      </c>
      <c r="U32" s="24">
        <f t="shared" ref="U32" si="165">+SUMIF(E30:E35,$O32,G30:G35)+SUMIF(H30:H35,$O32,F30:F35)</f>
        <v>4</v>
      </c>
      <c r="V32" s="45">
        <f t="shared" si="138"/>
        <v>2.9993032000000004</v>
      </c>
      <c r="W32" s="26" t="str">
        <f t="shared" si="139"/>
        <v>Australia</v>
      </c>
      <c r="Y32" s="68" t="str">
        <f>+CONCATENATE("3",RIGHT(E29,1))</f>
        <v>3D</v>
      </c>
      <c r="Z32" s="69" t="str">
        <f>+VLOOKUP(AL32,V30:W33,2,FALSE)</f>
        <v>Australia</v>
      </c>
      <c r="AA32" s="70">
        <f t="shared" si="140"/>
        <v>3</v>
      </c>
      <c r="AB32" s="71">
        <f t="shared" si="126"/>
        <v>1</v>
      </c>
      <c r="AC32" s="71">
        <f t="shared" si="126"/>
        <v>0</v>
      </c>
      <c r="AD32" s="71">
        <f t="shared" si="126"/>
        <v>2</v>
      </c>
      <c r="AE32" s="71">
        <f t="shared" si="126"/>
        <v>-1</v>
      </c>
      <c r="AF32" s="71">
        <f t="shared" si="126"/>
        <v>3</v>
      </c>
      <c r="AG32" s="71">
        <f t="shared" si="126"/>
        <v>4</v>
      </c>
      <c r="AH32" s="72">
        <f>+VLOOKUP($Z32,$O$30:$V$33,COLUMN()-26,FALSE)</f>
        <v>2.9993032000000004</v>
      </c>
      <c r="AI32" s="73">
        <f>+(COUNTIFS($CV$2:$CV$13,Z32,$CX$2:$CX$13,"IN")+COUNTIFS($CV$2:$CV$13,Z32,$CW$2:$CW$13,"IN"))*IF(SUM(AA30:AA33)=12,1,0)</f>
        <v>1</v>
      </c>
      <c r="AL32" s="45">
        <f>+LARGE(V30:V33,3)</f>
        <v>2.9993032000000004</v>
      </c>
      <c r="AM32" s="52">
        <f t="shared" si="141"/>
        <v>0</v>
      </c>
      <c r="AP32" s="53" t="str">
        <f>+O32</f>
        <v>Australia</v>
      </c>
      <c r="AQ32" s="23">
        <f>+P32*3+Q32*1+BT32+CN32+S32/1000+T32/10000</f>
        <v>2.9993000000000003</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3</v>
      </c>
      <c r="BA32" s="29">
        <f>+COUNTIFS($AX$1:AX32,AX32,$AZ$1:AZ32,AZ32)</f>
        <v>1</v>
      </c>
      <c r="BB32" s="29">
        <f>+IF(AZ32=BF28,ROW()*0.001,AZ32)</f>
        <v>3</v>
      </c>
      <c r="BC32" s="29">
        <f>+COUNTIFS($AX$1:AZ32,AZ32,$AZ$1:BB32,BB32)</f>
        <v>3</v>
      </c>
      <c r="BD32" s="29"/>
      <c r="BE32" s="25" t="str">
        <f>+IF(OR(BF32="-",BI32="-",BF28=0),"-","OK")</f>
        <v>-</v>
      </c>
      <c r="BF32" s="57" t="str">
        <f>+IF(_xlfn.XLOOKUP($E32,$AY:$AY,$AZ:$AZ,"-",0)=BF28,$E32,"-")</f>
        <v>-</v>
      </c>
      <c r="BG32" s="58">
        <f t="shared" si="127"/>
        <v>0</v>
      </c>
      <c r="BH32" s="59">
        <f t="shared" si="128"/>
        <v>2</v>
      </c>
      <c r="BI32" s="57" t="str">
        <f>+IF(_xlfn.XLOOKUP($H32,$AY:$AY,$AZ:$AZ,"-",0)=BF28,$H32,"-")</f>
        <v>-</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0</v>
      </c>
      <c r="CB32" s="59">
        <f t="shared" si="130"/>
        <v>2</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5">
      <c r="A33" s="38" t="s">
        <v>143</v>
      </c>
      <c r="B33" s="39">
        <v>46192</v>
      </c>
      <c r="C33" s="40"/>
      <c r="D33" s="41"/>
      <c r="E33" s="42" t="s">
        <v>63</v>
      </c>
      <c r="F33" s="43">
        <v>2</v>
      </c>
      <c r="G33" s="43">
        <v>1</v>
      </c>
      <c r="H33" s="44" t="s">
        <v>73</v>
      </c>
      <c r="J33" s="24" t="str">
        <f t="shared" si="131"/>
        <v>Estados Unidos</v>
      </c>
      <c r="K33" s="24" t="str">
        <f t="shared" si="132"/>
        <v/>
      </c>
      <c r="L33" s="24" t="str">
        <f t="shared" si="133"/>
        <v/>
      </c>
      <c r="M33" s="24" t="str">
        <f t="shared" si="134"/>
        <v>Australia</v>
      </c>
      <c r="O33" s="26" t="str">
        <f>+H31</f>
        <v>Turquia</v>
      </c>
      <c r="P33" s="24">
        <f>+COUNTIF(J30:J35,"="&amp;$O33)</f>
        <v>0</v>
      </c>
      <c r="Q33" s="24">
        <f>+COUNTIF(K30:L35,"="&amp;$O33)</f>
        <v>1</v>
      </c>
      <c r="R33" s="24">
        <f>+COUNTIF(M30:M35,"="&amp;$O33)</f>
        <v>2</v>
      </c>
      <c r="S33" s="24">
        <f t="shared" si="135"/>
        <v>-3</v>
      </c>
      <c r="T33" s="24">
        <f t="shared" ref="T33" si="166">+SUMIF(E30:E35,$O33,F30:F35)+SUMIF(H30:H35,$O33,G30:G35)</f>
        <v>2</v>
      </c>
      <c r="U33" s="24">
        <f t="shared" ref="U33" si="167">+SUMIF(E30:E35,$O33,G30:G35)+SUMIF(H30:H35,$O33,F30:F35)</f>
        <v>5</v>
      </c>
      <c r="V33" s="45">
        <f t="shared" si="138"/>
        <v>0.99720330000000001</v>
      </c>
      <c r="W33" s="26" t="str">
        <f t="shared" si="139"/>
        <v>Turquia</v>
      </c>
      <c r="Y33" s="74" t="str">
        <f>+CONCATENATE("4",RIGHT(E29,1))</f>
        <v>4D</v>
      </c>
      <c r="Z33" s="75" t="str">
        <f>+VLOOKUP(AL33,V30:W33,2,FALSE)</f>
        <v>Turquia</v>
      </c>
      <c r="AA33" s="76">
        <f t="shared" si="140"/>
        <v>3</v>
      </c>
      <c r="AB33" s="77">
        <f t="shared" si="126"/>
        <v>0</v>
      </c>
      <c r="AC33" s="77">
        <f t="shared" si="126"/>
        <v>1</v>
      </c>
      <c r="AD33" s="77">
        <f t="shared" si="126"/>
        <v>2</v>
      </c>
      <c r="AE33" s="77">
        <f t="shared" si="126"/>
        <v>-3</v>
      </c>
      <c r="AF33" s="77">
        <f t="shared" si="126"/>
        <v>2</v>
      </c>
      <c r="AG33" s="77">
        <f t="shared" si="126"/>
        <v>5</v>
      </c>
      <c r="AH33" s="78">
        <f>+VLOOKUP($Z33,$O$30:$V$33,COLUMN()-26,FALSE)</f>
        <v>0.99720330000000001</v>
      </c>
      <c r="AI33" s="73"/>
      <c r="AL33" s="45">
        <f>+LARGE(V30:V33,4)</f>
        <v>0.99720330000000001</v>
      </c>
      <c r="AM33" s="52">
        <f t="shared" si="141"/>
        <v>0</v>
      </c>
      <c r="AP33" s="53" t="str">
        <f>+O33</f>
        <v>Turquia</v>
      </c>
      <c r="AQ33" s="23">
        <f>+P33*3+Q33*1+BT33+CN33+S33/1000+T33/10000</f>
        <v>0.99719999999999998</v>
      </c>
      <c r="AS33" s="54">
        <f t="shared" si="142"/>
        <v>0</v>
      </c>
      <c r="AT33" s="54">
        <f>+IF(AND(AM34="si",OR(AR30=1,AR31=1,AR32=1)),1,0)</f>
        <v>0</v>
      </c>
      <c r="AU33" s="79" t="str">
        <f t="shared" si="143"/>
        <v>Turquia</v>
      </c>
      <c r="AV33" s="80"/>
      <c r="AX33" s="23" t="str">
        <f>+Y29</f>
        <v>Grupo D</v>
      </c>
      <c r="AY33" s="24" t="str">
        <f t="shared" si="144"/>
        <v>Turquia</v>
      </c>
      <c r="AZ33" s="29">
        <f t="shared" si="145"/>
        <v>1</v>
      </c>
      <c r="BA33" s="29">
        <f>+COUNTIFS($AX$1:AX33,AX33,$AZ$1:AZ33,AZ33)</f>
        <v>1</v>
      </c>
      <c r="BB33" s="29">
        <f>+IF(AZ33=BF28,ROW()*0.001,AZ33)</f>
        <v>1</v>
      </c>
      <c r="BC33" s="29">
        <f>+COUNTIFS($AX$1:AZ33,AZ33,$AZ$1:BB33,BB33)</f>
        <v>1</v>
      </c>
      <c r="BD33" s="29"/>
      <c r="BE33" s="25" t="str">
        <f>+IF(OR(BF33="-",BI33="-",BF28=0),"-","OK")</f>
        <v>-</v>
      </c>
      <c r="BF33" s="57" t="str">
        <f>+IF(_xlfn.XLOOKUP($E33,$AY:$AY,$AZ:$AZ,"-",0)=BF28,$E33,"-")</f>
        <v>-</v>
      </c>
      <c r="BG33" s="58">
        <f t="shared" si="127"/>
        <v>2</v>
      </c>
      <c r="BH33" s="59">
        <f t="shared" si="128"/>
        <v>1</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Estados Unidos</v>
      </c>
      <c r="CA33" s="58">
        <f t="shared" si="129"/>
        <v>2</v>
      </c>
      <c r="CB33" s="59">
        <f t="shared" si="130"/>
        <v>1</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5">
      <c r="A34" s="38" t="s">
        <v>144</v>
      </c>
      <c r="B34" s="39">
        <v>46198</v>
      </c>
      <c r="C34" s="40"/>
      <c r="D34" s="41"/>
      <c r="E34" s="42" t="s">
        <v>66</v>
      </c>
      <c r="F34" s="43">
        <v>1</v>
      </c>
      <c r="G34" s="43">
        <v>1</v>
      </c>
      <c r="H34" s="44" t="s">
        <v>63</v>
      </c>
      <c r="J34" s="24" t="str">
        <f t="shared" si="131"/>
        <v/>
      </c>
      <c r="K34" s="24" t="str">
        <f t="shared" si="132"/>
        <v>Turquia</v>
      </c>
      <c r="L34" s="24" t="str">
        <f t="shared" si="133"/>
        <v>Estados Unidos</v>
      </c>
      <c r="M34" s="24" t="str">
        <f t="shared" si="134"/>
        <v/>
      </c>
      <c r="AL34" s="25" t="s">
        <v>122</v>
      </c>
      <c r="AM34" s="52" t="str">
        <f>+IF(SUM(AA30:AA33)=12,"si","no")</f>
        <v>si</v>
      </c>
      <c r="BE34" s="25" t="str">
        <f>+IF(OR(BF34="-",BI34="-",BF28=0),"-","OK")</f>
        <v>-</v>
      </c>
      <c r="BF34" s="57" t="str">
        <f>+IF(_xlfn.XLOOKUP($E34,$AY:$AY,$AZ:$AZ,"-",0)=BF28,$E34,"-")</f>
        <v>-</v>
      </c>
      <c r="BG34" s="58">
        <f t="shared" si="127"/>
        <v>1</v>
      </c>
      <c r="BH34" s="59">
        <f t="shared" si="128"/>
        <v>1</v>
      </c>
      <c r="BI34" s="57" t="str">
        <f>+IF(_xlfn.XLOOKUP($H34,$AY:$AY,$AZ:$AZ,"-",0)=BF28,$H34,"-")</f>
        <v>-</v>
      </c>
      <c r="BY34" s="25" t="str">
        <f t="shared" si="154"/>
        <v>-</v>
      </c>
      <c r="BZ34" s="57" t="str">
        <f>+IF(_xlfn.XLOOKUP($E34,$AY:$AY,$AZ:$AZ,"-",0)=BZ28,$E34,"-")</f>
        <v>-</v>
      </c>
      <c r="CA34" s="58">
        <f t="shared" si="129"/>
        <v>1</v>
      </c>
      <c r="CB34" s="59">
        <f t="shared" si="130"/>
        <v>1</v>
      </c>
      <c r="CC34" s="57" t="str">
        <f>+IF(_xlfn.XLOOKUP($H34,$AY:$AY,$AZ:$AZ,"-",0)=BZ28,$H34,"-")</f>
        <v>Estados Unidos</v>
      </c>
    </row>
    <row r="35" spans="1:102" x14ac:dyDescent="0.25">
      <c r="A35" s="38" t="s">
        <v>145</v>
      </c>
      <c r="B35" s="39">
        <v>46198</v>
      </c>
      <c r="C35" s="40"/>
      <c r="D35" s="41"/>
      <c r="E35" s="42" t="s">
        <v>71</v>
      </c>
      <c r="F35" s="43">
        <v>1</v>
      </c>
      <c r="G35" s="43">
        <v>0</v>
      </c>
      <c r="H35" s="44" t="s">
        <v>73</v>
      </c>
      <c r="J35" s="24" t="str">
        <f t="shared" si="131"/>
        <v>Paraguay</v>
      </c>
      <c r="K35" s="24" t="str">
        <f t="shared" si="132"/>
        <v/>
      </c>
      <c r="L35" s="24" t="str">
        <f t="shared" si="133"/>
        <v/>
      </c>
      <c r="M35" s="24" t="str">
        <f t="shared" si="134"/>
        <v>Australia</v>
      </c>
      <c r="Y35" s="53" t="s">
        <v>124</v>
      </c>
      <c r="AR35" s="23">
        <f>+IF(AND(AM34="si",OR(AR30=1,AR31=1,AR32=1)),1,0)</f>
        <v>0</v>
      </c>
      <c r="BE35" s="25" t="str">
        <f>+IF(OR(BF35="-",BI35="-",BF28=0),"-","OK")</f>
        <v>-</v>
      </c>
      <c r="BF35" s="57" t="str">
        <f>+IF(_xlfn.XLOOKUP($E35,$AY:$AY,$AZ:$AZ,"-",0)=BF28,$E35,"-")</f>
        <v>-</v>
      </c>
      <c r="BG35" s="58">
        <f t="shared" si="127"/>
        <v>1</v>
      </c>
      <c r="BH35" s="59">
        <f t="shared" si="128"/>
        <v>0</v>
      </c>
      <c r="BI35" s="57" t="str">
        <f>+IF(_xlfn.XLOOKUP($H35,$AY:$AY,$AZ:$AZ,"-",0)=BF28,$H35,"-")</f>
        <v>-</v>
      </c>
      <c r="BY35" s="25" t="str">
        <f t="shared" si="154"/>
        <v>-</v>
      </c>
      <c r="BZ35" s="57" t="str">
        <f>+IF(_xlfn.XLOOKUP($E35,$AY:$AY,$AZ:$AZ,"-",0)=BZ28,$E35,"-")</f>
        <v>-</v>
      </c>
      <c r="CA35" s="58">
        <f t="shared" si="129"/>
        <v>1</v>
      </c>
      <c r="CB35" s="59">
        <f t="shared" si="130"/>
        <v>0</v>
      </c>
      <c r="CC35" s="57" t="str">
        <f>+IF(_xlfn.XLOOKUP($H35,$AY:$AY,$AZ:$AZ,"-",0)=BZ28,$H35,"-")</f>
        <v>-</v>
      </c>
    </row>
    <row r="36" spans="1:102" s="83" customFormat="1" x14ac:dyDescent="0.25">
      <c r="A36" s="81"/>
      <c r="B36" s="82"/>
      <c r="C36" s="81"/>
      <c r="E36" s="84"/>
      <c r="F36" s="81"/>
      <c r="G36" s="81"/>
      <c r="H36" s="85"/>
      <c r="J36" s="81"/>
      <c r="K36" s="81"/>
      <c r="L36" s="81"/>
      <c r="M36" s="81"/>
      <c r="AV36" s="86"/>
      <c r="AW36" s="86"/>
      <c r="BE36" s="81"/>
      <c r="CW36" s="81"/>
      <c r="CX36" s="81"/>
    </row>
    <row r="37" spans="1:102" x14ac:dyDescent="0.25">
      <c r="A37" s="23"/>
      <c r="BF37" s="28">
        <f>+IF(BA39&gt;1,AZ39,IF(BA40&gt;1,AZ40,IF(BA41&gt;1,AZ41,IF(BA42&gt;1,AZ42,"-"))))</f>
        <v>7</v>
      </c>
      <c r="BW37" s="23">
        <v>10</v>
      </c>
      <c r="BZ37" s="29">
        <f>+IF(BC39&gt;1,BB39,IF(BC40&gt;1,BB40,IF(BC41&gt;1,BB41,IF(BC42&gt;1,BB42,"-"))))</f>
        <v>0</v>
      </c>
      <c r="CQ37" s="23">
        <v>10</v>
      </c>
    </row>
    <row r="38" spans="1:102" x14ac:dyDescent="0.25">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504" t="s">
        <v>146</v>
      </c>
      <c r="Z38" s="505"/>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5">
      <c r="A39" s="38" t="s">
        <v>147</v>
      </c>
      <c r="B39" s="39">
        <v>46187</v>
      </c>
      <c r="C39" s="40"/>
      <c r="D39" s="41"/>
      <c r="E39" s="42" t="s">
        <v>56</v>
      </c>
      <c r="F39" s="43">
        <v>4</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2</v>
      </c>
      <c r="Q39" s="24">
        <f>+COUNTIF(K39:L44,"="&amp;$O39)</f>
        <v>1</v>
      </c>
      <c r="R39" s="24">
        <f>+COUNTIF(M39:M44,"="&amp;$O39)</f>
        <v>0</v>
      </c>
      <c r="S39" s="24">
        <f>+T39-U39</f>
        <v>6</v>
      </c>
      <c r="T39" s="24">
        <f t="shared" ref="T39" si="168">+SUMIF(E39:E44,$O39,F39:F44)+SUMIF(H39:H44,$O39,G39:G44)</f>
        <v>8</v>
      </c>
      <c r="U39" s="24">
        <f t="shared" ref="U39" si="169">+SUMIF(E39:E44,$O39,G39:G44)+SUMIF(H39:H44,$O39,F39:F44)</f>
        <v>2</v>
      </c>
      <c r="V39" s="45">
        <f>+P39*3+Q39*1+BT39+CN39+S39/1000+T39/10000+AV39/1000000+ROW()/10000000</f>
        <v>7.3068039000000002</v>
      </c>
      <c r="W39" s="26" t="str">
        <f>+O39</f>
        <v>Alemania</v>
      </c>
      <c r="Y39" s="46" t="str">
        <f>+CONCATENATE("1",RIGHT(E38,1))</f>
        <v>1E</v>
      </c>
      <c r="Z39" s="47" t="str">
        <f>+VLOOKUP(AL39,V39:W42,2,FALSE)</f>
        <v>Alemania</v>
      </c>
      <c r="AA39" s="48">
        <f>+SUM(AB39:AD39)</f>
        <v>3</v>
      </c>
      <c r="AB39" s="49">
        <f t="shared" ref="AB39:AG42" si="170">+VLOOKUP($Z39,$O$39:$U$42,COLUMN()-26,FALSE)</f>
        <v>2</v>
      </c>
      <c r="AC39" s="49">
        <f t="shared" si="170"/>
        <v>1</v>
      </c>
      <c r="AD39" s="49">
        <f t="shared" si="170"/>
        <v>0</v>
      </c>
      <c r="AE39" s="49">
        <f t="shared" si="170"/>
        <v>6</v>
      </c>
      <c r="AF39" s="49">
        <f t="shared" si="170"/>
        <v>8</v>
      </c>
      <c r="AG39" s="49">
        <f t="shared" si="170"/>
        <v>2</v>
      </c>
      <c r="AH39" s="50">
        <f>+VLOOKUP($Z39,$O$39:$V$42,COLUMN()-26,FALSE)</f>
        <v>7.3068039000000002</v>
      </c>
      <c r="AI39" s="51"/>
      <c r="AL39" s="45">
        <f>+LARGE(V39:V42,1)</f>
        <v>7.3068039000000002</v>
      </c>
      <c r="AM39" s="52">
        <f>+(AH39-AL39)*100000000000000000000</f>
        <v>0</v>
      </c>
      <c r="AP39" s="53" t="str">
        <f>+O39</f>
        <v>Alemania</v>
      </c>
      <c r="AQ39" s="23">
        <f>+P39*3+Q39*1+BT39+CN39+S39/1000+T39/10000</f>
        <v>7.3068</v>
      </c>
      <c r="AR39" s="23" t="b">
        <f>+IF(OR(AQ39=AQ40,AQ39=AQ41,AQ39=AQ42),1)</f>
        <v>0</v>
      </c>
      <c r="AS39" s="54">
        <f>+AV39</f>
        <v>0</v>
      </c>
      <c r="AT39" s="54">
        <f>+IF(AND(AM43="si",OR(AR39=1,AR40=1,AR41=1)),1,0)</f>
        <v>0</v>
      </c>
      <c r="AU39" s="55" t="str">
        <f>+O39</f>
        <v>Alemania</v>
      </c>
      <c r="AV39" s="56"/>
      <c r="AX39" s="23" t="str">
        <f>+Y38</f>
        <v>Grupo E</v>
      </c>
      <c r="AY39" s="24" t="str">
        <f>+O39</f>
        <v>Alemania</v>
      </c>
      <c r="AZ39" s="29">
        <f>+P39*3+Q39</f>
        <v>7</v>
      </c>
      <c r="BA39" s="29">
        <f>+COUNTIFS($AX$1:AX39,AX39,$AZ$1:AZ39,AZ39)</f>
        <v>1</v>
      </c>
      <c r="BB39" s="29">
        <f>+IF(AZ39=BF37,ROW()*0.001,AZ39)</f>
        <v>3.9E-2</v>
      </c>
      <c r="BC39" s="29">
        <f>+COUNTIFS($AX$1:AZ39,AZ39,$AZ$1:BB39,BB39)</f>
        <v>1</v>
      </c>
      <c r="BD39" s="29"/>
      <c r="BE39" s="25" t="str">
        <f>+IF(OR(BF39="-",BI39="-",BF37=0),"-","OK")</f>
        <v>-</v>
      </c>
      <c r="BF39" s="57" t="str">
        <f>+IF(_xlfn.XLOOKUP($E39,$AY:$AY,$AZ:$AZ,"-",0)=BF37,$E39,"-")</f>
        <v>Alemania</v>
      </c>
      <c r="BG39" s="58">
        <f t="shared" ref="BG39:BG44" si="171">+$F39</f>
        <v>4</v>
      </c>
      <c r="BH39" s="59">
        <f t="shared" ref="BH39:BH44" si="172">+$G39</f>
        <v>0</v>
      </c>
      <c r="BI39" s="57" t="str">
        <f>+IF(_xlfn.XLOOKUP($H39,$AY:$AY,$AZ:$AZ,"-",0)=BF37,$H39,"-")</f>
        <v>-</v>
      </c>
      <c r="BK39" s="26" t="str">
        <f>+O39</f>
        <v>Alemania</v>
      </c>
      <c r="BL39" s="26">
        <f>+COUNTIFS($BE:$BE,"OK",$BI:$BI,BK39)+COUNTIFS($BE:$BE,"OK",$BF:$BF,BK39)</f>
        <v>1</v>
      </c>
      <c r="BM39" s="24">
        <f>+COUNTIFS(J:J,$BK39,$BE:$BE,"OK")</f>
        <v>0</v>
      </c>
      <c r="BN39" s="24">
        <f>+COUNTIFS(K:K,$BK39,$BE:$BE,"OK")+COUNTIFS(L:L,$BK39,$BE:$BE,"OK")</f>
        <v>1</v>
      </c>
      <c r="BO39" s="24">
        <f>+COUNTIFS(M:M,$BK39,$BE:$BE,"OK")</f>
        <v>0</v>
      </c>
      <c r="BP39" s="24">
        <f>+BQ39-BR39</f>
        <v>0</v>
      </c>
      <c r="BQ39" s="24">
        <f>+SUMIFS(BG:BG,$BE:$BE,"OK",BF:BF,$BK39)+SUMIFS(BH:BH,$BE:$BE,"OK",BI:BI,$BK39)</f>
        <v>2</v>
      </c>
      <c r="BR39" s="24">
        <f>+SUMIFS(BH:BH,$BE:$BE,"OK",BF:BF,$BK39)+SUMIFS(BG:BG,$BE:$BE,"OK",BI:BI,$BK39)</f>
        <v>2</v>
      </c>
      <c r="BS39" s="60">
        <f>+BM39*3+BN39*1+BP39/100+BQ39/10000</f>
        <v>1.0002</v>
      </c>
      <c r="BT39" s="29">
        <f>+IF(BL39=0,0,_xlfn.XLOOKUP(BS39,BV39:BV42,BW39:BW42))</f>
        <v>0.3</v>
      </c>
      <c r="BU39" s="45"/>
      <c r="BV39" s="24">
        <f>+LARGE(BS39:BS42,1)</f>
        <v>1.0002</v>
      </c>
      <c r="BW39" s="24">
        <f>+BX39/$BW$1</f>
        <v>0.3</v>
      </c>
      <c r="BX39" s="23">
        <v>3</v>
      </c>
      <c r="BY39" s="25" t="str">
        <f>+IF(OR(BZ39="-",CC39="-"),"-","OK")</f>
        <v>-</v>
      </c>
      <c r="BZ39" s="57" t="str">
        <f>+IF(_xlfn.XLOOKUP($E39,$AY:$AY,$AZ:$AZ,"-",0)=BZ37,$E39,"-")</f>
        <v>-</v>
      </c>
      <c r="CA39" s="58">
        <f t="shared" ref="CA39:CA44" si="173">+$F39</f>
        <v>4</v>
      </c>
      <c r="CB39" s="59">
        <f t="shared" ref="CB39:CB44" si="174">+$G39</f>
        <v>0</v>
      </c>
      <c r="CC39" s="57" t="str">
        <f>+IF(_xlfn.XLOOKUP($H39,$AY:$AY,$AZ:$AZ,"-",0)=BZ37,$H39,"-")</f>
        <v>Curazao</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5">
      <c r="A40" s="38" t="s">
        <v>148</v>
      </c>
      <c r="B40" s="39">
        <v>46187</v>
      </c>
      <c r="C40" s="40"/>
      <c r="D40" s="41"/>
      <c r="E40" s="42" t="s">
        <v>78</v>
      </c>
      <c r="F40" s="43">
        <v>1</v>
      </c>
      <c r="G40" s="43">
        <v>2</v>
      </c>
      <c r="H40" s="44" t="s">
        <v>67</v>
      </c>
      <c r="J40" s="24" t="str">
        <f t="shared" ref="J40:J44" si="175">IF(OR(ISBLANK(F40),ISBLANK(G40)),"",IF(F40&gt;G40,E40,IF(G40&gt;F40,H40,"")))</f>
        <v>Ecuador</v>
      </c>
      <c r="K40" s="24" t="str">
        <f t="shared" ref="K40:K44" si="176">IF(OR(ISBLANK(F40),ISBLANK(G40)),"",IF(F40=G40,E40,""))</f>
        <v/>
      </c>
      <c r="L40" s="24" t="str">
        <f t="shared" ref="L40:L44" si="177">IF(OR(ISBLANK(F40),ISBLANK(G40)),"",IF(F40=G40,H40,""))</f>
        <v/>
      </c>
      <c r="M40" s="24" t="str">
        <f t="shared" ref="M40:M44" si="178">IF(OR(ISBLANK(F40),ISBLANK(G40)),"",IF(F40&lt;G40,E40,IF(G40&lt;F40,H40,"")))</f>
        <v>Costa de Marfil</v>
      </c>
      <c r="O40" s="26" t="str">
        <f>+H39</f>
        <v>Curazao</v>
      </c>
      <c r="P40" s="24">
        <f>+COUNTIF(J39:J44,"="&amp;$O40)</f>
        <v>0</v>
      </c>
      <c r="Q40" s="24">
        <f>+COUNTIF(K39:L44,"="&amp;$O40)</f>
        <v>0</v>
      </c>
      <c r="R40" s="24">
        <f>+COUNTIF(M39:M44,"="&amp;$O40)</f>
        <v>3</v>
      </c>
      <c r="S40" s="24">
        <f t="shared" ref="S40:S42" si="179">+T40-U40</f>
        <v>-8</v>
      </c>
      <c r="T40" s="24">
        <f t="shared" ref="T40" si="180">+SUMIF(E39:E44,$O40,F39:F44)+SUMIF(H39:H44,$O40,G39:G44)</f>
        <v>0</v>
      </c>
      <c r="U40" s="24">
        <f t="shared" ref="U40" si="181">+SUMIF(E39:E44,$O40,G39:G44)+SUMIF(H39:H44,$O40,F39:F44)</f>
        <v>8</v>
      </c>
      <c r="V40" s="45">
        <f t="shared" ref="V40:V42" si="182">+P40*3+Q40*1+BT40+CN40+S40/1000+T40/10000+AV40/1000000+ROW()/10000000</f>
        <v>-7.9959999999999996E-3</v>
      </c>
      <c r="W40" s="26" t="str">
        <f t="shared" ref="W40:W42" si="183">+O40</f>
        <v>Curazao</v>
      </c>
      <c r="Y40" s="61" t="str">
        <f>+CONCATENATE("2",RIGHT(E38,1))</f>
        <v>2E</v>
      </c>
      <c r="Z40" s="62" t="str">
        <f>+VLOOKUP(AL40,V39:W42,2,FALSE)</f>
        <v>Ecuador</v>
      </c>
      <c r="AA40" s="63">
        <f t="shared" ref="AA40:AA42" si="184">+SUM(AB40:AD40)</f>
        <v>3</v>
      </c>
      <c r="AB40" s="64">
        <f t="shared" si="170"/>
        <v>2</v>
      </c>
      <c r="AC40" s="64">
        <f t="shared" si="170"/>
        <v>1</v>
      </c>
      <c r="AD40" s="64">
        <f t="shared" si="170"/>
        <v>0</v>
      </c>
      <c r="AE40" s="64">
        <f t="shared" si="170"/>
        <v>3</v>
      </c>
      <c r="AF40" s="64">
        <f t="shared" si="170"/>
        <v>6</v>
      </c>
      <c r="AG40" s="64">
        <f t="shared" si="170"/>
        <v>3</v>
      </c>
      <c r="AH40" s="65">
        <f>+VLOOKUP($Z40,$O$39:$V$42,COLUMN()-26,FALSE)</f>
        <v>7.3036042000000005</v>
      </c>
      <c r="AI40" s="51"/>
      <c r="AL40" s="45">
        <f>+LARGE(V39:V42,2)</f>
        <v>7.3036042000000005</v>
      </c>
      <c r="AM40" s="52">
        <f t="shared" ref="AM40:AM42" si="185">+(AH40-AL40)*100000000000000000000</f>
        <v>0</v>
      </c>
      <c r="AP40" s="53" t="str">
        <f>+O40</f>
        <v>Curazao</v>
      </c>
      <c r="AQ40" s="23">
        <f>+P40*3+Q40*1+BT40+CN40+S40/1000+T40/10000</f>
        <v>-8.0000000000000002E-3</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0</v>
      </c>
      <c r="BA40" s="29">
        <f>+COUNTIFS($AX$1:AX40,AX40,$AZ$1:AZ40,AZ40)</f>
        <v>1</v>
      </c>
      <c r="BB40" s="29">
        <f>+IF(AZ40=BF37,ROW()*0.001,AZ40)</f>
        <v>0</v>
      </c>
      <c r="BC40" s="29">
        <f>+COUNTIFS($AX$1:AZ40,AZ40,$AZ$1:BB40,BB40)</f>
        <v>4</v>
      </c>
      <c r="BD40" s="29"/>
      <c r="BE40" s="25" t="str">
        <f>+IF(OR(BF40="-",BI40="-",BF37=0),"-","OK")</f>
        <v>-</v>
      </c>
      <c r="BF40" s="57" t="str">
        <f>+IF(_xlfn.XLOOKUP($E40,$AY:$AY,$AZ:$AZ,"-",0)=BF37,$E40,"-")</f>
        <v>-</v>
      </c>
      <c r="BG40" s="58">
        <f t="shared" si="171"/>
        <v>1</v>
      </c>
      <c r="BH40" s="59">
        <f t="shared" si="172"/>
        <v>2</v>
      </c>
      <c r="BI40" s="57" t="str">
        <f>+IF(_xlfn.XLOOKUP($H40,$AY:$AY,$AZ:$AZ,"-",0)=BF37,$H40,"-")</f>
        <v>Ecuador</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1.0002</v>
      </c>
      <c r="BW40" s="24">
        <f>+BX40/$BW$1</f>
        <v>0.2</v>
      </c>
      <c r="BX40" s="23">
        <v>2</v>
      </c>
      <c r="BY40" s="25" t="str">
        <f t="shared" ref="BY40:BY44" si="198">+IF(OR(BZ40="-",CC40="-"),"-","OK")</f>
        <v>-</v>
      </c>
      <c r="BZ40" s="57" t="str">
        <f>+IF(_xlfn.XLOOKUP($E40,$AY:$AY,$AZ:$AZ,"-",0)=BZ37,$E40,"-")</f>
        <v>-</v>
      </c>
      <c r="CA40" s="58">
        <f t="shared" si="173"/>
        <v>1</v>
      </c>
      <c r="CB40" s="59">
        <f t="shared" si="174"/>
        <v>2</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5">
      <c r="A41" s="38" t="s">
        <v>149</v>
      </c>
      <c r="B41" s="39">
        <v>46193</v>
      </c>
      <c r="C41" s="40"/>
      <c r="D41" s="41"/>
      <c r="E41" s="42" t="s">
        <v>56</v>
      </c>
      <c r="F41" s="43">
        <v>2</v>
      </c>
      <c r="G41" s="43">
        <v>0</v>
      </c>
      <c r="H41" s="44" t="s">
        <v>78</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0</v>
      </c>
      <c r="R41" s="24">
        <f>+COUNTIF(M39:M44,"="&amp;$O41)</f>
        <v>2</v>
      </c>
      <c r="S41" s="24">
        <f t="shared" si="179"/>
        <v>-1</v>
      </c>
      <c r="T41" s="24">
        <f t="shared" ref="T41" si="208">+SUMIF(E39:E44,$O41,F39:F44)+SUMIF(H39:H44,$O41,G39:G44)</f>
        <v>3</v>
      </c>
      <c r="U41" s="24">
        <f t="shared" ref="U41" si="209">+SUMIF(E39:E44,$O41,G39:G44)+SUMIF(H39:H44,$O41,F39:F44)</f>
        <v>4</v>
      </c>
      <c r="V41" s="45">
        <f t="shared" si="182"/>
        <v>2.9993041000000003</v>
      </c>
      <c r="W41" s="26" t="str">
        <f t="shared" si="183"/>
        <v>Costa de Marfil</v>
      </c>
      <c r="Y41" s="68" t="str">
        <f>+CONCATENATE("3",RIGHT(E38,1))</f>
        <v>3E</v>
      </c>
      <c r="Z41" s="69" t="str">
        <f>+VLOOKUP(AL41,V39:W42,2,FALSE)</f>
        <v>Costa de Marfil</v>
      </c>
      <c r="AA41" s="70">
        <f t="shared" si="184"/>
        <v>3</v>
      </c>
      <c r="AB41" s="71">
        <f t="shared" si="170"/>
        <v>1</v>
      </c>
      <c r="AC41" s="71">
        <f t="shared" si="170"/>
        <v>0</v>
      </c>
      <c r="AD41" s="71">
        <f t="shared" si="170"/>
        <v>2</v>
      </c>
      <c r="AE41" s="71">
        <f t="shared" si="170"/>
        <v>-1</v>
      </c>
      <c r="AF41" s="71">
        <f t="shared" si="170"/>
        <v>3</v>
      </c>
      <c r="AG41" s="71">
        <f t="shared" si="170"/>
        <v>4</v>
      </c>
      <c r="AH41" s="72">
        <f>+VLOOKUP($Z41,$O$39:$V$42,COLUMN()-26,FALSE)</f>
        <v>2.9993041000000003</v>
      </c>
      <c r="AI41" s="73">
        <f>+(COUNTIFS($CV$2:$CV$13,Z41,$CX$2:$CX$13,"IN")+COUNTIFS($CV$2:$CV$13,Z41,$CW$2:$CW$13,"IN"))*IF(SUM(AA39:AA42)=12,1,0)</f>
        <v>1</v>
      </c>
      <c r="AL41" s="45">
        <f>+LARGE(V39:V42,3)</f>
        <v>2.9993041000000003</v>
      </c>
      <c r="AM41" s="52">
        <f t="shared" si="185"/>
        <v>0</v>
      </c>
      <c r="AP41" s="53" t="str">
        <f>+O41</f>
        <v>Costa de Marfil</v>
      </c>
      <c r="AQ41" s="23">
        <f>+P41*3+Q41*1+BT41+CN41+S41/1000+T41/10000</f>
        <v>2.9993000000000003</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3</v>
      </c>
      <c r="BA41" s="29">
        <f>+COUNTIFS($AX$1:AX41,AX41,$AZ$1:AZ41,AZ41)</f>
        <v>1</v>
      </c>
      <c r="BB41" s="29">
        <f>+IF(AZ41=BF37,ROW()*0.001,AZ41)</f>
        <v>3</v>
      </c>
      <c r="BC41" s="29">
        <f>+COUNTIFS($AX$1:AZ41,AZ41,$AZ$1:BB41,BB41)</f>
        <v>4</v>
      </c>
      <c r="BD41" s="29"/>
      <c r="BE41" s="25" t="str">
        <f>+IF(OR(BF41="-",BI41="-",BF37=0),"-","OK")</f>
        <v>-</v>
      </c>
      <c r="BF41" s="57" t="str">
        <f>+IF(_xlfn.XLOOKUP($E41,$AY:$AY,$AZ:$AZ,"-",0)=BF37,$E41,"-")</f>
        <v>Alemania</v>
      </c>
      <c r="BG41" s="58">
        <f t="shared" si="171"/>
        <v>2</v>
      </c>
      <c r="BH41" s="59">
        <f t="shared" si="172"/>
        <v>0</v>
      </c>
      <c r="BI41" s="57"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v>
      </c>
      <c r="CA41" s="58">
        <f t="shared" si="173"/>
        <v>2</v>
      </c>
      <c r="CB41" s="59">
        <f t="shared" si="174"/>
        <v>0</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5">
      <c r="A42" s="38" t="s">
        <v>150</v>
      </c>
      <c r="B42" s="39">
        <v>46193</v>
      </c>
      <c r="C42" s="40"/>
      <c r="D42" s="41"/>
      <c r="E42" s="42" t="s">
        <v>67</v>
      </c>
      <c r="F42" s="43">
        <v>2</v>
      </c>
      <c r="G42" s="43">
        <v>0</v>
      </c>
      <c r="H42" s="44" t="s">
        <v>93</v>
      </c>
      <c r="J42" s="24" t="str">
        <f t="shared" si="175"/>
        <v>Ecuador</v>
      </c>
      <c r="K42" s="24" t="str">
        <f t="shared" si="176"/>
        <v/>
      </c>
      <c r="L42" s="24" t="str">
        <f t="shared" si="177"/>
        <v/>
      </c>
      <c r="M42" s="24" t="str">
        <f t="shared" si="178"/>
        <v>Curazao</v>
      </c>
      <c r="O42" s="26" t="str">
        <f>+H40</f>
        <v>Ecuador</v>
      </c>
      <c r="P42" s="24">
        <f>+COUNTIF(J39:J44,"="&amp;$O42)</f>
        <v>2</v>
      </c>
      <c r="Q42" s="24">
        <f>+COUNTIF(K39:L44,"="&amp;$O42)</f>
        <v>1</v>
      </c>
      <c r="R42" s="24">
        <f>+COUNTIF(M39:M44,"="&amp;$O42)</f>
        <v>0</v>
      </c>
      <c r="S42" s="24">
        <f t="shared" si="179"/>
        <v>3</v>
      </c>
      <c r="T42" s="24">
        <f t="shared" ref="T42" si="210">+SUMIF(E39:E44,$O42,F39:F44)+SUMIF(H39:H44,$O42,G39:G44)</f>
        <v>6</v>
      </c>
      <c r="U42" s="24">
        <f t="shared" ref="U42" si="211">+SUMIF(E39:E44,$O42,G39:G44)+SUMIF(H39:H44,$O42,F39:F44)</f>
        <v>3</v>
      </c>
      <c r="V42" s="45">
        <f t="shared" si="182"/>
        <v>7.3036042000000005</v>
      </c>
      <c r="W42" s="26" t="str">
        <f t="shared" si="183"/>
        <v>Ecuador</v>
      </c>
      <c r="Y42" s="74" t="str">
        <f>+CONCATENATE("4",RIGHT(E38,1))</f>
        <v>4E</v>
      </c>
      <c r="Z42" s="75" t="str">
        <f>+VLOOKUP(AL42,V39:W42,2,FALSE)</f>
        <v>Curazao</v>
      </c>
      <c r="AA42" s="76">
        <f t="shared" si="184"/>
        <v>3</v>
      </c>
      <c r="AB42" s="77">
        <f t="shared" si="170"/>
        <v>0</v>
      </c>
      <c r="AC42" s="77">
        <f t="shared" si="170"/>
        <v>0</v>
      </c>
      <c r="AD42" s="77">
        <f t="shared" si="170"/>
        <v>3</v>
      </c>
      <c r="AE42" s="77">
        <f t="shared" si="170"/>
        <v>-8</v>
      </c>
      <c r="AF42" s="77">
        <f t="shared" si="170"/>
        <v>0</v>
      </c>
      <c r="AG42" s="77">
        <f t="shared" si="170"/>
        <v>8</v>
      </c>
      <c r="AH42" s="78">
        <f>+VLOOKUP($Z42,$O$39:$V$42,COLUMN()-26,FALSE)</f>
        <v>-7.9959999999999996E-3</v>
      </c>
      <c r="AI42" s="73"/>
      <c r="AL42" s="45">
        <f>+LARGE(V39:V42,4)</f>
        <v>-7.9959999999999996E-3</v>
      </c>
      <c r="AM42" s="52">
        <f t="shared" si="185"/>
        <v>0</v>
      </c>
      <c r="AP42" s="53" t="str">
        <f>+O42</f>
        <v>Ecuador</v>
      </c>
      <c r="AQ42" s="23">
        <f>+P42*3+Q42*1+BT42+CN42+S42/1000+T42/10000</f>
        <v>7.3036000000000003</v>
      </c>
      <c r="AS42" s="54">
        <f t="shared" si="186"/>
        <v>0</v>
      </c>
      <c r="AT42" s="54">
        <f>+IF(AND(AM43="si",OR(AR39=1,AR40=1,AR41=1)),1,0)</f>
        <v>0</v>
      </c>
      <c r="AU42" s="79" t="str">
        <f t="shared" si="187"/>
        <v>Ecuador</v>
      </c>
      <c r="AV42" s="80"/>
      <c r="AX42" s="23" t="str">
        <f>+Y38</f>
        <v>Grupo E</v>
      </c>
      <c r="AY42" s="24" t="str">
        <f t="shared" si="188"/>
        <v>Ecuador</v>
      </c>
      <c r="AZ42" s="29">
        <f t="shared" si="189"/>
        <v>7</v>
      </c>
      <c r="BA42" s="29">
        <f>+COUNTIFS($AX$1:AX42,AX42,$AZ$1:AZ42,AZ42)</f>
        <v>2</v>
      </c>
      <c r="BB42" s="29">
        <f>+IF(AZ42=BF37,ROW()*0.001,AZ42)</f>
        <v>4.2000000000000003E-2</v>
      </c>
      <c r="BC42" s="29">
        <f>+COUNTIFS($AX$1:AZ42,AZ42,$AZ$1:BB42,BB42)</f>
        <v>1</v>
      </c>
      <c r="BD42" s="29"/>
      <c r="BE42" s="25" t="str">
        <f>+IF(OR(BF42="-",BI42="-",BF37=0),"-","OK")</f>
        <v>-</v>
      </c>
      <c r="BF42" s="57" t="str">
        <f>+IF(_xlfn.XLOOKUP($E42,$AY:$AY,$AZ:$AZ,"-",0)=BF37,$E42,"-")</f>
        <v>Ecuador</v>
      </c>
      <c r="BG42" s="58">
        <f t="shared" si="171"/>
        <v>2</v>
      </c>
      <c r="BH42" s="59">
        <f t="shared" si="172"/>
        <v>0</v>
      </c>
      <c r="BI42" s="57" t="str">
        <f>+IF(_xlfn.XLOOKUP($H42,$AY:$AY,$AZ:$AZ,"-",0)=BF37,$H42,"-")</f>
        <v>-</v>
      </c>
      <c r="BK42" s="26" t="str">
        <f t="shared" si="190"/>
        <v>Ecuador</v>
      </c>
      <c r="BL42" s="26">
        <f t="shared" si="191"/>
        <v>1</v>
      </c>
      <c r="BM42" s="24">
        <f t="shared" si="192"/>
        <v>0</v>
      </c>
      <c r="BN42" s="24">
        <f t="shared" si="193"/>
        <v>1</v>
      </c>
      <c r="BO42" s="24">
        <f t="shared" si="194"/>
        <v>0</v>
      </c>
      <c r="BP42" s="24">
        <f t="shared" si="195"/>
        <v>0</v>
      </c>
      <c r="BQ42" s="24">
        <f>+SUMIFS(BG:BG,$BE:$BE,"OK",BF:BF,$BK42)+SUMIFS(BH:BH,$BE:$BE,"OK",BI:BI,$BK42)</f>
        <v>2</v>
      </c>
      <c r="BR42" s="24">
        <f t="shared" si="196"/>
        <v>2</v>
      </c>
      <c r="BS42" s="60">
        <f t="shared" si="197"/>
        <v>1.0002</v>
      </c>
      <c r="BT42" s="29">
        <f>+IF(BL42=0,0,_xlfn.XLOOKUP(BS42,BV39:BV42,BW39:BW42))</f>
        <v>0.3</v>
      </c>
      <c r="BU42" s="45"/>
      <c r="BV42" s="24">
        <f>+LARGE(BS39:BS42,4)</f>
        <v>0</v>
      </c>
      <c r="BW42" s="24">
        <f>+BX42/$BW$1</f>
        <v>0</v>
      </c>
      <c r="BX42" s="23">
        <v>0</v>
      </c>
      <c r="BY42" s="25" t="str">
        <f t="shared" si="198"/>
        <v>-</v>
      </c>
      <c r="BZ42" s="57" t="str">
        <f>+IF(_xlfn.XLOOKUP($E42,$AY:$AY,$AZ:$AZ,"-",0)=BZ37,$E42,"-")</f>
        <v>-</v>
      </c>
      <c r="CA42" s="58">
        <f t="shared" si="173"/>
        <v>2</v>
      </c>
      <c r="CB42" s="59">
        <f t="shared" si="174"/>
        <v>0</v>
      </c>
      <c r="CC42" s="57" t="str">
        <f>+IF(_xlfn.XLOOKUP($H42,$AY:$AY,$AZ:$AZ,"-",0)=BZ37,$H42,"-")</f>
        <v>Curazao</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5">
      <c r="A43" s="38" t="s">
        <v>151</v>
      </c>
      <c r="B43" s="39">
        <v>46198</v>
      </c>
      <c r="C43" s="40"/>
      <c r="D43" s="41"/>
      <c r="E43" s="42" t="s">
        <v>67</v>
      </c>
      <c r="F43" s="43">
        <v>2</v>
      </c>
      <c r="G43" s="43">
        <v>2</v>
      </c>
      <c r="H43" s="44" t="s">
        <v>56</v>
      </c>
      <c r="J43" s="24" t="str">
        <f t="shared" si="175"/>
        <v/>
      </c>
      <c r="K43" s="24" t="str">
        <f t="shared" si="176"/>
        <v>Ecuador</v>
      </c>
      <c r="L43" s="24" t="str">
        <f t="shared" si="177"/>
        <v>Alemania</v>
      </c>
      <c r="M43" s="24" t="str">
        <f t="shared" si="178"/>
        <v/>
      </c>
      <c r="AL43" s="25" t="s">
        <v>122</v>
      </c>
      <c r="AM43" s="52" t="str">
        <f>+IF(SUM(AA39:AA42)=12,"si","no")</f>
        <v>si</v>
      </c>
      <c r="BE43" s="25" t="str">
        <f>+IF(OR(BF43="-",BI43="-",BF37=0),"-","OK")</f>
        <v>OK</v>
      </c>
      <c r="BF43" s="57" t="str">
        <f>+IF(_xlfn.XLOOKUP($E43,$AY:$AY,$AZ:$AZ,"-",0)=BF37,$E43,"-")</f>
        <v>Ecuador</v>
      </c>
      <c r="BG43" s="58">
        <f t="shared" si="171"/>
        <v>2</v>
      </c>
      <c r="BH43" s="59">
        <f t="shared" si="172"/>
        <v>2</v>
      </c>
      <c r="BI43" s="57" t="str">
        <f>+IF(_xlfn.XLOOKUP($H43,$AY:$AY,$AZ:$AZ,"-",0)=BF37,$H43,"-")</f>
        <v>Alemania</v>
      </c>
      <c r="BY43" s="25" t="str">
        <f t="shared" si="198"/>
        <v>-</v>
      </c>
      <c r="BZ43" s="57" t="str">
        <f>+IF(_xlfn.XLOOKUP($E43,$AY:$AY,$AZ:$AZ,"-",0)=BZ37,$E43,"-")</f>
        <v>-</v>
      </c>
      <c r="CA43" s="58">
        <f t="shared" si="173"/>
        <v>2</v>
      </c>
      <c r="CB43" s="59">
        <f t="shared" si="174"/>
        <v>2</v>
      </c>
      <c r="CC43" s="57" t="str">
        <f>+IF(_xlfn.XLOOKUP($H43,$AY:$AY,$AZ:$AZ,"-",0)=BZ37,$H43,"-")</f>
        <v>-</v>
      </c>
    </row>
    <row r="44" spans="1:102" x14ac:dyDescent="0.25">
      <c r="A44" s="38" t="s">
        <v>152</v>
      </c>
      <c r="B44" s="39">
        <v>46198</v>
      </c>
      <c r="C44" s="40"/>
      <c r="D44" s="41"/>
      <c r="E44" s="42" t="s">
        <v>93</v>
      </c>
      <c r="F44" s="43">
        <v>0</v>
      </c>
      <c r="G44" s="43">
        <v>2</v>
      </c>
      <c r="H44" s="44" t="s">
        <v>78</v>
      </c>
      <c r="J44" s="24" t="str">
        <f t="shared" si="175"/>
        <v>Costa de Marfil</v>
      </c>
      <c r="K44" s="24" t="str">
        <f t="shared" si="176"/>
        <v/>
      </c>
      <c r="L44" s="24" t="str">
        <f t="shared" si="177"/>
        <v/>
      </c>
      <c r="M44" s="24" t="str">
        <f t="shared" si="178"/>
        <v>Curazao</v>
      </c>
      <c r="Y44" s="53" t="s">
        <v>124</v>
      </c>
      <c r="AR44" s="23">
        <f>+IF(AND(AM43="si",OR(AR39=1,AR40=1,AR41=1)),1,0)</f>
        <v>0</v>
      </c>
      <c r="BE44" s="25" t="str">
        <f>+IF(OR(BF44="-",BI44="-",BF37=0),"-","OK")</f>
        <v>-</v>
      </c>
      <c r="BF44" s="57" t="str">
        <f>+IF(_xlfn.XLOOKUP($E44,$AY:$AY,$AZ:$AZ,"-",0)=BF37,$E44,"-")</f>
        <v>-</v>
      </c>
      <c r="BG44" s="58">
        <f t="shared" si="171"/>
        <v>0</v>
      </c>
      <c r="BH44" s="59">
        <f t="shared" si="172"/>
        <v>2</v>
      </c>
      <c r="BI44" s="57" t="str">
        <f>+IF(_xlfn.XLOOKUP($H44,$AY:$AY,$AZ:$AZ,"-",0)=BF37,$H44,"-")</f>
        <v>-</v>
      </c>
      <c r="BY44" s="25" t="str">
        <f t="shared" si="198"/>
        <v>-</v>
      </c>
      <c r="BZ44" s="57" t="str">
        <f>+IF(_xlfn.XLOOKUP($E44,$AY:$AY,$AZ:$AZ,"-",0)=BZ37,$E44,"-")</f>
        <v>Curazao</v>
      </c>
      <c r="CA44" s="58">
        <f t="shared" si="173"/>
        <v>0</v>
      </c>
      <c r="CB44" s="59">
        <f t="shared" si="174"/>
        <v>2</v>
      </c>
      <c r="CC44" s="57" t="str">
        <f>+IF(_xlfn.XLOOKUP($H44,$AY:$AY,$AZ:$AZ,"-",0)=BZ37,$H44,"-")</f>
        <v>-</v>
      </c>
    </row>
    <row r="45" spans="1:102" s="83" customFormat="1" x14ac:dyDescent="0.25">
      <c r="A45" s="81"/>
      <c r="B45" s="82"/>
      <c r="C45" s="81"/>
      <c r="E45" s="84"/>
      <c r="F45" s="81"/>
      <c r="G45" s="81"/>
      <c r="H45" s="85"/>
      <c r="J45" s="81"/>
      <c r="K45" s="81"/>
      <c r="L45" s="81"/>
      <c r="M45" s="81"/>
      <c r="AV45" s="86"/>
      <c r="AW45" s="86"/>
      <c r="BE45" s="81"/>
      <c r="CW45" s="81"/>
      <c r="CX45" s="81"/>
    </row>
    <row r="46" spans="1:102" x14ac:dyDescent="0.25">
      <c r="A46" s="23"/>
      <c r="BF46" s="28" t="str">
        <f>+IF(BA48&gt;1,AZ48,IF(BA49&gt;1,AZ49,IF(BA50&gt;1,AZ50,IF(BA51&gt;1,AZ51,"-"))))</f>
        <v>-</v>
      </c>
      <c r="BW46" s="23">
        <v>10</v>
      </c>
      <c r="BZ46" s="29">
        <f>+IF(BC48&gt;1,BB48,IF(BC49&gt;1,BB49,IF(BC50&gt;1,BB50,IF(BC51&gt;1,BB51,"-"))))</f>
        <v>6</v>
      </c>
      <c r="CQ46" s="23">
        <v>10</v>
      </c>
    </row>
    <row r="47" spans="1:102" x14ac:dyDescent="0.25">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506" t="s">
        <v>153</v>
      </c>
      <c r="Z47" s="507"/>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5">
      <c r="A48" s="38" t="s">
        <v>154</v>
      </c>
      <c r="B48" s="39">
        <v>46190</v>
      </c>
      <c r="C48" s="40"/>
      <c r="D48" s="41"/>
      <c r="E48" s="42" t="s">
        <v>54</v>
      </c>
      <c r="F48" s="43">
        <v>1</v>
      </c>
      <c r="G48" s="43">
        <v>2</v>
      </c>
      <c r="H48" s="44" t="s">
        <v>64</v>
      </c>
      <c r="J48" s="24" t="str">
        <f>IF(OR(ISBLANK(F48),ISBLANK(G48)),"",IF(F48&gt;G48,E48,IF(G48&gt;F48,H48,"")))</f>
        <v>Japon</v>
      </c>
      <c r="K48" s="24" t="str">
        <f>IF(OR(ISBLANK(F48),ISBLANK(G48)),"",IF(F48=G48,E48,""))</f>
        <v/>
      </c>
      <c r="L48" s="24" t="str">
        <f>IF(OR(ISBLANK(F48),ISBLANK(G48)),"",IF(F48=G48,H48,""))</f>
        <v/>
      </c>
      <c r="M48" s="24" t="str">
        <f>IF(OR(ISBLANK(F48),ISBLANK(G48)),"",IF(F48&lt;G48,E48,IF(G48&lt;F48,H48,"")))</f>
        <v>Paises Bajos</v>
      </c>
      <c r="O48" s="26" t="str">
        <f>+E48</f>
        <v>Paises Bajos</v>
      </c>
      <c r="P48" s="24">
        <f>+COUNTIF(J48:J53,"="&amp;$O48)</f>
        <v>2</v>
      </c>
      <c r="Q48" s="24">
        <f>+COUNTIF(K48:L53,"="&amp;$O48)</f>
        <v>0</v>
      </c>
      <c r="R48" s="24">
        <f>+COUNTIF(M48:M53,"="&amp;$O48)</f>
        <v>1</v>
      </c>
      <c r="S48" s="24">
        <f>+T48-U48</f>
        <v>1</v>
      </c>
      <c r="T48" s="24">
        <f t="shared" ref="T48" si="212">+SUMIF(E48:E53,$O48,F48:F53)+SUMIF(H48:H53,$O48,G48:G53)</f>
        <v>5</v>
      </c>
      <c r="U48" s="24">
        <f t="shared" ref="U48" si="213">+SUMIF(E48:E53,$O48,G48:G53)+SUMIF(H48:H53,$O48,F48:F53)</f>
        <v>4</v>
      </c>
      <c r="V48" s="45">
        <f>+P48*3+Q48*1+BT48+CN48+S48/1000+T48/10000+AV48/1000000+ROW()/10000000</f>
        <v>6.0015048000000002</v>
      </c>
      <c r="W48" s="26" t="str">
        <f>+O48</f>
        <v>Paises Bajos</v>
      </c>
      <c r="Y48" s="46" t="str">
        <f>+CONCATENATE("1",RIGHT(E47,1))</f>
        <v>1F</v>
      </c>
      <c r="Z48" s="47" t="str">
        <f>+VLOOKUP(AL48,V48:W51,2,FALSE)</f>
        <v>Japon</v>
      </c>
      <c r="AA48" s="48">
        <f>+SUM(AB48:AD48)</f>
        <v>3</v>
      </c>
      <c r="AB48" s="49">
        <f t="shared" ref="AB48:AG51" si="214">+VLOOKUP($Z48,$O$48:$U$51,COLUMN()-26,FALSE)</f>
        <v>2</v>
      </c>
      <c r="AC48" s="49">
        <f t="shared" si="214"/>
        <v>1</v>
      </c>
      <c r="AD48" s="49">
        <f t="shared" si="214"/>
        <v>0</v>
      </c>
      <c r="AE48" s="49">
        <f t="shared" si="214"/>
        <v>3</v>
      </c>
      <c r="AF48" s="49">
        <f t="shared" si="214"/>
        <v>7</v>
      </c>
      <c r="AG48" s="49">
        <f t="shared" si="214"/>
        <v>4</v>
      </c>
      <c r="AH48" s="50">
        <f>+VLOOKUP($Z48,$O$48:$V$51,COLUMN()-26,FALSE)</f>
        <v>7.0037049000000007</v>
      </c>
      <c r="AI48" s="51"/>
      <c r="AL48" s="45">
        <f>+LARGE(V48:V51,1)</f>
        <v>7.0037049000000007</v>
      </c>
      <c r="AM48" s="52">
        <f>+(AH48-AL48)*100000000000000000000</f>
        <v>0</v>
      </c>
      <c r="AP48" s="53" t="str">
        <f>+O48</f>
        <v>Paises Bajos</v>
      </c>
      <c r="AQ48" s="23">
        <f>+P48*3+Q48*1+BT48+CN48+S48/1000+T48/10000</f>
        <v>6.0015000000000001</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6</v>
      </c>
      <c r="BA48" s="29">
        <f>+COUNTIFS($AX$1:AX48,AX48,$AZ$1:AZ48,AZ48)</f>
        <v>1</v>
      </c>
      <c r="BB48" s="29">
        <f>+IF(AZ48=BF46,ROW()*0.001,AZ48)</f>
        <v>6</v>
      </c>
      <c r="BC48" s="29">
        <f>+COUNTIFS($AX$1:AZ48,AZ48,$AZ$1:BB48,BB48)</f>
        <v>2</v>
      </c>
      <c r="BD48" s="29"/>
      <c r="BE48" s="25" t="str">
        <f>+IF(OR(BF48="-",BI48="-",BF46=0),"-","OK")</f>
        <v>-</v>
      </c>
      <c r="BF48" s="57" t="str">
        <f>+IF(_xlfn.XLOOKUP($E48,$AY:$AY,$AZ:$AZ,"-",0)=BF46,$E48,"-")</f>
        <v>-</v>
      </c>
      <c r="BG48" s="58">
        <f t="shared" ref="BG48:BG53" si="215">+$F48</f>
        <v>1</v>
      </c>
      <c r="BH48" s="59">
        <f t="shared" ref="BH48:BH53" si="216">+$G48</f>
        <v>2</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0</v>
      </c>
      <c r="BW48" s="24">
        <f>+BX48/$BW$1</f>
        <v>0.3</v>
      </c>
      <c r="BX48" s="23">
        <v>3</v>
      </c>
      <c r="BY48" s="25" t="str">
        <f>+IF(OR(BZ48="-",CC48="-"),"-","OK")</f>
        <v>-</v>
      </c>
      <c r="BZ48" s="57" t="str">
        <f>+IF(_xlfn.XLOOKUP($E48,$AY:$AY,$AZ:$AZ,"-",0)=BZ46,$E48,"-")</f>
        <v>Paises Bajos</v>
      </c>
      <c r="CA48" s="58">
        <f t="shared" ref="CA48:CA53" si="217">+$F48</f>
        <v>1</v>
      </c>
      <c r="CB48" s="59">
        <f t="shared" ref="CB48:CB53" si="218">+$G48</f>
        <v>2</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5">
      <c r="A49" s="38" t="s">
        <v>155</v>
      </c>
      <c r="B49" s="39">
        <v>46187</v>
      </c>
      <c r="C49" s="40"/>
      <c r="D49" s="41"/>
      <c r="E49" s="42" t="s">
        <v>70</v>
      </c>
      <c r="F49" s="43">
        <v>2</v>
      </c>
      <c r="G49" s="43">
        <v>0</v>
      </c>
      <c r="H49" s="44" t="s">
        <v>81</v>
      </c>
      <c r="J49" s="24" t="str">
        <f t="shared" ref="J49:J53" si="219">IF(OR(ISBLANK(F49),ISBLANK(G49)),"",IF(F49&gt;G49,E49,IF(G49&gt;F49,H49,"")))</f>
        <v>Suecia</v>
      </c>
      <c r="K49" s="24" t="str">
        <f t="shared" ref="K49:K53" si="220">IF(OR(ISBLANK(F49),ISBLANK(G49)),"",IF(F49=G49,E49,""))</f>
        <v/>
      </c>
      <c r="L49" s="24" t="str">
        <f t="shared" ref="L49:L53" si="221">IF(OR(ISBLANK(F49),ISBLANK(G49)),"",IF(F49=G49,H49,""))</f>
        <v/>
      </c>
      <c r="M49" s="24" t="str">
        <f t="shared" ref="M49:M53" si="222">IF(OR(ISBLANK(F49),ISBLANK(G49)),"",IF(F49&lt;G49,E49,IF(G49&lt;F49,H49,"")))</f>
        <v>Tunez</v>
      </c>
      <c r="O49" s="26" t="str">
        <f>+H48</f>
        <v>Japon</v>
      </c>
      <c r="P49" s="24">
        <f>+COUNTIF(J48:J53,"="&amp;$O49)</f>
        <v>2</v>
      </c>
      <c r="Q49" s="24">
        <f>+COUNTIF(K48:L53,"="&amp;$O49)</f>
        <v>1</v>
      </c>
      <c r="R49" s="24">
        <f>+COUNTIF(M48:M53,"="&amp;$O49)</f>
        <v>0</v>
      </c>
      <c r="S49" s="24">
        <f t="shared" ref="S49:S51" si="223">+T49-U49</f>
        <v>3</v>
      </c>
      <c r="T49" s="24">
        <f t="shared" ref="T49" si="224">+SUMIF(E48:E53,$O49,F48:F53)+SUMIF(H48:H53,$O49,G48:G53)</f>
        <v>7</v>
      </c>
      <c r="U49" s="24">
        <f t="shared" ref="U49" si="225">+SUMIF(E48:E53,$O49,G48:G53)+SUMIF(H48:H53,$O49,F48:F53)</f>
        <v>4</v>
      </c>
      <c r="V49" s="45">
        <f t="shared" ref="V49:V51" si="226">+P49*3+Q49*1+BT49+CN49+S49/1000+T49/10000+AV49/1000000+ROW()/10000000</f>
        <v>7.0037049000000007</v>
      </c>
      <c r="W49" s="26" t="str">
        <f t="shared" ref="W49:W51" si="227">+O49</f>
        <v>Japon</v>
      </c>
      <c r="Y49" s="61" t="str">
        <f>+CONCATENATE("2",RIGHT(E47,1))</f>
        <v>2F</v>
      </c>
      <c r="Z49" s="62" t="str">
        <f>+VLOOKUP(AL49,V48:W51,2,FALSE)</f>
        <v>Paises Bajos</v>
      </c>
      <c r="AA49" s="63">
        <f t="shared" ref="AA49:AA51" si="228">+SUM(AB49:AD49)</f>
        <v>3</v>
      </c>
      <c r="AB49" s="64">
        <f t="shared" si="214"/>
        <v>2</v>
      </c>
      <c r="AC49" s="64">
        <f t="shared" si="214"/>
        <v>0</v>
      </c>
      <c r="AD49" s="64">
        <f t="shared" si="214"/>
        <v>1</v>
      </c>
      <c r="AE49" s="64">
        <f t="shared" si="214"/>
        <v>1</v>
      </c>
      <c r="AF49" s="64">
        <f t="shared" si="214"/>
        <v>5</v>
      </c>
      <c r="AG49" s="64">
        <f t="shared" si="214"/>
        <v>4</v>
      </c>
      <c r="AH49" s="65">
        <f>+VLOOKUP($Z49,$O$48:$V$51,COLUMN()-26,FALSE)</f>
        <v>6.0015048000000002</v>
      </c>
      <c r="AI49" s="51"/>
      <c r="AL49" s="45">
        <f>+LARGE(V48:V51,2)</f>
        <v>6.0015048000000002</v>
      </c>
      <c r="AM49" s="52">
        <f t="shared" ref="AM49:AM51" si="229">+(AH49-AL49)*100000000000000000000</f>
        <v>0</v>
      </c>
      <c r="AP49" s="53" t="str">
        <f>+O49</f>
        <v>Japon</v>
      </c>
      <c r="AQ49" s="23">
        <f>+P49*3+Q49*1+BT49+CN49+S49/1000+T49/10000</f>
        <v>7.0037000000000003</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7</v>
      </c>
      <c r="BA49" s="29">
        <f>+COUNTIFS($AX$1:AX49,AX49,$AZ$1:AZ49,AZ49)</f>
        <v>1</v>
      </c>
      <c r="BB49" s="29">
        <f>+IF(AZ49=BF46,ROW()*0.001,AZ49)</f>
        <v>7</v>
      </c>
      <c r="BC49" s="29">
        <f>+COUNTIFS($AX$1:AZ49,AZ49,$AZ$1:BB49,BB49)</f>
        <v>2</v>
      </c>
      <c r="BD49" s="29"/>
      <c r="BE49" s="25" t="str">
        <f>+IF(OR(BF49="-",BI49="-",BF46=0),"-","OK")</f>
        <v>-</v>
      </c>
      <c r="BF49" s="57" t="str">
        <f>+IF(_xlfn.XLOOKUP($E49,$AY:$AY,$AZ:$AZ,"-",0)=BF46,$E49,"-")</f>
        <v>-</v>
      </c>
      <c r="BG49" s="58">
        <f t="shared" si="215"/>
        <v>2</v>
      </c>
      <c r="BH49" s="59">
        <f t="shared" si="216"/>
        <v>0</v>
      </c>
      <c r="BI49" s="57" t="str">
        <f>+IF(_xlfn.XLOOKUP($H49,$AY:$AY,$AZ:$AZ,"-",0)=BF46,$H49,"-")</f>
        <v>-</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2</v>
      </c>
      <c r="CB49" s="59">
        <f t="shared" si="218"/>
        <v>0</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5">
      <c r="A50" s="38" t="s">
        <v>156</v>
      </c>
      <c r="B50" s="39">
        <v>46193</v>
      </c>
      <c r="C50" s="40"/>
      <c r="D50" s="41"/>
      <c r="E50" s="42" t="s">
        <v>54</v>
      </c>
      <c r="F50" s="43">
        <v>2</v>
      </c>
      <c r="G50" s="43">
        <v>1</v>
      </c>
      <c r="H50" s="44" t="s">
        <v>70</v>
      </c>
      <c r="J50" s="24" t="str">
        <f t="shared" si="219"/>
        <v>Paises Bajos</v>
      </c>
      <c r="K50" s="24" t="str">
        <f t="shared" si="220"/>
        <v/>
      </c>
      <c r="L50" s="24" t="str">
        <f t="shared" si="221"/>
        <v/>
      </c>
      <c r="M50" s="24" t="str">
        <f t="shared" si="222"/>
        <v>Suecia</v>
      </c>
      <c r="O50" s="26" t="str">
        <f>+E49</f>
        <v>Suecia</v>
      </c>
      <c r="P50" s="24">
        <f>+COUNTIF(J48:J53,"="&amp;$O50)</f>
        <v>1</v>
      </c>
      <c r="Q50" s="24">
        <f>+COUNTIF(K48:L53,"="&amp;$O50)</f>
        <v>1</v>
      </c>
      <c r="R50" s="24">
        <f>+COUNTIF(M48:M53,"="&amp;$O50)</f>
        <v>1</v>
      </c>
      <c r="S50" s="24">
        <f t="shared" si="223"/>
        <v>1</v>
      </c>
      <c r="T50" s="24">
        <f t="shared" ref="T50" si="252">+SUMIF(E48:E53,$O50,F48:F53)+SUMIF(H48:H53,$O50,G48:G53)</f>
        <v>5</v>
      </c>
      <c r="U50" s="24">
        <f t="shared" ref="U50" si="253">+SUMIF(E48:E53,$O50,G48:G53)+SUMIF(H48:H53,$O50,F48:F53)</f>
        <v>4</v>
      </c>
      <c r="V50" s="45">
        <f t="shared" si="226"/>
        <v>4.0015049999999999</v>
      </c>
      <c r="W50" s="26" t="str">
        <f t="shared" si="227"/>
        <v>Suecia</v>
      </c>
      <c r="Y50" s="68" t="str">
        <f>+CONCATENATE("3",RIGHT(E47,1))</f>
        <v>3F</v>
      </c>
      <c r="Z50" s="69" t="str">
        <f>+VLOOKUP(AL50,V48:W51,2,FALSE)</f>
        <v>Suecia</v>
      </c>
      <c r="AA50" s="70">
        <f t="shared" si="228"/>
        <v>3</v>
      </c>
      <c r="AB50" s="71">
        <f t="shared" si="214"/>
        <v>1</v>
      </c>
      <c r="AC50" s="71">
        <f t="shared" si="214"/>
        <v>1</v>
      </c>
      <c r="AD50" s="71">
        <f t="shared" si="214"/>
        <v>1</v>
      </c>
      <c r="AE50" s="71">
        <f t="shared" si="214"/>
        <v>1</v>
      </c>
      <c r="AF50" s="71">
        <f t="shared" si="214"/>
        <v>5</v>
      </c>
      <c r="AG50" s="71">
        <f t="shared" si="214"/>
        <v>4</v>
      </c>
      <c r="AH50" s="72">
        <f>+VLOOKUP($Z50,$O$48:$V$51,COLUMN()-26,FALSE)</f>
        <v>4.0015049999999999</v>
      </c>
      <c r="AI50" s="73">
        <f>+(COUNTIFS($CV$2:$CV$13,Z50,$CX$2:$CX$13,"IN")+COUNTIFS($CV$2:$CV$13,Z50,$CW$2:$CW$13,"IN"))*IF(SUM(AA48:AA51)=12,1,0)</f>
        <v>1</v>
      </c>
      <c r="AL50" s="45">
        <f>+LARGE(V48:V51,3)</f>
        <v>4.0015049999999999</v>
      </c>
      <c r="AM50" s="52">
        <f t="shared" si="229"/>
        <v>0</v>
      </c>
      <c r="AP50" s="53" t="str">
        <f>+O50</f>
        <v>Suecia</v>
      </c>
      <c r="AQ50" s="23">
        <f>+P50*3+Q50*1+BT50+CN50+S50/1000+T50/10000</f>
        <v>4.0015000000000001</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4</v>
      </c>
      <c r="BA50" s="29">
        <f>+COUNTIFS($AX$1:AX50,AX50,$AZ$1:AZ50,AZ50)</f>
        <v>1</v>
      </c>
      <c r="BB50" s="29">
        <f>+IF(AZ50=BF46,ROW()*0.001,AZ50)</f>
        <v>4</v>
      </c>
      <c r="BC50" s="29">
        <f>+COUNTIFS($AX$1:AZ50,AZ50,$AZ$1:BB50,BB50)</f>
        <v>3</v>
      </c>
      <c r="BD50" s="29"/>
      <c r="BE50" s="25" t="str">
        <f>+IF(OR(BF50="-",BI50="-",BF46=0),"-","OK")</f>
        <v>-</v>
      </c>
      <c r="BF50" s="57" t="str">
        <f>+IF(_xlfn.XLOOKUP($E50,$AY:$AY,$AZ:$AZ,"-",0)=BF46,$E50,"-")</f>
        <v>-</v>
      </c>
      <c r="BG50" s="58">
        <f t="shared" si="215"/>
        <v>2</v>
      </c>
      <c r="BH50" s="59">
        <f t="shared" si="216"/>
        <v>1</v>
      </c>
      <c r="BI50" s="57" t="str">
        <f>+IF(_xlfn.XLOOKUP($H50,$AY:$AY,$AZ:$AZ,"-",0)=BF46,$H50,"-")</f>
        <v>-</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Paises Bajos</v>
      </c>
      <c r="CA50" s="58">
        <f t="shared" si="217"/>
        <v>2</v>
      </c>
      <c r="CB50" s="59">
        <f t="shared" si="218"/>
        <v>1</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5">
      <c r="A51" s="38" t="s">
        <v>157</v>
      </c>
      <c r="B51" s="39">
        <v>46194</v>
      </c>
      <c r="C51" s="40"/>
      <c r="D51" s="41"/>
      <c r="E51" s="42" t="s">
        <v>81</v>
      </c>
      <c r="F51" s="43">
        <v>1</v>
      </c>
      <c r="G51" s="43">
        <v>3</v>
      </c>
      <c r="H51" s="44" t="s">
        <v>64</v>
      </c>
      <c r="J51" s="24" t="str">
        <f t="shared" si="219"/>
        <v>Japon</v>
      </c>
      <c r="K51" s="24" t="str">
        <f t="shared" si="220"/>
        <v/>
      </c>
      <c r="L51" s="24" t="str">
        <f t="shared" si="221"/>
        <v/>
      </c>
      <c r="M51" s="24" t="str">
        <f t="shared" si="222"/>
        <v>Tunez</v>
      </c>
      <c r="O51" s="26" t="str">
        <f>+H49</f>
        <v>Tunez</v>
      </c>
      <c r="P51" s="24">
        <f>+COUNTIF(J48:J53,"="&amp;$O51)</f>
        <v>0</v>
      </c>
      <c r="Q51" s="24">
        <f>+COUNTIF(K48:L53,"="&amp;$O51)</f>
        <v>0</v>
      </c>
      <c r="R51" s="24">
        <f>+COUNTIF(M48:M53,"="&amp;$O51)</f>
        <v>3</v>
      </c>
      <c r="S51" s="24">
        <f t="shared" si="223"/>
        <v>-5</v>
      </c>
      <c r="T51" s="24">
        <f t="shared" ref="T51" si="254">+SUMIF(E48:E53,$O51,F48:F53)+SUMIF(H48:H53,$O51,G48:G53)</f>
        <v>2</v>
      </c>
      <c r="U51" s="24">
        <f t="shared" ref="U51" si="255">+SUMIF(E48:E53,$O51,G48:G53)+SUMIF(H48:H53,$O51,F48:F53)</f>
        <v>7</v>
      </c>
      <c r="V51" s="45">
        <f t="shared" si="226"/>
        <v>-4.7949000000000004E-3</v>
      </c>
      <c r="W51" s="26" t="str">
        <f t="shared" si="227"/>
        <v>Tunez</v>
      </c>
      <c r="Y51" s="74" t="str">
        <f>+CONCATENATE("4",RIGHT(E47,1))</f>
        <v>4F</v>
      </c>
      <c r="Z51" s="75" t="str">
        <f>+VLOOKUP(AL51,V48:W51,2,FALSE)</f>
        <v>Tunez</v>
      </c>
      <c r="AA51" s="76">
        <f t="shared" si="228"/>
        <v>3</v>
      </c>
      <c r="AB51" s="77">
        <f t="shared" si="214"/>
        <v>0</v>
      </c>
      <c r="AC51" s="77">
        <f t="shared" si="214"/>
        <v>0</v>
      </c>
      <c r="AD51" s="77">
        <f t="shared" si="214"/>
        <v>3</v>
      </c>
      <c r="AE51" s="77">
        <f t="shared" si="214"/>
        <v>-5</v>
      </c>
      <c r="AF51" s="77">
        <f t="shared" si="214"/>
        <v>2</v>
      </c>
      <c r="AG51" s="77">
        <f t="shared" si="214"/>
        <v>7</v>
      </c>
      <c r="AH51" s="78">
        <f>+VLOOKUP($Z51,$O$48:$V$51,COLUMN()-26,FALSE)</f>
        <v>-4.7949000000000004E-3</v>
      </c>
      <c r="AI51" s="73"/>
      <c r="AL51" s="45">
        <f>+LARGE(V48:V51,4)</f>
        <v>-4.7949000000000004E-3</v>
      </c>
      <c r="AM51" s="52">
        <f t="shared" si="229"/>
        <v>0</v>
      </c>
      <c r="AP51" s="53" t="str">
        <f>+O51</f>
        <v>Tunez</v>
      </c>
      <c r="AQ51" s="23">
        <f>+P51*3+Q51*1+BT51+CN51+S51/1000+T51/10000</f>
        <v>-4.8000000000000004E-3</v>
      </c>
      <c r="AS51" s="54">
        <f t="shared" si="230"/>
        <v>0</v>
      </c>
      <c r="AT51" s="54">
        <f>+IF(AND(AM52="si",OR(AR48=1,AR49=1,AR50=1)),1,0)</f>
        <v>0</v>
      </c>
      <c r="AU51" s="79" t="str">
        <f t="shared" si="231"/>
        <v>Tunez</v>
      </c>
      <c r="AV51" s="80"/>
      <c r="AX51" s="23" t="str">
        <f>+Y47</f>
        <v>Grupo F</v>
      </c>
      <c r="AY51" s="24" t="str">
        <f t="shared" si="232"/>
        <v>Tunez</v>
      </c>
      <c r="AZ51" s="29">
        <f t="shared" si="233"/>
        <v>0</v>
      </c>
      <c r="BA51" s="29">
        <f>+COUNTIFS($AX$1:AX51,AX51,$AZ$1:AZ51,AZ51)</f>
        <v>1</v>
      </c>
      <c r="BB51" s="29">
        <f>+IF(AZ51=BF46,ROW()*0.001,AZ51)</f>
        <v>0</v>
      </c>
      <c r="BC51" s="29">
        <f>+COUNTIFS($AX$1:AZ51,AZ51,$AZ$1:BB51,BB51)</f>
        <v>5</v>
      </c>
      <c r="BD51" s="29"/>
      <c r="BE51" s="25" t="str">
        <f>+IF(OR(BF51="-",BI51="-",BF46=0),"-","OK")</f>
        <v>-</v>
      </c>
      <c r="BF51" s="57" t="str">
        <f>+IF(_xlfn.XLOOKUP($E51,$AY:$AY,$AZ:$AZ,"-",0)=BF46,$E51,"-")</f>
        <v>-</v>
      </c>
      <c r="BG51" s="58">
        <f t="shared" si="215"/>
        <v>1</v>
      </c>
      <c r="BH51" s="59">
        <f t="shared" si="216"/>
        <v>3</v>
      </c>
      <c r="BI51" s="57" t="str">
        <f>+IF(_xlfn.XLOOKUP($H51,$AY:$AY,$AZ:$AZ,"-",0)=BF46,$H51,"-")</f>
        <v>-</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1</v>
      </c>
      <c r="CB51" s="59">
        <f t="shared" si="218"/>
        <v>3</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5">
      <c r="A52" s="38" t="s">
        <v>158</v>
      </c>
      <c r="B52" s="39">
        <v>46198</v>
      </c>
      <c r="C52" s="40"/>
      <c r="D52" s="41"/>
      <c r="E52" s="42" t="s">
        <v>64</v>
      </c>
      <c r="F52" s="43">
        <v>2</v>
      </c>
      <c r="G52" s="43">
        <v>2</v>
      </c>
      <c r="H52" s="44" t="s">
        <v>70</v>
      </c>
      <c r="J52" s="24" t="str">
        <f t="shared" si="219"/>
        <v/>
      </c>
      <c r="K52" s="24" t="str">
        <f t="shared" si="220"/>
        <v>Japon</v>
      </c>
      <c r="L52" s="24" t="str">
        <f t="shared" si="221"/>
        <v>Suecia</v>
      </c>
      <c r="M52" s="24" t="str">
        <f t="shared" si="222"/>
        <v/>
      </c>
      <c r="AL52" s="25" t="s">
        <v>122</v>
      </c>
      <c r="AM52" s="52" t="str">
        <f>+IF(SUM(AA48:AA51)=12,"si","no")</f>
        <v>si</v>
      </c>
      <c r="BE52" s="25" t="str">
        <f>+IF(OR(BF52="-",BI52="-",BF46=0),"-","OK")</f>
        <v>-</v>
      </c>
      <c r="BF52" s="57" t="str">
        <f>+IF(_xlfn.XLOOKUP($E52,$AY:$AY,$AZ:$AZ,"-",0)=BF46,$E52,"-")</f>
        <v>-</v>
      </c>
      <c r="BG52" s="58">
        <f t="shared" si="215"/>
        <v>2</v>
      </c>
      <c r="BH52" s="59">
        <f t="shared" si="216"/>
        <v>2</v>
      </c>
      <c r="BI52" s="57" t="str">
        <f>+IF(_xlfn.XLOOKUP($H52,$AY:$AY,$AZ:$AZ,"-",0)=BF46,$H52,"-")</f>
        <v>-</v>
      </c>
      <c r="BY52" s="25" t="str">
        <f t="shared" si="242"/>
        <v>-</v>
      </c>
      <c r="BZ52" s="57" t="str">
        <f>+IF(_xlfn.XLOOKUP($E52,$AY:$AY,$AZ:$AZ,"-",0)=BZ46,$E52,"-")</f>
        <v>-</v>
      </c>
      <c r="CA52" s="58">
        <f t="shared" si="217"/>
        <v>2</v>
      </c>
      <c r="CB52" s="59">
        <f t="shared" si="218"/>
        <v>2</v>
      </c>
      <c r="CC52" s="57" t="str">
        <f>+IF(_xlfn.XLOOKUP($H52,$AY:$AY,$AZ:$AZ,"-",0)=BZ46,$H52,"-")</f>
        <v>-</v>
      </c>
    </row>
    <row r="53" spans="1:102" x14ac:dyDescent="0.25">
      <c r="A53" s="38" t="s">
        <v>159</v>
      </c>
      <c r="B53" s="39">
        <v>46198</v>
      </c>
      <c r="C53" s="40"/>
      <c r="D53" s="41"/>
      <c r="E53" s="42" t="s">
        <v>81</v>
      </c>
      <c r="F53" s="43">
        <v>1</v>
      </c>
      <c r="G53" s="43">
        <v>2</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v>
      </c>
      <c r="BG53" s="58">
        <f t="shared" si="215"/>
        <v>1</v>
      </c>
      <c r="BH53" s="59">
        <f t="shared" si="216"/>
        <v>2</v>
      </c>
      <c r="BI53" s="57" t="str">
        <f>+IF(_xlfn.XLOOKUP($H53,$AY:$AY,$AZ:$AZ,"-",0)=BF46,$H53,"-")</f>
        <v>-</v>
      </c>
      <c r="BY53" s="25" t="str">
        <f t="shared" si="242"/>
        <v>-</v>
      </c>
      <c r="BZ53" s="57" t="str">
        <f>+IF(_xlfn.XLOOKUP($E53,$AY:$AY,$AZ:$AZ,"-",0)=BZ46,$E53,"-")</f>
        <v>-</v>
      </c>
      <c r="CA53" s="58">
        <f t="shared" si="217"/>
        <v>1</v>
      </c>
      <c r="CB53" s="59">
        <f t="shared" si="218"/>
        <v>2</v>
      </c>
      <c r="CC53" s="57" t="str">
        <f>+IF(_xlfn.XLOOKUP($H53,$AY:$AY,$AZ:$AZ,"-",0)=BZ46,$H53,"-")</f>
        <v>Paises Bajos</v>
      </c>
    </row>
    <row r="54" spans="1:102" s="83" customFormat="1" x14ac:dyDescent="0.25">
      <c r="A54" s="81"/>
      <c r="B54" s="82"/>
      <c r="C54" s="81"/>
      <c r="E54" s="84"/>
      <c r="F54" s="81"/>
      <c r="G54" s="81"/>
      <c r="H54" s="85"/>
      <c r="J54" s="81"/>
      <c r="K54" s="81"/>
      <c r="L54" s="81"/>
      <c r="M54" s="81"/>
      <c r="AV54" s="86"/>
      <c r="AW54" s="86"/>
      <c r="BE54" s="81"/>
      <c r="CW54" s="81"/>
      <c r="CX54" s="81"/>
    </row>
    <row r="55" spans="1:102" x14ac:dyDescent="0.25">
      <c r="A55" s="23"/>
      <c r="BF55" s="28" t="str">
        <f>+IF(BA57&gt;1,AZ57,IF(BA58&gt;1,AZ58,IF(BA59&gt;1,AZ59,IF(BA60&gt;1,AZ60,"-"))))</f>
        <v>-</v>
      </c>
      <c r="BW55" s="23">
        <v>10</v>
      </c>
      <c r="BZ55" s="29">
        <f>+IF(BC57&gt;1,BB57,IF(BC58&gt;1,BB58,IF(BC59&gt;1,BB59,IF(BC60&gt;1,BB60,"-"))))</f>
        <v>5</v>
      </c>
      <c r="CQ55" s="23">
        <v>10</v>
      </c>
    </row>
    <row r="56" spans="1:102" x14ac:dyDescent="0.25">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496" t="s">
        <v>160</v>
      </c>
      <c r="Z56" s="497"/>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5">
      <c r="A57" s="38" t="s">
        <v>161</v>
      </c>
      <c r="B57" s="39">
        <v>46188</v>
      </c>
      <c r="C57" s="40"/>
      <c r="D57" s="41"/>
      <c r="E57" s="42" t="s">
        <v>86</v>
      </c>
      <c r="F57" s="43">
        <v>1</v>
      </c>
      <c r="G57" s="43">
        <v>0</v>
      </c>
      <c r="H57" s="44" t="s">
        <v>95</v>
      </c>
      <c r="J57" s="24" t="str">
        <f>IF(OR(ISBLANK(F57),ISBLANK(G57)),"",IF(F57&gt;G57,E57,IF(G57&gt;F57,H57,"")))</f>
        <v>Iran</v>
      </c>
      <c r="K57" s="24" t="str">
        <f>IF(OR(ISBLANK(F57),ISBLANK(G57)),"",IF(F57=G57,E57,""))</f>
        <v/>
      </c>
      <c r="L57" s="24" t="str">
        <f>IF(OR(ISBLANK(F57),ISBLANK(G57)),"",IF(F57=G57,H57,""))</f>
        <v/>
      </c>
      <c r="M57" s="24" t="str">
        <f>IF(OR(ISBLANK(F57),ISBLANK(G57)),"",IF(F57&lt;G57,E57,IF(G57&lt;F57,H57,"")))</f>
        <v>Nueva Zelanda</v>
      </c>
      <c r="O57" s="26" t="str">
        <f>+E57</f>
        <v>Iran</v>
      </c>
      <c r="P57" s="24">
        <f>+COUNTIF(J57:J62,"="&amp;$O57)</f>
        <v>1</v>
      </c>
      <c r="Q57" s="24">
        <f>+COUNTIF(K57:L62,"="&amp;$O57)</f>
        <v>2</v>
      </c>
      <c r="R57" s="24">
        <f>+COUNTIF(M57:M62,"="&amp;$O57)</f>
        <v>0</v>
      </c>
      <c r="S57" s="24">
        <f>+T57-U57</f>
        <v>1</v>
      </c>
      <c r="T57" s="24">
        <f t="shared" ref="T57" si="256">+SUMIF(E57:E62,$O57,F57:F62)+SUMIF(H57:H62,$O57,G57:G62)</f>
        <v>3</v>
      </c>
      <c r="U57" s="24">
        <f t="shared" ref="U57" si="257">+SUMIF(E57:E62,$O57,G57:G62)+SUMIF(H57:H62,$O57,F57:F62)</f>
        <v>2</v>
      </c>
      <c r="V57" s="45">
        <f>+P57*3+Q57*1+BT57+CN57+S57/1000+T57/10000+AV57/1000000+ROW()/10000000</f>
        <v>5.0013057000000005</v>
      </c>
      <c r="W57" s="26" t="str">
        <f>+O57</f>
        <v>Iran</v>
      </c>
      <c r="Y57" s="46" t="str">
        <f>+CONCATENATE("1",RIGHT(E56,1))</f>
        <v>1G</v>
      </c>
      <c r="Z57" s="47" t="str">
        <f>+VLOOKUP(AL57,V57:W60,2,FALSE)</f>
        <v>Belgica</v>
      </c>
      <c r="AA57" s="48">
        <f>+SUM(AB57:AD57)</f>
        <v>3</v>
      </c>
      <c r="AB57" s="49">
        <f t="shared" ref="AB57:AG60" si="258">+VLOOKUP($Z57,$O$57:$U$60,COLUMN()-26,FALSE)</f>
        <v>2</v>
      </c>
      <c r="AC57" s="49">
        <f t="shared" si="258"/>
        <v>1</v>
      </c>
      <c r="AD57" s="49">
        <f t="shared" si="258"/>
        <v>0</v>
      </c>
      <c r="AE57" s="49">
        <f t="shared" si="258"/>
        <v>3</v>
      </c>
      <c r="AF57" s="49">
        <f t="shared" si="258"/>
        <v>5</v>
      </c>
      <c r="AG57" s="49">
        <f t="shared" si="258"/>
        <v>2</v>
      </c>
      <c r="AH57" s="50">
        <f>+VLOOKUP($Z57,$O$57:$V$60,COLUMN()-26,FALSE)</f>
        <v>7.0035058999999995</v>
      </c>
      <c r="AI57" s="51"/>
      <c r="AL57" s="45">
        <f>+LARGE(V57:V60,1)</f>
        <v>7.0035058999999995</v>
      </c>
      <c r="AM57" s="52">
        <f>+(AH57-AL57)*100000000000000000000</f>
        <v>0</v>
      </c>
      <c r="AP57" s="53" t="str">
        <f>+O57</f>
        <v>Iran</v>
      </c>
      <c r="AQ57" s="23">
        <f>+P57*3+Q57*1+BT57+CN57+S57/1000+T57/10000</f>
        <v>5.0013000000000005</v>
      </c>
      <c r="AR57" s="23" t="b">
        <f>+IF(OR(AQ57=AQ58,AQ57=AQ59,AQ57=AQ60),1)</f>
        <v>0</v>
      </c>
      <c r="AS57" s="54">
        <f>+AV57</f>
        <v>0</v>
      </c>
      <c r="AT57" s="54">
        <f>+IF(AND(AM61="si",OR(AR57=1,AR58=1,AR59=1)),1,0)</f>
        <v>0</v>
      </c>
      <c r="AU57" s="55" t="str">
        <f>+O57</f>
        <v>Iran</v>
      </c>
      <c r="AV57" s="56"/>
      <c r="AX57" s="23" t="str">
        <f>+Y56</f>
        <v>Grupo G</v>
      </c>
      <c r="AY57" s="24" t="str">
        <f>+O57</f>
        <v>Iran</v>
      </c>
      <c r="AZ57" s="29">
        <f>+P57*3+Q57</f>
        <v>5</v>
      </c>
      <c r="BA57" s="29">
        <f>+COUNTIFS($AX$1:AX57,AX57,$AZ$1:AZ57,AZ57)</f>
        <v>1</v>
      </c>
      <c r="BB57" s="29">
        <f>+IF(AZ57=BF55,ROW()*0.001,AZ57)</f>
        <v>5</v>
      </c>
      <c r="BC57" s="29">
        <f>+COUNTIFS($AX$1:AZ57,AZ57,$AZ$1:BB57,BB57)</f>
        <v>2</v>
      </c>
      <c r="BD57" s="29"/>
      <c r="BE57" s="25" t="str">
        <f>+IF(OR(BF57="-",BI57="-",BF55=0),"-","OK")</f>
        <v>-</v>
      </c>
      <c r="BF57" s="57" t="str">
        <f>+IF(_xlfn.XLOOKUP($E57,$AY:$AY,$AZ:$AZ,"-",0)=BF55,$E57,"-")</f>
        <v>-</v>
      </c>
      <c r="BG57" s="58">
        <f t="shared" ref="BG57:BG62" si="259">+$F57</f>
        <v>1</v>
      </c>
      <c r="BH57" s="59">
        <f t="shared" ref="BH57:BH62" si="260">+$G57</f>
        <v>0</v>
      </c>
      <c r="BI57" s="57"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0</v>
      </c>
      <c r="BW57" s="24">
        <f>+BX57/$BW$1</f>
        <v>0.3</v>
      </c>
      <c r="BX57" s="23">
        <v>3</v>
      </c>
      <c r="BY57" s="25" t="str">
        <f>+IF(OR(BZ57="-",CC57="-"),"-","OK")</f>
        <v>-</v>
      </c>
      <c r="BZ57" s="57" t="str">
        <f>+IF(_xlfn.XLOOKUP($E57,$AY:$AY,$AZ:$AZ,"-",0)=BZ55,$E57,"-")</f>
        <v>Iran</v>
      </c>
      <c r="CA57" s="58">
        <f t="shared" ref="CA57:CA62" si="261">+$F57</f>
        <v>1</v>
      </c>
      <c r="CB57" s="59">
        <f t="shared" ref="CB57:CB62" si="262">+$G57</f>
        <v>0</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5">
      <c r="A58" s="38" t="s">
        <v>162</v>
      </c>
      <c r="B58" s="39">
        <v>46188</v>
      </c>
      <c r="C58" s="40"/>
      <c r="D58" s="41"/>
      <c r="E58" s="42" t="s">
        <v>55</v>
      </c>
      <c r="F58" s="43">
        <v>2</v>
      </c>
      <c r="G58" s="43">
        <v>1</v>
      </c>
      <c r="H58" s="44" t="s">
        <v>75</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0</v>
      </c>
      <c r="Q58" s="24">
        <f>+COUNTIF(K57:L62,"="&amp;$O58)</f>
        <v>1</v>
      </c>
      <c r="R58" s="24">
        <f>+COUNTIF(M57:M62,"="&amp;$O58)</f>
        <v>2</v>
      </c>
      <c r="S58" s="24">
        <f t="shared" ref="S58:S60" si="267">+T58-U58</f>
        <v>-3</v>
      </c>
      <c r="T58" s="24">
        <f t="shared" ref="T58" si="268">+SUMIF(E57:E62,$O58,F57:F62)+SUMIF(H57:H62,$O58,G57:G62)</f>
        <v>2</v>
      </c>
      <c r="U58" s="24">
        <f t="shared" ref="U58" si="269">+SUMIF(E57:E62,$O58,G57:G62)+SUMIF(H57:H62,$O58,F57:F62)</f>
        <v>5</v>
      </c>
      <c r="V58" s="45">
        <f t="shared" ref="V58:V60" si="270">+P58*3+Q58*1+BT58+CN58+S58/1000+T58/10000+AV58/1000000+ROW()/10000000</f>
        <v>0.99720579999999992</v>
      </c>
      <c r="W58" s="26" t="str">
        <f t="shared" ref="W58:W60" si="271">+O58</f>
        <v>Nueva Zelanda</v>
      </c>
      <c r="Y58" s="61" t="str">
        <f>+CONCATENATE("2",RIGHT(E56,1))</f>
        <v>2G</v>
      </c>
      <c r="Z58" s="62" t="str">
        <f>+VLOOKUP(AL58,V57:W60,2,FALSE)</f>
        <v>Iran</v>
      </c>
      <c r="AA58" s="63">
        <f t="shared" ref="AA58:AA60" si="272">+SUM(AB58:AD58)</f>
        <v>3</v>
      </c>
      <c r="AB58" s="64">
        <f t="shared" si="258"/>
        <v>1</v>
      </c>
      <c r="AC58" s="64">
        <f t="shared" si="258"/>
        <v>2</v>
      </c>
      <c r="AD58" s="64">
        <f t="shared" si="258"/>
        <v>0</v>
      </c>
      <c r="AE58" s="64">
        <f t="shared" si="258"/>
        <v>1</v>
      </c>
      <c r="AF58" s="64">
        <f t="shared" si="258"/>
        <v>3</v>
      </c>
      <c r="AG58" s="64">
        <f t="shared" si="258"/>
        <v>2</v>
      </c>
      <c r="AH58" s="65">
        <f>+VLOOKUP($Z58,$O$57:$V$60,COLUMN()-26,FALSE)</f>
        <v>5.0013057000000005</v>
      </c>
      <c r="AI58" s="51"/>
      <c r="AL58" s="45">
        <f>+LARGE(V57:V60,2)</f>
        <v>5.0013057000000005</v>
      </c>
      <c r="AM58" s="52">
        <f t="shared" ref="AM58:AM60" si="273">+(AH58-AL58)*100000000000000000000</f>
        <v>0</v>
      </c>
      <c r="AP58" s="53" t="str">
        <f>+O58</f>
        <v>Nueva Zelanda</v>
      </c>
      <c r="AQ58" s="23">
        <f>+P58*3+Q58*1+BT58+CN58+S58/1000+T58/10000</f>
        <v>0.99719999999999998</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1</v>
      </c>
      <c r="BA58" s="29">
        <f>+COUNTIFS($AX$1:AX58,AX58,$AZ$1:AZ58,AZ58)</f>
        <v>1</v>
      </c>
      <c r="BB58" s="29">
        <f>+IF(AZ58=BF55,ROW()*0.001,AZ58)</f>
        <v>1</v>
      </c>
      <c r="BC58" s="29">
        <f>+COUNTIFS($AX$1:AZ58,AZ58,$AZ$1:BB58,BB58)</f>
        <v>2</v>
      </c>
      <c r="BD58" s="29"/>
      <c r="BE58" s="25" t="str">
        <f>+IF(OR(BF58="-",BI58="-",BF55=0),"-","OK")</f>
        <v>-</v>
      </c>
      <c r="BF58" s="57" t="str">
        <f>+IF(_xlfn.XLOOKUP($E58,$AY:$AY,$AZ:$AZ,"-",0)=BF55,$E58,"-")</f>
        <v>-</v>
      </c>
      <c r="BG58" s="58">
        <f t="shared" si="259"/>
        <v>2</v>
      </c>
      <c r="BH58" s="59">
        <f t="shared" si="260"/>
        <v>1</v>
      </c>
      <c r="BI58" s="57" t="str">
        <f>+IF(_xlfn.XLOOKUP($H58,$AY:$AY,$AZ:$AZ,"-",0)=BF55,$H58,"-")</f>
        <v>-</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0</v>
      </c>
      <c r="BW58" s="24">
        <f>+BX58/$BW$1</f>
        <v>0.2</v>
      </c>
      <c r="BX58" s="23">
        <v>2</v>
      </c>
      <c r="BY58" s="25" t="str">
        <f t="shared" ref="BY58:BY62" si="286">+IF(OR(BZ58="-",CC58="-"),"-","OK")</f>
        <v>-</v>
      </c>
      <c r="BZ58" s="57" t="str">
        <f>+IF(_xlfn.XLOOKUP($E58,$AY:$AY,$AZ:$AZ,"-",0)=BZ55,$E58,"-")</f>
        <v>-</v>
      </c>
      <c r="CA58" s="58">
        <f t="shared" si="261"/>
        <v>2</v>
      </c>
      <c r="CB58" s="59">
        <f t="shared" si="262"/>
        <v>1</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5">
      <c r="A59" s="38" t="s">
        <v>163</v>
      </c>
      <c r="B59" s="39">
        <v>46194</v>
      </c>
      <c r="C59" s="40"/>
      <c r="D59" s="41"/>
      <c r="E59" s="42" t="s">
        <v>55</v>
      </c>
      <c r="F59" s="43">
        <v>1</v>
      </c>
      <c r="G59" s="43">
        <v>1</v>
      </c>
      <c r="H59" s="44" t="s">
        <v>86</v>
      </c>
      <c r="J59" s="24" t="str">
        <f t="shared" si="263"/>
        <v/>
      </c>
      <c r="K59" s="24" t="str">
        <f t="shared" si="264"/>
        <v>Belgica</v>
      </c>
      <c r="L59" s="24" t="str">
        <f t="shared" si="265"/>
        <v>Iran</v>
      </c>
      <c r="M59" s="24" t="str">
        <f t="shared" si="266"/>
        <v/>
      </c>
      <c r="O59" s="26" t="str">
        <f>+E58</f>
        <v>Belgica</v>
      </c>
      <c r="P59" s="24">
        <f>+COUNTIF(J57:J62,"="&amp;$O59)</f>
        <v>2</v>
      </c>
      <c r="Q59" s="24">
        <f>+COUNTIF(K57:L62,"="&amp;$O59)</f>
        <v>1</v>
      </c>
      <c r="R59" s="24">
        <f>+COUNTIF(M57:M62,"="&amp;$O59)</f>
        <v>0</v>
      </c>
      <c r="S59" s="24">
        <f t="shared" si="267"/>
        <v>3</v>
      </c>
      <c r="T59" s="24">
        <f t="shared" ref="T59" si="296">+SUMIF(E57:E62,$O59,F57:F62)+SUMIF(H57:H62,$O59,G57:G62)</f>
        <v>5</v>
      </c>
      <c r="U59" s="24">
        <f t="shared" ref="U59" si="297">+SUMIF(E57:E62,$O59,G57:G62)+SUMIF(H57:H62,$O59,F57:F62)</f>
        <v>2</v>
      </c>
      <c r="V59" s="45">
        <f t="shared" si="270"/>
        <v>7.0035058999999995</v>
      </c>
      <c r="W59" s="26" t="str">
        <f t="shared" si="271"/>
        <v>Belgica</v>
      </c>
      <c r="Y59" s="68" t="str">
        <f>+CONCATENATE("3",RIGHT(E56,1))</f>
        <v>3G</v>
      </c>
      <c r="Z59" s="69" t="str">
        <f>+VLOOKUP(AL59,V57:W60,2,FALSE)</f>
        <v>Egipto</v>
      </c>
      <c r="AA59" s="70">
        <f t="shared" si="272"/>
        <v>3</v>
      </c>
      <c r="AB59" s="71">
        <f t="shared" si="258"/>
        <v>0</v>
      </c>
      <c r="AC59" s="71">
        <f t="shared" si="258"/>
        <v>2</v>
      </c>
      <c r="AD59" s="71">
        <f t="shared" si="258"/>
        <v>1</v>
      </c>
      <c r="AE59" s="71">
        <f t="shared" si="258"/>
        <v>-1</v>
      </c>
      <c r="AF59" s="71">
        <f t="shared" si="258"/>
        <v>4</v>
      </c>
      <c r="AG59" s="71">
        <f t="shared" si="258"/>
        <v>5</v>
      </c>
      <c r="AH59" s="72">
        <f>+VLOOKUP($Z59,$O$57:$V$60,COLUMN()-26,FALSE)</f>
        <v>1.999406</v>
      </c>
      <c r="AI59" s="73">
        <f>+(COUNTIFS($CV$2:$CV$13,Z59,$CX$2:$CX$13,"IN")+COUNTIFS($CV$2:$CV$13,Z59,$CW$2:$CW$13,"IN"))*IF(SUM(AA57:AA60)=12,1,0)</f>
        <v>0</v>
      </c>
      <c r="AL59" s="45">
        <f>+LARGE(V57:V60,3)</f>
        <v>1.999406</v>
      </c>
      <c r="AM59" s="52">
        <f t="shared" si="273"/>
        <v>0</v>
      </c>
      <c r="AP59" s="53" t="str">
        <f>+O59</f>
        <v>Belgica</v>
      </c>
      <c r="AQ59" s="23">
        <f>+P59*3+Q59*1+BT59+CN59+S59/1000+T59/10000</f>
        <v>7.0034999999999998</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7</v>
      </c>
      <c r="BA59" s="29">
        <f>+COUNTIFS($AX$1:AX59,AX59,$AZ$1:AZ59,AZ59)</f>
        <v>1</v>
      </c>
      <c r="BB59" s="29">
        <f>+IF(AZ59=BF55,ROW()*0.001,AZ59)</f>
        <v>7</v>
      </c>
      <c r="BC59" s="29">
        <f>+COUNTIFS($AX$1:AZ59,AZ59,$AZ$1:BB59,BB59)</f>
        <v>3</v>
      </c>
      <c r="BD59" s="29"/>
      <c r="BE59" s="25" t="str">
        <f>+IF(OR(BF59="-",BI59="-",BF55=0),"-","OK")</f>
        <v>-</v>
      </c>
      <c r="BF59" s="57" t="str">
        <f>+IF(_xlfn.XLOOKUP($E59,$AY:$AY,$AZ:$AZ,"-",0)=BF55,$E59,"-")</f>
        <v>-</v>
      </c>
      <c r="BG59" s="58">
        <f t="shared" si="259"/>
        <v>1</v>
      </c>
      <c r="BH59" s="59">
        <f t="shared" si="260"/>
        <v>1</v>
      </c>
      <c r="BI59" s="57" t="str">
        <f>+IF(_xlfn.XLOOKUP($H59,$AY:$AY,$AZ:$AZ,"-",0)=BF55,$H59,"-")</f>
        <v>-</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1</v>
      </c>
      <c r="CB59" s="59">
        <f t="shared" si="262"/>
        <v>1</v>
      </c>
      <c r="CC59" s="57" t="str">
        <f>+IF(_xlfn.XLOOKUP($H59,$AY:$AY,$AZ:$AZ,"-",0)=BZ55,$H59,"-")</f>
        <v>Iran</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5">
      <c r="A60" s="38" t="s">
        <v>164</v>
      </c>
      <c r="B60" s="39">
        <v>46194</v>
      </c>
      <c r="C60" s="40"/>
      <c r="D60" s="41"/>
      <c r="E60" s="42" t="s">
        <v>95</v>
      </c>
      <c r="F60" s="43">
        <v>2</v>
      </c>
      <c r="G60" s="43">
        <v>2</v>
      </c>
      <c r="H60" s="44" t="s">
        <v>75</v>
      </c>
      <c r="J60" s="24" t="str">
        <f t="shared" si="263"/>
        <v/>
      </c>
      <c r="K60" s="24" t="str">
        <f t="shared" si="264"/>
        <v>Nueva Zelanda</v>
      </c>
      <c r="L60" s="24" t="str">
        <f t="shared" si="265"/>
        <v>Egipto</v>
      </c>
      <c r="M60" s="24" t="str">
        <f t="shared" si="266"/>
        <v/>
      </c>
      <c r="O60" s="26" t="str">
        <f>+H58</f>
        <v>Egipto</v>
      </c>
      <c r="P60" s="24">
        <f>+COUNTIF(J57:J62,"="&amp;$O60)</f>
        <v>0</v>
      </c>
      <c r="Q60" s="24">
        <f>+COUNTIF(K57:L62,"="&amp;$O60)</f>
        <v>2</v>
      </c>
      <c r="R60" s="24">
        <f>+COUNTIF(M57:M62,"="&amp;$O60)</f>
        <v>1</v>
      </c>
      <c r="S60" s="24">
        <f t="shared" si="267"/>
        <v>-1</v>
      </c>
      <c r="T60" s="24">
        <f t="shared" ref="T60" si="298">+SUMIF(E57:E62,$O60,F57:F62)+SUMIF(H57:H62,$O60,G57:G62)</f>
        <v>4</v>
      </c>
      <c r="U60" s="24">
        <f t="shared" ref="U60" si="299">+SUMIF(E57:E62,$O60,G57:G62)+SUMIF(H57:H62,$O60,F57:F62)</f>
        <v>5</v>
      </c>
      <c r="V60" s="45">
        <f t="shared" si="270"/>
        <v>1.999406</v>
      </c>
      <c r="W60" s="26" t="str">
        <f t="shared" si="271"/>
        <v>Egipto</v>
      </c>
      <c r="Y60" s="74" t="str">
        <f>+CONCATENATE("4",RIGHT(E56,1))</f>
        <v>4G</v>
      </c>
      <c r="Z60" s="75" t="str">
        <f>+VLOOKUP(AL60,V57:W60,2,FALSE)</f>
        <v>Nueva Zelanda</v>
      </c>
      <c r="AA60" s="76">
        <f t="shared" si="272"/>
        <v>3</v>
      </c>
      <c r="AB60" s="77">
        <f t="shared" si="258"/>
        <v>0</v>
      </c>
      <c r="AC60" s="77">
        <f t="shared" si="258"/>
        <v>1</v>
      </c>
      <c r="AD60" s="77">
        <f t="shared" si="258"/>
        <v>2</v>
      </c>
      <c r="AE60" s="77">
        <f t="shared" si="258"/>
        <v>-3</v>
      </c>
      <c r="AF60" s="77">
        <f t="shared" si="258"/>
        <v>2</v>
      </c>
      <c r="AG60" s="77">
        <f t="shared" si="258"/>
        <v>5</v>
      </c>
      <c r="AH60" s="78">
        <f>+VLOOKUP($Z60,$O$57:$V$60,COLUMN()-26,FALSE)</f>
        <v>0.99720579999999992</v>
      </c>
      <c r="AI60" s="73"/>
      <c r="AL60" s="45">
        <f>+LARGE(V57:V60,4)</f>
        <v>0.99720579999999992</v>
      </c>
      <c r="AM60" s="52">
        <f t="shared" si="273"/>
        <v>0</v>
      </c>
      <c r="AP60" s="53" t="str">
        <f>+O60</f>
        <v>Egipto</v>
      </c>
      <c r="AQ60" s="23">
        <f>+P60*3+Q60*1+BT60+CN60+S60/1000+T60/10000</f>
        <v>1.9994000000000001</v>
      </c>
      <c r="AS60" s="54">
        <f t="shared" si="274"/>
        <v>0</v>
      </c>
      <c r="AT60" s="54">
        <f>+IF(AND(AM61="si",OR(AR57=1,AR58=1,AR59=1)),1,0)</f>
        <v>0</v>
      </c>
      <c r="AU60" s="79" t="str">
        <f t="shared" si="275"/>
        <v>Egipto</v>
      </c>
      <c r="AV60" s="80"/>
      <c r="AX60" s="23" t="str">
        <f>+Y56</f>
        <v>Grupo G</v>
      </c>
      <c r="AY60" s="24" t="str">
        <f t="shared" si="276"/>
        <v>Egipto</v>
      </c>
      <c r="AZ60" s="29">
        <f t="shared" si="277"/>
        <v>2</v>
      </c>
      <c r="BA60" s="29">
        <f>+COUNTIFS($AX$1:AX60,AX60,$AZ$1:AZ60,AZ60)</f>
        <v>1</v>
      </c>
      <c r="BB60" s="29">
        <f>+IF(AZ60=BF55,ROW()*0.001,AZ60)</f>
        <v>2</v>
      </c>
      <c r="BC60" s="29">
        <f>+COUNTIFS($AX$1:AZ60,AZ60,$AZ$1:BB60,BB60)</f>
        <v>1</v>
      </c>
      <c r="BD60" s="29"/>
      <c r="BE60" s="25" t="str">
        <f>+IF(OR(BF60="-",BI60="-",BF55=0),"-","OK")</f>
        <v>-</v>
      </c>
      <c r="BF60" s="57" t="str">
        <f>+IF(_xlfn.XLOOKUP($E60,$AY:$AY,$AZ:$AZ,"-",0)=BF55,$E60,"-")</f>
        <v>-</v>
      </c>
      <c r="BG60" s="58">
        <f t="shared" si="259"/>
        <v>2</v>
      </c>
      <c r="BH60" s="59">
        <f t="shared" si="260"/>
        <v>2</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2</v>
      </c>
      <c r="CB60" s="59">
        <f t="shared" si="262"/>
        <v>2</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5">
      <c r="A61" s="38" t="s">
        <v>165</v>
      </c>
      <c r="B61" s="39">
        <v>46200</v>
      </c>
      <c r="C61" s="40"/>
      <c r="D61" s="41"/>
      <c r="E61" s="42" t="s">
        <v>95</v>
      </c>
      <c r="F61" s="43">
        <v>0</v>
      </c>
      <c r="G61" s="43">
        <v>2</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v>
      </c>
      <c r="BG61" s="58">
        <f t="shared" si="259"/>
        <v>0</v>
      </c>
      <c r="BH61" s="59">
        <f t="shared" si="260"/>
        <v>2</v>
      </c>
      <c r="BI61" s="57" t="str">
        <f>+IF(_xlfn.XLOOKUP($H61,$AY:$AY,$AZ:$AZ,"-",0)=BF55,$H61,"-")</f>
        <v>-</v>
      </c>
      <c r="BY61" s="25" t="str">
        <f t="shared" si="286"/>
        <v>-</v>
      </c>
      <c r="BZ61" s="57" t="str">
        <f>+IF(_xlfn.XLOOKUP($E61,$AY:$AY,$AZ:$AZ,"-",0)=BZ55,$E61,"-")</f>
        <v>-</v>
      </c>
      <c r="CA61" s="58">
        <f t="shared" si="261"/>
        <v>0</v>
      </c>
      <c r="CB61" s="59">
        <f t="shared" si="262"/>
        <v>2</v>
      </c>
      <c r="CC61" s="57" t="str">
        <f>+IF(_xlfn.XLOOKUP($H61,$AY:$AY,$AZ:$AZ,"-",0)=BZ55,$H61,"-")</f>
        <v>-</v>
      </c>
    </row>
    <row r="62" spans="1:102" x14ac:dyDescent="0.25">
      <c r="A62" s="38" t="s">
        <v>166</v>
      </c>
      <c r="B62" s="39">
        <v>46200</v>
      </c>
      <c r="C62" s="40"/>
      <c r="D62" s="41"/>
      <c r="E62" s="42" t="s">
        <v>75</v>
      </c>
      <c r="F62" s="43">
        <v>1</v>
      </c>
      <c r="G62" s="43">
        <v>1</v>
      </c>
      <c r="H62" s="44" t="s">
        <v>86</v>
      </c>
      <c r="J62" s="24" t="str">
        <f t="shared" si="263"/>
        <v/>
      </c>
      <c r="K62" s="24" t="str">
        <f t="shared" si="264"/>
        <v>Egipto</v>
      </c>
      <c r="L62" s="24" t="str">
        <f t="shared" si="265"/>
        <v>Iran</v>
      </c>
      <c r="M62" s="24" t="str">
        <f t="shared" si="266"/>
        <v/>
      </c>
      <c r="Y62" s="53" t="s">
        <v>124</v>
      </c>
      <c r="AR62" s="23">
        <f>+IF(AND(AM61="si",OR(AR57=1,AR58=1,AR59=1)),1,0)</f>
        <v>0</v>
      </c>
      <c r="BE62" s="25" t="str">
        <f>+IF(OR(BF62="-",BI62="-",BF55=0),"-","OK")</f>
        <v>-</v>
      </c>
      <c r="BF62" s="57" t="str">
        <f>+IF(_xlfn.XLOOKUP($E62,$AY:$AY,$AZ:$AZ,"-",0)=BF55,$E62,"-")</f>
        <v>-</v>
      </c>
      <c r="BG62" s="58">
        <f t="shared" si="259"/>
        <v>1</v>
      </c>
      <c r="BH62" s="59">
        <f t="shared" si="260"/>
        <v>1</v>
      </c>
      <c r="BI62" s="57" t="str">
        <f>+IF(_xlfn.XLOOKUP($H62,$AY:$AY,$AZ:$AZ,"-",0)=BF55,$H62,"-")</f>
        <v>-</v>
      </c>
      <c r="BY62" s="25" t="str">
        <f t="shared" si="286"/>
        <v>-</v>
      </c>
      <c r="BZ62" s="57" t="str">
        <f>+IF(_xlfn.XLOOKUP($E62,$AY:$AY,$AZ:$AZ,"-",0)=BZ55,$E62,"-")</f>
        <v>-</v>
      </c>
      <c r="CA62" s="58">
        <f t="shared" si="261"/>
        <v>1</v>
      </c>
      <c r="CB62" s="59">
        <f t="shared" si="262"/>
        <v>1</v>
      </c>
      <c r="CC62" s="57" t="str">
        <f>+IF(_xlfn.XLOOKUP($H62,$AY:$AY,$AZ:$AZ,"-",0)=BZ55,$H62,"-")</f>
        <v>Iran</v>
      </c>
    </row>
    <row r="63" spans="1:102" s="83" customFormat="1" x14ac:dyDescent="0.25">
      <c r="A63" s="81"/>
      <c r="B63" s="82"/>
      <c r="C63" s="81"/>
      <c r="E63" s="84"/>
      <c r="F63" s="81"/>
      <c r="G63" s="81"/>
      <c r="H63" s="85"/>
      <c r="J63" s="81"/>
      <c r="K63" s="81"/>
      <c r="L63" s="81"/>
      <c r="M63" s="81"/>
      <c r="AV63" s="86"/>
      <c r="AW63" s="86"/>
      <c r="BE63" s="81"/>
      <c r="CW63" s="81"/>
      <c r="CX63" s="81"/>
    </row>
    <row r="64" spans="1:102" x14ac:dyDescent="0.25">
      <c r="A64" s="23"/>
      <c r="BF64" s="28" t="str">
        <f>+IF(BA66&gt;1,AZ66,IF(BA67&gt;1,AZ67,IF(BA68&gt;1,AZ68,IF(BA69&gt;1,AZ69,"-"))))</f>
        <v>-</v>
      </c>
      <c r="BW64" s="23">
        <v>10</v>
      </c>
      <c r="BZ64" s="29">
        <f>+IF(BC66&gt;1,BB66,IF(BC67&gt;1,BB67,IF(BC68&gt;1,BB68,IF(BC69&gt;1,BB69,"-"))))</f>
        <v>9</v>
      </c>
      <c r="CQ64" s="23">
        <v>10</v>
      </c>
    </row>
    <row r="65" spans="1:102" x14ac:dyDescent="0.25">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498" t="s">
        <v>167</v>
      </c>
      <c r="Z65" s="499"/>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5">
      <c r="A66" s="38" t="s">
        <v>168</v>
      </c>
      <c r="B66" s="39">
        <v>46188</v>
      </c>
      <c r="C66" s="40"/>
      <c r="D66" s="41"/>
      <c r="E66" s="42" t="s">
        <v>49</v>
      </c>
      <c r="F66" s="43">
        <v>2</v>
      </c>
      <c r="G66" s="43">
        <v>1</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3</v>
      </c>
      <c r="Q66" s="24">
        <f>+COUNTIF(K66:L71,"="&amp;$O66)</f>
        <v>0</v>
      </c>
      <c r="R66" s="24">
        <f>+COUNTIF(M66:M71,"="&amp;$O66)</f>
        <v>0</v>
      </c>
      <c r="S66" s="24">
        <f>+T66-U66</f>
        <v>4</v>
      </c>
      <c r="T66" s="24">
        <f t="shared" ref="T66" si="300">+SUMIF(E66:E71,$O66,F66:F71)+SUMIF(H66:H71,$O66,G66:G71)</f>
        <v>7</v>
      </c>
      <c r="U66" s="24">
        <f t="shared" ref="U66" si="301">+SUMIF(E66:E71,$O66,G66:G71)+SUMIF(H66:H71,$O66,F66:F71)</f>
        <v>3</v>
      </c>
      <c r="V66" s="45">
        <f>+P66*3+Q66*1+BT66+CN66+S66/1000+T66/10000+AV66/1000000+ROW()/10000000</f>
        <v>9.0047066000000004</v>
      </c>
      <c r="W66" s="26" t="str">
        <f>+O66</f>
        <v>España</v>
      </c>
      <c r="Y66" s="46" t="str">
        <f>+CONCATENATE("1",RIGHT(E65,1))</f>
        <v>1H</v>
      </c>
      <c r="Z66" s="47" t="str">
        <f>+VLOOKUP(AL66,V66:W69,2,FALSE)</f>
        <v>España</v>
      </c>
      <c r="AA66" s="48">
        <f>+SUM(AB66:AD66)</f>
        <v>3</v>
      </c>
      <c r="AB66" s="49">
        <f t="shared" ref="AB66:AG69" si="302">+VLOOKUP($Z66,$O$66:$U$69,COLUMN()-26,FALSE)</f>
        <v>3</v>
      </c>
      <c r="AC66" s="49">
        <f t="shared" si="302"/>
        <v>0</v>
      </c>
      <c r="AD66" s="49">
        <f t="shared" si="302"/>
        <v>0</v>
      </c>
      <c r="AE66" s="49">
        <f t="shared" si="302"/>
        <v>4</v>
      </c>
      <c r="AF66" s="49">
        <f t="shared" si="302"/>
        <v>7</v>
      </c>
      <c r="AG66" s="49">
        <f t="shared" si="302"/>
        <v>3</v>
      </c>
      <c r="AH66" s="50">
        <f>+VLOOKUP($Z66,$O$66:$V$69,COLUMN()-26,FALSE)</f>
        <v>9.0047066000000004</v>
      </c>
      <c r="AI66" s="51"/>
      <c r="AL66" s="45">
        <f>+LARGE(V66:V69,1)</f>
        <v>9.0047066000000004</v>
      </c>
      <c r="AM66" s="52">
        <f>+(AH66-AL66)*100000000000000000000</f>
        <v>0</v>
      </c>
      <c r="AP66" s="53" t="str">
        <f>+O66</f>
        <v>España</v>
      </c>
      <c r="AQ66" s="23">
        <f>+P66*3+Q66*1+BT66+CN66+S66/1000+T66/10000</f>
        <v>9.0046999999999997</v>
      </c>
      <c r="AR66" s="23" t="b">
        <f>+IF(OR(AQ66=AQ67,AQ66=AQ68,AQ66=AQ69),1)</f>
        <v>0</v>
      </c>
      <c r="AS66" s="54">
        <f>+AV66</f>
        <v>0</v>
      </c>
      <c r="AT66" s="54">
        <f>+IF(AND(AM70="si",OR(AR66=1,AR67=1,AR68=1)),1,0)</f>
        <v>0</v>
      </c>
      <c r="AU66" s="55" t="str">
        <f>+O66</f>
        <v>España</v>
      </c>
      <c r="AV66" s="56"/>
      <c r="AX66" s="23" t="str">
        <f>+Y65</f>
        <v>Grupo H</v>
      </c>
      <c r="AY66" s="24" t="str">
        <f>+O66</f>
        <v>España</v>
      </c>
      <c r="AZ66" s="29">
        <f>+P66*3+Q66</f>
        <v>9</v>
      </c>
      <c r="BA66" s="29">
        <f>+COUNTIFS($AX$1:AX66,AX66,$AZ$1:AZ66,AZ66)</f>
        <v>1</v>
      </c>
      <c r="BB66" s="29">
        <f>+IF(AZ66=BF64,ROW()*0.001,AZ66)</f>
        <v>9</v>
      </c>
      <c r="BC66" s="29">
        <f>+COUNTIFS($AX$1:AZ66,AZ66,$AZ$1:BB66,BB66)</f>
        <v>3</v>
      </c>
      <c r="BD66" s="29"/>
      <c r="BE66" s="25" t="str">
        <f>+IF(OR(BF66="-",BI66="-",BF64=0),"-","OK")</f>
        <v>-</v>
      </c>
      <c r="BF66" s="57" t="str">
        <f>+IF(_xlfn.XLOOKUP($E66,$AY:$AY,$AZ:$AZ,"-",0)=BF64,$E66,"-")</f>
        <v>-</v>
      </c>
      <c r="BG66" s="58">
        <f t="shared" ref="BG66:BG71" si="303">+$F66</f>
        <v>2</v>
      </c>
      <c r="BH66" s="59">
        <f t="shared" ref="BH66:BH71" si="304">+$G66</f>
        <v>1</v>
      </c>
      <c r="BI66" s="57" t="str">
        <f>+IF(_xlfn.XLOOKUP($H66,$AY:$AY,$AZ:$AZ,"-",0)=BF64,$H66,"-")</f>
        <v>-</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0</v>
      </c>
      <c r="BW66" s="24">
        <f>+BX66/$BW$1</f>
        <v>0.3</v>
      </c>
      <c r="BX66" s="23">
        <v>3</v>
      </c>
      <c r="BY66" s="25" t="str">
        <f>+IF(OR(BZ66="-",CC66="-"),"-","OK")</f>
        <v>-</v>
      </c>
      <c r="BZ66" s="57" t="str">
        <f>+IF(_xlfn.XLOOKUP($E66,$AY:$AY,$AZ:$AZ,"-",0)=BZ64,$E66,"-")</f>
        <v>España</v>
      </c>
      <c r="CA66" s="58">
        <f t="shared" ref="CA66:CA71" si="305">+$F66</f>
        <v>2</v>
      </c>
      <c r="CB66" s="59">
        <f t="shared" ref="CB66:CB71" si="306">+$G66</f>
        <v>1</v>
      </c>
      <c r="CC66" s="57" t="str">
        <f>+IF(_xlfn.XLOOKUP($H66,$AY:$AY,$AZ:$AZ,"-",0)=BZ64,$H66,"-")</f>
        <v>-</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5">
      <c r="A67" s="38" t="s">
        <v>169</v>
      </c>
      <c r="B67" s="39">
        <v>46188</v>
      </c>
      <c r="C67" s="40"/>
      <c r="D67" s="41"/>
      <c r="E67" s="42" t="s">
        <v>83</v>
      </c>
      <c r="F67" s="43">
        <v>1</v>
      </c>
      <c r="G67" s="43">
        <v>2</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0</v>
      </c>
      <c r="R67" s="24">
        <f>+COUNTIF(M66:M71,"="&amp;$O67)</f>
        <v>3</v>
      </c>
      <c r="S67" s="24">
        <f t="shared" ref="S67:S69" si="311">+T67-U67</f>
        <v>-5</v>
      </c>
      <c r="T67" s="24">
        <f t="shared" ref="T67" si="312">+SUMIF(E66:E71,$O67,F66:F71)+SUMIF(H66:H71,$O67,G66:G71)</f>
        <v>2</v>
      </c>
      <c r="U67" s="24">
        <f t="shared" ref="U67" si="313">+SUMIF(E66:E71,$O67,G66:G71)+SUMIF(H66:H71,$O67,F66:F71)</f>
        <v>7</v>
      </c>
      <c r="V67" s="45">
        <f t="shared" ref="V67:V69" si="314">+P67*3+Q67*1+BT67+CN67+S67/1000+T67/10000+AV67/1000000+ROW()/10000000</f>
        <v>-4.7933000000000003E-3</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0</v>
      </c>
      <c r="AD67" s="64">
        <f t="shared" si="302"/>
        <v>1</v>
      </c>
      <c r="AE67" s="64">
        <f t="shared" si="302"/>
        <v>3</v>
      </c>
      <c r="AF67" s="64">
        <f t="shared" si="302"/>
        <v>7</v>
      </c>
      <c r="AG67" s="64">
        <f t="shared" si="302"/>
        <v>4</v>
      </c>
      <c r="AH67" s="65">
        <f>+VLOOKUP($Z67,$O$66:$V$69,COLUMN()-26,FALSE)</f>
        <v>6.0037069000000001</v>
      </c>
      <c r="AI67" s="51"/>
      <c r="AL67" s="45">
        <f>+LARGE(V66:V69,2)</f>
        <v>6.0037069000000001</v>
      </c>
      <c r="AM67" s="52">
        <f t="shared" ref="AM67:AM69" si="317">+(AH67-AL67)*100000000000000000000</f>
        <v>0</v>
      </c>
      <c r="AP67" s="53" t="str">
        <f>+O67</f>
        <v>Cabo Verde</v>
      </c>
      <c r="AQ67" s="23">
        <f>+P67*3+Q67*1+BT67+CN67+S67/1000+T67/10000</f>
        <v>-4.8000000000000004E-3</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0</v>
      </c>
      <c r="BA67" s="29">
        <f>+COUNTIFS($AX$1:AX67,AX67,$AZ$1:AZ67,AZ67)</f>
        <v>1</v>
      </c>
      <c r="BB67" s="29">
        <f>+IF(AZ67=BF64,ROW()*0.001,AZ67)</f>
        <v>0</v>
      </c>
      <c r="BC67" s="29">
        <f>+COUNTIFS($AX$1:AZ67,AZ67,$AZ$1:BB67,BB67)</f>
        <v>6</v>
      </c>
      <c r="BD67" s="29"/>
      <c r="BE67" s="25" t="str">
        <f>+IF(OR(BF67="-",BI67="-",BF64=0),"-","OK")</f>
        <v>-</v>
      </c>
      <c r="BF67" s="57" t="str">
        <f>+IF(_xlfn.XLOOKUP($E67,$AY:$AY,$AZ:$AZ,"-",0)=BF64,$E67,"-")</f>
        <v>-</v>
      </c>
      <c r="BG67" s="58">
        <f t="shared" si="303"/>
        <v>1</v>
      </c>
      <c r="BH67" s="59">
        <f t="shared" si="304"/>
        <v>2</v>
      </c>
      <c r="BI67" s="57" t="str">
        <f>+IF(_xlfn.XLOOKUP($H67,$AY:$AY,$AZ:$AZ,"-",0)=BF64,$H67,"-")</f>
        <v>-</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0</v>
      </c>
      <c r="BW67" s="24">
        <f>+BX67/$BW$1</f>
        <v>0.2</v>
      </c>
      <c r="BX67" s="23">
        <v>2</v>
      </c>
      <c r="BY67" s="25" t="str">
        <f t="shared" ref="BY67:BY71" si="330">+IF(OR(BZ67="-",CC67="-"),"-","OK")</f>
        <v>-</v>
      </c>
      <c r="BZ67" s="57" t="str">
        <f>+IF(_xlfn.XLOOKUP($E67,$AY:$AY,$AZ:$AZ,"-",0)=BZ64,$E67,"-")</f>
        <v>-</v>
      </c>
      <c r="CA67" s="58">
        <f t="shared" si="305"/>
        <v>1</v>
      </c>
      <c r="CB67" s="59">
        <f t="shared" si="306"/>
        <v>2</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5">
      <c r="A68" s="38" t="s">
        <v>170</v>
      </c>
      <c r="B68" s="39">
        <v>46194</v>
      </c>
      <c r="C68" s="40"/>
      <c r="D68" s="41"/>
      <c r="E68" s="42" t="s">
        <v>49</v>
      </c>
      <c r="F68" s="43">
        <v>2</v>
      </c>
      <c r="G68" s="43">
        <v>0</v>
      </c>
      <c r="H68" s="44" t="s">
        <v>83</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0</v>
      </c>
      <c r="R68" s="24">
        <f>+COUNTIF(M66:M71,"="&amp;$O68)</f>
        <v>2</v>
      </c>
      <c r="S68" s="24">
        <f t="shared" si="311"/>
        <v>-2</v>
      </c>
      <c r="T68" s="24">
        <f t="shared" ref="T68" si="340">+SUMIF(E66:E71,$O68,F66:F71)+SUMIF(H66:H71,$O68,G66:G71)</f>
        <v>3</v>
      </c>
      <c r="U68" s="24">
        <f t="shared" ref="U68" si="341">+SUMIF(E66:E71,$O68,G66:G71)+SUMIF(H66:H71,$O68,F66:F71)</f>
        <v>5</v>
      </c>
      <c r="V68" s="45">
        <f t="shared" si="314"/>
        <v>2.9983068000000004</v>
      </c>
      <c r="W68" s="26" t="str">
        <f t="shared" si="315"/>
        <v>Arabia Saudita</v>
      </c>
      <c r="Y68" s="68" t="str">
        <f>+CONCATENATE("3",RIGHT(E65,1))</f>
        <v>3H</v>
      </c>
      <c r="Z68" s="69" t="str">
        <f>+VLOOKUP(AL68,V66:W69,2,FALSE)</f>
        <v>Arabia Saudita</v>
      </c>
      <c r="AA68" s="70">
        <f t="shared" si="316"/>
        <v>3</v>
      </c>
      <c r="AB68" s="71">
        <f t="shared" si="302"/>
        <v>1</v>
      </c>
      <c r="AC68" s="71">
        <f t="shared" si="302"/>
        <v>0</v>
      </c>
      <c r="AD68" s="71">
        <f t="shared" si="302"/>
        <v>2</v>
      </c>
      <c r="AE68" s="71">
        <f t="shared" si="302"/>
        <v>-2</v>
      </c>
      <c r="AF68" s="71">
        <f t="shared" si="302"/>
        <v>3</v>
      </c>
      <c r="AG68" s="71">
        <f t="shared" si="302"/>
        <v>5</v>
      </c>
      <c r="AH68" s="72">
        <f>+VLOOKUP($Z68,$O$66:$V$69,COLUMN()-26,FALSE)</f>
        <v>2.9983068000000004</v>
      </c>
      <c r="AI68" s="73">
        <f>+(COUNTIFS($CV$2:$CV$13,Z68,$CX$2:$CX$13,"IN")+COUNTIFS($CV$2:$CV$13,Z68,$CW$2:$CW$13,"IN"))*IF(SUM(AA66:AA69)=12,1,0)</f>
        <v>0</v>
      </c>
      <c r="AL68" s="45">
        <f>+LARGE(V66:V69,3)</f>
        <v>2.9983068000000004</v>
      </c>
      <c r="AM68" s="52">
        <f t="shared" si="317"/>
        <v>0</v>
      </c>
      <c r="AP68" s="53" t="str">
        <f>+O68</f>
        <v>Arabia Saudita</v>
      </c>
      <c r="AQ68" s="23">
        <f>+P68*3+Q68*1+BT68+CN68+S68/1000+T68/10000</f>
        <v>2.9983000000000004</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3</v>
      </c>
      <c r="BA68" s="29">
        <f>+COUNTIFS($AX$1:AX68,AX68,$AZ$1:AZ68,AZ68)</f>
        <v>1</v>
      </c>
      <c r="BB68" s="29">
        <f>+IF(AZ68=BF64,ROW()*0.001,AZ68)</f>
        <v>3</v>
      </c>
      <c r="BC68" s="29">
        <f>+COUNTIFS($AX$1:AZ68,AZ68,$AZ$1:BB68,BB68)</f>
        <v>5</v>
      </c>
      <c r="BD68" s="29"/>
      <c r="BE68" s="25" t="str">
        <f>+IF(OR(BF68="-",BI68="-",BF64=0),"-","OK")</f>
        <v>-</v>
      </c>
      <c r="BF68" s="57" t="str">
        <f>+IF(_xlfn.XLOOKUP($E68,$AY:$AY,$AZ:$AZ,"-",0)=BF64,$E68,"-")</f>
        <v>-</v>
      </c>
      <c r="BG68" s="58">
        <f t="shared" si="303"/>
        <v>2</v>
      </c>
      <c r="BH68" s="59">
        <f t="shared" si="304"/>
        <v>0</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España</v>
      </c>
      <c r="CA68" s="58">
        <f t="shared" si="305"/>
        <v>2</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5">
      <c r="A69" s="38" t="s">
        <v>171</v>
      </c>
      <c r="B69" s="39">
        <v>46194</v>
      </c>
      <c r="C69" s="40"/>
      <c r="D69" s="41"/>
      <c r="E69" s="42" t="s">
        <v>58</v>
      </c>
      <c r="F69" s="43">
        <v>3</v>
      </c>
      <c r="G69" s="43">
        <v>0</v>
      </c>
      <c r="H69" s="44" t="s">
        <v>92</v>
      </c>
      <c r="J69" s="24" t="str">
        <f t="shared" si="307"/>
        <v>Uruguay</v>
      </c>
      <c r="K69" s="24" t="str">
        <f t="shared" si="308"/>
        <v/>
      </c>
      <c r="L69" s="24" t="str">
        <f t="shared" si="309"/>
        <v/>
      </c>
      <c r="M69" s="24" t="str">
        <f t="shared" si="310"/>
        <v>Cabo Verde</v>
      </c>
      <c r="O69" s="26" t="str">
        <f>+H67</f>
        <v>Uruguay</v>
      </c>
      <c r="P69" s="24">
        <f>+COUNTIF(J66:J71,"="&amp;$O69)</f>
        <v>2</v>
      </c>
      <c r="Q69" s="24">
        <f>+COUNTIF(K66:L71,"="&amp;$O69)</f>
        <v>0</v>
      </c>
      <c r="R69" s="24">
        <f>+COUNTIF(M66:M71,"="&amp;$O69)</f>
        <v>1</v>
      </c>
      <c r="S69" s="24">
        <f t="shared" si="311"/>
        <v>3</v>
      </c>
      <c r="T69" s="24">
        <f t="shared" ref="T69" si="342">+SUMIF(E66:E71,$O69,F66:F71)+SUMIF(H66:H71,$O69,G66:G71)</f>
        <v>7</v>
      </c>
      <c r="U69" s="24">
        <f t="shared" ref="U69" si="343">+SUMIF(E66:E71,$O69,G66:G71)+SUMIF(H66:H71,$O69,F66:F71)</f>
        <v>4</v>
      </c>
      <c r="V69" s="45">
        <f t="shared" si="314"/>
        <v>6.0037069000000001</v>
      </c>
      <c r="W69" s="26" t="str">
        <f t="shared" si="315"/>
        <v>Uruguay</v>
      </c>
      <c r="Y69" s="74" t="str">
        <f>+CONCATENATE("4",RIGHT(E65,1))</f>
        <v>4H</v>
      </c>
      <c r="Z69" s="75" t="str">
        <f>+VLOOKUP(AL69,V66:W69,2,FALSE)</f>
        <v>Cabo Verde</v>
      </c>
      <c r="AA69" s="76">
        <f t="shared" si="316"/>
        <v>3</v>
      </c>
      <c r="AB69" s="77">
        <f t="shared" si="302"/>
        <v>0</v>
      </c>
      <c r="AC69" s="77">
        <f t="shared" si="302"/>
        <v>0</v>
      </c>
      <c r="AD69" s="77">
        <f t="shared" si="302"/>
        <v>3</v>
      </c>
      <c r="AE69" s="77">
        <f t="shared" si="302"/>
        <v>-5</v>
      </c>
      <c r="AF69" s="77">
        <f t="shared" si="302"/>
        <v>2</v>
      </c>
      <c r="AG69" s="77">
        <f t="shared" si="302"/>
        <v>7</v>
      </c>
      <c r="AH69" s="78">
        <f>+VLOOKUP($Z69,$O$66:$V$69,COLUMN()-26,FALSE)</f>
        <v>-4.7933000000000003E-3</v>
      </c>
      <c r="AI69" s="73"/>
      <c r="AL69" s="45">
        <f>+LARGE(V66:V69,4)</f>
        <v>-4.7933000000000003E-3</v>
      </c>
      <c r="AM69" s="52">
        <f t="shared" si="317"/>
        <v>0</v>
      </c>
      <c r="AP69" s="53" t="str">
        <f>+O69</f>
        <v>Uruguay</v>
      </c>
      <c r="AQ69" s="23">
        <f>+P69*3+Q69*1+BT69+CN69+S69/1000+T69/10000</f>
        <v>6.0037000000000003</v>
      </c>
      <c r="AS69" s="54">
        <f t="shared" si="318"/>
        <v>0</v>
      </c>
      <c r="AT69" s="54">
        <f>+IF(AND(AM70="si",OR(AR66=1,AR67=1,AR68=1)),1,0)</f>
        <v>0</v>
      </c>
      <c r="AU69" s="79" t="str">
        <f t="shared" si="319"/>
        <v>Uruguay</v>
      </c>
      <c r="AV69" s="80"/>
      <c r="AX69" s="23" t="str">
        <f>+Y65</f>
        <v>Grupo H</v>
      </c>
      <c r="AY69" s="24" t="str">
        <f t="shared" si="320"/>
        <v>Uruguay</v>
      </c>
      <c r="AZ69" s="29">
        <f t="shared" si="321"/>
        <v>6</v>
      </c>
      <c r="BA69" s="29">
        <f>+COUNTIFS($AX$1:AX69,AX69,$AZ$1:AZ69,AZ69)</f>
        <v>1</v>
      </c>
      <c r="BB69" s="29">
        <f>+IF(AZ69=BF64,ROW()*0.001,AZ69)</f>
        <v>6</v>
      </c>
      <c r="BC69" s="29">
        <f>+COUNTIFS($AX$1:AZ69,AZ69,$AZ$1:BB69,BB69)</f>
        <v>3</v>
      </c>
      <c r="BD69" s="29"/>
      <c r="BE69" s="25" t="str">
        <f>+IF(OR(BF69="-",BI69="-",BF64=0),"-","OK")</f>
        <v>-</v>
      </c>
      <c r="BF69" s="57" t="str">
        <f>+IF(_xlfn.XLOOKUP($E69,$AY:$AY,$AZ:$AZ,"-",0)=BF64,$E69,"-")</f>
        <v>-</v>
      </c>
      <c r="BG69" s="58">
        <f t="shared" si="303"/>
        <v>3</v>
      </c>
      <c r="BH69" s="59">
        <f t="shared" si="304"/>
        <v>0</v>
      </c>
      <c r="BI69" s="57" t="str">
        <f>+IF(_xlfn.XLOOKUP($H69,$AY:$AY,$AZ:$AZ,"-",0)=BF64,$H69,"-")</f>
        <v>-</v>
      </c>
      <c r="BK69" s="26" t="str">
        <f t="shared" si="322"/>
        <v>Uruguay</v>
      </c>
      <c r="BL69" s="26">
        <f t="shared" si="323"/>
        <v>0</v>
      </c>
      <c r="BM69" s="24">
        <f t="shared" si="324"/>
        <v>0</v>
      </c>
      <c r="BN69" s="24">
        <f t="shared" si="325"/>
        <v>0</v>
      </c>
      <c r="BO69" s="24">
        <f t="shared" si="326"/>
        <v>0</v>
      </c>
      <c r="BP69" s="24">
        <f t="shared" si="327"/>
        <v>0</v>
      </c>
      <c r="BQ69" s="24">
        <f>+SUMIFS(BG:BG,$BE:$BE,"OK",BF:BF,$BK69)+SUMIFS(BH:BH,$BE:$BE,"OK",BI:BI,$BK69)</f>
        <v>0</v>
      </c>
      <c r="BR69" s="24">
        <f t="shared" si="328"/>
        <v>0</v>
      </c>
      <c r="BS69" s="60">
        <f t="shared" si="329"/>
        <v>0</v>
      </c>
      <c r="BT69" s="60">
        <f>+IF(BL69=0,0,_xlfn.XLOOKUP(BS69,BV66:BV69,BW66:BW69))</f>
        <v>0</v>
      </c>
      <c r="BU69" s="45"/>
      <c r="BV69" s="24">
        <f>+LARGE(BS66:BS69,4)</f>
        <v>0</v>
      </c>
      <c r="BW69" s="24">
        <f>+BX69/$BW$1</f>
        <v>0</v>
      </c>
      <c r="BX69" s="23">
        <v>0</v>
      </c>
      <c r="BY69" s="25" t="str">
        <f t="shared" si="330"/>
        <v>-</v>
      </c>
      <c r="BZ69" s="57" t="str">
        <f>+IF(_xlfn.XLOOKUP($E69,$AY:$AY,$AZ:$AZ,"-",0)=BZ64,$E69,"-")</f>
        <v>-</v>
      </c>
      <c r="CA69" s="58">
        <f t="shared" si="305"/>
        <v>3</v>
      </c>
      <c r="CB69" s="59">
        <f t="shared" si="306"/>
        <v>0</v>
      </c>
      <c r="CC69" s="57" t="str">
        <f>+IF(_xlfn.XLOOKUP($H69,$AY:$AY,$AZ:$AZ,"-",0)=BZ64,$H69,"-")</f>
        <v>-</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5">
      <c r="A70" s="38" t="s">
        <v>172</v>
      </c>
      <c r="B70" s="39">
        <v>46199</v>
      </c>
      <c r="C70" s="40"/>
      <c r="D70" s="41"/>
      <c r="E70" s="42" t="s">
        <v>58</v>
      </c>
      <c r="F70" s="43">
        <v>2</v>
      </c>
      <c r="G70" s="43">
        <v>3</v>
      </c>
      <c r="H70" s="44" t="s">
        <v>49</v>
      </c>
      <c r="J70" s="24" t="str">
        <f t="shared" si="307"/>
        <v>España</v>
      </c>
      <c r="K70" s="24" t="str">
        <f t="shared" si="308"/>
        <v/>
      </c>
      <c r="L70" s="24" t="str">
        <f t="shared" si="309"/>
        <v/>
      </c>
      <c r="M70" s="24" t="str">
        <f t="shared" si="310"/>
        <v>Uruguay</v>
      </c>
      <c r="AL70" s="25" t="s">
        <v>122</v>
      </c>
      <c r="AM70" s="52" t="str">
        <f>+IF(SUM(AA66:AA69)=12,"si","no")</f>
        <v>si</v>
      </c>
      <c r="BE70" s="25" t="str">
        <f>+IF(OR(BF70="-",BI70="-",BF64=0),"-","OK")</f>
        <v>-</v>
      </c>
      <c r="BF70" s="57" t="str">
        <f>+IF(_xlfn.XLOOKUP($E70,$AY:$AY,$AZ:$AZ,"-",0)=BF64,$E70,"-")</f>
        <v>-</v>
      </c>
      <c r="BG70" s="58">
        <f t="shared" si="303"/>
        <v>2</v>
      </c>
      <c r="BH70" s="59">
        <f t="shared" si="304"/>
        <v>3</v>
      </c>
      <c r="BI70" s="57" t="str">
        <f>+IF(_xlfn.XLOOKUP($H70,$AY:$AY,$AZ:$AZ,"-",0)=BF64,$H70,"-")</f>
        <v>-</v>
      </c>
      <c r="BY70" s="25" t="str">
        <f t="shared" si="330"/>
        <v>-</v>
      </c>
      <c r="BZ70" s="57" t="str">
        <f>+IF(_xlfn.XLOOKUP($E70,$AY:$AY,$AZ:$AZ,"-",0)=BZ64,$E70,"-")</f>
        <v>-</v>
      </c>
      <c r="CA70" s="58">
        <f t="shared" si="305"/>
        <v>2</v>
      </c>
      <c r="CB70" s="59">
        <f t="shared" si="306"/>
        <v>3</v>
      </c>
      <c r="CC70" s="57" t="str">
        <f>+IF(_xlfn.XLOOKUP($H70,$AY:$AY,$AZ:$AZ,"-",0)=BZ64,$H70,"-")</f>
        <v>España</v>
      </c>
    </row>
    <row r="71" spans="1:102" x14ac:dyDescent="0.25">
      <c r="A71" s="38" t="s">
        <v>173</v>
      </c>
      <c r="B71" s="39">
        <v>46199</v>
      </c>
      <c r="C71" s="40"/>
      <c r="D71" s="41"/>
      <c r="E71" s="42" t="s">
        <v>92</v>
      </c>
      <c r="F71" s="43">
        <v>1</v>
      </c>
      <c r="G71" s="43">
        <v>2</v>
      </c>
      <c r="H71" s="44" t="s">
        <v>83</v>
      </c>
      <c r="J71" s="24" t="str">
        <f t="shared" si="307"/>
        <v>Arabia Saudita</v>
      </c>
      <c r="K71" s="24" t="str">
        <f t="shared" si="308"/>
        <v/>
      </c>
      <c r="L71" s="24" t="str">
        <f t="shared" si="309"/>
        <v/>
      </c>
      <c r="M71" s="24" t="str">
        <f t="shared" si="310"/>
        <v>Cabo Verde</v>
      </c>
      <c r="Y71" s="53" t="s">
        <v>124</v>
      </c>
      <c r="AR71" s="23">
        <f>+IF(AND(AM70="si",OR(AR66=1,AR67=1,AR68=1)),1,0)</f>
        <v>0</v>
      </c>
      <c r="BE71" s="25" t="str">
        <f>+IF(OR(BF71="-",BI71="-",BF64=0),"-","OK")</f>
        <v>-</v>
      </c>
      <c r="BF71" s="57" t="str">
        <f>+IF(_xlfn.XLOOKUP($E71,$AY:$AY,$AZ:$AZ,"-",0)=BF64,$E71,"-")</f>
        <v>-</v>
      </c>
      <c r="BG71" s="58">
        <f t="shared" si="303"/>
        <v>1</v>
      </c>
      <c r="BH71" s="59">
        <f t="shared" si="304"/>
        <v>2</v>
      </c>
      <c r="BI71" s="57" t="str">
        <f>+IF(_xlfn.XLOOKUP($H71,$AY:$AY,$AZ:$AZ,"-",0)=BF64,$H71,"-")</f>
        <v>-</v>
      </c>
      <c r="BY71" s="25" t="str">
        <f t="shared" si="330"/>
        <v>-</v>
      </c>
      <c r="BZ71" s="57" t="str">
        <f>+IF(_xlfn.XLOOKUP($E71,$AY:$AY,$AZ:$AZ,"-",0)=BZ64,$E71,"-")</f>
        <v>-</v>
      </c>
      <c r="CA71" s="58">
        <f t="shared" si="305"/>
        <v>1</v>
      </c>
      <c r="CB71" s="59">
        <f t="shared" si="306"/>
        <v>2</v>
      </c>
      <c r="CC71" s="57" t="str">
        <f>+IF(_xlfn.XLOOKUP($H71,$AY:$AY,$AZ:$AZ,"-",0)=BZ64,$H71,"-")</f>
        <v>-</v>
      </c>
    </row>
    <row r="72" spans="1:102" s="83" customFormat="1" x14ac:dyDescent="0.25">
      <c r="A72" s="81"/>
      <c r="B72" s="82"/>
      <c r="C72" s="81"/>
      <c r="E72" s="84"/>
      <c r="F72" s="81"/>
      <c r="G72" s="81"/>
      <c r="H72" s="85"/>
      <c r="J72" s="81"/>
      <c r="K72" s="81"/>
      <c r="L72" s="81"/>
      <c r="M72" s="81"/>
      <c r="AV72" s="86"/>
      <c r="AW72" s="86"/>
      <c r="BE72" s="81"/>
      <c r="CW72" s="81"/>
      <c r="CX72" s="81"/>
    </row>
    <row r="73" spans="1:102" x14ac:dyDescent="0.25">
      <c r="A73" s="23"/>
      <c r="BF73" s="28">
        <f>+IF(BA75&gt;1,AZ75,IF(BA76&gt;1,AZ76,IF(BA77&gt;1,AZ77,IF(BA78&gt;1,AZ78,"-"))))</f>
        <v>4</v>
      </c>
      <c r="BW73" s="23">
        <v>10</v>
      </c>
      <c r="BZ73" s="29">
        <f>+IF(BC75&gt;1,BB75,IF(BC76&gt;1,BB76,IF(BC77&gt;1,BB77,IF(BC78&gt;1,BB78,"-"))))</f>
        <v>9</v>
      </c>
      <c r="CQ73" s="23">
        <v>10</v>
      </c>
    </row>
    <row r="74" spans="1:102" x14ac:dyDescent="0.25">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00" t="s">
        <v>174</v>
      </c>
      <c r="Z74" s="501"/>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5">
      <c r="A75" s="38" t="s">
        <v>175</v>
      </c>
      <c r="B75" s="39">
        <v>46189</v>
      </c>
      <c r="C75" s="40"/>
      <c r="D75" s="41"/>
      <c r="E75" s="42" t="s">
        <v>48</v>
      </c>
      <c r="F75" s="43">
        <v>3</v>
      </c>
      <c r="G75" s="43">
        <v>1</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5</v>
      </c>
      <c r="T75" s="24">
        <f t="shared" ref="T75" si="344">+SUMIF(E75:E80,$O75,F75:F80)+SUMIF(H75:H80,$O75,G75:G80)</f>
        <v>8</v>
      </c>
      <c r="U75" s="24">
        <f t="shared" ref="U75" si="345">+SUMIF(E75:E80,$O75,G75:G80)+SUMIF(H75:H80,$O75,F75:F80)</f>
        <v>3</v>
      </c>
      <c r="V75" s="45">
        <f>+P75*3+Q75*1+BT75+CN75+S75/1000+T75/10000+AV75/1000000+ROW()/10000000</f>
        <v>9.0058075000000013</v>
      </c>
      <c r="W75" s="26" t="str">
        <f>+O75</f>
        <v>Francia</v>
      </c>
      <c r="Y75" s="46" t="str">
        <f>+CONCATENATE("1",RIGHT(E74,1))</f>
        <v>1I</v>
      </c>
      <c r="Z75" s="47" t="str">
        <f>+VLOOKUP(AL75,V75:W78,2,FALSE)</f>
        <v>Francia</v>
      </c>
      <c r="AA75" s="48">
        <f>+SUM(AB75:AD75)</f>
        <v>3</v>
      </c>
      <c r="AB75" s="49">
        <f>+_xlfn.XLOOKUP($Z75,$O:$O,P:P,"Error",0)</f>
        <v>3</v>
      </c>
      <c r="AC75" s="49">
        <f t="shared" ref="AC75:AC78" si="346">+_xlfn.XLOOKUP($Z75,$O:$O,Q:Q,"Error",0)</f>
        <v>0</v>
      </c>
      <c r="AD75" s="49">
        <f t="shared" ref="AD75:AD78" si="347">+_xlfn.XLOOKUP($Z75,$O:$O,R:R,"Error",0)</f>
        <v>0</v>
      </c>
      <c r="AE75" s="49">
        <f t="shared" ref="AE75:AE78" si="348">+_xlfn.XLOOKUP($Z75,$O:$O,S:S,"Error",0)</f>
        <v>5</v>
      </c>
      <c r="AF75" s="49">
        <f t="shared" ref="AF75:AF78" si="349">+_xlfn.XLOOKUP($Z75,$O:$O,T:T,"Error",0)</f>
        <v>8</v>
      </c>
      <c r="AG75" s="49">
        <f t="shared" ref="AG75:AG78" si="350">+_xlfn.XLOOKUP($Z75,$O:$O,U:U,"Error",0)</f>
        <v>3</v>
      </c>
      <c r="AH75" s="50">
        <f t="shared" ref="AH75:AH78" si="351">+_xlfn.XLOOKUP($Z75,$O:$O,V:V,"Error",0)</f>
        <v>9.0058075000000013</v>
      </c>
      <c r="AI75" s="51"/>
      <c r="AL75" s="45">
        <f>+LARGE(V75:V78,1)</f>
        <v>9.0058075000000013</v>
      </c>
      <c r="AM75" s="52">
        <f>+(AH75-AL75)*100000000000000000000</f>
        <v>0</v>
      </c>
      <c r="AP75" s="53" t="str">
        <f>+O75</f>
        <v>Francia</v>
      </c>
      <c r="AQ75" s="23">
        <f>+P75*3+Q75*1+BT75+CN75+S75/1000+T75/10000</f>
        <v>9.0058000000000007</v>
      </c>
      <c r="AR75" s="23" t="b">
        <f>+IF(OR(AQ75=AQ76,AQ75=AQ77,AQ75=AQ78),1)</f>
        <v>0</v>
      </c>
      <c r="AS75" s="54">
        <f>+AV75</f>
        <v>0</v>
      </c>
      <c r="AT75" s="54">
        <f>+IF(AND(AM79="si",OR(AR75=1,AR76=1,AR77=1)),1,0)</f>
        <v>0</v>
      </c>
      <c r="AU75" s="55" t="str">
        <f>+O75</f>
        <v>Francia</v>
      </c>
      <c r="AV75" s="56"/>
      <c r="AX75" s="23" t="str">
        <f>+Y74</f>
        <v>Grupo I</v>
      </c>
      <c r="AY75" s="24" t="str">
        <f>+O75</f>
        <v>Francia</v>
      </c>
      <c r="AZ75" s="29">
        <f>+P75*3+Q75</f>
        <v>9</v>
      </c>
      <c r="BA75" s="29">
        <f>+COUNTIFS($AX$1:AX75,AX75,$AZ$1:AZ75,AZ75)</f>
        <v>1</v>
      </c>
      <c r="BB75" s="29">
        <f>+IF(AZ75=BF73,ROW()*0.001,AZ75)</f>
        <v>9</v>
      </c>
      <c r="BC75" s="29">
        <f>+COUNTIFS($AX$1:AZ75,AZ75,$AZ$1:BB75,BB75)</f>
        <v>4</v>
      </c>
      <c r="BD75" s="29"/>
      <c r="BE75" s="25" t="str">
        <f>+IF(OR(BF75="-",BI75="-",BF73=0),"-","OK")</f>
        <v>-</v>
      </c>
      <c r="BF75" s="57" t="str">
        <f>+IF(_xlfn.XLOOKUP($E75,$AY:$AY,$AZ:$AZ,"-",0)=BF73,$E75,"-")</f>
        <v>-</v>
      </c>
      <c r="BG75" s="58">
        <f t="shared" ref="BG75:BG80" si="352">+$F75</f>
        <v>3</v>
      </c>
      <c r="BH75" s="59">
        <f t="shared" ref="BH75:BH80" si="353">+$G75</f>
        <v>1</v>
      </c>
      <c r="BI75" s="57" t="str">
        <f>+IF(_xlfn.XLOOKUP($H75,$AY:$AY,$AZ:$AZ,"-",0)=BF73,$H75,"-")</f>
        <v>Senegal</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1.0002</v>
      </c>
      <c r="BW75" s="24">
        <f>+BX75/$BW$1</f>
        <v>0.3</v>
      </c>
      <c r="BX75" s="23">
        <v>3</v>
      </c>
      <c r="BY75" s="25" t="str">
        <f>+IF(OR(BZ75="-",CC75="-"),"-","OK")</f>
        <v>-</v>
      </c>
      <c r="BZ75" s="57" t="str">
        <f>+IF(_xlfn.XLOOKUP($E75,$AY:$AY,$AZ:$AZ,"-",0)=BZ73,$E75,"-")</f>
        <v>Francia</v>
      </c>
      <c r="CA75" s="58">
        <f t="shared" ref="CA75:CA80" si="354">+$F75</f>
        <v>3</v>
      </c>
      <c r="CB75" s="59">
        <f t="shared" ref="CB75:CB80" si="355">+$G75</f>
        <v>1</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5">
      <c r="A76" s="38" t="s">
        <v>176</v>
      </c>
      <c r="B76" s="39">
        <v>46189</v>
      </c>
      <c r="C76" s="40"/>
      <c r="D76" s="41"/>
      <c r="E76" s="42" t="s">
        <v>90</v>
      </c>
      <c r="F76" s="43">
        <v>0</v>
      </c>
      <c r="G76" s="43">
        <v>2</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1</v>
      </c>
      <c r="Q76" s="24">
        <f>+COUNTIF(K75:L80,"="&amp;$O76)</f>
        <v>1</v>
      </c>
      <c r="R76" s="24">
        <f>+COUNTIF(M75:M80,"="&amp;$O76)</f>
        <v>1</v>
      </c>
      <c r="S76" s="24">
        <f t="shared" ref="S76:S78" si="360">+T76-U76</f>
        <v>-1</v>
      </c>
      <c r="T76" s="24">
        <f t="shared" ref="T76" si="361">+SUMIF(E75:E80,$O76,F75:F80)+SUMIF(H75:H80,$O76,G75:G80)</f>
        <v>4</v>
      </c>
      <c r="U76" s="24">
        <f t="shared" ref="U76" si="362">+SUMIF(E75:E80,$O76,G75:G80)+SUMIF(H75:H80,$O76,F75:F80)</f>
        <v>5</v>
      </c>
      <c r="V76" s="45">
        <f t="shared" ref="V76:V78" si="363">+P76*3+Q76*1+BT76+CN76+S76/1000+T76/10000+AV76/1000000+ROW()/10000000</f>
        <v>4.2994075999999994</v>
      </c>
      <c r="W76" s="26" t="str">
        <f t="shared" ref="W76:W78" si="364">+O76</f>
        <v>Senegal</v>
      </c>
      <c r="Y76" s="61" t="str">
        <f>+CONCATENATE("2",RIGHT(E74,1))</f>
        <v>2I</v>
      </c>
      <c r="Z76" s="62" t="str">
        <f>+VLOOKUP(AL76,V75:W78,2,FALSE)</f>
        <v>Noruega</v>
      </c>
      <c r="AA76" s="63">
        <f t="shared" ref="AA76:AA78" si="365">+SUM(AB76:AD76)</f>
        <v>3</v>
      </c>
      <c r="AB76" s="64">
        <f t="shared" ref="AB76:AB78" si="366">+_xlfn.XLOOKUP($Z76,$O:$O,P:P,"Error",0)</f>
        <v>1</v>
      </c>
      <c r="AC76" s="64">
        <f t="shared" si="346"/>
        <v>1</v>
      </c>
      <c r="AD76" s="64">
        <f t="shared" si="347"/>
        <v>1</v>
      </c>
      <c r="AE76" s="64">
        <f t="shared" si="348"/>
        <v>1</v>
      </c>
      <c r="AF76" s="64">
        <f t="shared" si="349"/>
        <v>5</v>
      </c>
      <c r="AG76" s="64">
        <f t="shared" si="350"/>
        <v>4</v>
      </c>
      <c r="AH76" s="65">
        <f t="shared" si="351"/>
        <v>4.3015077999999995</v>
      </c>
      <c r="AI76" s="51"/>
      <c r="AL76" s="45">
        <f>+LARGE(V75:V78,2)</f>
        <v>4.3015077999999995</v>
      </c>
      <c r="AM76" s="52">
        <f t="shared" ref="AM76:AM78" si="367">+(AH76-AL76)*100000000000000000000</f>
        <v>0</v>
      </c>
      <c r="AP76" s="53" t="str">
        <f>+O76</f>
        <v>Senegal</v>
      </c>
      <c r="AQ76" s="23">
        <f>+P76*3+Q76*1+BT76+CN76+S76/1000+T76/10000</f>
        <v>4.2993999999999994</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4</v>
      </c>
      <c r="BA76" s="29">
        <f>+COUNTIFS($AX$1:AX76,AX76,$AZ$1:AZ76,AZ76)</f>
        <v>1</v>
      </c>
      <c r="BB76" s="29">
        <f>+IF(AZ76=BF73,ROW()*0.001,AZ76)</f>
        <v>7.5999999999999998E-2</v>
      </c>
      <c r="BC76" s="29">
        <f>+COUNTIFS($AX$1:AZ76,AZ76,$AZ$1:BB76,BB76)</f>
        <v>1</v>
      </c>
      <c r="BD76" s="29"/>
      <c r="BE76" s="25" t="str">
        <f>+IF(OR(BF76="-",BI76="-",BF73=0),"-","OK")</f>
        <v>-</v>
      </c>
      <c r="BF76" s="57" t="str">
        <f>+IF(_xlfn.XLOOKUP($E76,$AY:$AY,$AZ:$AZ,"-",0)=BF73,$E76,"-")</f>
        <v>-</v>
      </c>
      <c r="BG76" s="58">
        <f t="shared" si="352"/>
        <v>0</v>
      </c>
      <c r="BH76" s="59">
        <f t="shared" si="353"/>
        <v>2</v>
      </c>
      <c r="BI76" s="57" t="str">
        <f>+IF(_xlfn.XLOOKUP($H76,$AY:$AY,$AZ:$AZ,"-",0)=BF73,$H76,"-")</f>
        <v>Noruega</v>
      </c>
      <c r="BK76" s="26" t="str">
        <f t="shared" ref="BK76:BK78" si="372">+O76</f>
        <v>Senegal</v>
      </c>
      <c r="BL76" s="26">
        <f t="shared" ref="BL76:BL78" si="373">+COUNTIFS($BE:$BE,"OK",$BI:$BI,BK76)+COUNTIFS($BE:$BE,"OK",$BF:$BF,BK76)</f>
        <v>1</v>
      </c>
      <c r="BM76" s="24">
        <f t="shared" ref="BM76:BM78" si="374">+COUNTIFS(J:J,$BK76,$BE:$BE,"OK")</f>
        <v>0</v>
      </c>
      <c r="BN76" s="24">
        <f t="shared" ref="BN76:BN78" si="375">+COUNTIFS(K:K,$BK76,$BE:$BE,"OK")+COUNTIFS(L:L,$BK76,$BE:$BE,"OK")</f>
        <v>1</v>
      </c>
      <c r="BO76" s="24">
        <f t="shared" ref="BO76:BO78" si="376">+COUNTIFS(M:M,$BK76,$BE:$BE,"OK")</f>
        <v>0</v>
      </c>
      <c r="BP76" s="24">
        <f t="shared" ref="BP76:BP78" si="377">+BQ76-BR76</f>
        <v>0</v>
      </c>
      <c r="BQ76" s="24">
        <f>+SUMIFS(BG:BG,$BE:$BE,"OK",BF:BF,$BK76)+SUMIFS(BH:BH,$BE:$BE,"OK",BI:BI,$BK76)</f>
        <v>2</v>
      </c>
      <c r="BR76" s="24">
        <f t="shared" ref="BR76:BR78" si="378">+SUMIFS(BH:BH,$BE:$BE,"OK",BF:BF,$BK76)+SUMIFS(BG:BG,$BE:$BE,"OK",BI:BI,$BK76)</f>
        <v>2</v>
      </c>
      <c r="BS76" s="60">
        <f t="shared" ref="BS76:BS78" si="379">+BM76*3+BN76*1+BP76/100+BQ76/10000</f>
        <v>1.0002</v>
      </c>
      <c r="BT76" s="29">
        <f>+IF(BL76=0,0,_xlfn.XLOOKUP(BS76,BV75:BV78,BW75:BW78))</f>
        <v>0.3</v>
      </c>
      <c r="BU76" s="45"/>
      <c r="BV76" s="24">
        <f>+LARGE(BS75:BS78,2)</f>
        <v>1.0002</v>
      </c>
      <c r="BW76" s="24">
        <f>+BX76/$BW$1</f>
        <v>0.2</v>
      </c>
      <c r="BX76" s="23">
        <v>2</v>
      </c>
      <c r="BY76" s="25" t="str">
        <f t="shared" ref="BY76:BY80" si="380">+IF(OR(BZ76="-",CC76="-"),"-","OK")</f>
        <v>-</v>
      </c>
      <c r="BZ76" s="57" t="str">
        <f>+IF(_xlfn.XLOOKUP($E76,$AY:$AY,$AZ:$AZ,"-",0)=BZ73,$E76,"-")</f>
        <v>-</v>
      </c>
      <c r="CA76" s="58">
        <f t="shared" si="354"/>
        <v>0</v>
      </c>
      <c r="CB76" s="59">
        <f t="shared" si="355"/>
        <v>2</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5">
      <c r="A77" s="38" t="s">
        <v>177</v>
      </c>
      <c r="B77" s="39">
        <v>46195</v>
      </c>
      <c r="C77" s="40"/>
      <c r="D77" s="41"/>
      <c r="E77" s="42" t="s">
        <v>48</v>
      </c>
      <c r="F77" s="43">
        <v>3</v>
      </c>
      <c r="G77" s="43">
        <v>1</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0</v>
      </c>
      <c r="R77" s="24">
        <f>+COUNTIF(M75:M80,"="&amp;$O77)</f>
        <v>3</v>
      </c>
      <c r="S77" s="24">
        <f t="shared" si="360"/>
        <v>-5</v>
      </c>
      <c r="T77" s="24">
        <f t="shared" ref="T77" si="390">+SUMIF(E75:E80,$O77,F75:F80)+SUMIF(H75:H80,$O77,G75:G80)</f>
        <v>1</v>
      </c>
      <c r="U77" s="24">
        <f t="shared" ref="U77" si="391">+SUMIF(E75:E80,$O77,G75:G80)+SUMIF(H75:H80,$O77,F75:F80)</f>
        <v>6</v>
      </c>
      <c r="V77" s="45">
        <f t="shared" si="363"/>
        <v>-4.8922999999999996E-3</v>
      </c>
      <c r="W77" s="26" t="str">
        <f t="shared" si="364"/>
        <v>Irak</v>
      </c>
      <c r="Y77" s="68" t="str">
        <f>+CONCATENATE("3",RIGHT(E74,1))</f>
        <v>3I</v>
      </c>
      <c r="Z77" s="69" t="str">
        <f>+VLOOKUP(AL77,V75:W78,2,FALSE)</f>
        <v>Senegal</v>
      </c>
      <c r="AA77" s="70">
        <f t="shared" si="365"/>
        <v>3</v>
      </c>
      <c r="AB77" s="71">
        <f t="shared" si="366"/>
        <v>1</v>
      </c>
      <c r="AC77" s="71">
        <f t="shared" si="346"/>
        <v>1</v>
      </c>
      <c r="AD77" s="71">
        <f t="shared" si="347"/>
        <v>1</v>
      </c>
      <c r="AE77" s="71">
        <f t="shared" si="348"/>
        <v>-1</v>
      </c>
      <c r="AF77" s="71">
        <f t="shared" si="349"/>
        <v>4</v>
      </c>
      <c r="AG77" s="71">
        <f t="shared" si="350"/>
        <v>5</v>
      </c>
      <c r="AH77" s="72">
        <f t="shared" si="351"/>
        <v>4.2994075999999994</v>
      </c>
      <c r="AI77" s="73">
        <f>+(COUNTIFS($CV$2:$CV$13,Z77,$CX$2:$CX$13,"IN")+COUNTIFS($CV$2:$CV$13,Z77,$CW$2:$CW$13,"IN"))*IF(SUM(AA75:AA78)=12,1,0)</f>
        <v>1</v>
      </c>
      <c r="AL77" s="45">
        <f>+LARGE(V75:V78,3)</f>
        <v>4.2994075999999994</v>
      </c>
      <c r="AM77" s="52">
        <f t="shared" si="367"/>
        <v>0</v>
      </c>
      <c r="AP77" s="53" t="str">
        <f>+O77</f>
        <v>Irak</v>
      </c>
      <c r="AQ77" s="23">
        <f>+P77*3+Q77*1+BT77+CN77+S77/1000+T77/10000</f>
        <v>-4.8999999999999998E-3</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0</v>
      </c>
      <c r="BA77" s="29">
        <f>+COUNTIFS($AX$1:AX77,AX77,$AZ$1:AZ77,AZ77)</f>
        <v>1</v>
      </c>
      <c r="BB77" s="29">
        <f>+IF(AZ77=BF73,ROW()*0.001,AZ77)</f>
        <v>0</v>
      </c>
      <c r="BC77" s="29">
        <f>+COUNTIFS($AX$1:AZ77,AZ77,$AZ$1:BB77,BB77)</f>
        <v>7</v>
      </c>
      <c r="BD77" s="29"/>
      <c r="BE77" s="25" t="str">
        <f>+IF(OR(BF77="-",BI77="-",BF73=0),"-","OK")</f>
        <v>-</v>
      </c>
      <c r="BF77" s="57" t="str">
        <f>+IF(_xlfn.XLOOKUP($E77,$AY:$AY,$AZ:$AZ,"-",0)=BF73,$E77,"-")</f>
        <v>-</v>
      </c>
      <c r="BG77" s="58">
        <f t="shared" si="352"/>
        <v>3</v>
      </c>
      <c r="BH77" s="59">
        <f t="shared" si="353"/>
        <v>1</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3</v>
      </c>
      <c r="CB77" s="59">
        <f t="shared" si="355"/>
        <v>1</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5">
      <c r="A78" s="38" t="s">
        <v>178</v>
      </c>
      <c r="B78" s="39">
        <v>46195</v>
      </c>
      <c r="C78" s="40"/>
      <c r="D78" s="41"/>
      <c r="E78" s="42" t="s">
        <v>69</v>
      </c>
      <c r="F78" s="43">
        <v>2</v>
      </c>
      <c r="G78" s="43">
        <v>2</v>
      </c>
      <c r="H78" s="44" t="s">
        <v>61</v>
      </c>
      <c r="J78" s="24" t="str">
        <f t="shared" si="356"/>
        <v/>
      </c>
      <c r="K78" s="24" t="str">
        <f t="shared" si="357"/>
        <v>Noruega</v>
      </c>
      <c r="L78" s="24" t="str">
        <f t="shared" si="358"/>
        <v>Senegal</v>
      </c>
      <c r="M78" s="24" t="str">
        <f t="shared" si="359"/>
        <v/>
      </c>
      <c r="O78" s="26" t="str">
        <f>+H76</f>
        <v>Noruega</v>
      </c>
      <c r="P78" s="24">
        <f>+COUNTIF(J75:J80,"="&amp;$O78)</f>
        <v>1</v>
      </c>
      <c r="Q78" s="24">
        <f>+COUNTIF(K75:L80,"="&amp;$O78)</f>
        <v>1</v>
      </c>
      <c r="R78" s="24">
        <f>+COUNTIF(M75:M80,"="&amp;$O78)</f>
        <v>1</v>
      </c>
      <c r="S78" s="24">
        <f t="shared" si="360"/>
        <v>1</v>
      </c>
      <c r="T78" s="24">
        <f t="shared" ref="T78" si="392">+SUMIF(E75:E80,$O78,F75:F80)+SUMIF(H75:H80,$O78,G75:G80)</f>
        <v>5</v>
      </c>
      <c r="U78" s="24">
        <f t="shared" ref="U78" si="393">+SUMIF(E75:E80,$O78,G75:G80)+SUMIF(H75:H80,$O78,F75:F80)</f>
        <v>4</v>
      </c>
      <c r="V78" s="45">
        <f t="shared" si="363"/>
        <v>4.3015077999999995</v>
      </c>
      <c r="W78" s="26" t="str">
        <f t="shared" si="364"/>
        <v>Noruega</v>
      </c>
      <c r="Y78" s="74" t="str">
        <f>+CONCATENATE("4",RIGHT(E74,1))</f>
        <v>4I</v>
      </c>
      <c r="Z78" s="75" t="str">
        <f>+VLOOKUP(AL78,V75:W78,2,FALSE)</f>
        <v>Irak</v>
      </c>
      <c r="AA78" s="76">
        <f t="shared" si="365"/>
        <v>3</v>
      </c>
      <c r="AB78" s="77">
        <f t="shared" si="366"/>
        <v>0</v>
      </c>
      <c r="AC78" s="77">
        <f t="shared" si="346"/>
        <v>0</v>
      </c>
      <c r="AD78" s="77">
        <f t="shared" si="347"/>
        <v>3</v>
      </c>
      <c r="AE78" s="77">
        <f t="shared" si="348"/>
        <v>-5</v>
      </c>
      <c r="AF78" s="77">
        <f t="shared" si="349"/>
        <v>1</v>
      </c>
      <c r="AG78" s="77">
        <f t="shared" si="350"/>
        <v>6</v>
      </c>
      <c r="AH78" s="78">
        <f t="shared" si="351"/>
        <v>-4.8922999999999996E-3</v>
      </c>
      <c r="AI78" s="73"/>
      <c r="AL78" s="45">
        <f>+LARGE(V75:V78,4)</f>
        <v>-4.8922999999999996E-3</v>
      </c>
      <c r="AM78" s="52">
        <f t="shared" si="367"/>
        <v>0</v>
      </c>
      <c r="AP78" s="53" t="str">
        <f>+O78</f>
        <v>Noruega</v>
      </c>
      <c r="AQ78" s="23">
        <f>+P78*3+Q78*1+BT78+CN78+S78/1000+T78/10000</f>
        <v>4.3014999999999999</v>
      </c>
      <c r="AS78" s="54">
        <f t="shared" si="368"/>
        <v>0</v>
      </c>
      <c r="AT78" s="54">
        <f>+IF(AND(AM79="si",OR(AR75=1,AR76=1,AR77=1)),1,0)</f>
        <v>0</v>
      </c>
      <c r="AU78" s="79" t="str">
        <f t="shared" si="369"/>
        <v>Noruega</v>
      </c>
      <c r="AV78" s="80"/>
      <c r="AX78" s="23" t="str">
        <f>+Y74</f>
        <v>Grupo I</v>
      </c>
      <c r="AY78" s="24" t="str">
        <f t="shared" si="370"/>
        <v>Noruega</v>
      </c>
      <c r="AZ78" s="29">
        <f t="shared" si="371"/>
        <v>4</v>
      </c>
      <c r="BA78" s="29">
        <f>+COUNTIFS($AX$1:AX78,AX78,$AZ$1:AZ78,AZ78)</f>
        <v>2</v>
      </c>
      <c r="BB78" s="29">
        <f>+IF(AZ78=BF73,ROW()*0.001,AZ78)</f>
        <v>7.8E-2</v>
      </c>
      <c r="BC78" s="29">
        <f>+COUNTIFS($AX$1:AZ78,AZ78,$AZ$1:BB78,BB78)</f>
        <v>1</v>
      </c>
      <c r="BD78" s="29"/>
      <c r="BE78" s="25" t="str">
        <f>+IF(OR(BF78="-",BI78="-",BF73=0),"-","OK")</f>
        <v>OK</v>
      </c>
      <c r="BF78" s="57" t="str">
        <f>+IF(_xlfn.XLOOKUP($E78,$AY:$AY,$AZ:$AZ,"-",0)=BF73,$E78,"-")</f>
        <v>Noruega</v>
      </c>
      <c r="BG78" s="58">
        <f t="shared" si="352"/>
        <v>2</v>
      </c>
      <c r="BH78" s="59">
        <f t="shared" si="353"/>
        <v>2</v>
      </c>
      <c r="BI78" s="57" t="str">
        <f>+IF(_xlfn.XLOOKUP($H78,$AY:$AY,$AZ:$AZ,"-",0)=BF73,$H78,"-")</f>
        <v>Senegal</v>
      </c>
      <c r="BK78" s="26" t="str">
        <f t="shared" si="372"/>
        <v>Noruega</v>
      </c>
      <c r="BL78" s="26">
        <f t="shared" si="373"/>
        <v>1</v>
      </c>
      <c r="BM78" s="24">
        <f t="shared" si="374"/>
        <v>0</v>
      </c>
      <c r="BN78" s="24">
        <f t="shared" si="375"/>
        <v>1</v>
      </c>
      <c r="BO78" s="24">
        <f t="shared" si="376"/>
        <v>0</v>
      </c>
      <c r="BP78" s="24">
        <f t="shared" si="377"/>
        <v>0</v>
      </c>
      <c r="BQ78" s="24">
        <f>+SUMIFS(BG:BG,$BE:$BE,"OK",BF:BF,$BK78)+SUMIFS(BH:BH,$BE:$BE,"OK",BI:BI,$BK78)</f>
        <v>2</v>
      </c>
      <c r="BR78" s="24">
        <f t="shared" si="378"/>
        <v>2</v>
      </c>
      <c r="BS78" s="60">
        <f t="shared" si="379"/>
        <v>1.0002</v>
      </c>
      <c r="BT78" s="29">
        <f>+IF(BL78=0,0,_xlfn.XLOOKUP(BS78,BV75:BV78,BW75:BW78))</f>
        <v>0.3</v>
      </c>
      <c r="BU78" s="45"/>
      <c r="BV78" s="24">
        <f>+LARGE(BS75:BS78,4)</f>
        <v>0</v>
      </c>
      <c r="BW78" s="24">
        <f>+BX78/$BW$1</f>
        <v>0</v>
      </c>
      <c r="BX78" s="23">
        <v>0</v>
      </c>
      <c r="BY78" s="25" t="str">
        <f t="shared" si="380"/>
        <v>-</v>
      </c>
      <c r="BZ78" s="57" t="str">
        <f>+IF(_xlfn.XLOOKUP($E78,$AY:$AY,$AZ:$AZ,"-",0)=BZ73,$E78,"-")</f>
        <v>-</v>
      </c>
      <c r="CA78" s="58">
        <f t="shared" si="354"/>
        <v>2</v>
      </c>
      <c r="CB78" s="59">
        <f t="shared" si="355"/>
        <v>2</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5">
      <c r="A79" s="38" t="s">
        <v>179</v>
      </c>
      <c r="B79" s="39">
        <v>46199</v>
      </c>
      <c r="C79" s="40"/>
      <c r="D79" s="41"/>
      <c r="E79" s="42" t="s">
        <v>69</v>
      </c>
      <c r="F79" s="43">
        <v>1</v>
      </c>
      <c r="G79" s="43">
        <v>2</v>
      </c>
      <c r="H79" s="44" t="s">
        <v>48</v>
      </c>
      <c r="J79" s="24" t="str">
        <f t="shared" si="356"/>
        <v>Francia</v>
      </c>
      <c r="K79" s="24" t="str">
        <f t="shared" si="357"/>
        <v/>
      </c>
      <c r="L79" s="24" t="str">
        <f t="shared" si="358"/>
        <v/>
      </c>
      <c r="M79" s="24" t="str">
        <f t="shared" si="359"/>
        <v>Noruega</v>
      </c>
      <c r="AL79" s="25" t="s">
        <v>122</v>
      </c>
      <c r="AM79" s="52" t="str">
        <f>+IF(SUM(AA75:AA78)=12,"si","no")</f>
        <v>si</v>
      </c>
      <c r="BE79" s="25" t="str">
        <f>+IF(OR(BF79="-",BI79="-",BF73=0),"-","OK")</f>
        <v>-</v>
      </c>
      <c r="BF79" s="57" t="str">
        <f>+IF(_xlfn.XLOOKUP($E79,$AY:$AY,$AZ:$AZ,"-",0)=BF73,$E79,"-")</f>
        <v>Noruega</v>
      </c>
      <c r="BG79" s="58">
        <f t="shared" si="352"/>
        <v>1</v>
      </c>
      <c r="BH79" s="59">
        <f t="shared" si="353"/>
        <v>2</v>
      </c>
      <c r="BI79" s="57" t="str">
        <f>+IF(_xlfn.XLOOKUP($H79,$AY:$AY,$AZ:$AZ,"-",0)=BF73,$H79,"-")</f>
        <v>-</v>
      </c>
      <c r="BY79" s="25" t="str">
        <f t="shared" si="380"/>
        <v>-</v>
      </c>
      <c r="BZ79" s="57" t="str">
        <f>+IF(_xlfn.XLOOKUP($E79,$AY:$AY,$AZ:$AZ,"-",0)=BZ73,$E79,"-")</f>
        <v>-</v>
      </c>
      <c r="CA79" s="58">
        <f t="shared" si="354"/>
        <v>1</v>
      </c>
      <c r="CB79" s="59">
        <f t="shared" si="355"/>
        <v>2</v>
      </c>
      <c r="CC79" s="57" t="str">
        <f>+IF(_xlfn.XLOOKUP($H79,$AY:$AY,$AZ:$AZ,"-",0)=BZ73,$H79,"-")</f>
        <v>Francia</v>
      </c>
    </row>
    <row r="80" spans="1:102" x14ac:dyDescent="0.25">
      <c r="A80" s="38" t="s">
        <v>180</v>
      </c>
      <c r="B80" s="39">
        <v>46199</v>
      </c>
      <c r="C80" s="40"/>
      <c r="D80" s="41"/>
      <c r="E80" s="42" t="s">
        <v>61</v>
      </c>
      <c r="F80" s="43">
        <v>1</v>
      </c>
      <c r="G80" s="43">
        <v>0</v>
      </c>
      <c r="H80" s="44" t="s">
        <v>90</v>
      </c>
      <c r="J80" s="24" t="str">
        <f t="shared" si="356"/>
        <v>Senegal</v>
      </c>
      <c r="K80" s="24" t="str">
        <f t="shared" si="357"/>
        <v/>
      </c>
      <c r="L80" s="24" t="str">
        <f t="shared" si="358"/>
        <v/>
      </c>
      <c r="M80" s="24" t="str">
        <f t="shared" si="359"/>
        <v>Irak</v>
      </c>
      <c r="Y80" s="53" t="s">
        <v>124</v>
      </c>
      <c r="AR80" s="23">
        <f>+IF(AND(AM79="si",OR(AR75=1,AR76=1,AR77=1)),1,0)</f>
        <v>0</v>
      </c>
      <c r="BE80" s="25" t="str">
        <f>+IF(OR(BF80="-",BI80="-",BF73=0),"-","OK")</f>
        <v>-</v>
      </c>
      <c r="BF80" s="57" t="str">
        <f>+IF(_xlfn.XLOOKUP($E80,$AY:$AY,$AZ:$AZ,"-",0)=BF73,$E80,"-")</f>
        <v>Senegal</v>
      </c>
      <c r="BG80" s="58">
        <f t="shared" si="352"/>
        <v>1</v>
      </c>
      <c r="BH80" s="59">
        <f t="shared" si="353"/>
        <v>0</v>
      </c>
      <c r="BI80" s="57" t="str">
        <f>+IF(_xlfn.XLOOKUP($H80,$AY:$AY,$AZ:$AZ,"-",0)=BF73,$H80,"-")</f>
        <v>-</v>
      </c>
      <c r="BY80" s="25" t="str">
        <f t="shared" si="380"/>
        <v>-</v>
      </c>
      <c r="BZ80" s="57" t="str">
        <f>+IF(_xlfn.XLOOKUP($E80,$AY:$AY,$AZ:$AZ,"-",0)=BZ73,$E80,"-")</f>
        <v>-</v>
      </c>
      <c r="CA80" s="58">
        <f t="shared" si="354"/>
        <v>1</v>
      </c>
      <c r="CB80" s="59">
        <f t="shared" si="355"/>
        <v>0</v>
      </c>
      <c r="CC80" s="57" t="str">
        <f>+IF(_xlfn.XLOOKUP($H80,$AY:$AY,$AZ:$AZ,"-",0)=BZ73,$H80,"-")</f>
        <v>-</v>
      </c>
    </row>
    <row r="81" spans="1:102" s="83" customFormat="1" x14ac:dyDescent="0.25">
      <c r="A81" s="81"/>
      <c r="B81" s="82"/>
      <c r="C81" s="81"/>
      <c r="E81" s="84"/>
      <c r="F81" s="81"/>
      <c r="G81" s="81"/>
      <c r="H81" s="85"/>
      <c r="J81" s="81"/>
      <c r="K81" s="81"/>
      <c r="L81" s="81"/>
      <c r="M81" s="81"/>
      <c r="AV81" s="86"/>
      <c r="AW81" s="86"/>
      <c r="BE81" s="81"/>
      <c r="CW81" s="81"/>
      <c r="CX81" s="81"/>
    </row>
    <row r="82" spans="1:102" x14ac:dyDescent="0.25">
      <c r="A82" s="23"/>
      <c r="BF82" s="28" t="str">
        <f>+IF(BA84&gt;1,AZ84,IF(BA85&gt;1,AZ85,IF(BA86&gt;1,AZ86,IF(BA87&gt;1,AZ87,"-"))))</f>
        <v>-</v>
      </c>
      <c r="BW82" s="23">
        <v>10</v>
      </c>
      <c r="BZ82" s="29">
        <f>+IF(BC84&gt;1,BB84,IF(BC85&gt;1,BB85,IF(BC86&gt;1,BB86,IF(BC87&gt;1,BB87,"-"))))</f>
        <v>9</v>
      </c>
      <c r="CQ82" s="23">
        <v>10</v>
      </c>
    </row>
    <row r="83" spans="1:102" x14ac:dyDescent="0.25">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490" t="s">
        <v>181</v>
      </c>
      <c r="Z83" s="491"/>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5">
      <c r="A84" s="38" t="s">
        <v>182</v>
      </c>
      <c r="B84" s="39">
        <v>46189</v>
      </c>
      <c r="C84" s="40"/>
      <c r="D84" s="41"/>
      <c r="E84" s="42" t="s">
        <v>50</v>
      </c>
      <c r="F84" s="43">
        <v>2</v>
      </c>
      <c r="G84" s="43">
        <v>1</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4</v>
      </c>
      <c r="T84" s="24">
        <f t="shared" ref="T84" si="394">+SUMIF(E84:E89,$O84,F84:F89)+SUMIF(H84:H89,$O84,G84:G89)</f>
        <v>5</v>
      </c>
      <c r="U84" s="24">
        <f t="shared" ref="U84" si="395">+SUMIF(E84:E89,$O84,G84:G89)+SUMIF(H84:H89,$O84,F84:F89)</f>
        <v>1</v>
      </c>
      <c r="V84" s="45">
        <f>+P84*3+Q84*1+BT84+CN84+S84/1000+T84/10000+AV84/1000000+ROW()/10000000</f>
        <v>9.0045084000000006</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4</v>
      </c>
      <c r="AF84" s="49">
        <f t="shared" ref="AF84:AF87" si="399">+_xlfn.XLOOKUP($Z84,$O:$O,T:T,"Error",0)</f>
        <v>5</v>
      </c>
      <c r="AG84" s="49">
        <f t="shared" ref="AG84:AH87" si="400">+_xlfn.XLOOKUP($Z84,$O:$O,U:U,"Error",0)</f>
        <v>1</v>
      </c>
      <c r="AH84" s="50">
        <f t="shared" si="400"/>
        <v>9.0045084000000006</v>
      </c>
      <c r="AI84" s="51"/>
      <c r="AL84" s="45">
        <f>+LARGE(V84:V87,1)</f>
        <v>9.0045084000000006</v>
      </c>
      <c r="AM84" s="52">
        <f>+(AH84-AL84)*100000000000000000000</f>
        <v>0</v>
      </c>
      <c r="AP84" s="53" t="str">
        <f>+O84</f>
        <v>Argentina</v>
      </c>
      <c r="AQ84" s="23">
        <f>+P84*3+Q84*1+BT84+CN84+S84/1000+T84/10000</f>
        <v>9.0045000000000002</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5</v>
      </c>
      <c r="BD84" s="29"/>
      <c r="BE84" s="25" t="str">
        <f>+IF(OR(BF84="-",BI84="-",BF82=0),"-","OK")</f>
        <v>-</v>
      </c>
      <c r="BF84" s="57" t="str">
        <f>+IF(_xlfn.XLOOKUP($E84,$AY:$AY,$AZ:$AZ,"-",0)=BF82,$E84,"-")</f>
        <v>-</v>
      </c>
      <c r="BG84" s="58">
        <f t="shared" ref="BG84:BG89" si="401">+$F84</f>
        <v>2</v>
      </c>
      <c r="BH84" s="59">
        <f t="shared" ref="BH84:BH89" si="402">+$G84</f>
        <v>1</v>
      </c>
      <c r="BI84" s="57" t="str">
        <f>+IF(_xlfn.XLOOKUP($H84,$AY:$AY,$AZ:$AZ,"-",0)=BF82,$H84,"-")</f>
        <v>-</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0</v>
      </c>
      <c r="BW84" s="24">
        <f>+BX84/$BW$1</f>
        <v>0.3</v>
      </c>
      <c r="BX84" s="23">
        <v>3</v>
      </c>
      <c r="BY84" s="25" t="str">
        <f t="shared" ref="BY84:BY89" si="403">+IF(OR(BZ84="-",CC84="-"),"-","OK")</f>
        <v>-</v>
      </c>
      <c r="BZ84" s="57" t="str">
        <f>+IF(_xlfn.XLOOKUP($E84,$AY:$AY,$AZ:$AZ,"-",0)=BZ82,$E84,"-")</f>
        <v>Argentina</v>
      </c>
      <c r="CA84" s="58">
        <f t="shared" ref="CA84:CA89" si="404">+$F84</f>
        <v>2</v>
      </c>
      <c r="CB84" s="59">
        <f t="shared" ref="CB84:CB89" si="405">+$G84</f>
        <v>1</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5">
      <c r="A85" s="38" t="s">
        <v>183</v>
      </c>
      <c r="B85" s="39">
        <v>46190</v>
      </c>
      <c r="C85" s="40"/>
      <c r="D85" s="41"/>
      <c r="E85" s="42" t="s">
        <v>72</v>
      </c>
      <c r="F85" s="43">
        <v>1</v>
      </c>
      <c r="G85" s="43">
        <v>0</v>
      </c>
      <c r="H85" s="44" t="s">
        <v>91</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1</v>
      </c>
      <c r="Q85" s="24">
        <f>+COUNTIF(K84:L89,"="&amp;$O85)</f>
        <v>0</v>
      </c>
      <c r="R85" s="24">
        <f>+COUNTIF(M84:M89,"="&amp;$O85)</f>
        <v>2</v>
      </c>
      <c r="S85" s="24">
        <f t="shared" ref="S85:S87" si="410">+T85-U85</f>
        <v>-1</v>
      </c>
      <c r="T85" s="24">
        <f t="shared" ref="T85" si="411">+SUMIF(E84:E89,$O85,F84:F89)+SUMIF(H84:H89,$O85,G84:G89)</f>
        <v>3</v>
      </c>
      <c r="U85" s="24">
        <f t="shared" ref="U85" si="412">+SUMIF(E84:E89,$O85,G84:G89)+SUMIF(H84:H89,$O85,F84:F89)</f>
        <v>4</v>
      </c>
      <c r="V85" s="45">
        <f>+P85*3+Q85*1+BT85+CN85+S85/1000+T85/10000+AV85/1000000+ROW()/10000000</f>
        <v>2.9993085000000002</v>
      </c>
      <c r="W85" s="26" t="str">
        <f t="shared" ref="W85:W87" si="413">+O85</f>
        <v>Argelia</v>
      </c>
      <c r="Y85" s="61" t="str">
        <f>+CONCATENATE("2",RIGHT(E83,1))</f>
        <v>2J</v>
      </c>
      <c r="Z85" s="62" t="str">
        <f>+VLOOKUP(AL85,V84:W87,2,FALSE)</f>
        <v>Austria</v>
      </c>
      <c r="AA85" s="63">
        <f t="shared" ref="AA85:AA87" si="414">+SUM(AB85:AD85)</f>
        <v>3</v>
      </c>
      <c r="AB85" s="49">
        <f t="shared" ref="AB85:AB87" si="415">+_xlfn.XLOOKUP($Z85,$O:$O,P:P,"Error",0)</f>
        <v>2</v>
      </c>
      <c r="AC85" s="49">
        <f t="shared" si="396"/>
        <v>0</v>
      </c>
      <c r="AD85" s="49">
        <f t="shared" si="397"/>
        <v>1</v>
      </c>
      <c r="AE85" s="49">
        <f t="shared" si="398"/>
        <v>2</v>
      </c>
      <c r="AF85" s="49">
        <f t="shared" si="399"/>
        <v>3</v>
      </c>
      <c r="AG85" s="49">
        <f t="shared" si="400"/>
        <v>1</v>
      </c>
      <c r="AH85" s="65">
        <f t="shared" si="400"/>
        <v>6.0023086000000001</v>
      </c>
      <c r="AI85" s="51"/>
      <c r="AL85" s="45">
        <f>+LARGE(V84:V87,2)</f>
        <v>6.0023086000000001</v>
      </c>
      <c r="AM85" s="52">
        <f>+(AH85-AL85)*100000000000000000000</f>
        <v>0</v>
      </c>
      <c r="AP85" s="53" t="str">
        <f>+O85</f>
        <v>Argelia</v>
      </c>
      <c r="AQ85" s="23">
        <f>+P85*3+Q85*1+BT85+CN85+S85/1000+T85/10000</f>
        <v>2.9993000000000003</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3</v>
      </c>
      <c r="BA85" s="29">
        <f>+COUNTIFS($AX$1:AX85,AX85,$AZ$1:AZ85,AZ85)</f>
        <v>1</v>
      </c>
      <c r="BB85" s="29">
        <f>+IF(AZ85=BF82,ROW()*0.001,AZ85)</f>
        <v>3</v>
      </c>
      <c r="BC85" s="29">
        <f>+COUNTIFS($AX$1:AZ85,AZ85,$AZ$1:BB85,BB85)</f>
        <v>6</v>
      </c>
      <c r="BD85" s="29"/>
      <c r="BE85" s="25" t="str">
        <f>+IF(OR(BF85="-",BI85="-",BF82=0),"-","OK")</f>
        <v>-</v>
      </c>
      <c r="BF85" s="57" t="str">
        <f>+IF(_xlfn.XLOOKUP($E85,$AY:$AY,$AZ:$AZ,"-",0)=BF82,$E85,"-")</f>
        <v>-</v>
      </c>
      <c r="BG85" s="58">
        <f t="shared" si="401"/>
        <v>1</v>
      </c>
      <c r="BH85" s="59">
        <f t="shared" si="402"/>
        <v>0</v>
      </c>
      <c r="BI85" s="57" t="str">
        <f>+IF(_xlfn.XLOOKUP($H85,$AY:$AY,$AZ:$AZ,"-",0)=BF82,$H85,"-")</f>
        <v>-</v>
      </c>
      <c r="BK85" s="26" t="str">
        <f>+O85</f>
        <v>Argelia</v>
      </c>
      <c r="BL85" s="26">
        <f>+COUNTIFS($BE:$BE,"OK",$BI:$BI,BK85)+COUNTIFS($BE:$BE,"OK",$BF:$BF,BK85)</f>
        <v>0</v>
      </c>
      <c r="BM85" s="24">
        <f>+COUNTIFS(J:J,$BK85,$BE:$BE,"OK")</f>
        <v>0</v>
      </c>
      <c r="BN85" s="24">
        <f>+COUNTIFS(K:K,$BK85,$BE:$BE,"OK")+COUNTIFS(L:L,$BK85,$BE:$BE,"OK")</f>
        <v>0</v>
      </c>
      <c r="BO85" s="24">
        <f>+COUNTIFS(M:M,$BK85,$BE:$BE,"OK")</f>
        <v>0</v>
      </c>
      <c r="BP85" s="24">
        <f>+BQ85-BR85</f>
        <v>0</v>
      </c>
      <c r="BQ85" s="24">
        <f>+SUMIFS(BG:BG,$BE:$BE,"OK",BF:BF,$BK85)+SUMIFS(BH:BH,$BE:$BE,"OK",BI:BI,$BK85)</f>
        <v>0</v>
      </c>
      <c r="BR85" s="24">
        <f>+SUMIFS(BH:BH,$BE:$BE,"OK",BF:BF,$BK85)+SUMIFS(BG:BG,$BE:$BE,"OK",BI:BI,$BK85)</f>
        <v>0</v>
      </c>
      <c r="BS85" s="60">
        <f>+BM85*3+BN85*1+BP85/100+BQ85/10000</f>
        <v>0</v>
      </c>
      <c r="BT85" s="29">
        <f>+IF(BL85=0,0,_xlfn.XLOOKUP(BS85,BV84:BV87,BW84:BW87))</f>
        <v>0</v>
      </c>
      <c r="BU85" s="45"/>
      <c r="BV85" s="24">
        <f>+LARGE(BS84:BS87,2)</f>
        <v>0</v>
      </c>
      <c r="BW85" s="24">
        <f>+BX85/$BW$1</f>
        <v>0.2</v>
      </c>
      <c r="BX85" s="23">
        <v>2</v>
      </c>
      <c r="BY85" s="25" t="str">
        <f t="shared" si="403"/>
        <v>-</v>
      </c>
      <c r="BZ85" s="57" t="str">
        <f>+IF(_xlfn.XLOOKUP($E85,$AY:$AY,$AZ:$AZ,"-",0)=BZ82,$E85,"-")</f>
        <v>-</v>
      </c>
      <c r="CA85" s="58">
        <f t="shared" si="404"/>
        <v>1</v>
      </c>
      <c r="CB85" s="59">
        <f t="shared" si="405"/>
        <v>0</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5">
      <c r="A86" s="38" t="s">
        <v>184</v>
      </c>
      <c r="B86" s="39">
        <v>46195</v>
      </c>
      <c r="C86" s="40"/>
      <c r="D86" s="41"/>
      <c r="E86" s="42" t="s">
        <v>50</v>
      </c>
      <c r="F86" s="43">
        <v>1</v>
      </c>
      <c r="G86" s="43">
        <v>0</v>
      </c>
      <c r="H86" s="44" t="s">
        <v>72</v>
      </c>
      <c r="J86" s="24" t="str">
        <f t="shared" si="406"/>
        <v>Argentina</v>
      </c>
      <c r="K86" s="24" t="str">
        <f t="shared" si="407"/>
        <v/>
      </c>
      <c r="L86" s="24" t="str">
        <f t="shared" si="408"/>
        <v/>
      </c>
      <c r="M86" s="24" t="str">
        <f t="shared" si="409"/>
        <v>Austria</v>
      </c>
      <c r="O86" s="26" t="str">
        <f>+E85</f>
        <v>Austria</v>
      </c>
      <c r="P86" s="24">
        <f>+COUNTIF(J84:J89,"="&amp;$O86)</f>
        <v>2</v>
      </c>
      <c r="Q86" s="24">
        <f>+COUNTIF(K84:L89,"="&amp;$O86)</f>
        <v>0</v>
      </c>
      <c r="R86" s="24">
        <f>+COUNTIF(M84:M89,"="&amp;$O86)</f>
        <v>1</v>
      </c>
      <c r="S86" s="24">
        <f t="shared" si="410"/>
        <v>2</v>
      </c>
      <c r="T86" s="24">
        <f t="shared" ref="T86" si="419">+SUMIF(E84:E89,$O86,F84:F89)+SUMIF(H84:H89,$O86,G84:G89)</f>
        <v>3</v>
      </c>
      <c r="U86" s="24">
        <f t="shared" ref="U86" si="420">+SUMIF(E84:E89,$O86,G84:G89)+SUMIF(H84:H89,$O86,F84:F89)</f>
        <v>1</v>
      </c>
      <c r="V86" s="45">
        <f>+P86*3+Q86*1+BT86+CN86+S86/1000+T86/10000+AV86/1000000+ROW()/10000000</f>
        <v>6.0023086000000001</v>
      </c>
      <c r="W86" s="26" t="str">
        <f t="shared" si="413"/>
        <v>Austria</v>
      </c>
      <c r="Y86" s="68" t="str">
        <f>+CONCATENATE("3",RIGHT(E83,1))</f>
        <v>3J</v>
      </c>
      <c r="Z86" s="69" t="str">
        <f>+VLOOKUP(AL86,V84:W87,2,FALSE)</f>
        <v>Argelia</v>
      </c>
      <c r="AA86" s="70">
        <f t="shared" si="414"/>
        <v>3</v>
      </c>
      <c r="AB86" s="71">
        <f t="shared" si="415"/>
        <v>1</v>
      </c>
      <c r="AC86" s="71">
        <f t="shared" si="396"/>
        <v>0</v>
      </c>
      <c r="AD86" s="71">
        <f t="shared" si="397"/>
        <v>2</v>
      </c>
      <c r="AE86" s="71">
        <f t="shared" si="398"/>
        <v>-1</v>
      </c>
      <c r="AF86" s="71">
        <f t="shared" si="399"/>
        <v>3</v>
      </c>
      <c r="AG86" s="71">
        <f t="shared" si="400"/>
        <v>4</v>
      </c>
      <c r="AH86" s="72">
        <f t="shared" si="400"/>
        <v>2.9993085000000002</v>
      </c>
      <c r="AI86" s="73">
        <f>+(COUNTIFS($CV$2:$CV$13,Z86,$CX$2:$CX$13,"IN")+COUNTIFS($CV$2:$CV$13,Z86,$CW$2:$CW$13,"IN"))*IF(SUM(AA84:AA87)=12,1,0)</f>
        <v>1</v>
      </c>
      <c r="AL86" s="45">
        <f>+LARGE(V84:V87,3)</f>
        <v>2.9993085000000002</v>
      </c>
      <c r="AM86" s="52">
        <f>+(AH86-AL86)*100000000000000000000</f>
        <v>0</v>
      </c>
      <c r="AP86" s="53" t="str">
        <f>+O86</f>
        <v>Austria</v>
      </c>
      <c r="AQ86" s="23">
        <f>+P86*3+Q86*1+BT86+CN86+S86/1000+T86/10000</f>
        <v>6.0023</v>
      </c>
      <c r="AR86" s="23" t="b">
        <f>+IF(OR(AQ86=AQ87),1)</f>
        <v>0</v>
      </c>
      <c r="AS86" s="54">
        <f t="shared" si="416"/>
        <v>0</v>
      </c>
      <c r="AT86" s="54">
        <f>+IF(AND(AM88="si",OR(AR84=1,AR85=1,AR86=1)),1,0)</f>
        <v>0</v>
      </c>
      <c r="AU86" s="66" t="str">
        <f t="shared" si="417"/>
        <v>Austria</v>
      </c>
      <c r="AV86" s="67"/>
      <c r="AX86" s="23" t="str">
        <f>+Y83</f>
        <v>Grupo J</v>
      </c>
      <c r="AY86" s="24" t="str">
        <f>+O86</f>
        <v>Austria</v>
      </c>
      <c r="AZ86" s="29">
        <f>+P86*3+Q86</f>
        <v>6</v>
      </c>
      <c r="BA86" s="29">
        <f>+COUNTIFS($AX$1:AX86,AX86,$AZ$1:AZ86,AZ86)</f>
        <v>1</v>
      </c>
      <c r="BB86" s="29">
        <f>+IF(AZ86=BF82,ROW()*0.001,AZ86)</f>
        <v>6</v>
      </c>
      <c r="BC86" s="29">
        <f>+COUNTIFS($AX$1:AZ86,AZ86,$AZ$1:BB86,BB86)</f>
        <v>4</v>
      </c>
      <c r="BD86" s="29"/>
      <c r="BE86" s="25" t="str">
        <f>+IF(OR(BF86="-",BI86="-",BF82=0),"-","OK")</f>
        <v>-</v>
      </c>
      <c r="BF86" s="57" t="str">
        <f>+IF(_xlfn.XLOOKUP($E86,$AY:$AY,$AZ:$AZ,"-",0)=BF82,$E86,"-")</f>
        <v>-</v>
      </c>
      <c r="BG86" s="58">
        <f t="shared" si="401"/>
        <v>1</v>
      </c>
      <c r="BH86" s="59">
        <f t="shared" si="402"/>
        <v>0</v>
      </c>
      <c r="BI86" s="57"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0</v>
      </c>
      <c r="BW86" s="24">
        <f>+BX86/$BW$1</f>
        <v>0.1</v>
      </c>
      <c r="BX86" s="23">
        <v>1</v>
      </c>
      <c r="BY86" s="25" t="str">
        <f t="shared" si="403"/>
        <v>-</v>
      </c>
      <c r="BZ86" s="57" t="str">
        <f>+IF(_xlfn.XLOOKUP($E86,$AY:$AY,$AZ:$AZ,"-",0)=BZ82,$E86,"-")</f>
        <v>Argentina</v>
      </c>
      <c r="CA86" s="58">
        <f t="shared" si="404"/>
        <v>1</v>
      </c>
      <c r="CB86" s="59">
        <f t="shared" si="405"/>
        <v>0</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5">
      <c r="A87" s="38" t="s">
        <v>185</v>
      </c>
      <c r="B87" s="39">
        <v>46196</v>
      </c>
      <c r="C87" s="40"/>
      <c r="D87" s="41"/>
      <c r="E87" s="42" t="s">
        <v>91</v>
      </c>
      <c r="F87" s="43">
        <v>0</v>
      </c>
      <c r="G87" s="43">
        <v>2</v>
      </c>
      <c r="H87" s="44" t="s">
        <v>74</v>
      </c>
      <c r="J87" s="24" t="str">
        <f t="shared" si="406"/>
        <v>Argelia</v>
      </c>
      <c r="K87" s="24" t="str">
        <f t="shared" si="407"/>
        <v/>
      </c>
      <c r="L87" s="24" t="str">
        <f t="shared" si="408"/>
        <v/>
      </c>
      <c r="M87" s="24" t="str">
        <f t="shared" si="409"/>
        <v>Jordania</v>
      </c>
      <c r="O87" s="26" t="str">
        <f>+H85</f>
        <v>Jordania</v>
      </c>
      <c r="P87" s="24">
        <f>+COUNTIF(J84:J89,"="&amp;$O87)</f>
        <v>0</v>
      </c>
      <c r="Q87" s="24">
        <f>+COUNTIF(K84:L89,"="&amp;$O87)</f>
        <v>0</v>
      </c>
      <c r="R87" s="24">
        <f>+COUNTIF(M84:M89,"="&amp;$O87)</f>
        <v>3</v>
      </c>
      <c r="S87" s="24">
        <f t="shared" si="410"/>
        <v>-5</v>
      </c>
      <c r="T87" s="24">
        <f t="shared" ref="T87" si="421">+SUMIF(E84:E89,$O87,F84:F89)+SUMIF(H84:H89,$O87,G84:G89)</f>
        <v>0</v>
      </c>
      <c r="U87" s="24">
        <f t="shared" ref="U87" si="422">+SUMIF(E84:E89,$O87,G84:G89)+SUMIF(H84:H89,$O87,F84:F89)</f>
        <v>5</v>
      </c>
      <c r="V87" s="45">
        <f>+P87*3+Q87*1+BT87+CN87+S87/1000+T87/10000+AV87/1000000+ROW()/10000000</f>
        <v>-4.9912999999999997E-3</v>
      </c>
      <c r="W87" s="26" t="str">
        <f t="shared" si="413"/>
        <v>Jordania</v>
      </c>
      <c r="Y87" s="74" t="str">
        <f>+CONCATENATE("4",RIGHT(E83,1))</f>
        <v>4J</v>
      </c>
      <c r="Z87" s="75" t="str">
        <f>+VLOOKUP(AL87,V84:W87,2,FALSE)</f>
        <v>Jordania</v>
      </c>
      <c r="AA87" s="76">
        <f t="shared" si="414"/>
        <v>3</v>
      </c>
      <c r="AB87" s="77">
        <f t="shared" si="415"/>
        <v>0</v>
      </c>
      <c r="AC87" s="77">
        <f t="shared" si="396"/>
        <v>0</v>
      </c>
      <c r="AD87" s="77">
        <f t="shared" si="397"/>
        <v>3</v>
      </c>
      <c r="AE87" s="77">
        <f t="shared" si="398"/>
        <v>-5</v>
      </c>
      <c r="AF87" s="77">
        <f t="shared" si="399"/>
        <v>0</v>
      </c>
      <c r="AG87" s="77">
        <f t="shared" si="400"/>
        <v>5</v>
      </c>
      <c r="AH87" s="78">
        <f t="shared" si="400"/>
        <v>-4.9912999999999997E-3</v>
      </c>
      <c r="AI87" s="73"/>
      <c r="AL87" s="45">
        <f>+LARGE(V84:V87,4)</f>
        <v>-4.9912999999999997E-3</v>
      </c>
      <c r="AM87" s="52">
        <f>+(AH87-AL87)*100000000000000000000</f>
        <v>0</v>
      </c>
      <c r="AP87" s="53" t="str">
        <f>+O87</f>
        <v>Jordania</v>
      </c>
      <c r="AQ87" s="23">
        <f>+P87*3+Q87*1+BT87+CN87+S87/1000+T87/10000</f>
        <v>-5.0000000000000001E-3</v>
      </c>
      <c r="AS87" s="54">
        <f t="shared" si="416"/>
        <v>0</v>
      </c>
      <c r="AT87" s="54">
        <f>+IF(AND(AM88="si",OR(AR84=1,AR85=1,AR86=1)),1,0)</f>
        <v>0</v>
      </c>
      <c r="AU87" s="79" t="str">
        <f t="shared" si="417"/>
        <v>Jordania</v>
      </c>
      <c r="AV87" s="80"/>
      <c r="AX87" s="23" t="str">
        <f>+Y83</f>
        <v>Grupo J</v>
      </c>
      <c r="AY87" s="24" t="str">
        <f>+O87</f>
        <v>Jordania</v>
      </c>
      <c r="AZ87" s="29">
        <f>+P87*3+Q87</f>
        <v>0</v>
      </c>
      <c r="BA87" s="29">
        <f>+COUNTIFS($AX$1:AX87,AX87,$AZ$1:AZ87,AZ87)</f>
        <v>1</v>
      </c>
      <c r="BB87" s="29">
        <f>+IF(AZ87=BF82,ROW()*0.001,AZ87)</f>
        <v>0</v>
      </c>
      <c r="BC87" s="29">
        <f>+COUNTIFS($AX$1:AZ87,AZ87,$AZ$1:BB87,BB87)</f>
        <v>8</v>
      </c>
      <c r="BD87" s="29"/>
      <c r="BE87" s="25" t="str">
        <f>+IF(OR(BF87="-",BI87="-",BF82=0),"-","OK")</f>
        <v>-</v>
      </c>
      <c r="BF87" s="57" t="str">
        <f>+IF(_xlfn.XLOOKUP($E87,$AY:$AY,$AZ:$AZ,"-",0)=BF82,$E87,"-")</f>
        <v>-</v>
      </c>
      <c r="BG87" s="58">
        <f t="shared" si="401"/>
        <v>0</v>
      </c>
      <c r="BH87" s="59">
        <f t="shared" si="402"/>
        <v>2</v>
      </c>
      <c r="BI87" s="57" t="str">
        <f>+IF(_xlfn.XLOOKUP($H87,$AY:$AY,$AZ:$AZ,"-",0)=BF82,$H87,"-")</f>
        <v>-</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v>
      </c>
      <c r="BZ87" s="57" t="str">
        <f>+IF(_xlfn.XLOOKUP($E87,$AY:$AY,$AZ:$AZ,"-",0)=BZ82,$E87,"-")</f>
        <v>-</v>
      </c>
      <c r="CA87" s="58">
        <f t="shared" si="404"/>
        <v>0</v>
      </c>
      <c r="CB87" s="59">
        <f t="shared" si="405"/>
        <v>2</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5">
      <c r="A88" s="38" t="s">
        <v>186</v>
      </c>
      <c r="B88" s="39">
        <v>46200</v>
      </c>
      <c r="C88" s="40"/>
      <c r="D88" s="41"/>
      <c r="E88" s="42" t="s">
        <v>91</v>
      </c>
      <c r="F88" s="43">
        <v>0</v>
      </c>
      <c r="G88" s="43">
        <v>2</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v>
      </c>
      <c r="BG88" s="58">
        <f t="shared" si="401"/>
        <v>0</v>
      </c>
      <c r="BH88" s="59">
        <f t="shared" si="402"/>
        <v>2</v>
      </c>
      <c r="BI88" s="57" t="str">
        <f>+IF(_xlfn.XLOOKUP($H88,$AY:$AY,$AZ:$AZ,"-",0)=BF82,$H88,"-")</f>
        <v>-</v>
      </c>
      <c r="BY88" s="25" t="str">
        <f t="shared" si="403"/>
        <v>-</v>
      </c>
      <c r="BZ88" s="57" t="str">
        <f>+IF(_xlfn.XLOOKUP($E88,$AY:$AY,$AZ:$AZ,"-",0)=BZ82,$E88,"-")</f>
        <v>-</v>
      </c>
      <c r="CA88" s="58">
        <f t="shared" si="404"/>
        <v>0</v>
      </c>
      <c r="CB88" s="59">
        <f t="shared" si="405"/>
        <v>2</v>
      </c>
      <c r="CC88" s="57" t="str">
        <f>+IF(_xlfn.XLOOKUP($H88,$AY:$AY,$AZ:$AZ,"-",0)=BZ82,$H88,"-")</f>
        <v>Argentina</v>
      </c>
    </row>
    <row r="89" spans="1:102" x14ac:dyDescent="0.25">
      <c r="A89" s="38" t="s">
        <v>187</v>
      </c>
      <c r="B89" s="39">
        <v>46200</v>
      </c>
      <c r="C89" s="40"/>
      <c r="D89" s="41"/>
      <c r="E89" s="42" t="s">
        <v>74</v>
      </c>
      <c r="F89" s="43">
        <v>0</v>
      </c>
      <c r="G89" s="43">
        <v>2</v>
      </c>
      <c r="H89" s="44" t="s">
        <v>72</v>
      </c>
      <c r="J89" s="24" t="str">
        <f t="shared" si="406"/>
        <v>Austria</v>
      </c>
      <c r="K89" s="24" t="str">
        <f t="shared" si="407"/>
        <v/>
      </c>
      <c r="L89" s="24" t="str">
        <f t="shared" si="408"/>
        <v/>
      </c>
      <c r="M89" s="24" t="str">
        <f t="shared" si="409"/>
        <v>Argelia</v>
      </c>
      <c r="Y89" s="53" t="s">
        <v>124</v>
      </c>
      <c r="AR89" s="23">
        <f>+IF(AND(AM88="si",OR(AR84=1,AR85=1,AR86=1)),1,0)</f>
        <v>0</v>
      </c>
      <c r="BE89" s="25" t="str">
        <f>+IF(OR(BF89="-",BI89="-",BF82=0),"-","OK")</f>
        <v>-</v>
      </c>
      <c r="BF89" s="57" t="str">
        <f>+IF(_xlfn.XLOOKUP($E89,$AY:$AY,$AZ:$AZ,"-",0)=BF82,$E89,"-")</f>
        <v>-</v>
      </c>
      <c r="BG89" s="58">
        <f t="shared" si="401"/>
        <v>0</v>
      </c>
      <c r="BH89" s="59">
        <f t="shared" si="402"/>
        <v>2</v>
      </c>
      <c r="BI89" s="57" t="str">
        <f>+IF(_xlfn.XLOOKUP($H89,$AY:$AY,$AZ:$AZ,"-",0)=BF82,$H89,"-")</f>
        <v>-</v>
      </c>
      <c r="BY89" s="25" t="str">
        <f t="shared" si="403"/>
        <v>-</v>
      </c>
      <c r="BZ89" s="57" t="str">
        <f>+IF(_xlfn.XLOOKUP($E89,$AY:$AY,$AZ:$AZ,"-",0)=BZ82,$E89,"-")</f>
        <v>-</v>
      </c>
      <c r="CA89" s="58">
        <f t="shared" si="404"/>
        <v>0</v>
      </c>
      <c r="CB89" s="59">
        <f t="shared" si="405"/>
        <v>2</v>
      </c>
      <c r="CC89" s="57" t="str">
        <f>+IF(_xlfn.XLOOKUP($H89,$AY:$AY,$AZ:$AZ,"-",0)=BZ82,$H89,"-")</f>
        <v>-</v>
      </c>
    </row>
    <row r="90" spans="1:102" s="83" customFormat="1" x14ac:dyDescent="0.25">
      <c r="A90" s="81"/>
      <c r="B90" s="82"/>
      <c r="C90" s="81"/>
      <c r="E90" s="84"/>
      <c r="F90" s="81"/>
      <c r="G90" s="81"/>
      <c r="H90" s="85"/>
      <c r="J90" s="81"/>
      <c r="K90" s="81"/>
      <c r="L90" s="81"/>
      <c r="M90" s="81"/>
      <c r="AV90" s="86"/>
      <c r="AW90" s="86"/>
      <c r="BE90" s="81"/>
      <c r="CW90" s="81"/>
      <c r="CX90" s="81"/>
    </row>
    <row r="91" spans="1:102" x14ac:dyDescent="0.25">
      <c r="A91" s="23"/>
      <c r="BF91" s="28">
        <f>+IF(BA93&gt;1,AZ93,IF(BA94&gt;1,AZ94,IF(BA95&gt;1,AZ95,IF(BA96&gt;1,AZ96,"-"))))</f>
        <v>7</v>
      </c>
      <c r="BW91" s="23">
        <v>10</v>
      </c>
      <c r="BZ91" s="29">
        <f>+IF(BC93&gt;1,BB93,IF(BC94&gt;1,BB94,IF(BC95&gt;1,BB95,IF(BC96&gt;1,BB96,"-"))))</f>
        <v>3</v>
      </c>
      <c r="CQ91" s="23">
        <v>10</v>
      </c>
    </row>
    <row r="92" spans="1:102" x14ac:dyDescent="0.25">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492" t="s">
        <v>188</v>
      </c>
      <c r="Z92" s="493"/>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5">
      <c r="A93" s="38" t="s">
        <v>189</v>
      </c>
      <c r="B93" s="39">
        <v>46190</v>
      </c>
      <c r="C93" s="40"/>
      <c r="D93" s="41"/>
      <c r="E93" s="42" t="s">
        <v>52</v>
      </c>
      <c r="F93" s="43">
        <v>2</v>
      </c>
      <c r="G93" s="43">
        <v>0</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2</v>
      </c>
      <c r="Q93" s="24">
        <f>+COUNTIF(K93:L98,"="&amp;$O93)</f>
        <v>1</v>
      </c>
      <c r="R93" s="24">
        <f>+COUNTIF(M93:M98,"="&amp;$O93)</f>
        <v>0</v>
      </c>
      <c r="S93" s="24">
        <f>+T93-U93</f>
        <v>4</v>
      </c>
      <c r="T93" s="24">
        <f t="shared" ref="T93" si="423">+SUMIF(E93:E98,$O93,F93:F98)+SUMIF(H93:H98,$O93,G93:G98)</f>
        <v>6</v>
      </c>
      <c r="U93" s="24">
        <f t="shared" ref="U93" si="424">+SUMIF(E93:E98,$O93,G93:G98)+SUMIF(H93:H98,$O93,F93:F98)</f>
        <v>2</v>
      </c>
      <c r="V93" s="45">
        <f>+P93*3+Q93*1+BT93+CN93+S93/1000+T93/10000+AV93/1000000+ROW()/10000000</f>
        <v>7.3046093000000001</v>
      </c>
      <c r="W93" s="26" t="str">
        <f>+O93</f>
        <v>Portugal</v>
      </c>
      <c r="Y93" s="46" t="str">
        <f>+CONCATENATE("1",RIGHT(E92,1))</f>
        <v>1K</v>
      </c>
      <c r="Z93" s="47" t="str">
        <f>+VLOOKUP(AL93,V93:W96,2,FALSE)</f>
        <v>Portugal</v>
      </c>
      <c r="AA93" s="48">
        <f>+SUM(AB93:AD93)</f>
        <v>3</v>
      </c>
      <c r="AB93" s="49">
        <f>+_xlfn.XLOOKUP($Z93,$O:$O,P:P,"Error",0)</f>
        <v>2</v>
      </c>
      <c r="AC93" s="49">
        <f t="shared" ref="AC93:AC96" si="425">+_xlfn.XLOOKUP($Z93,$O:$O,Q:Q,"Error",0)</f>
        <v>1</v>
      </c>
      <c r="AD93" s="49">
        <f t="shared" ref="AD93:AD96" si="426">+_xlfn.XLOOKUP($Z93,$O:$O,R:R,"Error",0)</f>
        <v>0</v>
      </c>
      <c r="AE93" s="49">
        <f t="shared" ref="AE93:AE96" si="427">+_xlfn.XLOOKUP($Z93,$O:$O,S:S,"Error",0)</f>
        <v>4</v>
      </c>
      <c r="AF93" s="49">
        <f t="shared" ref="AF93:AF96" si="428">+_xlfn.XLOOKUP($Z93,$O:$O,T:T,"Error",0)</f>
        <v>6</v>
      </c>
      <c r="AG93" s="49">
        <f t="shared" ref="AG93:AH96" si="429">+_xlfn.XLOOKUP($Z93,$O:$O,U:U,"Error",0)</f>
        <v>2</v>
      </c>
      <c r="AH93" s="50">
        <f t="shared" si="429"/>
        <v>7.3046093000000001</v>
      </c>
      <c r="AI93" s="51"/>
      <c r="AL93" s="45">
        <f>+LARGE(V93:V96,1)</f>
        <v>7.3046093000000001</v>
      </c>
      <c r="AM93" s="52">
        <f>+(AH93-AL93)*100000000000000000000</f>
        <v>0</v>
      </c>
      <c r="AP93" s="53" t="str">
        <f>+O93</f>
        <v>Portugal</v>
      </c>
      <c r="AQ93" s="23">
        <f>+P93*3+Q93*1+BT93+CN93+S93/1000+T93/10000</f>
        <v>7.3045999999999998</v>
      </c>
      <c r="AR93" s="23" t="b">
        <f>+IF(OR(AQ93=AQ94,AQ93=AQ95,AQ93=AQ96),1)</f>
        <v>0</v>
      </c>
      <c r="AS93" s="54">
        <f>+AV93</f>
        <v>0</v>
      </c>
      <c r="AT93" s="54">
        <f>+IF(AND(AM97="si",OR(AR93=1,AR94=1,AR95=1)),1,0)</f>
        <v>0</v>
      </c>
      <c r="AU93" s="55" t="str">
        <f>+O93</f>
        <v>Portugal</v>
      </c>
      <c r="AV93" s="56"/>
      <c r="AX93" s="23" t="str">
        <f>+Y92</f>
        <v>Grupo K</v>
      </c>
      <c r="AY93" s="24" t="str">
        <f>+O93</f>
        <v>Portugal</v>
      </c>
      <c r="AZ93" s="29">
        <f>+P93*3+Q93</f>
        <v>7</v>
      </c>
      <c r="BA93" s="29">
        <f>+COUNTIFS($AX$1:AX93,AX93,$AZ$1:AZ93,AZ93)</f>
        <v>1</v>
      </c>
      <c r="BB93" s="29">
        <f>+IF(AZ93=BF91,ROW()*0.001,AZ93)</f>
        <v>9.2999999999999999E-2</v>
      </c>
      <c r="BC93" s="29">
        <f>+COUNTIFS($AX$1:AZ93,AZ93,$AZ$1:BB93,BB93)</f>
        <v>1</v>
      </c>
      <c r="BD93" s="29"/>
      <c r="BE93" s="25" t="str">
        <f>+IF(OR(BF93="-",BI93="-",BF91=0),"-","OK")</f>
        <v>-</v>
      </c>
      <c r="BF93" s="57" t="str">
        <f>+IF(_xlfn.XLOOKUP($E93,$AY:$AY,$AZ:$AZ,"-",0)=BF91,$E93,"-")</f>
        <v>Portugal</v>
      </c>
      <c r="BG93" s="58">
        <f t="shared" ref="BG93:BG98" si="430">+$F93</f>
        <v>2</v>
      </c>
      <c r="BH93" s="59">
        <f t="shared" ref="BH93:BH98" si="431">+$G93</f>
        <v>0</v>
      </c>
      <c r="BI93" s="57" t="str">
        <f>+IF(_xlfn.XLOOKUP($H93,$AY:$AY,$AZ:$AZ,"-",0)=BF91,$H93,"-")</f>
        <v>-</v>
      </c>
      <c r="BK93" s="26" t="str">
        <f>+O93</f>
        <v>Portugal</v>
      </c>
      <c r="BL93" s="26">
        <f>+COUNTIFS($BE:$BE,"OK",$BI:$BI,BK93)+COUNTIFS($BE:$BE,"OK",$BF:$BF,BK93)</f>
        <v>1</v>
      </c>
      <c r="BM93" s="24">
        <f>+COUNTIFS(J:J,$BK93,$BE:$BE,"OK")</f>
        <v>0</v>
      </c>
      <c r="BN93" s="24">
        <f>+COUNTIFS(K:K,$BK93,$BE:$BE,"OK")+COUNTIFS(L:L,$BK93,$BE:$BE,"OK")</f>
        <v>1</v>
      </c>
      <c r="BO93" s="24">
        <f>+COUNTIFS(M:M,$BK93,$BE:$BE,"OK")</f>
        <v>0</v>
      </c>
      <c r="BP93" s="24">
        <f>+BQ93-BR93</f>
        <v>0</v>
      </c>
      <c r="BQ93" s="24">
        <f>+SUMIFS(BG:BG,$BE:$BE,"OK",BF:BF,$BK93)+SUMIFS(BH:BH,$BE:$BE,"OK",BI:BI,$BK93)</f>
        <v>2</v>
      </c>
      <c r="BR93" s="24">
        <f>+SUMIFS(BH:BH,$BE:$BE,"OK",BF:BF,$BK93)+SUMIFS(BG:BG,$BE:$BE,"OK",BI:BI,$BK93)</f>
        <v>2</v>
      </c>
      <c r="BS93" s="60">
        <f>+BM93*3+BN93*1+BP93/100+BQ93/10000</f>
        <v>1.0002</v>
      </c>
      <c r="BT93" s="29">
        <f>+IF(BL93=0,0,_xlfn.XLOOKUP(BS93,BV93:BV96,BW93:BW96))</f>
        <v>0.3</v>
      </c>
      <c r="BU93" s="45"/>
      <c r="BV93" s="24">
        <f>+LARGE(BS93:BS96,1)</f>
        <v>1.0002</v>
      </c>
      <c r="BW93" s="24">
        <f>+BX93/$BW$1</f>
        <v>0.3</v>
      </c>
      <c r="BX93" s="23">
        <v>3</v>
      </c>
      <c r="BY93" s="25" t="str">
        <f t="shared" ref="BY93:BY98" si="432">+IF(OR(BZ93="-",CC93="-"),"-","OK")</f>
        <v>-</v>
      </c>
      <c r="BZ93" s="57" t="str">
        <f>+IF(_xlfn.XLOOKUP($E93,$AY:$AY,$AZ:$AZ,"-",0)=BZ91,$E93,"-")</f>
        <v>-</v>
      </c>
      <c r="CA93" s="58">
        <f t="shared" ref="CA93:CA98" si="433">+$F93</f>
        <v>2</v>
      </c>
      <c r="CB93" s="59">
        <f t="shared" ref="CB93:CB98" si="434">+$G93</f>
        <v>0</v>
      </c>
      <c r="CC93" s="57" t="str">
        <f>+IF(_xlfn.XLOOKUP($H93,$AY:$AY,$AZ:$AZ,"-",0)=BZ91,$H93,"-")</f>
        <v>Congo</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5">
      <c r="A94" s="38" t="s">
        <v>190</v>
      </c>
      <c r="B94" s="39">
        <v>46190</v>
      </c>
      <c r="C94" s="40"/>
      <c r="D94" s="41"/>
      <c r="E94" s="42" t="s">
        <v>88</v>
      </c>
      <c r="F94" s="43">
        <v>1</v>
      </c>
      <c r="G94" s="43">
        <v>3</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1</v>
      </c>
      <c r="Q94" s="24">
        <f>+COUNTIF(K93:L98,"="&amp;$O94)</f>
        <v>0</v>
      </c>
      <c r="R94" s="24">
        <f>+COUNTIF(M93:M98,"="&amp;$O94)</f>
        <v>2</v>
      </c>
      <c r="S94" s="24">
        <f t="shared" ref="S94:S96" si="439">+T94-U94</f>
        <v>-2</v>
      </c>
      <c r="T94" s="24">
        <f t="shared" ref="T94" si="440">+SUMIF(E93:E98,$O94,F93:F98)+SUMIF(H93:H98,$O94,G93:G98)</f>
        <v>2</v>
      </c>
      <c r="U94" s="24">
        <f t="shared" ref="U94" si="441">+SUMIF(E93:E98,$O94,G93:G98)+SUMIF(H93:H98,$O94,F93:F98)</f>
        <v>4</v>
      </c>
      <c r="V94" s="45">
        <f t="shared" ref="V94:V96" si="442">+P94*3+Q94*1+BT94+CN94+S94/1000+T94/10000+AV94/1000000+ROW()/10000000</f>
        <v>2.9982094000000004</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1</v>
      </c>
      <c r="AD94" s="49">
        <f t="shared" si="426"/>
        <v>0</v>
      </c>
      <c r="AE94" s="49">
        <f t="shared" si="427"/>
        <v>3</v>
      </c>
      <c r="AF94" s="49">
        <f t="shared" si="428"/>
        <v>7</v>
      </c>
      <c r="AG94" s="49">
        <f t="shared" si="429"/>
        <v>4</v>
      </c>
      <c r="AH94" s="65">
        <f t="shared" si="429"/>
        <v>7.3037096000000004</v>
      </c>
      <c r="AI94" s="51"/>
      <c r="AL94" s="45">
        <f>+LARGE(V93:V96,2)</f>
        <v>7.3037096000000004</v>
      </c>
      <c r="AM94" s="52">
        <f>+(AH94-AL94)*100000000000000000000</f>
        <v>0</v>
      </c>
      <c r="AP94" s="53" t="str">
        <f>+O94</f>
        <v>Congo</v>
      </c>
      <c r="AQ94" s="23">
        <f>+P94*3+Q94*1+BT94+CN94+S94/1000+T94/10000</f>
        <v>2.9982000000000002</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3</v>
      </c>
      <c r="BA94" s="29">
        <f>+COUNTIFS($AX$1:AX94,AX94,$AZ$1:AZ94,AZ94)</f>
        <v>1</v>
      </c>
      <c r="BB94" s="29">
        <f>+IF(AZ94=BF91,ROW()*0.001,AZ94)</f>
        <v>3</v>
      </c>
      <c r="BC94" s="29">
        <f>+COUNTIFS($AX$1:AZ94,AZ94,$AZ$1:BB94,BB94)</f>
        <v>7</v>
      </c>
      <c r="BD94" s="29"/>
      <c r="BE94" s="25" t="str">
        <f>+IF(OR(BF94="-",BI94="-",BF91=0),"-","OK")</f>
        <v>-</v>
      </c>
      <c r="BF94" s="57" t="str">
        <f>+IF(_xlfn.XLOOKUP($E94,$AY:$AY,$AZ:$AZ,"-",0)=BF91,$E94,"-")</f>
        <v>-</v>
      </c>
      <c r="BG94" s="58">
        <f t="shared" si="430"/>
        <v>1</v>
      </c>
      <c r="BH94" s="59">
        <f t="shared" si="431"/>
        <v>3</v>
      </c>
      <c r="BI94" s="57" t="str">
        <f>+IF(_xlfn.XLOOKUP($H94,$AY:$AY,$AZ:$AZ,"-",0)=BF91,$H94,"-")</f>
        <v>Colombia</v>
      </c>
      <c r="BK94" s="26" t="str">
        <f>+O94</f>
        <v>Congo</v>
      </c>
      <c r="BL94" s="26">
        <f>+COUNTIFS($BE:$BE,"OK",$BI:$BI,BK94)+COUNTIFS($BE:$BE,"OK",$BF:$BF,BK94)</f>
        <v>0</v>
      </c>
      <c r="BM94" s="24">
        <f>+COUNTIFS(J:J,$BK94,$BE:$BE,"OK")</f>
        <v>0</v>
      </c>
      <c r="BN94" s="24">
        <f>+COUNTIFS(K:K,$BK94,$BE:$BE,"OK")+COUNTIFS(L:L,$BK94,$BE:$BE,"OK")</f>
        <v>0</v>
      </c>
      <c r="BO94" s="24">
        <f>+COUNTIFS(M:M,$BK94,$BE:$BE,"OK")</f>
        <v>0</v>
      </c>
      <c r="BP94" s="24">
        <f>+BQ94-BR94</f>
        <v>0</v>
      </c>
      <c r="BQ94" s="24">
        <f>+SUMIFS(BG:BG,$BE:$BE,"OK",BF:BF,$BK94)+SUMIFS(BH:BH,$BE:$BE,"OK",BI:BI,$BK94)</f>
        <v>0</v>
      </c>
      <c r="BR94" s="24">
        <f>+SUMIFS(BH:BH,$BE:$BE,"OK",BF:BF,$BK94)+SUMIFS(BG:BG,$BE:$BE,"OK",BI:BI,$BK94)</f>
        <v>0</v>
      </c>
      <c r="BS94" s="60">
        <f>+BM94*3+BN94*1+BP94/100+BQ94/10000</f>
        <v>0</v>
      </c>
      <c r="BT94" s="29">
        <f>+IF(BL94=0,0,_xlfn.XLOOKUP(BS94,BV93:BV96,BW93:BW96))</f>
        <v>0</v>
      </c>
      <c r="BU94" s="45"/>
      <c r="BV94" s="24">
        <f>+LARGE(BS93:BS96,2)</f>
        <v>1.0002</v>
      </c>
      <c r="BW94" s="24">
        <f>+BX94/$BW$1</f>
        <v>0.2</v>
      </c>
      <c r="BX94" s="23">
        <v>2</v>
      </c>
      <c r="BY94" s="25" t="str">
        <f t="shared" si="432"/>
        <v>-</v>
      </c>
      <c r="BZ94" s="57" t="str">
        <f>+IF(_xlfn.XLOOKUP($E94,$AY:$AY,$AZ:$AZ,"-",0)=BZ91,$E94,"-")</f>
        <v>-</v>
      </c>
      <c r="CA94" s="58">
        <f t="shared" si="433"/>
        <v>1</v>
      </c>
      <c r="CB94" s="59">
        <f t="shared" si="434"/>
        <v>3</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5">
      <c r="A95" s="38" t="s">
        <v>191</v>
      </c>
      <c r="B95" s="39">
        <v>46196</v>
      </c>
      <c r="C95" s="40"/>
      <c r="D95" s="41"/>
      <c r="E95" s="42" t="s">
        <v>52</v>
      </c>
      <c r="F95" s="43">
        <v>2</v>
      </c>
      <c r="G95" s="43">
        <v>0</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0</v>
      </c>
      <c r="R95" s="24">
        <f>+COUNTIF(M93:M98,"="&amp;$O95)</f>
        <v>3</v>
      </c>
      <c r="S95" s="24">
        <f t="shared" si="439"/>
        <v>-5</v>
      </c>
      <c r="T95" s="24">
        <f t="shared" ref="T95" si="449">+SUMIF(E93:E98,$O95,F93:F98)+SUMIF(H93:H98,$O95,G93:G98)</f>
        <v>1</v>
      </c>
      <c r="U95" s="24">
        <f t="shared" ref="U95" si="450">+SUMIF(E93:E98,$O95,G93:G98)+SUMIF(H93:H98,$O95,F93:F98)</f>
        <v>6</v>
      </c>
      <c r="V95" s="45">
        <f t="shared" si="442"/>
        <v>-4.8904999999999999E-3</v>
      </c>
      <c r="W95" s="26" t="str">
        <f t="shared" si="443"/>
        <v>Uzbekistan</v>
      </c>
      <c r="Y95" s="68" t="str">
        <f>+CONCATENATE("3",RIGHT(E92,1))</f>
        <v>3K</v>
      </c>
      <c r="Z95" s="69" t="str">
        <f>+VLOOKUP(AL95,V93:W96,2,FALSE)</f>
        <v>Congo</v>
      </c>
      <c r="AA95" s="70">
        <f t="shared" si="444"/>
        <v>3</v>
      </c>
      <c r="AB95" s="71">
        <f t="shared" si="445"/>
        <v>1</v>
      </c>
      <c r="AC95" s="71">
        <f t="shared" si="425"/>
        <v>0</v>
      </c>
      <c r="AD95" s="71">
        <f t="shared" si="426"/>
        <v>2</v>
      </c>
      <c r="AE95" s="71">
        <f t="shared" si="427"/>
        <v>-2</v>
      </c>
      <c r="AF95" s="71">
        <f t="shared" si="428"/>
        <v>2</v>
      </c>
      <c r="AG95" s="71">
        <f t="shared" si="429"/>
        <v>4</v>
      </c>
      <c r="AH95" s="72">
        <f t="shared" si="429"/>
        <v>2.9982094000000004</v>
      </c>
      <c r="AI95" s="73">
        <f>+(COUNTIFS($CV$2:$CV$13,Z95,$CX$2:$CX$13,"IN")+COUNTIFS($CV$2:$CV$13,Z95,$CW$2:$CW$13,"IN"))*IF(SUM(AA93:AA96)=12,1,0)</f>
        <v>0</v>
      </c>
      <c r="AL95" s="45">
        <f>+LARGE(V93:V96,3)</f>
        <v>2.9982094000000004</v>
      </c>
      <c r="AM95" s="52">
        <f>+(AH95-AL95)*100000000000000000000</f>
        <v>0</v>
      </c>
      <c r="AP95" s="53" t="str">
        <f>+O95</f>
        <v>Uzbekistan</v>
      </c>
      <c r="AQ95" s="23">
        <f>+P95*3+Q95*1+BT95+CN95+S95/1000+T95/10000</f>
        <v>-4.8999999999999998E-3</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0</v>
      </c>
      <c r="BA95" s="29">
        <f>+COUNTIFS($AX$1:AX95,AX95,$AZ$1:AZ95,AZ95)</f>
        <v>1</v>
      </c>
      <c r="BB95" s="29">
        <f>+IF(AZ95=BF91,ROW()*0.001,AZ95)</f>
        <v>0</v>
      </c>
      <c r="BC95" s="29">
        <f>+COUNTIFS($AX$1:AZ95,AZ95,$AZ$1:BB95,BB95)</f>
        <v>9</v>
      </c>
      <c r="BD95" s="29"/>
      <c r="BE95" s="25" t="str">
        <f>+IF(OR(BF95="-",BI95="-",BF91=0),"-","OK")</f>
        <v>-</v>
      </c>
      <c r="BF95" s="57" t="str">
        <f>+IF(_xlfn.XLOOKUP($E95,$AY:$AY,$AZ:$AZ,"-",0)=BF91,$E95,"-")</f>
        <v>Portugal</v>
      </c>
      <c r="BG95" s="58">
        <f t="shared" si="430"/>
        <v>2</v>
      </c>
      <c r="BH95" s="59">
        <f t="shared" si="431"/>
        <v>0</v>
      </c>
      <c r="BI95" s="57" t="str">
        <f>+IF(_xlfn.XLOOKUP($H95,$AY:$AY,$AZ:$AZ,"-",0)=BF91,$H95,"-")</f>
        <v>-</v>
      </c>
      <c r="BK95" s="26" t="str">
        <f>+O95</f>
        <v>Uzbekistan</v>
      </c>
      <c r="BL95" s="26">
        <f>+COUNTIFS($BE:$BE,"OK",$BI:$BI,BK95)+COUNTIFS($BE:$BE,"OK",$BF:$BF,BK95)</f>
        <v>0</v>
      </c>
      <c r="BM95" s="24">
        <f>+COUNTIFS(J:J,$BK95,$BE:$BE,"OK")</f>
        <v>0</v>
      </c>
      <c r="BN95" s="24">
        <f>+COUNTIFS(K:K,$BK95,$BE:$BE,"OK")+COUNTIFS(L:L,$BK95,$BE:$BE,"OK")</f>
        <v>0</v>
      </c>
      <c r="BO95" s="24">
        <f>+COUNTIFS(M:M,$BK95,$BE:$BE,"OK")</f>
        <v>0</v>
      </c>
      <c r="BP95" s="24">
        <f>+BQ95-BR95</f>
        <v>0</v>
      </c>
      <c r="BQ95" s="24">
        <f>+SUMIFS(BG:BG,$BE:$BE,"OK",BF:BF,$BK95)+SUMIFS(BH:BH,$BE:$BE,"OK",BI:BI,$BK95)</f>
        <v>0</v>
      </c>
      <c r="BR95" s="24">
        <f>+SUMIFS(BH:BH,$BE:$BE,"OK",BF:BF,$BK95)+SUMIFS(BG:BG,$BE:$BE,"OK",BI:BI,$BK95)</f>
        <v>0</v>
      </c>
      <c r="BS95" s="60">
        <f>+BM95*3+BN95*1+BP95/100+BQ95/10000</f>
        <v>0</v>
      </c>
      <c r="BT95" s="29">
        <f>+IF(BL95=0,0,_xlfn.XLOOKUP(BS95,BV93:BV96,BW93:BW96))</f>
        <v>0</v>
      </c>
      <c r="BU95" s="45"/>
      <c r="BV95" s="24">
        <f>+LARGE(BS93:BS96,3)</f>
        <v>0</v>
      </c>
      <c r="BW95" s="24">
        <f>+BX95/$BW$1</f>
        <v>0.1</v>
      </c>
      <c r="BX95" s="23">
        <v>1</v>
      </c>
      <c r="BY95" s="25" t="str">
        <f t="shared" si="432"/>
        <v>-</v>
      </c>
      <c r="BZ95" s="57" t="str">
        <f>+IF(_xlfn.XLOOKUP($E95,$AY:$AY,$AZ:$AZ,"-",0)=BZ91,$E95,"-")</f>
        <v>-</v>
      </c>
      <c r="CA95" s="58">
        <f t="shared" si="433"/>
        <v>2</v>
      </c>
      <c r="CB95" s="59">
        <f t="shared" si="434"/>
        <v>0</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5">
      <c r="A96" s="38" t="s">
        <v>192</v>
      </c>
      <c r="B96" s="39">
        <v>46196</v>
      </c>
      <c r="C96" s="40"/>
      <c r="D96" s="41"/>
      <c r="E96" s="42" t="s">
        <v>60</v>
      </c>
      <c r="F96" s="43">
        <v>2</v>
      </c>
      <c r="G96" s="43">
        <v>1</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1</v>
      </c>
      <c r="R96" s="24">
        <f>+COUNTIF(M93:M98,"="&amp;$O96)</f>
        <v>0</v>
      </c>
      <c r="S96" s="24">
        <f t="shared" si="439"/>
        <v>3</v>
      </c>
      <c r="T96" s="24">
        <f t="shared" ref="T96" si="451">+SUMIF(E93:E98,$O96,F93:F98)+SUMIF(H93:H98,$O96,G93:G98)</f>
        <v>7</v>
      </c>
      <c r="U96" s="24">
        <f t="shared" ref="U96" si="452">+SUMIF(E93:E98,$O96,G93:G98)+SUMIF(H93:H98,$O96,F93:F98)</f>
        <v>4</v>
      </c>
      <c r="V96" s="45">
        <f t="shared" si="442"/>
        <v>7.3037096000000004</v>
      </c>
      <c r="W96" s="26" t="str">
        <f t="shared" si="443"/>
        <v>Colombia</v>
      </c>
      <c r="Y96" s="74" t="str">
        <f>+CONCATENATE("4",RIGHT(E92,1))</f>
        <v>4K</v>
      </c>
      <c r="Z96" s="75" t="str">
        <f>+VLOOKUP(AL96,V93:W96,2,FALSE)</f>
        <v>Uzbekistan</v>
      </c>
      <c r="AA96" s="76">
        <f t="shared" si="444"/>
        <v>3</v>
      </c>
      <c r="AB96" s="77">
        <f t="shared" si="445"/>
        <v>0</v>
      </c>
      <c r="AC96" s="77">
        <f t="shared" si="425"/>
        <v>0</v>
      </c>
      <c r="AD96" s="77">
        <f t="shared" si="426"/>
        <v>3</v>
      </c>
      <c r="AE96" s="77">
        <f t="shared" si="427"/>
        <v>-5</v>
      </c>
      <c r="AF96" s="77">
        <f t="shared" si="428"/>
        <v>1</v>
      </c>
      <c r="AG96" s="77">
        <f t="shared" si="429"/>
        <v>6</v>
      </c>
      <c r="AH96" s="78">
        <f t="shared" si="429"/>
        <v>-4.8904999999999999E-3</v>
      </c>
      <c r="AI96" s="73"/>
      <c r="AL96" s="45">
        <f>+LARGE(V93:V96,4)</f>
        <v>-4.8904999999999999E-3</v>
      </c>
      <c r="AM96" s="52">
        <f>+(AH96-AL96)*100000000000000000000</f>
        <v>0</v>
      </c>
      <c r="AP96" s="53" t="str">
        <f>+O96</f>
        <v>Colombia</v>
      </c>
      <c r="AQ96" s="23">
        <f>+P96*3+Q96*1+BT96+CN96+S96/1000+T96/10000</f>
        <v>7.3037000000000001</v>
      </c>
      <c r="AS96" s="54">
        <f t="shared" si="446"/>
        <v>0</v>
      </c>
      <c r="AT96" s="54">
        <f>+IF(AND(AM97="si",OR(AR93=1,AR94=1,AR95=1)),1,0)</f>
        <v>0</v>
      </c>
      <c r="AU96" s="79" t="str">
        <f t="shared" si="447"/>
        <v>Colombia</v>
      </c>
      <c r="AV96" s="80"/>
      <c r="AX96" s="23" t="str">
        <f>+Y92</f>
        <v>Grupo K</v>
      </c>
      <c r="AY96" s="24" t="str">
        <f>+O96</f>
        <v>Colombia</v>
      </c>
      <c r="AZ96" s="29">
        <f>+P96*3+Q96</f>
        <v>7</v>
      </c>
      <c r="BA96" s="29">
        <f>+COUNTIFS($AX$1:AX96,AX96,$AZ$1:AZ96,AZ96)</f>
        <v>2</v>
      </c>
      <c r="BB96" s="29">
        <f>+IF(AZ96=BF91,ROW()*0.001,AZ96)</f>
        <v>9.6000000000000002E-2</v>
      </c>
      <c r="BC96" s="29">
        <f>+COUNTIFS($AX$1:AZ96,AZ96,$AZ$1:BB96,BB96)</f>
        <v>1</v>
      </c>
      <c r="BD96" s="29"/>
      <c r="BE96" s="25" t="str">
        <f>+IF(OR(BF96="-",BI96="-",BF91=0),"-","OK")</f>
        <v>-</v>
      </c>
      <c r="BF96" s="57" t="str">
        <f>+IF(_xlfn.XLOOKUP($E96,$AY:$AY,$AZ:$AZ,"-",0)=BF91,$E96,"-")</f>
        <v>Colombia</v>
      </c>
      <c r="BG96" s="58">
        <f t="shared" si="430"/>
        <v>2</v>
      </c>
      <c r="BH96" s="59">
        <f t="shared" si="431"/>
        <v>1</v>
      </c>
      <c r="BI96" s="57" t="str">
        <f>+IF(_xlfn.XLOOKUP($H96,$AY:$AY,$AZ:$AZ,"-",0)=BF91,$H96,"-")</f>
        <v>-</v>
      </c>
      <c r="BK96" s="26" t="str">
        <f>+O96</f>
        <v>Colombia</v>
      </c>
      <c r="BL96" s="26">
        <f>+COUNTIFS($BE:$BE,"OK",$BI:$BI,BK96)+COUNTIFS($BE:$BE,"OK",$BF:$BF,BK96)</f>
        <v>1</v>
      </c>
      <c r="BM96" s="24">
        <f>+COUNTIFS(J:J,$BK96,$BE:$BE,"OK")</f>
        <v>0</v>
      </c>
      <c r="BN96" s="24">
        <f>+COUNTIFS(K:K,$BK96,$BE:$BE,"OK")+COUNTIFS(L:L,$BK96,$BE:$BE,"OK")</f>
        <v>1</v>
      </c>
      <c r="BO96" s="24">
        <f>+COUNTIFS(M:M,$BK96,$BE:$BE,"OK")</f>
        <v>0</v>
      </c>
      <c r="BP96" s="24">
        <f>+BQ96-BR96</f>
        <v>0</v>
      </c>
      <c r="BQ96" s="24">
        <f>+SUMIFS(BG:BG,$BE:$BE,"OK",BF:BF,$BK96)+SUMIFS(BH:BH,$BE:$BE,"OK",BI:BI,$BK96)</f>
        <v>2</v>
      </c>
      <c r="BR96" s="24">
        <f>+SUMIFS(BH:BH,$BE:$BE,"OK",BF:BF,$BK96)+SUMIFS(BG:BG,$BE:$BE,"OK",BI:BI,$BK96)</f>
        <v>2</v>
      </c>
      <c r="BS96" s="60">
        <f>+BM96*3+BN96*1+BP96/100+BQ96/10000</f>
        <v>1.0002</v>
      </c>
      <c r="BT96" s="29">
        <f>+IF(BL96=0,0,_xlfn.XLOOKUP(BS96,BV93:BV96,BW93:BW96))</f>
        <v>0.3</v>
      </c>
      <c r="BU96" s="45"/>
      <c r="BV96" s="24">
        <f>+LARGE(BS93:BS96,4)</f>
        <v>0</v>
      </c>
      <c r="BW96" s="24">
        <f>+BX96/$BW$1</f>
        <v>0</v>
      </c>
      <c r="BX96" s="23">
        <v>0</v>
      </c>
      <c r="BY96" s="25" t="str">
        <f t="shared" si="432"/>
        <v>-</v>
      </c>
      <c r="BZ96" s="57" t="str">
        <f>+IF(_xlfn.XLOOKUP($E96,$AY:$AY,$AZ:$AZ,"-",0)=BZ91,$E96,"-")</f>
        <v>-</v>
      </c>
      <c r="CA96" s="58">
        <f t="shared" si="433"/>
        <v>2</v>
      </c>
      <c r="CB96" s="59">
        <f t="shared" si="434"/>
        <v>1</v>
      </c>
      <c r="CC96" s="57" t="str">
        <f>+IF(_xlfn.XLOOKUP($H96,$AY:$AY,$AZ:$AZ,"-",0)=BZ91,$H96,"-")</f>
        <v>Congo</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5">
      <c r="A97" s="38" t="s">
        <v>193</v>
      </c>
      <c r="B97" s="39">
        <v>46200</v>
      </c>
      <c r="C97" s="40"/>
      <c r="D97" s="41"/>
      <c r="E97" s="42" t="s">
        <v>60</v>
      </c>
      <c r="F97" s="43">
        <v>2</v>
      </c>
      <c r="G97" s="43">
        <v>2</v>
      </c>
      <c r="H97" s="44" t="s">
        <v>52</v>
      </c>
      <c r="J97" s="24" t="str">
        <f t="shared" si="435"/>
        <v/>
      </c>
      <c r="K97" s="24" t="str">
        <f t="shared" si="436"/>
        <v>Colombia</v>
      </c>
      <c r="L97" s="24" t="str">
        <f t="shared" si="437"/>
        <v>Portugal</v>
      </c>
      <c r="M97" s="24" t="str">
        <f t="shared" si="438"/>
        <v/>
      </c>
      <c r="AL97" s="25" t="s">
        <v>122</v>
      </c>
      <c r="AM97" s="52" t="str">
        <f>+IF(SUM(AA93:AA96)=12,"si","no")</f>
        <v>si</v>
      </c>
      <c r="BE97" s="25" t="str">
        <f>+IF(OR(BF97="-",BI97="-",BF91=0),"-","OK")</f>
        <v>OK</v>
      </c>
      <c r="BF97" s="57" t="str">
        <f>+IF(_xlfn.XLOOKUP($E97,$AY:$AY,$AZ:$AZ,"-",0)=BF91,$E97,"-")</f>
        <v>Colombia</v>
      </c>
      <c r="BG97" s="58">
        <f t="shared" si="430"/>
        <v>2</v>
      </c>
      <c r="BH97" s="59">
        <f t="shared" si="431"/>
        <v>2</v>
      </c>
      <c r="BI97" s="57" t="str">
        <f>+IF(_xlfn.XLOOKUP($H97,$AY:$AY,$AZ:$AZ,"-",0)=BF91,$H97,"-")</f>
        <v>Portugal</v>
      </c>
      <c r="BY97" s="25" t="str">
        <f t="shared" si="432"/>
        <v>-</v>
      </c>
      <c r="BZ97" s="57" t="str">
        <f>+IF(_xlfn.XLOOKUP($E97,$AY:$AY,$AZ:$AZ,"-",0)=BZ91,$E97,"-")</f>
        <v>-</v>
      </c>
      <c r="CA97" s="58">
        <f t="shared" si="433"/>
        <v>2</v>
      </c>
      <c r="CB97" s="59">
        <f t="shared" si="434"/>
        <v>2</v>
      </c>
      <c r="CC97" s="57" t="str">
        <f>+IF(_xlfn.XLOOKUP($H97,$AY:$AY,$AZ:$AZ,"-",0)=BZ91,$H97,"-")</f>
        <v>-</v>
      </c>
    </row>
    <row r="98" spans="1:102" x14ac:dyDescent="0.25">
      <c r="A98" s="38" t="s">
        <v>194</v>
      </c>
      <c r="B98" s="39">
        <v>46200</v>
      </c>
      <c r="C98" s="40"/>
      <c r="D98" s="41"/>
      <c r="E98" s="42" t="s">
        <v>87</v>
      </c>
      <c r="F98" s="43">
        <v>1</v>
      </c>
      <c r="G98" s="43">
        <v>0</v>
      </c>
      <c r="H98" s="44" t="s">
        <v>88</v>
      </c>
      <c r="J98" s="24" t="str">
        <f t="shared" si="435"/>
        <v>Congo</v>
      </c>
      <c r="K98" s="24" t="str">
        <f t="shared" si="436"/>
        <v/>
      </c>
      <c r="L98" s="24" t="str">
        <f t="shared" si="437"/>
        <v/>
      </c>
      <c r="M98" s="24" t="str">
        <f t="shared" si="438"/>
        <v>Uzbekistan</v>
      </c>
      <c r="Y98" s="53" t="s">
        <v>124</v>
      </c>
      <c r="AR98" s="23">
        <f>+IF(AND(AM97="si",OR(AR93=1,AR94=1,AR95=1)),1,0)</f>
        <v>0</v>
      </c>
      <c r="BE98" s="25" t="str">
        <f>+IF(OR(BF98="-",BI98="-",BF91=0),"-","OK")</f>
        <v>-</v>
      </c>
      <c r="BF98" s="57" t="str">
        <f>+IF(_xlfn.XLOOKUP($E98,$AY:$AY,$AZ:$AZ,"-",0)=BF91,$E98,"-")</f>
        <v>-</v>
      </c>
      <c r="BG98" s="58">
        <f t="shared" si="430"/>
        <v>1</v>
      </c>
      <c r="BH98" s="59">
        <f t="shared" si="431"/>
        <v>0</v>
      </c>
      <c r="BI98" s="57" t="str">
        <f>+IF(_xlfn.XLOOKUP($H98,$AY:$AY,$AZ:$AZ,"-",0)=BF91,$H98,"-")</f>
        <v>-</v>
      </c>
      <c r="BY98" s="25" t="str">
        <f t="shared" si="432"/>
        <v>-</v>
      </c>
      <c r="BZ98" s="57" t="str">
        <f>+IF(_xlfn.XLOOKUP($E98,$AY:$AY,$AZ:$AZ,"-",0)=BZ91,$E98,"-")</f>
        <v>Congo</v>
      </c>
      <c r="CA98" s="58">
        <f t="shared" si="433"/>
        <v>1</v>
      </c>
      <c r="CB98" s="59">
        <f t="shared" si="434"/>
        <v>0</v>
      </c>
      <c r="CC98" s="57" t="str">
        <f>+IF(_xlfn.XLOOKUP($H98,$AY:$AY,$AZ:$AZ,"-",0)=BZ91,$H98,"-")</f>
        <v>-</v>
      </c>
    </row>
    <row r="99" spans="1:102" s="83" customFormat="1" x14ac:dyDescent="0.25">
      <c r="A99" s="81"/>
      <c r="B99" s="82"/>
      <c r="C99" s="81"/>
      <c r="E99" s="84"/>
      <c r="F99" s="81"/>
      <c r="G99" s="81"/>
      <c r="H99" s="85"/>
      <c r="J99" s="81"/>
      <c r="K99" s="81"/>
      <c r="L99" s="81"/>
      <c r="M99" s="81"/>
      <c r="AV99" s="86"/>
      <c r="AW99" s="86"/>
      <c r="BE99" s="81"/>
      <c r="CW99" s="81"/>
      <c r="CX99" s="81"/>
    </row>
    <row r="100" spans="1:102" x14ac:dyDescent="0.25">
      <c r="A100" s="23"/>
      <c r="BF100" s="28">
        <f>+IF(BA102&gt;1,AZ102,IF(BA103&gt;1,AZ103,IF(BA104&gt;1,AZ104,IF(BA105&gt;1,AZ105,"-"))))</f>
        <v>7</v>
      </c>
      <c r="BW100" s="23">
        <v>10</v>
      </c>
      <c r="BZ100" s="29">
        <f>+IF(BC102&gt;1,BB102,IF(BC103&gt;1,BB103,IF(BC104&gt;1,BB104,IF(BC105&gt;1,BB105,"-"))))</f>
        <v>3</v>
      </c>
      <c r="CQ100" s="23">
        <v>10</v>
      </c>
    </row>
    <row r="101" spans="1:102" x14ac:dyDescent="0.25">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494" t="s">
        <v>195</v>
      </c>
      <c r="Z101" s="495"/>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5">
      <c r="A102" s="38" t="s">
        <v>196</v>
      </c>
      <c r="B102" s="39">
        <v>46190</v>
      </c>
      <c r="C102" s="40"/>
      <c r="D102" s="41"/>
      <c r="E102" s="42" t="s">
        <v>51</v>
      </c>
      <c r="F102" s="43">
        <v>2</v>
      </c>
      <c r="G102" s="43">
        <v>1</v>
      </c>
      <c r="H102" s="44" t="s">
        <v>57</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2</v>
      </c>
      <c r="Q102" s="24">
        <f>+COUNTIF(K102:L107,"="&amp;$O102)</f>
        <v>1</v>
      </c>
      <c r="R102" s="24">
        <f>+COUNTIF(M102:M107,"="&amp;$O102)</f>
        <v>0</v>
      </c>
      <c r="S102" s="24">
        <f>+T102-U102</f>
        <v>2</v>
      </c>
      <c r="T102" s="24">
        <f t="shared" ref="T102" si="453">+SUMIF(E102:E107,$O102,F102:F107)+SUMIF(H102:H107,$O102,G102:G107)</f>
        <v>6</v>
      </c>
      <c r="U102" s="24">
        <f t="shared" ref="U102" si="454">+SUMIF(E102:E107,$O102,G102:G107)+SUMIF(H102:H107,$O102,F102:F107)</f>
        <v>4</v>
      </c>
      <c r="V102" s="45">
        <f>+P102*3+Q102*1+BT102+CN102+S102/1000+T102/10000+AV102/1000000+ROW()/10000000</f>
        <v>7.3026132000000006</v>
      </c>
      <c r="W102" s="26" t="str">
        <f>+O102</f>
        <v>Inglaterra</v>
      </c>
      <c r="Y102" s="46" t="str">
        <f>+CONCATENATE("1",RIGHT(E101,1))</f>
        <v>1L</v>
      </c>
      <c r="Z102" s="47" t="str">
        <f>+VLOOKUP(AL102,V102:W105,2,FALSE)</f>
        <v>Ghana</v>
      </c>
      <c r="AA102" s="48">
        <f>+SUM(AB102:AD102)</f>
        <v>3</v>
      </c>
      <c r="AB102" s="49">
        <f>+_xlfn.XLOOKUP($Z102,$O:$O,P:P,"Error",0)</f>
        <v>2</v>
      </c>
      <c r="AC102" s="49">
        <f t="shared" ref="AC102:AC105" si="455">+_xlfn.XLOOKUP($Z102,$O:$O,Q:Q,"Error",0)</f>
        <v>1</v>
      </c>
      <c r="AD102" s="49">
        <f t="shared" ref="AD102:AD105" si="456">+_xlfn.XLOOKUP($Z102,$O:$O,R:R,"Error",0)</f>
        <v>0</v>
      </c>
      <c r="AE102" s="49">
        <f t="shared" ref="AE102:AE105" si="457">+_xlfn.XLOOKUP($Z102,$O:$O,S:S,"Error",0)</f>
        <v>3</v>
      </c>
      <c r="AF102" s="49">
        <f t="shared" ref="AF102:AF105" si="458">+_xlfn.XLOOKUP($Z102,$O:$O,T:T,"Error",0)</f>
        <v>7</v>
      </c>
      <c r="AG102" s="49">
        <f t="shared" ref="AG102:AH105" si="459">+_xlfn.XLOOKUP($Z102,$O:$O,U:U,"Error",0)</f>
        <v>4</v>
      </c>
      <c r="AH102" s="50">
        <f t="shared" si="459"/>
        <v>7.3037103999999999</v>
      </c>
      <c r="AI102" s="51"/>
      <c r="AL102" s="45">
        <f>+LARGE(V102:V105,1)</f>
        <v>7.3037103999999999</v>
      </c>
      <c r="AM102" s="52">
        <f>+(AH102-AL102)*100000000000000000000</f>
        <v>0</v>
      </c>
      <c r="AP102" s="53" t="str">
        <f>+O102</f>
        <v>Inglaterra</v>
      </c>
      <c r="AQ102" s="23">
        <f>+P102*3+Q102*1+BT102+CN102+S102/1000+T102/10000</f>
        <v>7.3026</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7</v>
      </c>
      <c r="BA102" s="29">
        <f>+COUNTIFS($AX$1:AX102,AX102,$AZ$1:AZ102,AZ102)</f>
        <v>1</v>
      </c>
      <c r="BB102" s="29">
        <f>+IF(AZ102=BF100,ROW()*0.001,AZ102)</f>
        <v>0.10200000000000001</v>
      </c>
      <c r="BC102" s="29">
        <f>+COUNTIFS($AX$1:AZ102,AZ102,$AZ$1:BB102,BB102)</f>
        <v>1</v>
      </c>
      <c r="BD102" s="29"/>
      <c r="BE102" s="25" t="str">
        <f>+IF(OR(BF102="-",BI102="-",BF100=0),"-","OK")</f>
        <v>-</v>
      </c>
      <c r="BF102" s="57" t="str">
        <f>+IF(_xlfn.XLOOKUP($E102,$AY:$AY,$AZ:$AZ,"-",0)=BF100,$E102,"-")</f>
        <v>Inglaterra</v>
      </c>
      <c r="BG102" s="58">
        <f t="shared" ref="BG102:BG107" si="460">+$F102</f>
        <v>2</v>
      </c>
      <c r="BH102" s="59">
        <f t="shared" ref="BH102:BH107" si="461">+$G102</f>
        <v>1</v>
      </c>
      <c r="BI102" s="57" t="str">
        <f>+IF(_xlfn.XLOOKUP($H102,$AY:$AY,$AZ:$AZ,"-",0)=BF100,$H102,"-")</f>
        <v>-</v>
      </c>
      <c r="BK102" s="26" t="str">
        <f>+O102</f>
        <v>Inglaterra</v>
      </c>
      <c r="BL102" s="26">
        <f>+COUNTIFS($BE:$BE,"OK",$BI:$BI,BK102)+COUNTIFS($BE:$BE,"OK",$BF:$BF,BK102)</f>
        <v>1</v>
      </c>
      <c r="BM102" s="24">
        <f>+COUNTIFS(J:J,$BK102,$BE:$BE,"OK")</f>
        <v>0</v>
      </c>
      <c r="BN102" s="24">
        <f>+COUNTIFS(K:K,$BK102,$BE:$BE,"OK")+COUNTIFS(L:L,$BK102,$BE:$BE,"OK")</f>
        <v>1</v>
      </c>
      <c r="BO102" s="24">
        <f>+COUNTIFS(M:M,$BK102,$BE:$BE,"OK")</f>
        <v>0</v>
      </c>
      <c r="BP102" s="24">
        <f>+BQ102-BR102</f>
        <v>0</v>
      </c>
      <c r="BQ102" s="24">
        <f>+SUMIFS(BG:BG,$BE:$BE,"OK",BF:BF,$BK102)+SUMIFS(BH:BH,$BE:$BE,"OK",BI:BI,$BK102)</f>
        <v>2</v>
      </c>
      <c r="BR102" s="24">
        <f>+SUMIFS(BH:BH,$BE:$BE,"OK",BF:BF,$BK102)+SUMIFS(BG:BG,$BE:$BE,"OK",BI:BI,$BK102)</f>
        <v>2</v>
      </c>
      <c r="BS102" s="60">
        <f>+BM102*3+BN102*1+BP102/100+BQ102/10000</f>
        <v>1.0002</v>
      </c>
      <c r="BT102" s="29">
        <f>+IF(BL102=0,0,_xlfn.XLOOKUP(BS102,BV102:BV105,BW102:BW105))</f>
        <v>0.3</v>
      </c>
      <c r="BU102" s="45"/>
      <c r="BV102" s="24">
        <f>+LARGE(BS102:BS105,1)</f>
        <v>1.0002</v>
      </c>
      <c r="BW102" s="24">
        <f>+BX102/$BW$1</f>
        <v>0.3</v>
      </c>
      <c r="BX102" s="23">
        <v>3</v>
      </c>
      <c r="BY102" s="25" t="str">
        <f t="shared" ref="BY102:BY107" si="462">+IF(OR(BZ102="-",CC102="-"),"-","OK")</f>
        <v>-</v>
      </c>
      <c r="BZ102" s="57" t="str">
        <f>+IF(_xlfn.XLOOKUP($E102,$AY:$AY,$AZ:$AZ,"-",0)=BZ100,$E102,"-")</f>
        <v>-</v>
      </c>
      <c r="CA102" s="58">
        <f t="shared" ref="CA102:CA107" si="463">+$F102</f>
        <v>2</v>
      </c>
      <c r="CB102" s="59">
        <f t="shared" ref="CB102:CB107" si="464">+$G102</f>
        <v>1</v>
      </c>
      <c r="CC102" s="57" t="str">
        <f>+IF(_xlfn.XLOOKUP($H102,$AY:$AY,$AZ:$AZ,"-",0)=BZ100,$H102,"-")</f>
        <v>Croacia</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5">
      <c r="A103" s="38" t="s">
        <v>197</v>
      </c>
      <c r="B103" s="39">
        <v>46190</v>
      </c>
      <c r="C103" s="40"/>
      <c r="D103" s="41"/>
      <c r="E103" s="42" t="s">
        <v>85</v>
      </c>
      <c r="F103" s="43">
        <v>2</v>
      </c>
      <c r="G103" s="43">
        <v>0</v>
      </c>
      <c r="H103" s="44" t="s">
        <v>77</v>
      </c>
      <c r="J103" s="24" t="str">
        <f t="shared" ref="J103:J107" si="465">IF(OR(ISBLANK(F103),ISBLANK(G103)),"",IF(F103&gt;G103,E103,IF(G103&gt;F103,H103,"")))</f>
        <v>Ghana</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Panama</v>
      </c>
      <c r="O103" s="26" t="str">
        <f>+H102</f>
        <v>Croacia</v>
      </c>
      <c r="P103" s="24">
        <f>+COUNTIF(J102:J107,"="&amp;$O103)</f>
        <v>1</v>
      </c>
      <c r="Q103" s="24">
        <f>+COUNTIF(K102:L107,"="&amp;$O103)</f>
        <v>0</v>
      </c>
      <c r="R103" s="24">
        <f>+COUNTIF(M102:M107,"="&amp;$O103)</f>
        <v>2</v>
      </c>
      <c r="S103" s="24">
        <f t="shared" ref="S103:S105" si="469">+T103-U103</f>
        <v>0</v>
      </c>
      <c r="T103" s="24">
        <f t="shared" ref="T103" si="470">+SUMIF(E102:E107,$O103,F102:F107)+SUMIF(H102:H107,$O103,G102:G107)</f>
        <v>5</v>
      </c>
      <c r="U103" s="24">
        <f t="shared" ref="U103" si="471">+SUMIF(E102:E107,$O103,G102:G107)+SUMIF(H102:H107,$O103,F102:F107)</f>
        <v>5</v>
      </c>
      <c r="V103" s="45">
        <f t="shared" ref="V103:V105" si="472">+P103*3+Q103*1+BT103+CN103+S103/1000+T103/10000+AV103/1000000+ROW()/10000000</f>
        <v>3.0005103000000002</v>
      </c>
      <c r="W103" s="26" t="str">
        <f t="shared" ref="W103:W105" si="473">+O103</f>
        <v>Croacia</v>
      </c>
      <c r="Y103" s="61" t="str">
        <f>+CONCATENATE("2",RIGHT(E101,1))</f>
        <v>2L</v>
      </c>
      <c r="Z103" s="62" t="str">
        <f>+VLOOKUP(AL103,V102:W105,2,FALSE)</f>
        <v>Inglaterra</v>
      </c>
      <c r="AA103" s="63">
        <f t="shared" ref="AA103:AA105" si="474">+SUM(AB103:AD103)</f>
        <v>3</v>
      </c>
      <c r="AB103" s="49">
        <f t="shared" ref="AB103:AB105" si="475">+_xlfn.XLOOKUP($Z103,$O:$O,P:P,"Error",0)</f>
        <v>2</v>
      </c>
      <c r="AC103" s="49">
        <f t="shared" si="455"/>
        <v>1</v>
      </c>
      <c r="AD103" s="49">
        <f t="shared" si="456"/>
        <v>0</v>
      </c>
      <c r="AE103" s="49">
        <f t="shared" si="457"/>
        <v>2</v>
      </c>
      <c r="AF103" s="49">
        <f t="shared" si="458"/>
        <v>6</v>
      </c>
      <c r="AG103" s="49">
        <f t="shared" si="459"/>
        <v>4</v>
      </c>
      <c r="AH103" s="65">
        <f t="shared" si="459"/>
        <v>7.3026132000000006</v>
      </c>
      <c r="AI103" s="51"/>
      <c r="AL103" s="45">
        <f>+LARGE(V102:V105,2)</f>
        <v>7.3026132000000006</v>
      </c>
      <c r="AM103" s="52">
        <f>+(AH103-AL103)*100000000000000000000</f>
        <v>0</v>
      </c>
      <c r="AP103" s="53" t="str">
        <f>+O103</f>
        <v>Croacia</v>
      </c>
      <c r="AQ103" s="23">
        <f>+P103*3+Q103*1+BT103+CN103+S103/1000+T103/10000</f>
        <v>3.0005000000000002</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3</v>
      </c>
      <c r="BA103" s="29">
        <f>+COUNTIFS($AX$1:AX103,AX103,$AZ$1:AZ103,AZ103)</f>
        <v>1</v>
      </c>
      <c r="BB103" s="29">
        <f>+IF(AZ103=BF100,ROW()*0.001,AZ103)</f>
        <v>3</v>
      </c>
      <c r="BC103" s="29">
        <f>+COUNTIFS($AX$1:AZ103,AZ103,$AZ$1:BB103,BB103)</f>
        <v>8</v>
      </c>
      <c r="BD103" s="29"/>
      <c r="BE103" s="25" t="str">
        <f>+IF(OR(BF103="-",BI103="-",BF100=0),"-","OK")</f>
        <v>-</v>
      </c>
      <c r="BF103" s="57" t="str">
        <f>+IF(_xlfn.XLOOKUP($E103,$AY:$AY,$AZ:$AZ,"-",0)=BF100,$E103,"-")</f>
        <v>Ghana</v>
      </c>
      <c r="BG103" s="58">
        <f t="shared" si="460"/>
        <v>2</v>
      </c>
      <c r="BH103" s="59">
        <f t="shared" si="461"/>
        <v>0</v>
      </c>
      <c r="BI103" s="57" t="str">
        <f>+IF(_xlfn.XLOOKUP($H103,$AY:$AY,$AZ:$AZ,"-",0)=BF100,$H103,"-")</f>
        <v>-</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1.0002</v>
      </c>
      <c r="BW103" s="24">
        <f>+BX103/$BW$1</f>
        <v>0.2</v>
      </c>
      <c r="BX103" s="23">
        <v>2</v>
      </c>
      <c r="BY103" s="25" t="str">
        <f t="shared" si="462"/>
        <v>-</v>
      </c>
      <c r="BZ103" s="57" t="str">
        <f>+IF(_xlfn.XLOOKUP($E103,$AY:$AY,$AZ:$AZ,"-",0)=BZ100,$E103,"-")</f>
        <v>-</v>
      </c>
      <c r="CA103" s="58">
        <f t="shared" si="463"/>
        <v>2</v>
      </c>
      <c r="CB103" s="59">
        <f t="shared" si="464"/>
        <v>0</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5">
      <c r="A104" s="38" t="s">
        <v>198</v>
      </c>
      <c r="B104" s="39">
        <v>46196</v>
      </c>
      <c r="C104" s="40"/>
      <c r="D104" s="41"/>
      <c r="E104" s="42" t="s">
        <v>51</v>
      </c>
      <c r="F104" s="43">
        <v>2</v>
      </c>
      <c r="G104" s="43">
        <v>2</v>
      </c>
      <c r="H104" s="44" t="s">
        <v>85</v>
      </c>
      <c r="J104" s="24" t="str">
        <f t="shared" si="465"/>
        <v/>
      </c>
      <c r="K104" s="24" t="str">
        <f t="shared" si="466"/>
        <v>Inglaterra</v>
      </c>
      <c r="L104" s="24" t="str">
        <f t="shared" si="467"/>
        <v>Ghana</v>
      </c>
      <c r="M104" s="24" t="str">
        <f t="shared" si="468"/>
        <v/>
      </c>
      <c r="O104" s="26" t="str">
        <f>+E103</f>
        <v>Ghana</v>
      </c>
      <c r="P104" s="24">
        <f>+COUNTIF(J102:J107,"="&amp;$O104)</f>
        <v>2</v>
      </c>
      <c r="Q104" s="24">
        <f>+COUNTIF(K102:L107,"="&amp;$O104)</f>
        <v>1</v>
      </c>
      <c r="R104" s="24">
        <f>+COUNTIF(M102:M107,"="&amp;$O104)</f>
        <v>0</v>
      </c>
      <c r="S104" s="24">
        <f t="shared" si="469"/>
        <v>3</v>
      </c>
      <c r="T104" s="24">
        <f t="shared" ref="T104" si="479">+SUMIF(E102:E107,$O104,F102:F107)+SUMIF(H102:H107,$O104,G102:G107)</f>
        <v>7</v>
      </c>
      <c r="U104" s="24">
        <f t="shared" ref="U104" si="480">+SUMIF(E102:E107,$O104,G102:G107)+SUMIF(H102:H107,$O104,F102:F107)</f>
        <v>4</v>
      </c>
      <c r="V104" s="45">
        <f t="shared" si="472"/>
        <v>7.3037103999999999</v>
      </c>
      <c r="W104" s="26" t="str">
        <f t="shared" si="473"/>
        <v>Ghana</v>
      </c>
      <c r="Y104" s="68" t="str">
        <f>+CONCATENATE("3",RIGHT(E101,1))</f>
        <v>3L</v>
      </c>
      <c r="Z104" s="69" t="str">
        <f>+VLOOKUP(AL104,V102:W105,2,FALSE)</f>
        <v>Croacia</v>
      </c>
      <c r="AA104" s="70">
        <f t="shared" si="474"/>
        <v>3</v>
      </c>
      <c r="AB104" s="71">
        <f t="shared" si="475"/>
        <v>1</v>
      </c>
      <c r="AC104" s="71">
        <f t="shared" si="455"/>
        <v>0</v>
      </c>
      <c r="AD104" s="71">
        <f t="shared" si="456"/>
        <v>2</v>
      </c>
      <c r="AE104" s="71">
        <f t="shared" si="457"/>
        <v>0</v>
      </c>
      <c r="AF104" s="71">
        <f t="shared" si="458"/>
        <v>5</v>
      </c>
      <c r="AG104" s="71">
        <f t="shared" si="459"/>
        <v>5</v>
      </c>
      <c r="AH104" s="72">
        <f t="shared" si="459"/>
        <v>3.0005103000000002</v>
      </c>
      <c r="AI104" s="73">
        <f>+(COUNTIFS($CV$2:$CV$13,Z104,$CX$2:$CX$13,"IN")+COUNTIFS($CV$2:$CV$13,Z104,$CW$2:$CW$13,"IN"))*IF(SUM(AA102:AA105)=12,1,0)</f>
        <v>1</v>
      </c>
      <c r="AL104" s="45">
        <f>+LARGE(V102:V105,3)</f>
        <v>3.0005103000000002</v>
      </c>
      <c r="AM104" s="52">
        <f>+(AH104-AL104)*100000000000000000000</f>
        <v>0</v>
      </c>
      <c r="AP104" s="53" t="str">
        <f>+O104</f>
        <v>Ghana</v>
      </c>
      <c r="AQ104" s="23">
        <f>+P104*3+Q104*1+BT104+CN104+S104/1000+T104/10000</f>
        <v>7.3037000000000001</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7</v>
      </c>
      <c r="BA104" s="29">
        <f>+COUNTIFS($AX$1:AX104,AX104,$AZ$1:AZ104,AZ104)</f>
        <v>2</v>
      </c>
      <c r="BB104" s="29">
        <f>+IF(AZ104=BF100,ROW()*0.001,AZ104)</f>
        <v>0.10400000000000001</v>
      </c>
      <c r="BC104" s="29">
        <f>+COUNTIFS($AX$1:AZ104,AZ104,$AZ$1:BB104,BB104)</f>
        <v>1</v>
      </c>
      <c r="BD104" s="29"/>
      <c r="BE104" s="25" t="str">
        <f>+IF(OR(BF104="-",BI104="-",BF100=0),"-","OK")</f>
        <v>OK</v>
      </c>
      <c r="BF104" s="57" t="str">
        <f>+IF(_xlfn.XLOOKUP($E104,$AY:$AY,$AZ:$AZ,"-",0)=BF100,$E104,"-")</f>
        <v>Inglaterra</v>
      </c>
      <c r="BG104" s="58">
        <f t="shared" si="460"/>
        <v>2</v>
      </c>
      <c r="BH104" s="59">
        <f t="shared" si="461"/>
        <v>2</v>
      </c>
      <c r="BI104" s="57" t="str">
        <f>+IF(_xlfn.XLOOKUP($H104,$AY:$AY,$AZ:$AZ,"-",0)=BF100,$H104,"-")</f>
        <v>Ghana</v>
      </c>
      <c r="BK104" s="26" t="str">
        <f>+O104</f>
        <v>Ghana</v>
      </c>
      <c r="BL104" s="26">
        <f>+COUNTIFS($BE:$BE,"OK",$BI:$BI,BK104)+COUNTIFS($BE:$BE,"OK",$BF:$BF,BK104)</f>
        <v>1</v>
      </c>
      <c r="BM104" s="24">
        <f>+COUNTIFS(J:J,$BK104,$BE:$BE,"OK")</f>
        <v>0</v>
      </c>
      <c r="BN104" s="24">
        <f>+COUNTIFS(K:K,$BK104,$BE:$BE,"OK")+COUNTIFS(L:L,$BK104,$BE:$BE,"OK")</f>
        <v>1</v>
      </c>
      <c r="BO104" s="24">
        <f>+COUNTIFS(M:M,$BK104,$BE:$BE,"OK")</f>
        <v>0</v>
      </c>
      <c r="BP104" s="24">
        <f>+BQ104-BR104</f>
        <v>0</v>
      </c>
      <c r="BQ104" s="24">
        <f>+SUMIFS(BG:BG,$BE:$BE,"OK",BF:BF,$BK104)+SUMIFS(BH:BH,$BE:$BE,"OK",BI:BI,$BK104)</f>
        <v>2</v>
      </c>
      <c r="BR104" s="24">
        <f>+SUMIFS(BH:BH,$BE:$BE,"OK",BF:BF,$BK104)+SUMIFS(BG:BG,$BE:$BE,"OK",BI:BI,$BK104)</f>
        <v>2</v>
      </c>
      <c r="BS104" s="60">
        <f>+BM104*3+BN104*1+BP104/100+BQ104/10000</f>
        <v>1.0002</v>
      </c>
      <c r="BT104" s="29">
        <f>+IF(BL104=0,0,_xlfn.XLOOKUP(BS104,BV102:BV105,BW102:BW105))</f>
        <v>0.3</v>
      </c>
      <c r="BU104" s="45"/>
      <c r="BV104" s="24">
        <f>+LARGE(BS102:BS105,3)</f>
        <v>0</v>
      </c>
      <c r="BW104" s="24">
        <f>+BX104/$BW$1</f>
        <v>0.1</v>
      </c>
      <c r="BX104" s="23">
        <v>1</v>
      </c>
      <c r="BY104" s="25" t="str">
        <f t="shared" si="462"/>
        <v>-</v>
      </c>
      <c r="BZ104" s="57" t="str">
        <f>+IF(_xlfn.XLOOKUP($E104,$AY:$AY,$AZ:$AZ,"-",0)=BZ100,$E104,"-")</f>
        <v>-</v>
      </c>
      <c r="CA104" s="58">
        <f t="shared" si="463"/>
        <v>2</v>
      </c>
      <c r="CB104" s="59">
        <f t="shared" si="464"/>
        <v>2</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5">
      <c r="A105" s="38" t="s">
        <v>199</v>
      </c>
      <c r="B105" s="39">
        <v>46196</v>
      </c>
      <c r="C105" s="40"/>
      <c r="D105" s="41"/>
      <c r="E105" s="42" t="s">
        <v>77</v>
      </c>
      <c r="F105" s="43">
        <v>0</v>
      </c>
      <c r="G105" s="43">
        <v>2</v>
      </c>
      <c r="H105" s="44" t="s">
        <v>57</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0</v>
      </c>
      <c r="R105" s="24">
        <f>+COUNTIF(M102:M107,"="&amp;$O105)</f>
        <v>3</v>
      </c>
      <c r="S105" s="24">
        <f t="shared" si="469"/>
        <v>-5</v>
      </c>
      <c r="T105" s="24">
        <f t="shared" ref="T105" si="481">+SUMIF(E102:E107,$O105,F102:F107)+SUMIF(H102:H107,$O105,G102:G107)</f>
        <v>1</v>
      </c>
      <c r="U105" s="24">
        <f t="shared" ref="U105" si="482">+SUMIF(E102:E107,$O105,G102:G107)+SUMIF(H102:H107,$O105,F102:F107)</f>
        <v>6</v>
      </c>
      <c r="V105" s="45">
        <f t="shared" si="472"/>
        <v>-4.8894999999999997E-3</v>
      </c>
      <c r="W105" s="26" t="str">
        <f t="shared" si="473"/>
        <v>Panama</v>
      </c>
      <c r="Y105" s="74" t="str">
        <f>+CONCATENATE("4",RIGHT(E101,1))</f>
        <v>4L</v>
      </c>
      <c r="Z105" s="75" t="str">
        <f>+VLOOKUP(AL105,V102:W105,2,FALSE)</f>
        <v>Panama</v>
      </c>
      <c r="AA105" s="76">
        <f t="shared" si="474"/>
        <v>3</v>
      </c>
      <c r="AB105" s="77">
        <f t="shared" si="475"/>
        <v>0</v>
      </c>
      <c r="AC105" s="77">
        <f t="shared" si="455"/>
        <v>0</v>
      </c>
      <c r="AD105" s="77">
        <f t="shared" si="456"/>
        <v>3</v>
      </c>
      <c r="AE105" s="77">
        <f t="shared" si="457"/>
        <v>-5</v>
      </c>
      <c r="AF105" s="77">
        <f t="shared" si="458"/>
        <v>1</v>
      </c>
      <c r="AG105" s="77">
        <f t="shared" si="459"/>
        <v>6</v>
      </c>
      <c r="AH105" s="78">
        <f t="shared" si="459"/>
        <v>-4.8894999999999997E-3</v>
      </c>
      <c r="AI105" s="73"/>
      <c r="AL105" s="45">
        <f>+LARGE(V102:V105,4)</f>
        <v>-4.8894999999999997E-3</v>
      </c>
      <c r="AM105" s="52">
        <f>+(AH105-AL105)*100000000000000000000</f>
        <v>0</v>
      </c>
      <c r="AP105" s="53" t="str">
        <f>+O105</f>
        <v>Panama</v>
      </c>
      <c r="AQ105" s="23">
        <f>+P105*3+Q105*1+BT105+CN105+S105/1000+T105/10000</f>
        <v>-4.8999999999999998E-3</v>
      </c>
      <c r="AS105" s="54">
        <f t="shared" si="476"/>
        <v>0</v>
      </c>
      <c r="AT105" s="54">
        <f>+IF(AND(AM106="si",OR(AR102=1,AR103=1,AR104=1)),1,0)</f>
        <v>0</v>
      </c>
      <c r="AU105" s="79" t="str">
        <f t="shared" si="477"/>
        <v>Panama</v>
      </c>
      <c r="AV105" s="80"/>
      <c r="AX105" s="23" t="str">
        <f>+Y101</f>
        <v>Grupo L</v>
      </c>
      <c r="AY105" s="24" t="str">
        <f>+O105</f>
        <v>Panama</v>
      </c>
      <c r="AZ105" s="29">
        <f>+P105*3+Q105</f>
        <v>0</v>
      </c>
      <c r="BA105" s="29">
        <f>+COUNTIFS($AX$1:AX105,AX105,$AZ$1:AZ105,AZ105)</f>
        <v>1</v>
      </c>
      <c r="BB105" s="29">
        <f>+IF(AZ105=BF100,ROW()*0.001,AZ105)</f>
        <v>0</v>
      </c>
      <c r="BC105" s="29">
        <f>+COUNTIFS($AX$1:AZ105,AZ105,$AZ$1:BB105,BB105)</f>
        <v>10</v>
      </c>
      <c r="BD105" s="29"/>
      <c r="BE105" s="25" t="str">
        <f>+IF(OR(BF105="-",BI105="-",BF100=0),"-","OK")</f>
        <v>-</v>
      </c>
      <c r="BF105" s="57" t="str">
        <f>+IF(_xlfn.XLOOKUP($E105,$AY:$AY,$AZ:$AZ,"-",0)=BF100,$E105,"-")</f>
        <v>-</v>
      </c>
      <c r="BG105" s="58">
        <f t="shared" si="460"/>
        <v>0</v>
      </c>
      <c r="BH105" s="59">
        <f t="shared" si="461"/>
        <v>2</v>
      </c>
      <c r="BI105" s="57" t="str">
        <f>+IF(_xlfn.XLOOKUP($H105,$AY:$AY,$AZ:$AZ,"-",0)=BF100,$H105,"-")</f>
        <v>-</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0</v>
      </c>
      <c r="CB105" s="59">
        <f t="shared" si="464"/>
        <v>2</v>
      </c>
      <c r="CC105" s="57" t="str">
        <f>+IF(_xlfn.XLOOKUP($H105,$AY:$AY,$AZ:$AZ,"-",0)=BZ100,$H105,"-")</f>
        <v>Croacia</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5">
      <c r="A106" s="38" t="s">
        <v>200</v>
      </c>
      <c r="B106" s="39">
        <v>46200</v>
      </c>
      <c r="C106" s="40"/>
      <c r="D106" s="41"/>
      <c r="E106" s="42" t="s">
        <v>77</v>
      </c>
      <c r="F106" s="43">
        <v>1</v>
      </c>
      <c r="G106" s="43">
        <v>2</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1</v>
      </c>
      <c r="BH106" s="59">
        <f t="shared" si="461"/>
        <v>2</v>
      </c>
      <c r="BI106" s="57" t="str">
        <f>+IF(_xlfn.XLOOKUP($H106,$AY:$AY,$AZ:$AZ,"-",0)=BF100,$H106,"-")</f>
        <v>Inglaterra</v>
      </c>
      <c r="BY106" s="25" t="str">
        <f t="shared" si="462"/>
        <v>-</v>
      </c>
      <c r="BZ106" s="57" t="str">
        <f>+IF(_xlfn.XLOOKUP($E106,$AY:$AY,$AZ:$AZ,"-",0)=BZ100,$E106,"-")</f>
        <v>-</v>
      </c>
      <c r="CA106" s="58">
        <f t="shared" si="463"/>
        <v>1</v>
      </c>
      <c r="CB106" s="59">
        <f t="shared" si="464"/>
        <v>2</v>
      </c>
      <c r="CC106" s="57" t="str">
        <f>+IF(_xlfn.XLOOKUP($H106,$AY:$AY,$AZ:$AZ,"-",0)=BZ100,$H106,"-")</f>
        <v>-</v>
      </c>
    </row>
    <row r="107" spans="1:102" x14ac:dyDescent="0.25">
      <c r="A107" s="38" t="s">
        <v>201</v>
      </c>
      <c r="B107" s="39">
        <v>46200</v>
      </c>
      <c r="C107" s="40"/>
      <c r="D107" s="41"/>
      <c r="E107" s="42" t="s">
        <v>57</v>
      </c>
      <c r="F107" s="43">
        <v>2</v>
      </c>
      <c r="G107" s="43">
        <v>3</v>
      </c>
      <c r="H107" s="44" t="s">
        <v>85</v>
      </c>
      <c r="J107" s="24" t="str">
        <f t="shared" si="465"/>
        <v>Ghana</v>
      </c>
      <c r="K107" s="24" t="str">
        <f t="shared" si="466"/>
        <v/>
      </c>
      <c r="L107" s="24" t="str">
        <f t="shared" si="467"/>
        <v/>
      </c>
      <c r="M107" s="24" t="str">
        <f t="shared" si="468"/>
        <v>Croacia</v>
      </c>
      <c r="Y107" s="53" t="s">
        <v>124</v>
      </c>
      <c r="AR107" s="23">
        <f>+IF(AND(AM106="si",OR(AR102=1,AR103=1,AR104=1)),1,0)</f>
        <v>0</v>
      </c>
      <c r="BE107" s="25" t="str">
        <f>+IF(OR(BF107="-",BI107="-",BF100=0),"-","OK")</f>
        <v>-</v>
      </c>
      <c r="BF107" s="57" t="str">
        <f>+IF(_xlfn.XLOOKUP($E107,$AY:$AY,$AZ:$AZ,"-",0)=BF100,$E107,"-")</f>
        <v>-</v>
      </c>
      <c r="BG107" s="58">
        <f t="shared" si="460"/>
        <v>2</v>
      </c>
      <c r="BH107" s="59">
        <f t="shared" si="461"/>
        <v>3</v>
      </c>
      <c r="BI107" s="57" t="str">
        <f>+IF(_xlfn.XLOOKUP($H107,$AY:$AY,$AZ:$AZ,"-",0)=BF100,$H107,"-")</f>
        <v>Ghana</v>
      </c>
      <c r="BY107" s="25" t="str">
        <f t="shared" si="462"/>
        <v>-</v>
      </c>
      <c r="BZ107" s="57" t="str">
        <f>+IF(_xlfn.XLOOKUP($E107,$AY:$AY,$AZ:$AZ,"-",0)=BZ100,$E107,"-")</f>
        <v>Croacia</v>
      </c>
      <c r="CA107" s="58">
        <f t="shared" si="463"/>
        <v>2</v>
      </c>
      <c r="CB107" s="59">
        <f t="shared" si="464"/>
        <v>3</v>
      </c>
      <c r="CC107" s="57" t="str">
        <f>+IF(_xlfn.XLOOKUP($H107,$AY:$AY,$AZ:$AZ,"-",0)=BZ100,$H107,"-")</f>
        <v>-</v>
      </c>
    </row>
    <row r="108" spans="1:102" s="83" customFormat="1" x14ac:dyDescent="0.25">
      <c r="A108" s="81"/>
      <c r="B108" s="82"/>
      <c r="C108" s="81"/>
      <c r="E108" s="84"/>
      <c r="F108" s="81"/>
      <c r="G108" s="81"/>
      <c r="H108" s="85"/>
      <c r="J108" s="81"/>
      <c r="K108" s="81"/>
      <c r="L108" s="81"/>
      <c r="M108" s="81"/>
      <c r="AV108" s="86"/>
      <c r="AW108" s="86"/>
      <c r="BE108" s="81"/>
      <c r="CW108" s="81"/>
      <c r="CX108" s="81"/>
    </row>
  </sheetData>
  <mergeCells count="12">
    <mergeCell ref="Y29:Z29"/>
    <mergeCell ref="Y38:Z38"/>
    <mergeCell ref="Y47:Z47"/>
    <mergeCell ref="Y2:Z2"/>
    <mergeCell ref="Y11:Z11"/>
    <mergeCell ref="Y20:Z20"/>
    <mergeCell ref="Y83:Z83"/>
    <mergeCell ref="Y92:Z92"/>
    <mergeCell ref="Y101:Z101"/>
    <mergeCell ref="Y56:Z56"/>
    <mergeCell ref="Y65:Z65"/>
    <mergeCell ref="Y74:Z74"/>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AC29" sqref="AC29"/>
    </sheetView>
  </sheetViews>
  <sheetFormatPr defaultColWidth="8.69921875" defaultRowHeight="13.8" x14ac:dyDescent="0.25"/>
  <cols>
    <col min="1" max="1" width="4.69921875" style="105" customWidth="1"/>
    <col min="2" max="2" width="16.09765625" style="109" customWidth="1"/>
    <col min="3" max="4" width="3.19921875" style="109" customWidth="1"/>
    <col min="5" max="5" width="16.09765625" style="109" customWidth="1"/>
    <col min="6" max="6" width="4" style="105" customWidth="1"/>
    <col min="7" max="7" width="4.69921875" style="105" customWidth="1"/>
    <col min="8" max="8" width="16.09765625" style="109" customWidth="1"/>
    <col min="9" max="10" width="3.69921875" style="109" customWidth="1"/>
    <col min="11" max="11" width="16.09765625" style="109" customWidth="1"/>
    <col min="12" max="12" width="8.69921875" style="105"/>
    <col min="13" max="13" width="1.796875" style="106" customWidth="1"/>
    <col min="14" max="14" width="1.796875" style="107" customWidth="1"/>
    <col min="15" max="15" width="4.69921875" style="108" customWidth="1"/>
    <col min="16" max="16" width="16.09765625" style="109" customWidth="1"/>
    <col min="17" max="18" width="4.5" style="109" customWidth="1"/>
    <col min="19" max="19" width="16.09765625" style="109" customWidth="1"/>
    <col min="20" max="20" width="4" style="109" customWidth="1"/>
    <col min="21" max="21" width="4.699218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x14ac:dyDescent="0.25">
      <c r="B1" s="105"/>
      <c r="C1" s="105"/>
      <c r="D1" s="105"/>
      <c r="E1" s="105"/>
      <c r="H1" s="105"/>
      <c r="I1" s="105"/>
      <c r="J1" s="105"/>
      <c r="K1" s="105"/>
      <c r="P1" s="108"/>
      <c r="Q1" s="108"/>
      <c r="R1" s="108"/>
      <c r="S1" s="108"/>
      <c r="T1" s="108"/>
      <c r="U1" s="108"/>
      <c r="V1" s="108"/>
      <c r="W1" s="108"/>
      <c r="X1" s="108"/>
      <c r="Y1" s="108"/>
    </row>
    <row r="2" spans="1:25" x14ac:dyDescent="0.25">
      <c r="B2" s="105"/>
      <c r="C2" s="105"/>
      <c r="D2" s="105"/>
      <c r="E2" s="105"/>
      <c r="H2" s="105"/>
      <c r="I2" s="105"/>
      <c r="J2" s="105"/>
      <c r="K2" s="105"/>
      <c r="P2" s="108"/>
      <c r="Q2" s="108"/>
      <c r="R2" s="108"/>
      <c r="S2" s="108"/>
      <c r="T2" s="108"/>
      <c r="U2" s="108"/>
      <c r="V2" s="108"/>
      <c r="W2" s="108"/>
      <c r="X2" s="108"/>
      <c r="Y2" s="108"/>
    </row>
    <row r="3" spans="1:25" ht="14.4" thickBot="1" x14ac:dyDescent="0.3">
      <c r="B3" s="105"/>
      <c r="C3" s="105"/>
      <c r="D3" s="105"/>
      <c r="E3" s="105"/>
      <c r="H3" s="105"/>
      <c r="I3" s="105"/>
      <c r="J3" s="105"/>
      <c r="K3" s="105"/>
      <c r="P3" s="108"/>
      <c r="Q3" s="108"/>
      <c r="R3" s="108"/>
      <c r="S3" s="108"/>
      <c r="T3" s="108"/>
      <c r="U3" s="108"/>
      <c r="V3" s="108"/>
      <c r="W3" s="108"/>
      <c r="X3" s="108"/>
      <c r="Y3" s="108"/>
    </row>
    <row r="4" spans="1:25" ht="14.4" thickTop="1" x14ac:dyDescent="0.25">
      <c r="A4" s="423"/>
      <c r="B4" s="424"/>
      <c r="C4" s="425" t="s">
        <v>202</v>
      </c>
      <c r="D4" s="425" t="s">
        <v>203</v>
      </c>
      <c r="E4" s="426" t="s">
        <v>204</v>
      </c>
      <c r="F4" s="110"/>
      <c r="G4" s="433"/>
      <c r="H4" s="434"/>
      <c r="I4" s="435" t="s">
        <v>205</v>
      </c>
      <c r="J4" s="435" t="str">
        <f>+_xlfn.XLOOKUP(I4,'Mejores 3eros'!$AD$1:$AK$1,'Mejores 3eros'!$AD$3:$AK$3,"-",0)</f>
        <v>3E</v>
      </c>
      <c r="K4" s="436" t="s">
        <v>206</v>
      </c>
      <c r="O4" s="423"/>
      <c r="P4" s="424"/>
      <c r="Q4" s="425" t="s">
        <v>207</v>
      </c>
      <c r="R4" s="425" t="s">
        <v>208</v>
      </c>
      <c r="S4" s="426" t="s">
        <v>209</v>
      </c>
      <c r="T4" s="108"/>
      <c r="U4" s="433"/>
      <c r="V4" s="434"/>
      <c r="W4" s="435" t="s">
        <v>210</v>
      </c>
      <c r="X4" s="435" t="s">
        <v>211</v>
      </c>
      <c r="Y4" s="436" t="s">
        <v>212</v>
      </c>
    </row>
    <row r="5" spans="1:25" x14ac:dyDescent="0.25">
      <c r="A5" s="427" t="s">
        <v>213</v>
      </c>
      <c r="B5" s="111" t="str">
        <f>+_xlfn.XLOOKUP(C4,'Groups Stage'!$Y:$Y,'Groups Stage'!$Z:$Z,"-",0)</f>
        <v>Repubilca Checa</v>
      </c>
      <c r="C5" s="112">
        <v>2</v>
      </c>
      <c r="D5" s="113">
        <v>2</v>
      </c>
      <c r="E5" s="428" t="str">
        <f>+_xlfn.XLOOKUP(D4,'Groups Stage'!$Y:$Y,'Groups Stage'!$Z:$Z,"-",0)</f>
        <v>Canada</v>
      </c>
      <c r="F5" s="110"/>
      <c r="G5" s="437" t="s">
        <v>214</v>
      </c>
      <c r="H5" s="111" t="str">
        <f>+_xlfn.XLOOKUP(I4,'Groups Stage'!$Y:$Y,'Groups Stage'!$Z:$Z,"-",0)</f>
        <v>Paraguay</v>
      </c>
      <c r="I5" s="112">
        <v>1</v>
      </c>
      <c r="J5" s="113">
        <v>0</v>
      </c>
      <c r="K5" s="438" t="str">
        <f>+_xlfn.XLOOKUP(J4,'Groups Stage'!$Y:$Y,'Groups Stage'!$Z:$Z,"-",0)</f>
        <v>Costa de Marfil</v>
      </c>
      <c r="O5" s="427" t="s">
        <v>215</v>
      </c>
      <c r="P5" s="111" t="str">
        <f>+_xlfn.XLOOKUP(Q4,$C:$C,$B:$B,_xlfn.XLOOKUP(Q4,$I:$I,$H:$H,"-",0),0)</f>
        <v>Alemania</v>
      </c>
      <c r="Q5" s="112">
        <v>2</v>
      </c>
      <c r="R5" s="113">
        <v>2</v>
      </c>
      <c r="S5" s="428" t="str">
        <f>+_xlfn.XLOOKUP(R4,$C:$C,$B:$B,_xlfn.XLOOKUP(R4,$I:$I,$H:$H,"-",0),0)</f>
        <v>Francia</v>
      </c>
      <c r="T5" s="108"/>
      <c r="U5" s="437" t="s">
        <v>216</v>
      </c>
      <c r="V5" s="111" t="str">
        <f>+_xlfn.XLOOKUP(W4,$C:$C,$B:$B,_xlfn.XLOOKUP(W4,$I:$I,$H:$H,"-",0),0)</f>
        <v>Colombia</v>
      </c>
      <c r="W5" s="112">
        <v>2</v>
      </c>
      <c r="X5" s="113">
        <v>1</v>
      </c>
      <c r="Y5" s="438" t="str">
        <f>+_xlfn.XLOOKUP(X4,$C:$C,$B:$B,_xlfn.XLOOKUP(X4,$I:$I,$H:$H,"-",0),0)</f>
        <v>España</v>
      </c>
    </row>
    <row r="6" spans="1:25" ht="14.4" thickBot="1" x14ac:dyDescent="0.3">
      <c r="A6" s="429"/>
      <c r="B6" s="430" t="s">
        <v>217</v>
      </c>
      <c r="C6" s="431">
        <v>2</v>
      </c>
      <c r="D6" s="431">
        <v>3</v>
      </c>
      <c r="E6" s="432" t="str">
        <f>+IF(AND(ISNUMBER(C5),ISNUMBER(D5),C5=D5),"Y","N")</f>
        <v>Y</v>
      </c>
      <c r="F6" s="110"/>
      <c r="G6" s="439"/>
      <c r="H6" s="440" t="s">
        <v>217</v>
      </c>
      <c r="I6" s="441"/>
      <c r="J6" s="441"/>
      <c r="K6" s="442" t="str">
        <f>+IF(AND(ISNUMBER(I5),ISNUMBER(J5),I5=J5),"Y","N")</f>
        <v>N</v>
      </c>
      <c r="O6" s="429"/>
      <c r="P6" s="430" t="s">
        <v>217</v>
      </c>
      <c r="Q6" s="431">
        <v>4</v>
      </c>
      <c r="R6" s="431">
        <v>3</v>
      </c>
      <c r="S6" s="432" t="str">
        <f>+IF(AND(ISNUMBER(Q5),ISNUMBER(R5),Q5=R5),"Y","N")</f>
        <v>Y</v>
      </c>
      <c r="T6" s="108"/>
      <c r="U6" s="439"/>
      <c r="V6" s="440" t="s">
        <v>217</v>
      </c>
      <c r="W6" s="441"/>
      <c r="X6" s="441"/>
      <c r="Y6" s="442" t="str">
        <f>+IF(AND(ISNUMBER(W5),ISNUMBER(X5),W5=X5),"Y","N")</f>
        <v>N</v>
      </c>
    </row>
    <row r="7" spans="1:25" ht="15" thickTop="1" thickBot="1" x14ac:dyDescent="0.3">
      <c r="B7" s="117" t="str">
        <f>+IF(AND(ISNUMBER(C5),ISNUMBER(D5)),IF((C5+C6)&gt;(D5+D6),B5,E5),"-")</f>
        <v>Canada</v>
      </c>
      <c r="C7" s="117" t="str">
        <f>+E4</f>
        <v>W73</v>
      </c>
      <c r="D7" s="117"/>
      <c r="E7" s="117"/>
      <c r="F7" s="110"/>
      <c r="H7" s="117" t="str">
        <f>+IF(AND(ISNUMBER(I5),ISNUMBER(J5)),IF((I5+I6)&gt;(J5+J6),H5,K5),"-")</f>
        <v>Paraguay</v>
      </c>
      <c r="I7" s="117" t="str">
        <f>+K4</f>
        <v>W81</v>
      </c>
      <c r="J7" s="117"/>
      <c r="K7" s="117"/>
      <c r="P7" s="118" t="str">
        <f>+IF(AND(ISNUMBER(Q5),ISNUMBER(R5)),IF((Q5+Q6)&gt;(R5+R6),P5,S5),"-")</f>
        <v>Alemania</v>
      </c>
      <c r="Q7" s="118" t="str">
        <f>+S4</f>
        <v>W89</v>
      </c>
      <c r="R7" s="118"/>
      <c r="S7" s="118"/>
      <c r="T7" s="119"/>
      <c r="U7" s="108"/>
      <c r="V7" s="118" t="str">
        <f>+IF(AND(ISNUMBER(W5),ISNUMBER(X5)),IF((W5+W6)&gt;(X5+X6),V5,Y5),"-")</f>
        <v>Colombia</v>
      </c>
      <c r="W7" s="118" t="str">
        <f>+Y4</f>
        <v>W93</v>
      </c>
      <c r="X7" s="118"/>
      <c r="Y7" s="118"/>
    </row>
    <row r="8" spans="1:25" ht="14.4" thickTop="1" x14ac:dyDescent="0.25">
      <c r="A8" s="423"/>
      <c r="B8" s="424"/>
      <c r="C8" s="425" t="s">
        <v>218</v>
      </c>
      <c r="D8" s="425" t="str">
        <f>+_xlfn.XLOOKUP(C8,'Mejores 3eros'!$AD$1:$AK$1,'Mejores 3eros'!$AD$3:$AK$3,"-",0)</f>
        <v>3D</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5">
      <c r="A9" s="427" t="s">
        <v>221</v>
      </c>
      <c r="B9" s="111" t="str">
        <f>+_xlfn.XLOOKUP(C8,'Groups Stage'!$Y:$Y,'Groups Stage'!$Z:$Z,"-",0)</f>
        <v>Alemania</v>
      </c>
      <c r="C9" s="112">
        <v>1</v>
      </c>
      <c r="D9" s="113">
        <v>0</v>
      </c>
      <c r="E9" s="428" t="str">
        <f>+_xlfn.XLOOKUP(D8,'Groups Stage'!$Y:$Y,'Groups Stage'!$Z:$Z,"-",0)</f>
        <v>Australia</v>
      </c>
      <c r="F9" s="110"/>
      <c r="G9" s="437" t="s">
        <v>222</v>
      </c>
      <c r="H9" s="111" t="str">
        <f>+_xlfn.XLOOKUP(I8,'Groups Stage'!$Y:$Y,'Groups Stage'!$Z:$Z,"-",0)</f>
        <v>Belgica</v>
      </c>
      <c r="I9" s="112">
        <v>1</v>
      </c>
      <c r="J9" s="113">
        <v>0</v>
      </c>
      <c r="K9" s="438" t="str">
        <f>+_xlfn.XLOOKUP(J8,'Groups Stage'!$Y:$Y,'Groups Stage'!$Z:$Z,"-",0)</f>
        <v>Sudafrica</v>
      </c>
      <c r="P9" s="108"/>
      <c r="Q9" s="108"/>
      <c r="R9" s="108"/>
      <c r="S9" s="108"/>
      <c r="T9" s="108"/>
      <c r="U9" s="108"/>
      <c r="V9" s="108"/>
      <c r="W9" s="108"/>
      <c r="X9" s="108"/>
      <c r="Y9" s="108"/>
    </row>
    <row r="10" spans="1:25" ht="14.4" thickBot="1" x14ac:dyDescent="0.3">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 thickTop="1" thickBot="1" x14ac:dyDescent="0.3">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4.4" thickTop="1" x14ac:dyDescent="0.25">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5">
      <c r="A13" s="427" t="s">
        <v>230</v>
      </c>
      <c r="B13" s="111" t="str">
        <f>+_xlfn.XLOOKUP(C12,'Groups Stage'!$Y:$Y,'Groups Stage'!$Z:$Z,"-",0)</f>
        <v>Japon</v>
      </c>
      <c r="C13" s="112">
        <v>1</v>
      </c>
      <c r="D13" s="113">
        <v>1</v>
      </c>
      <c r="E13" s="428" t="str">
        <f>+_xlfn.XLOOKUP(D12,'Groups Stage'!$Y:$Y,'Groups Stage'!$Z:$Z,"-",0)</f>
        <v>Brasil</v>
      </c>
      <c r="F13" s="110"/>
      <c r="G13" s="437" t="s">
        <v>231</v>
      </c>
      <c r="H13" s="111" t="str">
        <f>+_xlfn.XLOOKUP(I12,'Groups Stage'!$Y:$Y,'Groups Stage'!$Z:$Z,"-",0)</f>
        <v>Colombia</v>
      </c>
      <c r="I13" s="112">
        <v>2</v>
      </c>
      <c r="J13" s="113">
        <v>1</v>
      </c>
      <c r="K13" s="438" t="str">
        <f>+_xlfn.XLOOKUP(J12,'Groups Stage'!$Y:$Y,'Groups Stage'!$Z:$Z,"-",0)</f>
        <v>Inglaterra</v>
      </c>
      <c r="O13" s="427" t="s">
        <v>232</v>
      </c>
      <c r="P13" s="111" t="str">
        <f>+_xlfn.XLOOKUP(Q12,$C:$C,$B:$B,_xlfn.XLOOKUP(Q12,$I:$I,$H:$H,"-",0),0)</f>
        <v>Canada</v>
      </c>
      <c r="Q13" s="112">
        <v>1</v>
      </c>
      <c r="R13" s="113">
        <v>2</v>
      </c>
      <c r="S13" s="428" t="str">
        <f>+_xlfn.XLOOKUP(R12,$C:$C,$B:$B,_xlfn.XLOOKUP(R12,$I:$I,$H:$H,"-",0),0)</f>
        <v>Brasil</v>
      </c>
      <c r="T13" s="108"/>
      <c r="U13" s="437" t="s">
        <v>233</v>
      </c>
      <c r="V13" s="111" t="str">
        <f>+_xlfn.XLOOKUP(W12,$C:$C,$B:$B,_xlfn.XLOOKUP(W12,$I:$I,$H:$H,"-",0),0)</f>
        <v>Paraguay</v>
      </c>
      <c r="W13" s="112">
        <v>1</v>
      </c>
      <c r="X13" s="113">
        <v>1</v>
      </c>
      <c r="Y13" s="438" t="str">
        <f>+_xlfn.XLOOKUP(X12,$C:$C,$B:$B,_xlfn.XLOOKUP(X12,$I:$I,$H:$H,"-",0),0)</f>
        <v>Belgica</v>
      </c>
    </row>
    <row r="14" spans="1:25" ht="14.4" thickBot="1" x14ac:dyDescent="0.3">
      <c r="A14" s="429"/>
      <c r="B14" s="430" t="s">
        <v>217</v>
      </c>
      <c r="C14" s="431">
        <v>2</v>
      </c>
      <c r="D14" s="431">
        <v>4</v>
      </c>
      <c r="E14" s="432" t="str">
        <f>+IF(AND(ISNUMBER(C13),ISNUMBER(D13),C13=D13),"Y","N")</f>
        <v>Y</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v>3</v>
      </c>
      <c r="X14" s="441">
        <v>2</v>
      </c>
      <c r="Y14" s="442" t="str">
        <f>+IF(AND(ISNUMBER(W13),ISNUMBER(X13),W13=X13),"Y","N")</f>
        <v>Y</v>
      </c>
    </row>
    <row r="15" spans="1:25" ht="15" thickTop="1" thickBot="1" x14ac:dyDescent="0.3">
      <c r="B15" s="117" t="str">
        <f>+IF(AND(ISNUMBER(C13),ISNUMBER(D13)),IF((C13+C14)&gt;(D13+D14),B13,E13),"-")</f>
        <v>Brasil</v>
      </c>
      <c r="C15" s="117" t="str">
        <f>+E12</f>
        <v>W75</v>
      </c>
      <c r="D15" s="117"/>
      <c r="E15" s="117"/>
      <c r="F15" s="110"/>
      <c r="H15" s="117" t="str">
        <f>+IF(AND(ISNUMBER(I13),ISNUMBER(J13)),IF((I13+I14)&gt;(J13+J14),H13,K13),"-")</f>
        <v>Colombia</v>
      </c>
      <c r="I15" s="117" t="str">
        <f>+K12</f>
        <v>W83</v>
      </c>
      <c r="J15" s="117"/>
      <c r="K15" s="117"/>
      <c r="P15" s="118" t="str">
        <f>+IF(AND(ISNUMBER(Q13),ISNUMBER(R13)),IF((Q13+Q14)&gt;(R13+R14),P13,S13),"-")</f>
        <v>Brasil</v>
      </c>
      <c r="Q15" s="118" t="str">
        <f>+S12</f>
        <v>W90</v>
      </c>
      <c r="R15" s="118"/>
      <c r="S15" s="118"/>
      <c r="T15" s="119"/>
      <c r="U15" s="108"/>
      <c r="V15" s="118" t="str">
        <f>+IF(AND(ISNUMBER(W13),ISNUMBER(X13)),IF((W13+W14)&gt;(X13+X14),V13,Y13),"-")</f>
        <v>Paraguay</v>
      </c>
      <c r="W15" s="118" t="str">
        <f>+Y12</f>
        <v>W94</v>
      </c>
      <c r="X15" s="118"/>
      <c r="Y15" s="118"/>
    </row>
    <row r="16" spans="1:25" ht="14.4" thickTop="1" x14ac:dyDescent="0.25">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5">
      <c r="A17" s="447" t="s">
        <v>239</v>
      </c>
      <c r="B17" s="111" t="str">
        <f>+_xlfn.XLOOKUP(C16,'Groups Stage'!$Y:$Y,'Groups Stage'!$Z:$Z,"-",0)</f>
        <v>Marruecos</v>
      </c>
      <c r="C17" s="112">
        <v>3</v>
      </c>
      <c r="D17" s="113">
        <v>2</v>
      </c>
      <c r="E17" s="448" t="str">
        <f>+_xlfn.XLOOKUP(D16,'Groups Stage'!$Y:$Y,'Groups Stage'!$Z:$Z,"-",0)</f>
        <v>Paises Bajos</v>
      </c>
      <c r="F17" s="110"/>
      <c r="G17" s="437" t="s">
        <v>240</v>
      </c>
      <c r="H17" s="111" t="str">
        <f>+_xlfn.XLOOKUP(I16,'Groups Stage'!$Y:$Y,'Groups Stage'!$Z:$Z,"-",0)</f>
        <v>España</v>
      </c>
      <c r="I17" s="112">
        <v>2</v>
      </c>
      <c r="J17" s="113">
        <v>1</v>
      </c>
      <c r="K17" s="438" t="str">
        <f>+_xlfn.XLOOKUP(J16,'Groups Stage'!$Y:$Y,'Groups Stage'!$Z:$Z,"-",0)</f>
        <v>Austria</v>
      </c>
      <c r="P17" s="108"/>
      <c r="Q17" s="108"/>
      <c r="R17" s="108"/>
      <c r="S17" s="108"/>
      <c r="T17" s="108"/>
      <c r="U17" s="108"/>
      <c r="V17" s="108"/>
      <c r="W17" s="108"/>
      <c r="X17" s="108"/>
      <c r="Y17" s="108"/>
    </row>
    <row r="18" spans="1:25" ht="14.4" thickBot="1" x14ac:dyDescent="0.3">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 thickTop="1" thickBot="1" x14ac:dyDescent="0.3">
      <c r="B19" s="117" t="str">
        <f>+IF(AND(ISNUMBER(C17),ISNUMBER(D17)),IF((C17+C18)&gt;(D17+D18),B17,E17),"-")</f>
        <v>Marruecos</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4.4" thickTop="1" x14ac:dyDescent="0.25">
      <c r="A20" s="423"/>
      <c r="B20" s="424"/>
      <c r="C20" s="425" t="s">
        <v>241</v>
      </c>
      <c r="D20" s="425" t="str">
        <f>+_xlfn.XLOOKUP(C20,'Mejores 3eros'!$AD$1:$AK$1,'Mejores 3eros'!$AD$3:$AK$3,"-",0)</f>
        <v>3F</v>
      </c>
      <c r="E20" s="426" t="s">
        <v>208</v>
      </c>
      <c r="F20" s="110"/>
      <c r="G20" s="413"/>
      <c r="H20" s="414"/>
      <c r="I20" s="415" t="s">
        <v>242</v>
      </c>
      <c r="J20" s="415" t="str">
        <f>+_xlfn.XLOOKUP(I20,'Mejores 3eros'!$AD$1:$AK$1,'Mejores 3eros'!$AD$3:$AK$3,"-",0)</f>
        <v>3J</v>
      </c>
      <c r="K20" s="416" t="s">
        <v>243</v>
      </c>
      <c r="O20" s="443"/>
      <c r="P20" s="444"/>
      <c r="Q20" s="445" t="s">
        <v>236</v>
      </c>
      <c r="R20" s="445" t="s">
        <v>244</v>
      </c>
      <c r="S20" s="446" t="s">
        <v>245</v>
      </c>
      <c r="T20" s="108"/>
      <c r="U20" s="413"/>
      <c r="V20" s="414"/>
      <c r="W20" s="415" t="s">
        <v>246</v>
      </c>
      <c r="X20" s="415" t="s">
        <v>247</v>
      </c>
      <c r="Y20" s="416" t="s">
        <v>248</v>
      </c>
    </row>
    <row r="21" spans="1:25" x14ac:dyDescent="0.25">
      <c r="A21" s="427" t="s">
        <v>249</v>
      </c>
      <c r="B21" s="111" t="str">
        <f>+_xlfn.XLOOKUP(C20,'Groups Stage'!$Y:$Y,'Groups Stage'!$Z:$Z,"-",0)</f>
        <v>Francia</v>
      </c>
      <c r="C21" s="112">
        <v>3</v>
      </c>
      <c r="D21" s="113">
        <v>1</v>
      </c>
      <c r="E21" s="428" t="str">
        <f>+_xlfn.XLOOKUP(D20,'Groups Stage'!$Y:$Y,'Groups Stage'!$Z:$Z,"-",0)</f>
        <v>Suecia</v>
      </c>
      <c r="F21" s="110"/>
      <c r="G21" s="417" t="s">
        <v>250</v>
      </c>
      <c r="H21" s="111" t="str">
        <f>+_xlfn.XLOOKUP(I20,'Groups Stage'!$Y:$Y,'Groups Stage'!$Z:$Z,"-",0)</f>
        <v>Suiza</v>
      </c>
      <c r="I21" s="112">
        <v>1</v>
      </c>
      <c r="J21" s="113">
        <v>0</v>
      </c>
      <c r="K21" s="418" t="str">
        <f>+_xlfn.XLOOKUP(J20,'Groups Stage'!$Y:$Y,'Groups Stage'!$Z:$Z,"-",0)</f>
        <v>Argelia</v>
      </c>
      <c r="O21" s="447" t="s">
        <v>251</v>
      </c>
      <c r="P21" s="111" t="str">
        <f>+_xlfn.XLOOKUP(Q20,$C:$C,$B:$B,_xlfn.XLOOKUP(Q20,$I:$I,$H:$H,"-",0),0)</f>
        <v>Marruecos</v>
      </c>
      <c r="Q21" s="112">
        <v>1</v>
      </c>
      <c r="R21" s="113">
        <v>0</v>
      </c>
      <c r="S21" s="448" t="str">
        <f>+_xlfn.XLOOKUP(R20,$C:$C,$B:$B,_xlfn.XLOOKUP(R20,$I:$I,$H:$H,"-",0),0)</f>
        <v>Ecuador</v>
      </c>
      <c r="T21" s="108"/>
      <c r="U21" s="417" t="s">
        <v>252</v>
      </c>
      <c r="V21" s="111" t="str">
        <f>+_xlfn.XLOOKUP(W20,$C:$C,$B:$B,_xlfn.XLOOKUP(W20,$I:$I,$H:$H,"-",0),0)</f>
        <v>Argentina</v>
      </c>
      <c r="W21" s="112">
        <v>3</v>
      </c>
      <c r="X21" s="113">
        <v>1</v>
      </c>
      <c r="Y21" s="418" t="str">
        <f>+_xlfn.XLOOKUP(X20,$C:$C,$B:$B,_xlfn.XLOOKUP(X20,$I:$I,$H:$H,"-",0),0)</f>
        <v>Estados Unidos</v>
      </c>
    </row>
    <row r="22" spans="1:25" ht="14.4" thickBot="1" x14ac:dyDescent="0.3">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 thickTop="1" thickBot="1" x14ac:dyDescent="0.3">
      <c r="B23" s="117" t="str">
        <f>+IF(AND(ISNUMBER(C21),ISNUMBER(D21)),IF((C21+C22)&gt;(D21+D22),B21,E21),"-")</f>
        <v>Francia</v>
      </c>
      <c r="C23" s="117" t="str">
        <f>+E20</f>
        <v>W77</v>
      </c>
      <c r="D23" s="117"/>
      <c r="E23" s="117"/>
      <c r="F23" s="110"/>
      <c r="H23" s="117" t="str">
        <f>+IF(AND(ISNUMBER(I21),ISNUMBER(J21)),IF((I21+I22)&gt;(J21+J22),H21,K21),"-")</f>
        <v>Suiza</v>
      </c>
      <c r="I23" s="117" t="str">
        <f>+K20</f>
        <v>W85</v>
      </c>
      <c r="J23" s="117"/>
      <c r="K23" s="117"/>
      <c r="P23" s="118" t="str">
        <f>+IF(AND(ISNUMBER(Q21),ISNUMBER(R21)),IF((Q21+Q22)&gt;(R21+R22),P21,S21),"-")</f>
        <v>Marruecos</v>
      </c>
      <c r="Q23" s="118" t="str">
        <f>+S20</f>
        <v>W91</v>
      </c>
      <c r="R23" s="118"/>
      <c r="S23" s="118"/>
      <c r="T23" s="119"/>
      <c r="U23" s="108"/>
      <c r="V23" s="118" t="str">
        <f>+IF(AND(ISNUMBER(W21),ISNUMBER(X21)),IF((W21+W22)&gt;(X21+X22),V21,Y21),"-")</f>
        <v>Argentina</v>
      </c>
      <c r="W23" s="118" t="str">
        <f>+Y20</f>
        <v>W95</v>
      </c>
      <c r="X23" s="118"/>
      <c r="Y23" s="118"/>
    </row>
    <row r="24" spans="1:25" ht="14.4" thickTop="1" x14ac:dyDescent="0.25">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5">
      <c r="A25" s="447" t="s">
        <v>257</v>
      </c>
      <c r="B25" s="111" t="str">
        <f>+_xlfn.XLOOKUP(C24,'Groups Stage'!$Y:$Y,'Groups Stage'!$Z:$Z,"-",0)</f>
        <v>Ecuador</v>
      </c>
      <c r="C25" s="112">
        <v>2</v>
      </c>
      <c r="D25" s="113">
        <v>1</v>
      </c>
      <c r="E25" s="448" t="str">
        <f>+_xlfn.XLOOKUP(D24,'Groups Stage'!$Y:$Y,'Groups Stage'!$Z:$Z,"-",0)</f>
        <v>Noruega</v>
      </c>
      <c r="F25" s="110"/>
      <c r="G25" s="417" t="s">
        <v>258</v>
      </c>
      <c r="H25" s="111" t="str">
        <f>+_xlfn.XLOOKUP(I24,'Groups Stage'!$Y:$Y,'Groups Stage'!$Z:$Z,"-",0)</f>
        <v>Argentina</v>
      </c>
      <c r="I25" s="112">
        <v>3</v>
      </c>
      <c r="J25" s="113">
        <v>1</v>
      </c>
      <c r="K25" s="418" t="str">
        <f>+_xlfn.XLOOKUP(J24,'Groups Stage'!$Y:$Y,'Groups Stage'!$Z:$Z,"-",0)</f>
        <v>Uruguay</v>
      </c>
      <c r="P25" s="108"/>
      <c r="Q25" s="108"/>
      <c r="R25" s="108"/>
      <c r="S25" s="108"/>
      <c r="T25" s="108"/>
      <c r="U25" s="108"/>
      <c r="V25" s="108"/>
      <c r="W25" s="108"/>
      <c r="X25" s="108"/>
      <c r="Y25" s="108"/>
    </row>
    <row r="26" spans="1:25" ht="14.4" thickBot="1" x14ac:dyDescent="0.3">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 thickTop="1" thickBot="1" x14ac:dyDescent="0.3">
      <c r="B27" s="117" t="str">
        <f>+IF(AND(ISNUMBER(C25),ISNUMBER(D25)),IF((C25+C26)&gt;(D25+D26),B25,E25),"-")</f>
        <v>Ecuador</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4.4" thickTop="1" x14ac:dyDescent="0.25">
      <c r="A28" s="443"/>
      <c r="B28" s="444"/>
      <c r="C28" s="445" t="s">
        <v>259</v>
      </c>
      <c r="D28" s="445" t="str">
        <f>+_xlfn.XLOOKUP(C28,'Mejores 3eros'!$AD$1:$AK$1,'Mejores 3eros'!$AD$3:$AK$3,"-",0)</f>
        <v>3C</v>
      </c>
      <c r="E28" s="446" t="s">
        <v>260</v>
      </c>
      <c r="F28" s="110"/>
      <c r="G28" s="413"/>
      <c r="H28" s="414"/>
      <c r="I28" s="415" t="s">
        <v>261</v>
      </c>
      <c r="J28" s="415" t="str">
        <f>+_xlfn.XLOOKUP(I28,'Mejores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5">
      <c r="A29" s="447" t="s">
        <v>266</v>
      </c>
      <c r="B29" s="111" t="str">
        <f>+_xlfn.XLOOKUP(C28,'Groups Stage'!$Y:$Y,'Groups Stage'!$Z:$Z,"-",0)</f>
        <v>Mexico</v>
      </c>
      <c r="C29" s="112">
        <v>1</v>
      </c>
      <c r="D29" s="113">
        <v>1</v>
      </c>
      <c r="E29" s="448" t="str">
        <f>+_xlfn.XLOOKUP(D28,'Groups Stage'!$Y:$Y,'Groups Stage'!$Z:$Z,"-",0)</f>
        <v>Escocia</v>
      </c>
      <c r="F29" s="110"/>
      <c r="G29" s="417" t="s">
        <v>267</v>
      </c>
      <c r="H29" s="111" t="str">
        <f>+_xlfn.XLOOKUP(I28,'Groups Stage'!$Y:$Y,'Groups Stage'!$Z:$Z,"-",0)</f>
        <v>Portugal</v>
      </c>
      <c r="I29" s="112">
        <v>2</v>
      </c>
      <c r="J29" s="113">
        <v>2</v>
      </c>
      <c r="K29" s="418" t="str">
        <f>+_xlfn.XLOOKUP(J28,'Groups Stage'!$Y:$Y,'Groups Stage'!$Z:$Z,"-",0)</f>
        <v>Croacia</v>
      </c>
      <c r="O29" s="447" t="s">
        <v>268</v>
      </c>
      <c r="P29" s="111" t="str">
        <f>+_xlfn.XLOOKUP(Q28,$C:$C,$B:$B,_xlfn.XLOOKUP(Q28,$I:$I,$H:$H,"-",0),0)</f>
        <v>Mexico</v>
      </c>
      <c r="Q29" s="112">
        <v>0</v>
      </c>
      <c r="R29" s="113">
        <v>2</v>
      </c>
      <c r="S29" s="448" t="str">
        <f>+_xlfn.XLOOKUP(R28,$C:$C,$B:$B,_xlfn.XLOOKUP(R28,$I:$I,$H:$H,"-",0),0)</f>
        <v>Ghana</v>
      </c>
      <c r="T29" s="108"/>
      <c r="U29" s="417" t="s">
        <v>269</v>
      </c>
      <c r="V29" s="111" t="str">
        <f>+_xlfn.XLOOKUP(W28,$C:$C,$B:$B,_xlfn.XLOOKUP(W28,$I:$I,$H:$H,"-",0),0)</f>
        <v>Suiza</v>
      </c>
      <c r="W29" s="112">
        <v>0</v>
      </c>
      <c r="X29" s="113">
        <v>2</v>
      </c>
      <c r="Y29" s="418" t="str">
        <f>+_xlfn.XLOOKUP(X28,$C:$C,$B:$B,_xlfn.XLOOKUP(X28,$I:$I,$H:$H,"-",0),0)</f>
        <v>Croacia</v>
      </c>
    </row>
    <row r="30" spans="1:25" ht="14.4" thickBot="1" x14ac:dyDescent="0.3">
      <c r="A30" s="449"/>
      <c r="B30" s="450" t="s">
        <v>217</v>
      </c>
      <c r="C30" s="451">
        <v>5</v>
      </c>
      <c r="D30" s="451">
        <v>4</v>
      </c>
      <c r="E30" s="452" t="str">
        <f>+IF(AND(ISNUMBER(C29),ISNUMBER(D29),C29=D29),"Y","N")</f>
        <v>Y</v>
      </c>
      <c r="F30" s="110"/>
      <c r="G30" s="419"/>
      <c r="H30" s="420" t="s">
        <v>217</v>
      </c>
      <c r="I30" s="421">
        <v>3</v>
      </c>
      <c r="J30" s="421">
        <v>4</v>
      </c>
      <c r="K30" s="422" t="str">
        <f>+IF(AND(ISNUMBER(I29),ISNUMBER(J29),I29=J29),"Y","N")</f>
        <v>Y</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 thickTop="1" thickBot="1" x14ac:dyDescent="0.3">
      <c r="B31" s="117" t="str">
        <f>+IF(AND(ISNUMBER(C29),ISNUMBER(D29)),IF((C29+C30)&gt;(D29+D30),B29,E29),"-")</f>
        <v>Mexico</v>
      </c>
      <c r="C31" s="117" t="str">
        <f>+E28</f>
        <v>W79</v>
      </c>
      <c r="D31" s="117"/>
      <c r="E31" s="117"/>
      <c r="F31" s="110"/>
      <c r="H31" s="117" t="str">
        <f>+IF(AND(ISNUMBER(I29),ISNUMBER(J29)),IF((I29+I30)&gt;(J29+J30),H29,K29),"-")</f>
        <v>Croacia</v>
      </c>
      <c r="I31" s="117" t="str">
        <f>+K28</f>
        <v>W87</v>
      </c>
      <c r="J31" s="117"/>
      <c r="K31" s="117"/>
      <c r="P31" s="118" t="str">
        <f>+IF(AND(ISNUMBER(Q29),ISNUMBER(R29)),IF((Q29+Q30)&gt;(R29+R30),P29,S29),"-")</f>
        <v>Ghana</v>
      </c>
      <c r="Q31" s="118" t="str">
        <f>+S28</f>
        <v>W92</v>
      </c>
      <c r="R31" s="118"/>
      <c r="S31" s="118"/>
      <c r="T31" s="119"/>
      <c r="U31" s="119"/>
      <c r="V31" s="118" t="str">
        <f>+IF(AND(ISNUMBER(W29),ISNUMBER(X29)),IF((W29+W30)&gt;(X29+X30),V29,Y29),"-")</f>
        <v>Croacia</v>
      </c>
      <c r="W31" s="118" t="str">
        <f>+Y28</f>
        <v>W96</v>
      </c>
      <c r="X31" s="118"/>
      <c r="Y31" s="118"/>
    </row>
    <row r="32" spans="1:25" ht="14.4" thickTop="1" x14ac:dyDescent="0.25">
      <c r="A32" s="443"/>
      <c r="B32" s="444"/>
      <c r="C32" s="445" t="s">
        <v>270</v>
      </c>
      <c r="D32" s="445" t="str">
        <f>+_xlfn.XLOOKUP(C32,'Mejores 3eros'!$AD$1:$AK$1,'Mejores 3eros'!$AD$3:$AK$3,"-",0)</f>
        <v>3I</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5">
      <c r="A33" s="447" t="s">
        <v>273</v>
      </c>
      <c r="B33" s="111" t="str">
        <f>+_xlfn.XLOOKUP(C32,'Groups Stage'!$Y:$Y,'Groups Stage'!$Z:$Z,"-",0)</f>
        <v>Ghana</v>
      </c>
      <c r="C33" s="112">
        <v>2</v>
      </c>
      <c r="D33" s="113">
        <v>1</v>
      </c>
      <c r="E33" s="448" t="str">
        <f>+_xlfn.XLOOKUP(D32,'Groups Stage'!$Y:$Y,'Groups Stage'!$Z:$Z,"-",0)</f>
        <v>Senegal</v>
      </c>
      <c r="F33" s="110"/>
      <c r="G33" s="417" t="s">
        <v>274</v>
      </c>
      <c r="H33" s="111" t="str">
        <f>+_xlfn.XLOOKUP(I32,'Groups Stage'!$Y:$Y,'Groups Stage'!$Z:$Z,"-",0)</f>
        <v>Estados Unidos</v>
      </c>
      <c r="I33" s="112">
        <v>2</v>
      </c>
      <c r="J33" s="113">
        <v>0</v>
      </c>
      <c r="K33" s="418" t="str">
        <f>+_xlfn.XLOOKUP(J32,'Groups Stage'!$Y:$Y,'Groups Stage'!$Z:$Z,"-",0)</f>
        <v>Iran</v>
      </c>
      <c r="P33" s="108"/>
      <c r="Q33" s="108"/>
      <c r="R33" s="108"/>
      <c r="S33" s="108"/>
      <c r="T33" s="108"/>
      <c r="U33" s="108"/>
      <c r="V33" s="108"/>
      <c r="W33" s="108"/>
      <c r="X33" s="108"/>
      <c r="Y33" s="108"/>
    </row>
    <row r="34" spans="1:25" ht="14.4" thickBot="1" x14ac:dyDescent="0.3">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4.4" thickTop="1" x14ac:dyDescent="0.25">
      <c r="B35" s="117" t="str">
        <f>+IF(AND(ISNUMBER(C33),ISNUMBER(D33)),IF((C33+C34)&gt;(D33+D34),B33,E33),"-")</f>
        <v>Ghana</v>
      </c>
      <c r="C35" s="117" t="str">
        <f>+E32</f>
        <v>W80</v>
      </c>
      <c r="D35" s="117"/>
      <c r="E35" s="117"/>
      <c r="H35" s="117" t="str">
        <f>+IF(AND(ISNUMBER(I33),ISNUMBER(J33)),IF((I33+I34)&gt;(J33+J34),H33,K33),"-")</f>
        <v>Estados Unidos</v>
      </c>
      <c r="I35" s="117" t="str">
        <f>+K32</f>
        <v>W88</v>
      </c>
      <c r="J35" s="117"/>
      <c r="K35" s="117"/>
      <c r="P35" s="108"/>
      <c r="Q35" s="285"/>
      <c r="R35" s="285"/>
      <c r="S35" s="108"/>
      <c r="T35" s="108"/>
      <c r="U35" s="108"/>
      <c r="V35" s="108"/>
      <c r="W35" s="108"/>
      <c r="X35" s="108"/>
      <c r="Y35" s="108"/>
    </row>
    <row r="36" spans="1:25" x14ac:dyDescent="0.25">
      <c r="B36" s="105"/>
      <c r="C36" s="105"/>
      <c r="D36" s="105"/>
      <c r="E36" s="105"/>
      <c r="H36" s="105"/>
      <c r="I36" s="105"/>
      <c r="J36" s="105"/>
      <c r="K36" s="105"/>
      <c r="P36" s="108"/>
      <c r="Q36" s="108"/>
      <c r="R36" s="108"/>
      <c r="S36" s="108"/>
      <c r="T36" s="108"/>
      <c r="U36" s="108"/>
      <c r="V36" s="108"/>
      <c r="W36" s="108"/>
      <c r="X36" s="108"/>
      <c r="Y36" s="108"/>
    </row>
    <row r="37" spans="1:25" x14ac:dyDescent="0.25">
      <c r="B37" s="105"/>
      <c r="C37" s="105"/>
      <c r="D37" s="105"/>
      <c r="E37" s="105"/>
      <c r="H37" s="105"/>
      <c r="I37" s="105"/>
      <c r="J37" s="105"/>
      <c r="K37" s="105"/>
      <c r="P37" s="108"/>
      <c r="Q37" s="108"/>
      <c r="R37" s="108"/>
      <c r="S37" s="108"/>
      <c r="T37" s="108"/>
      <c r="U37" s="108"/>
      <c r="V37" s="108"/>
      <c r="W37" s="108"/>
      <c r="X37" s="108"/>
      <c r="Y37" s="108"/>
    </row>
    <row r="38" spans="1:25" x14ac:dyDescent="0.25">
      <c r="B38" s="105"/>
      <c r="C38" s="105"/>
      <c r="D38" s="105"/>
      <c r="E38" s="105"/>
      <c r="H38" s="105"/>
      <c r="I38" s="105"/>
      <c r="J38" s="105"/>
      <c r="K38" s="105"/>
      <c r="P38" s="108"/>
      <c r="Q38" s="108"/>
      <c r="R38" s="108"/>
      <c r="S38" s="108"/>
      <c r="T38" s="108"/>
      <c r="U38" s="108"/>
      <c r="V38" s="108"/>
      <c r="W38" s="108"/>
      <c r="X38" s="108"/>
      <c r="Y38" s="108"/>
    </row>
    <row r="39" spans="1:25" x14ac:dyDescent="0.25">
      <c r="B39" s="105"/>
      <c r="C39" s="105"/>
      <c r="D39" s="105"/>
      <c r="E39" s="105"/>
      <c r="H39" s="105"/>
      <c r="I39" s="105"/>
      <c r="J39" s="105"/>
      <c r="K39" s="105"/>
      <c r="P39" s="108"/>
      <c r="Q39" s="108"/>
      <c r="R39" s="108"/>
      <c r="S39" s="108"/>
      <c r="T39" s="108"/>
      <c r="U39" s="108"/>
      <c r="V39" s="108"/>
      <c r="W39" s="108"/>
      <c r="X39" s="108"/>
      <c r="Y39" s="108"/>
    </row>
    <row r="40" spans="1:25" x14ac:dyDescent="0.25">
      <c r="B40" s="105"/>
      <c r="C40" s="105"/>
      <c r="D40" s="105"/>
      <c r="E40" s="105"/>
      <c r="H40" s="105"/>
      <c r="I40" s="105"/>
      <c r="J40" s="105"/>
      <c r="K40" s="105"/>
      <c r="P40" s="108"/>
      <c r="Q40" s="108"/>
      <c r="R40" s="108"/>
      <c r="S40" s="108"/>
      <c r="T40" s="108"/>
      <c r="U40" s="108"/>
      <c r="V40" s="108"/>
      <c r="W40" s="108"/>
      <c r="X40" s="108"/>
      <c r="Y40" s="108"/>
    </row>
    <row r="41" spans="1:25" x14ac:dyDescent="0.25">
      <c r="B41" s="105"/>
      <c r="C41" s="105"/>
      <c r="D41" s="105"/>
      <c r="E41" s="105"/>
      <c r="H41" s="105"/>
      <c r="I41" s="105"/>
      <c r="J41" s="105"/>
      <c r="K41" s="105"/>
      <c r="P41" s="108"/>
      <c r="Q41" s="108"/>
      <c r="R41" s="108"/>
      <c r="S41" s="108"/>
      <c r="T41" s="108"/>
      <c r="U41" s="108"/>
      <c r="V41" s="108"/>
      <c r="W41" s="108"/>
      <c r="X41" s="108"/>
      <c r="Y41" s="108"/>
    </row>
    <row r="42" spans="1:25" x14ac:dyDescent="0.25">
      <c r="B42" s="105"/>
      <c r="C42" s="105"/>
      <c r="D42" s="105"/>
      <c r="E42" s="105"/>
      <c r="H42" s="105"/>
      <c r="I42" s="105"/>
      <c r="J42" s="105"/>
      <c r="K42" s="105"/>
      <c r="P42" s="108"/>
      <c r="Q42" s="108"/>
      <c r="R42" s="108"/>
      <c r="S42" s="108"/>
      <c r="T42" s="108"/>
      <c r="U42" s="108"/>
      <c r="V42" s="108"/>
      <c r="W42" s="108"/>
      <c r="X42" s="108"/>
      <c r="Y42" s="108"/>
    </row>
    <row r="43" spans="1:25" x14ac:dyDescent="0.25">
      <c r="B43" s="105"/>
      <c r="C43" s="105"/>
      <c r="D43" s="105"/>
      <c r="E43" s="105"/>
      <c r="H43" s="105"/>
      <c r="I43" s="105"/>
      <c r="J43" s="105"/>
      <c r="K43" s="105"/>
      <c r="P43" s="108"/>
      <c r="Q43" s="108"/>
      <c r="R43" s="108"/>
      <c r="S43" s="108"/>
      <c r="T43" s="108"/>
      <c r="U43" s="108"/>
      <c r="V43" s="108"/>
      <c r="W43" s="108"/>
      <c r="X43" s="108"/>
      <c r="Y43" s="108"/>
    </row>
    <row r="44" spans="1:25" x14ac:dyDescent="0.25">
      <c r="B44" s="105"/>
      <c r="C44" s="105"/>
      <c r="D44" s="105"/>
      <c r="E44" s="105"/>
      <c r="H44" s="105"/>
      <c r="I44" s="105"/>
      <c r="J44" s="105"/>
      <c r="K44" s="105"/>
      <c r="P44" s="108"/>
      <c r="Q44" s="108"/>
      <c r="R44" s="108"/>
      <c r="S44" s="108"/>
      <c r="T44" s="108"/>
      <c r="U44" s="108"/>
      <c r="V44" s="108"/>
      <c r="W44" s="108"/>
      <c r="X44" s="108"/>
      <c r="Y44" s="108"/>
    </row>
    <row r="45" spans="1:25" x14ac:dyDescent="0.25">
      <c r="B45" s="105"/>
      <c r="C45" s="105"/>
      <c r="D45" s="105"/>
      <c r="E45" s="105"/>
      <c r="H45" s="105"/>
      <c r="I45" s="105"/>
      <c r="J45" s="105"/>
      <c r="K45" s="105"/>
      <c r="P45" s="108"/>
      <c r="Q45" s="108"/>
      <c r="R45" s="108"/>
      <c r="S45" s="108"/>
      <c r="T45" s="108"/>
      <c r="U45" s="108"/>
      <c r="V45" s="108"/>
      <c r="W45" s="108"/>
      <c r="X45" s="108"/>
      <c r="Y45" s="108"/>
    </row>
    <row r="46" spans="1:25" x14ac:dyDescent="0.25">
      <c r="B46" s="105"/>
      <c r="C46" s="105"/>
      <c r="D46" s="105"/>
      <c r="E46" s="105"/>
      <c r="H46" s="105"/>
      <c r="I46" s="105"/>
      <c r="J46" s="105"/>
      <c r="K46" s="105"/>
      <c r="P46" s="108"/>
      <c r="Q46" s="108"/>
      <c r="R46" s="108"/>
      <c r="S46" s="108"/>
      <c r="T46" s="108"/>
      <c r="U46" s="108"/>
      <c r="V46" s="108"/>
      <c r="W46" s="108"/>
      <c r="X46" s="108"/>
      <c r="Y46" s="108"/>
    </row>
    <row r="47" spans="1:25" x14ac:dyDescent="0.25">
      <c r="B47" s="105"/>
      <c r="C47" s="105"/>
      <c r="D47" s="105"/>
      <c r="E47" s="105"/>
      <c r="H47" s="105"/>
      <c r="I47" s="105"/>
      <c r="J47" s="105"/>
      <c r="K47" s="105"/>
      <c r="P47" s="108"/>
      <c r="Q47" s="108"/>
      <c r="R47" s="108"/>
      <c r="S47" s="108"/>
      <c r="T47" s="108"/>
      <c r="U47" s="108"/>
      <c r="V47" s="108"/>
      <c r="W47" s="108"/>
      <c r="X47" s="108"/>
      <c r="Y47" s="108"/>
    </row>
    <row r="48" spans="1:25" x14ac:dyDescent="0.25">
      <c r="B48" s="105"/>
      <c r="C48" s="105"/>
      <c r="D48" s="105"/>
      <c r="E48" s="105"/>
      <c r="H48" s="105"/>
      <c r="I48" s="105"/>
      <c r="J48" s="105"/>
      <c r="K48" s="105"/>
      <c r="P48" s="108"/>
      <c r="Q48" s="108"/>
      <c r="R48" s="108"/>
      <c r="S48" s="108"/>
      <c r="T48" s="108"/>
      <c r="U48" s="108"/>
      <c r="V48" s="108"/>
      <c r="W48" s="108"/>
      <c r="X48" s="108"/>
      <c r="Y48" s="108"/>
    </row>
    <row r="49" spans="2:25" x14ac:dyDescent="0.25">
      <c r="B49" s="105"/>
      <c r="C49" s="105"/>
      <c r="D49" s="105"/>
      <c r="E49" s="105"/>
      <c r="H49" s="105"/>
      <c r="I49" s="105"/>
      <c r="J49" s="105"/>
      <c r="K49" s="105"/>
      <c r="P49" s="108"/>
      <c r="Q49" s="108"/>
      <c r="R49" s="108"/>
      <c r="S49" s="108"/>
      <c r="T49" s="108"/>
      <c r="U49" s="108"/>
      <c r="V49" s="108"/>
      <c r="W49" s="108"/>
      <c r="X49" s="108"/>
      <c r="Y49" s="108"/>
    </row>
    <row r="50" spans="2:25" x14ac:dyDescent="0.25">
      <c r="B50" s="105"/>
      <c r="C50" s="105"/>
      <c r="D50" s="105"/>
      <c r="E50" s="105"/>
      <c r="H50" s="105"/>
      <c r="I50" s="105"/>
      <c r="J50" s="105"/>
      <c r="K50" s="105"/>
      <c r="P50" s="108"/>
      <c r="Q50" s="108"/>
      <c r="R50" s="108"/>
      <c r="S50" s="108"/>
      <c r="T50" s="108"/>
      <c r="U50" s="108"/>
      <c r="V50" s="108"/>
      <c r="W50" s="108"/>
      <c r="X50" s="108"/>
      <c r="Y50" s="108"/>
    </row>
    <row r="51" spans="2:25" x14ac:dyDescent="0.25">
      <c r="B51" s="105"/>
      <c r="C51" s="105"/>
      <c r="D51" s="105"/>
      <c r="E51" s="105"/>
      <c r="H51" s="105"/>
      <c r="I51" s="105"/>
      <c r="J51" s="105"/>
      <c r="K51" s="105"/>
      <c r="P51" s="108"/>
      <c r="Q51" s="108"/>
      <c r="R51" s="108"/>
      <c r="S51" s="108"/>
      <c r="T51" s="108"/>
      <c r="U51" s="108"/>
      <c r="V51" s="108"/>
      <c r="W51" s="108"/>
      <c r="X51" s="108"/>
      <c r="Y51" s="108"/>
    </row>
    <row r="52" spans="2:25" x14ac:dyDescent="0.25">
      <c r="B52" s="105"/>
      <c r="C52" s="105"/>
      <c r="D52" s="105"/>
      <c r="E52" s="105"/>
      <c r="H52" s="105"/>
      <c r="I52" s="105"/>
      <c r="J52" s="105"/>
      <c r="K52" s="105"/>
      <c r="P52" s="108"/>
      <c r="Q52" s="108"/>
      <c r="R52" s="108"/>
      <c r="S52" s="108"/>
      <c r="T52" s="108"/>
      <c r="U52" s="108"/>
      <c r="V52" s="108"/>
      <c r="W52" s="108"/>
      <c r="X52" s="108"/>
      <c r="Y52" s="108"/>
    </row>
    <row r="53" spans="2:25" x14ac:dyDescent="0.25">
      <c r="B53" s="105"/>
      <c r="C53" s="105"/>
      <c r="D53" s="105"/>
      <c r="E53" s="105"/>
      <c r="H53" s="105"/>
      <c r="I53" s="105"/>
      <c r="J53" s="105"/>
      <c r="K53" s="105"/>
      <c r="P53" s="108"/>
      <c r="Q53" s="108"/>
      <c r="R53" s="108"/>
      <c r="S53" s="108"/>
      <c r="T53" s="108"/>
      <c r="U53" s="108"/>
      <c r="V53" s="108"/>
      <c r="W53" s="108"/>
      <c r="X53" s="108"/>
      <c r="Y53" s="108"/>
    </row>
    <row r="54" spans="2:25" x14ac:dyDescent="0.25">
      <c r="B54" s="105"/>
      <c r="C54" s="105"/>
      <c r="D54" s="105"/>
      <c r="E54" s="105"/>
      <c r="H54" s="105"/>
      <c r="I54" s="105"/>
      <c r="J54" s="105"/>
      <c r="K54" s="105"/>
      <c r="P54" s="108"/>
      <c r="Q54" s="108"/>
      <c r="R54" s="108"/>
      <c r="S54" s="108"/>
      <c r="T54" s="108"/>
      <c r="U54" s="108"/>
      <c r="V54" s="108"/>
      <c r="W54" s="108"/>
      <c r="X54" s="108"/>
      <c r="Y54" s="108"/>
    </row>
    <row r="55" spans="2:25" x14ac:dyDescent="0.25">
      <c r="B55" s="105"/>
      <c r="C55" s="105"/>
      <c r="D55" s="105"/>
      <c r="E55" s="105"/>
      <c r="H55" s="105"/>
      <c r="I55" s="105"/>
      <c r="J55" s="105"/>
      <c r="K55" s="105"/>
      <c r="P55" s="108"/>
      <c r="Q55" s="108"/>
      <c r="R55" s="108"/>
      <c r="S55" s="108"/>
      <c r="T55" s="108"/>
      <c r="U55" s="108"/>
      <c r="V55" s="108"/>
      <c r="W55" s="108"/>
      <c r="X55" s="108"/>
      <c r="Y55" s="108"/>
    </row>
    <row r="56" spans="2:25" x14ac:dyDescent="0.25">
      <c r="B56" s="105"/>
      <c r="C56" s="105"/>
      <c r="D56" s="105"/>
      <c r="E56" s="105"/>
      <c r="H56" s="105"/>
      <c r="I56" s="105"/>
      <c r="J56" s="105"/>
      <c r="K56" s="105"/>
      <c r="P56" s="108"/>
      <c r="Q56" s="108"/>
      <c r="R56" s="108"/>
      <c r="S56" s="108"/>
      <c r="T56" s="108"/>
      <c r="U56" s="108"/>
      <c r="V56" s="108"/>
      <c r="W56" s="108"/>
      <c r="X56" s="108"/>
      <c r="Y56" s="108"/>
    </row>
    <row r="57" spans="2:25" x14ac:dyDescent="0.25">
      <c r="B57" s="105"/>
      <c r="C57" s="105"/>
      <c r="D57" s="105"/>
      <c r="E57" s="105"/>
      <c r="H57" s="105"/>
      <c r="I57" s="105"/>
      <c r="J57" s="105"/>
      <c r="K57" s="105"/>
      <c r="P57" s="108"/>
      <c r="Q57" s="108"/>
      <c r="R57" s="108"/>
      <c r="S57" s="108"/>
      <c r="T57" s="108"/>
      <c r="U57" s="108"/>
      <c r="V57" s="108"/>
      <c r="W57" s="108"/>
      <c r="X57" s="108"/>
      <c r="Y57" s="108"/>
    </row>
    <row r="58" spans="2:25" x14ac:dyDescent="0.25">
      <c r="B58" s="105"/>
      <c r="C58" s="105"/>
      <c r="D58" s="105"/>
      <c r="E58" s="105"/>
      <c r="H58" s="105"/>
      <c r="I58" s="105"/>
      <c r="J58" s="105"/>
      <c r="K58" s="105"/>
      <c r="P58" s="108"/>
      <c r="Q58" s="108"/>
      <c r="R58" s="108"/>
      <c r="S58" s="108"/>
      <c r="T58" s="108"/>
      <c r="U58" s="108"/>
      <c r="V58" s="108"/>
      <c r="W58" s="108"/>
      <c r="X58" s="108"/>
      <c r="Y58" s="108"/>
    </row>
    <row r="59" spans="2:25" x14ac:dyDescent="0.25">
      <c r="B59" s="105"/>
      <c r="C59" s="105"/>
      <c r="D59" s="105"/>
      <c r="E59" s="105"/>
      <c r="H59" s="105"/>
      <c r="I59" s="105"/>
      <c r="J59" s="105"/>
      <c r="K59" s="105"/>
      <c r="P59" s="108"/>
      <c r="Q59" s="108"/>
      <c r="R59" s="108"/>
      <c r="S59" s="108"/>
      <c r="T59" s="108"/>
      <c r="U59" s="108"/>
      <c r="V59" s="108"/>
      <c r="W59" s="108"/>
      <c r="X59" s="108"/>
      <c r="Y59" s="108"/>
    </row>
    <row r="60" spans="2:25" x14ac:dyDescent="0.25">
      <c r="B60" s="105"/>
      <c r="C60" s="105"/>
      <c r="D60" s="105"/>
      <c r="E60" s="105"/>
      <c r="H60" s="105"/>
      <c r="I60" s="105"/>
      <c r="J60" s="105"/>
      <c r="K60" s="105"/>
      <c r="P60" s="108"/>
      <c r="Q60" s="108"/>
      <c r="R60" s="108"/>
      <c r="S60" s="108"/>
      <c r="T60" s="108"/>
      <c r="U60" s="108"/>
      <c r="V60" s="108"/>
      <c r="W60" s="108"/>
      <c r="X60" s="108"/>
      <c r="Y60" s="108"/>
    </row>
    <row r="61" spans="2:25" x14ac:dyDescent="0.25">
      <c r="B61" s="105"/>
      <c r="C61" s="105"/>
      <c r="D61" s="105"/>
      <c r="E61" s="105"/>
      <c r="H61" s="105"/>
      <c r="I61" s="105"/>
      <c r="J61" s="105"/>
      <c r="K61" s="105"/>
      <c r="P61" s="108"/>
      <c r="Q61" s="108"/>
      <c r="R61" s="108"/>
      <c r="S61" s="108"/>
      <c r="T61" s="108"/>
      <c r="U61" s="108"/>
      <c r="V61" s="108"/>
      <c r="W61" s="108"/>
      <c r="X61" s="108"/>
      <c r="Y61" s="108"/>
    </row>
    <row r="62" spans="2:25" x14ac:dyDescent="0.25">
      <c r="B62" s="105"/>
      <c r="C62" s="105"/>
      <c r="D62" s="105"/>
      <c r="E62" s="105"/>
      <c r="H62" s="105"/>
      <c r="I62" s="105"/>
      <c r="J62" s="105"/>
      <c r="K62" s="105"/>
      <c r="P62" s="108"/>
      <c r="Q62" s="108"/>
      <c r="R62" s="108"/>
      <c r="S62" s="108"/>
      <c r="T62" s="108"/>
      <c r="U62" s="108"/>
      <c r="V62" s="108"/>
      <c r="W62" s="108"/>
      <c r="X62" s="108"/>
      <c r="Y62" s="108"/>
    </row>
    <row r="63" spans="2:25" x14ac:dyDescent="0.25">
      <c r="B63" s="105"/>
      <c r="C63" s="105"/>
      <c r="D63" s="105"/>
      <c r="E63" s="105"/>
      <c r="H63" s="105"/>
      <c r="I63" s="105"/>
      <c r="J63" s="105"/>
      <c r="K63" s="105"/>
      <c r="P63" s="108"/>
      <c r="Q63" s="108"/>
      <c r="R63" s="108"/>
      <c r="S63" s="108"/>
      <c r="T63" s="108"/>
      <c r="U63" s="108"/>
      <c r="V63" s="108"/>
      <c r="W63" s="108"/>
      <c r="X63" s="108"/>
      <c r="Y63" s="108"/>
    </row>
    <row r="64" spans="2:25" x14ac:dyDescent="0.25">
      <c r="B64" s="105"/>
      <c r="C64" s="105"/>
      <c r="D64" s="105"/>
      <c r="E64" s="105"/>
      <c r="H64" s="105"/>
      <c r="I64" s="105"/>
      <c r="J64" s="105"/>
      <c r="K64" s="105"/>
      <c r="P64" s="108"/>
      <c r="Q64" s="108"/>
      <c r="R64" s="108"/>
      <c r="S64" s="108"/>
      <c r="T64" s="108"/>
      <c r="U64" s="108"/>
      <c r="V64" s="108"/>
      <c r="W64" s="108"/>
      <c r="X64" s="108"/>
      <c r="Y64" s="108"/>
    </row>
    <row r="65" spans="2:25" x14ac:dyDescent="0.25">
      <c r="B65" s="105"/>
      <c r="C65" s="105"/>
      <c r="D65" s="105"/>
      <c r="E65" s="105"/>
      <c r="H65" s="105"/>
      <c r="I65" s="105"/>
      <c r="J65" s="105"/>
      <c r="K65" s="105"/>
      <c r="P65" s="108"/>
      <c r="Q65" s="108"/>
      <c r="R65" s="108"/>
      <c r="S65" s="108"/>
      <c r="T65" s="108"/>
      <c r="U65" s="108"/>
      <c r="V65" s="108"/>
      <c r="W65" s="108"/>
      <c r="X65" s="108"/>
      <c r="Y65" s="108"/>
    </row>
    <row r="66" spans="2:25" x14ac:dyDescent="0.25">
      <c r="B66" s="105"/>
      <c r="C66" s="105"/>
      <c r="D66" s="105"/>
      <c r="E66" s="105"/>
      <c r="H66" s="105"/>
      <c r="I66" s="105"/>
      <c r="J66" s="105"/>
      <c r="K66" s="105"/>
      <c r="P66" s="108"/>
      <c r="Q66" s="108"/>
      <c r="R66" s="108"/>
      <c r="S66" s="108"/>
      <c r="T66" s="108"/>
      <c r="U66" s="108"/>
      <c r="V66" s="108"/>
      <c r="W66" s="108"/>
      <c r="X66" s="108"/>
      <c r="Y66" s="108"/>
    </row>
    <row r="67" spans="2:25" x14ac:dyDescent="0.25">
      <c r="B67" s="105"/>
      <c r="C67" s="105"/>
      <c r="D67" s="105"/>
      <c r="E67" s="105"/>
      <c r="H67" s="105"/>
      <c r="I67" s="105"/>
      <c r="J67" s="105"/>
      <c r="K67" s="105"/>
      <c r="P67" s="108"/>
      <c r="Q67" s="108"/>
      <c r="R67" s="108"/>
      <c r="S67" s="108"/>
      <c r="T67" s="108"/>
      <c r="U67" s="108"/>
      <c r="V67" s="108"/>
      <c r="W67" s="108"/>
      <c r="X67" s="108"/>
      <c r="Y67" s="108"/>
    </row>
    <row r="68" spans="2:25" x14ac:dyDescent="0.25">
      <c r="B68" s="105"/>
      <c r="C68" s="105"/>
      <c r="D68" s="105"/>
      <c r="E68" s="105"/>
      <c r="H68" s="105"/>
      <c r="I68" s="105"/>
      <c r="J68" s="105"/>
      <c r="K68" s="105"/>
      <c r="P68" s="108"/>
      <c r="Q68" s="108"/>
      <c r="R68" s="108"/>
      <c r="S68" s="108"/>
      <c r="T68" s="108"/>
      <c r="U68" s="108"/>
      <c r="V68" s="108"/>
      <c r="W68" s="108"/>
      <c r="X68" s="108"/>
      <c r="Y68" s="108"/>
    </row>
    <row r="69" spans="2:25" x14ac:dyDescent="0.25">
      <c r="B69" s="105"/>
      <c r="C69" s="105"/>
      <c r="D69" s="105"/>
      <c r="E69" s="105"/>
      <c r="H69" s="105"/>
      <c r="I69" s="105"/>
      <c r="J69" s="105"/>
      <c r="K69" s="105"/>
      <c r="P69" s="108"/>
      <c r="Q69" s="108"/>
      <c r="R69" s="108"/>
      <c r="S69" s="108"/>
      <c r="T69" s="108"/>
      <c r="U69" s="108"/>
      <c r="V69" s="108"/>
      <c r="W69" s="108"/>
      <c r="X69" s="108"/>
      <c r="Y69" s="108"/>
    </row>
    <row r="70" spans="2:25" x14ac:dyDescent="0.25">
      <c r="B70" s="105"/>
      <c r="C70" s="105"/>
      <c r="D70" s="105"/>
      <c r="E70" s="105"/>
      <c r="H70" s="105"/>
      <c r="I70" s="105"/>
      <c r="J70" s="105"/>
      <c r="K70" s="105"/>
      <c r="P70" s="108"/>
      <c r="Q70" s="108"/>
      <c r="R70" s="108"/>
      <c r="S70" s="108"/>
      <c r="T70" s="108"/>
      <c r="U70" s="108"/>
      <c r="V70" s="108"/>
      <c r="W70" s="108"/>
      <c r="X70" s="108"/>
      <c r="Y70" s="108"/>
    </row>
    <row r="71" spans="2:25" x14ac:dyDescent="0.25">
      <c r="B71" s="105"/>
      <c r="C71" s="105"/>
      <c r="D71" s="105"/>
      <c r="E71" s="105"/>
      <c r="H71" s="105"/>
      <c r="I71" s="105"/>
      <c r="J71" s="105"/>
      <c r="K71" s="105"/>
      <c r="P71" s="108"/>
      <c r="Q71" s="108"/>
      <c r="R71" s="108"/>
      <c r="S71" s="108"/>
      <c r="T71" s="108"/>
      <c r="U71" s="108"/>
      <c r="V71" s="108"/>
      <c r="W71" s="108"/>
      <c r="X71" s="108"/>
      <c r="Y71" s="108"/>
    </row>
    <row r="72" spans="2:25" x14ac:dyDescent="0.25">
      <c r="B72" s="105"/>
      <c r="C72" s="105"/>
      <c r="D72" s="105"/>
      <c r="E72" s="105"/>
      <c r="H72" s="105"/>
      <c r="I72" s="105"/>
      <c r="J72" s="105"/>
      <c r="K72" s="105"/>
      <c r="P72" s="108"/>
      <c r="Q72" s="108"/>
      <c r="R72" s="108"/>
      <c r="S72" s="108"/>
      <c r="T72" s="108"/>
      <c r="U72" s="108"/>
      <c r="V72" s="108"/>
      <c r="W72" s="108"/>
      <c r="X72" s="108"/>
      <c r="Y72" s="108"/>
    </row>
    <row r="73" spans="2:25" x14ac:dyDescent="0.25">
      <c r="B73" s="105"/>
      <c r="C73" s="105"/>
      <c r="D73" s="105"/>
      <c r="E73" s="105"/>
      <c r="H73" s="105"/>
      <c r="I73" s="105"/>
      <c r="J73" s="105"/>
      <c r="K73" s="105"/>
      <c r="P73" s="108"/>
      <c r="Q73" s="108"/>
      <c r="R73" s="108"/>
      <c r="S73" s="108"/>
      <c r="T73" s="108"/>
      <c r="U73" s="108"/>
      <c r="V73" s="108"/>
      <c r="W73" s="108"/>
      <c r="X73" s="108"/>
      <c r="Y73" s="108"/>
    </row>
    <row r="74" spans="2:25" x14ac:dyDescent="0.25">
      <c r="B74" s="105"/>
      <c r="C74" s="105"/>
      <c r="D74" s="105"/>
      <c r="E74" s="105"/>
      <c r="H74" s="105"/>
      <c r="I74" s="105"/>
      <c r="J74" s="105"/>
      <c r="K74" s="105"/>
      <c r="P74" s="108"/>
      <c r="Q74" s="108"/>
      <c r="R74" s="108"/>
      <c r="S74" s="108"/>
      <c r="T74" s="108"/>
      <c r="U74" s="108"/>
      <c r="V74" s="108"/>
      <c r="W74" s="108"/>
      <c r="X74" s="108"/>
      <c r="Y74" s="108"/>
    </row>
    <row r="75" spans="2:25" x14ac:dyDescent="0.25">
      <c r="B75" s="105"/>
      <c r="C75" s="105"/>
      <c r="D75" s="105"/>
      <c r="E75" s="105"/>
      <c r="H75" s="105"/>
      <c r="I75" s="105"/>
      <c r="J75" s="105"/>
      <c r="K75" s="105"/>
      <c r="P75" s="108"/>
      <c r="Q75" s="108"/>
      <c r="R75" s="108"/>
      <c r="S75" s="108"/>
      <c r="T75" s="108"/>
      <c r="U75" s="108"/>
      <c r="V75" s="108"/>
      <c r="W75" s="108"/>
      <c r="X75" s="108"/>
      <c r="Y75" s="108"/>
    </row>
    <row r="76" spans="2:25" x14ac:dyDescent="0.25">
      <c r="B76" s="105"/>
      <c r="C76" s="105"/>
      <c r="D76" s="105"/>
      <c r="E76" s="105"/>
      <c r="H76" s="105"/>
      <c r="I76" s="105"/>
      <c r="J76" s="105"/>
      <c r="K76" s="105"/>
      <c r="P76" s="108"/>
      <c r="Q76" s="108"/>
      <c r="R76" s="108"/>
      <c r="S76" s="108"/>
      <c r="T76" s="108"/>
      <c r="U76" s="108"/>
      <c r="V76" s="108"/>
      <c r="W76" s="108"/>
      <c r="X76" s="108"/>
      <c r="Y76" s="108"/>
    </row>
    <row r="77" spans="2:25" x14ac:dyDescent="0.25">
      <c r="B77" s="105"/>
      <c r="C77" s="105"/>
      <c r="D77" s="105"/>
      <c r="E77" s="105"/>
      <c r="H77" s="105"/>
      <c r="I77" s="105"/>
      <c r="J77" s="105"/>
      <c r="K77" s="105"/>
      <c r="P77" s="108"/>
      <c r="Q77" s="108"/>
      <c r="R77" s="108"/>
      <c r="S77" s="108"/>
      <c r="T77" s="108"/>
      <c r="U77" s="108"/>
      <c r="V77" s="108"/>
      <c r="W77" s="108"/>
      <c r="X77" s="108"/>
      <c r="Y77" s="108"/>
    </row>
    <row r="78" spans="2:25" x14ac:dyDescent="0.25">
      <c r="B78" s="105"/>
      <c r="C78" s="105"/>
      <c r="D78" s="105"/>
      <c r="E78" s="105"/>
      <c r="H78" s="105"/>
      <c r="I78" s="105"/>
      <c r="J78" s="105"/>
      <c r="K78" s="105"/>
      <c r="P78" s="108"/>
      <c r="Q78" s="108"/>
      <c r="R78" s="108"/>
      <c r="S78" s="108"/>
      <c r="T78" s="108"/>
      <c r="U78" s="108"/>
      <c r="V78" s="108"/>
      <c r="W78" s="108"/>
      <c r="X78" s="108"/>
      <c r="Y78" s="108"/>
    </row>
    <row r="79" spans="2:25" x14ac:dyDescent="0.25">
      <c r="B79" s="105"/>
      <c r="C79" s="105"/>
      <c r="D79" s="105"/>
      <c r="E79" s="105"/>
      <c r="H79" s="105"/>
      <c r="I79" s="105"/>
      <c r="J79" s="105"/>
      <c r="K79" s="105"/>
      <c r="P79" s="108"/>
      <c r="Q79" s="108"/>
      <c r="R79" s="108"/>
      <c r="S79" s="108"/>
      <c r="T79" s="108"/>
      <c r="U79" s="108"/>
      <c r="V79" s="108"/>
      <c r="W79" s="108"/>
      <c r="X79" s="108"/>
      <c r="Y79" s="108"/>
    </row>
    <row r="80" spans="2:25" x14ac:dyDescent="0.25">
      <c r="B80" s="105"/>
      <c r="C80" s="105"/>
      <c r="D80" s="105"/>
      <c r="E80" s="105"/>
      <c r="H80" s="105"/>
      <c r="I80" s="105"/>
      <c r="J80" s="105"/>
      <c r="K80" s="105"/>
      <c r="P80" s="108"/>
      <c r="Q80" s="108"/>
      <c r="R80" s="108"/>
      <c r="S80" s="108"/>
      <c r="T80" s="108"/>
      <c r="U80" s="108"/>
      <c r="V80" s="108"/>
      <c r="W80" s="108"/>
      <c r="X80" s="108"/>
      <c r="Y80" s="108"/>
    </row>
    <row r="81" spans="2:25" x14ac:dyDescent="0.25">
      <c r="B81" s="105"/>
      <c r="C81" s="105"/>
      <c r="D81" s="105"/>
      <c r="E81" s="105"/>
      <c r="H81" s="105"/>
      <c r="I81" s="105"/>
      <c r="J81" s="105"/>
      <c r="K81" s="105"/>
      <c r="P81" s="108"/>
      <c r="Q81" s="108"/>
      <c r="R81" s="108"/>
      <c r="S81" s="108"/>
      <c r="T81" s="108"/>
      <c r="U81" s="108"/>
      <c r="V81" s="108"/>
      <c r="W81" s="108"/>
      <c r="X81" s="108"/>
      <c r="Y81" s="108"/>
    </row>
    <row r="82" spans="2:25" x14ac:dyDescent="0.25">
      <c r="B82" s="105"/>
      <c r="C82" s="105"/>
      <c r="D82" s="105"/>
      <c r="E82" s="105"/>
      <c r="H82" s="105"/>
      <c r="I82" s="105"/>
      <c r="J82" s="105"/>
      <c r="K82" s="105"/>
      <c r="P82" s="108"/>
      <c r="Q82" s="108"/>
      <c r="R82" s="108"/>
      <c r="S82" s="108"/>
      <c r="T82" s="108"/>
      <c r="U82" s="108"/>
      <c r="V82" s="108"/>
      <c r="W82" s="108"/>
      <c r="X82" s="108"/>
      <c r="Y82" s="108"/>
    </row>
    <row r="83" spans="2:25" x14ac:dyDescent="0.25">
      <c r="B83" s="105"/>
      <c r="C83" s="105"/>
      <c r="D83" s="105"/>
      <c r="E83" s="105"/>
      <c r="H83" s="105"/>
      <c r="I83" s="105"/>
      <c r="J83" s="105"/>
      <c r="K83" s="105"/>
      <c r="P83" s="108"/>
      <c r="Q83" s="108"/>
      <c r="R83" s="108"/>
      <c r="S83" s="108"/>
      <c r="T83" s="108"/>
      <c r="U83" s="108"/>
      <c r="V83" s="108"/>
      <c r="W83" s="108"/>
      <c r="X83" s="108"/>
      <c r="Y83" s="108"/>
    </row>
    <row r="84" spans="2:25" x14ac:dyDescent="0.25">
      <c r="B84" s="105"/>
      <c r="C84" s="105"/>
      <c r="D84" s="105"/>
      <c r="E84" s="105"/>
      <c r="H84" s="105"/>
      <c r="I84" s="105"/>
      <c r="J84" s="105"/>
      <c r="K84" s="105"/>
      <c r="P84" s="108"/>
      <c r="Q84" s="108"/>
      <c r="R84" s="108"/>
      <c r="S84" s="108"/>
      <c r="T84" s="108"/>
      <c r="U84" s="108"/>
      <c r="V84" s="108"/>
      <c r="W84" s="108"/>
      <c r="X84" s="108"/>
      <c r="Y84" s="108"/>
    </row>
    <row r="85" spans="2:25" x14ac:dyDescent="0.25">
      <c r="B85" s="105"/>
      <c r="C85" s="105"/>
      <c r="D85" s="105"/>
      <c r="E85" s="105"/>
      <c r="H85" s="105"/>
      <c r="I85" s="105"/>
      <c r="J85" s="105"/>
      <c r="K85" s="105"/>
      <c r="P85" s="108"/>
      <c r="Q85" s="108"/>
      <c r="R85" s="108"/>
      <c r="S85" s="108"/>
      <c r="T85" s="108"/>
      <c r="U85" s="108"/>
      <c r="V85" s="108"/>
      <c r="W85" s="108"/>
      <c r="X85" s="108"/>
      <c r="Y85" s="108"/>
    </row>
    <row r="86" spans="2:25" x14ac:dyDescent="0.25">
      <c r="B86" s="105"/>
      <c r="C86" s="105"/>
      <c r="D86" s="105"/>
      <c r="E86" s="105"/>
      <c r="H86" s="105"/>
      <c r="I86" s="105"/>
      <c r="J86" s="105"/>
      <c r="K86" s="105"/>
      <c r="P86" s="108"/>
      <c r="Q86" s="108"/>
      <c r="R86" s="108"/>
      <c r="S86" s="108"/>
      <c r="T86" s="108"/>
      <c r="U86" s="108"/>
      <c r="V86" s="108"/>
      <c r="W86" s="108"/>
      <c r="X86" s="108"/>
      <c r="Y86" s="108"/>
    </row>
    <row r="87" spans="2:25" x14ac:dyDescent="0.25">
      <c r="B87" s="105"/>
      <c r="C87" s="105"/>
      <c r="D87" s="105"/>
      <c r="E87" s="105"/>
      <c r="H87" s="105"/>
      <c r="I87" s="105"/>
      <c r="J87" s="105"/>
      <c r="K87" s="105"/>
      <c r="P87" s="108"/>
      <c r="Q87" s="108"/>
      <c r="R87" s="108"/>
      <c r="S87" s="108"/>
      <c r="T87" s="108"/>
      <c r="U87" s="108"/>
      <c r="V87" s="108"/>
      <c r="W87" s="108"/>
      <c r="X87" s="108"/>
      <c r="Y87" s="108"/>
    </row>
    <row r="88" spans="2:25" x14ac:dyDescent="0.25">
      <c r="B88" s="105"/>
      <c r="C88" s="105"/>
      <c r="D88" s="105"/>
      <c r="E88" s="105"/>
      <c r="H88" s="105"/>
      <c r="I88" s="105"/>
      <c r="J88" s="105"/>
      <c r="K88" s="105"/>
      <c r="P88" s="108"/>
      <c r="Q88" s="108"/>
      <c r="R88" s="108"/>
      <c r="S88" s="108"/>
      <c r="T88" s="108"/>
      <c r="U88" s="108"/>
      <c r="V88" s="108"/>
      <c r="W88" s="108"/>
      <c r="X88" s="108"/>
      <c r="Y88" s="108"/>
    </row>
    <row r="89" spans="2:25" x14ac:dyDescent="0.25">
      <c r="B89" s="105"/>
      <c r="C89" s="105"/>
      <c r="D89" s="105"/>
      <c r="E89" s="105"/>
      <c r="H89" s="105"/>
      <c r="I89" s="105"/>
      <c r="J89" s="105"/>
      <c r="K89" s="105"/>
      <c r="P89" s="108"/>
      <c r="Q89" s="108"/>
      <c r="R89" s="108"/>
      <c r="S89" s="108"/>
      <c r="T89" s="108"/>
      <c r="U89" s="108"/>
      <c r="V89" s="108"/>
      <c r="W89" s="108"/>
      <c r="X89" s="108"/>
      <c r="Y89" s="108"/>
    </row>
    <row r="90" spans="2:25" x14ac:dyDescent="0.25">
      <c r="B90" s="105"/>
      <c r="C90" s="105"/>
      <c r="D90" s="105"/>
      <c r="E90" s="105"/>
      <c r="H90" s="105"/>
      <c r="I90" s="105"/>
      <c r="J90" s="105"/>
      <c r="K90" s="105"/>
      <c r="P90" s="108"/>
      <c r="Q90" s="108"/>
      <c r="R90" s="108"/>
      <c r="S90" s="108"/>
      <c r="T90" s="108"/>
      <c r="U90" s="108"/>
      <c r="V90" s="108"/>
      <c r="W90" s="108"/>
      <c r="X90" s="108"/>
      <c r="Y90" s="108"/>
    </row>
    <row r="91" spans="2:25" x14ac:dyDescent="0.25">
      <c r="B91" s="105"/>
      <c r="C91" s="105"/>
      <c r="D91" s="105"/>
      <c r="E91" s="105"/>
      <c r="H91" s="105"/>
      <c r="I91" s="105"/>
      <c r="J91" s="105"/>
      <c r="K91" s="105"/>
      <c r="P91" s="108"/>
      <c r="Q91" s="108"/>
      <c r="R91" s="108"/>
      <c r="S91" s="108"/>
      <c r="T91" s="108"/>
      <c r="U91" s="108"/>
      <c r="V91" s="108"/>
      <c r="W91" s="108"/>
      <c r="X91" s="108"/>
      <c r="Y91" s="108"/>
    </row>
    <row r="92" spans="2:25" x14ac:dyDescent="0.25">
      <c r="B92" s="105"/>
      <c r="C92" s="105"/>
      <c r="D92" s="105"/>
      <c r="E92" s="105"/>
      <c r="H92" s="105"/>
      <c r="I92" s="105"/>
      <c r="J92" s="105"/>
      <c r="K92" s="105"/>
      <c r="P92" s="108"/>
      <c r="Q92" s="108"/>
      <c r="R92" s="108"/>
      <c r="S92" s="108"/>
      <c r="T92" s="108"/>
      <c r="U92" s="108"/>
      <c r="V92" s="108"/>
      <c r="W92" s="108"/>
      <c r="X92" s="108"/>
      <c r="Y92" s="108"/>
    </row>
    <row r="93" spans="2:25" x14ac:dyDescent="0.25">
      <c r="B93" s="105"/>
      <c r="C93" s="105"/>
      <c r="D93" s="105"/>
      <c r="E93" s="105"/>
      <c r="H93" s="105"/>
      <c r="I93" s="105"/>
      <c r="J93" s="105"/>
      <c r="K93" s="105"/>
      <c r="P93" s="108"/>
      <c r="Q93" s="108"/>
      <c r="R93" s="108"/>
      <c r="S93" s="108"/>
      <c r="T93" s="108"/>
      <c r="U93" s="108"/>
      <c r="V93" s="108"/>
      <c r="W93" s="108"/>
      <c r="X93" s="108"/>
      <c r="Y93" s="108"/>
    </row>
    <row r="94" spans="2:25" x14ac:dyDescent="0.25">
      <c r="B94" s="105"/>
      <c r="C94" s="105"/>
      <c r="D94" s="105"/>
      <c r="E94" s="105"/>
      <c r="H94" s="105"/>
      <c r="I94" s="105"/>
      <c r="J94" s="105"/>
      <c r="K94" s="105"/>
      <c r="P94" s="108"/>
      <c r="Q94" s="108"/>
      <c r="R94" s="108"/>
      <c r="S94" s="108"/>
      <c r="T94" s="108"/>
      <c r="U94" s="108"/>
      <c r="V94" s="108"/>
      <c r="W94" s="108"/>
      <c r="X94" s="108"/>
      <c r="Y94" s="108"/>
    </row>
    <row r="95" spans="2:25" x14ac:dyDescent="0.25">
      <c r="B95" s="105"/>
      <c r="C95" s="105"/>
      <c r="D95" s="105"/>
      <c r="E95" s="105"/>
      <c r="H95" s="105"/>
      <c r="I95" s="105"/>
      <c r="J95" s="105"/>
      <c r="K95" s="105"/>
      <c r="P95" s="108"/>
      <c r="Q95" s="108"/>
      <c r="R95" s="108"/>
      <c r="S95" s="108"/>
      <c r="T95" s="108"/>
      <c r="U95" s="108"/>
      <c r="V95" s="108"/>
      <c r="W95" s="108"/>
      <c r="X95" s="108"/>
      <c r="Y95" s="108"/>
    </row>
    <row r="96" spans="2:25" x14ac:dyDescent="0.25">
      <c r="B96" s="105"/>
      <c r="C96" s="105"/>
      <c r="D96" s="105"/>
      <c r="E96" s="105"/>
      <c r="H96" s="105"/>
      <c r="I96" s="105"/>
      <c r="J96" s="105"/>
      <c r="K96" s="105"/>
      <c r="P96" s="108"/>
      <c r="Q96" s="108"/>
      <c r="R96" s="108"/>
      <c r="S96" s="108"/>
      <c r="T96" s="108"/>
      <c r="U96" s="108"/>
      <c r="V96" s="108"/>
      <c r="W96" s="108"/>
      <c r="X96" s="108"/>
      <c r="Y96" s="108"/>
    </row>
    <row r="97" spans="2:25" x14ac:dyDescent="0.25">
      <c r="B97" s="105"/>
      <c r="C97" s="105"/>
      <c r="D97" s="105"/>
      <c r="E97" s="105"/>
      <c r="H97" s="105"/>
      <c r="I97" s="105"/>
      <c r="J97" s="105"/>
      <c r="K97" s="105"/>
      <c r="P97" s="108"/>
      <c r="Q97" s="108"/>
      <c r="R97" s="108"/>
      <c r="S97" s="108"/>
      <c r="T97" s="108"/>
      <c r="U97" s="108"/>
      <c r="V97" s="108"/>
      <c r="W97" s="108"/>
      <c r="X97" s="108"/>
      <c r="Y97" s="108"/>
    </row>
    <row r="98" spans="2:25" x14ac:dyDescent="0.25">
      <c r="B98" s="105"/>
      <c r="C98" s="105"/>
      <c r="D98" s="105"/>
      <c r="E98" s="105"/>
      <c r="H98" s="105"/>
      <c r="I98" s="105"/>
      <c r="J98" s="105"/>
      <c r="K98" s="105"/>
      <c r="P98" s="108"/>
      <c r="Q98" s="108"/>
      <c r="R98" s="108"/>
      <c r="S98" s="108"/>
      <c r="T98" s="108"/>
      <c r="U98" s="108"/>
      <c r="V98" s="108"/>
      <c r="W98" s="108"/>
      <c r="X98" s="108"/>
      <c r="Y98" s="108"/>
    </row>
    <row r="99" spans="2:25" x14ac:dyDescent="0.25">
      <c r="B99" s="105"/>
      <c r="C99" s="105"/>
      <c r="D99" s="105"/>
      <c r="E99" s="105"/>
      <c r="H99" s="105"/>
      <c r="I99" s="105"/>
      <c r="J99" s="105"/>
      <c r="K99" s="105"/>
      <c r="P99" s="108"/>
      <c r="Q99" s="108"/>
      <c r="R99" s="108"/>
      <c r="S99" s="108"/>
      <c r="T99" s="108"/>
      <c r="U99" s="108"/>
      <c r="V99" s="108"/>
      <c r="W99" s="108"/>
      <c r="X99" s="108"/>
      <c r="Y99" s="108"/>
    </row>
    <row r="100" spans="2:25" x14ac:dyDescent="0.25">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90" zoomScaleNormal="90" workbookViewId="0">
      <selection activeCell="S20" sqref="S20"/>
    </sheetView>
  </sheetViews>
  <sheetFormatPr defaultColWidth="8.69921875" defaultRowHeight="13.8" x14ac:dyDescent="0.25"/>
  <cols>
    <col min="1" max="1" width="5.69921875" style="105" bestFit="1" customWidth="1"/>
    <col min="2" max="2" width="16.09765625" style="109" customWidth="1"/>
    <col min="3" max="4" width="3.19921875" style="109" customWidth="1"/>
    <col min="5" max="5" width="16.09765625" style="109" customWidth="1"/>
    <col min="6" max="6" width="1.69921875" style="105" customWidth="1"/>
    <col min="7" max="7" width="5.69921875" style="105" bestFit="1" customWidth="1"/>
    <col min="8" max="8" width="16.09765625" style="109" customWidth="1"/>
    <col min="9" max="10" width="3.69921875" style="109" customWidth="1"/>
    <col min="11" max="11" width="16.09765625" style="109" customWidth="1"/>
    <col min="12" max="12" width="1.69921875" style="105" customWidth="1"/>
    <col min="13" max="13" width="1.796875" style="106" customWidth="1"/>
    <col min="14" max="14" width="5.296875" style="122" customWidth="1"/>
    <col min="15" max="15" width="5.69921875" style="109" bestFit="1" customWidth="1"/>
    <col min="16" max="16" width="24.09765625" style="109" customWidth="1"/>
    <col min="17" max="18" width="4.5" style="109" customWidth="1"/>
    <col min="19" max="19" width="21.69921875" style="109" customWidth="1"/>
    <col min="20" max="21" width="1.7968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s="108" customFormat="1" x14ac:dyDescent="0.25">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5">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4.4" thickBot="1" x14ac:dyDescent="0.3">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5" customHeight="1" x14ac:dyDescent="0.25">
      <c r="A4" s="179"/>
      <c r="B4" s="176"/>
      <c r="C4" s="177" t="s">
        <v>209</v>
      </c>
      <c r="D4" s="177" t="s">
        <v>228</v>
      </c>
      <c r="E4" s="178" t="s">
        <v>275</v>
      </c>
      <c r="F4" s="110"/>
      <c r="G4" s="179"/>
      <c r="H4" s="176"/>
      <c r="I4" s="177" t="s">
        <v>245</v>
      </c>
      <c r="J4" s="177" t="s">
        <v>264</v>
      </c>
      <c r="K4" s="178" t="s">
        <v>276</v>
      </c>
      <c r="L4" s="105"/>
      <c r="M4" s="106"/>
      <c r="N4" s="122"/>
      <c r="O4" s="182"/>
      <c r="P4" s="514" t="str">
        <f>+B21</f>
        <v>Brasil</v>
      </c>
      <c r="Q4" s="520">
        <v>1</v>
      </c>
      <c r="R4" s="523">
        <v>3</v>
      </c>
      <c r="S4" s="517" t="str">
        <f>+H21</f>
        <v>Argentina</v>
      </c>
      <c r="T4" s="109"/>
      <c r="U4" s="109"/>
      <c r="V4" s="109"/>
      <c r="W4" s="109"/>
      <c r="X4" s="109"/>
      <c r="Y4" s="109"/>
    </row>
    <row r="5" spans="1:25" s="108" customFormat="1" ht="13.95" customHeight="1" x14ac:dyDescent="0.25">
      <c r="A5" s="180" t="s">
        <v>277</v>
      </c>
      <c r="B5" s="111" t="str">
        <f>+_xlfn.XLOOKUP(C4,'Round of 32 &amp; Round of 16'!$Q:$Q,'Round of 32 &amp; Round of 16'!$P:$P,_xlfn.XLOOKUP(C4,'Round of 32 &amp; Round of 16'!$W:$W,'Round of 32 &amp; Round of 16'!$V:$V,"-",0),0)</f>
        <v>Alemania</v>
      </c>
      <c r="C5" s="112">
        <v>1</v>
      </c>
      <c r="D5" s="113">
        <v>2</v>
      </c>
      <c r="E5" s="114" t="str">
        <f>+_xlfn.XLOOKUP(D4,'Round of 32 &amp; Round of 16'!$Q:$Q,'Round of 32 &amp; Round of 16'!$P:$P,_xlfn.XLOOKUP(D4,'Round of 32 &amp; Round of 16'!$W:$W,'Round of 32 &amp; Round of 16'!$V:$V,"-",0),0)</f>
        <v>Brasil</v>
      </c>
      <c r="F5" s="110"/>
      <c r="G5" s="180" t="s">
        <v>278</v>
      </c>
      <c r="H5" s="111" t="str">
        <f>+_xlfn.XLOOKUP(I4,'Round of 32 &amp; Round of 16'!$Q:$Q,'Round of 32 &amp; Round of 16'!$P:$P,_xlfn.XLOOKUP(I4,'Round of 32 &amp; Round of 16'!$W:$W,'Round of 32 &amp; Round of 16'!$V:$V,"-",0),0)</f>
        <v>Marruecos</v>
      </c>
      <c r="I5" s="112">
        <v>2</v>
      </c>
      <c r="J5" s="113">
        <v>0</v>
      </c>
      <c r="K5" s="114" t="str">
        <f>+_xlfn.XLOOKUP(J4,'Round of 32 &amp; Round of 16'!$Q:$Q,'Round of 32 &amp; Round of 16'!$P:$P,_xlfn.XLOOKUP(J4,'Round of 32 &amp; Round of 16'!$W:$W,'Round of 32 &amp; Round of 16'!$V:$V,"-",0),0)</f>
        <v>Ghana</v>
      </c>
      <c r="L5" s="105"/>
      <c r="M5" s="106"/>
      <c r="N5" s="122"/>
      <c r="O5" s="183" t="s">
        <v>279</v>
      </c>
      <c r="P5" s="515"/>
      <c r="Q5" s="521"/>
      <c r="R5" s="524"/>
      <c r="S5" s="518"/>
      <c r="T5" s="109"/>
      <c r="U5" s="109"/>
      <c r="V5" s="109"/>
      <c r="W5" s="109"/>
      <c r="X5" s="109"/>
      <c r="Y5" s="109"/>
    </row>
    <row r="6" spans="1:25" s="108" customFormat="1" ht="14.55" customHeight="1" thickBot="1" x14ac:dyDescent="0.3">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55" customHeight="1" x14ac:dyDescent="0.25">
      <c r="A7" s="105"/>
      <c r="B7" s="117" t="str">
        <f>+IF(AND(ISNUMBER(C5),ISNUMBER(D5)),IF((C5+C6)&gt;(D5+D6),B5,E5),"-")</f>
        <v>Brasil</v>
      </c>
      <c r="C7" s="117" t="str">
        <f>+E4</f>
        <v>W97</v>
      </c>
      <c r="D7" s="117"/>
      <c r="E7" s="117"/>
      <c r="F7" s="110"/>
      <c r="G7" s="105"/>
      <c r="H7" s="117" t="str">
        <f>+IF(AND(ISNUMBER(I5),ISNUMBER(J5)),IF((I5+I6)&gt;(J5+J6),H5,K5),"-")</f>
        <v>Marruecos</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5">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Argentina</v>
      </c>
      <c r="Q8" s="140">
        <f>+S5</f>
        <v>0</v>
      </c>
      <c r="R8" s="140"/>
      <c r="S8" s="140" t="str">
        <f>+IF(AND(ISNUMBER(Q4),ISNUMBER(R4)),IF((Q4+Q7)&gt;(R4+R7),S4,P4),"-")</f>
        <v>Brasil</v>
      </c>
      <c r="T8" s="109"/>
      <c r="U8" s="109"/>
      <c r="V8" s="109"/>
      <c r="W8" s="109"/>
      <c r="X8" s="109"/>
      <c r="Y8" s="109"/>
    </row>
    <row r="9" spans="1:25" s="108" customFormat="1" x14ac:dyDescent="0.25">
      <c r="A9" s="180" t="s">
        <v>282</v>
      </c>
      <c r="B9" s="111" t="str">
        <f>+_xlfn.XLOOKUP(C8,'Round of 32 &amp; Round of 16'!$Q:$Q,'Round of 32 &amp; Round of 16'!$P:$P,_xlfn.XLOOKUP(C8,'Round of 32 &amp; Round of 16'!$W:$W,'Round of 32 &amp; Round of 16'!$V:$V,"-",0),0)</f>
        <v>Colombia</v>
      </c>
      <c r="C9" s="112">
        <v>2</v>
      </c>
      <c r="D9" s="113">
        <v>0</v>
      </c>
      <c r="E9" s="114" t="str">
        <f>+_xlfn.XLOOKUP(D8,'Round of 32 &amp; Round of 16'!$Q:$Q,'Round of 32 &amp; Round of 16'!$P:$P,_xlfn.XLOOKUP(D8,'Round of 32 &amp; Round of 16'!$W:$W,'Round of 32 &amp; Round of 16'!$V:$V,"-",0),0)</f>
        <v>Paraguay</v>
      </c>
      <c r="F9" s="110"/>
      <c r="G9" s="180" t="s">
        <v>283</v>
      </c>
      <c r="H9" s="111" t="str">
        <f>+_xlfn.XLOOKUP(I8,'Round of 32 &amp; Round of 16'!$Q:$Q,'Round of 32 &amp; Round of 16'!$P:$P,_xlfn.XLOOKUP(I8,'Round of 32 &amp; Round of 16'!$W:$W,'Round of 32 &amp; Round of 16'!$V:$V,"-",0),0)</f>
        <v>Argentina</v>
      </c>
      <c r="I9" s="112">
        <v>3</v>
      </c>
      <c r="J9" s="113">
        <v>1</v>
      </c>
      <c r="K9" s="114" t="str">
        <f>+_xlfn.XLOOKUP(J8,'Round of 32 &amp; Round of 16'!$Q:$Q,'Round of 32 &amp; Round of 16'!$P:$P,_xlfn.XLOOKUP(J8,'Round of 32 &amp; Round of 16'!$W:$W,'Round of 32 &amp; Round of 16'!$V:$V,"-",0),0)</f>
        <v>Croacia</v>
      </c>
      <c r="L9" s="105"/>
      <c r="M9" s="106"/>
      <c r="N9" s="122"/>
      <c r="O9" s="109"/>
      <c r="P9" s="109"/>
      <c r="Q9" s="109"/>
      <c r="R9" s="109"/>
      <c r="S9" s="109"/>
      <c r="T9" s="109"/>
      <c r="U9" s="109"/>
      <c r="V9" s="109"/>
      <c r="W9" s="109"/>
      <c r="X9" s="109"/>
      <c r="Y9" s="109"/>
    </row>
    <row r="10" spans="1:25" s="108" customFormat="1" x14ac:dyDescent="0.25">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4.4" thickBot="1" x14ac:dyDescent="0.3">
      <c r="A11" s="105"/>
      <c r="B11" s="117" t="str">
        <f>+IF(AND(ISNUMBER(C9),ISNUMBER(D9)),IF((C9+C10)&gt;(D9+D10),B9,E9),"-")</f>
        <v>Colombia</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5">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5">
      <c r="A13" s="105"/>
      <c r="B13" s="105"/>
      <c r="C13" s="105"/>
      <c r="D13" s="105"/>
      <c r="E13" s="105"/>
      <c r="F13" s="105"/>
      <c r="G13" s="105"/>
      <c r="H13" s="105"/>
      <c r="I13" s="105"/>
      <c r="J13" s="105"/>
      <c r="K13" s="105"/>
      <c r="L13" s="105"/>
      <c r="M13" s="106"/>
      <c r="N13" s="122"/>
      <c r="O13" s="186" t="s">
        <v>286</v>
      </c>
      <c r="P13" s="129" t="str">
        <f>+E21</f>
        <v>Colombia</v>
      </c>
      <c r="Q13" s="112">
        <v>1</v>
      </c>
      <c r="R13" s="113">
        <v>2</v>
      </c>
      <c r="S13" s="130" t="str">
        <f>+K21</f>
        <v>Marruecos</v>
      </c>
      <c r="T13" s="109"/>
      <c r="U13" s="109"/>
      <c r="V13" s="109"/>
      <c r="W13" s="109"/>
      <c r="X13" s="109"/>
      <c r="Y13" s="109"/>
    </row>
    <row r="14" spans="1:25" s="108" customFormat="1" ht="14.4" thickBot="1" x14ac:dyDescent="0.3">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5">
      <c r="M15" s="106"/>
      <c r="N15" s="122"/>
      <c r="O15" s="109"/>
      <c r="P15" s="140" t="str">
        <f>+IF(AND(ISNUMBER(Q13),ISNUMBER(R13)),IF((Q13+Q14)&gt;(R13+R14),P13,S13),"-")</f>
        <v>Marruecos</v>
      </c>
      <c r="Q15" s="140">
        <f>+S12</f>
        <v>0</v>
      </c>
      <c r="R15" s="140"/>
      <c r="S15" s="140" t="str">
        <f>+IF(AND(ISNUMBER(Q13),ISNUMBER(R13)),IF((Q13+Q14)&gt;(R13+R14),S13,P13),"-")</f>
        <v>Colombia</v>
      </c>
      <c r="T15" s="109"/>
      <c r="U15" s="109"/>
      <c r="V15" s="109"/>
      <c r="W15" s="109"/>
      <c r="X15" s="109"/>
      <c r="Y15" s="109"/>
    </row>
    <row r="16" spans="1:25" s="108" customFormat="1" x14ac:dyDescent="0.25">
      <c r="M16" s="106"/>
      <c r="N16" s="122"/>
      <c r="O16" s="109"/>
      <c r="P16" s="109"/>
      <c r="Q16" s="109"/>
      <c r="R16" s="109"/>
      <c r="S16" s="109"/>
      <c r="T16" s="109"/>
      <c r="U16" s="109"/>
      <c r="V16" s="109"/>
      <c r="W16" s="109"/>
      <c r="X16" s="109"/>
      <c r="Y16" s="109"/>
    </row>
    <row r="17" spans="1:25" s="108" customFormat="1" x14ac:dyDescent="0.25">
      <c r="M17" s="106"/>
      <c r="N17" s="122"/>
      <c r="O17" s="109"/>
      <c r="P17" s="109"/>
      <c r="Q17" s="109"/>
      <c r="R17" s="109"/>
      <c r="S17" s="109"/>
      <c r="T17" s="109"/>
      <c r="U17" s="109"/>
      <c r="V17" s="109"/>
      <c r="W17" s="109"/>
      <c r="X17" s="109"/>
      <c r="Y17" s="109"/>
    </row>
    <row r="18" spans="1:25" s="108" customFormat="1" x14ac:dyDescent="0.25">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864</v>
      </c>
      <c r="T18" s="109"/>
      <c r="U18" s="109"/>
      <c r="V18" s="109"/>
      <c r="W18" s="109"/>
      <c r="X18" s="109"/>
      <c r="Y18" s="109"/>
    </row>
    <row r="19" spans="1:25" s="108" customFormat="1" x14ac:dyDescent="0.25">
      <c r="A19" s="180" t="s">
        <v>287</v>
      </c>
      <c r="B19" s="111" t="str">
        <f>+B7</f>
        <v>Brasil</v>
      </c>
      <c r="C19" s="112">
        <v>2</v>
      </c>
      <c r="D19" s="113">
        <v>1</v>
      </c>
      <c r="E19" s="114" t="str">
        <f>+B11</f>
        <v>Colombia</v>
      </c>
      <c r="F19" s="121"/>
      <c r="G19" s="180" t="s">
        <v>288</v>
      </c>
      <c r="H19" s="111" t="str">
        <f>+H7</f>
        <v>Marruecos</v>
      </c>
      <c r="I19" s="112">
        <v>2</v>
      </c>
      <c r="J19" s="113">
        <v>2</v>
      </c>
      <c r="K19" s="114" t="str">
        <f>+H11</f>
        <v>Argentina</v>
      </c>
      <c r="M19" s="106"/>
      <c r="N19" s="122"/>
      <c r="O19" s="109"/>
      <c r="P19" s="133"/>
      <c r="Q19" s="134"/>
      <c r="R19" s="135" t="s">
        <v>25</v>
      </c>
      <c r="S19" s="136" t="s">
        <v>865</v>
      </c>
      <c r="T19" s="109"/>
      <c r="U19" s="109"/>
      <c r="V19" s="109"/>
      <c r="W19" s="109"/>
      <c r="X19" s="109"/>
      <c r="Y19" s="109"/>
    </row>
    <row r="20" spans="1:25" s="108" customFormat="1" x14ac:dyDescent="0.25">
      <c r="A20" s="181"/>
      <c r="B20" s="115" t="s">
        <v>217</v>
      </c>
      <c r="C20" s="137"/>
      <c r="D20" s="137"/>
      <c r="E20" s="116" t="str">
        <f>+IF(AND(ISNUMBER(C19),ISNUMBER(D19),C19=D19),"Y","N")</f>
        <v>N</v>
      </c>
      <c r="F20" s="121"/>
      <c r="G20" s="181"/>
      <c r="H20" s="115" t="s">
        <v>217</v>
      </c>
      <c r="I20" s="137">
        <v>2</v>
      </c>
      <c r="J20" s="137">
        <v>4</v>
      </c>
      <c r="K20" s="116" t="str">
        <f>+IF(AND(ISNUMBER(I19),ISNUMBER(J19),I19=J19),"Y","N")</f>
        <v>Y</v>
      </c>
      <c r="M20" s="106"/>
      <c r="N20" s="122"/>
      <c r="O20" s="109"/>
      <c r="P20" s="133"/>
      <c r="Q20" s="134"/>
      <c r="R20" s="135" t="s">
        <v>27</v>
      </c>
      <c r="S20" s="242" t="str">
        <f>IF(P8="-","-",Aux!BD7)</f>
        <v>Marruecos</v>
      </c>
      <c r="T20" s="109"/>
      <c r="U20" s="109"/>
      <c r="V20" s="109"/>
      <c r="W20" s="109"/>
      <c r="X20" s="109"/>
      <c r="Y20" s="109"/>
    </row>
    <row r="21" spans="1:25" s="108" customFormat="1" x14ac:dyDescent="0.25">
      <c r="B21" s="118" t="str">
        <f>+IF(AND(ISNUMBER(C19),ISNUMBER(D19)),IF((C19+C20)&gt;(D19+D20),B19,E19),"-")</f>
        <v>Brasil</v>
      </c>
      <c r="C21" s="118" t="str">
        <f>+E18</f>
        <v>W101</v>
      </c>
      <c r="D21" s="118"/>
      <c r="E21" s="118" t="str">
        <f>+IF(AND(ISNUMBER(C19),ISNUMBER(D19)),IF((C19+C20)&gt;(D19+D20),E19,B19),"-")</f>
        <v>Colombia</v>
      </c>
      <c r="F21" s="118"/>
      <c r="G21" s="118"/>
      <c r="H21" s="118" t="str">
        <f>+IF(AND(ISNUMBER(I19),ISNUMBER(J19)),IF((I19+I20)&gt;(J19+J20),H19,K19),"-")</f>
        <v>Argentina</v>
      </c>
      <c r="I21" s="118" t="str">
        <f>+K18</f>
        <v>W102</v>
      </c>
      <c r="J21" s="118"/>
      <c r="K21" s="118" t="str">
        <f>+IF(AND(ISNUMBER(I19),ISNUMBER(J19)),IF((I19+I20)&gt;(J19+J20),K19,H19),"-")</f>
        <v>Marruecos</v>
      </c>
      <c r="M21" s="106"/>
      <c r="N21" s="122"/>
      <c r="O21" s="109"/>
      <c r="P21" s="133"/>
      <c r="Q21" s="134"/>
      <c r="R21" s="135" t="s">
        <v>28</v>
      </c>
      <c r="S21" s="242" t="str">
        <f>IF(P8="-","-",Aux!AY17)</f>
        <v>Paises Bajos</v>
      </c>
      <c r="T21" s="109"/>
      <c r="U21" s="109"/>
      <c r="V21" s="109"/>
      <c r="W21" s="109"/>
      <c r="X21" s="109"/>
      <c r="Y21" s="109"/>
    </row>
    <row r="22" spans="1:25" s="108" customFormat="1" x14ac:dyDescent="0.25">
      <c r="M22" s="106"/>
      <c r="N22" s="122"/>
      <c r="O22" s="109"/>
      <c r="P22" s="109"/>
      <c r="Q22" s="134"/>
      <c r="R22" s="135" t="s">
        <v>30</v>
      </c>
      <c r="S22" s="242" t="str">
        <f>IF(SUM('Groups Stage'!AA:AA)=3*4*12,Aux!BS4,"-")</f>
        <v>Francia</v>
      </c>
      <c r="T22" s="109"/>
      <c r="U22" s="109"/>
      <c r="V22" s="109"/>
      <c r="W22" s="109"/>
      <c r="X22" s="109"/>
      <c r="Y22" s="109"/>
    </row>
    <row r="23" spans="1:25" s="108" customFormat="1" x14ac:dyDescent="0.25">
      <c r="M23" s="106"/>
      <c r="N23" s="122"/>
      <c r="O23" s="109"/>
      <c r="P23" s="109"/>
      <c r="Q23" s="134"/>
      <c r="R23" s="135" t="s">
        <v>32</v>
      </c>
      <c r="S23" s="242" t="str">
        <f>IF(SUM('Groups Stage'!AA:AA)=3*4*12,Aux!AX22,"-")</f>
        <v>Haiti</v>
      </c>
      <c r="T23" s="109"/>
      <c r="U23" s="109"/>
      <c r="V23" s="109"/>
      <c r="W23" s="109"/>
      <c r="X23" s="109"/>
      <c r="Y23" s="109"/>
    </row>
    <row r="24" spans="1:25" s="108" customFormat="1" x14ac:dyDescent="0.25">
      <c r="M24" s="106"/>
      <c r="N24" s="122"/>
      <c r="O24" s="109"/>
      <c r="P24" s="109"/>
      <c r="Q24" s="109"/>
      <c r="R24" s="109"/>
      <c r="S24" s="109"/>
      <c r="T24" s="109"/>
      <c r="U24" s="109"/>
      <c r="V24" s="109"/>
      <c r="W24" s="109"/>
      <c r="X24" s="109"/>
      <c r="Y24" s="109"/>
    </row>
    <row r="25" spans="1:25" s="108" customFormat="1" x14ac:dyDescent="0.25">
      <c r="M25" s="106"/>
      <c r="N25" s="122"/>
      <c r="O25" s="526" t="str">
        <f>+IF(AND(ISNUMBER(Q4),ISNUMBER(R4)),_xlfn.XLOOKUP('Total Results'!$D$2,Comentarios!$A:$A,Comentarios!$B:$B,Comentarios!$B$12,0),"")</f>
        <v>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v>
      </c>
      <c r="P25" s="526"/>
      <c r="Q25" s="526"/>
      <c r="R25" s="526"/>
      <c r="S25" s="526"/>
      <c r="T25" s="526"/>
      <c r="U25" s="526"/>
      <c r="V25" s="526"/>
      <c r="W25" s="526"/>
      <c r="X25" s="526"/>
      <c r="Y25" s="109"/>
    </row>
    <row r="26" spans="1:25" s="108" customFormat="1" x14ac:dyDescent="0.25">
      <c r="M26" s="106"/>
      <c r="N26" s="122"/>
      <c r="O26" s="526"/>
      <c r="P26" s="526"/>
      <c r="Q26" s="526"/>
      <c r="R26" s="526"/>
      <c r="S26" s="526"/>
      <c r="T26" s="526"/>
      <c r="U26" s="526"/>
      <c r="V26" s="526"/>
      <c r="W26" s="526"/>
      <c r="X26" s="526"/>
      <c r="Y26" s="109"/>
    </row>
    <row r="27" spans="1:25" s="108" customFormat="1" x14ac:dyDescent="0.25">
      <c r="M27" s="106"/>
      <c r="N27" s="122"/>
      <c r="O27" s="526"/>
      <c r="P27" s="526"/>
      <c r="Q27" s="526"/>
      <c r="R27" s="526"/>
      <c r="S27" s="526"/>
      <c r="T27" s="526"/>
      <c r="U27" s="526"/>
      <c r="V27" s="526"/>
      <c r="W27" s="526"/>
      <c r="X27" s="526"/>
      <c r="Y27" s="109"/>
    </row>
    <row r="28" spans="1:25" s="108" customFormat="1" x14ac:dyDescent="0.25">
      <c r="M28" s="106"/>
      <c r="N28" s="122"/>
      <c r="O28" s="526"/>
      <c r="P28" s="526"/>
      <c r="Q28" s="526"/>
      <c r="R28" s="526"/>
      <c r="S28" s="526"/>
      <c r="T28" s="526"/>
      <c r="U28" s="526"/>
      <c r="V28" s="526"/>
      <c r="W28" s="526"/>
      <c r="X28" s="526"/>
      <c r="Y28" s="109"/>
    </row>
    <row r="29" spans="1:25" s="108" customFormat="1" x14ac:dyDescent="0.25">
      <c r="M29" s="106"/>
      <c r="N29" s="122"/>
      <c r="O29" s="526"/>
      <c r="P29" s="526"/>
      <c r="Q29" s="526"/>
      <c r="R29" s="526"/>
      <c r="S29" s="526"/>
      <c r="T29" s="526"/>
      <c r="U29" s="526"/>
      <c r="V29" s="526"/>
      <c r="W29" s="526"/>
      <c r="X29" s="526"/>
      <c r="Y29" s="109"/>
    </row>
    <row r="30" spans="1:25" s="108" customFormat="1" x14ac:dyDescent="0.25">
      <c r="M30" s="106"/>
      <c r="N30" s="122"/>
      <c r="O30" s="526"/>
      <c r="P30" s="526"/>
      <c r="Q30" s="526"/>
      <c r="R30" s="526"/>
      <c r="S30" s="526"/>
      <c r="T30" s="526"/>
      <c r="U30" s="526"/>
      <c r="V30" s="526"/>
      <c r="W30" s="526"/>
      <c r="X30" s="526"/>
      <c r="Y30" s="109"/>
    </row>
    <row r="31" spans="1:25" s="108" customFormat="1" x14ac:dyDescent="0.25">
      <c r="M31" s="106"/>
      <c r="N31" s="122"/>
      <c r="O31" s="526"/>
      <c r="P31" s="526"/>
      <c r="Q31" s="526"/>
      <c r="R31" s="526"/>
      <c r="S31" s="526"/>
      <c r="T31" s="526"/>
      <c r="U31" s="526"/>
      <c r="V31" s="526"/>
      <c r="W31" s="526"/>
      <c r="X31" s="526"/>
      <c r="Y31" s="109"/>
    </row>
    <row r="32" spans="1:25" s="108" customFormat="1" x14ac:dyDescent="0.25">
      <c r="M32" s="106"/>
      <c r="N32" s="122"/>
      <c r="O32" s="526"/>
      <c r="P32" s="526"/>
      <c r="Q32" s="526"/>
      <c r="R32" s="526"/>
      <c r="S32" s="526"/>
      <c r="T32" s="526"/>
      <c r="U32" s="526"/>
      <c r="V32" s="526"/>
      <c r="W32" s="526"/>
      <c r="X32" s="526"/>
      <c r="Y32" s="109"/>
    </row>
    <row r="33" spans="13:25" s="108" customFormat="1" x14ac:dyDescent="0.25">
      <c r="M33" s="106"/>
      <c r="N33" s="122"/>
      <c r="O33" s="109"/>
      <c r="P33" s="109"/>
      <c r="Q33" s="109"/>
      <c r="R33" s="109"/>
      <c r="S33" s="109"/>
      <c r="T33" s="109"/>
      <c r="U33" s="109"/>
      <c r="V33" s="109"/>
      <c r="W33" s="109"/>
      <c r="X33" s="109"/>
      <c r="Y33" s="109"/>
    </row>
    <row r="34" spans="13:25" s="108" customFormat="1" x14ac:dyDescent="0.25">
      <c r="M34" s="106"/>
      <c r="N34" s="122"/>
      <c r="O34" s="109"/>
      <c r="P34" s="109"/>
      <c r="Q34" s="109"/>
      <c r="R34" s="109"/>
      <c r="S34" s="109"/>
      <c r="T34" s="109"/>
      <c r="U34" s="109"/>
      <c r="V34" s="109"/>
      <c r="W34" s="109"/>
      <c r="X34" s="109"/>
      <c r="Y34" s="109"/>
    </row>
    <row r="35" spans="13:25" s="108" customFormat="1" x14ac:dyDescent="0.25">
      <c r="M35" s="106"/>
      <c r="N35" s="122"/>
      <c r="O35" s="109"/>
      <c r="P35" s="109"/>
      <c r="Q35" s="109"/>
      <c r="R35" s="109"/>
      <c r="S35" s="109"/>
      <c r="T35" s="109"/>
      <c r="U35" s="109"/>
      <c r="V35" s="109"/>
      <c r="W35" s="109"/>
      <c r="X35" s="109"/>
      <c r="Y35" s="109"/>
    </row>
    <row r="36" spans="13:25" s="108" customFormat="1" x14ac:dyDescent="0.25">
      <c r="M36" s="106"/>
      <c r="N36" s="122"/>
      <c r="O36" s="109"/>
      <c r="P36" s="109"/>
      <c r="Q36" s="109"/>
      <c r="R36" s="109"/>
      <c r="S36" s="109"/>
      <c r="T36" s="109"/>
      <c r="U36" s="109"/>
      <c r="V36" s="109"/>
      <c r="W36" s="109"/>
      <c r="X36" s="109"/>
      <c r="Y36" s="109"/>
    </row>
    <row r="37" spans="13:25" s="108" customFormat="1" x14ac:dyDescent="0.25">
      <c r="M37" s="106"/>
      <c r="N37" s="122"/>
      <c r="O37" s="109"/>
      <c r="P37" s="109"/>
      <c r="Q37" s="109"/>
      <c r="R37" s="109"/>
      <c r="S37" s="109"/>
      <c r="T37" s="109"/>
      <c r="U37" s="109"/>
      <c r="V37" s="109"/>
      <c r="W37" s="109"/>
      <c r="X37" s="109"/>
      <c r="Y37" s="109"/>
    </row>
    <row r="38" spans="13:25" s="108" customFormat="1" x14ac:dyDescent="0.25">
      <c r="M38" s="106"/>
      <c r="N38" s="122"/>
      <c r="O38" s="109"/>
      <c r="P38" s="109"/>
      <c r="Q38" s="109"/>
      <c r="R38" s="109"/>
      <c r="S38" s="109"/>
      <c r="T38" s="109"/>
      <c r="U38" s="109"/>
      <c r="V38" s="109"/>
      <c r="W38" s="109"/>
      <c r="X38" s="109"/>
      <c r="Y38" s="109"/>
    </row>
    <row r="39" spans="13:25" s="108" customFormat="1" x14ac:dyDescent="0.25">
      <c r="M39" s="106"/>
      <c r="N39" s="122"/>
      <c r="O39" s="109"/>
      <c r="P39" s="109"/>
      <c r="Q39" s="109"/>
      <c r="R39" s="109"/>
      <c r="S39" s="109"/>
      <c r="T39" s="109"/>
      <c r="U39" s="109"/>
      <c r="V39" s="109"/>
      <c r="W39" s="109"/>
      <c r="X39" s="109"/>
      <c r="Y39" s="109"/>
    </row>
    <row r="40" spans="13:25" s="108" customFormat="1" x14ac:dyDescent="0.25">
      <c r="M40" s="106"/>
      <c r="N40" s="122"/>
      <c r="O40" s="109"/>
      <c r="P40" s="109"/>
      <c r="Q40" s="109"/>
      <c r="R40" s="109"/>
      <c r="S40" s="109"/>
      <c r="T40" s="109"/>
      <c r="U40" s="109"/>
      <c r="V40" s="109"/>
      <c r="W40" s="109"/>
      <c r="X40" s="109"/>
      <c r="Y40" s="109"/>
    </row>
    <row r="41" spans="13:25" s="108" customFormat="1" x14ac:dyDescent="0.25">
      <c r="M41" s="106"/>
      <c r="N41" s="122"/>
      <c r="O41" s="109"/>
      <c r="P41" s="109"/>
      <c r="Q41" s="109"/>
      <c r="R41" s="109"/>
      <c r="S41" s="109"/>
      <c r="T41" s="109"/>
      <c r="U41" s="109"/>
      <c r="V41" s="109"/>
      <c r="W41" s="109"/>
      <c r="X41" s="109"/>
      <c r="Y41" s="109"/>
    </row>
    <row r="42" spans="13:25" s="108" customFormat="1" x14ac:dyDescent="0.25">
      <c r="M42" s="106"/>
      <c r="N42" s="122"/>
      <c r="O42" s="109"/>
      <c r="P42" s="109"/>
      <c r="Q42" s="109"/>
      <c r="R42" s="109"/>
      <c r="S42" s="109"/>
      <c r="T42" s="109"/>
      <c r="U42" s="109"/>
      <c r="V42" s="109"/>
      <c r="W42" s="109"/>
      <c r="X42" s="109"/>
      <c r="Y42" s="109"/>
    </row>
    <row r="43" spans="13:25" s="108" customFormat="1" x14ac:dyDescent="0.25">
      <c r="M43" s="106"/>
      <c r="N43" s="122"/>
      <c r="O43" s="109"/>
      <c r="P43" s="109"/>
      <c r="Q43" s="109"/>
      <c r="R43" s="109"/>
      <c r="S43" s="109"/>
      <c r="T43" s="109"/>
      <c r="U43" s="109"/>
      <c r="V43" s="109"/>
      <c r="W43" s="109"/>
      <c r="X43" s="109"/>
      <c r="Y43" s="109"/>
    </row>
    <row r="44" spans="13:25" s="108" customFormat="1" x14ac:dyDescent="0.25">
      <c r="M44" s="106"/>
      <c r="N44" s="122"/>
      <c r="O44" s="109"/>
      <c r="P44" s="109"/>
      <c r="Q44" s="109"/>
      <c r="R44" s="109"/>
      <c r="S44" s="109"/>
      <c r="T44" s="109"/>
      <c r="U44" s="109"/>
      <c r="V44" s="109"/>
      <c r="W44" s="109"/>
      <c r="X44" s="109"/>
      <c r="Y44" s="109"/>
    </row>
    <row r="45" spans="13:25" s="108" customFormat="1" x14ac:dyDescent="0.25">
      <c r="M45" s="106"/>
      <c r="N45" s="122"/>
      <c r="O45" s="109"/>
      <c r="P45" s="109"/>
      <c r="Q45" s="109"/>
      <c r="R45" s="109"/>
      <c r="S45" s="109"/>
      <c r="T45" s="109"/>
      <c r="U45" s="109"/>
      <c r="V45" s="109"/>
      <c r="W45" s="109"/>
      <c r="X45" s="109"/>
      <c r="Y45" s="109"/>
    </row>
    <row r="46" spans="13:25" s="108" customFormat="1" x14ac:dyDescent="0.25">
      <c r="M46" s="106"/>
      <c r="N46" s="122"/>
      <c r="O46" s="109"/>
      <c r="P46" s="109"/>
      <c r="Q46" s="109"/>
      <c r="R46" s="109"/>
      <c r="S46" s="109"/>
      <c r="T46" s="109"/>
      <c r="U46" s="109"/>
      <c r="V46" s="109"/>
      <c r="W46" s="109"/>
      <c r="X46" s="109"/>
      <c r="Y46" s="109"/>
    </row>
    <row r="47" spans="13:25" s="108" customFormat="1" x14ac:dyDescent="0.25">
      <c r="M47" s="106"/>
      <c r="N47" s="122"/>
      <c r="O47" s="109"/>
      <c r="P47" s="109"/>
      <c r="Q47" s="109"/>
      <c r="R47" s="109"/>
      <c r="S47" s="109"/>
      <c r="T47" s="109"/>
      <c r="U47" s="109"/>
      <c r="V47" s="109"/>
      <c r="W47" s="109"/>
      <c r="X47" s="109"/>
      <c r="Y47" s="109"/>
    </row>
    <row r="48" spans="13:25" s="108" customFormat="1" x14ac:dyDescent="0.25">
      <c r="M48" s="106"/>
      <c r="N48" s="122"/>
      <c r="O48" s="109"/>
      <c r="P48" s="109"/>
      <c r="Q48" s="109"/>
      <c r="R48" s="109"/>
      <c r="S48" s="109"/>
      <c r="T48" s="109"/>
      <c r="U48" s="109"/>
      <c r="V48" s="109"/>
      <c r="W48" s="109"/>
      <c r="X48" s="109"/>
      <c r="Y48" s="109"/>
    </row>
    <row r="49" spans="13:25" s="108" customFormat="1" x14ac:dyDescent="0.25">
      <c r="M49" s="106"/>
      <c r="N49" s="122"/>
      <c r="O49" s="109"/>
      <c r="P49" s="109"/>
      <c r="Q49" s="109"/>
      <c r="R49" s="109"/>
      <c r="S49" s="109"/>
      <c r="T49" s="109"/>
      <c r="U49" s="109"/>
      <c r="V49" s="109"/>
      <c r="W49" s="109"/>
      <c r="X49" s="109"/>
      <c r="Y49" s="109"/>
    </row>
    <row r="50" spans="13:25" s="108" customFormat="1" x14ac:dyDescent="0.25">
      <c r="M50" s="106"/>
      <c r="N50" s="122"/>
      <c r="O50" s="109"/>
      <c r="P50" s="109"/>
      <c r="Q50" s="109"/>
      <c r="R50" s="109"/>
      <c r="S50" s="109"/>
      <c r="T50" s="109"/>
      <c r="U50" s="109"/>
      <c r="V50" s="109"/>
      <c r="W50" s="109"/>
      <c r="X50" s="109"/>
      <c r="Y50" s="109"/>
    </row>
    <row r="51" spans="13:25" s="108" customFormat="1" x14ac:dyDescent="0.25">
      <c r="M51" s="106"/>
      <c r="N51" s="122"/>
      <c r="O51" s="109"/>
      <c r="P51" s="109"/>
      <c r="Q51" s="109"/>
      <c r="R51" s="109"/>
      <c r="S51" s="109"/>
      <c r="T51" s="109"/>
      <c r="U51" s="109"/>
      <c r="V51" s="109"/>
      <c r="W51" s="109"/>
      <c r="X51" s="109"/>
      <c r="Y51" s="109"/>
    </row>
    <row r="52" spans="13:25" s="108" customFormat="1" x14ac:dyDescent="0.25">
      <c r="M52" s="106"/>
      <c r="N52" s="122"/>
      <c r="O52" s="109"/>
      <c r="P52" s="109"/>
      <c r="Q52" s="109"/>
      <c r="R52" s="109"/>
      <c r="S52" s="109"/>
      <c r="T52" s="109"/>
      <c r="U52" s="109"/>
      <c r="V52" s="109"/>
      <c r="W52" s="109"/>
      <c r="X52" s="109"/>
      <c r="Y52" s="109"/>
    </row>
    <row r="53" spans="13:25" s="108" customFormat="1" x14ac:dyDescent="0.25">
      <c r="M53" s="106"/>
      <c r="N53" s="122"/>
      <c r="O53" s="109"/>
      <c r="P53" s="109"/>
      <c r="Q53" s="109"/>
      <c r="R53" s="109"/>
      <c r="S53" s="109"/>
      <c r="T53" s="109"/>
      <c r="U53" s="109"/>
      <c r="V53" s="109"/>
      <c r="W53" s="109"/>
      <c r="X53" s="109"/>
      <c r="Y53" s="109"/>
    </row>
    <row r="54" spans="13:25" s="108" customFormat="1" x14ac:dyDescent="0.25">
      <c r="M54" s="106"/>
      <c r="N54" s="122"/>
      <c r="O54" s="109"/>
      <c r="P54" s="109"/>
      <c r="Q54" s="109"/>
      <c r="R54" s="109"/>
      <c r="S54" s="109"/>
      <c r="T54" s="109"/>
      <c r="U54" s="109"/>
      <c r="V54" s="109"/>
      <c r="W54" s="109"/>
      <c r="X54" s="109"/>
      <c r="Y54" s="109"/>
    </row>
    <row r="55" spans="13:25" s="108" customFormat="1" x14ac:dyDescent="0.25">
      <c r="M55" s="106"/>
      <c r="N55" s="122"/>
      <c r="O55" s="109"/>
      <c r="P55" s="109"/>
      <c r="Q55" s="109"/>
      <c r="R55" s="109"/>
      <c r="S55" s="109"/>
      <c r="T55" s="109"/>
      <c r="U55" s="109"/>
      <c r="V55" s="109"/>
      <c r="W55" s="109"/>
      <c r="X55" s="109"/>
      <c r="Y55" s="109"/>
    </row>
    <row r="56" spans="13:25" s="108" customFormat="1" x14ac:dyDescent="0.25">
      <c r="M56" s="106"/>
      <c r="N56" s="122"/>
      <c r="O56" s="109"/>
      <c r="P56" s="109"/>
      <c r="Q56" s="109"/>
      <c r="R56" s="109"/>
      <c r="S56" s="109"/>
      <c r="T56" s="109"/>
      <c r="U56" s="109"/>
      <c r="V56" s="109"/>
      <c r="W56" s="109"/>
      <c r="X56" s="109"/>
      <c r="Y56" s="109"/>
    </row>
    <row r="57" spans="13:25" s="108" customFormat="1" x14ac:dyDescent="0.25">
      <c r="M57" s="106"/>
      <c r="N57" s="122"/>
      <c r="O57" s="109"/>
      <c r="P57" s="109"/>
      <c r="Q57" s="109"/>
      <c r="R57" s="109"/>
      <c r="S57" s="109"/>
      <c r="T57" s="109"/>
      <c r="U57" s="109"/>
      <c r="V57" s="109"/>
      <c r="W57" s="109"/>
      <c r="X57" s="109"/>
      <c r="Y57" s="109"/>
    </row>
    <row r="58" spans="13:25" s="108" customFormat="1" x14ac:dyDescent="0.25">
      <c r="M58" s="106"/>
      <c r="N58" s="122"/>
      <c r="O58" s="109"/>
      <c r="P58" s="109"/>
      <c r="Q58" s="109"/>
      <c r="R58" s="109"/>
      <c r="S58" s="109"/>
      <c r="T58" s="109"/>
      <c r="U58" s="109"/>
      <c r="V58" s="109"/>
      <c r="W58" s="109"/>
      <c r="X58" s="109"/>
      <c r="Y58" s="109"/>
    </row>
    <row r="59" spans="13:25" s="108" customFormat="1" x14ac:dyDescent="0.25">
      <c r="M59" s="106"/>
      <c r="N59" s="122"/>
      <c r="O59" s="109"/>
      <c r="P59" s="109"/>
      <c r="Q59" s="109"/>
      <c r="R59" s="109"/>
      <c r="S59" s="109"/>
      <c r="T59" s="109"/>
      <c r="U59" s="109"/>
      <c r="V59" s="109"/>
      <c r="W59" s="109"/>
      <c r="X59" s="109"/>
      <c r="Y59" s="109"/>
    </row>
    <row r="60" spans="13:25" s="108" customFormat="1" x14ac:dyDescent="0.25">
      <c r="M60" s="106"/>
      <c r="N60" s="122"/>
      <c r="O60" s="109"/>
      <c r="P60" s="109"/>
      <c r="Q60" s="109"/>
      <c r="R60" s="109"/>
      <c r="S60" s="109"/>
      <c r="T60" s="109"/>
      <c r="U60" s="109"/>
      <c r="V60" s="109"/>
      <c r="W60" s="109"/>
      <c r="X60" s="109"/>
      <c r="Y60" s="109"/>
    </row>
    <row r="61" spans="13:25" s="108" customFormat="1" x14ac:dyDescent="0.25">
      <c r="M61" s="106"/>
      <c r="N61" s="122"/>
      <c r="O61" s="109"/>
      <c r="P61" s="109"/>
      <c r="Q61" s="109"/>
      <c r="R61" s="109"/>
      <c r="S61" s="109"/>
      <c r="T61" s="109"/>
      <c r="U61" s="109"/>
      <c r="V61" s="109"/>
      <c r="W61" s="109"/>
      <c r="X61" s="109"/>
      <c r="Y61" s="109"/>
    </row>
    <row r="62" spans="13:25" s="108" customFormat="1" x14ac:dyDescent="0.25">
      <c r="M62" s="106"/>
      <c r="N62" s="122"/>
      <c r="O62" s="109"/>
      <c r="P62" s="109"/>
      <c r="Q62" s="109"/>
      <c r="R62" s="109"/>
      <c r="S62" s="109"/>
      <c r="T62" s="109"/>
      <c r="U62" s="109"/>
      <c r="V62" s="109"/>
      <c r="W62" s="109"/>
      <c r="X62" s="109"/>
      <c r="Y62" s="109"/>
    </row>
    <row r="63" spans="13:25" s="108" customFormat="1" x14ac:dyDescent="0.25">
      <c r="M63" s="106"/>
      <c r="N63" s="122"/>
      <c r="O63" s="109"/>
      <c r="P63" s="109"/>
      <c r="Q63" s="109"/>
      <c r="R63" s="109"/>
      <c r="S63" s="109"/>
      <c r="T63" s="109"/>
      <c r="U63" s="109"/>
      <c r="V63" s="109"/>
      <c r="W63" s="109"/>
      <c r="X63" s="109"/>
      <c r="Y63" s="109"/>
    </row>
    <row r="64" spans="13:25" s="108" customFormat="1" x14ac:dyDescent="0.25">
      <c r="M64" s="106"/>
      <c r="N64" s="122"/>
      <c r="O64" s="109"/>
      <c r="P64" s="109"/>
      <c r="Q64" s="109"/>
      <c r="R64" s="109"/>
      <c r="S64" s="109"/>
      <c r="T64" s="109"/>
      <c r="U64" s="109"/>
      <c r="V64" s="109"/>
      <c r="W64" s="109"/>
      <c r="X64" s="109"/>
      <c r="Y64" s="109"/>
    </row>
    <row r="65" spans="13:25" s="108" customFormat="1" x14ac:dyDescent="0.25">
      <c r="M65" s="106"/>
      <c r="N65" s="122"/>
      <c r="O65" s="109"/>
      <c r="P65" s="109"/>
      <c r="Q65" s="109"/>
      <c r="R65" s="109"/>
      <c r="S65" s="109"/>
      <c r="T65" s="109"/>
      <c r="U65" s="109"/>
      <c r="V65" s="109"/>
      <c r="W65" s="109"/>
      <c r="X65" s="109"/>
      <c r="Y65" s="109"/>
    </row>
    <row r="66" spans="13:25" s="108" customFormat="1" x14ac:dyDescent="0.25">
      <c r="M66" s="106"/>
      <c r="N66" s="122"/>
      <c r="O66" s="109"/>
      <c r="P66" s="109"/>
      <c r="Q66" s="109"/>
      <c r="R66" s="109"/>
      <c r="S66" s="109"/>
      <c r="T66" s="109"/>
      <c r="U66" s="109"/>
      <c r="V66" s="109"/>
      <c r="W66" s="109"/>
      <c r="X66" s="109"/>
      <c r="Y66" s="109"/>
    </row>
    <row r="67" spans="13:25" s="108" customFormat="1" x14ac:dyDescent="0.25">
      <c r="M67" s="106"/>
      <c r="N67" s="122"/>
      <c r="O67" s="109"/>
      <c r="P67" s="109"/>
      <c r="Q67" s="109"/>
      <c r="R67" s="109"/>
      <c r="S67" s="109"/>
      <c r="T67" s="109"/>
      <c r="U67" s="109"/>
      <c r="V67" s="109"/>
      <c r="W67" s="109"/>
      <c r="X67" s="109"/>
      <c r="Y67" s="109"/>
    </row>
    <row r="68" spans="13:25" s="108" customFormat="1" x14ac:dyDescent="0.25">
      <c r="M68" s="106"/>
      <c r="N68" s="122"/>
      <c r="O68" s="109"/>
      <c r="P68" s="109"/>
      <c r="Q68" s="109"/>
      <c r="R68" s="109"/>
      <c r="S68" s="109"/>
      <c r="T68" s="109"/>
      <c r="U68" s="109"/>
      <c r="V68" s="109"/>
      <c r="W68" s="109"/>
      <c r="X68" s="109"/>
      <c r="Y68" s="109"/>
    </row>
    <row r="69" spans="13:25" s="108" customFormat="1" x14ac:dyDescent="0.25">
      <c r="M69" s="106"/>
      <c r="N69" s="122"/>
      <c r="O69" s="109"/>
      <c r="P69" s="109"/>
      <c r="Q69" s="109"/>
      <c r="R69" s="109"/>
      <c r="S69" s="109"/>
      <c r="T69" s="109"/>
      <c r="U69" s="109"/>
      <c r="V69" s="109"/>
      <c r="W69" s="109"/>
      <c r="X69" s="109"/>
      <c r="Y69" s="109"/>
    </row>
    <row r="70" spans="13:25" s="108" customFormat="1" x14ac:dyDescent="0.25">
      <c r="M70" s="106"/>
      <c r="N70" s="122"/>
      <c r="O70" s="109"/>
      <c r="P70" s="109"/>
      <c r="Q70" s="109"/>
      <c r="R70" s="109"/>
      <c r="S70" s="109"/>
      <c r="T70" s="109"/>
      <c r="U70" s="109"/>
      <c r="V70" s="109"/>
      <c r="W70" s="109"/>
      <c r="X70" s="109"/>
      <c r="Y70" s="109"/>
    </row>
    <row r="71" spans="13:25" s="108" customFormat="1" x14ac:dyDescent="0.25">
      <c r="M71" s="106"/>
      <c r="N71" s="122"/>
      <c r="O71" s="109"/>
      <c r="P71" s="109"/>
      <c r="Q71" s="109"/>
      <c r="R71" s="109"/>
      <c r="S71" s="109"/>
      <c r="T71" s="109"/>
      <c r="U71" s="109"/>
      <c r="V71" s="109"/>
      <c r="W71" s="109"/>
      <c r="X71" s="109"/>
      <c r="Y71" s="109"/>
    </row>
    <row r="72" spans="13:25" s="108" customFormat="1" x14ac:dyDescent="0.25">
      <c r="M72" s="106"/>
      <c r="N72" s="122"/>
      <c r="O72" s="109"/>
      <c r="P72" s="109"/>
      <c r="Q72" s="109"/>
      <c r="R72" s="109"/>
      <c r="S72" s="109"/>
      <c r="T72" s="109"/>
      <c r="U72" s="109"/>
      <c r="V72" s="109"/>
      <c r="W72" s="109"/>
      <c r="X72" s="109"/>
      <c r="Y72" s="109"/>
    </row>
    <row r="73" spans="13:25" s="108" customFormat="1" x14ac:dyDescent="0.25">
      <c r="M73" s="106"/>
      <c r="N73" s="122"/>
      <c r="O73" s="109"/>
      <c r="P73" s="109"/>
      <c r="Q73" s="109"/>
      <c r="R73" s="109"/>
      <c r="S73" s="109"/>
      <c r="T73" s="109"/>
      <c r="U73" s="109"/>
      <c r="V73" s="109"/>
      <c r="W73" s="109"/>
      <c r="X73" s="109"/>
      <c r="Y73" s="109"/>
    </row>
    <row r="74" spans="13:25" s="108" customFormat="1" x14ac:dyDescent="0.25">
      <c r="M74" s="106"/>
      <c r="N74" s="122"/>
      <c r="O74" s="109"/>
      <c r="P74" s="109"/>
      <c r="Q74" s="109"/>
      <c r="R74" s="109"/>
      <c r="S74" s="109"/>
      <c r="T74" s="109"/>
      <c r="U74" s="109"/>
      <c r="V74" s="109"/>
      <c r="W74" s="109"/>
      <c r="X74" s="109"/>
      <c r="Y74" s="109"/>
    </row>
    <row r="75" spans="13:25" s="108" customFormat="1" x14ac:dyDescent="0.25">
      <c r="M75" s="106"/>
      <c r="N75" s="122"/>
      <c r="O75" s="109"/>
      <c r="P75" s="109"/>
      <c r="Q75" s="109"/>
      <c r="R75" s="109"/>
      <c r="S75" s="109"/>
      <c r="T75" s="109"/>
      <c r="U75" s="109"/>
      <c r="V75" s="109"/>
      <c r="W75" s="109"/>
      <c r="X75" s="109"/>
      <c r="Y75" s="109"/>
    </row>
    <row r="76" spans="13:25" s="108" customFormat="1" x14ac:dyDescent="0.25">
      <c r="M76" s="106"/>
      <c r="N76" s="122"/>
      <c r="O76" s="109"/>
      <c r="P76" s="109"/>
      <c r="Q76" s="109"/>
      <c r="R76" s="109"/>
      <c r="S76" s="109"/>
      <c r="T76" s="109"/>
      <c r="U76" s="109"/>
      <c r="V76" s="109"/>
      <c r="W76" s="109"/>
      <c r="X76" s="109"/>
      <c r="Y76" s="109"/>
    </row>
    <row r="77" spans="13:25" s="108" customFormat="1" x14ac:dyDescent="0.25">
      <c r="M77" s="106"/>
      <c r="N77" s="122"/>
      <c r="O77" s="109"/>
      <c r="P77" s="109"/>
      <c r="Q77" s="109"/>
      <c r="R77" s="109"/>
      <c r="S77" s="109"/>
      <c r="T77" s="109"/>
      <c r="U77" s="109"/>
      <c r="V77" s="109"/>
      <c r="W77" s="109"/>
      <c r="X77" s="109"/>
      <c r="Y77" s="109"/>
    </row>
    <row r="78" spans="13:25" s="108" customFormat="1" x14ac:dyDescent="0.25">
      <c r="M78" s="106"/>
      <c r="N78" s="122"/>
      <c r="O78" s="109"/>
      <c r="P78" s="109"/>
      <c r="Q78" s="109"/>
      <c r="R78" s="109"/>
      <c r="S78" s="109"/>
      <c r="T78" s="109"/>
      <c r="U78" s="109"/>
      <c r="V78" s="109"/>
      <c r="W78" s="109"/>
      <c r="X78" s="109"/>
      <c r="Y78" s="109"/>
    </row>
    <row r="79" spans="13:25" s="108" customFormat="1" x14ac:dyDescent="0.25">
      <c r="M79" s="106"/>
      <c r="N79" s="122"/>
      <c r="O79" s="109"/>
      <c r="P79" s="109"/>
      <c r="Q79" s="109"/>
      <c r="R79" s="109"/>
      <c r="S79" s="109"/>
      <c r="T79" s="109"/>
      <c r="U79" s="109"/>
      <c r="V79" s="109"/>
      <c r="W79" s="109"/>
      <c r="X79" s="109"/>
      <c r="Y79" s="109"/>
    </row>
    <row r="80" spans="13:25" s="108" customFormat="1" x14ac:dyDescent="0.25">
      <c r="M80" s="106"/>
      <c r="N80" s="122"/>
      <c r="O80" s="109"/>
      <c r="P80" s="109"/>
      <c r="Q80" s="109"/>
      <c r="R80" s="109"/>
      <c r="S80" s="109"/>
      <c r="T80" s="109"/>
      <c r="U80" s="109"/>
      <c r="V80" s="109"/>
      <c r="W80" s="109"/>
      <c r="X80" s="109"/>
      <c r="Y80" s="109"/>
    </row>
    <row r="81" spans="13:25" s="108" customFormat="1" x14ac:dyDescent="0.25">
      <c r="M81" s="106"/>
      <c r="N81" s="122"/>
      <c r="O81" s="109"/>
      <c r="P81" s="109"/>
      <c r="Q81" s="109"/>
      <c r="R81" s="109"/>
      <c r="S81" s="109"/>
      <c r="T81" s="109"/>
      <c r="U81" s="109"/>
      <c r="V81" s="109"/>
      <c r="W81" s="109"/>
      <c r="X81" s="109"/>
      <c r="Y81" s="109"/>
    </row>
    <row r="82" spans="13:25" s="108" customFormat="1" x14ac:dyDescent="0.25">
      <c r="M82" s="106"/>
      <c r="N82" s="122"/>
      <c r="O82" s="109"/>
      <c r="P82" s="109"/>
      <c r="Q82" s="109"/>
      <c r="R82" s="109"/>
      <c r="S82" s="109"/>
      <c r="T82" s="109"/>
      <c r="U82" s="109"/>
      <c r="V82" s="109"/>
      <c r="W82" s="109"/>
      <c r="X82" s="109"/>
      <c r="Y82" s="109"/>
    </row>
    <row r="83" spans="13:25" s="108" customFormat="1" x14ac:dyDescent="0.25">
      <c r="M83" s="106"/>
      <c r="N83" s="122"/>
      <c r="O83" s="109"/>
      <c r="P83" s="109"/>
      <c r="Q83" s="109"/>
      <c r="R83" s="109"/>
      <c r="S83" s="109"/>
      <c r="T83" s="109"/>
      <c r="U83" s="109"/>
      <c r="V83" s="109"/>
      <c r="W83" s="109"/>
      <c r="X83" s="109"/>
      <c r="Y83" s="109"/>
    </row>
    <row r="84" spans="13:25" s="108" customFormat="1" x14ac:dyDescent="0.25">
      <c r="M84" s="106"/>
      <c r="N84" s="122"/>
      <c r="O84" s="109"/>
      <c r="P84" s="109"/>
      <c r="Q84" s="109"/>
      <c r="R84" s="109"/>
      <c r="S84" s="109"/>
      <c r="T84" s="109"/>
      <c r="U84" s="109"/>
      <c r="V84" s="109"/>
      <c r="W84" s="109"/>
      <c r="X84" s="109"/>
      <c r="Y84" s="109"/>
    </row>
    <row r="85" spans="13:25" s="108" customFormat="1" x14ac:dyDescent="0.25">
      <c r="M85" s="106"/>
      <c r="N85" s="122"/>
      <c r="O85" s="109"/>
      <c r="P85" s="109"/>
      <c r="Q85" s="109"/>
      <c r="R85" s="109"/>
      <c r="S85" s="109"/>
      <c r="T85" s="109"/>
      <c r="U85" s="109"/>
      <c r="V85" s="109"/>
      <c r="W85" s="109"/>
      <c r="X85" s="109"/>
      <c r="Y85" s="109"/>
    </row>
    <row r="86" spans="13:25" s="108" customFormat="1" x14ac:dyDescent="0.25">
      <c r="M86" s="106"/>
      <c r="N86" s="122"/>
      <c r="O86" s="109"/>
      <c r="P86" s="109"/>
      <c r="Q86" s="109"/>
      <c r="R86" s="109"/>
      <c r="S86" s="109"/>
      <c r="T86" s="109"/>
      <c r="U86" s="109"/>
      <c r="V86" s="109"/>
      <c r="W86" s="109"/>
      <c r="X86" s="109"/>
      <c r="Y86" s="109"/>
    </row>
    <row r="87" spans="13:25" s="108" customFormat="1" x14ac:dyDescent="0.25">
      <c r="M87" s="106"/>
      <c r="N87" s="122"/>
      <c r="O87" s="109"/>
      <c r="P87" s="109"/>
      <c r="Q87" s="109"/>
      <c r="R87" s="109"/>
      <c r="S87" s="109"/>
      <c r="T87" s="109"/>
      <c r="U87" s="109"/>
      <c r="V87" s="109"/>
      <c r="W87" s="109"/>
      <c r="X87" s="109"/>
      <c r="Y87" s="109"/>
    </row>
    <row r="88" spans="13:25" s="108" customFormat="1" x14ac:dyDescent="0.25">
      <c r="M88" s="106"/>
      <c r="N88" s="122"/>
      <c r="O88" s="109"/>
      <c r="P88" s="109"/>
      <c r="Q88" s="109"/>
      <c r="R88" s="109"/>
      <c r="S88" s="109"/>
      <c r="T88" s="109"/>
      <c r="U88" s="109"/>
      <c r="V88" s="109"/>
      <c r="W88" s="109"/>
      <c r="X88" s="109"/>
      <c r="Y88" s="109"/>
    </row>
    <row r="89" spans="13:25" s="108" customFormat="1" x14ac:dyDescent="0.25">
      <c r="M89" s="106"/>
      <c r="N89" s="122"/>
      <c r="O89" s="109"/>
      <c r="P89" s="109"/>
      <c r="Q89" s="109"/>
      <c r="R89" s="109"/>
      <c r="S89" s="109"/>
      <c r="T89" s="109"/>
      <c r="U89" s="109"/>
      <c r="V89" s="109"/>
      <c r="W89" s="109"/>
      <c r="X89" s="109"/>
      <c r="Y89" s="109"/>
    </row>
    <row r="90" spans="13:25" s="108" customFormat="1" x14ac:dyDescent="0.25">
      <c r="M90" s="106"/>
      <c r="N90" s="122"/>
      <c r="O90" s="109"/>
      <c r="P90" s="109"/>
      <c r="Q90" s="109"/>
      <c r="R90" s="109"/>
      <c r="S90" s="109"/>
      <c r="T90" s="109"/>
      <c r="U90" s="109"/>
      <c r="V90" s="109"/>
      <c r="W90" s="109"/>
      <c r="X90" s="109"/>
      <c r="Y90" s="109"/>
    </row>
    <row r="91" spans="13:25" s="108" customFormat="1" x14ac:dyDescent="0.25">
      <c r="M91" s="106"/>
      <c r="N91" s="122"/>
      <c r="O91" s="109"/>
      <c r="P91" s="109"/>
      <c r="Q91" s="109"/>
      <c r="R91" s="109"/>
      <c r="S91" s="109"/>
      <c r="T91" s="109"/>
      <c r="U91" s="109"/>
      <c r="V91" s="109"/>
      <c r="W91" s="109"/>
      <c r="X91" s="109"/>
      <c r="Y91" s="109"/>
    </row>
    <row r="92" spans="13:25" s="108" customFormat="1" x14ac:dyDescent="0.25">
      <c r="M92" s="106"/>
      <c r="N92" s="122"/>
      <c r="O92" s="109"/>
      <c r="P92" s="109"/>
      <c r="Q92" s="109"/>
      <c r="R92" s="109"/>
      <c r="S92" s="109"/>
      <c r="T92" s="109"/>
      <c r="U92" s="109"/>
      <c r="V92" s="109"/>
      <c r="W92" s="109"/>
      <c r="X92" s="109"/>
      <c r="Y92" s="109"/>
    </row>
    <row r="93" spans="13:25" s="108" customFormat="1" x14ac:dyDescent="0.25">
      <c r="M93" s="106"/>
      <c r="N93" s="122"/>
      <c r="O93" s="109"/>
      <c r="P93" s="109"/>
      <c r="Q93" s="109"/>
      <c r="R93" s="109"/>
      <c r="S93" s="109"/>
      <c r="T93" s="109"/>
      <c r="U93" s="109"/>
      <c r="V93" s="109"/>
      <c r="W93" s="109"/>
      <c r="X93" s="109"/>
      <c r="Y93" s="109"/>
    </row>
    <row r="94" spans="13:25" s="108" customFormat="1" x14ac:dyDescent="0.25">
      <c r="M94" s="106"/>
      <c r="N94" s="122"/>
      <c r="O94" s="109"/>
      <c r="P94" s="109"/>
      <c r="Q94" s="109"/>
      <c r="R94" s="109"/>
      <c r="S94" s="109"/>
      <c r="T94" s="109"/>
      <c r="U94" s="109"/>
      <c r="V94" s="109"/>
      <c r="W94" s="109"/>
      <c r="X94" s="109"/>
      <c r="Y94" s="109"/>
    </row>
    <row r="95" spans="13:25" s="108" customFormat="1" x14ac:dyDescent="0.25">
      <c r="M95" s="106"/>
      <c r="N95" s="122"/>
      <c r="O95" s="109"/>
      <c r="P95" s="109"/>
      <c r="Q95" s="109"/>
      <c r="R95" s="109"/>
      <c r="S95" s="109"/>
      <c r="T95" s="109"/>
      <c r="U95" s="109"/>
      <c r="V95" s="109"/>
      <c r="W95" s="109"/>
      <c r="X95" s="109"/>
      <c r="Y95" s="109"/>
    </row>
    <row r="96" spans="13:25" s="108" customFormat="1" x14ac:dyDescent="0.25">
      <c r="M96" s="106"/>
      <c r="N96" s="122"/>
      <c r="O96" s="109"/>
      <c r="P96" s="109"/>
      <c r="Q96" s="109"/>
      <c r="R96" s="109"/>
      <c r="S96" s="109"/>
      <c r="T96" s="109"/>
      <c r="U96" s="109"/>
      <c r="V96" s="109"/>
      <c r="W96" s="109"/>
      <c r="X96" s="109"/>
      <c r="Y96" s="109"/>
    </row>
    <row r="97" spans="1:25" s="108" customFormat="1" x14ac:dyDescent="0.25">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5">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5">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5">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E3" sqref="E3"/>
    </sheetView>
  </sheetViews>
  <sheetFormatPr defaultRowHeight="13.8" x14ac:dyDescent="0.25"/>
  <cols>
    <col min="1" max="1" width="2.59765625" style="399" customWidth="1"/>
    <col min="2" max="2" width="15.69921875" style="19" bestFit="1" customWidth="1"/>
    <col min="3" max="3" width="5.59765625" hidden="1" customWidth="1"/>
    <col min="4" max="4" width="15.796875" style="142" bestFit="1" customWidth="1"/>
    <col min="5" max="10" width="11.59765625" customWidth="1"/>
    <col min="11" max="11" width="11.59765625" style="161" customWidth="1"/>
    <col min="12" max="31" width="9" style="163"/>
  </cols>
  <sheetData>
    <row r="1" spans="1:31" s="160" customFormat="1" ht="22.8" x14ac:dyDescent="0.4">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1" x14ac:dyDescent="0.4">
      <c r="A2" s="400">
        <v>1</v>
      </c>
      <c r="B2" s="385" t="s">
        <v>20</v>
      </c>
      <c r="C2" s="190">
        <f>+LARGE(Aux!$W$4:$W$51,A2)</f>
        <v>822.12190000333328</v>
      </c>
      <c r="D2" s="189" t="str">
        <f>+_xlfn.XLOOKUP($C2,Aux!$W:$W,Aux!H:H,"-",0)</f>
        <v>Argentina</v>
      </c>
      <c r="E2" s="191">
        <f>+F2*3+G2</f>
        <v>22</v>
      </c>
      <c r="F2" s="191">
        <f>+_xlfn.XLOOKUP($C2,Aux!$W:$W,Aux!Q:Q,"-",0)</f>
        <v>7</v>
      </c>
      <c r="G2" s="191">
        <f>+_xlfn.XLOOKUP($C2,Aux!$W:$W,Aux!R:R,"-",0)</f>
        <v>1</v>
      </c>
      <c r="H2" s="191">
        <f>+_xlfn.XLOOKUP($C2,Aux!$W:$W,Aux!S:S,"-",0)</f>
        <v>0</v>
      </c>
      <c r="I2" s="191">
        <f>+_xlfn.XLOOKUP($C2,Aux!$W:$W,Aux!T:T,"-",0)</f>
        <v>12</v>
      </c>
      <c r="J2" s="191">
        <f>+_xlfn.XLOOKUP($C2,Aux!$W:$W,Aux!U:U,"-",0)</f>
        <v>19</v>
      </c>
      <c r="K2" s="192">
        <f>+_xlfn.XLOOKUP($C2,Aux!$W:$W,Aux!V:V,"-",0)</f>
        <v>7</v>
      </c>
    </row>
    <row r="3" spans="1:31" ht="17.399999999999999" x14ac:dyDescent="0.3">
      <c r="A3" s="401">
        <v>2</v>
      </c>
      <c r="B3" s="386" t="s">
        <v>292</v>
      </c>
      <c r="C3" s="194">
        <f>+LARGE(Aux!$W$4:$W$51,A3)</f>
        <v>616.06140000166658</v>
      </c>
      <c r="D3" s="193" t="str">
        <f>+_xlfn.XLOOKUP($C3,Aux!$W:$W,Aux!H:H,"-",0)</f>
        <v>Brasil</v>
      </c>
      <c r="E3" s="195">
        <f t="shared" ref="E3:E49" si="0">+F3*3+G3</f>
        <v>16</v>
      </c>
      <c r="F3" s="195">
        <f>+_xlfn.XLOOKUP($C3,Aux!$W:$W,Aux!Q:Q,"-",0)</f>
        <v>5</v>
      </c>
      <c r="G3" s="195">
        <f>+_xlfn.XLOOKUP($C3,Aux!$W:$W,Aux!R:R,"-",0)</f>
        <v>1</v>
      </c>
      <c r="H3" s="195">
        <f>+_xlfn.XLOOKUP($C3,Aux!$W:$W,Aux!S:S,"-",0)</f>
        <v>2</v>
      </c>
      <c r="I3" s="195">
        <f>+_xlfn.XLOOKUP($C3,Aux!$W:$W,Aux!T:T,"-",0)</f>
        <v>6</v>
      </c>
      <c r="J3" s="195">
        <f>+_xlfn.XLOOKUP($C3,Aux!$W:$W,Aux!U:U,"-",0)</f>
        <v>14</v>
      </c>
      <c r="K3" s="196">
        <f>+_xlfn.XLOOKUP($C3,Aux!$W:$W,Aux!V:V,"-",0)</f>
        <v>8</v>
      </c>
    </row>
    <row r="4" spans="1:31" x14ac:dyDescent="0.25">
      <c r="A4" s="402">
        <v>3</v>
      </c>
      <c r="B4" s="387" t="s">
        <v>293</v>
      </c>
      <c r="C4" s="199">
        <f>+LARGE(Aux!$W$4:$W$51,A4)</f>
        <v>522.10160000125006</v>
      </c>
      <c r="D4" s="198" t="str">
        <f>+_xlfn.XLOOKUP($C4,Aux!$W:$W,Aux!H:H,"-",0)</f>
        <v>Marruecos</v>
      </c>
      <c r="E4" s="200">
        <f t="shared" si="0"/>
        <v>22</v>
      </c>
      <c r="F4" s="200">
        <f>+_xlfn.XLOOKUP($C4,Aux!$W:$W,Aux!Q:Q,"-",0)</f>
        <v>7</v>
      </c>
      <c r="G4" s="200">
        <f>+_xlfn.XLOOKUP($C4,Aux!$W:$W,Aux!R:R,"-",0)</f>
        <v>1</v>
      </c>
      <c r="H4" s="200">
        <f>+_xlfn.XLOOKUP($C4,Aux!$W:$W,Aux!S:S,"-",0)</f>
        <v>0</v>
      </c>
      <c r="I4" s="200">
        <f>+_xlfn.XLOOKUP($C4,Aux!$W:$W,Aux!T:T,"-",0)</f>
        <v>10</v>
      </c>
      <c r="J4" s="200">
        <f>+_xlfn.XLOOKUP($C4,Aux!$W:$W,Aux!U:U,"-",0)</f>
        <v>16</v>
      </c>
      <c r="K4" s="201">
        <f>+_xlfn.XLOOKUP($C4,Aux!$W:$W,Aux!V:V,"-",0)</f>
        <v>6</v>
      </c>
    </row>
    <row r="5" spans="1:31" x14ac:dyDescent="0.25">
      <c r="A5" s="403">
        <v>4</v>
      </c>
      <c r="B5" s="388" t="s">
        <v>294</v>
      </c>
      <c r="C5" s="203">
        <f>+LARGE(Aux!$W$4:$W$51,A5)</f>
        <v>416.05150000076924</v>
      </c>
      <c r="D5" s="202" t="str">
        <f>+_xlfn.XLOOKUP($C5,Aux!$W:$W,Aux!H:H,"-",0)</f>
        <v>Colombia</v>
      </c>
      <c r="E5" s="204">
        <f t="shared" si="0"/>
        <v>16</v>
      </c>
      <c r="F5" s="204">
        <f>+_xlfn.XLOOKUP($C5,Aux!$W:$W,Aux!Q:Q,"-",0)</f>
        <v>5</v>
      </c>
      <c r="G5" s="204">
        <f>+_xlfn.XLOOKUP($C5,Aux!$W:$W,Aux!R:R,"-",0)</f>
        <v>1</v>
      </c>
      <c r="H5" s="204">
        <f>+_xlfn.XLOOKUP($C5,Aux!$W:$W,Aux!S:S,"-",0)</f>
        <v>2</v>
      </c>
      <c r="I5" s="204">
        <f>+_xlfn.XLOOKUP($C5,Aux!$W:$W,Aux!T:T,"-",0)</f>
        <v>5</v>
      </c>
      <c r="J5" s="204">
        <f>+_xlfn.XLOOKUP($C5,Aux!$W:$W,Aux!U:U,"-",0)</f>
        <v>15</v>
      </c>
      <c r="K5" s="205">
        <f>+_xlfn.XLOOKUP($C5,Aux!$W:$W,Aux!V:V,"-",0)</f>
        <v>10</v>
      </c>
    </row>
    <row r="6" spans="1:31" x14ac:dyDescent="0.25">
      <c r="A6" s="404">
        <v>5</v>
      </c>
      <c r="B6" s="390" t="s">
        <v>295</v>
      </c>
      <c r="C6" s="207">
        <f>+LARGE(Aux!$W$4:$W$51,A6)</f>
        <v>313.04110000013515</v>
      </c>
      <c r="D6" s="206" t="str">
        <f>+_xlfn.XLOOKUP($C6,Aux!$W:$W,Aux!H:H,"-",0)</f>
        <v>Ghana</v>
      </c>
      <c r="E6" s="208">
        <f t="shared" si="0"/>
        <v>13</v>
      </c>
      <c r="F6" s="208">
        <f>+_xlfn.XLOOKUP($C6,Aux!$W:$W,Aux!Q:Q,"-",0)</f>
        <v>4</v>
      </c>
      <c r="G6" s="208">
        <f>+_xlfn.XLOOKUP($C6,Aux!$W:$W,Aux!R:R,"-",0)</f>
        <v>1</v>
      </c>
      <c r="H6" s="208">
        <f>+_xlfn.XLOOKUP($C6,Aux!$W:$W,Aux!S:S,"-",0)</f>
        <v>1</v>
      </c>
      <c r="I6" s="208">
        <f>+_xlfn.XLOOKUP($C6,Aux!$W:$W,Aux!T:T,"-",0)</f>
        <v>4</v>
      </c>
      <c r="J6" s="208">
        <f>+_xlfn.XLOOKUP($C6,Aux!$W:$W,Aux!U:U,"-",0)</f>
        <v>11</v>
      </c>
      <c r="K6" s="209">
        <f>+_xlfn.XLOOKUP($C6,Aux!$W:$W,Aux!V:V,"-",0)</f>
        <v>7</v>
      </c>
    </row>
    <row r="7" spans="1:31" x14ac:dyDescent="0.25">
      <c r="A7" s="404">
        <v>6</v>
      </c>
      <c r="B7" s="390" t="s">
        <v>295</v>
      </c>
      <c r="C7" s="207">
        <f>+LARGE(Aux!$W$4:$W$51,A7)</f>
        <v>313.03070000024996</v>
      </c>
      <c r="D7" s="206" t="str">
        <f>+_xlfn.XLOOKUP($C7,Aux!$W:$W,Aux!H:H,"-",0)</f>
        <v>Paraguay</v>
      </c>
      <c r="E7" s="208">
        <f t="shared" si="0"/>
        <v>13</v>
      </c>
      <c r="F7" s="208">
        <f>+_xlfn.XLOOKUP($C7,Aux!$W:$W,Aux!Q:Q,"-",0)</f>
        <v>4</v>
      </c>
      <c r="G7" s="208">
        <f>+_xlfn.XLOOKUP($C7,Aux!$W:$W,Aux!R:R,"-",0)</f>
        <v>1</v>
      </c>
      <c r="H7" s="208">
        <f>+_xlfn.XLOOKUP($C7,Aux!$W:$W,Aux!S:S,"-",0)</f>
        <v>1</v>
      </c>
      <c r="I7" s="208">
        <f>+_xlfn.XLOOKUP($C7,Aux!$W:$W,Aux!T:T,"-",0)</f>
        <v>3</v>
      </c>
      <c r="J7" s="208">
        <f>+_xlfn.XLOOKUP($C7,Aux!$W:$W,Aux!U:U,"-",0)</f>
        <v>7</v>
      </c>
      <c r="K7" s="209">
        <f>+_xlfn.XLOOKUP($C7,Aux!$W:$W,Aux!V:V,"-",0)</f>
        <v>4</v>
      </c>
    </row>
    <row r="8" spans="1:31" x14ac:dyDescent="0.25">
      <c r="A8" s="404">
        <v>7</v>
      </c>
      <c r="B8" s="390" t="s">
        <v>295</v>
      </c>
      <c r="C8" s="207">
        <f>+LARGE(Aux!$W$4:$W$51,A8)</f>
        <v>311.06120000099997</v>
      </c>
      <c r="D8" s="206" t="str">
        <f>+_xlfn.XLOOKUP($C8,Aux!$W:$W,Aux!H:H,"-",0)</f>
        <v>Alemania</v>
      </c>
      <c r="E8" s="208">
        <f t="shared" si="0"/>
        <v>11</v>
      </c>
      <c r="F8" s="208">
        <f>+_xlfn.XLOOKUP($C8,Aux!$W:$W,Aux!Q:Q,"-",0)</f>
        <v>3</v>
      </c>
      <c r="G8" s="208">
        <f>+_xlfn.XLOOKUP($C8,Aux!$W:$W,Aux!R:R,"-",0)</f>
        <v>2</v>
      </c>
      <c r="H8" s="208">
        <f>+_xlfn.XLOOKUP($C8,Aux!$W:$W,Aux!S:S,"-",0)</f>
        <v>1</v>
      </c>
      <c r="I8" s="208">
        <f>+_xlfn.XLOOKUP($C8,Aux!$W:$W,Aux!T:T,"-",0)</f>
        <v>6</v>
      </c>
      <c r="J8" s="208">
        <f>+_xlfn.XLOOKUP($C8,Aux!$W:$W,Aux!U:U,"-",0)</f>
        <v>12</v>
      </c>
      <c r="K8" s="209">
        <f>+_xlfn.XLOOKUP($C8,Aux!$W:$W,Aux!V:V,"-",0)</f>
        <v>6</v>
      </c>
    </row>
    <row r="9" spans="1:31" x14ac:dyDescent="0.25">
      <c r="A9" s="405">
        <v>8</v>
      </c>
      <c r="B9" s="391" t="s">
        <v>295</v>
      </c>
      <c r="C9" s="227">
        <f>+LARGE(Aux!$W$4:$W$51,A9)</f>
        <v>307.00100000090907</v>
      </c>
      <c r="D9" s="226" t="str">
        <f>+_xlfn.XLOOKUP($C9,Aux!$W:$W,Aux!H:H,"-",0)</f>
        <v>Croacia</v>
      </c>
      <c r="E9" s="228">
        <f t="shared" si="0"/>
        <v>7</v>
      </c>
      <c r="F9" s="228">
        <f>+_xlfn.XLOOKUP($C9,Aux!$W:$W,Aux!Q:Q,"-",0)</f>
        <v>2</v>
      </c>
      <c r="G9" s="228">
        <f>+_xlfn.XLOOKUP($C9,Aux!$W:$W,Aux!R:R,"-",0)</f>
        <v>1</v>
      </c>
      <c r="H9" s="228">
        <f>+_xlfn.XLOOKUP($C9,Aux!$W:$W,Aux!S:S,"-",0)</f>
        <v>3</v>
      </c>
      <c r="I9" s="228">
        <f>+_xlfn.XLOOKUP($C9,Aux!$W:$W,Aux!T:T,"-",0)</f>
        <v>0</v>
      </c>
      <c r="J9" s="228">
        <f>+_xlfn.XLOOKUP($C9,Aux!$W:$W,Aux!U:U,"-",0)</f>
        <v>10</v>
      </c>
      <c r="K9" s="229">
        <f>+_xlfn.XLOOKUP($C9,Aux!$W:$W,Aux!V:V,"-",0)</f>
        <v>10</v>
      </c>
    </row>
    <row r="10" spans="1:31" x14ac:dyDescent="0.25">
      <c r="A10" s="406">
        <v>9</v>
      </c>
      <c r="B10" s="392" t="s">
        <v>296</v>
      </c>
      <c r="C10" s="231">
        <f>+LARGE(Aux!$W$4:$W$51,A10)</f>
        <v>213.07130000999999</v>
      </c>
      <c r="D10" s="230" t="str">
        <f>+_xlfn.XLOOKUP($C10,Aux!$W:$W,Aux!H:H,"-",0)</f>
        <v>Francia</v>
      </c>
      <c r="E10" s="232">
        <f t="shared" si="0"/>
        <v>13</v>
      </c>
      <c r="F10" s="232">
        <f>+_xlfn.XLOOKUP($C10,Aux!$W:$W,Aux!Q:Q,"-",0)</f>
        <v>4</v>
      </c>
      <c r="G10" s="232">
        <f>+_xlfn.XLOOKUP($C10,Aux!$W:$W,Aux!R:R,"-",0)</f>
        <v>1</v>
      </c>
      <c r="H10" s="232">
        <f>+_xlfn.XLOOKUP($C10,Aux!$W:$W,Aux!S:S,"-",0)</f>
        <v>0</v>
      </c>
      <c r="I10" s="232">
        <f>+_xlfn.XLOOKUP($C10,Aux!$W:$W,Aux!T:T,"-",0)</f>
        <v>7</v>
      </c>
      <c r="J10" s="232">
        <f>+_xlfn.XLOOKUP($C10,Aux!$W:$W,Aux!U:U,"-",0)</f>
        <v>13</v>
      </c>
      <c r="K10" s="233">
        <f>+_xlfn.XLOOKUP($C10,Aux!$W:$W,Aux!V:V,"-",0)</f>
        <v>6</v>
      </c>
    </row>
    <row r="11" spans="1:31" x14ac:dyDescent="0.25">
      <c r="A11" s="406">
        <v>10</v>
      </c>
      <c r="B11" s="392" t="s">
        <v>296</v>
      </c>
      <c r="C11" s="231">
        <f>+LARGE(Aux!$W$4:$W$51,A11)</f>
        <v>212.041000005</v>
      </c>
      <c r="D11" s="230" t="str">
        <f>+_xlfn.XLOOKUP($C11,Aux!$W:$W,Aux!H:H,"-",0)</f>
        <v>España</v>
      </c>
      <c r="E11" s="232">
        <f t="shared" si="0"/>
        <v>12</v>
      </c>
      <c r="F11" s="232">
        <f>+_xlfn.XLOOKUP($C11,Aux!$W:$W,Aux!Q:Q,"-",0)</f>
        <v>4</v>
      </c>
      <c r="G11" s="232">
        <f>+_xlfn.XLOOKUP($C11,Aux!$W:$W,Aux!R:R,"-",0)</f>
        <v>0</v>
      </c>
      <c r="H11" s="232">
        <f>+_xlfn.XLOOKUP($C11,Aux!$W:$W,Aux!S:S,"-",0)</f>
        <v>1</v>
      </c>
      <c r="I11" s="232">
        <f>+_xlfn.XLOOKUP($C11,Aux!$W:$W,Aux!T:T,"-",0)</f>
        <v>4</v>
      </c>
      <c r="J11" s="232">
        <f>+_xlfn.XLOOKUP($C11,Aux!$W:$W,Aux!U:U,"-",0)</f>
        <v>10</v>
      </c>
      <c r="K11" s="233">
        <f>+_xlfn.XLOOKUP($C11,Aux!$W:$W,Aux!V:V,"-",0)</f>
        <v>6</v>
      </c>
    </row>
    <row r="12" spans="1:31" x14ac:dyDescent="0.25">
      <c r="A12" s="406">
        <v>11</v>
      </c>
      <c r="B12" s="392" t="s">
        <v>296</v>
      </c>
      <c r="C12" s="231">
        <f>+LARGE(Aux!$W$4:$W$51,A12)</f>
        <v>211.04070000111111</v>
      </c>
      <c r="D12" s="230" t="str">
        <f>+_xlfn.XLOOKUP($C12,Aux!$W:$W,Aux!H:H,"-",0)</f>
        <v>Belgica</v>
      </c>
      <c r="E12" s="232">
        <f t="shared" si="0"/>
        <v>11</v>
      </c>
      <c r="F12" s="232">
        <f>+_xlfn.XLOOKUP($C12,Aux!$W:$W,Aux!Q:Q,"-",0)</f>
        <v>3</v>
      </c>
      <c r="G12" s="232">
        <f>+_xlfn.XLOOKUP($C12,Aux!$W:$W,Aux!R:R,"-",0)</f>
        <v>2</v>
      </c>
      <c r="H12" s="232">
        <f>+_xlfn.XLOOKUP($C12,Aux!$W:$W,Aux!S:S,"-",0)</f>
        <v>0</v>
      </c>
      <c r="I12" s="232">
        <f>+_xlfn.XLOOKUP($C12,Aux!$W:$W,Aux!T:T,"-",0)</f>
        <v>4</v>
      </c>
      <c r="J12" s="232">
        <f>+_xlfn.XLOOKUP($C12,Aux!$W:$W,Aux!U:U,"-",0)</f>
        <v>7</v>
      </c>
      <c r="K12" s="233">
        <f>+_xlfn.XLOOKUP($C12,Aux!$W:$W,Aux!V:V,"-",0)</f>
        <v>3</v>
      </c>
    </row>
    <row r="13" spans="1:31" x14ac:dyDescent="0.25">
      <c r="A13" s="406">
        <v>12</v>
      </c>
      <c r="B13" s="392" t="s">
        <v>296</v>
      </c>
      <c r="C13" s="231">
        <f>+LARGE(Aux!$W$4:$W$51,A13)</f>
        <v>210.03080000043479</v>
      </c>
      <c r="D13" s="230" t="str">
        <f>+_xlfn.XLOOKUP($C13,Aux!$W:$W,Aux!H:H,"-",0)</f>
        <v>Ecuador</v>
      </c>
      <c r="E13" s="232">
        <f t="shared" si="0"/>
        <v>10</v>
      </c>
      <c r="F13" s="232">
        <f>+_xlfn.XLOOKUP($C13,Aux!$W:$W,Aux!Q:Q,"-",0)</f>
        <v>3</v>
      </c>
      <c r="G13" s="232">
        <f>+_xlfn.XLOOKUP($C13,Aux!$W:$W,Aux!R:R,"-",0)</f>
        <v>1</v>
      </c>
      <c r="H13" s="232">
        <f>+_xlfn.XLOOKUP($C13,Aux!$W:$W,Aux!S:S,"-",0)</f>
        <v>1</v>
      </c>
      <c r="I13" s="232">
        <f>+_xlfn.XLOOKUP($C13,Aux!$W:$W,Aux!T:T,"-",0)</f>
        <v>3</v>
      </c>
      <c r="J13" s="232">
        <f>+_xlfn.XLOOKUP($C13,Aux!$W:$W,Aux!U:U,"-",0)</f>
        <v>8</v>
      </c>
      <c r="K13" s="233">
        <f>+_xlfn.XLOOKUP($C13,Aux!$W:$W,Aux!V:V,"-",0)</f>
        <v>5</v>
      </c>
    </row>
    <row r="14" spans="1:31" x14ac:dyDescent="0.25">
      <c r="A14" s="406">
        <v>13</v>
      </c>
      <c r="B14" s="392" t="s">
        <v>296</v>
      </c>
      <c r="C14" s="231">
        <f>+LARGE(Aux!$W$4:$W$51,A14)</f>
        <v>210.03070000052631</v>
      </c>
      <c r="D14" s="230" t="str">
        <f>+_xlfn.XLOOKUP($C14,Aux!$W:$W,Aux!H:H,"-",0)</f>
        <v>Suiza</v>
      </c>
      <c r="E14" s="232">
        <f t="shared" si="0"/>
        <v>10</v>
      </c>
      <c r="F14" s="232">
        <f>+_xlfn.XLOOKUP($C14,Aux!$W:$W,Aux!Q:Q,"-",0)</f>
        <v>3</v>
      </c>
      <c r="G14" s="232">
        <f>+_xlfn.XLOOKUP($C14,Aux!$W:$W,Aux!R:R,"-",0)</f>
        <v>1</v>
      </c>
      <c r="H14" s="232">
        <f>+_xlfn.XLOOKUP($C14,Aux!$W:$W,Aux!S:S,"-",0)</f>
        <v>1</v>
      </c>
      <c r="I14" s="232">
        <f>+_xlfn.XLOOKUP($C14,Aux!$W:$W,Aux!T:T,"-",0)</f>
        <v>3</v>
      </c>
      <c r="J14" s="232">
        <f>+_xlfn.XLOOKUP($C14,Aux!$W:$W,Aux!U:U,"-",0)</f>
        <v>7</v>
      </c>
      <c r="K14" s="233">
        <f>+_xlfn.XLOOKUP($C14,Aux!$W:$W,Aux!V:V,"-",0)</f>
        <v>4</v>
      </c>
    </row>
    <row r="15" spans="1:31" x14ac:dyDescent="0.25">
      <c r="A15" s="406">
        <v>14</v>
      </c>
      <c r="B15" s="392" t="s">
        <v>296</v>
      </c>
      <c r="C15" s="231">
        <f>+LARGE(Aux!$W$4:$W$51,A15)</f>
        <v>208.02070000033333</v>
      </c>
      <c r="D15" s="230" t="str">
        <f>+_xlfn.XLOOKUP($C15,Aux!$W:$W,Aux!H:H,"-",0)</f>
        <v>Canada</v>
      </c>
      <c r="E15" s="232">
        <f t="shared" si="0"/>
        <v>8</v>
      </c>
      <c r="F15" s="232">
        <f>+_xlfn.XLOOKUP($C15,Aux!$W:$W,Aux!Q:Q,"-",0)</f>
        <v>2</v>
      </c>
      <c r="G15" s="232">
        <f>+_xlfn.XLOOKUP($C15,Aux!$W:$W,Aux!R:R,"-",0)</f>
        <v>2</v>
      </c>
      <c r="H15" s="232">
        <f>+_xlfn.XLOOKUP($C15,Aux!$W:$W,Aux!S:S,"-",0)</f>
        <v>1</v>
      </c>
      <c r="I15" s="232">
        <f>+_xlfn.XLOOKUP($C15,Aux!$W:$W,Aux!T:T,"-",0)</f>
        <v>2</v>
      </c>
      <c r="J15" s="232">
        <f>+_xlfn.XLOOKUP($C15,Aux!$W:$W,Aux!U:U,"-",0)</f>
        <v>7</v>
      </c>
      <c r="K15" s="233">
        <f>+_xlfn.XLOOKUP($C15,Aux!$W:$W,Aux!V:V,"-",0)</f>
        <v>5</v>
      </c>
    </row>
    <row r="16" spans="1:31" x14ac:dyDescent="0.25">
      <c r="A16" s="406">
        <v>15</v>
      </c>
      <c r="B16" s="392" t="s">
        <v>296</v>
      </c>
      <c r="C16" s="231">
        <f>+LARGE(Aux!$W$4:$W$51,A16)</f>
        <v>208.00040000066667</v>
      </c>
      <c r="D16" s="230" t="str">
        <f>+_xlfn.XLOOKUP($C16,Aux!$W:$W,Aux!H:H,"-",0)</f>
        <v>Mexico</v>
      </c>
      <c r="E16" s="232">
        <f t="shared" si="0"/>
        <v>8</v>
      </c>
      <c r="F16" s="232">
        <f>+_xlfn.XLOOKUP($C16,Aux!$W:$W,Aux!Q:Q,"-",0)</f>
        <v>2</v>
      </c>
      <c r="G16" s="232">
        <f>+_xlfn.XLOOKUP($C16,Aux!$W:$W,Aux!R:R,"-",0)</f>
        <v>2</v>
      </c>
      <c r="H16" s="232">
        <f>+_xlfn.XLOOKUP($C16,Aux!$W:$W,Aux!S:S,"-",0)</f>
        <v>1</v>
      </c>
      <c r="I16" s="232">
        <f>+_xlfn.XLOOKUP($C16,Aux!$W:$W,Aux!T:T,"-",0)</f>
        <v>0</v>
      </c>
      <c r="J16" s="232">
        <f>+_xlfn.XLOOKUP($C16,Aux!$W:$W,Aux!U:U,"-",0)</f>
        <v>4</v>
      </c>
      <c r="K16" s="233">
        <f>+_xlfn.XLOOKUP($C16,Aux!$W:$W,Aux!V:V,"-",0)</f>
        <v>4</v>
      </c>
    </row>
    <row r="17" spans="1:11" x14ac:dyDescent="0.25">
      <c r="A17" s="407">
        <v>16</v>
      </c>
      <c r="B17" s="393" t="s">
        <v>296</v>
      </c>
      <c r="C17" s="235">
        <f>+LARGE(Aux!$W$4:$W$51,A17)</f>
        <v>207.00070000062499</v>
      </c>
      <c r="D17" s="234" t="str">
        <f>+_xlfn.XLOOKUP($C17,Aux!$W:$W,Aux!H:H,"-",0)</f>
        <v>Estados Unidos</v>
      </c>
      <c r="E17" s="236">
        <f t="shared" si="0"/>
        <v>7</v>
      </c>
      <c r="F17" s="236">
        <f>+_xlfn.XLOOKUP($C17,Aux!$W:$W,Aux!Q:Q,"-",0)</f>
        <v>2</v>
      </c>
      <c r="G17" s="236">
        <f>+_xlfn.XLOOKUP($C17,Aux!$W:$W,Aux!R:R,"-",0)</f>
        <v>1</v>
      </c>
      <c r="H17" s="236">
        <f>+_xlfn.XLOOKUP($C17,Aux!$W:$W,Aux!S:S,"-",0)</f>
        <v>2</v>
      </c>
      <c r="I17" s="236">
        <f>+_xlfn.XLOOKUP($C17,Aux!$W:$W,Aux!T:T,"-",0)</f>
        <v>0</v>
      </c>
      <c r="J17" s="236">
        <f>+_xlfn.XLOOKUP($C17,Aux!$W:$W,Aux!U:U,"-",0)</f>
        <v>7</v>
      </c>
      <c r="K17" s="237">
        <f>+_xlfn.XLOOKUP($C17,Aux!$W:$W,Aux!V:V,"-",0)</f>
        <v>7</v>
      </c>
    </row>
    <row r="18" spans="1:11" x14ac:dyDescent="0.25">
      <c r="A18" s="408">
        <v>17</v>
      </c>
      <c r="B18" s="394" t="s">
        <v>297</v>
      </c>
      <c r="C18" s="212">
        <f>+LARGE(Aux!$W$4:$W$51,A18)</f>
        <v>108.040800002</v>
      </c>
      <c r="D18" s="210" t="str">
        <f>+_xlfn.XLOOKUP($C18,Aux!$W:$W,Aux!H:H,"-",0)</f>
        <v>Portugal</v>
      </c>
      <c r="E18" s="213">
        <f t="shared" si="0"/>
        <v>8</v>
      </c>
      <c r="F18" s="213">
        <f>+_xlfn.XLOOKUP($C18,Aux!$W:$W,Aux!Q:Q,"-",0)</f>
        <v>2</v>
      </c>
      <c r="G18" s="213">
        <f>+_xlfn.XLOOKUP($C18,Aux!$W:$W,Aux!R:R,"-",0)</f>
        <v>2</v>
      </c>
      <c r="H18" s="213">
        <f>+_xlfn.XLOOKUP($C18,Aux!$W:$W,Aux!S:S,"-",0)</f>
        <v>0</v>
      </c>
      <c r="I18" s="213">
        <f>+_xlfn.XLOOKUP($C18,Aux!$W:$W,Aux!T:T,"-",0)</f>
        <v>4</v>
      </c>
      <c r="J18" s="213">
        <f>+_xlfn.XLOOKUP($C18,Aux!$W:$W,Aux!U:U,"-",0)</f>
        <v>8</v>
      </c>
      <c r="K18" s="197">
        <f>+_xlfn.XLOOKUP($C18,Aux!$W:$W,Aux!V:V,"-",0)</f>
        <v>4</v>
      </c>
    </row>
    <row r="19" spans="1:11" x14ac:dyDescent="0.25">
      <c r="A19" s="408">
        <v>18</v>
      </c>
      <c r="B19" s="394" t="s">
        <v>297</v>
      </c>
      <c r="C19" s="212">
        <f>+LARGE(Aux!$W$4:$W$51,A19)</f>
        <v>108.03080000055556</v>
      </c>
      <c r="D19" s="210" t="str">
        <f>+_xlfn.XLOOKUP($C19,Aux!$W:$W,Aux!H:H,"-",0)</f>
        <v>Japon</v>
      </c>
      <c r="E19" s="213">
        <f t="shared" si="0"/>
        <v>8</v>
      </c>
      <c r="F19" s="213">
        <f>+_xlfn.XLOOKUP($C19,Aux!$W:$W,Aux!Q:Q,"-",0)</f>
        <v>2</v>
      </c>
      <c r="G19" s="213">
        <f>+_xlfn.XLOOKUP($C19,Aux!$W:$W,Aux!R:R,"-",0)</f>
        <v>2</v>
      </c>
      <c r="H19" s="213">
        <f>+_xlfn.XLOOKUP($C19,Aux!$W:$W,Aux!S:S,"-",0)</f>
        <v>0</v>
      </c>
      <c r="I19" s="213">
        <f>+_xlfn.XLOOKUP($C19,Aux!$W:$W,Aux!T:T,"-",0)</f>
        <v>3</v>
      </c>
      <c r="J19" s="213">
        <f>+_xlfn.XLOOKUP($C19,Aux!$W:$W,Aux!U:U,"-",0)</f>
        <v>8</v>
      </c>
      <c r="K19" s="197">
        <f>+_xlfn.XLOOKUP($C19,Aux!$W:$W,Aux!V:V,"-",0)</f>
        <v>5</v>
      </c>
    </row>
    <row r="20" spans="1:11" x14ac:dyDescent="0.25">
      <c r="A20" s="408">
        <v>19</v>
      </c>
      <c r="B20" s="394" t="s">
        <v>297</v>
      </c>
      <c r="C20" s="212">
        <f>+LARGE(Aux!$W$4:$W$51,A20)</f>
        <v>107.0107000025</v>
      </c>
      <c r="D20" s="210" t="str">
        <f>+_xlfn.XLOOKUP($C20,Aux!$W:$W,Aux!H:H,"-",0)</f>
        <v>Inglaterra</v>
      </c>
      <c r="E20" s="213">
        <f t="shared" si="0"/>
        <v>7</v>
      </c>
      <c r="F20" s="213">
        <f>+_xlfn.XLOOKUP($C20,Aux!$W:$W,Aux!Q:Q,"-",0)</f>
        <v>2</v>
      </c>
      <c r="G20" s="213">
        <f>+_xlfn.XLOOKUP($C20,Aux!$W:$W,Aux!R:R,"-",0)</f>
        <v>1</v>
      </c>
      <c r="H20" s="213">
        <f>+_xlfn.XLOOKUP($C20,Aux!$W:$W,Aux!S:S,"-",0)</f>
        <v>1</v>
      </c>
      <c r="I20" s="213">
        <f>+_xlfn.XLOOKUP($C20,Aux!$W:$W,Aux!T:T,"-",0)</f>
        <v>1</v>
      </c>
      <c r="J20" s="213">
        <f>+_xlfn.XLOOKUP($C20,Aux!$W:$W,Aux!U:U,"-",0)</f>
        <v>7</v>
      </c>
      <c r="K20" s="197">
        <f>+_xlfn.XLOOKUP($C20,Aux!$W:$W,Aux!V:V,"-",0)</f>
        <v>6</v>
      </c>
    </row>
    <row r="21" spans="1:11" x14ac:dyDescent="0.25">
      <c r="A21" s="408">
        <v>20</v>
      </c>
      <c r="B21" s="394" t="s">
        <v>297</v>
      </c>
      <c r="C21" s="212">
        <f>+LARGE(Aux!$W$4:$W$51,A21)</f>
        <v>106.0206000002439</v>
      </c>
      <c r="D21" s="210" t="str">
        <f>+_xlfn.XLOOKUP($C21,Aux!$W:$W,Aux!H:H,"-",0)</f>
        <v>Repubilca Checa</v>
      </c>
      <c r="E21" s="213">
        <f t="shared" si="0"/>
        <v>6</v>
      </c>
      <c r="F21" s="213">
        <f>+_xlfn.XLOOKUP($C21,Aux!$W:$W,Aux!Q:Q,"-",0)</f>
        <v>1</v>
      </c>
      <c r="G21" s="213">
        <f>+_xlfn.XLOOKUP($C21,Aux!$W:$W,Aux!R:R,"-",0)</f>
        <v>3</v>
      </c>
      <c r="H21" s="213">
        <f>+_xlfn.XLOOKUP($C21,Aux!$W:$W,Aux!S:S,"-",0)</f>
        <v>0</v>
      </c>
      <c r="I21" s="213">
        <f>+_xlfn.XLOOKUP($C21,Aux!$W:$W,Aux!T:T,"-",0)</f>
        <v>2</v>
      </c>
      <c r="J21" s="213">
        <f>+_xlfn.XLOOKUP($C21,Aux!$W:$W,Aux!U:U,"-",0)</f>
        <v>6</v>
      </c>
      <c r="K21" s="197">
        <f>+_xlfn.XLOOKUP($C21,Aux!$W:$W,Aux!V:V,"-",0)</f>
        <v>4</v>
      </c>
    </row>
    <row r="22" spans="1:11" x14ac:dyDescent="0.25">
      <c r="A22" s="408">
        <v>21</v>
      </c>
      <c r="B22" s="394" t="s">
        <v>297</v>
      </c>
      <c r="C22" s="212">
        <f>+LARGE(Aux!$W$4:$W$51,A22)</f>
        <v>106.01080000058823</v>
      </c>
      <c r="D22" s="210" t="str">
        <f>+_xlfn.XLOOKUP($C22,Aux!$W:$W,Aux!H:H,"-",0)</f>
        <v>Uruguay</v>
      </c>
      <c r="E22" s="213">
        <f t="shared" si="0"/>
        <v>6</v>
      </c>
      <c r="F22" s="213">
        <f>+_xlfn.XLOOKUP($C22,Aux!$W:$W,Aux!Q:Q,"-",0)</f>
        <v>2</v>
      </c>
      <c r="G22" s="213">
        <f>+_xlfn.XLOOKUP($C22,Aux!$W:$W,Aux!R:R,"-",0)</f>
        <v>0</v>
      </c>
      <c r="H22" s="213">
        <f>+_xlfn.XLOOKUP($C22,Aux!$W:$W,Aux!S:S,"-",0)</f>
        <v>2</v>
      </c>
      <c r="I22" s="213">
        <f>+_xlfn.XLOOKUP($C22,Aux!$W:$W,Aux!T:T,"-",0)</f>
        <v>1</v>
      </c>
      <c r="J22" s="213">
        <f>+_xlfn.XLOOKUP($C22,Aux!$W:$W,Aux!U:U,"-",0)</f>
        <v>8</v>
      </c>
      <c r="K22" s="197">
        <f>+_xlfn.XLOOKUP($C22,Aux!$W:$W,Aux!V:V,"-",0)</f>
        <v>7</v>
      </c>
    </row>
    <row r="23" spans="1:11" x14ac:dyDescent="0.25">
      <c r="A23" s="408">
        <v>22</v>
      </c>
      <c r="B23" s="394" t="s">
        <v>297</v>
      </c>
      <c r="C23" s="212">
        <f>+LARGE(Aux!$W$4:$W$51,A23)</f>
        <v>106.01040000041667</v>
      </c>
      <c r="D23" s="210" t="str">
        <f>+_xlfn.XLOOKUP($C23,Aux!$W:$W,Aux!H:H,"-",0)</f>
        <v>Austria</v>
      </c>
      <c r="E23" s="213">
        <f t="shared" si="0"/>
        <v>6</v>
      </c>
      <c r="F23" s="213">
        <f>+_xlfn.XLOOKUP($C23,Aux!$W:$W,Aux!Q:Q,"-",0)</f>
        <v>2</v>
      </c>
      <c r="G23" s="213">
        <f>+_xlfn.XLOOKUP($C23,Aux!$W:$W,Aux!R:R,"-",0)</f>
        <v>0</v>
      </c>
      <c r="H23" s="213">
        <f>+_xlfn.XLOOKUP($C23,Aux!$W:$W,Aux!S:S,"-",0)</f>
        <v>2</v>
      </c>
      <c r="I23" s="213">
        <f>+_xlfn.XLOOKUP($C23,Aux!$W:$W,Aux!T:T,"-",0)</f>
        <v>1</v>
      </c>
      <c r="J23" s="213">
        <f>+_xlfn.XLOOKUP($C23,Aux!$W:$W,Aux!U:U,"-",0)</f>
        <v>4</v>
      </c>
      <c r="K23" s="197">
        <f>+_xlfn.XLOOKUP($C23,Aux!$W:$W,Aux!V:V,"-",0)</f>
        <v>3</v>
      </c>
    </row>
    <row r="24" spans="1:11" x14ac:dyDescent="0.25">
      <c r="A24" s="408">
        <v>23</v>
      </c>
      <c r="B24" s="394" t="s">
        <v>297</v>
      </c>
      <c r="C24" s="212">
        <f>+LARGE(Aux!$W$4:$W$51,A24)</f>
        <v>106.00070000142857</v>
      </c>
      <c r="D24" s="210" t="str">
        <f>+_xlfn.XLOOKUP($C24,Aux!$W:$W,Aux!H:H,"-",0)</f>
        <v>Paises Bajos</v>
      </c>
      <c r="E24" s="213">
        <f t="shared" si="0"/>
        <v>6</v>
      </c>
      <c r="F24" s="213">
        <f>+_xlfn.XLOOKUP($C24,Aux!$W:$W,Aux!Q:Q,"-",0)</f>
        <v>2</v>
      </c>
      <c r="G24" s="213">
        <f>+_xlfn.XLOOKUP($C24,Aux!$W:$W,Aux!R:R,"-",0)</f>
        <v>0</v>
      </c>
      <c r="H24" s="213">
        <f>+_xlfn.XLOOKUP($C24,Aux!$W:$W,Aux!S:S,"-",0)</f>
        <v>2</v>
      </c>
      <c r="I24" s="213">
        <f>+_xlfn.XLOOKUP($C24,Aux!$W:$W,Aux!T:T,"-",0)</f>
        <v>0</v>
      </c>
      <c r="J24" s="213">
        <f>+_xlfn.XLOOKUP($C24,Aux!$W:$W,Aux!U:U,"-",0)</f>
        <v>7</v>
      </c>
      <c r="K24" s="197">
        <f>+_xlfn.XLOOKUP($C24,Aux!$W:$W,Aux!V:V,"-",0)</f>
        <v>7</v>
      </c>
    </row>
    <row r="25" spans="1:11" x14ac:dyDescent="0.25">
      <c r="A25" s="408">
        <v>24</v>
      </c>
      <c r="B25" s="394" t="s">
        <v>297</v>
      </c>
      <c r="C25" s="212">
        <f>+LARGE(Aux!$W$4:$W$51,A25)</f>
        <v>104.99030000047618</v>
      </c>
      <c r="D25" s="210" t="str">
        <f>+_xlfn.XLOOKUP($C25,Aux!$W:$W,Aux!H:H,"-",0)</f>
        <v>Iran</v>
      </c>
      <c r="E25" s="213">
        <f t="shared" si="0"/>
        <v>5</v>
      </c>
      <c r="F25" s="213">
        <f>+_xlfn.XLOOKUP($C25,Aux!$W:$W,Aux!Q:Q,"-",0)</f>
        <v>1</v>
      </c>
      <c r="G25" s="213">
        <f>+_xlfn.XLOOKUP($C25,Aux!$W:$W,Aux!R:R,"-",0)</f>
        <v>2</v>
      </c>
      <c r="H25" s="213">
        <f>+_xlfn.XLOOKUP($C25,Aux!$W:$W,Aux!S:S,"-",0)</f>
        <v>1</v>
      </c>
      <c r="I25" s="213">
        <f>+_xlfn.XLOOKUP($C25,Aux!$W:$W,Aux!T:T,"-",0)</f>
        <v>-1</v>
      </c>
      <c r="J25" s="213">
        <f>+_xlfn.XLOOKUP($C25,Aux!$W:$W,Aux!U:U,"-",0)</f>
        <v>3</v>
      </c>
      <c r="K25" s="197">
        <f>+_xlfn.XLOOKUP($C25,Aux!$W:$W,Aux!V:V,"-",0)</f>
        <v>4</v>
      </c>
    </row>
    <row r="26" spans="1:11" x14ac:dyDescent="0.25">
      <c r="A26" s="408">
        <v>25</v>
      </c>
      <c r="B26" s="394" t="s">
        <v>297</v>
      </c>
      <c r="C26" s="212">
        <f>+LARGE(Aux!$W$4:$W$51,A26)</f>
        <v>104.00060000032259</v>
      </c>
      <c r="D26" s="210" t="str">
        <f>+_xlfn.XLOOKUP($C26,Aux!$W:$W,Aux!H:H,"-",0)</f>
        <v>Noruega</v>
      </c>
      <c r="E26" s="213">
        <f t="shared" si="0"/>
        <v>4</v>
      </c>
      <c r="F26" s="213">
        <f>+_xlfn.XLOOKUP($C26,Aux!$W:$W,Aux!Q:Q,"-",0)</f>
        <v>1</v>
      </c>
      <c r="G26" s="213">
        <f>+_xlfn.XLOOKUP($C26,Aux!$W:$W,Aux!R:R,"-",0)</f>
        <v>1</v>
      </c>
      <c r="H26" s="213">
        <f>+_xlfn.XLOOKUP($C26,Aux!$W:$W,Aux!S:S,"-",0)</f>
        <v>2</v>
      </c>
      <c r="I26" s="213">
        <f>+_xlfn.XLOOKUP($C26,Aux!$W:$W,Aux!T:T,"-",0)</f>
        <v>0</v>
      </c>
      <c r="J26" s="213">
        <f>+_xlfn.XLOOKUP($C26,Aux!$W:$W,Aux!U:U,"-",0)</f>
        <v>6</v>
      </c>
      <c r="K26" s="197">
        <f>+_xlfn.XLOOKUP($C26,Aux!$W:$W,Aux!V:V,"-",0)</f>
        <v>6</v>
      </c>
    </row>
    <row r="27" spans="1:11" x14ac:dyDescent="0.25">
      <c r="A27" s="408">
        <v>26</v>
      </c>
      <c r="B27" s="394" t="s">
        <v>297</v>
      </c>
      <c r="C27" s="212">
        <f>+LARGE(Aux!$W$4:$W$51,A27)</f>
        <v>104.00050000023256</v>
      </c>
      <c r="D27" s="210" t="str">
        <f>+_xlfn.XLOOKUP($C27,Aux!$W:$W,Aux!H:H,"-",0)</f>
        <v>Escocia</v>
      </c>
      <c r="E27" s="213">
        <f t="shared" si="0"/>
        <v>4</v>
      </c>
      <c r="F27" s="213">
        <f>+_xlfn.XLOOKUP($C27,Aux!$W:$W,Aux!Q:Q,"-",0)</f>
        <v>1</v>
      </c>
      <c r="G27" s="213">
        <f>+_xlfn.XLOOKUP($C27,Aux!$W:$W,Aux!R:R,"-",0)</f>
        <v>1</v>
      </c>
      <c r="H27" s="213">
        <f>+_xlfn.XLOOKUP($C27,Aux!$W:$W,Aux!S:S,"-",0)</f>
        <v>2</v>
      </c>
      <c r="I27" s="213">
        <f>+_xlfn.XLOOKUP($C27,Aux!$W:$W,Aux!T:T,"-",0)</f>
        <v>0</v>
      </c>
      <c r="J27" s="213">
        <f>+_xlfn.XLOOKUP($C27,Aux!$W:$W,Aux!U:U,"-",0)</f>
        <v>5</v>
      </c>
      <c r="K27" s="197">
        <f>+_xlfn.XLOOKUP($C27,Aux!$W:$W,Aux!V:V,"-",0)</f>
        <v>5</v>
      </c>
    </row>
    <row r="28" spans="1:11" x14ac:dyDescent="0.25">
      <c r="A28" s="408">
        <v>27</v>
      </c>
      <c r="B28" s="394" t="s">
        <v>297</v>
      </c>
      <c r="C28" s="212">
        <f>+LARGE(Aux!$W$4:$W$51,A28)</f>
        <v>103.99060000026316</v>
      </c>
      <c r="D28" s="210" t="str">
        <f>+_xlfn.XLOOKUP($C28,Aux!$W:$W,Aux!H:H,"-",0)</f>
        <v>Suecia</v>
      </c>
      <c r="E28" s="213">
        <f t="shared" si="0"/>
        <v>4</v>
      </c>
      <c r="F28" s="213">
        <f>+_xlfn.XLOOKUP($C28,Aux!$W:$W,Aux!Q:Q,"-",0)</f>
        <v>1</v>
      </c>
      <c r="G28" s="213">
        <f>+_xlfn.XLOOKUP($C28,Aux!$W:$W,Aux!R:R,"-",0)</f>
        <v>1</v>
      </c>
      <c r="H28" s="213">
        <f>+_xlfn.XLOOKUP($C28,Aux!$W:$W,Aux!S:S,"-",0)</f>
        <v>2</v>
      </c>
      <c r="I28" s="213">
        <f>+_xlfn.XLOOKUP($C28,Aux!$W:$W,Aux!T:T,"-",0)</f>
        <v>-1</v>
      </c>
      <c r="J28" s="213">
        <f>+_xlfn.XLOOKUP($C28,Aux!$W:$W,Aux!U:U,"-",0)</f>
        <v>6</v>
      </c>
      <c r="K28" s="197">
        <f>+_xlfn.XLOOKUP($C28,Aux!$W:$W,Aux!V:V,"-",0)</f>
        <v>7</v>
      </c>
    </row>
    <row r="29" spans="1:11" x14ac:dyDescent="0.25">
      <c r="A29" s="408">
        <v>28</v>
      </c>
      <c r="B29" s="394" t="s">
        <v>297</v>
      </c>
      <c r="C29" s="212">
        <f>+LARGE(Aux!$W$4:$W$51,A29)</f>
        <v>103.99020000016667</v>
      </c>
      <c r="D29" s="210" t="str">
        <f>+_xlfn.XLOOKUP($C29,Aux!$W:$W,Aux!H:H,"-",0)</f>
        <v>Sudafrica</v>
      </c>
      <c r="E29" s="213">
        <f t="shared" si="0"/>
        <v>4</v>
      </c>
      <c r="F29" s="213">
        <f>+_xlfn.XLOOKUP($C29,Aux!$W:$W,Aux!Q:Q,"-",0)</f>
        <v>1</v>
      </c>
      <c r="G29" s="213">
        <f>+_xlfn.XLOOKUP($C29,Aux!$W:$W,Aux!R:R,"-",0)</f>
        <v>1</v>
      </c>
      <c r="H29" s="213">
        <f>+_xlfn.XLOOKUP($C29,Aux!$W:$W,Aux!S:S,"-",0)</f>
        <v>2</v>
      </c>
      <c r="I29" s="213">
        <f>+_xlfn.XLOOKUP($C29,Aux!$W:$W,Aux!T:T,"-",0)</f>
        <v>-1</v>
      </c>
      <c r="J29" s="213">
        <f>+_xlfn.XLOOKUP($C29,Aux!$W:$W,Aux!U:U,"-",0)</f>
        <v>2</v>
      </c>
      <c r="K29" s="197">
        <f>+_xlfn.XLOOKUP($C29,Aux!$W:$W,Aux!V:V,"-",0)</f>
        <v>3</v>
      </c>
    </row>
    <row r="30" spans="1:11" x14ac:dyDescent="0.25">
      <c r="A30" s="408">
        <v>29</v>
      </c>
      <c r="B30" s="394" t="s">
        <v>297</v>
      </c>
      <c r="C30" s="212">
        <f>+LARGE(Aux!$W$4:$W$51,A30)</f>
        <v>103.98050000071429</v>
      </c>
      <c r="D30" s="210" t="str">
        <f>+_xlfn.XLOOKUP($C30,Aux!$W:$W,Aux!H:H,"-",0)</f>
        <v>Senegal</v>
      </c>
      <c r="E30" s="213">
        <f t="shared" si="0"/>
        <v>4</v>
      </c>
      <c r="F30" s="213">
        <f>+_xlfn.XLOOKUP($C30,Aux!$W:$W,Aux!Q:Q,"-",0)</f>
        <v>1</v>
      </c>
      <c r="G30" s="213">
        <f>+_xlfn.XLOOKUP($C30,Aux!$W:$W,Aux!R:R,"-",0)</f>
        <v>1</v>
      </c>
      <c r="H30" s="213">
        <f>+_xlfn.XLOOKUP($C30,Aux!$W:$W,Aux!S:S,"-",0)</f>
        <v>2</v>
      </c>
      <c r="I30" s="213">
        <f>+_xlfn.XLOOKUP($C30,Aux!$W:$W,Aux!T:T,"-",0)</f>
        <v>-2</v>
      </c>
      <c r="J30" s="213">
        <f>+_xlfn.XLOOKUP($C30,Aux!$W:$W,Aux!U:U,"-",0)</f>
        <v>5</v>
      </c>
      <c r="K30" s="197">
        <f>+_xlfn.XLOOKUP($C30,Aux!$W:$W,Aux!V:V,"-",0)</f>
        <v>7</v>
      </c>
    </row>
    <row r="31" spans="1:11" x14ac:dyDescent="0.25">
      <c r="A31" s="408">
        <v>30</v>
      </c>
      <c r="B31" s="394" t="s">
        <v>297</v>
      </c>
      <c r="C31" s="212">
        <f>+LARGE(Aux!$W$4:$W$51,A31)</f>
        <v>102.98030000037036</v>
      </c>
      <c r="D31" s="210" t="str">
        <f>+_xlfn.XLOOKUP($C31,Aux!$W:$W,Aux!H:H,"-",0)</f>
        <v>Australia</v>
      </c>
      <c r="E31" s="213">
        <f t="shared" si="0"/>
        <v>3</v>
      </c>
      <c r="F31" s="213">
        <f>+_xlfn.XLOOKUP($C31,Aux!$W:$W,Aux!Q:Q,"-",0)</f>
        <v>1</v>
      </c>
      <c r="G31" s="213">
        <f>+_xlfn.XLOOKUP($C31,Aux!$W:$W,Aux!R:R,"-",0)</f>
        <v>0</v>
      </c>
      <c r="H31" s="213">
        <f>+_xlfn.XLOOKUP($C31,Aux!$W:$W,Aux!S:S,"-",0)</f>
        <v>3</v>
      </c>
      <c r="I31" s="213">
        <f>+_xlfn.XLOOKUP($C31,Aux!$W:$W,Aux!T:T,"-",0)</f>
        <v>-2</v>
      </c>
      <c r="J31" s="213">
        <f>+_xlfn.XLOOKUP($C31,Aux!$W:$W,Aux!U:U,"-",0)</f>
        <v>3</v>
      </c>
      <c r="K31" s="197">
        <f>+_xlfn.XLOOKUP($C31,Aux!$W:$W,Aux!V:V,"-",0)</f>
        <v>5</v>
      </c>
    </row>
    <row r="32" spans="1:11" x14ac:dyDescent="0.25">
      <c r="A32" s="408">
        <v>31</v>
      </c>
      <c r="B32" s="394" t="s">
        <v>297</v>
      </c>
      <c r="C32" s="212">
        <f>+LARGE(Aux!$W$4:$W$51,A32)</f>
        <v>102.98030000035715</v>
      </c>
      <c r="D32" s="210" t="str">
        <f>+_xlfn.XLOOKUP($C32,Aux!$W:$W,Aux!H:H,"-",0)</f>
        <v>Argelia</v>
      </c>
      <c r="E32" s="213">
        <f t="shared" si="0"/>
        <v>3</v>
      </c>
      <c r="F32" s="213">
        <f>+_xlfn.XLOOKUP($C32,Aux!$W:$W,Aux!Q:Q,"-",0)</f>
        <v>1</v>
      </c>
      <c r="G32" s="213">
        <f>+_xlfn.XLOOKUP($C32,Aux!$W:$W,Aux!R:R,"-",0)</f>
        <v>0</v>
      </c>
      <c r="H32" s="213">
        <f>+_xlfn.XLOOKUP($C32,Aux!$W:$W,Aux!S:S,"-",0)</f>
        <v>3</v>
      </c>
      <c r="I32" s="213">
        <f>+_xlfn.XLOOKUP($C32,Aux!$W:$W,Aux!T:T,"-",0)</f>
        <v>-2</v>
      </c>
      <c r="J32" s="213">
        <f>+_xlfn.XLOOKUP($C32,Aux!$W:$W,Aux!U:U,"-",0)</f>
        <v>3</v>
      </c>
      <c r="K32" s="197">
        <f>+_xlfn.XLOOKUP($C32,Aux!$W:$W,Aux!V:V,"-",0)</f>
        <v>5</v>
      </c>
    </row>
    <row r="33" spans="1:11" x14ac:dyDescent="0.25">
      <c r="A33" s="409">
        <v>32</v>
      </c>
      <c r="B33" s="395" t="s">
        <v>297</v>
      </c>
      <c r="C33" s="215">
        <f>+LARGE(Aux!$W$4:$W$51,A33)</f>
        <v>102.98030000029412</v>
      </c>
      <c r="D33" s="214" t="str">
        <f>+_xlfn.XLOOKUP($C33,Aux!$W:$W,Aux!H:H,"-",0)</f>
        <v>Costa de Marfil</v>
      </c>
      <c r="E33" s="216">
        <f t="shared" si="0"/>
        <v>3</v>
      </c>
      <c r="F33" s="216">
        <f>+_xlfn.XLOOKUP($C33,Aux!$W:$W,Aux!Q:Q,"-",0)</f>
        <v>1</v>
      </c>
      <c r="G33" s="216">
        <f>+_xlfn.XLOOKUP($C33,Aux!$W:$W,Aux!R:R,"-",0)</f>
        <v>0</v>
      </c>
      <c r="H33" s="216">
        <f>+_xlfn.XLOOKUP($C33,Aux!$W:$W,Aux!S:S,"-",0)</f>
        <v>3</v>
      </c>
      <c r="I33" s="216">
        <f>+_xlfn.XLOOKUP($C33,Aux!$W:$W,Aux!T:T,"-",0)</f>
        <v>-2</v>
      </c>
      <c r="J33" s="216">
        <f>+_xlfn.XLOOKUP($C33,Aux!$W:$W,Aux!U:U,"-",0)</f>
        <v>3</v>
      </c>
      <c r="K33" s="217">
        <f>+_xlfn.XLOOKUP($C33,Aux!$W:$W,Aux!V:V,"-",0)</f>
        <v>5</v>
      </c>
    </row>
    <row r="34" spans="1:11" x14ac:dyDescent="0.25">
      <c r="A34" s="410">
        <v>33</v>
      </c>
      <c r="B34" s="396" t="s">
        <v>298</v>
      </c>
      <c r="C34" s="219">
        <f>+LARGE(Aux!$W$4:$W$51,A34)</f>
        <v>2.9902000001538465</v>
      </c>
      <c r="D34" s="218" t="str">
        <f>+_xlfn.XLOOKUP($C34,Aux!$W:$W,Aux!H:H,"-",0)</f>
        <v>Bosnia</v>
      </c>
      <c r="E34" s="220">
        <f t="shared" si="0"/>
        <v>3</v>
      </c>
      <c r="F34" s="220">
        <f>+_xlfn.XLOOKUP($C34,Aux!$W:$W,Aux!Q:Q,"-",0)</f>
        <v>1</v>
      </c>
      <c r="G34" s="220">
        <f>+_xlfn.XLOOKUP($C34,Aux!$W:$W,Aux!R:R,"-",0)</f>
        <v>0</v>
      </c>
      <c r="H34" s="220">
        <f>+_xlfn.XLOOKUP($C34,Aux!$W:$W,Aux!S:S,"-",0)</f>
        <v>2</v>
      </c>
      <c r="I34" s="220">
        <f>+_xlfn.XLOOKUP($C34,Aux!$W:$W,Aux!T:T,"-",0)</f>
        <v>-1</v>
      </c>
      <c r="J34" s="220">
        <f>+_xlfn.XLOOKUP($C34,Aux!$W:$W,Aux!U:U,"-",0)</f>
        <v>2</v>
      </c>
      <c r="K34" s="221">
        <f>+_xlfn.XLOOKUP($C34,Aux!$W:$W,Aux!V:V,"-",0)</f>
        <v>3</v>
      </c>
    </row>
    <row r="35" spans="1:11" x14ac:dyDescent="0.25">
      <c r="A35" s="410">
        <v>34</v>
      </c>
      <c r="B35" s="396" t="s">
        <v>298</v>
      </c>
      <c r="C35" s="219">
        <f>+LARGE(Aux!$W$4:$W$51,A35)</f>
        <v>2.9803000001639348</v>
      </c>
      <c r="D35" s="218" t="str">
        <f>+_xlfn.XLOOKUP($C35,Aux!$W:$W,Aux!H:H,"-",0)</f>
        <v>Arabia Saudita</v>
      </c>
      <c r="E35" s="220">
        <f t="shared" si="0"/>
        <v>3</v>
      </c>
      <c r="F35" s="220">
        <f>+_xlfn.XLOOKUP($C35,Aux!$W:$W,Aux!Q:Q,"-",0)</f>
        <v>1</v>
      </c>
      <c r="G35" s="220">
        <f>+_xlfn.XLOOKUP($C35,Aux!$W:$W,Aux!R:R,"-",0)</f>
        <v>0</v>
      </c>
      <c r="H35" s="220">
        <f>+_xlfn.XLOOKUP($C35,Aux!$W:$W,Aux!S:S,"-",0)</f>
        <v>2</v>
      </c>
      <c r="I35" s="220">
        <f>+_xlfn.XLOOKUP($C35,Aux!$W:$W,Aux!T:T,"-",0)</f>
        <v>-2</v>
      </c>
      <c r="J35" s="220">
        <f>+_xlfn.XLOOKUP($C35,Aux!$W:$W,Aux!U:U,"-",0)</f>
        <v>3</v>
      </c>
      <c r="K35" s="221">
        <f>+_xlfn.XLOOKUP($C35,Aux!$W:$W,Aux!V:V,"-",0)</f>
        <v>5</v>
      </c>
    </row>
    <row r="36" spans="1:11" x14ac:dyDescent="0.25">
      <c r="A36" s="410">
        <v>35</v>
      </c>
      <c r="B36" s="396" t="s">
        <v>298</v>
      </c>
      <c r="C36" s="219">
        <f>+LARGE(Aux!$W$4:$W$51,A36)</f>
        <v>2.9802000002173914</v>
      </c>
      <c r="D36" s="218" t="str">
        <f>+_xlfn.XLOOKUP($C36,Aux!$W:$W,Aux!H:H,"-",0)</f>
        <v>Congo</v>
      </c>
      <c r="E36" s="220">
        <f t="shared" si="0"/>
        <v>3</v>
      </c>
      <c r="F36" s="220">
        <f>+_xlfn.XLOOKUP($C36,Aux!$W:$W,Aux!Q:Q,"-",0)</f>
        <v>1</v>
      </c>
      <c r="G36" s="220">
        <f>+_xlfn.XLOOKUP($C36,Aux!$W:$W,Aux!R:R,"-",0)</f>
        <v>0</v>
      </c>
      <c r="H36" s="220">
        <f>+_xlfn.XLOOKUP($C36,Aux!$W:$W,Aux!S:S,"-",0)</f>
        <v>2</v>
      </c>
      <c r="I36" s="220">
        <f>+_xlfn.XLOOKUP($C36,Aux!$W:$W,Aux!T:T,"-",0)</f>
        <v>-2</v>
      </c>
      <c r="J36" s="220">
        <f>+_xlfn.XLOOKUP($C36,Aux!$W:$W,Aux!U:U,"-",0)</f>
        <v>2</v>
      </c>
      <c r="K36" s="221">
        <f>+_xlfn.XLOOKUP($C36,Aux!$W:$W,Aux!V:V,"-",0)</f>
        <v>4</v>
      </c>
    </row>
    <row r="37" spans="1:11" x14ac:dyDescent="0.25">
      <c r="A37" s="410">
        <v>36</v>
      </c>
      <c r="B37" s="396" t="s">
        <v>298</v>
      </c>
      <c r="C37" s="219">
        <f>+LARGE(Aux!$W$4:$W$51,A37)</f>
        <v>1.9904000003448274</v>
      </c>
      <c r="D37" s="218" t="str">
        <f>+_xlfn.XLOOKUP($C37,Aux!$W:$W,Aux!H:H,"-",0)</f>
        <v>Egipto</v>
      </c>
      <c r="E37" s="220">
        <f t="shared" si="0"/>
        <v>2</v>
      </c>
      <c r="F37" s="220">
        <f>+_xlfn.XLOOKUP($C37,Aux!$W:$W,Aux!Q:Q,"-",0)</f>
        <v>0</v>
      </c>
      <c r="G37" s="220">
        <f>+_xlfn.XLOOKUP($C37,Aux!$W:$W,Aux!R:R,"-",0)</f>
        <v>2</v>
      </c>
      <c r="H37" s="220">
        <f>+_xlfn.XLOOKUP($C37,Aux!$W:$W,Aux!S:S,"-",0)</f>
        <v>1</v>
      </c>
      <c r="I37" s="220">
        <f>+_xlfn.XLOOKUP($C37,Aux!$W:$W,Aux!T:T,"-",0)</f>
        <v>-1</v>
      </c>
      <c r="J37" s="220">
        <f>+_xlfn.XLOOKUP($C37,Aux!$W:$W,Aux!U:U,"-",0)</f>
        <v>4</v>
      </c>
      <c r="K37" s="221">
        <f>+_xlfn.XLOOKUP($C37,Aux!$W:$W,Aux!V:V,"-",0)</f>
        <v>5</v>
      </c>
    </row>
    <row r="38" spans="1:11" x14ac:dyDescent="0.25">
      <c r="A38" s="410">
        <v>37</v>
      </c>
      <c r="B38" s="396" t="s">
        <v>298</v>
      </c>
      <c r="C38" s="219">
        <f>+LARGE(Aux!$W$4:$W$51,A38)</f>
        <v>0.97020000045454535</v>
      </c>
      <c r="D38" s="218" t="str">
        <f>+_xlfn.XLOOKUP($C38,Aux!$W:$W,Aux!H:H,"-",0)</f>
        <v>Turquia</v>
      </c>
      <c r="E38" s="220">
        <f t="shared" si="0"/>
        <v>1</v>
      </c>
      <c r="F38" s="220">
        <f>+_xlfn.XLOOKUP($C38,Aux!$W:$W,Aux!Q:Q,"-",0)</f>
        <v>0</v>
      </c>
      <c r="G38" s="220">
        <f>+_xlfn.XLOOKUP($C38,Aux!$W:$W,Aux!R:R,"-",0)</f>
        <v>1</v>
      </c>
      <c r="H38" s="220">
        <f>+_xlfn.XLOOKUP($C38,Aux!$W:$W,Aux!S:S,"-",0)</f>
        <v>2</v>
      </c>
      <c r="I38" s="220">
        <f>+_xlfn.XLOOKUP($C38,Aux!$W:$W,Aux!T:T,"-",0)</f>
        <v>-3</v>
      </c>
      <c r="J38" s="220">
        <f>+_xlfn.XLOOKUP($C38,Aux!$W:$W,Aux!U:U,"-",0)</f>
        <v>2</v>
      </c>
      <c r="K38" s="221">
        <f>+_xlfn.XLOOKUP($C38,Aux!$W:$W,Aux!V:V,"-",0)</f>
        <v>5</v>
      </c>
    </row>
    <row r="39" spans="1:11" x14ac:dyDescent="0.25">
      <c r="A39" s="410">
        <v>38</v>
      </c>
      <c r="B39" s="396" t="s">
        <v>298</v>
      </c>
      <c r="C39" s="219">
        <f>+LARGE(Aux!$W$4:$W$51,A39)</f>
        <v>0.97020000011764707</v>
      </c>
      <c r="D39" s="218" t="str">
        <f>+_xlfn.XLOOKUP($C39,Aux!$W:$W,Aux!H:H,"-",0)</f>
        <v>Nueva Zelanda</v>
      </c>
      <c r="E39" s="220">
        <f t="shared" si="0"/>
        <v>1</v>
      </c>
      <c r="F39" s="220">
        <f>+_xlfn.XLOOKUP($C39,Aux!$W:$W,Aux!Q:Q,"-",0)</f>
        <v>0</v>
      </c>
      <c r="G39" s="220">
        <f>+_xlfn.XLOOKUP($C39,Aux!$W:$W,Aux!R:R,"-",0)</f>
        <v>1</v>
      </c>
      <c r="H39" s="220">
        <f>+_xlfn.XLOOKUP($C39,Aux!$W:$W,Aux!S:S,"-",0)</f>
        <v>2</v>
      </c>
      <c r="I39" s="220">
        <f>+_xlfn.XLOOKUP($C39,Aux!$W:$W,Aux!T:T,"-",0)</f>
        <v>-3</v>
      </c>
      <c r="J39" s="220">
        <f>+_xlfn.XLOOKUP($C39,Aux!$W:$W,Aux!U:U,"-",0)</f>
        <v>2</v>
      </c>
      <c r="K39" s="221">
        <f>+_xlfn.XLOOKUP($C39,Aux!$W:$W,Aux!V:V,"-",0)</f>
        <v>5</v>
      </c>
    </row>
    <row r="40" spans="1:11" x14ac:dyDescent="0.25">
      <c r="A40" s="410">
        <v>39</v>
      </c>
      <c r="B40" s="396" t="s">
        <v>298</v>
      </c>
      <c r="C40" s="219">
        <f>+LARGE(Aux!$W$4:$W$51,A40)</f>
        <v>-3.9999999600000002E-2</v>
      </c>
      <c r="D40" s="218" t="str">
        <f>+_xlfn.XLOOKUP($C40,Aux!$W:$W,Aux!H:H,"-",0)</f>
        <v>Corea del Sur</v>
      </c>
      <c r="E40" s="220">
        <f t="shared" si="0"/>
        <v>0</v>
      </c>
      <c r="F40" s="220">
        <f>+_xlfn.XLOOKUP($C40,Aux!$W:$W,Aux!Q:Q,"-",0)</f>
        <v>0</v>
      </c>
      <c r="G40" s="220">
        <f>+_xlfn.XLOOKUP($C40,Aux!$W:$W,Aux!R:R,"-",0)</f>
        <v>0</v>
      </c>
      <c r="H40" s="220">
        <f>+_xlfn.XLOOKUP($C40,Aux!$W:$W,Aux!S:S,"-",0)</f>
        <v>3</v>
      </c>
      <c r="I40" s="220">
        <f>+_xlfn.XLOOKUP($C40,Aux!$W:$W,Aux!T:T,"-",0)</f>
        <v>-4</v>
      </c>
      <c r="J40" s="220">
        <f>+_xlfn.XLOOKUP($C40,Aux!$W:$W,Aux!U:U,"-",0)</f>
        <v>0</v>
      </c>
      <c r="K40" s="221">
        <f>+_xlfn.XLOOKUP($C40,Aux!$W:$W,Aux!V:V,"-",0)</f>
        <v>4</v>
      </c>
    </row>
    <row r="41" spans="1:11" x14ac:dyDescent="0.25">
      <c r="A41" s="410">
        <v>40</v>
      </c>
      <c r="B41" s="396" t="s">
        <v>298</v>
      </c>
      <c r="C41" s="219">
        <f>+LARGE(Aux!$W$4:$W$51,A41)</f>
        <v>-4.9799999772727276E-2</v>
      </c>
      <c r="D41" s="218" t="str">
        <f>+_xlfn.XLOOKUP($C41,Aux!$W:$W,Aux!H:H,"-",0)</f>
        <v>Tunez</v>
      </c>
      <c r="E41" s="220">
        <f t="shared" si="0"/>
        <v>0</v>
      </c>
      <c r="F41" s="220">
        <f>+_xlfn.XLOOKUP($C41,Aux!$W:$W,Aux!Q:Q,"-",0)</f>
        <v>0</v>
      </c>
      <c r="G41" s="220">
        <f>+_xlfn.XLOOKUP($C41,Aux!$W:$W,Aux!R:R,"-",0)</f>
        <v>0</v>
      </c>
      <c r="H41" s="220">
        <f>+_xlfn.XLOOKUP($C41,Aux!$W:$W,Aux!S:S,"-",0)</f>
        <v>3</v>
      </c>
      <c r="I41" s="220">
        <f>+_xlfn.XLOOKUP($C41,Aux!$W:$W,Aux!T:T,"-",0)</f>
        <v>-5</v>
      </c>
      <c r="J41" s="220">
        <f>+_xlfn.XLOOKUP($C41,Aux!$W:$W,Aux!U:U,"-",0)</f>
        <v>2</v>
      </c>
      <c r="K41" s="221">
        <f>+_xlfn.XLOOKUP($C41,Aux!$W:$W,Aux!V:V,"-",0)</f>
        <v>7</v>
      </c>
    </row>
    <row r="42" spans="1:11" x14ac:dyDescent="0.25">
      <c r="A42" s="410">
        <v>41</v>
      </c>
      <c r="B42" s="396" t="s">
        <v>298</v>
      </c>
      <c r="C42" s="219">
        <f>+LARGE(Aux!$W$4:$W$51,A42)</f>
        <v>-4.9799999855072469E-2</v>
      </c>
      <c r="D42" s="218" t="str">
        <f>+_xlfn.XLOOKUP($C42,Aux!$W:$W,Aux!H:H,"-",0)</f>
        <v>Cabo Verde</v>
      </c>
      <c r="E42" s="220">
        <f t="shared" si="0"/>
        <v>0</v>
      </c>
      <c r="F42" s="220">
        <f>+_xlfn.XLOOKUP($C42,Aux!$W:$W,Aux!Q:Q,"-",0)</f>
        <v>0</v>
      </c>
      <c r="G42" s="220">
        <f>+_xlfn.XLOOKUP($C42,Aux!$W:$W,Aux!R:R,"-",0)</f>
        <v>0</v>
      </c>
      <c r="H42" s="220">
        <f>+_xlfn.XLOOKUP($C42,Aux!$W:$W,Aux!S:S,"-",0)</f>
        <v>3</v>
      </c>
      <c r="I42" s="220">
        <f>+_xlfn.XLOOKUP($C42,Aux!$W:$W,Aux!T:T,"-",0)</f>
        <v>-5</v>
      </c>
      <c r="J42" s="220">
        <f>+_xlfn.XLOOKUP($C42,Aux!$W:$W,Aux!U:U,"-",0)</f>
        <v>2</v>
      </c>
      <c r="K42" s="221">
        <f>+_xlfn.XLOOKUP($C42,Aux!$W:$W,Aux!V:V,"-",0)</f>
        <v>7</v>
      </c>
    </row>
    <row r="43" spans="1:11" x14ac:dyDescent="0.25">
      <c r="A43" s="410">
        <v>42</v>
      </c>
      <c r="B43" s="396" t="s">
        <v>298</v>
      </c>
      <c r="C43" s="219">
        <f>+LARGE(Aux!$W$4:$W$51,A43)</f>
        <v>-4.9899999696969698E-2</v>
      </c>
      <c r="D43" s="218" t="str">
        <f>+_xlfn.XLOOKUP($C43,Aux!$W:$W,Aux!H:H,"-",0)</f>
        <v>Panama</v>
      </c>
      <c r="E43" s="220">
        <f t="shared" si="0"/>
        <v>0</v>
      </c>
      <c r="F43" s="220">
        <f>+_xlfn.XLOOKUP($C43,Aux!$W:$W,Aux!Q:Q,"-",0)</f>
        <v>0</v>
      </c>
      <c r="G43" s="220">
        <f>+_xlfn.XLOOKUP($C43,Aux!$W:$W,Aux!R:R,"-",0)</f>
        <v>0</v>
      </c>
      <c r="H43" s="220">
        <f>+_xlfn.XLOOKUP($C43,Aux!$W:$W,Aux!S:S,"-",0)</f>
        <v>3</v>
      </c>
      <c r="I43" s="220">
        <f>+_xlfn.XLOOKUP($C43,Aux!$W:$W,Aux!T:T,"-",0)</f>
        <v>-5</v>
      </c>
      <c r="J43" s="220">
        <f>+_xlfn.XLOOKUP($C43,Aux!$W:$W,Aux!U:U,"-",0)</f>
        <v>1</v>
      </c>
      <c r="K43" s="221">
        <f>+_xlfn.XLOOKUP($C43,Aux!$W:$W,Aux!V:V,"-",0)</f>
        <v>6</v>
      </c>
    </row>
    <row r="44" spans="1:11" x14ac:dyDescent="0.25">
      <c r="A44" s="410">
        <v>43</v>
      </c>
      <c r="B44" s="396" t="s">
        <v>298</v>
      </c>
      <c r="C44" s="219">
        <f>+LARGE(Aux!$W$4:$W$51,A44)</f>
        <v>-4.9899999799999997E-2</v>
      </c>
      <c r="D44" s="218" t="str">
        <f>+_xlfn.XLOOKUP($C44,Aux!$W:$W,Aux!H:H,"-",0)</f>
        <v>Uzbekistan</v>
      </c>
      <c r="E44" s="220">
        <f t="shared" si="0"/>
        <v>0</v>
      </c>
      <c r="F44" s="220">
        <f>+_xlfn.XLOOKUP($C44,Aux!$W:$W,Aux!Q:Q,"-",0)</f>
        <v>0</v>
      </c>
      <c r="G44" s="220">
        <f>+_xlfn.XLOOKUP($C44,Aux!$W:$W,Aux!R:R,"-",0)</f>
        <v>0</v>
      </c>
      <c r="H44" s="220">
        <f>+_xlfn.XLOOKUP($C44,Aux!$W:$W,Aux!S:S,"-",0)</f>
        <v>3</v>
      </c>
      <c r="I44" s="220">
        <f>+_xlfn.XLOOKUP($C44,Aux!$W:$W,Aux!T:T,"-",0)</f>
        <v>-5</v>
      </c>
      <c r="J44" s="220">
        <f>+_xlfn.XLOOKUP($C44,Aux!$W:$W,Aux!U:U,"-",0)</f>
        <v>1</v>
      </c>
      <c r="K44" s="221">
        <f>+_xlfn.XLOOKUP($C44,Aux!$W:$W,Aux!V:V,"-",0)</f>
        <v>6</v>
      </c>
    </row>
    <row r="45" spans="1:11" x14ac:dyDescent="0.25">
      <c r="A45" s="410">
        <v>44</v>
      </c>
      <c r="B45" s="396" t="s">
        <v>298</v>
      </c>
      <c r="C45" s="219">
        <f>+LARGE(Aux!$W$4:$W$51,A45)</f>
        <v>-4.9899999824561406E-2</v>
      </c>
      <c r="D45" s="218" t="str">
        <f>+_xlfn.XLOOKUP($C45,Aux!$W:$W,Aux!H:H,"-",0)</f>
        <v>Irak</v>
      </c>
      <c r="E45" s="220">
        <f t="shared" si="0"/>
        <v>0</v>
      </c>
      <c r="F45" s="220">
        <f>+_xlfn.XLOOKUP($C45,Aux!$W:$W,Aux!Q:Q,"-",0)</f>
        <v>0</v>
      </c>
      <c r="G45" s="220">
        <f>+_xlfn.XLOOKUP($C45,Aux!$W:$W,Aux!R:R,"-",0)</f>
        <v>0</v>
      </c>
      <c r="H45" s="220">
        <f>+_xlfn.XLOOKUP($C45,Aux!$W:$W,Aux!S:S,"-",0)</f>
        <v>3</v>
      </c>
      <c r="I45" s="220">
        <f>+_xlfn.XLOOKUP($C45,Aux!$W:$W,Aux!T:T,"-",0)</f>
        <v>-5</v>
      </c>
      <c r="J45" s="220">
        <f>+_xlfn.XLOOKUP($C45,Aux!$W:$W,Aux!U:U,"-",0)</f>
        <v>1</v>
      </c>
      <c r="K45" s="221">
        <f>+_xlfn.XLOOKUP($C45,Aux!$W:$W,Aux!V:V,"-",0)</f>
        <v>6</v>
      </c>
    </row>
    <row r="46" spans="1:11" x14ac:dyDescent="0.25">
      <c r="A46" s="410">
        <v>45</v>
      </c>
      <c r="B46" s="396" t="s">
        <v>298</v>
      </c>
      <c r="C46" s="219">
        <f>+LARGE(Aux!$W$4:$W$51,A46)</f>
        <v>-4.9999999841269842E-2</v>
      </c>
      <c r="D46" s="218" t="str">
        <f>+_xlfn.XLOOKUP($C46,Aux!$W:$W,Aux!H:H,"-",0)</f>
        <v>Jordania</v>
      </c>
      <c r="E46" s="220">
        <f t="shared" si="0"/>
        <v>0</v>
      </c>
      <c r="F46" s="220">
        <f>+_xlfn.XLOOKUP($C46,Aux!$W:$W,Aux!Q:Q,"-",0)</f>
        <v>0</v>
      </c>
      <c r="G46" s="220">
        <f>+_xlfn.XLOOKUP($C46,Aux!$W:$W,Aux!R:R,"-",0)</f>
        <v>0</v>
      </c>
      <c r="H46" s="220">
        <f>+_xlfn.XLOOKUP($C46,Aux!$W:$W,Aux!S:S,"-",0)</f>
        <v>3</v>
      </c>
      <c r="I46" s="220">
        <f>+_xlfn.XLOOKUP($C46,Aux!$W:$W,Aux!T:T,"-",0)</f>
        <v>-5</v>
      </c>
      <c r="J46" s="220">
        <f>+_xlfn.XLOOKUP($C46,Aux!$W:$W,Aux!U:U,"-",0)</f>
        <v>0</v>
      </c>
      <c r="K46" s="221">
        <f>+_xlfn.XLOOKUP($C46,Aux!$W:$W,Aux!V:V,"-",0)</f>
        <v>5</v>
      </c>
    </row>
    <row r="47" spans="1:11" x14ac:dyDescent="0.25">
      <c r="A47" s="410">
        <v>46</v>
      </c>
      <c r="B47" s="396" t="s">
        <v>298</v>
      </c>
      <c r="C47" s="219">
        <f>+LARGE(Aux!$W$4:$W$51,A47)</f>
        <v>-5.9899999818181816E-2</v>
      </c>
      <c r="D47" s="218" t="str">
        <f>+_xlfn.XLOOKUP($C47,Aux!$W:$W,Aux!H:H,"-",0)</f>
        <v>Qatar</v>
      </c>
      <c r="E47" s="220">
        <f t="shared" si="0"/>
        <v>0</v>
      </c>
      <c r="F47" s="220">
        <f>+_xlfn.XLOOKUP($C47,Aux!$W:$W,Aux!Q:Q,"-",0)</f>
        <v>0</v>
      </c>
      <c r="G47" s="220">
        <f>+_xlfn.XLOOKUP($C47,Aux!$W:$W,Aux!R:R,"-",0)</f>
        <v>0</v>
      </c>
      <c r="H47" s="220">
        <f>+_xlfn.XLOOKUP($C47,Aux!$W:$W,Aux!S:S,"-",0)</f>
        <v>3</v>
      </c>
      <c r="I47" s="220">
        <f>+_xlfn.XLOOKUP($C47,Aux!$W:$W,Aux!T:T,"-",0)</f>
        <v>-6</v>
      </c>
      <c r="J47" s="220">
        <f>+_xlfn.XLOOKUP($C47,Aux!$W:$W,Aux!U:U,"-",0)</f>
        <v>1</v>
      </c>
      <c r="K47" s="221">
        <f>+_xlfn.XLOOKUP($C47,Aux!$W:$W,Aux!V:V,"-",0)</f>
        <v>7</v>
      </c>
    </row>
    <row r="48" spans="1:11" x14ac:dyDescent="0.25">
      <c r="A48" s="410">
        <v>47</v>
      </c>
      <c r="B48" s="396" t="s">
        <v>298</v>
      </c>
      <c r="C48" s="219">
        <f>+LARGE(Aux!$W$4:$W$51,A48)</f>
        <v>-7.9999999878048789E-2</v>
      </c>
      <c r="D48" s="218" t="str">
        <f>+_xlfn.XLOOKUP($C48,Aux!$W:$W,Aux!H:H,"-",0)</f>
        <v>Curazao</v>
      </c>
      <c r="E48" s="220">
        <f t="shared" si="0"/>
        <v>0</v>
      </c>
      <c r="F48" s="220">
        <f>+_xlfn.XLOOKUP($C48,Aux!$W:$W,Aux!Q:Q,"-",0)</f>
        <v>0</v>
      </c>
      <c r="G48" s="220">
        <f>+_xlfn.XLOOKUP($C48,Aux!$W:$W,Aux!R:R,"-",0)</f>
        <v>0</v>
      </c>
      <c r="H48" s="220">
        <f>+_xlfn.XLOOKUP($C48,Aux!$W:$W,Aux!S:S,"-",0)</f>
        <v>3</v>
      </c>
      <c r="I48" s="220">
        <f>+_xlfn.XLOOKUP($C48,Aux!$W:$W,Aux!T:T,"-",0)</f>
        <v>-8</v>
      </c>
      <c r="J48" s="220">
        <f>+_xlfn.XLOOKUP($C48,Aux!$W:$W,Aux!U:U,"-",0)</f>
        <v>0</v>
      </c>
      <c r="K48" s="221">
        <f>+_xlfn.XLOOKUP($C48,Aux!$W:$W,Aux!V:V,"-",0)</f>
        <v>8</v>
      </c>
    </row>
    <row r="49" spans="1:11" x14ac:dyDescent="0.25">
      <c r="A49" s="411">
        <v>48</v>
      </c>
      <c r="B49" s="397" t="s">
        <v>298</v>
      </c>
      <c r="C49" s="223">
        <f>+LARGE(Aux!$W$4:$W$51,A49)</f>
        <v>-9.9999999879518076E-2</v>
      </c>
      <c r="D49" s="222" t="str">
        <f>+_xlfn.XLOOKUP($C49,Aux!$W:$W,Aux!H:H,"-",0)</f>
        <v>Haiti</v>
      </c>
      <c r="E49" s="224">
        <f t="shared" si="0"/>
        <v>0</v>
      </c>
      <c r="F49" s="224">
        <f>+_xlfn.XLOOKUP($C49,Aux!$W:$W,Aux!Q:Q,"-",0)</f>
        <v>0</v>
      </c>
      <c r="G49" s="224">
        <f>+_xlfn.XLOOKUP($C49,Aux!$W:$W,Aux!R:R,"-",0)</f>
        <v>0</v>
      </c>
      <c r="H49" s="224">
        <f>+_xlfn.XLOOKUP($C49,Aux!$W:$W,Aux!S:S,"-",0)</f>
        <v>3</v>
      </c>
      <c r="I49" s="224">
        <f>+_xlfn.XLOOKUP($C49,Aux!$W:$W,Aux!T:T,"-",0)</f>
        <v>-10</v>
      </c>
      <c r="J49" s="224">
        <f>+_xlfn.XLOOKUP($C49,Aux!$W:$W,Aux!U:U,"-",0)</f>
        <v>0</v>
      </c>
      <c r="K49" s="225">
        <f>+_xlfn.XLOOKUP($C49,Aux!$W:$W,Aux!V:V,"-",0)</f>
        <v>10</v>
      </c>
    </row>
    <row r="50" spans="1:11" x14ac:dyDescent="0.25">
      <c r="A50" s="398"/>
      <c r="B50" s="389"/>
      <c r="C50" s="163"/>
      <c r="D50" s="164"/>
      <c r="E50" s="163"/>
      <c r="F50" s="163"/>
      <c r="G50" s="163"/>
      <c r="H50" s="163"/>
      <c r="I50" s="163"/>
      <c r="J50" s="163"/>
      <c r="K50" s="165"/>
    </row>
    <row r="51" spans="1:11" x14ac:dyDescent="0.25">
      <c r="A51" s="398"/>
      <c r="B51" s="389"/>
      <c r="C51" s="163"/>
      <c r="D51" s="164"/>
      <c r="E51" s="163"/>
      <c r="F51" s="163"/>
      <c r="G51" s="163"/>
      <c r="H51" s="163"/>
      <c r="I51" s="163"/>
      <c r="J51" s="163"/>
      <c r="K51" s="165"/>
    </row>
    <row r="52" spans="1:11" x14ac:dyDescent="0.25">
      <c r="A52" s="398"/>
      <c r="B52" s="389"/>
      <c r="C52" s="163"/>
      <c r="D52" s="164"/>
      <c r="E52" s="163"/>
      <c r="F52" s="163"/>
      <c r="G52" s="163"/>
      <c r="H52" s="163"/>
      <c r="I52" s="163"/>
      <c r="J52" s="163"/>
      <c r="K52" s="165"/>
    </row>
    <row r="53" spans="1:11" x14ac:dyDescent="0.25">
      <c r="A53" s="398"/>
      <c r="B53" s="389"/>
      <c r="C53" s="163"/>
      <c r="D53" s="164"/>
      <c r="E53" s="163"/>
      <c r="F53" s="163"/>
      <c r="G53" s="163"/>
      <c r="H53" s="163"/>
      <c r="I53" s="163"/>
      <c r="J53" s="163"/>
      <c r="K53" s="165"/>
    </row>
    <row r="54" spans="1:11" x14ac:dyDescent="0.25">
      <c r="A54" s="398"/>
      <c r="B54" s="389"/>
      <c r="C54" s="163"/>
      <c r="D54" s="164"/>
      <c r="E54" s="163"/>
      <c r="F54" s="163"/>
      <c r="G54" s="163"/>
      <c r="H54" s="163"/>
      <c r="I54" s="163"/>
      <c r="J54" s="163"/>
      <c r="K54" s="165"/>
    </row>
    <row r="55" spans="1:11" x14ac:dyDescent="0.25">
      <c r="A55" s="398"/>
      <c r="B55" s="389"/>
      <c r="C55" s="163"/>
      <c r="D55" s="164"/>
      <c r="E55" s="163"/>
      <c r="F55" s="163"/>
      <c r="G55" s="163"/>
      <c r="H55" s="163"/>
      <c r="I55" s="163"/>
      <c r="J55" s="163"/>
      <c r="K55" s="165"/>
    </row>
    <row r="56" spans="1:11" x14ac:dyDescent="0.25">
      <c r="A56" s="398"/>
      <c r="B56" s="389"/>
      <c r="C56" s="163"/>
      <c r="D56" s="164"/>
      <c r="E56" s="163"/>
      <c r="F56" s="163"/>
      <c r="G56" s="163"/>
      <c r="H56" s="163"/>
      <c r="I56" s="163"/>
      <c r="J56" s="163"/>
      <c r="K56" s="165"/>
    </row>
    <row r="57" spans="1:11" x14ac:dyDescent="0.25">
      <c r="A57" s="398"/>
      <c r="B57" s="389"/>
      <c r="C57" s="163"/>
      <c r="D57" s="164"/>
      <c r="E57" s="163"/>
      <c r="F57" s="163"/>
      <c r="G57" s="163"/>
      <c r="H57" s="163"/>
      <c r="I57" s="163"/>
      <c r="J57" s="163"/>
      <c r="K57" s="165"/>
    </row>
    <row r="58" spans="1:11" x14ac:dyDescent="0.25">
      <c r="A58" s="398"/>
      <c r="B58" s="389"/>
      <c r="C58" s="163"/>
      <c r="D58" s="164"/>
      <c r="E58" s="163"/>
      <c r="F58" s="163"/>
      <c r="G58" s="163"/>
      <c r="H58" s="163"/>
      <c r="I58" s="163"/>
      <c r="J58" s="163"/>
      <c r="K58" s="165"/>
    </row>
    <row r="59" spans="1:11" x14ac:dyDescent="0.25">
      <c r="A59" s="398"/>
      <c r="B59" s="389"/>
      <c r="C59" s="163"/>
      <c r="D59" s="164"/>
      <c r="E59" s="163"/>
      <c r="F59" s="163"/>
      <c r="G59" s="163"/>
      <c r="H59" s="163"/>
      <c r="I59" s="163"/>
      <c r="J59" s="163"/>
      <c r="K59" s="165"/>
    </row>
    <row r="60" spans="1:11" x14ac:dyDescent="0.25">
      <c r="A60" s="398"/>
      <c r="B60" s="389"/>
      <c r="C60" s="163"/>
      <c r="D60" s="164"/>
      <c r="E60" s="163"/>
      <c r="F60" s="163"/>
      <c r="G60" s="163"/>
      <c r="H60" s="163"/>
      <c r="I60" s="163"/>
      <c r="J60" s="163"/>
      <c r="K60" s="165"/>
    </row>
    <row r="61" spans="1:11" x14ac:dyDescent="0.25">
      <c r="A61" s="398"/>
      <c r="B61" s="389"/>
      <c r="C61" s="163"/>
      <c r="D61" s="164"/>
      <c r="E61" s="163"/>
      <c r="F61" s="163"/>
      <c r="G61" s="163"/>
      <c r="H61" s="163"/>
      <c r="I61" s="163"/>
      <c r="J61" s="163"/>
      <c r="K61" s="165"/>
    </row>
    <row r="62" spans="1:11" x14ac:dyDescent="0.25">
      <c r="A62" s="398"/>
      <c r="B62" s="389"/>
      <c r="C62" s="163"/>
      <c r="D62" s="164"/>
      <c r="E62" s="163"/>
      <c r="F62" s="163"/>
      <c r="G62" s="163"/>
      <c r="H62" s="163"/>
      <c r="I62" s="163"/>
      <c r="J62" s="163"/>
      <c r="K62" s="165"/>
    </row>
    <row r="63" spans="1:11" x14ac:dyDescent="0.25">
      <c r="A63" s="398"/>
      <c r="B63" s="389"/>
      <c r="C63" s="163"/>
      <c r="D63" s="164"/>
      <c r="E63" s="163"/>
      <c r="F63" s="163"/>
      <c r="G63" s="163"/>
      <c r="H63" s="163"/>
      <c r="I63" s="163"/>
      <c r="J63" s="163"/>
      <c r="K63" s="165"/>
    </row>
    <row r="64" spans="1:11" x14ac:dyDescent="0.25">
      <c r="A64" s="398"/>
      <c r="B64" s="389"/>
      <c r="C64" s="163"/>
      <c r="D64" s="164"/>
      <c r="E64" s="163"/>
      <c r="F64" s="163"/>
      <c r="G64" s="163"/>
      <c r="H64" s="163"/>
      <c r="I64" s="163"/>
      <c r="J64" s="163"/>
      <c r="K64" s="165"/>
    </row>
    <row r="65" spans="1:11" x14ac:dyDescent="0.25">
      <c r="A65" s="398"/>
      <c r="B65" s="389"/>
      <c r="C65" s="163"/>
      <c r="D65" s="164"/>
      <c r="E65" s="163"/>
      <c r="F65" s="163"/>
      <c r="G65" s="163"/>
      <c r="H65" s="163"/>
      <c r="I65" s="163"/>
      <c r="J65" s="163"/>
      <c r="K65" s="165"/>
    </row>
    <row r="66" spans="1:11" x14ac:dyDescent="0.25">
      <c r="A66" s="398"/>
      <c r="B66" s="389"/>
      <c r="C66" s="163"/>
      <c r="D66" s="164"/>
      <c r="E66" s="163"/>
      <c r="F66" s="163"/>
      <c r="G66" s="163"/>
      <c r="H66" s="163"/>
      <c r="I66" s="163"/>
      <c r="J66" s="163"/>
      <c r="K66" s="165"/>
    </row>
    <row r="67" spans="1:11" x14ac:dyDescent="0.25">
      <c r="A67" s="398"/>
      <c r="B67" s="389"/>
      <c r="C67" s="163"/>
      <c r="D67" s="164"/>
      <c r="E67" s="163"/>
      <c r="F67" s="163"/>
      <c r="G67" s="163"/>
      <c r="H67" s="163"/>
      <c r="I67" s="163"/>
      <c r="J67" s="163"/>
      <c r="K67" s="165"/>
    </row>
    <row r="68" spans="1:11" x14ac:dyDescent="0.25">
      <c r="A68" s="398"/>
      <c r="B68" s="389"/>
      <c r="C68" s="163"/>
      <c r="D68" s="164"/>
      <c r="E68" s="163"/>
      <c r="F68" s="163"/>
      <c r="G68" s="163"/>
      <c r="H68" s="163"/>
      <c r="I68" s="163"/>
      <c r="J68" s="163"/>
      <c r="K68" s="165"/>
    </row>
    <row r="69" spans="1:11" x14ac:dyDescent="0.25">
      <c r="A69" s="398"/>
      <c r="B69" s="389"/>
      <c r="C69" s="163"/>
      <c r="D69" s="164"/>
      <c r="E69" s="163"/>
      <c r="F69" s="163"/>
      <c r="G69" s="163"/>
      <c r="H69" s="163"/>
      <c r="I69" s="163"/>
      <c r="J69" s="163"/>
      <c r="K69" s="165"/>
    </row>
    <row r="70" spans="1:11" x14ac:dyDescent="0.25">
      <c r="A70" s="398"/>
      <c r="B70" s="389"/>
      <c r="C70" s="163"/>
      <c r="D70" s="164"/>
      <c r="E70" s="163"/>
      <c r="F70" s="163"/>
      <c r="G70" s="163"/>
      <c r="H70" s="163"/>
      <c r="I70" s="163"/>
      <c r="J70" s="163"/>
      <c r="K70" s="165"/>
    </row>
    <row r="71" spans="1:11" x14ac:dyDescent="0.25">
      <c r="A71" s="398"/>
      <c r="B71" s="389"/>
      <c r="C71" s="163"/>
      <c r="D71" s="164"/>
      <c r="E71" s="163"/>
      <c r="F71" s="163"/>
      <c r="G71" s="163"/>
      <c r="H71" s="163"/>
      <c r="I71" s="163"/>
      <c r="J71" s="163"/>
      <c r="K71" s="165"/>
    </row>
    <row r="72" spans="1:11" x14ac:dyDescent="0.25">
      <c r="A72" s="398"/>
      <c r="B72" s="389"/>
      <c r="C72" s="163"/>
      <c r="D72" s="164"/>
      <c r="E72" s="163"/>
      <c r="F72" s="163"/>
      <c r="G72" s="163"/>
      <c r="H72" s="163"/>
      <c r="I72" s="163"/>
      <c r="J72" s="163"/>
      <c r="K72" s="165"/>
    </row>
    <row r="73" spans="1:11" x14ac:dyDescent="0.25">
      <c r="A73" s="398"/>
      <c r="B73" s="389"/>
      <c r="C73" s="163"/>
      <c r="D73" s="164"/>
      <c r="E73" s="163"/>
      <c r="F73" s="163"/>
      <c r="G73" s="163"/>
      <c r="H73" s="163"/>
      <c r="I73" s="163"/>
      <c r="J73" s="163"/>
      <c r="K73" s="165"/>
    </row>
    <row r="74" spans="1:11" x14ac:dyDescent="0.25">
      <c r="A74" s="398"/>
      <c r="B74" s="389"/>
      <c r="C74" s="163"/>
      <c r="D74" s="164"/>
      <c r="E74" s="163"/>
      <c r="F74" s="163"/>
      <c r="G74" s="163"/>
      <c r="H74" s="163"/>
      <c r="I74" s="163"/>
      <c r="J74" s="163"/>
      <c r="K74" s="165"/>
    </row>
    <row r="75" spans="1:11" x14ac:dyDescent="0.25">
      <c r="A75" s="398"/>
      <c r="B75" s="389"/>
      <c r="C75" s="163"/>
      <c r="D75" s="164"/>
      <c r="E75" s="163"/>
      <c r="F75" s="163"/>
      <c r="G75" s="163"/>
      <c r="H75" s="163"/>
      <c r="I75" s="163"/>
      <c r="J75" s="163"/>
      <c r="K75" s="165"/>
    </row>
    <row r="76" spans="1:11" x14ac:dyDescent="0.25">
      <c r="A76" s="398"/>
      <c r="B76" s="389"/>
      <c r="C76" s="163"/>
      <c r="D76" s="164"/>
      <c r="E76" s="163"/>
      <c r="F76" s="163"/>
      <c r="G76" s="163"/>
      <c r="H76" s="163"/>
      <c r="I76" s="163"/>
      <c r="J76" s="163"/>
      <c r="K76" s="165"/>
    </row>
    <row r="77" spans="1:11" x14ac:dyDescent="0.25">
      <c r="A77" s="398"/>
      <c r="B77" s="389"/>
      <c r="C77" s="163"/>
      <c r="D77" s="164"/>
      <c r="E77" s="163"/>
      <c r="F77" s="163"/>
      <c r="G77" s="163"/>
      <c r="H77" s="163"/>
      <c r="I77" s="163"/>
      <c r="J77" s="163"/>
      <c r="K77" s="165"/>
    </row>
    <row r="78" spans="1:11" x14ac:dyDescent="0.25">
      <c r="A78" s="398"/>
      <c r="B78" s="389"/>
      <c r="C78" s="163"/>
      <c r="D78" s="164"/>
      <c r="E78" s="163"/>
      <c r="F78" s="163"/>
      <c r="G78" s="163"/>
      <c r="H78" s="163"/>
      <c r="I78" s="163"/>
      <c r="J78" s="163"/>
      <c r="K78" s="165"/>
    </row>
    <row r="79" spans="1:11" x14ac:dyDescent="0.25">
      <c r="A79" s="398"/>
      <c r="B79" s="389"/>
      <c r="C79" s="163"/>
      <c r="D79" s="164"/>
      <c r="E79" s="163"/>
      <c r="F79" s="163"/>
      <c r="G79" s="163"/>
      <c r="H79" s="163"/>
      <c r="I79" s="163"/>
      <c r="J79" s="163"/>
      <c r="K79" s="165"/>
    </row>
    <row r="80" spans="1:11" x14ac:dyDescent="0.25">
      <c r="A80" s="398"/>
      <c r="B80" s="389"/>
      <c r="C80" s="163"/>
      <c r="D80" s="164"/>
      <c r="E80" s="163"/>
      <c r="F80" s="163"/>
      <c r="G80" s="163"/>
      <c r="H80" s="163"/>
      <c r="I80" s="163"/>
      <c r="J80" s="163"/>
      <c r="K80" s="165"/>
    </row>
    <row r="81" spans="1:11" x14ac:dyDescent="0.25">
      <c r="A81" s="398"/>
      <c r="B81" s="389"/>
      <c r="C81" s="163"/>
      <c r="D81" s="164"/>
      <c r="E81" s="163"/>
      <c r="F81" s="163"/>
      <c r="G81" s="163"/>
      <c r="H81" s="163"/>
      <c r="I81" s="163"/>
      <c r="J81" s="163"/>
      <c r="K81" s="165"/>
    </row>
    <row r="82" spans="1:11" x14ac:dyDescent="0.25">
      <c r="A82" s="398"/>
      <c r="B82" s="389"/>
      <c r="C82" s="163"/>
      <c r="D82" s="164"/>
      <c r="E82" s="163"/>
      <c r="F82" s="163"/>
      <c r="G82" s="163"/>
      <c r="H82" s="163"/>
      <c r="I82" s="163"/>
      <c r="J82" s="163"/>
      <c r="K82" s="165"/>
    </row>
    <row r="83" spans="1:11" x14ac:dyDescent="0.25">
      <c r="A83" s="398"/>
      <c r="B83" s="389"/>
      <c r="C83" s="163"/>
      <c r="D83" s="164"/>
      <c r="E83" s="163"/>
      <c r="F83" s="163"/>
      <c r="G83" s="163"/>
      <c r="H83" s="163"/>
      <c r="I83" s="163"/>
      <c r="J83" s="163"/>
      <c r="K83" s="165"/>
    </row>
    <row r="84" spans="1:11" x14ac:dyDescent="0.25">
      <c r="A84" s="398"/>
      <c r="B84" s="389"/>
      <c r="C84" s="163"/>
      <c r="D84" s="164"/>
      <c r="E84" s="163"/>
      <c r="F84" s="163"/>
      <c r="G84" s="163"/>
      <c r="H84" s="163"/>
      <c r="I84" s="163"/>
      <c r="J84" s="163"/>
      <c r="K84" s="165"/>
    </row>
    <row r="85" spans="1:11" x14ac:dyDescent="0.25">
      <c r="A85" s="398"/>
      <c r="B85" s="389"/>
      <c r="C85" s="163"/>
      <c r="D85" s="164"/>
      <c r="E85" s="163"/>
      <c r="F85" s="163"/>
      <c r="G85" s="163"/>
      <c r="H85" s="163"/>
      <c r="I85" s="163"/>
      <c r="J85" s="163"/>
      <c r="K85" s="165"/>
    </row>
    <row r="86" spans="1:11" x14ac:dyDescent="0.25">
      <c r="A86" s="398"/>
      <c r="B86" s="389"/>
      <c r="C86" s="163"/>
      <c r="D86" s="164"/>
      <c r="E86" s="163"/>
      <c r="F86" s="163"/>
      <c r="G86" s="163"/>
      <c r="H86" s="163"/>
      <c r="I86" s="163"/>
      <c r="J86" s="163"/>
      <c r="K86" s="165"/>
    </row>
    <row r="87" spans="1:11" x14ac:dyDescent="0.25">
      <c r="A87" s="398"/>
      <c r="B87" s="389"/>
      <c r="C87" s="163"/>
      <c r="D87" s="164"/>
      <c r="E87" s="163"/>
      <c r="F87" s="163"/>
      <c r="G87" s="163"/>
      <c r="H87" s="163"/>
      <c r="I87" s="163"/>
      <c r="J87" s="163"/>
      <c r="K87" s="165"/>
    </row>
    <row r="88" spans="1:11" x14ac:dyDescent="0.25">
      <c r="A88" s="398"/>
      <c r="B88" s="389"/>
      <c r="C88" s="163"/>
      <c r="D88" s="164"/>
      <c r="E88" s="163"/>
      <c r="F88" s="163"/>
      <c r="G88" s="163"/>
      <c r="H88" s="163"/>
      <c r="I88" s="163"/>
      <c r="J88" s="163"/>
      <c r="K88" s="165"/>
    </row>
    <row r="89" spans="1:11" x14ac:dyDescent="0.25">
      <c r="A89" s="398"/>
      <c r="B89" s="389"/>
      <c r="C89" s="163"/>
      <c r="D89" s="164"/>
      <c r="E89" s="163"/>
      <c r="F89" s="163"/>
      <c r="G89" s="163"/>
      <c r="H89" s="163"/>
      <c r="I89" s="163"/>
      <c r="J89" s="163"/>
      <c r="K89" s="165"/>
    </row>
    <row r="90" spans="1:11" x14ac:dyDescent="0.25">
      <c r="A90" s="398"/>
      <c r="B90" s="389"/>
      <c r="C90" s="163"/>
      <c r="D90" s="164"/>
      <c r="E90" s="163"/>
      <c r="F90" s="163"/>
      <c r="G90" s="163"/>
      <c r="H90" s="163"/>
      <c r="I90" s="163"/>
      <c r="J90" s="163"/>
      <c r="K90" s="165"/>
    </row>
    <row r="91" spans="1:11" x14ac:dyDescent="0.25">
      <c r="A91" s="398"/>
      <c r="B91" s="389"/>
      <c r="C91" s="163"/>
      <c r="D91" s="164"/>
      <c r="E91" s="163"/>
      <c r="F91" s="163"/>
      <c r="G91" s="163"/>
      <c r="H91" s="163"/>
      <c r="I91" s="163"/>
      <c r="J91" s="163"/>
      <c r="K91" s="165"/>
    </row>
    <row r="92" spans="1:11" x14ac:dyDescent="0.25">
      <c r="A92" s="398"/>
      <c r="B92" s="389"/>
      <c r="C92" s="163"/>
      <c r="D92" s="164"/>
      <c r="E92" s="163"/>
      <c r="F92" s="163"/>
      <c r="G92" s="163"/>
      <c r="H92" s="163"/>
      <c r="I92" s="163"/>
      <c r="J92" s="163"/>
      <c r="K92" s="165"/>
    </row>
    <row r="93" spans="1:11" x14ac:dyDescent="0.25">
      <c r="A93" s="398"/>
      <c r="B93" s="389"/>
      <c r="C93" s="163"/>
      <c r="D93" s="164"/>
      <c r="E93" s="163"/>
      <c r="F93" s="163"/>
      <c r="G93" s="163"/>
      <c r="H93" s="163"/>
      <c r="I93" s="163"/>
      <c r="J93" s="163"/>
      <c r="K93" s="165"/>
    </row>
    <row r="94" spans="1:11" x14ac:dyDescent="0.25">
      <c r="A94" s="398"/>
      <c r="B94" s="389"/>
      <c r="C94" s="163"/>
      <c r="D94" s="164"/>
      <c r="E94" s="163"/>
      <c r="F94" s="163"/>
      <c r="G94" s="163"/>
      <c r="H94" s="163"/>
      <c r="I94" s="163"/>
      <c r="J94" s="163"/>
      <c r="K94" s="165"/>
    </row>
    <row r="95" spans="1:11" x14ac:dyDescent="0.25">
      <c r="A95" s="398"/>
      <c r="B95" s="389"/>
      <c r="C95" s="163"/>
      <c r="D95" s="164"/>
      <c r="E95" s="163"/>
      <c r="F95" s="163"/>
      <c r="G95" s="163"/>
      <c r="H95" s="163"/>
      <c r="I95" s="163"/>
      <c r="J95" s="163"/>
      <c r="K95" s="165"/>
    </row>
    <row r="96" spans="1:11" x14ac:dyDescent="0.25">
      <c r="A96" s="398"/>
      <c r="B96" s="389"/>
      <c r="C96" s="163"/>
      <c r="D96" s="164"/>
      <c r="E96" s="163"/>
      <c r="F96" s="163"/>
      <c r="G96" s="163"/>
      <c r="H96" s="163"/>
      <c r="I96" s="163"/>
      <c r="J96" s="163"/>
      <c r="K96" s="165"/>
    </row>
    <row r="97" spans="1:11" x14ac:dyDescent="0.25">
      <c r="A97" s="398"/>
      <c r="B97" s="389"/>
      <c r="C97" s="163"/>
      <c r="D97" s="164"/>
      <c r="E97" s="163"/>
      <c r="F97" s="163"/>
      <c r="G97" s="163"/>
      <c r="H97" s="163"/>
      <c r="I97" s="163"/>
      <c r="J97" s="163"/>
      <c r="K97" s="165"/>
    </row>
    <row r="98" spans="1:11" x14ac:dyDescent="0.25">
      <c r="A98" s="398"/>
      <c r="B98" s="389"/>
      <c r="C98" s="163"/>
      <c r="D98" s="164"/>
      <c r="E98" s="163"/>
      <c r="F98" s="163"/>
      <c r="G98" s="163"/>
      <c r="H98" s="163"/>
      <c r="I98" s="163"/>
      <c r="J98" s="163"/>
      <c r="K98" s="165"/>
    </row>
    <row r="99" spans="1:11" x14ac:dyDescent="0.25">
      <c r="A99" s="398"/>
      <c r="B99" s="389"/>
      <c r="C99" s="163"/>
      <c r="D99" s="164"/>
      <c r="E99" s="163"/>
      <c r="F99" s="163"/>
      <c r="G99" s="163"/>
      <c r="H99" s="163"/>
      <c r="I99" s="163"/>
      <c r="J99" s="163"/>
      <c r="K99" s="165"/>
    </row>
    <row r="100" spans="1:11" x14ac:dyDescent="0.25">
      <c r="A100" s="398"/>
      <c r="B100" s="389"/>
      <c r="C100" s="163"/>
      <c r="D100" s="164"/>
      <c r="E100" s="163"/>
      <c r="F100" s="163"/>
      <c r="G100" s="163"/>
      <c r="H100" s="163"/>
      <c r="I100" s="163"/>
      <c r="J100" s="163"/>
      <c r="K100" s="165"/>
    </row>
    <row r="101" spans="1:11" x14ac:dyDescent="0.25">
      <c r="A101" s="398"/>
      <c r="B101" s="389"/>
      <c r="C101" s="163"/>
      <c r="D101" s="164"/>
      <c r="E101" s="163"/>
      <c r="F101" s="163"/>
      <c r="G101" s="163"/>
      <c r="H101" s="163"/>
      <c r="I101" s="163"/>
      <c r="J101" s="163"/>
      <c r="K101" s="165"/>
    </row>
    <row r="102" spans="1:11" x14ac:dyDescent="0.25">
      <c r="A102" s="398"/>
      <c r="B102" s="389"/>
      <c r="C102" s="163"/>
      <c r="D102" s="164"/>
      <c r="E102" s="163"/>
      <c r="F102" s="163"/>
      <c r="G102" s="163"/>
      <c r="H102" s="163"/>
      <c r="I102" s="163"/>
      <c r="J102" s="163"/>
      <c r="K102" s="165"/>
    </row>
    <row r="103" spans="1:11" x14ac:dyDescent="0.25">
      <c r="A103" s="398"/>
      <c r="B103" s="389"/>
      <c r="C103" s="163"/>
      <c r="D103" s="164"/>
      <c r="E103" s="163"/>
      <c r="F103" s="163"/>
      <c r="G103" s="163"/>
      <c r="H103" s="163"/>
      <c r="I103" s="163"/>
      <c r="J103" s="163"/>
      <c r="K103" s="165"/>
    </row>
    <row r="104" spans="1:11" x14ac:dyDescent="0.25">
      <c r="A104" s="398"/>
      <c r="B104" s="389"/>
      <c r="C104" s="163"/>
      <c r="D104" s="164"/>
      <c r="E104" s="163"/>
      <c r="F104" s="163"/>
      <c r="G104" s="163"/>
      <c r="H104" s="163"/>
      <c r="I104" s="163"/>
      <c r="J104" s="163"/>
      <c r="K104" s="165"/>
    </row>
    <row r="105" spans="1:11" x14ac:dyDescent="0.25">
      <c r="A105" s="398"/>
      <c r="B105" s="389"/>
      <c r="C105" s="163"/>
      <c r="D105" s="164"/>
      <c r="E105" s="163"/>
      <c r="F105" s="163"/>
      <c r="G105" s="163"/>
      <c r="H105" s="163"/>
      <c r="I105" s="163"/>
      <c r="J105" s="163"/>
      <c r="K105" s="165"/>
    </row>
    <row r="106" spans="1:11" x14ac:dyDescent="0.25">
      <c r="A106" s="398"/>
      <c r="B106" s="389"/>
      <c r="C106" s="163"/>
      <c r="D106" s="164"/>
      <c r="E106" s="163"/>
      <c r="F106" s="163"/>
      <c r="G106" s="163"/>
      <c r="H106" s="163"/>
      <c r="I106" s="163"/>
      <c r="J106" s="163"/>
      <c r="K106" s="165"/>
    </row>
    <row r="107" spans="1:11" x14ac:dyDescent="0.25">
      <c r="A107" s="398"/>
      <c r="B107" s="389"/>
      <c r="C107" s="163"/>
      <c r="D107" s="164"/>
      <c r="E107" s="163"/>
      <c r="F107" s="163"/>
      <c r="G107" s="163"/>
      <c r="H107" s="163"/>
      <c r="I107" s="163"/>
      <c r="J107" s="163"/>
      <c r="K107" s="165"/>
    </row>
    <row r="108" spans="1:11" x14ac:dyDescent="0.25">
      <c r="A108" s="398"/>
      <c r="B108" s="389"/>
      <c r="C108" s="163"/>
      <c r="D108" s="164"/>
      <c r="E108" s="163"/>
      <c r="F108" s="163"/>
      <c r="G108" s="163"/>
      <c r="H108" s="163"/>
      <c r="I108" s="163"/>
      <c r="J108" s="163"/>
      <c r="K108" s="165"/>
    </row>
    <row r="109" spans="1:11" x14ac:dyDescent="0.25">
      <c r="A109" s="398"/>
      <c r="B109" s="389"/>
      <c r="C109" s="163"/>
      <c r="D109" s="164"/>
      <c r="E109" s="163"/>
      <c r="F109" s="163"/>
      <c r="G109" s="163"/>
      <c r="H109" s="163"/>
      <c r="I109" s="163"/>
      <c r="J109" s="163"/>
      <c r="K109" s="165"/>
    </row>
    <row r="110" spans="1:11" x14ac:dyDescent="0.25">
      <c r="A110" s="398"/>
      <c r="B110" s="389"/>
      <c r="C110" s="163"/>
      <c r="D110" s="164"/>
      <c r="E110" s="163"/>
      <c r="F110" s="163"/>
      <c r="G110" s="163"/>
      <c r="H110" s="163"/>
      <c r="I110" s="163"/>
      <c r="J110" s="163"/>
      <c r="K110" s="165"/>
    </row>
    <row r="111" spans="1:11" x14ac:dyDescent="0.25">
      <c r="A111" s="398"/>
      <c r="B111" s="389"/>
      <c r="C111" s="163"/>
      <c r="D111" s="164"/>
      <c r="E111" s="163"/>
      <c r="F111" s="163"/>
      <c r="G111" s="163"/>
      <c r="H111" s="163"/>
      <c r="I111" s="163"/>
      <c r="J111" s="163"/>
      <c r="K111" s="165"/>
    </row>
    <row r="112" spans="1:11" x14ac:dyDescent="0.25">
      <c r="A112" s="398"/>
      <c r="B112" s="389"/>
      <c r="C112" s="163"/>
      <c r="D112" s="164"/>
      <c r="E112" s="163"/>
      <c r="F112" s="163"/>
      <c r="G112" s="163"/>
      <c r="H112" s="163"/>
      <c r="I112" s="163"/>
      <c r="J112" s="163"/>
      <c r="K112" s="165"/>
    </row>
    <row r="113" spans="1:11" x14ac:dyDescent="0.25">
      <c r="A113" s="398"/>
      <c r="B113" s="389"/>
      <c r="C113" s="163"/>
      <c r="D113" s="164"/>
      <c r="E113" s="163"/>
      <c r="F113" s="163"/>
      <c r="G113" s="163"/>
      <c r="H113" s="163"/>
      <c r="I113" s="163"/>
      <c r="J113" s="163"/>
      <c r="K113" s="165"/>
    </row>
    <row r="114" spans="1:11" x14ac:dyDescent="0.25">
      <c r="A114" s="398"/>
      <c r="B114" s="389"/>
      <c r="C114" s="163"/>
      <c r="D114" s="164"/>
      <c r="E114" s="163"/>
      <c r="F114" s="163"/>
      <c r="G114" s="163"/>
      <c r="H114" s="163"/>
      <c r="I114" s="163"/>
      <c r="J114" s="163"/>
      <c r="K114" s="165"/>
    </row>
    <row r="115" spans="1:11" x14ac:dyDescent="0.25">
      <c r="A115" s="398"/>
      <c r="B115" s="389"/>
      <c r="C115" s="163"/>
      <c r="D115" s="164"/>
      <c r="E115" s="163"/>
      <c r="F115" s="163"/>
      <c r="G115" s="163"/>
      <c r="H115" s="163"/>
      <c r="I115" s="163"/>
      <c r="J115" s="163"/>
      <c r="K115" s="165"/>
    </row>
    <row r="116" spans="1:11" x14ac:dyDescent="0.25">
      <c r="A116" s="398"/>
      <c r="B116" s="389"/>
      <c r="C116" s="163"/>
      <c r="D116" s="164"/>
      <c r="E116" s="163"/>
      <c r="F116" s="163"/>
      <c r="G116" s="163"/>
      <c r="H116" s="163"/>
      <c r="I116" s="163"/>
      <c r="J116" s="163"/>
      <c r="K116" s="165"/>
    </row>
    <row r="117" spans="1:11" x14ac:dyDescent="0.25">
      <c r="A117" s="398"/>
      <c r="B117" s="389"/>
      <c r="C117" s="163"/>
      <c r="D117" s="164"/>
      <c r="E117" s="163"/>
      <c r="F117" s="163"/>
      <c r="G117" s="163"/>
      <c r="H117" s="163"/>
      <c r="I117" s="163"/>
      <c r="J117" s="163"/>
      <c r="K117" s="165"/>
    </row>
    <row r="118" spans="1:11" x14ac:dyDescent="0.25">
      <c r="A118" s="398"/>
      <c r="B118" s="389"/>
      <c r="C118" s="163"/>
      <c r="D118" s="164"/>
      <c r="E118" s="163"/>
      <c r="F118" s="163"/>
      <c r="G118" s="163"/>
      <c r="H118" s="163"/>
      <c r="I118" s="163"/>
      <c r="J118" s="163"/>
      <c r="K118" s="165"/>
    </row>
    <row r="119" spans="1:11" x14ac:dyDescent="0.25">
      <c r="A119" s="398"/>
      <c r="B119" s="389"/>
      <c r="C119" s="163"/>
      <c r="D119" s="164"/>
      <c r="E119" s="163"/>
      <c r="F119" s="163"/>
      <c r="G119" s="163"/>
      <c r="H119" s="163"/>
      <c r="I119" s="163"/>
      <c r="J119" s="163"/>
      <c r="K119" s="165"/>
    </row>
    <row r="120" spans="1:11" x14ac:dyDescent="0.25">
      <c r="A120" s="398"/>
      <c r="B120" s="389"/>
      <c r="C120" s="163"/>
      <c r="D120" s="164"/>
      <c r="E120" s="163"/>
      <c r="F120" s="163"/>
      <c r="G120" s="163"/>
      <c r="H120" s="163"/>
      <c r="I120" s="163"/>
      <c r="J120" s="163"/>
      <c r="K120" s="165"/>
    </row>
    <row r="121" spans="1:11" x14ac:dyDescent="0.25">
      <c r="A121" s="398"/>
      <c r="B121" s="389"/>
      <c r="C121" s="163"/>
      <c r="D121" s="164"/>
      <c r="E121" s="163"/>
      <c r="F121" s="163"/>
      <c r="G121" s="163"/>
      <c r="H121" s="163"/>
      <c r="I121" s="163"/>
      <c r="J121" s="163"/>
      <c r="K121" s="165"/>
    </row>
    <row r="122" spans="1:11" x14ac:dyDescent="0.25">
      <c r="A122" s="398"/>
      <c r="B122" s="389"/>
      <c r="C122" s="163"/>
      <c r="D122" s="164"/>
      <c r="E122" s="163"/>
      <c r="F122" s="163"/>
      <c r="G122" s="163"/>
      <c r="H122" s="163"/>
      <c r="I122" s="163"/>
      <c r="J122" s="163"/>
      <c r="K122" s="165"/>
    </row>
    <row r="123" spans="1:11" x14ac:dyDescent="0.25">
      <c r="A123" s="398"/>
      <c r="B123" s="389"/>
      <c r="C123" s="163"/>
      <c r="D123" s="164"/>
      <c r="E123" s="163"/>
      <c r="F123" s="163"/>
      <c r="G123" s="163"/>
      <c r="H123" s="163"/>
      <c r="I123" s="163"/>
      <c r="J123" s="163"/>
      <c r="K123" s="165"/>
    </row>
    <row r="124" spans="1:11" x14ac:dyDescent="0.25">
      <c r="A124" s="398"/>
      <c r="B124" s="389"/>
      <c r="C124" s="163"/>
      <c r="D124" s="164"/>
      <c r="E124" s="163"/>
      <c r="F124" s="163"/>
      <c r="G124" s="163"/>
      <c r="H124" s="163"/>
      <c r="I124" s="163"/>
      <c r="J124" s="163"/>
      <c r="K124" s="165"/>
    </row>
    <row r="125" spans="1:11" x14ac:dyDescent="0.25">
      <c r="A125" s="398"/>
      <c r="B125" s="389"/>
      <c r="C125" s="163"/>
      <c r="D125" s="164"/>
      <c r="E125" s="163"/>
      <c r="F125" s="163"/>
      <c r="G125" s="163"/>
      <c r="H125" s="163"/>
      <c r="I125" s="163"/>
      <c r="J125" s="163"/>
      <c r="K125" s="165"/>
    </row>
    <row r="126" spans="1:11" x14ac:dyDescent="0.25">
      <c r="A126" s="398"/>
      <c r="B126" s="389"/>
      <c r="C126" s="163"/>
      <c r="D126" s="164"/>
      <c r="E126" s="163"/>
      <c r="F126" s="163"/>
      <c r="G126" s="163"/>
      <c r="H126" s="163"/>
      <c r="I126" s="163"/>
      <c r="J126" s="163"/>
      <c r="K126" s="165"/>
    </row>
    <row r="127" spans="1:11" x14ac:dyDescent="0.25">
      <c r="A127" s="398"/>
      <c r="B127" s="389"/>
      <c r="C127" s="163"/>
      <c r="D127" s="164"/>
      <c r="E127" s="163"/>
      <c r="F127" s="163"/>
      <c r="G127" s="163"/>
      <c r="H127" s="163"/>
      <c r="I127" s="163"/>
      <c r="J127" s="163"/>
      <c r="K127" s="165"/>
    </row>
    <row r="128" spans="1:11" x14ac:dyDescent="0.25">
      <c r="A128" s="398"/>
      <c r="B128" s="389"/>
      <c r="C128" s="163"/>
      <c r="D128" s="164"/>
      <c r="E128" s="163"/>
      <c r="F128" s="163"/>
      <c r="G128" s="163"/>
      <c r="H128" s="163"/>
      <c r="I128" s="163"/>
      <c r="J128" s="163"/>
      <c r="K128" s="165"/>
    </row>
    <row r="129" spans="1:11" x14ac:dyDescent="0.25">
      <c r="A129" s="398"/>
      <c r="B129" s="389"/>
      <c r="C129" s="163"/>
      <c r="D129" s="164"/>
      <c r="E129" s="163"/>
      <c r="F129" s="163"/>
      <c r="G129" s="163"/>
      <c r="H129" s="163"/>
      <c r="I129" s="163"/>
      <c r="J129" s="163"/>
      <c r="K129" s="165"/>
    </row>
    <row r="130" spans="1:11" x14ac:dyDescent="0.25">
      <c r="A130" s="398"/>
      <c r="B130" s="389"/>
      <c r="C130" s="163"/>
      <c r="D130" s="164"/>
      <c r="E130" s="163"/>
      <c r="F130" s="163"/>
      <c r="G130" s="163"/>
      <c r="H130" s="163"/>
      <c r="I130" s="163"/>
      <c r="J130" s="163"/>
      <c r="K130" s="165"/>
    </row>
    <row r="131" spans="1:11" x14ac:dyDescent="0.25">
      <c r="A131" s="398"/>
      <c r="B131" s="389"/>
      <c r="C131" s="163"/>
      <c r="D131" s="164"/>
      <c r="E131" s="163"/>
      <c r="F131" s="163"/>
      <c r="G131" s="163"/>
      <c r="H131" s="163"/>
      <c r="I131" s="163"/>
      <c r="J131" s="163"/>
      <c r="K131" s="165"/>
    </row>
    <row r="132" spans="1:11" x14ac:dyDescent="0.25">
      <c r="A132" s="398"/>
      <c r="B132" s="389"/>
      <c r="C132" s="163"/>
      <c r="D132" s="164"/>
      <c r="E132" s="163"/>
      <c r="F132" s="163"/>
      <c r="G132" s="163"/>
      <c r="H132" s="163"/>
      <c r="I132" s="163"/>
      <c r="J132" s="163"/>
      <c r="K132" s="165"/>
    </row>
    <row r="133" spans="1:11" x14ac:dyDescent="0.25">
      <c r="A133" s="398"/>
      <c r="B133" s="389"/>
      <c r="C133" s="163"/>
      <c r="D133" s="164"/>
      <c r="E133" s="163"/>
      <c r="F133" s="163"/>
      <c r="G133" s="163"/>
      <c r="H133" s="163"/>
      <c r="I133" s="163"/>
      <c r="J133" s="163"/>
      <c r="K133" s="165"/>
    </row>
    <row r="134" spans="1:11" x14ac:dyDescent="0.25">
      <c r="A134" s="398"/>
      <c r="B134" s="389"/>
      <c r="C134" s="163"/>
      <c r="D134" s="164"/>
      <c r="E134" s="163"/>
      <c r="F134" s="163"/>
      <c r="G134" s="163"/>
      <c r="H134" s="163"/>
      <c r="I134" s="163"/>
      <c r="J134" s="163"/>
      <c r="K134" s="165"/>
    </row>
    <row r="135" spans="1:11" x14ac:dyDescent="0.25">
      <c r="A135" s="398"/>
      <c r="B135" s="389"/>
      <c r="C135" s="163"/>
      <c r="D135" s="164"/>
      <c r="E135" s="163"/>
      <c r="F135" s="163"/>
      <c r="G135" s="163"/>
      <c r="H135" s="163"/>
      <c r="I135" s="163"/>
      <c r="J135" s="163"/>
      <c r="K135" s="165"/>
    </row>
    <row r="136" spans="1:11" x14ac:dyDescent="0.25">
      <c r="A136" s="398"/>
      <c r="B136" s="389"/>
      <c r="C136" s="163"/>
      <c r="D136" s="164"/>
      <c r="E136" s="163"/>
      <c r="F136" s="163"/>
      <c r="G136" s="163"/>
      <c r="H136" s="163"/>
      <c r="I136" s="163"/>
      <c r="J136" s="163"/>
      <c r="K136" s="165"/>
    </row>
    <row r="137" spans="1:11" x14ac:dyDescent="0.25">
      <c r="A137" s="398"/>
      <c r="B137" s="389"/>
      <c r="C137" s="163"/>
      <c r="D137" s="164"/>
      <c r="E137" s="163"/>
      <c r="F137" s="163"/>
      <c r="G137" s="163"/>
      <c r="H137" s="163"/>
      <c r="I137" s="163"/>
      <c r="J137" s="163"/>
      <c r="K137" s="165"/>
    </row>
    <row r="138" spans="1:11" x14ac:dyDescent="0.25">
      <c r="A138" s="398"/>
      <c r="B138" s="389"/>
      <c r="C138" s="163"/>
      <c r="D138" s="164"/>
      <c r="E138" s="163"/>
      <c r="F138" s="163"/>
      <c r="G138" s="163"/>
      <c r="H138" s="163"/>
      <c r="I138" s="163"/>
      <c r="J138" s="163"/>
      <c r="K138" s="165"/>
    </row>
    <row r="139" spans="1:11" x14ac:dyDescent="0.25">
      <c r="A139" s="398"/>
      <c r="B139" s="389"/>
      <c r="C139" s="163"/>
      <c r="D139" s="164"/>
      <c r="E139" s="163"/>
      <c r="F139" s="163"/>
      <c r="G139" s="163"/>
      <c r="H139" s="163"/>
      <c r="I139" s="163"/>
      <c r="J139" s="163"/>
      <c r="K139" s="165"/>
    </row>
    <row r="140" spans="1:11" x14ac:dyDescent="0.25">
      <c r="A140" s="398"/>
      <c r="B140" s="389"/>
      <c r="C140" s="163"/>
      <c r="D140" s="164"/>
      <c r="E140" s="163"/>
      <c r="F140" s="163"/>
      <c r="G140" s="163"/>
      <c r="H140" s="163"/>
      <c r="I140" s="163"/>
      <c r="J140" s="163"/>
      <c r="K140" s="165"/>
    </row>
    <row r="141" spans="1:11" x14ac:dyDescent="0.25">
      <c r="A141" s="398"/>
      <c r="B141" s="389"/>
      <c r="C141" s="163"/>
      <c r="D141" s="164"/>
      <c r="E141" s="163"/>
      <c r="F141" s="163"/>
      <c r="G141" s="163"/>
      <c r="H141" s="163"/>
      <c r="I141" s="163"/>
      <c r="J141" s="163"/>
      <c r="K141" s="165"/>
    </row>
    <row r="142" spans="1:11" x14ac:dyDescent="0.25">
      <c r="A142" s="398"/>
      <c r="B142" s="389"/>
      <c r="C142" s="163"/>
      <c r="D142" s="164"/>
      <c r="E142" s="163"/>
      <c r="F142" s="163"/>
      <c r="G142" s="163"/>
      <c r="H142" s="163"/>
      <c r="I142" s="163"/>
      <c r="J142" s="163"/>
      <c r="K142" s="165"/>
    </row>
    <row r="143" spans="1:11" x14ac:dyDescent="0.25">
      <c r="A143" s="398"/>
      <c r="B143" s="389"/>
      <c r="C143" s="163"/>
      <c r="D143" s="164"/>
      <c r="E143" s="163"/>
      <c r="F143" s="163"/>
      <c r="G143" s="163"/>
      <c r="H143" s="163"/>
      <c r="I143" s="163"/>
      <c r="J143" s="163"/>
      <c r="K143" s="165"/>
    </row>
    <row r="144" spans="1:11" x14ac:dyDescent="0.25">
      <c r="A144" s="398"/>
      <c r="B144" s="389"/>
      <c r="C144" s="163"/>
      <c r="D144" s="164"/>
      <c r="E144" s="163"/>
      <c r="F144" s="163"/>
      <c r="G144" s="163"/>
      <c r="H144" s="163"/>
      <c r="I144" s="163"/>
      <c r="J144" s="163"/>
      <c r="K144" s="165"/>
    </row>
    <row r="145" spans="1:11" x14ac:dyDescent="0.25">
      <c r="A145" s="398"/>
      <c r="B145" s="389"/>
      <c r="C145" s="163"/>
      <c r="D145" s="164"/>
      <c r="E145" s="163"/>
      <c r="F145" s="163"/>
      <c r="G145" s="163"/>
      <c r="H145" s="163"/>
      <c r="I145" s="163"/>
      <c r="J145" s="163"/>
      <c r="K145" s="165"/>
    </row>
    <row r="146" spans="1:11" x14ac:dyDescent="0.25">
      <c r="A146" s="398"/>
      <c r="B146" s="389"/>
      <c r="C146" s="163"/>
      <c r="D146" s="164"/>
      <c r="E146" s="163"/>
      <c r="F146" s="163"/>
      <c r="G146" s="163"/>
      <c r="H146" s="163"/>
      <c r="I146" s="163"/>
      <c r="J146" s="163"/>
      <c r="K146" s="165"/>
    </row>
    <row r="147" spans="1:11" x14ac:dyDescent="0.25">
      <c r="A147" s="398"/>
      <c r="B147" s="389"/>
      <c r="C147" s="163"/>
      <c r="D147" s="164"/>
      <c r="E147" s="163"/>
      <c r="F147" s="163"/>
      <c r="G147" s="163"/>
      <c r="H147" s="163"/>
      <c r="I147" s="163"/>
      <c r="J147" s="163"/>
      <c r="K147" s="165"/>
    </row>
    <row r="148" spans="1:11" x14ac:dyDescent="0.25">
      <c r="A148" s="398"/>
      <c r="B148" s="389"/>
      <c r="C148" s="163"/>
      <c r="D148" s="164"/>
      <c r="E148" s="163"/>
      <c r="F148" s="163"/>
      <c r="G148" s="163"/>
      <c r="H148" s="163"/>
      <c r="I148" s="163"/>
      <c r="J148" s="163"/>
      <c r="K148" s="165"/>
    </row>
    <row r="149" spans="1:11" x14ac:dyDescent="0.25">
      <c r="A149" s="398"/>
      <c r="B149" s="389"/>
      <c r="C149" s="163"/>
      <c r="D149" s="164"/>
      <c r="E149" s="163"/>
      <c r="F149" s="163"/>
      <c r="G149" s="163"/>
      <c r="H149" s="163"/>
      <c r="I149" s="163"/>
      <c r="J149" s="163"/>
      <c r="K149" s="165"/>
    </row>
    <row r="150" spans="1:11" x14ac:dyDescent="0.25">
      <c r="A150" s="398"/>
      <c r="B150" s="389"/>
      <c r="C150" s="163"/>
      <c r="D150" s="164"/>
      <c r="E150" s="163"/>
      <c r="F150" s="163"/>
      <c r="G150" s="163"/>
      <c r="H150" s="163"/>
      <c r="I150" s="163"/>
      <c r="J150" s="163"/>
      <c r="K150" s="165"/>
    </row>
    <row r="151" spans="1:11" x14ac:dyDescent="0.25">
      <c r="A151" s="398"/>
      <c r="B151" s="389"/>
      <c r="C151" s="163"/>
      <c r="D151" s="164"/>
      <c r="E151" s="163"/>
      <c r="F151" s="163"/>
      <c r="G151" s="163"/>
      <c r="H151" s="163"/>
      <c r="I151" s="163"/>
      <c r="J151" s="163"/>
      <c r="K151" s="165"/>
    </row>
    <row r="152" spans="1:11" x14ac:dyDescent="0.25">
      <c r="A152" s="398"/>
      <c r="B152" s="389"/>
      <c r="C152" s="163"/>
      <c r="D152" s="164"/>
      <c r="E152" s="163"/>
      <c r="F152" s="163"/>
      <c r="G152" s="163"/>
      <c r="H152" s="163"/>
      <c r="I152" s="163"/>
      <c r="J152" s="163"/>
      <c r="K152" s="165"/>
    </row>
    <row r="153" spans="1:11" x14ac:dyDescent="0.25">
      <c r="A153" s="398"/>
      <c r="B153" s="389"/>
      <c r="C153" s="163"/>
      <c r="D153" s="164"/>
      <c r="E153" s="163"/>
      <c r="F153" s="163"/>
      <c r="G153" s="163"/>
      <c r="H153" s="163"/>
      <c r="I153" s="163"/>
      <c r="J153" s="163"/>
      <c r="K153" s="165"/>
    </row>
    <row r="154" spans="1:11" x14ac:dyDescent="0.25">
      <c r="A154" s="398"/>
      <c r="B154" s="389"/>
      <c r="C154" s="163"/>
      <c r="D154" s="164"/>
      <c r="E154" s="163"/>
      <c r="F154" s="163"/>
      <c r="G154" s="163"/>
      <c r="H154" s="163"/>
      <c r="I154" s="163"/>
      <c r="J154" s="163"/>
      <c r="K154" s="165"/>
    </row>
    <row r="155" spans="1:11" x14ac:dyDescent="0.25">
      <c r="A155" s="398"/>
      <c r="B155" s="389"/>
      <c r="C155" s="163"/>
      <c r="D155" s="164"/>
      <c r="E155" s="163"/>
      <c r="F155" s="163"/>
      <c r="G155" s="163"/>
      <c r="H155" s="163"/>
      <c r="I155" s="163"/>
      <c r="J155" s="163"/>
      <c r="K155" s="165"/>
    </row>
    <row r="156" spans="1:11" x14ac:dyDescent="0.25">
      <c r="A156" s="398"/>
      <c r="B156" s="389"/>
      <c r="C156" s="163"/>
      <c r="D156" s="164"/>
      <c r="E156" s="163"/>
      <c r="F156" s="163"/>
      <c r="G156" s="163"/>
      <c r="H156" s="163"/>
      <c r="I156" s="163"/>
      <c r="J156" s="163"/>
      <c r="K156" s="165"/>
    </row>
    <row r="157" spans="1:11" x14ac:dyDescent="0.25">
      <c r="A157" s="398"/>
      <c r="B157" s="389"/>
      <c r="C157" s="163"/>
      <c r="D157" s="164"/>
      <c r="E157" s="163"/>
      <c r="F157" s="163"/>
      <c r="G157" s="163"/>
      <c r="H157" s="163"/>
      <c r="I157" s="163"/>
      <c r="J157" s="163"/>
      <c r="K157" s="165"/>
    </row>
    <row r="158" spans="1:11" x14ac:dyDescent="0.25">
      <c r="A158" s="398"/>
      <c r="B158" s="389"/>
      <c r="C158" s="163"/>
      <c r="D158" s="164"/>
      <c r="E158" s="163"/>
      <c r="F158" s="163"/>
      <c r="G158" s="163"/>
      <c r="H158" s="163"/>
      <c r="I158" s="163"/>
      <c r="J158" s="163"/>
      <c r="K158" s="165"/>
    </row>
    <row r="159" spans="1:11" x14ac:dyDescent="0.25">
      <c r="A159" s="398"/>
      <c r="B159" s="389"/>
      <c r="C159" s="163"/>
      <c r="D159" s="164"/>
      <c r="E159" s="163"/>
      <c r="F159" s="163"/>
      <c r="G159" s="163"/>
      <c r="H159" s="163"/>
      <c r="I159" s="163"/>
      <c r="J159" s="163"/>
      <c r="K159" s="165"/>
    </row>
    <row r="160" spans="1:11" x14ac:dyDescent="0.25">
      <c r="A160" s="398"/>
      <c r="B160" s="389"/>
      <c r="C160" s="163"/>
      <c r="D160" s="164"/>
      <c r="E160" s="163"/>
      <c r="F160" s="163"/>
      <c r="G160" s="163"/>
      <c r="H160" s="163"/>
      <c r="I160" s="163"/>
      <c r="J160" s="163"/>
      <c r="K160" s="165"/>
    </row>
    <row r="161" spans="1:11" x14ac:dyDescent="0.25">
      <c r="A161" s="398"/>
      <c r="B161" s="389"/>
      <c r="C161" s="163"/>
      <c r="D161" s="164"/>
      <c r="E161" s="163"/>
      <c r="F161" s="163"/>
      <c r="G161" s="163"/>
      <c r="H161" s="163"/>
      <c r="I161" s="163"/>
      <c r="J161" s="163"/>
      <c r="K161" s="165"/>
    </row>
    <row r="162" spans="1:11" x14ac:dyDescent="0.25">
      <c r="A162" s="398"/>
      <c r="B162" s="389"/>
      <c r="C162" s="163"/>
      <c r="D162" s="164"/>
      <c r="E162" s="163"/>
      <c r="F162" s="163"/>
      <c r="G162" s="163"/>
      <c r="H162" s="163"/>
      <c r="I162" s="163"/>
      <c r="J162" s="163"/>
      <c r="K162" s="165"/>
    </row>
    <row r="163" spans="1:11" x14ac:dyDescent="0.25">
      <c r="A163" s="398"/>
      <c r="B163" s="389"/>
      <c r="C163" s="163"/>
      <c r="D163" s="164"/>
      <c r="E163" s="163"/>
      <c r="F163" s="163"/>
      <c r="G163" s="163"/>
      <c r="H163" s="163"/>
      <c r="I163" s="163"/>
      <c r="J163" s="163"/>
      <c r="K163" s="165"/>
    </row>
    <row r="164" spans="1:11" x14ac:dyDescent="0.25">
      <c r="A164" s="398"/>
      <c r="B164" s="389"/>
      <c r="C164" s="163"/>
      <c r="D164" s="164"/>
      <c r="E164" s="163"/>
      <c r="F164" s="163"/>
      <c r="G164" s="163"/>
      <c r="H164" s="163"/>
      <c r="I164" s="163"/>
      <c r="J164" s="163"/>
      <c r="K164" s="165"/>
    </row>
    <row r="165" spans="1:11" x14ac:dyDescent="0.25">
      <c r="A165" s="398"/>
      <c r="B165" s="389"/>
      <c r="C165" s="163"/>
      <c r="D165" s="164"/>
      <c r="E165" s="163"/>
      <c r="F165" s="163"/>
      <c r="G165" s="163"/>
      <c r="H165" s="163"/>
      <c r="I165" s="163"/>
      <c r="J165" s="163"/>
      <c r="K165" s="165"/>
    </row>
    <row r="166" spans="1:11" x14ac:dyDescent="0.25">
      <c r="A166" s="398"/>
      <c r="B166" s="389"/>
      <c r="C166" s="163"/>
      <c r="D166" s="164"/>
      <c r="E166" s="163"/>
      <c r="F166" s="163"/>
      <c r="G166" s="163"/>
      <c r="H166" s="163"/>
      <c r="I166" s="163"/>
      <c r="J166" s="163"/>
      <c r="K166" s="165"/>
    </row>
    <row r="167" spans="1:11" x14ac:dyDescent="0.25">
      <c r="A167" s="398"/>
      <c r="B167" s="389"/>
      <c r="C167" s="163"/>
      <c r="D167" s="164"/>
      <c r="E167" s="163"/>
      <c r="F167" s="163"/>
      <c r="G167" s="163"/>
      <c r="H167" s="163"/>
      <c r="I167" s="163"/>
      <c r="J167" s="163"/>
      <c r="K167" s="165"/>
    </row>
    <row r="168" spans="1:11" x14ac:dyDescent="0.25">
      <c r="A168" s="398"/>
      <c r="B168" s="389"/>
      <c r="C168" s="163"/>
      <c r="D168" s="164"/>
      <c r="E168" s="163"/>
      <c r="F168" s="163"/>
      <c r="G168" s="163"/>
      <c r="H168" s="163"/>
      <c r="I168" s="163"/>
      <c r="J168" s="163"/>
      <c r="K168" s="165"/>
    </row>
    <row r="169" spans="1:11" x14ac:dyDescent="0.25">
      <c r="A169" s="398"/>
      <c r="B169" s="389"/>
      <c r="C169" s="163"/>
      <c r="D169" s="164"/>
      <c r="E169" s="163"/>
      <c r="F169" s="163"/>
      <c r="G169" s="163"/>
      <c r="H169" s="163"/>
      <c r="I169" s="163"/>
      <c r="J169" s="163"/>
      <c r="K169" s="165"/>
    </row>
    <row r="170" spans="1:11" x14ac:dyDescent="0.25">
      <c r="A170" s="398"/>
      <c r="B170" s="389"/>
      <c r="C170" s="163"/>
      <c r="D170" s="164"/>
      <c r="E170" s="163"/>
      <c r="F170" s="163"/>
      <c r="G170" s="163"/>
      <c r="H170" s="163"/>
      <c r="I170" s="163"/>
      <c r="J170" s="163"/>
      <c r="K170" s="165"/>
    </row>
    <row r="171" spans="1:11" x14ac:dyDescent="0.25">
      <c r="A171" s="398"/>
      <c r="B171" s="389"/>
      <c r="C171" s="163"/>
      <c r="D171" s="164"/>
      <c r="E171" s="163"/>
      <c r="F171" s="163"/>
      <c r="G171" s="163"/>
      <c r="H171" s="163"/>
      <c r="I171" s="163"/>
      <c r="J171" s="163"/>
      <c r="K171" s="165"/>
    </row>
    <row r="172" spans="1:11" x14ac:dyDescent="0.25">
      <c r="A172" s="398"/>
      <c r="B172" s="389"/>
      <c r="C172" s="163"/>
      <c r="D172" s="164"/>
      <c r="E172" s="163"/>
      <c r="F172" s="163"/>
      <c r="G172" s="163"/>
      <c r="H172" s="163"/>
      <c r="I172" s="163"/>
      <c r="J172" s="163"/>
      <c r="K172" s="165"/>
    </row>
    <row r="173" spans="1:11" x14ac:dyDescent="0.25">
      <c r="A173" s="398"/>
      <c r="B173" s="389"/>
      <c r="C173" s="163"/>
      <c r="D173" s="164"/>
      <c r="E173" s="163"/>
      <c r="F173" s="163"/>
      <c r="G173" s="163"/>
      <c r="H173" s="163"/>
      <c r="I173" s="163"/>
      <c r="J173" s="163"/>
      <c r="K173" s="165"/>
    </row>
    <row r="174" spans="1:11" x14ac:dyDescent="0.25">
      <c r="A174" s="398"/>
      <c r="B174" s="389"/>
      <c r="C174" s="163"/>
      <c r="D174" s="164"/>
      <c r="E174" s="163"/>
      <c r="F174" s="163"/>
      <c r="G174" s="163"/>
      <c r="H174" s="163"/>
      <c r="I174" s="163"/>
      <c r="J174" s="163"/>
      <c r="K174" s="165"/>
    </row>
    <row r="175" spans="1:11" x14ac:dyDescent="0.25">
      <c r="A175" s="398"/>
      <c r="B175" s="389"/>
      <c r="C175" s="163"/>
      <c r="D175" s="164"/>
      <c r="E175" s="163"/>
      <c r="F175" s="163"/>
      <c r="G175" s="163"/>
      <c r="H175" s="163"/>
      <c r="I175" s="163"/>
      <c r="J175" s="163"/>
      <c r="K175" s="165"/>
    </row>
    <row r="176" spans="1:11" x14ac:dyDescent="0.25">
      <c r="A176" s="398"/>
      <c r="B176" s="389"/>
      <c r="C176" s="163"/>
      <c r="D176" s="164"/>
      <c r="E176" s="163"/>
      <c r="F176" s="163"/>
      <c r="G176" s="163"/>
      <c r="H176" s="163"/>
      <c r="I176" s="163"/>
      <c r="J176" s="163"/>
      <c r="K176" s="165"/>
    </row>
    <row r="177" spans="1:11" x14ac:dyDescent="0.25">
      <c r="A177" s="398"/>
      <c r="B177" s="389"/>
      <c r="C177" s="163"/>
      <c r="D177" s="164"/>
      <c r="E177" s="163"/>
      <c r="F177" s="163"/>
      <c r="G177" s="163"/>
      <c r="H177" s="163"/>
      <c r="I177" s="163"/>
      <c r="J177" s="163"/>
      <c r="K177" s="165"/>
    </row>
    <row r="178" spans="1:11" x14ac:dyDescent="0.25">
      <c r="A178" s="398"/>
      <c r="B178" s="389"/>
      <c r="C178" s="163"/>
      <c r="D178" s="164"/>
      <c r="E178" s="163"/>
      <c r="F178" s="163"/>
      <c r="G178" s="163"/>
      <c r="H178" s="163"/>
      <c r="I178" s="163"/>
      <c r="J178" s="163"/>
      <c r="K178" s="165"/>
    </row>
    <row r="179" spans="1:11" x14ac:dyDescent="0.25">
      <c r="A179" s="398"/>
      <c r="B179" s="389"/>
      <c r="C179" s="163"/>
      <c r="D179" s="164"/>
      <c r="E179" s="163"/>
      <c r="F179" s="163"/>
      <c r="G179" s="163"/>
      <c r="H179" s="163"/>
      <c r="I179" s="163"/>
      <c r="J179" s="163"/>
      <c r="K179" s="165"/>
    </row>
    <row r="180" spans="1:11" x14ac:dyDescent="0.25">
      <c r="A180" s="398"/>
      <c r="B180" s="389"/>
      <c r="C180" s="163"/>
      <c r="D180" s="164"/>
      <c r="E180" s="163"/>
      <c r="F180" s="163"/>
      <c r="G180" s="163"/>
      <c r="H180" s="163"/>
      <c r="I180" s="163"/>
      <c r="J180" s="163"/>
      <c r="K180" s="165"/>
    </row>
    <row r="181" spans="1:11" x14ac:dyDescent="0.25">
      <c r="A181" s="398"/>
      <c r="B181" s="389"/>
      <c r="C181" s="163"/>
      <c r="D181" s="164"/>
      <c r="E181" s="163"/>
      <c r="F181" s="163"/>
      <c r="G181" s="163"/>
      <c r="H181" s="163"/>
      <c r="I181" s="163"/>
      <c r="J181" s="163"/>
      <c r="K181" s="165"/>
    </row>
    <row r="182" spans="1:11" x14ac:dyDescent="0.25">
      <c r="A182" s="398"/>
      <c r="B182" s="389"/>
      <c r="C182" s="163"/>
      <c r="D182" s="164"/>
      <c r="E182" s="163"/>
      <c r="F182" s="163"/>
      <c r="G182" s="163"/>
      <c r="H182" s="163"/>
      <c r="I182" s="163"/>
      <c r="J182" s="163"/>
      <c r="K182" s="165"/>
    </row>
    <row r="183" spans="1:11" x14ac:dyDescent="0.25">
      <c r="A183" s="398"/>
      <c r="B183" s="389"/>
      <c r="C183" s="163"/>
      <c r="D183" s="164"/>
      <c r="E183" s="163"/>
      <c r="F183" s="163"/>
      <c r="G183" s="163"/>
      <c r="H183" s="163"/>
      <c r="I183" s="163"/>
      <c r="J183" s="163"/>
      <c r="K183" s="165"/>
    </row>
    <row r="184" spans="1:11" x14ac:dyDescent="0.25">
      <c r="A184" s="398"/>
      <c r="B184" s="389"/>
      <c r="C184" s="163"/>
      <c r="D184" s="164"/>
      <c r="E184" s="163"/>
      <c r="F184" s="163"/>
      <c r="G184" s="163"/>
      <c r="H184" s="163"/>
      <c r="I184" s="163"/>
      <c r="J184" s="163"/>
      <c r="K184" s="165"/>
    </row>
    <row r="185" spans="1:11" x14ac:dyDescent="0.25">
      <c r="A185" s="398"/>
      <c r="B185" s="389"/>
      <c r="C185" s="163"/>
      <c r="D185" s="164"/>
      <c r="E185" s="163"/>
      <c r="F185" s="163"/>
      <c r="G185" s="163"/>
      <c r="H185" s="163"/>
      <c r="I185" s="163"/>
      <c r="J185" s="163"/>
      <c r="K185" s="165"/>
    </row>
    <row r="186" spans="1:11" x14ac:dyDescent="0.25">
      <c r="A186" s="398"/>
      <c r="B186" s="389"/>
      <c r="C186" s="163"/>
      <c r="D186" s="164"/>
      <c r="E186" s="163"/>
      <c r="F186" s="163"/>
      <c r="G186" s="163"/>
      <c r="H186" s="163"/>
      <c r="I186" s="163"/>
      <c r="J186" s="163"/>
      <c r="K186" s="165"/>
    </row>
    <row r="187" spans="1:11" x14ac:dyDescent="0.25">
      <c r="A187" s="398"/>
      <c r="B187" s="389"/>
      <c r="C187" s="163"/>
      <c r="D187" s="164"/>
      <c r="E187" s="163"/>
      <c r="F187" s="163"/>
      <c r="G187" s="163"/>
      <c r="H187" s="163"/>
      <c r="I187" s="163"/>
      <c r="J187" s="163"/>
      <c r="K187" s="165"/>
    </row>
    <row r="188" spans="1:11" x14ac:dyDescent="0.25">
      <c r="A188" s="398"/>
      <c r="B188" s="389"/>
      <c r="C188" s="163"/>
      <c r="D188" s="164"/>
      <c r="E188" s="163"/>
      <c r="F188" s="163"/>
      <c r="G188" s="163"/>
      <c r="H188" s="163"/>
      <c r="I188" s="163"/>
      <c r="J188" s="163"/>
      <c r="K188" s="165"/>
    </row>
    <row r="189" spans="1:11" x14ac:dyDescent="0.25">
      <c r="A189" s="398"/>
      <c r="B189" s="389"/>
      <c r="C189" s="163"/>
      <c r="D189" s="164"/>
      <c r="E189" s="163"/>
      <c r="F189" s="163"/>
      <c r="G189" s="163"/>
      <c r="H189" s="163"/>
      <c r="I189" s="163"/>
      <c r="J189" s="163"/>
      <c r="K189" s="165"/>
    </row>
    <row r="190" spans="1:11" x14ac:dyDescent="0.25">
      <c r="A190" s="398"/>
      <c r="B190" s="389"/>
      <c r="C190" s="163"/>
      <c r="D190" s="164"/>
      <c r="E190" s="163"/>
      <c r="F190" s="163"/>
      <c r="G190" s="163"/>
      <c r="H190" s="163"/>
      <c r="I190" s="163"/>
      <c r="J190" s="163"/>
      <c r="K190" s="165"/>
    </row>
    <row r="191" spans="1:11" x14ac:dyDescent="0.25">
      <c r="A191" s="398"/>
      <c r="B191" s="389"/>
      <c r="C191" s="163"/>
      <c r="D191" s="164"/>
      <c r="E191" s="163"/>
      <c r="F191" s="163"/>
      <c r="G191" s="163"/>
      <c r="H191" s="163"/>
      <c r="I191" s="163"/>
      <c r="J191" s="163"/>
      <c r="K191" s="165"/>
    </row>
    <row r="192" spans="1:11" x14ac:dyDescent="0.25">
      <c r="A192" s="398"/>
      <c r="B192" s="389"/>
      <c r="C192" s="163"/>
      <c r="D192" s="164"/>
      <c r="E192" s="163"/>
      <c r="F192" s="163"/>
      <c r="G192" s="163"/>
      <c r="H192" s="163"/>
      <c r="I192" s="163"/>
      <c r="J192" s="163"/>
      <c r="K192" s="165"/>
    </row>
    <row r="193" spans="1:11" x14ac:dyDescent="0.25">
      <c r="A193" s="398"/>
      <c r="B193" s="389"/>
      <c r="C193" s="163"/>
      <c r="D193" s="164"/>
      <c r="E193" s="163"/>
      <c r="F193" s="163"/>
      <c r="G193" s="163"/>
      <c r="H193" s="163"/>
      <c r="I193" s="163"/>
      <c r="J193" s="163"/>
      <c r="K193" s="165"/>
    </row>
    <row r="194" spans="1:11" x14ac:dyDescent="0.25">
      <c r="A194" s="398"/>
      <c r="B194" s="389"/>
      <c r="C194" s="163"/>
      <c r="D194" s="164"/>
      <c r="E194" s="163"/>
      <c r="F194" s="163"/>
      <c r="G194" s="163"/>
      <c r="H194" s="163"/>
      <c r="I194" s="163"/>
      <c r="J194" s="163"/>
      <c r="K194" s="165"/>
    </row>
    <row r="195" spans="1:11" x14ac:dyDescent="0.25">
      <c r="A195" s="398"/>
      <c r="B195" s="389"/>
      <c r="C195" s="163"/>
      <c r="D195" s="164"/>
      <c r="E195" s="163"/>
      <c r="F195" s="163"/>
      <c r="G195" s="163"/>
      <c r="H195" s="163"/>
      <c r="I195" s="163"/>
      <c r="J195" s="163"/>
      <c r="K195" s="165"/>
    </row>
    <row r="196" spans="1:11" x14ac:dyDescent="0.25">
      <c r="A196" s="398"/>
      <c r="B196" s="389"/>
      <c r="C196" s="163"/>
      <c r="D196" s="164"/>
      <c r="E196" s="163"/>
      <c r="F196" s="163"/>
      <c r="G196" s="163"/>
      <c r="H196" s="163"/>
      <c r="I196" s="163"/>
      <c r="J196" s="163"/>
      <c r="K196" s="165"/>
    </row>
    <row r="197" spans="1:11" x14ac:dyDescent="0.25">
      <c r="A197" s="398"/>
      <c r="B197" s="389"/>
      <c r="C197" s="163"/>
      <c r="D197" s="164"/>
      <c r="E197" s="163"/>
      <c r="F197" s="163"/>
      <c r="G197" s="163"/>
      <c r="H197" s="163"/>
      <c r="I197" s="163"/>
      <c r="J197" s="163"/>
      <c r="K197" s="165"/>
    </row>
    <row r="198" spans="1:11" x14ac:dyDescent="0.25">
      <c r="A198" s="398"/>
      <c r="B198" s="389"/>
      <c r="C198" s="163"/>
      <c r="D198" s="164"/>
      <c r="E198" s="163"/>
      <c r="F198" s="163"/>
      <c r="G198" s="163"/>
      <c r="H198" s="163"/>
      <c r="I198" s="163"/>
      <c r="J198" s="163"/>
      <c r="K198" s="165"/>
    </row>
    <row r="199" spans="1:11" x14ac:dyDescent="0.25">
      <c r="A199" s="398"/>
      <c r="B199" s="389"/>
      <c r="C199" s="163"/>
      <c r="D199" s="164"/>
      <c r="E199" s="163"/>
      <c r="F199" s="163"/>
      <c r="G199" s="163"/>
      <c r="H199" s="163"/>
      <c r="I199" s="163"/>
      <c r="J199" s="163"/>
      <c r="K199" s="165"/>
    </row>
    <row r="200" spans="1:11" x14ac:dyDescent="0.25">
      <c r="A200" s="398"/>
      <c r="B200" s="389"/>
      <c r="C200" s="163"/>
      <c r="D200" s="164"/>
      <c r="E200" s="163"/>
      <c r="F200" s="163"/>
      <c r="G200" s="163"/>
      <c r="H200" s="163"/>
      <c r="I200" s="163"/>
      <c r="J200" s="163"/>
      <c r="K200" s="165"/>
    </row>
    <row r="201" spans="1:11" x14ac:dyDescent="0.25">
      <c r="A201" s="398"/>
      <c r="B201" s="389"/>
      <c r="C201" s="163"/>
      <c r="D201" s="164"/>
      <c r="E201" s="163"/>
      <c r="F201" s="163"/>
      <c r="G201" s="163"/>
      <c r="H201" s="163"/>
      <c r="I201" s="163"/>
      <c r="J201" s="163"/>
      <c r="K201" s="165"/>
    </row>
    <row r="202" spans="1:11" x14ac:dyDescent="0.25">
      <c r="A202" s="398"/>
      <c r="B202" s="389"/>
      <c r="C202" s="163"/>
      <c r="D202" s="164"/>
      <c r="E202" s="163"/>
      <c r="F202" s="163"/>
      <c r="G202" s="163"/>
      <c r="H202" s="163"/>
      <c r="I202" s="163"/>
      <c r="J202" s="163"/>
      <c r="K202" s="165"/>
    </row>
    <row r="203" spans="1:11" x14ac:dyDescent="0.25">
      <c r="A203" s="398"/>
      <c r="B203" s="389"/>
      <c r="C203" s="163"/>
      <c r="D203" s="164"/>
      <c r="E203" s="163"/>
      <c r="F203" s="163"/>
      <c r="G203" s="163"/>
      <c r="H203" s="163"/>
      <c r="I203" s="163"/>
      <c r="J203" s="163"/>
      <c r="K203" s="165"/>
    </row>
    <row r="204" spans="1:11" x14ac:dyDescent="0.25">
      <c r="A204" s="398"/>
      <c r="B204" s="389"/>
      <c r="C204" s="163"/>
      <c r="D204" s="164"/>
      <c r="E204" s="163"/>
      <c r="F204" s="163"/>
      <c r="G204" s="163"/>
      <c r="H204" s="163"/>
      <c r="I204" s="163"/>
      <c r="J204" s="163"/>
      <c r="K204" s="165"/>
    </row>
    <row r="205" spans="1:11" x14ac:dyDescent="0.25">
      <c r="A205" s="398"/>
      <c r="B205" s="389"/>
      <c r="C205" s="163"/>
      <c r="D205" s="164"/>
      <c r="E205" s="163"/>
      <c r="F205" s="163"/>
      <c r="G205" s="163"/>
      <c r="H205" s="163"/>
      <c r="I205" s="163"/>
      <c r="J205" s="163"/>
      <c r="K205" s="165"/>
    </row>
    <row r="206" spans="1:11" x14ac:dyDescent="0.25">
      <c r="A206" s="398"/>
      <c r="B206" s="389"/>
      <c r="C206" s="163"/>
      <c r="D206" s="164"/>
      <c r="E206" s="163"/>
      <c r="F206" s="163"/>
      <c r="G206" s="163"/>
      <c r="H206" s="163"/>
      <c r="I206" s="163"/>
      <c r="J206" s="163"/>
      <c r="K206" s="165"/>
    </row>
    <row r="207" spans="1:11" x14ac:dyDescent="0.25">
      <c r="A207" s="398"/>
      <c r="B207" s="389"/>
      <c r="C207" s="163"/>
      <c r="D207" s="164"/>
      <c r="E207" s="163"/>
      <c r="F207" s="163"/>
      <c r="G207" s="163"/>
      <c r="H207" s="163"/>
      <c r="I207" s="163"/>
      <c r="J207" s="163"/>
      <c r="K207" s="165"/>
    </row>
    <row r="208" spans="1:11" x14ac:dyDescent="0.25">
      <c r="A208" s="398"/>
      <c r="B208" s="389"/>
      <c r="C208" s="163"/>
      <c r="D208" s="164"/>
      <c r="E208" s="163"/>
      <c r="F208" s="163"/>
      <c r="G208" s="163"/>
      <c r="H208" s="163"/>
      <c r="I208" s="163"/>
      <c r="J208" s="163"/>
      <c r="K208" s="165"/>
    </row>
    <row r="209" spans="1:11" x14ac:dyDescent="0.25">
      <c r="A209" s="398"/>
      <c r="B209" s="389"/>
      <c r="C209" s="163"/>
      <c r="D209" s="164"/>
      <c r="E209" s="163"/>
      <c r="F209" s="163"/>
      <c r="G209" s="163"/>
      <c r="H209" s="163"/>
      <c r="I209" s="163"/>
      <c r="J209" s="163"/>
      <c r="K209" s="165"/>
    </row>
    <row r="210" spans="1:11" x14ac:dyDescent="0.25">
      <c r="A210" s="398"/>
      <c r="B210" s="389"/>
      <c r="C210" s="163"/>
      <c r="D210" s="164"/>
      <c r="E210" s="163"/>
      <c r="F210" s="163"/>
      <c r="G210" s="163"/>
      <c r="H210" s="163"/>
      <c r="I210" s="163"/>
      <c r="J210" s="163"/>
      <c r="K210" s="165"/>
    </row>
    <row r="211" spans="1:11" x14ac:dyDescent="0.25">
      <c r="A211" s="398"/>
      <c r="B211" s="389"/>
      <c r="C211" s="163"/>
      <c r="D211" s="164"/>
      <c r="E211" s="163"/>
      <c r="F211" s="163"/>
      <c r="G211" s="163"/>
      <c r="H211" s="163"/>
      <c r="I211" s="163"/>
      <c r="J211" s="163"/>
      <c r="K211" s="165"/>
    </row>
    <row r="212" spans="1:11" x14ac:dyDescent="0.25">
      <c r="A212" s="398"/>
      <c r="B212" s="389"/>
      <c r="C212" s="163"/>
      <c r="D212" s="164"/>
      <c r="E212" s="163"/>
      <c r="F212" s="163"/>
      <c r="G212" s="163"/>
      <c r="H212" s="163"/>
      <c r="I212" s="163"/>
      <c r="J212" s="163"/>
      <c r="K212" s="165"/>
    </row>
    <row r="213" spans="1:11" x14ac:dyDescent="0.25">
      <c r="A213" s="398"/>
      <c r="B213" s="389"/>
      <c r="C213" s="163"/>
      <c r="D213" s="164"/>
      <c r="E213" s="163"/>
      <c r="F213" s="163"/>
      <c r="G213" s="163"/>
      <c r="H213" s="163"/>
      <c r="I213" s="163"/>
      <c r="J213" s="163"/>
      <c r="K213" s="165"/>
    </row>
    <row r="214" spans="1:11" x14ac:dyDescent="0.25">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sqref="A1:L1048576"/>
    </sheetView>
  </sheetViews>
  <sheetFormatPr defaultRowHeight="13.8" x14ac:dyDescent="0.25"/>
  <cols>
    <col min="2" max="2" width="15.5" style="141" customWidth="1"/>
    <col min="3" max="3" width="5.69921875" customWidth="1"/>
    <col min="4" max="4" width="5.69921875" style="142" customWidth="1"/>
    <col min="5" max="5" width="20.296875" style="142" customWidth="1"/>
    <col min="6" max="6" width="14.09765625" style="276" bestFit="1" customWidth="1"/>
    <col min="7" max="7" width="9.5" bestFit="1" customWidth="1"/>
    <col min="8" max="8" width="2.59765625" style="275" customWidth="1"/>
    <col min="9" max="9" width="13.796875" style="278" bestFit="1" customWidth="1"/>
    <col min="10" max="10" width="13.09765625" style="278" bestFit="1" customWidth="1"/>
    <col min="11" max="11" width="12.09765625" style="278" bestFit="1" customWidth="1"/>
    <col min="12" max="12" width="13.796875" style="278" bestFit="1" customWidth="1"/>
    <col min="13" max="18" width="8.69921875" style="279"/>
  </cols>
  <sheetData>
    <row r="1" spans="1:12" x14ac:dyDescent="0.25">
      <c r="A1" t="s">
        <v>100</v>
      </c>
      <c r="B1" s="141" t="s">
        <v>299</v>
      </c>
      <c r="C1" s="141" t="s">
        <v>300</v>
      </c>
      <c r="D1" s="142" t="s">
        <v>301</v>
      </c>
      <c r="E1" s="142" t="s">
        <v>302</v>
      </c>
      <c r="F1" s="277" t="str">
        <f>+'Quarter, Semis &amp; Final'!R18</f>
        <v>Figura</v>
      </c>
      <c r="G1" s="136" t="str">
        <f>+'Quarter, Semis &amp; Final'!S18</f>
        <v>Messi</v>
      </c>
      <c r="I1" s="278" t="s">
        <v>104</v>
      </c>
      <c r="J1" s="278" t="s">
        <v>105</v>
      </c>
      <c r="K1" s="278" t="s">
        <v>105</v>
      </c>
      <c r="L1" s="278" t="s">
        <v>106</v>
      </c>
    </row>
    <row r="2" spans="1:12" x14ac:dyDescent="0.25">
      <c r="A2" s="145" t="str">
        <f>+'Groups Stage'!A3</f>
        <v>GA1</v>
      </c>
      <c r="B2" s="146" t="str">
        <f>+'Groups Stage'!E3</f>
        <v>Mexico</v>
      </c>
      <c r="C2" s="145">
        <f>+'Groups Stage'!F3</f>
        <v>1</v>
      </c>
      <c r="D2" s="147">
        <f>+'Groups Stage'!G3</f>
        <v>0</v>
      </c>
      <c r="E2" s="147" t="str">
        <f>+'Groups Stage'!H3</f>
        <v>Sudafrica</v>
      </c>
      <c r="F2" s="277" t="str">
        <f>+'Quarter, Semis &amp; Final'!R19</f>
        <v>Goleador</v>
      </c>
      <c r="G2" s="136" t="str">
        <f>+'Quarter, Semis &amp; Final'!S19</f>
        <v>Julian</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5">
      <c r="A3" t="str">
        <f>+'Groups Stage'!A4</f>
        <v>GA2</v>
      </c>
      <c r="B3" s="141" t="str">
        <f>+'Groups Stage'!E4</f>
        <v>Corea del Sur</v>
      </c>
      <c r="C3">
        <f>+'Groups Stage'!F4</f>
        <v>0</v>
      </c>
      <c r="D3" s="142">
        <f>+'Groups Stage'!G4</f>
        <v>2</v>
      </c>
      <c r="E3" s="142" t="str">
        <f>+'Groups Stage'!H4</f>
        <v>Repubilca Checa</v>
      </c>
      <c r="F3" s="277" t="str">
        <f>+'Quarter, Semis &amp; Final'!R20</f>
        <v>Revelación</v>
      </c>
      <c r="G3" s="242" t="str">
        <f>+'Quarter, Semis &amp; Final'!S20</f>
        <v>Marruecos</v>
      </c>
      <c r="I3" s="278" t="str">
        <f t="shared" ref="I3:I66" si="0">IF(OR(ISBLANK(C3),ISBLANK(D3)),"",IF(C3&gt;D3,B3,IF(D3&gt;C3,E3,"")))</f>
        <v>Repubilca Checa</v>
      </c>
      <c r="J3" s="278" t="str">
        <f t="shared" ref="J3:J66" si="1">IF(OR(ISBLANK(C3),ISBLANK(D3)),"",IF(C3=D3,B3,""))</f>
        <v/>
      </c>
      <c r="K3" s="278" t="str">
        <f t="shared" ref="K3:K66" si="2">IF(OR(ISBLANK(C3),ISBLANK(D3)),"",IF(C3=D3,E3,""))</f>
        <v/>
      </c>
      <c r="L3" s="278" t="str">
        <f t="shared" ref="L3:L66" si="3">IF(OR(ISBLANK(C3),ISBLANK(D3)),"",IF(C3&lt;D3,B3,IF(D3&lt;C3,E3,"")))</f>
        <v>Corea del Sur</v>
      </c>
    </row>
    <row r="4" spans="1:12" x14ac:dyDescent="0.25">
      <c r="A4" t="str">
        <f>+'Groups Stage'!A5</f>
        <v>GA3</v>
      </c>
      <c r="B4" s="141" t="str">
        <f>+'Groups Stage'!E5</f>
        <v>Repubilca Checa</v>
      </c>
      <c r="C4">
        <f>+'Groups Stage'!F5</f>
        <v>1</v>
      </c>
      <c r="D4" s="142">
        <f>+'Groups Stage'!G5</f>
        <v>1</v>
      </c>
      <c r="E4" s="142" t="str">
        <f>+'Groups Stage'!H5</f>
        <v>Sudafrica</v>
      </c>
      <c r="F4" s="277" t="str">
        <f>+'Quarter, Semis &amp; Final'!R21</f>
        <v>Decepción</v>
      </c>
      <c r="G4" s="242" t="str">
        <f>+'Quarter, Semis &amp; Final'!S21</f>
        <v>Paises Bajos</v>
      </c>
      <c r="I4" s="278" t="str">
        <f t="shared" si="0"/>
        <v/>
      </c>
      <c r="J4" s="278" t="str">
        <f t="shared" si="1"/>
        <v>Repubilca Checa</v>
      </c>
      <c r="K4" s="278" t="str">
        <f t="shared" si="2"/>
        <v>Sudafrica</v>
      </c>
      <c r="L4" s="278" t="str">
        <f t="shared" si="3"/>
        <v/>
      </c>
    </row>
    <row r="5" spans="1:12" x14ac:dyDescent="0.25">
      <c r="A5" t="str">
        <f>+'Groups Stage'!A6</f>
        <v>GA4</v>
      </c>
      <c r="B5" s="141" t="str">
        <f>+'Groups Stage'!E6</f>
        <v>Mexico</v>
      </c>
      <c r="C5">
        <f>+'Groups Stage'!F6</f>
        <v>1</v>
      </c>
      <c r="D5" s="142">
        <f>+'Groups Stage'!G6</f>
        <v>0</v>
      </c>
      <c r="E5" s="142" t="str">
        <f>+'Groups Stage'!H6</f>
        <v>Corea del Sur</v>
      </c>
      <c r="F5" s="277" t="str">
        <f>+'Quarter, Semis &amp; Final'!R22</f>
        <v>Mejor 1era Fase</v>
      </c>
      <c r="G5" s="242" t="str">
        <f>+'Quarter, Semis &amp; Final'!S22</f>
        <v>Francia</v>
      </c>
      <c r="I5" s="278" t="str">
        <f t="shared" si="0"/>
        <v>Mexico</v>
      </c>
      <c r="J5" s="278" t="str">
        <f t="shared" si="1"/>
        <v/>
      </c>
      <c r="K5" s="278" t="str">
        <f t="shared" si="2"/>
        <v/>
      </c>
      <c r="L5" s="278" t="str">
        <f t="shared" si="3"/>
        <v>Corea del Sur</v>
      </c>
    </row>
    <row r="6" spans="1:12" x14ac:dyDescent="0.25">
      <c r="A6" t="str">
        <f>+'Groups Stage'!A7</f>
        <v>GA5</v>
      </c>
      <c r="B6" s="141" t="str">
        <f>+'Groups Stage'!E7</f>
        <v>Repubilca Checa</v>
      </c>
      <c r="C6">
        <f>+'Groups Stage'!F7</f>
        <v>1</v>
      </c>
      <c r="D6" s="142">
        <f>+'Groups Stage'!G7</f>
        <v>1</v>
      </c>
      <c r="E6" s="142" t="str">
        <f>+'Groups Stage'!H7</f>
        <v>Mexico</v>
      </c>
      <c r="F6" s="277" t="str">
        <f>+'Quarter, Semis &amp; Final'!R23</f>
        <v>Peor Equipo</v>
      </c>
      <c r="G6" s="242" t="str">
        <f>+'Quarter, Semis &amp; Final'!S23</f>
        <v>Haiti</v>
      </c>
      <c r="I6" s="278" t="str">
        <f t="shared" si="0"/>
        <v/>
      </c>
      <c r="J6" s="278" t="str">
        <f t="shared" si="1"/>
        <v>Repubilca Checa</v>
      </c>
      <c r="K6" s="278" t="str">
        <f t="shared" si="2"/>
        <v>Mexico</v>
      </c>
      <c r="L6" s="278" t="str">
        <f t="shared" si="3"/>
        <v/>
      </c>
    </row>
    <row r="7" spans="1:12" x14ac:dyDescent="0.25">
      <c r="A7" s="7" t="str">
        <f>+'Groups Stage'!A8</f>
        <v>GA6</v>
      </c>
      <c r="B7" s="143" t="str">
        <f>+'Groups Stage'!E8</f>
        <v>Sudafrica</v>
      </c>
      <c r="C7" s="7">
        <f>+'Groups Stage'!F8</f>
        <v>1</v>
      </c>
      <c r="D7" s="144">
        <f>+'Groups Stage'!G8</f>
        <v>0</v>
      </c>
      <c r="E7" s="144" t="str">
        <f>+'Groups Stage'!H8</f>
        <v>Corea del Sur</v>
      </c>
      <c r="F7" s="276" t="s">
        <v>18</v>
      </c>
      <c r="G7" t="str">
        <f>+'Total Results'!D4</f>
        <v>Marruecos</v>
      </c>
      <c r="I7" s="281" t="str">
        <f t="shared" si="0"/>
        <v>Sudafrica</v>
      </c>
      <c r="J7" s="281" t="str">
        <f t="shared" si="1"/>
        <v/>
      </c>
      <c r="K7" s="281" t="str">
        <f t="shared" si="2"/>
        <v/>
      </c>
      <c r="L7" s="281" t="str">
        <f t="shared" si="3"/>
        <v>Corea del Sur</v>
      </c>
    </row>
    <row r="8" spans="1:12" x14ac:dyDescent="0.25">
      <c r="A8" s="148">
        <f>+'Groups Stage'!A9</f>
        <v>0</v>
      </c>
      <c r="B8" s="149">
        <f>+'Groups Stage'!E9</f>
        <v>0</v>
      </c>
      <c r="C8" s="148">
        <f>+'Groups Stage'!F9</f>
        <v>0</v>
      </c>
      <c r="D8" s="150">
        <f>+'Groups Stage'!G9</f>
        <v>0</v>
      </c>
      <c r="E8" s="150">
        <f>+'Groups Stage'!H9</f>
        <v>0</v>
      </c>
      <c r="F8" s="276" t="s">
        <v>303</v>
      </c>
      <c r="G8" t="str">
        <f>+'Total Results'!D2</f>
        <v>Argentina</v>
      </c>
      <c r="I8" s="280" t="str">
        <f t="shared" si="0"/>
        <v/>
      </c>
      <c r="J8" s="280">
        <f t="shared" si="1"/>
        <v>0</v>
      </c>
      <c r="K8" s="280">
        <f t="shared" si="2"/>
        <v>0</v>
      </c>
      <c r="L8" s="280" t="str">
        <f t="shared" si="3"/>
        <v/>
      </c>
    </row>
    <row r="9" spans="1:12" x14ac:dyDescent="0.25">
      <c r="A9" s="151">
        <f>+'Groups Stage'!A10</f>
        <v>0</v>
      </c>
      <c r="B9" s="152">
        <f>+'Groups Stage'!E10</f>
        <v>0</v>
      </c>
      <c r="C9" s="151">
        <f>+'Groups Stage'!F10</f>
        <v>0</v>
      </c>
      <c r="D9" s="153">
        <f>+'Groups Stage'!G10</f>
        <v>0</v>
      </c>
      <c r="E9" s="153">
        <f>+'Groups Stage'!H10</f>
        <v>0</v>
      </c>
      <c r="F9" s="412" t="s">
        <v>304</v>
      </c>
      <c r="G9" s="19" t="str">
        <f>+'Total Results'!D3</f>
        <v>Brasil</v>
      </c>
      <c r="I9" s="281" t="str">
        <f t="shared" si="0"/>
        <v/>
      </c>
      <c r="J9" s="281">
        <f t="shared" si="1"/>
        <v>0</v>
      </c>
      <c r="K9" s="281">
        <f t="shared" si="2"/>
        <v>0</v>
      </c>
      <c r="L9" s="281" t="str">
        <f t="shared" si="3"/>
        <v/>
      </c>
    </row>
    <row r="10" spans="1:12" x14ac:dyDescent="0.25">
      <c r="A10" s="151" t="str">
        <f>+'Groups Stage'!A11</f>
        <v>Partido</v>
      </c>
      <c r="B10" s="152" t="str">
        <f>+'Groups Stage'!E11</f>
        <v>Grupo B</v>
      </c>
      <c r="C10" s="151">
        <f>+'Groups Stage'!F11</f>
        <v>0</v>
      </c>
      <c r="D10" s="153">
        <f>+'Groups Stage'!G11</f>
        <v>0</v>
      </c>
      <c r="E10" s="153">
        <f>+'Groups Stage'!H11</f>
        <v>0</v>
      </c>
      <c r="F10" s="412" t="s">
        <v>305</v>
      </c>
      <c r="G10" s="19" t="str">
        <f>+'Total Results'!D5</f>
        <v>Colombia</v>
      </c>
      <c r="I10" s="281" t="str">
        <f t="shared" si="0"/>
        <v/>
      </c>
      <c r="J10" s="281" t="str">
        <f t="shared" si="1"/>
        <v>Grupo B</v>
      </c>
      <c r="K10" s="281">
        <f t="shared" si="2"/>
        <v>0</v>
      </c>
      <c r="L10" s="281" t="str">
        <f t="shared" si="3"/>
        <v/>
      </c>
    </row>
    <row r="11" spans="1:12" x14ac:dyDescent="0.25">
      <c r="A11" s="145" t="str">
        <f>+'Groups Stage'!A12</f>
        <v>GB1</v>
      </c>
      <c r="B11" s="146" t="str">
        <f>+'Groups Stage'!E12</f>
        <v>Canada</v>
      </c>
      <c r="C11" s="145">
        <f>+'Groups Stage'!F12</f>
        <v>1</v>
      </c>
      <c r="D11" s="147">
        <f>+'Groups Stage'!G12</f>
        <v>0</v>
      </c>
      <c r="E11" s="147" t="str">
        <f>+'Groups Stage'!H12</f>
        <v>Bosnia</v>
      </c>
      <c r="I11" s="280" t="str">
        <f t="shared" si="0"/>
        <v>Canada</v>
      </c>
      <c r="J11" s="280" t="str">
        <f t="shared" si="1"/>
        <v/>
      </c>
      <c r="K11" s="280" t="str">
        <f t="shared" si="2"/>
        <v/>
      </c>
      <c r="L11" s="280" t="str">
        <f t="shared" si="3"/>
        <v>Bosnia</v>
      </c>
    </row>
    <row r="12" spans="1:12" x14ac:dyDescent="0.25">
      <c r="A12" t="str">
        <f>+'Groups Stage'!A13</f>
        <v>GB2</v>
      </c>
      <c r="B12" s="141" t="str">
        <f>+'Groups Stage'!E13</f>
        <v>Qatar</v>
      </c>
      <c r="C12">
        <f>+'Groups Stage'!F13</f>
        <v>1</v>
      </c>
      <c r="D12" s="142">
        <f>+'Groups Stage'!G13</f>
        <v>3</v>
      </c>
      <c r="E12" s="142" t="str">
        <f>+'Groups Stage'!H13</f>
        <v>Suiza</v>
      </c>
      <c r="I12" s="278" t="str">
        <f t="shared" si="0"/>
        <v>Suiza</v>
      </c>
      <c r="J12" s="278" t="str">
        <f t="shared" si="1"/>
        <v/>
      </c>
      <c r="K12" s="278" t="str">
        <f t="shared" si="2"/>
        <v/>
      </c>
      <c r="L12" s="278" t="str">
        <f t="shared" si="3"/>
        <v>Qatar</v>
      </c>
    </row>
    <row r="13" spans="1:12" x14ac:dyDescent="0.25">
      <c r="A13" t="str">
        <f>+'Groups Stage'!A14</f>
        <v>GB3</v>
      </c>
      <c r="B13" s="141" t="str">
        <f>+'Groups Stage'!E14</f>
        <v>Suiza</v>
      </c>
      <c r="C13">
        <f>+'Groups Stage'!F14</f>
        <v>2</v>
      </c>
      <c r="D13" s="142">
        <f>+'Groups Stage'!G14</f>
        <v>0</v>
      </c>
      <c r="E13" s="142" t="str">
        <f>+'Groups Stage'!H14</f>
        <v>Bosnia</v>
      </c>
      <c r="I13" s="278" t="str">
        <f t="shared" si="0"/>
        <v>Suiza</v>
      </c>
      <c r="J13" s="278" t="str">
        <f t="shared" si="1"/>
        <v/>
      </c>
      <c r="K13" s="278" t="str">
        <f t="shared" si="2"/>
        <v/>
      </c>
      <c r="L13" s="278" t="str">
        <f t="shared" si="3"/>
        <v>Bosnia</v>
      </c>
    </row>
    <row r="14" spans="1:12" x14ac:dyDescent="0.25">
      <c r="A14" t="str">
        <f>+'Groups Stage'!A15</f>
        <v>GB4</v>
      </c>
      <c r="B14" s="141" t="str">
        <f>+'Groups Stage'!E15</f>
        <v>Canada</v>
      </c>
      <c r="C14">
        <f>+'Groups Stage'!F15</f>
        <v>2</v>
      </c>
      <c r="D14" s="142">
        <f>+'Groups Stage'!G15</f>
        <v>0</v>
      </c>
      <c r="E14" s="142" t="str">
        <f>+'Groups Stage'!H15</f>
        <v>Qatar</v>
      </c>
      <c r="I14" s="278" t="str">
        <f t="shared" si="0"/>
        <v>Canada</v>
      </c>
      <c r="J14" s="278" t="str">
        <f t="shared" si="1"/>
        <v/>
      </c>
      <c r="K14" s="278" t="str">
        <f t="shared" si="2"/>
        <v/>
      </c>
      <c r="L14" s="278" t="str">
        <f t="shared" si="3"/>
        <v>Qatar</v>
      </c>
    </row>
    <row r="15" spans="1:12" x14ac:dyDescent="0.25">
      <c r="A15" t="str">
        <f>+'Groups Stage'!A16</f>
        <v>GB5</v>
      </c>
      <c r="B15" s="141" t="str">
        <f>+'Groups Stage'!E16</f>
        <v>Suiza</v>
      </c>
      <c r="C15">
        <f>+'Groups Stage'!F16</f>
        <v>1</v>
      </c>
      <c r="D15" s="142">
        <f>+'Groups Stage'!G16</f>
        <v>1</v>
      </c>
      <c r="E15" s="142" t="str">
        <f>+'Groups Stage'!H16</f>
        <v>Canada</v>
      </c>
      <c r="I15" s="278" t="str">
        <f t="shared" si="0"/>
        <v/>
      </c>
      <c r="J15" s="278" t="str">
        <f t="shared" si="1"/>
        <v>Suiza</v>
      </c>
      <c r="K15" s="278" t="str">
        <f t="shared" si="2"/>
        <v>Canada</v>
      </c>
      <c r="L15" s="278" t="str">
        <f t="shared" si="3"/>
        <v/>
      </c>
    </row>
    <row r="16" spans="1:12" x14ac:dyDescent="0.25">
      <c r="A16" s="7" t="str">
        <f>+'Groups Stage'!A17</f>
        <v>GB6</v>
      </c>
      <c r="B16" s="143" t="str">
        <f>+'Groups Stage'!E17</f>
        <v>Bosnia</v>
      </c>
      <c r="C16" s="7">
        <f>+'Groups Stage'!F17</f>
        <v>2</v>
      </c>
      <c r="D16" s="144">
        <f>+'Groups Stage'!G17</f>
        <v>0</v>
      </c>
      <c r="E16" s="144" t="str">
        <f>+'Groups Stage'!H17</f>
        <v>Qatar</v>
      </c>
      <c r="I16" s="281" t="str">
        <f t="shared" si="0"/>
        <v>Bosnia</v>
      </c>
      <c r="J16" s="281" t="str">
        <f t="shared" si="1"/>
        <v/>
      </c>
      <c r="K16" s="281" t="str">
        <f t="shared" si="2"/>
        <v/>
      </c>
      <c r="L16" s="281" t="str">
        <f t="shared" si="3"/>
        <v>Qatar</v>
      </c>
    </row>
    <row r="17" spans="1:12" x14ac:dyDescent="0.25">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5">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5">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5">
      <c r="A20" s="145" t="str">
        <f>+'Groups Stage'!A21</f>
        <v>GC1</v>
      </c>
      <c r="B20" s="146" t="str">
        <f>+'Groups Stage'!E21</f>
        <v>Brasil</v>
      </c>
      <c r="C20" s="145">
        <f>+'Groups Stage'!F21</f>
        <v>0</v>
      </c>
      <c r="D20" s="147">
        <f>+'Groups Stage'!G21</f>
        <v>1</v>
      </c>
      <c r="E20" s="147" t="str">
        <f>+'Groups Stage'!H21</f>
        <v>Marruecos</v>
      </c>
      <c r="I20" s="280" t="str">
        <f t="shared" si="0"/>
        <v>Marruecos</v>
      </c>
      <c r="J20" s="280" t="str">
        <f t="shared" si="1"/>
        <v/>
      </c>
      <c r="K20" s="280" t="str">
        <f t="shared" si="2"/>
        <v/>
      </c>
      <c r="L20" s="280" t="str">
        <f t="shared" si="3"/>
        <v>Brasil</v>
      </c>
    </row>
    <row r="21" spans="1:12" x14ac:dyDescent="0.25">
      <c r="A21" t="str">
        <f>+'Groups Stage'!A22</f>
        <v>GC2</v>
      </c>
      <c r="B21" s="141" t="str">
        <f>+'Groups Stage'!E22</f>
        <v>Haiti</v>
      </c>
      <c r="C21">
        <f>+'Groups Stage'!F22</f>
        <v>0</v>
      </c>
      <c r="D21" s="142">
        <f>+'Groups Stage'!G22</f>
        <v>3</v>
      </c>
      <c r="E21" s="142" t="str">
        <f>+'Groups Stage'!H22</f>
        <v>Escocia</v>
      </c>
      <c r="I21" s="278" t="str">
        <f t="shared" si="0"/>
        <v>Escocia</v>
      </c>
      <c r="J21" s="278" t="str">
        <f t="shared" si="1"/>
        <v/>
      </c>
      <c r="K21" s="278" t="str">
        <f t="shared" si="2"/>
        <v/>
      </c>
      <c r="L21" s="278" t="str">
        <f t="shared" si="3"/>
        <v>Haiti</v>
      </c>
    </row>
    <row r="22" spans="1:12" x14ac:dyDescent="0.25">
      <c r="A22" t="str">
        <f>+'Groups Stage'!A23</f>
        <v>GC3</v>
      </c>
      <c r="B22" s="141" t="str">
        <f>+'Groups Stage'!E23</f>
        <v>Brasil</v>
      </c>
      <c r="C22">
        <f>+'Groups Stage'!F23</f>
        <v>4</v>
      </c>
      <c r="D22" s="142">
        <f>+'Groups Stage'!G23</f>
        <v>0</v>
      </c>
      <c r="E22" s="142" t="str">
        <f>+'Groups Stage'!H23</f>
        <v>Haiti</v>
      </c>
      <c r="I22" s="278" t="str">
        <f t="shared" si="0"/>
        <v>Brasil</v>
      </c>
      <c r="J22" s="278" t="str">
        <f t="shared" si="1"/>
        <v/>
      </c>
      <c r="K22" s="278" t="str">
        <f t="shared" si="2"/>
        <v/>
      </c>
      <c r="L22" s="278" t="str">
        <f t="shared" si="3"/>
        <v>Haiti</v>
      </c>
    </row>
    <row r="23" spans="1:12" x14ac:dyDescent="0.25">
      <c r="A23" t="str">
        <f>+'Groups Stage'!A24</f>
        <v>GC4</v>
      </c>
      <c r="B23" s="141" t="str">
        <f>+'Groups Stage'!E24</f>
        <v>Escocia</v>
      </c>
      <c r="C23">
        <f>+'Groups Stage'!F24</f>
        <v>1</v>
      </c>
      <c r="D23" s="142">
        <f>+'Groups Stage'!G24</f>
        <v>2</v>
      </c>
      <c r="E23" s="142" t="str">
        <f>+'Groups Stage'!H24</f>
        <v>Marruecos</v>
      </c>
      <c r="I23" s="278" t="str">
        <f t="shared" si="0"/>
        <v>Marruecos</v>
      </c>
      <c r="J23" s="278" t="str">
        <f t="shared" si="1"/>
        <v/>
      </c>
      <c r="K23" s="278" t="str">
        <f t="shared" si="2"/>
        <v/>
      </c>
      <c r="L23" s="278" t="str">
        <f t="shared" si="3"/>
        <v>Escocia</v>
      </c>
    </row>
    <row r="24" spans="1:12" x14ac:dyDescent="0.25">
      <c r="A24" t="str">
        <f>+'Groups Stage'!A25</f>
        <v>GC5</v>
      </c>
      <c r="B24" s="141" t="str">
        <f>+'Groups Stage'!E25</f>
        <v>Escocia</v>
      </c>
      <c r="C24">
        <f>+'Groups Stage'!F25</f>
        <v>0</v>
      </c>
      <c r="D24" s="142">
        <f>+'Groups Stage'!G25</f>
        <v>2</v>
      </c>
      <c r="E24" s="142" t="str">
        <f>+'Groups Stage'!H25</f>
        <v>Brasil</v>
      </c>
      <c r="I24" s="278" t="str">
        <f t="shared" si="0"/>
        <v>Brasil</v>
      </c>
      <c r="J24" s="278" t="str">
        <f t="shared" si="1"/>
        <v/>
      </c>
      <c r="K24" s="278" t="str">
        <f t="shared" si="2"/>
        <v/>
      </c>
      <c r="L24" s="278" t="str">
        <f t="shared" si="3"/>
        <v>Escocia</v>
      </c>
    </row>
    <row r="25" spans="1:12" x14ac:dyDescent="0.25">
      <c r="A25" s="7" t="str">
        <f>+'Groups Stage'!A26</f>
        <v>GC6</v>
      </c>
      <c r="B25" s="143" t="str">
        <f>+'Groups Stage'!E26</f>
        <v>Marruecos</v>
      </c>
      <c r="C25" s="7">
        <f>+'Groups Stage'!F26</f>
        <v>3</v>
      </c>
      <c r="D25" s="144">
        <f>+'Groups Stage'!G26</f>
        <v>0</v>
      </c>
      <c r="E25" s="144" t="str">
        <f>+'Groups Stage'!H26</f>
        <v>Haiti</v>
      </c>
      <c r="I25" s="281" t="str">
        <f t="shared" si="0"/>
        <v>Marruecos</v>
      </c>
      <c r="J25" s="281" t="str">
        <f t="shared" si="1"/>
        <v/>
      </c>
      <c r="K25" s="281" t="str">
        <f t="shared" si="2"/>
        <v/>
      </c>
      <c r="L25" s="281" t="str">
        <f t="shared" si="3"/>
        <v>Haiti</v>
      </c>
    </row>
    <row r="26" spans="1:12" x14ac:dyDescent="0.25">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5">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5">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5">
      <c r="A29" s="145" t="str">
        <f>+'Groups Stage'!A30</f>
        <v>GD1</v>
      </c>
      <c r="B29" s="146" t="str">
        <f>+'Groups Stage'!E30</f>
        <v>Estados Unidos</v>
      </c>
      <c r="C29" s="145">
        <f>+'Groups Stage'!F30</f>
        <v>1</v>
      </c>
      <c r="D29" s="147">
        <f>+'Groups Stage'!G30</f>
        <v>2</v>
      </c>
      <c r="E29" s="147" t="str">
        <f>+'Groups Stage'!H30</f>
        <v>Paraguay</v>
      </c>
      <c r="I29" s="280" t="str">
        <f t="shared" si="0"/>
        <v>Paraguay</v>
      </c>
      <c r="J29" s="280" t="str">
        <f t="shared" si="1"/>
        <v/>
      </c>
      <c r="K29" s="280" t="str">
        <f t="shared" si="2"/>
        <v/>
      </c>
      <c r="L29" s="280" t="str">
        <f t="shared" si="3"/>
        <v>Estados Unidos</v>
      </c>
    </row>
    <row r="30" spans="1:12" x14ac:dyDescent="0.25">
      <c r="A30" t="str">
        <f>+'Groups Stage'!A31</f>
        <v>GD2</v>
      </c>
      <c r="B30" s="141" t="str">
        <f>+'Groups Stage'!E31</f>
        <v>Australia</v>
      </c>
      <c r="C30">
        <f>+'Groups Stage'!F31</f>
        <v>2</v>
      </c>
      <c r="D30" s="142">
        <f>+'Groups Stage'!G31</f>
        <v>1</v>
      </c>
      <c r="E30" s="142" t="str">
        <f>+'Groups Stage'!H31</f>
        <v>Turquia</v>
      </c>
      <c r="I30" s="278" t="str">
        <f t="shared" si="0"/>
        <v>Australia</v>
      </c>
      <c r="J30" s="278" t="str">
        <f t="shared" si="1"/>
        <v/>
      </c>
      <c r="K30" s="278" t="str">
        <f t="shared" si="2"/>
        <v/>
      </c>
      <c r="L30" s="278" t="str">
        <f t="shared" si="3"/>
        <v>Turquia</v>
      </c>
    </row>
    <row r="31" spans="1:12" x14ac:dyDescent="0.25">
      <c r="A31" t="str">
        <f>+'Groups Stage'!A32</f>
        <v>GD3</v>
      </c>
      <c r="B31" s="141" t="str">
        <f>+'Groups Stage'!E32</f>
        <v>Turquia</v>
      </c>
      <c r="C31">
        <f>+'Groups Stage'!F32</f>
        <v>0</v>
      </c>
      <c r="D31" s="142">
        <f>+'Groups Stage'!G32</f>
        <v>2</v>
      </c>
      <c r="E31" s="142" t="str">
        <f>+'Groups Stage'!H32</f>
        <v>Paraguay</v>
      </c>
      <c r="I31" s="278" t="str">
        <f t="shared" si="0"/>
        <v>Paraguay</v>
      </c>
      <c r="J31" s="278" t="str">
        <f t="shared" si="1"/>
        <v/>
      </c>
      <c r="K31" s="278" t="str">
        <f t="shared" si="2"/>
        <v/>
      </c>
      <c r="L31" s="278" t="str">
        <f t="shared" si="3"/>
        <v>Turquia</v>
      </c>
    </row>
    <row r="32" spans="1:12" x14ac:dyDescent="0.25">
      <c r="A32" t="str">
        <f>+'Groups Stage'!A33</f>
        <v>GD4</v>
      </c>
      <c r="B32" s="141" t="str">
        <f>+'Groups Stage'!E33</f>
        <v>Estados Unidos</v>
      </c>
      <c r="C32">
        <f>+'Groups Stage'!F33</f>
        <v>2</v>
      </c>
      <c r="D32" s="142">
        <f>+'Groups Stage'!G33</f>
        <v>1</v>
      </c>
      <c r="E32" s="142" t="str">
        <f>+'Groups Stage'!H33</f>
        <v>Australia</v>
      </c>
      <c r="I32" s="278" t="str">
        <f t="shared" si="0"/>
        <v>Estados Unidos</v>
      </c>
      <c r="J32" s="278" t="str">
        <f t="shared" si="1"/>
        <v/>
      </c>
      <c r="K32" s="278" t="str">
        <f t="shared" si="2"/>
        <v/>
      </c>
      <c r="L32" s="278" t="str">
        <f t="shared" si="3"/>
        <v>Australia</v>
      </c>
    </row>
    <row r="33" spans="1:12" x14ac:dyDescent="0.25">
      <c r="A33" t="str">
        <f>+'Groups Stage'!A34</f>
        <v>GD5</v>
      </c>
      <c r="B33" s="141" t="str">
        <f>+'Groups Stage'!E34</f>
        <v>Turquia</v>
      </c>
      <c r="C33">
        <f>+'Groups Stage'!F34</f>
        <v>1</v>
      </c>
      <c r="D33" s="142">
        <f>+'Groups Stage'!G34</f>
        <v>1</v>
      </c>
      <c r="E33" s="142" t="str">
        <f>+'Groups Stage'!H34</f>
        <v>Estados Unidos</v>
      </c>
      <c r="I33" s="278" t="str">
        <f t="shared" si="0"/>
        <v/>
      </c>
      <c r="J33" s="278" t="str">
        <f t="shared" si="1"/>
        <v>Turquia</v>
      </c>
      <c r="K33" s="278" t="str">
        <f t="shared" si="2"/>
        <v>Estados Unidos</v>
      </c>
      <c r="L33" s="278" t="str">
        <f t="shared" si="3"/>
        <v/>
      </c>
    </row>
    <row r="34" spans="1:12" x14ac:dyDescent="0.25">
      <c r="A34" s="7" t="str">
        <f>+'Groups Stage'!A35</f>
        <v>GD6</v>
      </c>
      <c r="B34" s="143" t="str">
        <f>+'Groups Stage'!E35</f>
        <v>Paraguay</v>
      </c>
      <c r="C34" s="7">
        <f>+'Groups Stage'!F35</f>
        <v>1</v>
      </c>
      <c r="D34" s="144">
        <f>+'Groups Stage'!G35</f>
        <v>0</v>
      </c>
      <c r="E34" s="144" t="str">
        <f>+'Groups Stage'!H35</f>
        <v>Australia</v>
      </c>
      <c r="I34" s="281" t="str">
        <f t="shared" si="0"/>
        <v>Paraguay</v>
      </c>
      <c r="J34" s="281" t="str">
        <f t="shared" si="1"/>
        <v/>
      </c>
      <c r="K34" s="281" t="str">
        <f t="shared" si="2"/>
        <v/>
      </c>
      <c r="L34" s="281" t="str">
        <f t="shared" si="3"/>
        <v>Australia</v>
      </c>
    </row>
    <row r="35" spans="1:12" x14ac:dyDescent="0.25">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5">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5">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5">
      <c r="A38" s="145" t="str">
        <f>+'Groups Stage'!A39</f>
        <v>GE1</v>
      </c>
      <c r="B38" s="146" t="str">
        <f>+'Groups Stage'!E39</f>
        <v>Alemania</v>
      </c>
      <c r="C38" s="145">
        <f>+'Groups Stage'!F39</f>
        <v>4</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5">
      <c r="A39" t="str">
        <f>+'Groups Stage'!A40</f>
        <v>GE2</v>
      </c>
      <c r="B39" s="141" t="str">
        <f>+'Groups Stage'!E40</f>
        <v>Costa de Marfil</v>
      </c>
      <c r="C39">
        <f>+'Groups Stage'!F40</f>
        <v>1</v>
      </c>
      <c r="D39" s="142">
        <f>+'Groups Stage'!G40</f>
        <v>2</v>
      </c>
      <c r="E39" s="142" t="str">
        <f>+'Groups Stage'!H40</f>
        <v>Ecuador</v>
      </c>
      <c r="I39" s="278" t="str">
        <f t="shared" si="0"/>
        <v>Ecuador</v>
      </c>
      <c r="J39" s="278" t="str">
        <f t="shared" si="1"/>
        <v/>
      </c>
      <c r="K39" s="278" t="str">
        <f t="shared" si="2"/>
        <v/>
      </c>
      <c r="L39" s="278" t="str">
        <f t="shared" si="3"/>
        <v>Costa de Marfil</v>
      </c>
    </row>
    <row r="40" spans="1:12" x14ac:dyDescent="0.25">
      <c r="A40" t="str">
        <f>+'Groups Stage'!A41</f>
        <v>GE3</v>
      </c>
      <c r="B40" s="141" t="str">
        <f>+'Groups Stage'!E41</f>
        <v>Alemania</v>
      </c>
      <c r="C40">
        <f>+'Groups Stage'!F41</f>
        <v>2</v>
      </c>
      <c r="D40" s="142">
        <f>+'Groups Stage'!G41</f>
        <v>0</v>
      </c>
      <c r="E40" s="142" t="str">
        <f>+'Groups Stage'!H41</f>
        <v>Costa de Marfil</v>
      </c>
      <c r="I40" s="278" t="str">
        <f t="shared" si="0"/>
        <v>Alemania</v>
      </c>
      <c r="J40" s="278" t="str">
        <f t="shared" si="1"/>
        <v/>
      </c>
      <c r="K40" s="278" t="str">
        <f t="shared" si="2"/>
        <v/>
      </c>
      <c r="L40" s="278" t="str">
        <f t="shared" si="3"/>
        <v>Costa de Marfil</v>
      </c>
    </row>
    <row r="41" spans="1:12" x14ac:dyDescent="0.25">
      <c r="A41" t="str">
        <f>+'Groups Stage'!A42</f>
        <v>GE4</v>
      </c>
      <c r="B41" s="141" t="str">
        <f>+'Groups Stage'!E42</f>
        <v>Ecuador</v>
      </c>
      <c r="C41">
        <f>+'Groups Stage'!F42</f>
        <v>2</v>
      </c>
      <c r="D41" s="142">
        <f>+'Groups Stage'!G42</f>
        <v>0</v>
      </c>
      <c r="E41" s="142" t="str">
        <f>+'Groups Stage'!H42</f>
        <v>Curazao</v>
      </c>
      <c r="I41" s="278" t="str">
        <f t="shared" si="0"/>
        <v>Ecuador</v>
      </c>
      <c r="J41" s="278" t="str">
        <f t="shared" si="1"/>
        <v/>
      </c>
      <c r="K41" s="278" t="str">
        <f t="shared" si="2"/>
        <v/>
      </c>
      <c r="L41" s="278" t="str">
        <f t="shared" si="3"/>
        <v>Curazao</v>
      </c>
    </row>
    <row r="42" spans="1:12" x14ac:dyDescent="0.25">
      <c r="A42" t="str">
        <f>+'Groups Stage'!A43</f>
        <v>GE5</v>
      </c>
      <c r="B42" s="141" t="str">
        <f>+'Groups Stage'!E43</f>
        <v>Ecuador</v>
      </c>
      <c r="C42">
        <f>+'Groups Stage'!F43</f>
        <v>2</v>
      </c>
      <c r="D42" s="142">
        <f>+'Groups Stage'!G43</f>
        <v>2</v>
      </c>
      <c r="E42" s="142" t="str">
        <f>+'Groups Stage'!H43</f>
        <v>Alemania</v>
      </c>
      <c r="I42" s="278" t="str">
        <f t="shared" si="0"/>
        <v/>
      </c>
      <c r="J42" s="278" t="str">
        <f t="shared" si="1"/>
        <v>Ecuador</v>
      </c>
      <c r="K42" s="278" t="str">
        <f t="shared" si="2"/>
        <v>Alemania</v>
      </c>
      <c r="L42" s="278" t="str">
        <f t="shared" si="3"/>
        <v/>
      </c>
    </row>
    <row r="43" spans="1:12" x14ac:dyDescent="0.25">
      <c r="A43" s="7" t="str">
        <f>+'Groups Stage'!A44</f>
        <v>GE6</v>
      </c>
      <c r="B43" s="143" t="str">
        <f>+'Groups Stage'!E44</f>
        <v>Curazao</v>
      </c>
      <c r="C43" s="7">
        <f>+'Groups Stage'!F44</f>
        <v>0</v>
      </c>
      <c r="D43" s="144">
        <f>+'Groups Stage'!G44</f>
        <v>2</v>
      </c>
      <c r="E43" s="144" t="str">
        <f>+'Groups Stage'!H44</f>
        <v>Costa de Marfil</v>
      </c>
      <c r="I43" s="281" t="str">
        <f t="shared" si="0"/>
        <v>Costa de Marfil</v>
      </c>
      <c r="J43" s="281" t="str">
        <f t="shared" si="1"/>
        <v/>
      </c>
      <c r="K43" s="281" t="str">
        <f t="shared" si="2"/>
        <v/>
      </c>
      <c r="L43" s="281" t="str">
        <f t="shared" si="3"/>
        <v>Curazao</v>
      </c>
    </row>
    <row r="44" spans="1:12" x14ac:dyDescent="0.25">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5">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5">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5">
      <c r="A47" s="145" t="str">
        <f>+'Groups Stage'!A48</f>
        <v>GF1</v>
      </c>
      <c r="B47" s="146" t="str">
        <f>+'Groups Stage'!E48</f>
        <v>Paises Bajos</v>
      </c>
      <c r="C47" s="145">
        <f>+'Groups Stage'!F48</f>
        <v>1</v>
      </c>
      <c r="D47" s="147">
        <f>+'Groups Stage'!G48</f>
        <v>2</v>
      </c>
      <c r="E47" s="147" t="str">
        <f>+'Groups Stage'!H48</f>
        <v>Japon</v>
      </c>
      <c r="I47" s="280" t="str">
        <f t="shared" si="0"/>
        <v>Japon</v>
      </c>
      <c r="J47" s="280" t="str">
        <f t="shared" si="1"/>
        <v/>
      </c>
      <c r="K47" s="280" t="str">
        <f t="shared" si="2"/>
        <v/>
      </c>
      <c r="L47" s="280" t="str">
        <f t="shared" si="3"/>
        <v>Paises Bajos</v>
      </c>
    </row>
    <row r="48" spans="1:12" x14ac:dyDescent="0.25">
      <c r="A48" t="str">
        <f>+'Groups Stage'!A49</f>
        <v>GF2</v>
      </c>
      <c r="B48" s="141" t="str">
        <f>+'Groups Stage'!E49</f>
        <v>Suecia</v>
      </c>
      <c r="C48">
        <f>+'Groups Stage'!F49</f>
        <v>2</v>
      </c>
      <c r="D48" s="142">
        <f>+'Groups Stage'!G49</f>
        <v>0</v>
      </c>
      <c r="E48" s="142" t="str">
        <f>+'Groups Stage'!H49</f>
        <v>Tunez</v>
      </c>
      <c r="I48" s="278" t="str">
        <f t="shared" si="0"/>
        <v>Suecia</v>
      </c>
      <c r="J48" s="278" t="str">
        <f t="shared" si="1"/>
        <v/>
      </c>
      <c r="K48" s="278" t="str">
        <f t="shared" si="2"/>
        <v/>
      </c>
      <c r="L48" s="278" t="str">
        <f t="shared" si="3"/>
        <v>Tunez</v>
      </c>
    </row>
    <row r="49" spans="1:12" x14ac:dyDescent="0.25">
      <c r="A49" t="str">
        <f>+'Groups Stage'!A50</f>
        <v>GF3</v>
      </c>
      <c r="B49" s="141" t="str">
        <f>+'Groups Stage'!E50</f>
        <v>Paises Bajos</v>
      </c>
      <c r="C49">
        <f>+'Groups Stage'!F50</f>
        <v>2</v>
      </c>
      <c r="D49" s="142">
        <f>+'Groups Stage'!G50</f>
        <v>1</v>
      </c>
      <c r="E49" s="142" t="str">
        <f>+'Groups Stage'!H50</f>
        <v>Suecia</v>
      </c>
      <c r="I49" s="278" t="str">
        <f t="shared" si="0"/>
        <v>Paises Bajos</v>
      </c>
      <c r="J49" s="278" t="str">
        <f t="shared" si="1"/>
        <v/>
      </c>
      <c r="K49" s="278" t="str">
        <f t="shared" si="2"/>
        <v/>
      </c>
      <c r="L49" s="278" t="str">
        <f t="shared" si="3"/>
        <v>Suecia</v>
      </c>
    </row>
    <row r="50" spans="1:12" x14ac:dyDescent="0.25">
      <c r="A50" t="str">
        <f>+'Groups Stage'!A51</f>
        <v>GF4</v>
      </c>
      <c r="B50" s="141" t="str">
        <f>+'Groups Stage'!E51</f>
        <v>Tunez</v>
      </c>
      <c r="C50">
        <f>+'Groups Stage'!F51</f>
        <v>1</v>
      </c>
      <c r="D50" s="142">
        <f>+'Groups Stage'!G51</f>
        <v>3</v>
      </c>
      <c r="E50" s="142" t="str">
        <f>+'Groups Stage'!H51</f>
        <v>Japon</v>
      </c>
      <c r="I50" s="278" t="str">
        <f t="shared" si="0"/>
        <v>Japon</v>
      </c>
      <c r="J50" s="278" t="str">
        <f t="shared" si="1"/>
        <v/>
      </c>
      <c r="K50" s="278" t="str">
        <f t="shared" si="2"/>
        <v/>
      </c>
      <c r="L50" s="278" t="str">
        <f t="shared" si="3"/>
        <v>Tunez</v>
      </c>
    </row>
    <row r="51" spans="1:12" x14ac:dyDescent="0.25">
      <c r="A51" t="str">
        <f>+'Groups Stage'!A52</f>
        <v>GF5</v>
      </c>
      <c r="B51" s="141" t="str">
        <f>+'Groups Stage'!E52</f>
        <v>Japon</v>
      </c>
      <c r="C51">
        <f>+'Groups Stage'!F52</f>
        <v>2</v>
      </c>
      <c r="D51" s="142">
        <f>+'Groups Stage'!G52</f>
        <v>2</v>
      </c>
      <c r="E51" s="142" t="str">
        <f>+'Groups Stage'!H52</f>
        <v>Suecia</v>
      </c>
      <c r="I51" s="278" t="str">
        <f t="shared" si="0"/>
        <v/>
      </c>
      <c r="J51" s="278" t="str">
        <f t="shared" si="1"/>
        <v>Japon</v>
      </c>
      <c r="K51" s="278" t="str">
        <f t="shared" si="2"/>
        <v>Suecia</v>
      </c>
      <c r="L51" s="278" t="str">
        <f t="shared" si="3"/>
        <v/>
      </c>
    </row>
    <row r="52" spans="1:12" x14ac:dyDescent="0.25">
      <c r="A52" s="7" t="str">
        <f>+'Groups Stage'!A53</f>
        <v>GF6</v>
      </c>
      <c r="B52" s="143" t="str">
        <f>+'Groups Stage'!E53</f>
        <v>Tunez</v>
      </c>
      <c r="C52" s="7">
        <f>+'Groups Stage'!F53</f>
        <v>1</v>
      </c>
      <c r="D52" s="144">
        <f>+'Groups Stage'!G53</f>
        <v>2</v>
      </c>
      <c r="E52" s="144" t="str">
        <f>+'Groups Stage'!H53</f>
        <v>Paises Bajos</v>
      </c>
      <c r="I52" s="281" t="str">
        <f t="shared" si="0"/>
        <v>Paises Bajos</v>
      </c>
      <c r="J52" s="281" t="str">
        <f t="shared" si="1"/>
        <v/>
      </c>
      <c r="K52" s="281" t="str">
        <f t="shared" si="2"/>
        <v/>
      </c>
      <c r="L52" s="281" t="str">
        <f t="shared" si="3"/>
        <v>Tunez</v>
      </c>
    </row>
    <row r="53" spans="1:12" x14ac:dyDescent="0.25">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5">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5">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5">
      <c r="A56" s="145" t="str">
        <f>+'Groups Stage'!A57</f>
        <v>GG1</v>
      </c>
      <c r="B56" s="146" t="str">
        <f>+'Groups Stage'!E57</f>
        <v>Iran</v>
      </c>
      <c r="C56" s="145">
        <f>+'Groups Stage'!F57</f>
        <v>1</v>
      </c>
      <c r="D56" s="147">
        <f>+'Groups Stage'!G57</f>
        <v>0</v>
      </c>
      <c r="E56" s="147" t="str">
        <f>+'Groups Stage'!H57</f>
        <v>Nueva Zelanda</v>
      </c>
      <c r="I56" s="280" t="str">
        <f t="shared" si="0"/>
        <v>Iran</v>
      </c>
      <c r="J56" s="280" t="str">
        <f t="shared" si="1"/>
        <v/>
      </c>
      <c r="K56" s="280" t="str">
        <f t="shared" si="2"/>
        <v/>
      </c>
      <c r="L56" s="280" t="str">
        <f t="shared" si="3"/>
        <v>Nueva Zelanda</v>
      </c>
    </row>
    <row r="57" spans="1:12" x14ac:dyDescent="0.25">
      <c r="A57" t="str">
        <f>+'Groups Stage'!A58</f>
        <v>GG2</v>
      </c>
      <c r="B57" s="141" t="str">
        <f>+'Groups Stage'!E58</f>
        <v>Belgica</v>
      </c>
      <c r="C57">
        <f>+'Groups Stage'!F58</f>
        <v>2</v>
      </c>
      <c r="D57" s="142">
        <f>+'Groups Stage'!G58</f>
        <v>1</v>
      </c>
      <c r="E57" s="142" t="str">
        <f>+'Groups Stage'!H58</f>
        <v>Egipto</v>
      </c>
      <c r="I57" s="278" t="str">
        <f t="shared" si="0"/>
        <v>Belgica</v>
      </c>
      <c r="J57" s="278" t="str">
        <f t="shared" si="1"/>
        <v/>
      </c>
      <c r="K57" s="278" t="str">
        <f t="shared" si="2"/>
        <v/>
      </c>
      <c r="L57" s="278" t="str">
        <f t="shared" si="3"/>
        <v>Egipto</v>
      </c>
    </row>
    <row r="58" spans="1:12" x14ac:dyDescent="0.25">
      <c r="A58" t="str">
        <f>+'Groups Stage'!A59</f>
        <v>GG3</v>
      </c>
      <c r="B58" s="141" t="str">
        <f>+'Groups Stage'!E59</f>
        <v>Belgica</v>
      </c>
      <c r="C58">
        <f>+'Groups Stage'!F59</f>
        <v>1</v>
      </c>
      <c r="D58" s="142">
        <f>+'Groups Stage'!G59</f>
        <v>1</v>
      </c>
      <c r="E58" s="142" t="str">
        <f>+'Groups Stage'!H59</f>
        <v>Iran</v>
      </c>
      <c r="I58" s="278" t="str">
        <f t="shared" si="0"/>
        <v/>
      </c>
      <c r="J58" s="278" t="str">
        <f t="shared" si="1"/>
        <v>Belgica</v>
      </c>
      <c r="K58" s="278" t="str">
        <f t="shared" si="2"/>
        <v>Iran</v>
      </c>
      <c r="L58" s="278" t="str">
        <f t="shared" si="3"/>
        <v/>
      </c>
    </row>
    <row r="59" spans="1:12" x14ac:dyDescent="0.25">
      <c r="A59" t="str">
        <f>+'Groups Stage'!A60</f>
        <v>GG4</v>
      </c>
      <c r="B59" s="141" t="str">
        <f>+'Groups Stage'!E60</f>
        <v>Nueva Zelanda</v>
      </c>
      <c r="C59">
        <f>+'Groups Stage'!F60</f>
        <v>2</v>
      </c>
      <c r="D59" s="142">
        <f>+'Groups Stage'!G60</f>
        <v>2</v>
      </c>
      <c r="E59" s="142" t="str">
        <f>+'Groups Stage'!H60</f>
        <v>Egipto</v>
      </c>
      <c r="I59" s="278" t="str">
        <f t="shared" si="0"/>
        <v/>
      </c>
      <c r="J59" s="278" t="str">
        <f t="shared" si="1"/>
        <v>Nueva Zelanda</v>
      </c>
      <c r="K59" s="278" t="str">
        <f t="shared" si="2"/>
        <v>Egipto</v>
      </c>
      <c r="L59" s="278" t="str">
        <f t="shared" si="3"/>
        <v/>
      </c>
    </row>
    <row r="60" spans="1:12" x14ac:dyDescent="0.25">
      <c r="A60" t="str">
        <f>+'Groups Stage'!A61</f>
        <v>GG5</v>
      </c>
      <c r="B60" s="141" t="str">
        <f>+'Groups Stage'!E61</f>
        <v>Nueva Zelanda</v>
      </c>
      <c r="C60">
        <f>+'Groups Stage'!F61</f>
        <v>0</v>
      </c>
      <c r="D60" s="142">
        <f>+'Groups Stage'!G61</f>
        <v>2</v>
      </c>
      <c r="E60" s="142" t="str">
        <f>+'Groups Stage'!H61</f>
        <v>Belgica</v>
      </c>
      <c r="I60" s="278" t="str">
        <f t="shared" si="0"/>
        <v>Belgica</v>
      </c>
      <c r="J60" s="278" t="str">
        <f t="shared" si="1"/>
        <v/>
      </c>
      <c r="K60" s="278" t="str">
        <f t="shared" si="2"/>
        <v/>
      </c>
      <c r="L60" s="278" t="str">
        <f t="shared" si="3"/>
        <v>Nueva Zelanda</v>
      </c>
    </row>
    <row r="61" spans="1:12" x14ac:dyDescent="0.25">
      <c r="A61" s="7" t="str">
        <f>+'Groups Stage'!A62</f>
        <v>GG6</v>
      </c>
      <c r="B61" s="143" t="str">
        <f>+'Groups Stage'!E62</f>
        <v>Egipto</v>
      </c>
      <c r="C61" s="7">
        <f>+'Groups Stage'!F62</f>
        <v>1</v>
      </c>
      <c r="D61" s="144">
        <f>+'Groups Stage'!G62</f>
        <v>1</v>
      </c>
      <c r="E61" s="144" t="str">
        <f>+'Groups Stage'!H62</f>
        <v>Iran</v>
      </c>
      <c r="I61" s="281" t="str">
        <f t="shared" si="0"/>
        <v/>
      </c>
      <c r="J61" s="281" t="str">
        <f t="shared" si="1"/>
        <v>Egipto</v>
      </c>
      <c r="K61" s="281" t="str">
        <f t="shared" si="2"/>
        <v>Iran</v>
      </c>
      <c r="L61" s="281" t="str">
        <f t="shared" si="3"/>
        <v/>
      </c>
    </row>
    <row r="62" spans="1:12" x14ac:dyDescent="0.25">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5">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5">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5">
      <c r="A65" s="145" t="str">
        <f>+'Groups Stage'!A66</f>
        <v>GH1</v>
      </c>
      <c r="B65" s="146" t="str">
        <f>+'Groups Stage'!E66</f>
        <v>España</v>
      </c>
      <c r="C65" s="145">
        <f>+'Groups Stage'!F66</f>
        <v>2</v>
      </c>
      <c r="D65" s="147">
        <f>+'Groups Stage'!G66</f>
        <v>1</v>
      </c>
      <c r="E65" s="147" t="str">
        <f>+'Groups Stage'!H66</f>
        <v>Cabo Verde</v>
      </c>
      <c r="I65" s="280" t="str">
        <f t="shared" si="0"/>
        <v>España</v>
      </c>
      <c r="J65" s="280" t="str">
        <f t="shared" si="1"/>
        <v/>
      </c>
      <c r="K65" s="280" t="str">
        <f t="shared" si="2"/>
        <v/>
      </c>
      <c r="L65" s="280" t="str">
        <f t="shared" si="3"/>
        <v>Cabo Verde</v>
      </c>
    </row>
    <row r="66" spans="1:12" x14ac:dyDescent="0.25">
      <c r="A66" t="str">
        <f>+'Groups Stage'!A67</f>
        <v>GH2</v>
      </c>
      <c r="B66" s="141" t="str">
        <f>+'Groups Stage'!E67</f>
        <v>Arabia Saudita</v>
      </c>
      <c r="C66">
        <f>+'Groups Stage'!F67</f>
        <v>1</v>
      </c>
      <c r="D66" s="142">
        <f>+'Groups Stage'!G67</f>
        <v>2</v>
      </c>
      <c r="E66" s="142" t="str">
        <f>+'Groups Stage'!H67</f>
        <v>Uruguay</v>
      </c>
      <c r="I66" s="278" t="str">
        <f t="shared" si="0"/>
        <v>Uruguay</v>
      </c>
      <c r="J66" s="278" t="str">
        <f t="shared" si="1"/>
        <v/>
      </c>
      <c r="K66" s="278" t="str">
        <f t="shared" si="2"/>
        <v/>
      </c>
      <c r="L66" s="278" t="str">
        <f t="shared" si="3"/>
        <v>Arabia Saudita</v>
      </c>
    </row>
    <row r="67" spans="1:12" x14ac:dyDescent="0.25">
      <c r="A67" t="str">
        <f>+'Groups Stage'!A68</f>
        <v>GH3</v>
      </c>
      <c r="B67" s="141" t="str">
        <f>+'Groups Stage'!E68</f>
        <v>España</v>
      </c>
      <c r="C67">
        <f>+'Groups Stage'!F68</f>
        <v>2</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5">
      <c r="A68" t="str">
        <f>+'Groups Stage'!A69</f>
        <v>GH4</v>
      </c>
      <c r="B68" s="141" t="str">
        <f>+'Groups Stage'!E69</f>
        <v>Uruguay</v>
      </c>
      <c r="C68">
        <f>+'Groups Stage'!F69</f>
        <v>3</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5">
      <c r="A69" t="str">
        <f>+'Groups Stage'!A70</f>
        <v>GH5</v>
      </c>
      <c r="B69" s="141" t="str">
        <f>+'Groups Stage'!E70</f>
        <v>Uruguay</v>
      </c>
      <c r="C69">
        <f>+'Groups Stage'!F70</f>
        <v>2</v>
      </c>
      <c r="D69" s="142">
        <f>+'Groups Stage'!G70</f>
        <v>3</v>
      </c>
      <c r="E69" s="142" t="str">
        <f>+'Groups Stage'!H70</f>
        <v>España</v>
      </c>
      <c r="I69" s="278" t="str">
        <f t="shared" si="4"/>
        <v>España</v>
      </c>
      <c r="J69" s="278" t="str">
        <f t="shared" si="5"/>
        <v/>
      </c>
      <c r="K69" s="278" t="str">
        <f t="shared" si="6"/>
        <v/>
      </c>
      <c r="L69" s="278" t="str">
        <f t="shared" si="7"/>
        <v>Uruguay</v>
      </c>
    </row>
    <row r="70" spans="1:12" x14ac:dyDescent="0.25">
      <c r="A70" s="7" t="str">
        <f>+'Groups Stage'!A71</f>
        <v>GH6</v>
      </c>
      <c r="B70" s="143" t="str">
        <f>+'Groups Stage'!E71</f>
        <v>Cabo Verde</v>
      </c>
      <c r="C70" s="7">
        <f>+'Groups Stage'!F71</f>
        <v>1</v>
      </c>
      <c r="D70" s="144">
        <f>+'Groups Stage'!G71</f>
        <v>2</v>
      </c>
      <c r="E70" s="144" t="str">
        <f>+'Groups Stage'!H71</f>
        <v>Arabia Saudita</v>
      </c>
      <c r="I70" s="281" t="str">
        <f t="shared" si="4"/>
        <v>Arabia Saudita</v>
      </c>
      <c r="J70" s="281" t="str">
        <f t="shared" si="5"/>
        <v/>
      </c>
      <c r="K70" s="281" t="str">
        <f t="shared" si="6"/>
        <v/>
      </c>
      <c r="L70" s="281" t="str">
        <f t="shared" si="7"/>
        <v>Cabo Verde</v>
      </c>
    </row>
    <row r="71" spans="1:12" x14ac:dyDescent="0.25">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5">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5">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5">
      <c r="A74" s="145" t="str">
        <f>+'Groups Stage'!A75</f>
        <v>GI1</v>
      </c>
      <c r="B74" s="146" t="str">
        <f>+'Groups Stage'!E75</f>
        <v>Francia</v>
      </c>
      <c r="C74" s="145">
        <f>+'Groups Stage'!F75</f>
        <v>3</v>
      </c>
      <c r="D74" s="147">
        <f>+'Groups Stage'!G75</f>
        <v>1</v>
      </c>
      <c r="E74" s="147" t="str">
        <f>+'Groups Stage'!H75</f>
        <v>Senegal</v>
      </c>
      <c r="I74" s="280" t="str">
        <f t="shared" si="4"/>
        <v>Francia</v>
      </c>
      <c r="J74" s="280" t="str">
        <f t="shared" si="5"/>
        <v/>
      </c>
      <c r="K74" s="280" t="str">
        <f t="shared" si="6"/>
        <v/>
      </c>
      <c r="L74" s="280" t="str">
        <f t="shared" si="7"/>
        <v>Senegal</v>
      </c>
    </row>
    <row r="75" spans="1:12" x14ac:dyDescent="0.25">
      <c r="A75" t="str">
        <f>+'Groups Stage'!A76</f>
        <v>GI2</v>
      </c>
      <c r="B75" s="141" t="str">
        <f>+'Groups Stage'!E76</f>
        <v>Irak</v>
      </c>
      <c r="C75">
        <f>+'Groups Stage'!F76</f>
        <v>0</v>
      </c>
      <c r="D75" s="142">
        <f>+'Groups Stage'!G76</f>
        <v>2</v>
      </c>
      <c r="E75" s="142" t="str">
        <f>+'Groups Stage'!H76</f>
        <v>Noruega</v>
      </c>
      <c r="I75" s="278" t="str">
        <f t="shared" si="4"/>
        <v>Noruega</v>
      </c>
      <c r="J75" s="278" t="str">
        <f t="shared" si="5"/>
        <v/>
      </c>
      <c r="K75" s="278" t="str">
        <f t="shared" si="6"/>
        <v/>
      </c>
      <c r="L75" s="278" t="str">
        <f t="shared" si="7"/>
        <v>Irak</v>
      </c>
    </row>
    <row r="76" spans="1:12" x14ac:dyDescent="0.25">
      <c r="A76" t="str">
        <f>+'Groups Stage'!A77</f>
        <v>GI3</v>
      </c>
      <c r="B76" s="141" t="str">
        <f>+'Groups Stage'!E77</f>
        <v>Francia</v>
      </c>
      <c r="C76">
        <f>+'Groups Stage'!F77</f>
        <v>3</v>
      </c>
      <c r="D76" s="142">
        <f>+'Groups Stage'!G77</f>
        <v>1</v>
      </c>
      <c r="E76" s="142" t="str">
        <f>+'Groups Stage'!H77</f>
        <v>Irak</v>
      </c>
      <c r="I76" s="278" t="str">
        <f t="shared" si="4"/>
        <v>Francia</v>
      </c>
      <c r="J76" s="278" t="str">
        <f t="shared" si="5"/>
        <v/>
      </c>
      <c r="K76" s="278" t="str">
        <f t="shared" si="6"/>
        <v/>
      </c>
      <c r="L76" s="278" t="str">
        <f t="shared" si="7"/>
        <v>Irak</v>
      </c>
    </row>
    <row r="77" spans="1:12" x14ac:dyDescent="0.25">
      <c r="A77" t="str">
        <f>+'Groups Stage'!A78</f>
        <v>GI4</v>
      </c>
      <c r="B77" s="141" t="str">
        <f>+'Groups Stage'!E78</f>
        <v>Noruega</v>
      </c>
      <c r="C77">
        <f>+'Groups Stage'!F78</f>
        <v>2</v>
      </c>
      <c r="D77" s="142">
        <f>+'Groups Stage'!G78</f>
        <v>2</v>
      </c>
      <c r="E77" s="142" t="str">
        <f>+'Groups Stage'!H78</f>
        <v>Senegal</v>
      </c>
      <c r="I77" s="278" t="str">
        <f t="shared" si="4"/>
        <v/>
      </c>
      <c r="J77" s="278" t="str">
        <f t="shared" si="5"/>
        <v>Noruega</v>
      </c>
      <c r="K77" s="278" t="str">
        <f t="shared" si="6"/>
        <v>Senegal</v>
      </c>
      <c r="L77" s="278" t="str">
        <f t="shared" si="7"/>
        <v/>
      </c>
    </row>
    <row r="78" spans="1:12" x14ac:dyDescent="0.25">
      <c r="A78" t="str">
        <f>+'Groups Stage'!A79</f>
        <v>GI5</v>
      </c>
      <c r="B78" s="141" t="str">
        <f>+'Groups Stage'!E79</f>
        <v>Noruega</v>
      </c>
      <c r="C78">
        <f>+'Groups Stage'!F79</f>
        <v>1</v>
      </c>
      <c r="D78" s="142">
        <f>+'Groups Stage'!G79</f>
        <v>2</v>
      </c>
      <c r="E78" s="142" t="str">
        <f>+'Groups Stage'!H79</f>
        <v>Francia</v>
      </c>
      <c r="I78" s="278" t="str">
        <f t="shared" si="4"/>
        <v>Francia</v>
      </c>
      <c r="J78" s="278" t="str">
        <f t="shared" si="5"/>
        <v/>
      </c>
      <c r="K78" s="278" t="str">
        <f t="shared" si="6"/>
        <v/>
      </c>
      <c r="L78" s="278" t="str">
        <f t="shared" si="7"/>
        <v>Noruega</v>
      </c>
    </row>
    <row r="79" spans="1:12" x14ac:dyDescent="0.25">
      <c r="A79" s="7" t="str">
        <f>+'Groups Stage'!A80</f>
        <v>GI6</v>
      </c>
      <c r="B79" s="143" t="str">
        <f>+'Groups Stage'!E80</f>
        <v>Senegal</v>
      </c>
      <c r="C79" s="7">
        <f>+'Groups Stage'!F80</f>
        <v>1</v>
      </c>
      <c r="D79" s="144">
        <f>+'Groups Stage'!G80</f>
        <v>0</v>
      </c>
      <c r="E79" s="144" t="str">
        <f>+'Groups Stage'!H80</f>
        <v>Irak</v>
      </c>
      <c r="I79" s="281" t="str">
        <f t="shared" si="4"/>
        <v>Senegal</v>
      </c>
      <c r="J79" s="281" t="str">
        <f t="shared" si="5"/>
        <v/>
      </c>
      <c r="K79" s="281" t="str">
        <f t="shared" si="6"/>
        <v/>
      </c>
      <c r="L79" s="281" t="str">
        <f t="shared" si="7"/>
        <v>Irak</v>
      </c>
    </row>
    <row r="80" spans="1:12" x14ac:dyDescent="0.25">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5">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5">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5">
      <c r="A83" s="145" t="str">
        <f>+'Groups Stage'!A84</f>
        <v>GJ1</v>
      </c>
      <c r="B83" s="146" t="str">
        <f>+'Groups Stage'!E84</f>
        <v>Argentina</v>
      </c>
      <c r="C83" s="145">
        <f>+'Groups Stage'!F84</f>
        <v>2</v>
      </c>
      <c r="D83" s="147">
        <f>+'Groups Stage'!G84</f>
        <v>1</v>
      </c>
      <c r="E83" s="147" t="str">
        <f>+'Groups Stage'!H84</f>
        <v>Argelia</v>
      </c>
      <c r="I83" s="280" t="str">
        <f t="shared" si="4"/>
        <v>Argentina</v>
      </c>
      <c r="J83" s="280" t="str">
        <f t="shared" si="5"/>
        <v/>
      </c>
      <c r="K83" s="280" t="str">
        <f t="shared" si="6"/>
        <v/>
      </c>
      <c r="L83" s="280" t="str">
        <f t="shared" si="7"/>
        <v>Argelia</v>
      </c>
    </row>
    <row r="84" spans="1:12" x14ac:dyDescent="0.25">
      <c r="A84" t="str">
        <f>+'Groups Stage'!A85</f>
        <v>GJ2</v>
      </c>
      <c r="B84" s="141" t="str">
        <f>+'Groups Stage'!E85</f>
        <v>Austria</v>
      </c>
      <c r="C84">
        <f>+'Groups Stage'!F85</f>
        <v>1</v>
      </c>
      <c r="D84" s="142">
        <f>+'Groups Stage'!G85</f>
        <v>0</v>
      </c>
      <c r="E84" s="142" t="str">
        <f>+'Groups Stage'!H85</f>
        <v>Jordania</v>
      </c>
      <c r="I84" s="278" t="str">
        <f t="shared" si="4"/>
        <v>Austria</v>
      </c>
      <c r="J84" s="278" t="str">
        <f t="shared" si="5"/>
        <v/>
      </c>
      <c r="K84" s="278" t="str">
        <f t="shared" si="6"/>
        <v/>
      </c>
      <c r="L84" s="278" t="str">
        <f t="shared" si="7"/>
        <v>Jordania</v>
      </c>
    </row>
    <row r="85" spans="1:12" x14ac:dyDescent="0.25">
      <c r="A85" t="str">
        <f>+'Groups Stage'!A86</f>
        <v>GJ3</v>
      </c>
      <c r="B85" s="141" t="str">
        <f>+'Groups Stage'!E86</f>
        <v>Argentina</v>
      </c>
      <c r="C85">
        <f>+'Groups Stage'!F86</f>
        <v>1</v>
      </c>
      <c r="D85" s="142">
        <f>+'Groups Stage'!G86</f>
        <v>0</v>
      </c>
      <c r="E85" s="142" t="str">
        <f>+'Groups Stage'!H86</f>
        <v>Austria</v>
      </c>
      <c r="I85" s="278" t="str">
        <f t="shared" si="4"/>
        <v>Argentina</v>
      </c>
      <c r="J85" s="278" t="str">
        <f t="shared" si="5"/>
        <v/>
      </c>
      <c r="K85" s="278" t="str">
        <f t="shared" si="6"/>
        <v/>
      </c>
      <c r="L85" s="278" t="str">
        <f t="shared" si="7"/>
        <v>Austria</v>
      </c>
    </row>
    <row r="86" spans="1:12" x14ac:dyDescent="0.25">
      <c r="A86" t="str">
        <f>+'Groups Stage'!A87</f>
        <v>GJ4</v>
      </c>
      <c r="B86" s="141" t="str">
        <f>+'Groups Stage'!E87</f>
        <v>Jordania</v>
      </c>
      <c r="C86">
        <f>+'Groups Stage'!F87</f>
        <v>0</v>
      </c>
      <c r="D86" s="142">
        <f>+'Groups Stage'!G87</f>
        <v>2</v>
      </c>
      <c r="E86" s="142" t="str">
        <f>+'Groups Stage'!H87</f>
        <v>Argelia</v>
      </c>
      <c r="I86" s="278" t="str">
        <f t="shared" si="4"/>
        <v>Argelia</v>
      </c>
      <c r="J86" s="278" t="str">
        <f t="shared" si="5"/>
        <v/>
      </c>
      <c r="K86" s="278" t="str">
        <f t="shared" si="6"/>
        <v/>
      </c>
      <c r="L86" s="278" t="str">
        <f t="shared" si="7"/>
        <v>Jordania</v>
      </c>
    </row>
    <row r="87" spans="1:12" x14ac:dyDescent="0.25">
      <c r="A87" t="str">
        <f>+'Groups Stage'!A88</f>
        <v>GJ5</v>
      </c>
      <c r="B87" s="141" t="str">
        <f>+'Groups Stage'!E88</f>
        <v>Jordania</v>
      </c>
      <c r="C87">
        <f>+'Groups Stage'!F88</f>
        <v>0</v>
      </c>
      <c r="D87" s="142">
        <f>+'Groups Stage'!G88</f>
        <v>2</v>
      </c>
      <c r="E87" s="142" t="str">
        <f>+'Groups Stage'!H88</f>
        <v>Argentina</v>
      </c>
      <c r="I87" s="278" t="str">
        <f t="shared" si="4"/>
        <v>Argentina</v>
      </c>
      <c r="J87" s="278" t="str">
        <f t="shared" si="5"/>
        <v/>
      </c>
      <c r="K87" s="278" t="str">
        <f t="shared" si="6"/>
        <v/>
      </c>
      <c r="L87" s="278" t="str">
        <f t="shared" si="7"/>
        <v>Jordania</v>
      </c>
    </row>
    <row r="88" spans="1:12" x14ac:dyDescent="0.25">
      <c r="A88" s="7" t="str">
        <f>+'Groups Stage'!A89</f>
        <v>GJ6</v>
      </c>
      <c r="B88" s="143" t="str">
        <f>+'Groups Stage'!E89</f>
        <v>Argelia</v>
      </c>
      <c r="C88" s="7">
        <f>+'Groups Stage'!F89</f>
        <v>0</v>
      </c>
      <c r="D88" s="144">
        <f>+'Groups Stage'!G89</f>
        <v>2</v>
      </c>
      <c r="E88" s="144" t="str">
        <f>+'Groups Stage'!H89</f>
        <v>Austria</v>
      </c>
      <c r="I88" s="281" t="str">
        <f t="shared" si="4"/>
        <v>Austria</v>
      </c>
      <c r="J88" s="281" t="str">
        <f t="shared" si="5"/>
        <v/>
      </c>
      <c r="K88" s="281" t="str">
        <f t="shared" si="6"/>
        <v/>
      </c>
      <c r="L88" s="281" t="str">
        <f t="shared" si="7"/>
        <v>Argelia</v>
      </c>
    </row>
    <row r="89" spans="1:12" x14ac:dyDescent="0.25">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5">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5">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5">
      <c r="A92" s="145" t="str">
        <f>+'Groups Stage'!A93</f>
        <v>GK1</v>
      </c>
      <c r="B92" s="146" t="str">
        <f>+'Groups Stage'!E93</f>
        <v>Portugal</v>
      </c>
      <c r="C92" s="145">
        <f>+'Groups Stage'!F93</f>
        <v>2</v>
      </c>
      <c r="D92" s="147">
        <f>+'Groups Stage'!G93</f>
        <v>0</v>
      </c>
      <c r="E92" s="147" t="str">
        <f>+'Groups Stage'!H93</f>
        <v>Congo</v>
      </c>
      <c r="I92" s="280" t="str">
        <f t="shared" si="4"/>
        <v>Portugal</v>
      </c>
      <c r="J92" s="280" t="str">
        <f t="shared" si="5"/>
        <v/>
      </c>
      <c r="K92" s="280" t="str">
        <f t="shared" si="6"/>
        <v/>
      </c>
      <c r="L92" s="280" t="str">
        <f t="shared" si="7"/>
        <v>Congo</v>
      </c>
    </row>
    <row r="93" spans="1:12" x14ac:dyDescent="0.25">
      <c r="A93" t="str">
        <f>+'Groups Stage'!A94</f>
        <v>GK2</v>
      </c>
      <c r="B93" s="141" t="str">
        <f>+'Groups Stage'!E94</f>
        <v>Uzbekistan</v>
      </c>
      <c r="C93">
        <f>+'Groups Stage'!F94</f>
        <v>1</v>
      </c>
      <c r="D93" s="142">
        <f>+'Groups Stage'!G94</f>
        <v>3</v>
      </c>
      <c r="E93" s="142" t="str">
        <f>+'Groups Stage'!H94</f>
        <v>Colombia</v>
      </c>
      <c r="I93" s="278" t="str">
        <f t="shared" si="4"/>
        <v>Colombia</v>
      </c>
      <c r="J93" s="278" t="str">
        <f t="shared" si="5"/>
        <v/>
      </c>
      <c r="K93" s="278" t="str">
        <f t="shared" si="6"/>
        <v/>
      </c>
      <c r="L93" s="278" t="str">
        <f t="shared" si="7"/>
        <v>Uzbekistan</v>
      </c>
    </row>
    <row r="94" spans="1:12" x14ac:dyDescent="0.25">
      <c r="A94" t="str">
        <f>+'Groups Stage'!A95</f>
        <v>GK3</v>
      </c>
      <c r="B94" s="141" t="str">
        <f>+'Groups Stage'!E95</f>
        <v>Portugal</v>
      </c>
      <c r="C94">
        <f>+'Groups Stage'!F95</f>
        <v>2</v>
      </c>
      <c r="D94" s="142">
        <f>+'Groups Stage'!G95</f>
        <v>0</v>
      </c>
      <c r="E94" s="142" t="str">
        <f>+'Groups Stage'!H95</f>
        <v>Uzbekistan</v>
      </c>
      <c r="I94" s="278" t="str">
        <f t="shared" si="4"/>
        <v>Portugal</v>
      </c>
      <c r="J94" s="278" t="str">
        <f t="shared" si="5"/>
        <v/>
      </c>
      <c r="K94" s="278" t="str">
        <f t="shared" si="6"/>
        <v/>
      </c>
      <c r="L94" s="278" t="str">
        <f t="shared" si="7"/>
        <v>Uzbekistan</v>
      </c>
    </row>
    <row r="95" spans="1:12" x14ac:dyDescent="0.25">
      <c r="A95" t="str">
        <f>+'Groups Stage'!A96</f>
        <v>GK4</v>
      </c>
      <c r="B95" s="141" t="str">
        <f>+'Groups Stage'!E96</f>
        <v>Colombia</v>
      </c>
      <c r="C95">
        <f>+'Groups Stage'!F96</f>
        <v>2</v>
      </c>
      <c r="D95" s="142">
        <f>+'Groups Stage'!G96</f>
        <v>1</v>
      </c>
      <c r="E95" s="142" t="str">
        <f>+'Groups Stage'!H96</f>
        <v>Congo</v>
      </c>
      <c r="I95" s="278" t="str">
        <f t="shared" si="4"/>
        <v>Colombia</v>
      </c>
      <c r="J95" s="278" t="str">
        <f t="shared" si="5"/>
        <v/>
      </c>
      <c r="K95" s="278" t="str">
        <f t="shared" si="6"/>
        <v/>
      </c>
      <c r="L95" s="278" t="str">
        <f t="shared" si="7"/>
        <v>Congo</v>
      </c>
    </row>
    <row r="96" spans="1:12" x14ac:dyDescent="0.25">
      <c r="A96" t="str">
        <f>+'Groups Stage'!A97</f>
        <v>GK5</v>
      </c>
      <c r="B96" s="141" t="str">
        <f>+'Groups Stage'!E97</f>
        <v>Colombia</v>
      </c>
      <c r="C96">
        <f>+'Groups Stage'!F97</f>
        <v>2</v>
      </c>
      <c r="D96" s="142">
        <f>+'Groups Stage'!G97</f>
        <v>2</v>
      </c>
      <c r="E96" s="142" t="str">
        <f>+'Groups Stage'!H97</f>
        <v>Portugal</v>
      </c>
      <c r="I96" s="278" t="str">
        <f t="shared" si="4"/>
        <v/>
      </c>
      <c r="J96" s="278" t="str">
        <f t="shared" si="5"/>
        <v>Colombia</v>
      </c>
      <c r="K96" s="278" t="str">
        <f t="shared" si="6"/>
        <v>Portugal</v>
      </c>
      <c r="L96" s="278" t="str">
        <f t="shared" si="7"/>
        <v/>
      </c>
    </row>
    <row r="97" spans="1:13" x14ac:dyDescent="0.25">
      <c r="A97" s="7" t="str">
        <f>+'Groups Stage'!A98</f>
        <v>GK6</v>
      </c>
      <c r="B97" s="143" t="str">
        <f>+'Groups Stage'!E98</f>
        <v>Congo</v>
      </c>
      <c r="C97" s="7">
        <f>+'Groups Stage'!F98</f>
        <v>1</v>
      </c>
      <c r="D97" s="144">
        <f>+'Groups Stage'!G98</f>
        <v>0</v>
      </c>
      <c r="E97" s="144" t="str">
        <f>+'Groups Stage'!H98</f>
        <v>Uzbekistan</v>
      </c>
      <c r="I97" s="281" t="str">
        <f t="shared" si="4"/>
        <v>Congo</v>
      </c>
      <c r="J97" s="281" t="str">
        <f t="shared" si="5"/>
        <v/>
      </c>
      <c r="K97" s="281" t="str">
        <f t="shared" si="6"/>
        <v/>
      </c>
      <c r="L97" s="281" t="str">
        <f t="shared" si="7"/>
        <v>Uzbekistan</v>
      </c>
    </row>
    <row r="98" spans="1:13" x14ac:dyDescent="0.25">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5">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5">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5">
      <c r="A101" t="str">
        <f>+'Groups Stage'!A102</f>
        <v>GL1</v>
      </c>
      <c r="B101" s="141" t="str">
        <f>+'Groups Stage'!E102</f>
        <v>Inglaterra</v>
      </c>
      <c r="C101">
        <f>+'Groups Stage'!F102</f>
        <v>2</v>
      </c>
      <c r="D101" s="142">
        <f>+'Groups Stage'!G102</f>
        <v>1</v>
      </c>
      <c r="E101" s="142" t="str">
        <f>+'Groups Stage'!H102</f>
        <v>Croacia</v>
      </c>
      <c r="I101" s="278" t="str">
        <f t="shared" si="4"/>
        <v>Inglaterra</v>
      </c>
      <c r="J101" s="278" t="str">
        <f t="shared" si="5"/>
        <v/>
      </c>
      <c r="K101" s="278" t="str">
        <f t="shared" si="6"/>
        <v/>
      </c>
      <c r="L101" s="278" t="str">
        <f t="shared" si="7"/>
        <v>Croacia</v>
      </c>
    </row>
    <row r="102" spans="1:13" x14ac:dyDescent="0.25">
      <c r="A102" t="str">
        <f>+'Groups Stage'!A103</f>
        <v>GL2</v>
      </c>
      <c r="B102" s="141" t="str">
        <f>+'Groups Stage'!E103</f>
        <v>Ghana</v>
      </c>
      <c r="C102">
        <f>+'Groups Stage'!F103</f>
        <v>2</v>
      </c>
      <c r="D102" s="142">
        <f>+'Groups Stage'!G103</f>
        <v>0</v>
      </c>
      <c r="E102" s="142" t="str">
        <f>+'Groups Stage'!H103</f>
        <v>Panama</v>
      </c>
      <c r="I102" s="278" t="str">
        <f t="shared" si="4"/>
        <v>Ghana</v>
      </c>
      <c r="J102" s="278" t="str">
        <f t="shared" si="5"/>
        <v/>
      </c>
      <c r="K102" s="278" t="str">
        <f t="shared" si="6"/>
        <v/>
      </c>
      <c r="L102" s="278" t="str">
        <f t="shared" si="7"/>
        <v>Panama</v>
      </c>
    </row>
    <row r="103" spans="1:13" x14ac:dyDescent="0.25">
      <c r="A103" t="str">
        <f>+'Groups Stage'!A104</f>
        <v>GL3</v>
      </c>
      <c r="B103" s="141" t="str">
        <f>+'Groups Stage'!E104</f>
        <v>Inglaterra</v>
      </c>
      <c r="C103">
        <f>+'Groups Stage'!F104</f>
        <v>2</v>
      </c>
      <c r="D103" s="142">
        <f>+'Groups Stage'!G104</f>
        <v>2</v>
      </c>
      <c r="E103" s="142" t="str">
        <f>+'Groups Stage'!H104</f>
        <v>Ghana</v>
      </c>
      <c r="I103" s="278" t="str">
        <f t="shared" si="4"/>
        <v/>
      </c>
      <c r="J103" s="278" t="str">
        <f t="shared" si="5"/>
        <v>Inglaterra</v>
      </c>
      <c r="K103" s="278" t="str">
        <f t="shared" si="6"/>
        <v>Ghana</v>
      </c>
      <c r="L103" s="278" t="str">
        <f t="shared" si="7"/>
        <v/>
      </c>
    </row>
    <row r="104" spans="1:13" x14ac:dyDescent="0.25">
      <c r="A104" t="str">
        <f>+'Groups Stage'!A105</f>
        <v>GL4</v>
      </c>
      <c r="B104" s="141" t="str">
        <f>+'Groups Stage'!E105</f>
        <v>Panama</v>
      </c>
      <c r="C104">
        <f>+'Groups Stage'!F105</f>
        <v>0</v>
      </c>
      <c r="D104" s="142">
        <f>+'Groups Stage'!G105</f>
        <v>2</v>
      </c>
      <c r="E104" s="142" t="str">
        <f>+'Groups Stage'!H105</f>
        <v>Croacia</v>
      </c>
      <c r="I104" s="278" t="str">
        <f t="shared" si="4"/>
        <v>Croacia</v>
      </c>
      <c r="J104" s="278" t="str">
        <f t="shared" si="5"/>
        <v/>
      </c>
      <c r="K104" s="278" t="str">
        <f t="shared" si="6"/>
        <v/>
      </c>
      <c r="L104" s="278" t="str">
        <f t="shared" si="7"/>
        <v>Panama</v>
      </c>
    </row>
    <row r="105" spans="1:13" x14ac:dyDescent="0.25">
      <c r="A105" t="str">
        <f>+'Groups Stage'!A106</f>
        <v>GL5</v>
      </c>
      <c r="B105" s="141" t="str">
        <f>+'Groups Stage'!E106</f>
        <v>Panama</v>
      </c>
      <c r="C105">
        <f>+'Groups Stage'!F106</f>
        <v>1</v>
      </c>
      <c r="D105" s="142">
        <f>+'Groups Stage'!G106</f>
        <v>2</v>
      </c>
      <c r="E105" s="142" t="str">
        <f>+'Groups Stage'!H106</f>
        <v>Inglaterra</v>
      </c>
      <c r="I105" s="278" t="str">
        <f t="shared" si="4"/>
        <v>Inglaterra</v>
      </c>
      <c r="J105" s="278" t="str">
        <f t="shared" si="5"/>
        <v/>
      </c>
      <c r="K105" s="278" t="str">
        <f t="shared" si="6"/>
        <v/>
      </c>
      <c r="L105" s="278" t="str">
        <f t="shared" si="7"/>
        <v>Panama</v>
      </c>
    </row>
    <row r="106" spans="1:13" x14ac:dyDescent="0.25">
      <c r="A106" t="str">
        <f>+'Groups Stage'!A107</f>
        <v>GL6</v>
      </c>
      <c r="B106" s="141" t="str">
        <f>+'Groups Stage'!E107</f>
        <v>Croacia</v>
      </c>
      <c r="C106">
        <f>+'Groups Stage'!F107</f>
        <v>2</v>
      </c>
      <c r="D106" s="142">
        <f>+'Groups Stage'!G107</f>
        <v>3</v>
      </c>
      <c r="E106" s="142" t="str">
        <f>+'Groups Stage'!H107</f>
        <v>Ghana</v>
      </c>
      <c r="I106" s="281" t="str">
        <f t="shared" si="4"/>
        <v>Ghana</v>
      </c>
      <c r="J106" s="281" t="str">
        <f t="shared" si="5"/>
        <v/>
      </c>
      <c r="K106" s="281" t="str">
        <f t="shared" si="6"/>
        <v/>
      </c>
      <c r="L106" s="281" t="str">
        <f t="shared" si="7"/>
        <v>Croacia</v>
      </c>
    </row>
    <row r="107" spans="1:13" x14ac:dyDescent="0.25">
      <c r="A107" s="245" t="s">
        <v>213</v>
      </c>
      <c r="B107" s="246" t="str">
        <f>+_xlfn.XLOOKUP($A107,'Round of 32 &amp; Round of 16'!$A:$A,'Round of 32 &amp; Round of 16'!B:B,"-",0)</f>
        <v>Repubilca Checa</v>
      </c>
      <c r="C107" s="245">
        <f>+_xlfn.XLOOKUP($A107,'Round of 32 &amp; Round of 16'!$A:$A,'Round of 32 &amp; Round of 16'!C:C,"-",0)</f>
        <v>2</v>
      </c>
      <c r="D107" s="247">
        <f>+_xlfn.XLOOKUP($A107,'Round of 32 &amp; Round of 16'!$A:$A,'Round of 32 &amp; Round of 16'!D:D,"-",0)</f>
        <v>2</v>
      </c>
      <c r="E107" s="247" t="str">
        <f>+_xlfn.XLOOKUP($A107,'Round of 32 &amp; Round of 16'!$A:$A,'Round of 32 &amp; Round of 16'!E:E,"-",0)</f>
        <v>Canada</v>
      </c>
      <c r="I107" s="282" t="str">
        <f t="shared" ref="I107:I138" si="8">IF(OR(ISBLANK(C107),ISBLANK(D107)),"",IF(C107&gt;D107,B107,IF(D107&gt;C107,E107,"")))</f>
        <v/>
      </c>
      <c r="J107" s="282" t="str">
        <f t="shared" ref="J107:J138" si="9">IF(OR(ISBLANK(C107),ISBLANK(D107)),"",IF(C107=D107,B107,""))</f>
        <v>Repubilca Checa</v>
      </c>
      <c r="K107" s="282" t="str">
        <f t="shared" ref="K107:K138" si="10">IF(OR(ISBLANK(C107),ISBLANK(D107)),"",IF(C107=D107,E107,""))</f>
        <v>Canada</v>
      </c>
      <c r="L107" s="282" t="str">
        <f t="shared" ref="L107:L138" si="11">IF(OR(ISBLANK(C107),ISBLANK(D107)),"",IF(C107&lt;D107,B107,IF(D107&lt;C107,E107,"")))</f>
        <v/>
      </c>
      <c r="M107" s="282"/>
    </row>
    <row r="108" spans="1:13" x14ac:dyDescent="0.25">
      <c r="A108" s="248" t="s">
        <v>221</v>
      </c>
      <c r="B108" s="249" t="str">
        <f>+_xlfn.XLOOKUP($A108,'Round of 32 &amp; Round of 16'!$A:$A,'Round of 32 &amp; Round of 16'!B:B,"-",0)</f>
        <v>Alemania</v>
      </c>
      <c r="C108" s="248">
        <f>+_xlfn.XLOOKUP($A108,'Round of 32 &amp; Round of 16'!$A:$A,'Round of 32 &amp; Round of 16'!C:C,"-",0)</f>
        <v>1</v>
      </c>
      <c r="D108" s="250">
        <f>+_xlfn.XLOOKUP($A108,'Round of 32 &amp; Round of 16'!$A:$A,'Round of 32 &amp; Round of 16'!D:D,"-",0)</f>
        <v>0</v>
      </c>
      <c r="E108" s="250" t="str">
        <f>+_xlfn.XLOOKUP($A108,'Round of 32 &amp; Round of 16'!$A:$A,'Round of 32 &amp; Round of 16'!E:E,"-",0)</f>
        <v>Australia</v>
      </c>
      <c r="I108" s="283" t="str">
        <f t="shared" si="8"/>
        <v>Alemania</v>
      </c>
      <c r="J108" s="283" t="str">
        <f t="shared" si="9"/>
        <v/>
      </c>
      <c r="K108" s="283" t="str">
        <f t="shared" si="10"/>
        <v/>
      </c>
      <c r="L108" s="283" t="str">
        <f t="shared" si="11"/>
        <v>Australia</v>
      </c>
      <c r="M108" s="283"/>
    </row>
    <row r="109" spans="1:13" x14ac:dyDescent="0.25">
      <c r="A109" s="248" t="s">
        <v>230</v>
      </c>
      <c r="B109" s="249" t="str">
        <f>+_xlfn.XLOOKUP($A109,'Round of 32 &amp; Round of 16'!$A:$A,'Round of 32 &amp; Round of 16'!B:B,"-",0)</f>
        <v>Japon</v>
      </c>
      <c r="C109" s="248">
        <f>+_xlfn.XLOOKUP($A109,'Round of 32 &amp; Round of 16'!$A:$A,'Round of 32 &amp; Round of 16'!C:C,"-",0)</f>
        <v>1</v>
      </c>
      <c r="D109" s="250">
        <f>+_xlfn.XLOOKUP($A109,'Round of 32 &amp; Round of 16'!$A:$A,'Round of 32 &amp; Round of 16'!D:D,"-",0)</f>
        <v>1</v>
      </c>
      <c r="E109" s="250" t="str">
        <f>+_xlfn.XLOOKUP($A109,'Round of 32 &amp; Round of 16'!$A:$A,'Round of 32 &amp; Round of 16'!E:E,"-",0)</f>
        <v>Brasil</v>
      </c>
      <c r="I109" s="283" t="str">
        <f t="shared" si="8"/>
        <v/>
      </c>
      <c r="J109" s="283" t="str">
        <f t="shared" si="9"/>
        <v>Japon</v>
      </c>
      <c r="K109" s="283" t="str">
        <f t="shared" si="10"/>
        <v>Brasil</v>
      </c>
      <c r="L109" s="283" t="str">
        <f t="shared" si="11"/>
        <v/>
      </c>
      <c r="M109" s="283"/>
    </row>
    <row r="110" spans="1:13" x14ac:dyDescent="0.25">
      <c r="A110" s="248" t="s">
        <v>239</v>
      </c>
      <c r="B110" s="249" t="str">
        <f>+_xlfn.XLOOKUP($A110,'Round of 32 &amp; Round of 16'!$A:$A,'Round of 32 &amp; Round of 16'!B:B,"-",0)</f>
        <v>Marruecos</v>
      </c>
      <c r="C110" s="248">
        <f>+_xlfn.XLOOKUP($A110,'Round of 32 &amp; Round of 16'!$A:$A,'Round of 32 &amp; Round of 16'!C:C,"-",0)</f>
        <v>3</v>
      </c>
      <c r="D110" s="250">
        <f>+_xlfn.XLOOKUP($A110,'Round of 32 &amp; Round of 16'!$A:$A,'Round of 32 &amp; Round of 16'!D:D,"-",0)</f>
        <v>2</v>
      </c>
      <c r="E110" s="250" t="str">
        <f>+_xlfn.XLOOKUP($A110,'Round of 32 &amp; Round of 16'!$A:$A,'Round of 32 &amp; Round of 16'!E:E,"-",0)</f>
        <v>Paises Bajos</v>
      </c>
      <c r="I110" s="283" t="str">
        <f t="shared" si="8"/>
        <v>Marruecos</v>
      </c>
      <c r="J110" s="283" t="str">
        <f t="shared" si="9"/>
        <v/>
      </c>
      <c r="K110" s="283" t="str">
        <f t="shared" si="10"/>
        <v/>
      </c>
      <c r="L110" s="283" t="str">
        <f t="shared" si="11"/>
        <v>Paises Bajos</v>
      </c>
      <c r="M110" s="283"/>
    </row>
    <row r="111" spans="1:13" x14ac:dyDescent="0.25">
      <c r="A111" s="248" t="s">
        <v>249</v>
      </c>
      <c r="B111" s="249" t="str">
        <f>+_xlfn.XLOOKUP($A111,'Round of 32 &amp; Round of 16'!$A:$A,'Round of 32 &amp; Round of 16'!B:B,"-",0)</f>
        <v>Francia</v>
      </c>
      <c r="C111" s="248">
        <f>+_xlfn.XLOOKUP($A111,'Round of 32 &amp; Round of 16'!$A:$A,'Round of 32 &amp; Round of 16'!C:C,"-",0)</f>
        <v>3</v>
      </c>
      <c r="D111" s="250">
        <f>+_xlfn.XLOOKUP($A111,'Round of 32 &amp; Round of 16'!$A:$A,'Round of 32 &amp; Round of 16'!D:D,"-",0)</f>
        <v>1</v>
      </c>
      <c r="E111" s="250" t="str">
        <f>+_xlfn.XLOOKUP($A111,'Round of 32 &amp; Round of 16'!$A:$A,'Round of 32 &amp; Round of 16'!E:E,"-",0)</f>
        <v>Suecia</v>
      </c>
      <c r="I111" s="283" t="str">
        <f t="shared" si="8"/>
        <v>Francia</v>
      </c>
      <c r="J111" s="283" t="str">
        <f t="shared" si="9"/>
        <v/>
      </c>
      <c r="K111" s="283" t="str">
        <f t="shared" si="10"/>
        <v/>
      </c>
      <c r="L111" s="283" t="str">
        <f t="shared" si="11"/>
        <v>Suecia</v>
      </c>
      <c r="M111" s="283"/>
    </row>
    <row r="112" spans="1:13" x14ac:dyDescent="0.25">
      <c r="A112" s="248" t="s">
        <v>257</v>
      </c>
      <c r="B112" s="249" t="str">
        <f>+_xlfn.XLOOKUP($A112,'Round of 32 &amp; Round of 16'!$A:$A,'Round of 32 &amp; Round of 16'!B:B,"-",0)</f>
        <v>Ecuador</v>
      </c>
      <c r="C112" s="248">
        <f>+_xlfn.XLOOKUP($A112,'Round of 32 &amp; Round of 16'!$A:$A,'Round of 32 &amp; Round of 16'!C:C,"-",0)</f>
        <v>2</v>
      </c>
      <c r="D112" s="250">
        <f>+_xlfn.XLOOKUP($A112,'Round of 32 &amp; Round of 16'!$A:$A,'Round of 32 &amp; Round of 16'!D:D,"-",0)</f>
        <v>1</v>
      </c>
      <c r="E112" s="250" t="str">
        <f>+_xlfn.XLOOKUP($A112,'Round of 32 &amp; Round of 16'!$A:$A,'Round of 32 &amp; Round of 16'!E:E,"-",0)</f>
        <v>Noruega</v>
      </c>
      <c r="I112" s="283" t="str">
        <f t="shared" si="8"/>
        <v>Ecuador</v>
      </c>
      <c r="J112" s="283" t="str">
        <f t="shared" si="9"/>
        <v/>
      </c>
      <c r="K112" s="283" t="str">
        <f t="shared" si="10"/>
        <v/>
      </c>
      <c r="L112" s="283" t="str">
        <f t="shared" si="11"/>
        <v>Noruega</v>
      </c>
      <c r="M112" s="283"/>
    </row>
    <row r="113" spans="1:13" x14ac:dyDescent="0.25">
      <c r="A113" s="248" t="s">
        <v>266</v>
      </c>
      <c r="B113" s="249" t="str">
        <f>+_xlfn.XLOOKUP($A113,'Round of 32 &amp; Round of 16'!$A:$A,'Round of 32 &amp; Round of 16'!B:B,"-",0)</f>
        <v>Mexico</v>
      </c>
      <c r="C113" s="248">
        <f>+_xlfn.XLOOKUP($A113,'Round of 32 &amp; Round of 16'!$A:$A,'Round of 32 &amp; Round of 16'!C:C,"-",0)</f>
        <v>1</v>
      </c>
      <c r="D113" s="250">
        <f>+_xlfn.XLOOKUP($A113,'Round of 32 &amp; Round of 16'!$A:$A,'Round of 32 &amp; Round of 16'!D:D,"-",0)</f>
        <v>1</v>
      </c>
      <c r="E113" s="250" t="str">
        <f>+_xlfn.XLOOKUP($A113,'Round of 32 &amp; Round of 16'!$A:$A,'Round of 32 &amp; Round of 16'!E:E,"-",0)</f>
        <v>Escocia</v>
      </c>
      <c r="I113" s="283" t="str">
        <f t="shared" si="8"/>
        <v/>
      </c>
      <c r="J113" s="283" t="str">
        <f t="shared" si="9"/>
        <v>Mexico</v>
      </c>
      <c r="K113" s="283" t="str">
        <f t="shared" si="10"/>
        <v>Escocia</v>
      </c>
      <c r="L113" s="283" t="str">
        <f t="shared" si="11"/>
        <v/>
      </c>
      <c r="M113" s="283"/>
    </row>
    <row r="114" spans="1:13" x14ac:dyDescent="0.25">
      <c r="A114" s="251" t="s">
        <v>273</v>
      </c>
      <c r="B114" s="252" t="str">
        <f>+_xlfn.XLOOKUP($A114,'Round of 32 &amp; Round of 16'!$A:$A,'Round of 32 &amp; Round of 16'!B:B,"-",0)</f>
        <v>Ghana</v>
      </c>
      <c r="C114" s="251">
        <f>+_xlfn.XLOOKUP($A114,'Round of 32 &amp; Round of 16'!$A:$A,'Round of 32 &amp; Round of 16'!C:C,"-",0)</f>
        <v>2</v>
      </c>
      <c r="D114" s="253">
        <f>+_xlfn.XLOOKUP($A114,'Round of 32 &amp; Round of 16'!$A:$A,'Round of 32 &amp; Round of 16'!D:D,"-",0)</f>
        <v>1</v>
      </c>
      <c r="E114" s="253" t="str">
        <f>+_xlfn.XLOOKUP($A114,'Round of 32 &amp; Round of 16'!$A:$A,'Round of 32 &amp; Round of 16'!E:E,"-",0)</f>
        <v>Senegal</v>
      </c>
      <c r="I114" s="284" t="str">
        <f t="shared" si="8"/>
        <v>Ghana</v>
      </c>
      <c r="J114" s="284" t="str">
        <f t="shared" si="9"/>
        <v/>
      </c>
      <c r="K114" s="284" t="str">
        <f t="shared" si="10"/>
        <v/>
      </c>
      <c r="L114" s="284" t="str">
        <f t="shared" si="11"/>
        <v>Senegal</v>
      </c>
      <c r="M114" s="284"/>
    </row>
    <row r="115" spans="1:13" x14ac:dyDescent="0.25">
      <c r="A115" s="248" t="s">
        <v>214</v>
      </c>
      <c r="B115" s="249" t="str">
        <f>+_xlfn.XLOOKUP($A115,'Round of 32 &amp; Round of 16'!$G:$G,'Round of 32 &amp; Round of 16'!H:H,"-",0)</f>
        <v>Paraguay</v>
      </c>
      <c r="C115" s="248">
        <f>+_xlfn.XLOOKUP($A115,'Round of 32 &amp; Round of 16'!$G:$G,'Round of 32 &amp; Round of 16'!I:I,"-",0)</f>
        <v>1</v>
      </c>
      <c r="D115" s="250">
        <f>+_xlfn.XLOOKUP($A115,'Round of 32 &amp; Round of 16'!$G:$G,'Round of 32 &amp; Round of 16'!J:J,"-",0)</f>
        <v>0</v>
      </c>
      <c r="E115" s="250" t="str">
        <f>+_xlfn.XLOOKUP($A115,'Round of 32 &amp; Round of 16'!$G:$G,'Round of 32 &amp; Round of 16'!K:K,"-",0)</f>
        <v>Costa de Marfil</v>
      </c>
      <c r="I115" s="283" t="str">
        <f t="shared" si="8"/>
        <v>Paraguay</v>
      </c>
      <c r="J115" s="283" t="str">
        <f t="shared" si="9"/>
        <v/>
      </c>
      <c r="K115" s="283" t="str">
        <f t="shared" si="10"/>
        <v/>
      </c>
      <c r="L115" s="283" t="str">
        <f t="shared" si="11"/>
        <v>Costa de Marfil</v>
      </c>
      <c r="M115" s="283"/>
    </row>
    <row r="116" spans="1:13" x14ac:dyDescent="0.25">
      <c r="A116" s="248" t="s">
        <v>222</v>
      </c>
      <c r="B116" s="249" t="str">
        <f>+_xlfn.XLOOKUP($A116,'Round of 32 &amp; Round of 16'!$G:$G,'Round of 32 &amp; Round of 16'!H:H,"-",0)</f>
        <v>Belgica</v>
      </c>
      <c r="C116" s="248">
        <f>+_xlfn.XLOOKUP($A116,'Round of 32 &amp; Round of 16'!$G:$G,'Round of 32 &amp; Round of 16'!I:I,"-",0)</f>
        <v>1</v>
      </c>
      <c r="D116" s="250">
        <f>+_xlfn.XLOOKUP($A116,'Round of 32 &amp; Round of 16'!$G:$G,'Round of 32 &amp; Round of 16'!J:J,"-",0)</f>
        <v>0</v>
      </c>
      <c r="E116" s="250" t="str">
        <f>+_xlfn.XLOOKUP($A116,'Round of 32 &amp; Round of 16'!$G:$G,'Round of 32 &amp; Round of 16'!K:K,"-",0)</f>
        <v>Sudafrica</v>
      </c>
      <c r="I116" s="283" t="str">
        <f t="shared" si="8"/>
        <v>Belgica</v>
      </c>
      <c r="J116" s="283" t="str">
        <f t="shared" si="9"/>
        <v/>
      </c>
      <c r="K116" s="283" t="str">
        <f t="shared" si="10"/>
        <v/>
      </c>
      <c r="L116" s="283" t="str">
        <f t="shared" si="11"/>
        <v>Sudafrica</v>
      </c>
      <c r="M116" s="283"/>
    </row>
    <row r="117" spans="1:13" x14ac:dyDescent="0.25">
      <c r="A117" s="248" t="s">
        <v>231</v>
      </c>
      <c r="B117" s="249" t="str">
        <f>+_xlfn.XLOOKUP($A117,'Round of 32 &amp; Round of 16'!$G:$G,'Round of 32 &amp; Round of 16'!H:H,"-",0)</f>
        <v>Colombia</v>
      </c>
      <c r="C117" s="248">
        <f>+_xlfn.XLOOKUP($A117,'Round of 32 &amp; Round of 16'!$G:$G,'Round of 32 &amp; Round of 16'!I:I,"-",0)</f>
        <v>2</v>
      </c>
      <c r="D117" s="250">
        <f>+_xlfn.XLOOKUP($A117,'Round of 32 &amp; Round of 16'!$G:$G,'Round of 32 &amp; Round of 16'!J:J,"-",0)</f>
        <v>1</v>
      </c>
      <c r="E117" s="250" t="str">
        <f>+_xlfn.XLOOKUP($A117,'Round of 32 &amp; Round of 16'!$G:$G,'Round of 32 &amp; Round of 16'!K:K,"-",0)</f>
        <v>Inglaterra</v>
      </c>
      <c r="I117" s="283" t="str">
        <f t="shared" si="8"/>
        <v>Colombia</v>
      </c>
      <c r="J117" s="283" t="str">
        <f t="shared" si="9"/>
        <v/>
      </c>
      <c r="K117" s="283" t="str">
        <f t="shared" si="10"/>
        <v/>
      </c>
      <c r="L117" s="283" t="str">
        <f t="shared" si="11"/>
        <v>Inglaterra</v>
      </c>
      <c r="M117" s="283"/>
    </row>
    <row r="118" spans="1:13" x14ac:dyDescent="0.25">
      <c r="A118" s="248" t="s">
        <v>240</v>
      </c>
      <c r="B118" s="249" t="str">
        <f>+_xlfn.XLOOKUP($A118,'Round of 32 &amp; Round of 16'!$G:$G,'Round of 32 &amp; Round of 16'!H:H,"-",0)</f>
        <v>España</v>
      </c>
      <c r="C118" s="248">
        <f>+_xlfn.XLOOKUP($A118,'Round of 32 &amp; Round of 16'!$G:$G,'Round of 32 &amp; Round of 16'!I:I,"-",0)</f>
        <v>2</v>
      </c>
      <c r="D118" s="250">
        <f>+_xlfn.XLOOKUP($A118,'Round of 32 &amp; Round of 16'!$G:$G,'Round of 32 &amp; Round of 16'!J:J,"-",0)</f>
        <v>1</v>
      </c>
      <c r="E118" s="250" t="str">
        <f>+_xlfn.XLOOKUP($A118,'Round of 32 &amp; Round of 16'!$G:$G,'Round of 32 &amp; Round of 16'!K:K,"-",0)</f>
        <v>Austria</v>
      </c>
      <c r="I118" s="283" t="str">
        <f t="shared" si="8"/>
        <v>España</v>
      </c>
      <c r="J118" s="283" t="str">
        <f t="shared" si="9"/>
        <v/>
      </c>
      <c r="K118" s="283" t="str">
        <f t="shared" si="10"/>
        <v/>
      </c>
      <c r="L118" s="283" t="str">
        <f t="shared" si="11"/>
        <v>Austria</v>
      </c>
      <c r="M118" s="283"/>
    </row>
    <row r="119" spans="1:13" x14ac:dyDescent="0.25">
      <c r="A119" s="248" t="s">
        <v>250</v>
      </c>
      <c r="B119" s="249" t="str">
        <f>+_xlfn.XLOOKUP($A119,'Round of 32 &amp; Round of 16'!$G:$G,'Round of 32 &amp; Round of 16'!H:H,"-",0)</f>
        <v>Suiza</v>
      </c>
      <c r="C119" s="248">
        <f>+_xlfn.XLOOKUP($A119,'Round of 32 &amp; Round of 16'!$G:$G,'Round of 32 &amp; Round of 16'!I:I,"-",0)</f>
        <v>1</v>
      </c>
      <c r="D119" s="250">
        <f>+_xlfn.XLOOKUP($A119,'Round of 32 &amp; Round of 16'!$G:$G,'Round of 32 &amp; Round of 16'!J:J,"-",0)</f>
        <v>0</v>
      </c>
      <c r="E119" s="250" t="str">
        <f>+_xlfn.XLOOKUP($A119,'Round of 32 &amp; Round of 16'!$G:$G,'Round of 32 &amp; Round of 16'!K:K,"-",0)</f>
        <v>Argelia</v>
      </c>
      <c r="I119" s="283" t="str">
        <f t="shared" si="8"/>
        <v>Suiza</v>
      </c>
      <c r="J119" s="283" t="str">
        <f t="shared" si="9"/>
        <v/>
      </c>
      <c r="K119" s="283" t="str">
        <f t="shared" si="10"/>
        <v/>
      </c>
      <c r="L119" s="283" t="str">
        <f t="shared" si="11"/>
        <v>Argelia</v>
      </c>
      <c r="M119" s="283"/>
    </row>
    <row r="120" spans="1:13" x14ac:dyDescent="0.25">
      <c r="A120" s="248" t="s">
        <v>258</v>
      </c>
      <c r="B120" s="249" t="str">
        <f>+_xlfn.XLOOKUP($A120,'Round of 32 &amp; Round of 16'!$G:$G,'Round of 32 &amp; Round of 16'!H:H,"-",0)</f>
        <v>Argentina</v>
      </c>
      <c r="C120" s="248">
        <f>+_xlfn.XLOOKUP($A120,'Round of 32 &amp; Round of 16'!$G:$G,'Round of 32 &amp; Round of 16'!I:I,"-",0)</f>
        <v>3</v>
      </c>
      <c r="D120" s="250">
        <f>+_xlfn.XLOOKUP($A120,'Round of 32 &amp; Round of 16'!$G:$G,'Round of 32 &amp; Round of 16'!J:J,"-",0)</f>
        <v>1</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x14ac:dyDescent="0.25">
      <c r="A121" s="248" t="s">
        <v>267</v>
      </c>
      <c r="B121" s="249" t="str">
        <f>+_xlfn.XLOOKUP($A121,'Round of 32 &amp; Round of 16'!$G:$G,'Round of 32 &amp; Round of 16'!H:H,"-",0)</f>
        <v>Portugal</v>
      </c>
      <c r="C121" s="248">
        <f>+_xlfn.XLOOKUP($A121,'Round of 32 &amp; Round of 16'!$G:$G,'Round of 32 &amp; Round of 16'!I:I,"-",0)</f>
        <v>2</v>
      </c>
      <c r="D121" s="250">
        <f>+_xlfn.XLOOKUP($A121,'Round of 32 &amp; Round of 16'!$G:$G,'Round of 32 &amp; Round of 16'!J:J,"-",0)</f>
        <v>2</v>
      </c>
      <c r="E121" s="250" t="str">
        <f>+_xlfn.XLOOKUP($A121,'Round of 32 &amp; Round of 16'!$G:$G,'Round of 32 &amp; Round of 16'!K:K,"-",0)</f>
        <v>Croacia</v>
      </c>
      <c r="I121" s="283" t="str">
        <f t="shared" si="8"/>
        <v/>
      </c>
      <c r="J121" s="283" t="str">
        <f t="shared" si="9"/>
        <v>Portugal</v>
      </c>
      <c r="K121" s="283" t="str">
        <f t="shared" si="10"/>
        <v>Croacia</v>
      </c>
      <c r="L121" s="283" t="str">
        <f t="shared" si="11"/>
        <v/>
      </c>
      <c r="M121" s="283"/>
    </row>
    <row r="122" spans="1:13" x14ac:dyDescent="0.25">
      <c r="A122" s="251" t="s">
        <v>274</v>
      </c>
      <c r="B122" s="252" t="str">
        <f>+_xlfn.XLOOKUP($A122,'Round of 32 &amp; Round of 16'!$G:$G,'Round of 32 &amp; Round of 16'!H:H,"-",0)</f>
        <v>Estados Unidos</v>
      </c>
      <c r="C122" s="251">
        <f>+_xlfn.XLOOKUP($A122,'Round of 32 &amp; Round of 16'!$G:$G,'Round of 32 &amp; Round of 16'!I:I,"-",0)</f>
        <v>2</v>
      </c>
      <c r="D122" s="253">
        <f>+_xlfn.XLOOKUP($A122,'Round of 32 &amp; Round of 16'!$G:$G,'Round of 32 &amp; Round of 16'!J:J,"-",0)</f>
        <v>0</v>
      </c>
      <c r="E122" s="253" t="str">
        <f>+_xlfn.XLOOKUP($A122,'Round of 32 &amp; Round of 16'!$G:$G,'Round of 32 &amp; Round of 16'!K:K,"-",0)</f>
        <v>Iran</v>
      </c>
      <c r="I122" s="284" t="str">
        <f t="shared" si="8"/>
        <v>Estados Unidos</v>
      </c>
      <c r="J122" s="284" t="str">
        <f t="shared" si="9"/>
        <v/>
      </c>
      <c r="K122" s="284" t="str">
        <f t="shared" si="10"/>
        <v/>
      </c>
      <c r="L122" s="284" t="str">
        <f t="shared" si="11"/>
        <v>Iran</v>
      </c>
      <c r="M122" s="284"/>
    </row>
    <row r="123" spans="1:13" x14ac:dyDescent="0.25">
      <c r="A123" s="254" t="s">
        <v>215</v>
      </c>
      <c r="B123" s="255" t="str">
        <f>+_xlfn.XLOOKUP($A123,'Round of 32 &amp; Round of 16'!$O:$O,'Round of 32 &amp; Round of 16'!P:P,"-",0)</f>
        <v>Alemania</v>
      </c>
      <c r="C123" s="254">
        <f>+_xlfn.XLOOKUP($A123,'Round of 32 &amp; Round of 16'!$O:$O,'Round of 32 &amp; Round of 16'!Q:Q,"-",0)</f>
        <v>2</v>
      </c>
      <c r="D123" s="256">
        <f>+_xlfn.XLOOKUP($A123,'Round of 32 &amp; Round of 16'!$O:$O,'Round of 32 &amp; Round of 16'!R:R,"-",0)</f>
        <v>2</v>
      </c>
      <c r="E123" s="256" t="str">
        <f>+_xlfn.XLOOKUP($A123,'Round of 32 &amp; Round of 16'!$O:$O,'Round of 32 &amp; Round of 16'!S:S,"-",0)</f>
        <v>Francia</v>
      </c>
      <c r="I123" s="282" t="str">
        <f t="shared" si="8"/>
        <v/>
      </c>
      <c r="J123" s="282" t="str">
        <f t="shared" si="9"/>
        <v>Alemania</v>
      </c>
      <c r="K123" s="282" t="str">
        <f t="shared" si="10"/>
        <v>Francia</v>
      </c>
      <c r="L123" s="282" t="str">
        <f t="shared" si="11"/>
        <v/>
      </c>
      <c r="M123" s="282"/>
    </row>
    <row r="124" spans="1:13" x14ac:dyDescent="0.25">
      <c r="A124" s="257" t="s">
        <v>232</v>
      </c>
      <c r="B124" s="258" t="str">
        <f>+_xlfn.XLOOKUP($A124,'Round of 32 &amp; Round of 16'!$O:$O,'Round of 32 &amp; Round of 16'!P:P,"-",0)</f>
        <v>Canada</v>
      </c>
      <c r="C124" s="257">
        <f>+_xlfn.XLOOKUP($A124,'Round of 32 &amp; Round of 16'!$O:$O,'Round of 32 &amp; Round of 16'!Q:Q,"-",0)</f>
        <v>1</v>
      </c>
      <c r="D124" s="259">
        <f>+_xlfn.XLOOKUP($A124,'Round of 32 &amp; Round of 16'!$O:$O,'Round of 32 &amp; Round of 16'!R:R,"-",0)</f>
        <v>2</v>
      </c>
      <c r="E124" s="259" t="str">
        <f>+_xlfn.XLOOKUP($A124,'Round of 32 &amp; Round of 16'!$O:$O,'Round of 32 &amp; Round of 16'!S:S,"-",0)</f>
        <v>Brasil</v>
      </c>
      <c r="I124" s="283" t="str">
        <f t="shared" si="8"/>
        <v>Brasil</v>
      </c>
      <c r="J124" s="283" t="str">
        <f t="shared" si="9"/>
        <v/>
      </c>
      <c r="K124" s="283" t="str">
        <f t="shared" si="10"/>
        <v/>
      </c>
      <c r="L124" s="283" t="str">
        <f t="shared" si="11"/>
        <v>Canada</v>
      </c>
      <c r="M124" s="283"/>
    </row>
    <row r="125" spans="1:13" x14ac:dyDescent="0.25">
      <c r="A125" s="257" t="s">
        <v>251</v>
      </c>
      <c r="B125" s="258" t="str">
        <f>+_xlfn.XLOOKUP($A125,'Round of 32 &amp; Round of 16'!$O:$O,'Round of 32 &amp; Round of 16'!P:P,"-",0)</f>
        <v>Marruecos</v>
      </c>
      <c r="C125" s="257">
        <f>+_xlfn.XLOOKUP($A125,'Round of 32 &amp; Round of 16'!$O:$O,'Round of 32 &amp; Round of 16'!Q:Q,"-",0)</f>
        <v>1</v>
      </c>
      <c r="D125" s="259">
        <f>+_xlfn.XLOOKUP($A125,'Round of 32 &amp; Round of 16'!$O:$O,'Round of 32 &amp; Round of 16'!R:R,"-",0)</f>
        <v>0</v>
      </c>
      <c r="E125" s="259" t="str">
        <f>+_xlfn.XLOOKUP($A125,'Round of 32 &amp; Round of 16'!$O:$O,'Round of 32 &amp; Round of 16'!S:S,"-",0)</f>
        <v>Ecuador</v>
      </c>
      <c r="I125" s="283" t="str">
        <f t="shared" si="8"/>
        <v>Marruecos</v>
      </c>
      <c r="J125" s="283" t="str">
        <f t="shared" si="9"/>
        <v/>
      </c>
      <c r="K125" s="283" t="str">
        <f t="shared" si="10"/>
        <v/>
      </c>
      <c r="L125" s="283" t="str">
        <f t="shared" si="11"/>
        <v>Ecuador</v>
      </c>
      <c r="M125" s="283"/>
    </row>
    <row r="126" spans="1:13" x14ac:dyDescent="0.25">
      <c r="A126" s="260" t="s">
        <v>268</v>
      </c>
      <c r="B126" s="261" t="str">
        <f>+_xlfn.XLOOKUP($A126,'Round of 32 &amp; Round of 16'!$O:$O,'Round of 32 &amp; Round of 16'!P:P,"-",0)</f>
        <v>Mexico</v>
      </c>
      <c r="C126" s="260">
        <f>+_xlfn.XLOOKUP($A126,'Round of 32 &amp; Round of 16'!$O:$O,'Round of 32 &amp; Round of 16'!Q:Q,"-",0)</f>
        <v>0</v>
      </c>
      <c r="D126" s="262">
        <f>+_xlfn.XLOOKUP($A126,'Round of 32 &amp; Round of 16'!$O:$O,'Round of 32 &amp; Round of 16'!R:R,"-",0)</f>
        <v>2</v>
      </c>
      <c r="E126" s="262" t="str">
        <f>+_xlfn.XLOOKUP($A126,'Round of 32 &amp; Round of 16'!$O:$O,'Round of 32 &amp; Round of 16'!S:S,"-",0)</f>
        <v>Ghana</v>
      </c>
      <c r="I126" s="284" t="str">
        <f t="shared" si="8"/>
        <v>Ghana</v>
      </c>
      <c r="J126" s="284" t="str">
        <f t="shared" si="9"/>
        <v/>
      </c>
      <c r="K126" s="284" t="str">
        <f t="shared" si="10"/>
        <v/>
      </c>
      <c r="L126" s="284" t="str">
        <f t="shared" si="11"/>
        <v>Mexico</v>
      </c>
      <c r="M126" s="284"/>
    </row>
    <row r="127" spans="1:13" x14ac:dyDescent="0.25">
      <c r="A127" s="254" t="s">
        <v>216</v>
      </c>
      <c r="B127" s="255" t="str">
        <f>+_xlfn.XLOOKUP($A127,'Round of 32 &amp; Round of 16'!$U:$U,'Round of 32 &amp; Round of 16'!V:V,"-",0)</f>
        <v>Colombia</v>
      </c>
      <c r="C127" s="254">
        <f>+_xlfn.XLOOKUP($A127,'Round of 32 &amp; Round of 16'!$U:$U,'Round of 32 &amp; Round of 16'!W:W,"-",0)</f>
        <v>2</v>
      </c>
      <c r="D127" s="256">
        <f>+_xlfn.XLOOKUP($A127,'Round of 32 &amp; Round of 16'!$U:$U,'Round of 32 &amp; Round of 16'!X:X,"-",0)</f>
        <v>1</v>
      </c>
      <c r="E127" s="256" t="str">
        <f>+_xlfn.XLOOKUP($A127,'Round of 32 &amp; Round of 16'!$U:$U,'Round of 32 &amp; Round of 16'!Y:Y,"-",0)</f>
        <v>España</v>
      </c>
      <c r="I127" s="282" t="str">
        <f t="shared" si="8"/>
        <v>Colombia</v>
      </c>
      <c r="J127" s="282" t="str">
        <f t="shared" si="9"/>
        <v/>
      </c>
      <c r="K127" s="282" t="str">
        <f t="shared" si="10"/>
        <v/>
      </c>
      <c r="L127" s="282" t="str">
        <f t="shared" si="11"/>
        <v>España</v>
      </c>
      <c r="M127" s="282"/>
    </row>
    <row r="128" spans="1:13" x14ac:dyDescent="0.25">
      <c r="A128" s="257" t="s">
        <v>233</v>
      </c>
      <c r="B128" s="258" t="str">
        <f>+_xlfn.XLOOKUP($A128,'Round of 32 &amp; Round of 16'!$U:$U,'Round of 32 &amp; Round of 16'!V:V,"-",0)</f>
        <v>Paraguay</v>
      </c>
      <c r="C128" s="257">
        <f>+_xlfn.XLOOKUP($A128,'Round of 32 &amp; Round of 16'!$U:$U,'Round of 32 &amp; Round of 16'!W:W,"-",0)</f>
        <v>1</v>
      </c>
      <c r="D128" s="259">
        <f>+_xlfn.XLOOKUP($A128,'Round of 32 &amp; Round of 16'!$U:$U,'Round of 32 &amp; Round of 16'!X:X,"-",0)</f>
        <v>1</v>
      </c>
      <c r="E128" s="259" t="str">
        <f>+_xlfn.XLOOKUP($A128,'Round of 32 &amp; Round of 16'!$U:$U,'Round of 32 &amp; Round of 16'!Y:Y,"-",0)</f>
        <v>Belgica</v>
      </c>
      <c r="I128" s="283" t="str">
        <f t="shared" si="8"/>
        <v/>
      </c>
      <c r="J128" s="283" t="str">
        <f t="shared" si="9"/>
        <v>Paraguay</v>
      </c>
      <c r="K128" s="283" t="str">
        <f t="shared" si="10"/>
        <v>Belgica</v>
      </c>
      <c r="L128" s="283" t="str">
        <f t="shared" si="11"/>
        <v/>
      </c>
      <c r="M128" s="283"/>
    </row>
    <row r="129" spans="1:13" x14ac:dyDescent="0.25">
      <c r="A129" s="257" t="s">
        <v>252</v>
      </c>
      <c r="B129" s="258" t="str">
        <f>+_xlfn.XLOOKUP($A129,'Round of 32 &amp; Round of 16'!$U:$U,'Round of 32 &amp; Round of 16'!V:V,"-",0)</f>
        <v>Argentina</v>
      </c>
      <c r="C129" s="257">
        <f>+_xlfn.XLOOKUP($A129,'Round of 32 &amp; Round of 16'!$U:$U,'Round of 32 &amp; Round of 16'!W:W,"-",0)</f>
        <v>3</v>
      </c>
      <c r="D129" s="259">
        <f>+_xlfn.XLOOKUP($A129,'Round of 32 &amp; Round of 16'!$U:$U,'Round of 32 &amp; Round of 16'!X:X,"-",0)</f>
        <v>1</v>
      </c>
      <c r="E129" s="259" t="str">
        <f>+_xlfn.XLOOKUP($A129,'Round of 32 &amp; Round of 16'!$U:$U,'Round of 32 &amp; Round of 16'!Y:Y,"-",0)</f>
        <v>Estados Unidos</v>
      </c>
      <c r="I129" s="283" t="str">
        <f t="shared" si="8"/>
        <v>Argentina</v>
      </c>
      <c r="J129" s="283" t="str">
        <f t="shared" si="9"/>
        <v/>
      </c>
      <c r="K129" s="283" t="str">
        <f t="shared" si="10"/>
        <v/>
      </c>
      <c r="L129" s="283" t="str">
        <f t="shared" si="11"/>
        <v>Estados Unidos</v>
      </c>
      <c r="M129" s="283"/>
    </row>
    <row r="130" spans="1:13" x14ac:dyDescent="0.25">
      <c r="A130" s="260" t="s">
        <v>269</v>
      </c>
      <c r="B130" s="261" t="str">
        <f>+_xlfn.XLOOKUP($A130,'Round of 32 &amp; Round of 16'!$U:$U,'Round of 32 &amp; Round of 16'!V:V,"-",0)</f>
        <v>Suiza</v>
      </c>
      <c r="C130" s="260">
        <f>+_xlfn.XLOOKUP($A130,'Round of 32 &amp; Round of 16'!$U:$U,'Round of 32 &amp; Round of 16'!W:W,"-",0)</f>
        <v>0</v>
      </c>
      <c r="D130" s="262">
        <f>+_xlfn.XLOOKUP($A130,'Round of 32 &amp; Round of 16'!$U:$U,'Round of 32 &amp; Round of 16'!X:X,"-",0)</f>
        <v>2</v>
      </c>
      <c r="E130" s="262" t="str">
        <f>+_xlfn.XLOOKUP($A130,'Round of 32 &amp; Round of 16'!$U:$U,'Round of 32 &amp; Round of 16'!Y:Y,"-",0)</f>
        <v>Croacia</v>
      </c>
      <c r="I130" s="284" t="str">
        <f t="shared" si="8"/>
        <v>Croacia</v>
      </c>
      <c r="J130" s="284" t="str">
        <f t="shared" si="9"/>
        <v/>
      </c>
      <c r="K130" s="284" t="str">
        <f t="shared" si="10"/>
        <v/>
      </c>
      <c r="L130" s="284" t="str">
        <f t="shared" si="11"/>
        <v>Suiza</v>
      </c>
      <c r="M130" s="284"/>
    </row>
    <row r="131" spans="1:13" x14ac:dyDescent="0.25">
      <c r="A131" s="263" t="s">
        <v>277</v>
      </c>
      <c r="B131" s="264" t="str" cm="1">
        <f t="array" ref="B131:E131">+_xlfn.XLOOKUP($A131,'Quarter, Semis &amp; Final'!$A:$A,'Quarter, Semis &amp; Final'!B:E,"-",0)</f>
        <v>Alemania</v>
      </c>
      <c r="C131" s="263">
        <v>1</v>
      </c>
      <c r="D131" s="198">
        <v>2</v>
      </c>
      <c r="E131" s="198" t="str">
        <v>Brasil</v>
      </c>
      <c r="I131" s="283" t="str">
        <f t="shared" si="8"/>
        <v>Brasil</v>
      </c>
      <c r="J131" s="282" t="str">
        <f t="shared" si="9"/>
        <v/>
      </c>
      <c r="K131" s="283" t="str">
        <f t="shared" si="10"/>
        <v/>
      </c>
      <c r="L131" s="283" t="str">
        <f t="shared" si="11"/>
        <v>Alemania</v>
      </c>
      <c r="M131" s="283"/>
    </row>
    <row r="132" spans="1:13" x14ac:dyDescent="0.25">
      <c r="A132" s="263" t="s">
        <v>282</v>
      </c>
      <c r="B132" s="265" t="str" cm="1">
        <f t="array" ref="B132:E132">+_xlfn.XLOOKUP($A132,'Quarter, Semis &amp; Final'!$A:$A,'Quarter, Semis &amp; Final'!B:E,"-",0)</f>
        <v>Colombia</v>
      </c>
      <c r="C132" s="263">
        <v>2</v>
      </c>
      <c r="D132" s="198">
        <v>0</v>
      </c>
      <c r="E132" s="198" t="str">
        <v>Paraguay</v>
      </c>
      <c r="I132" s="283" t="str">
        <f t="shared" si="8"/>
        <v>Colombia</v>
      </c>
      <c r="J132" s="283" t="str">
        <f t="shared" si="9"/>
        <v/>
      </c>
      <c r="K132" s="283" t="str">
        <f t="shared" si="10"/>
        <v/>
      </c>
      <c r="L132" s="283" t="str">
        <f t="shared" si="11"/>
        <v>Paraguay</v>
      </c>
      <c r="M132" s="283"/>
    </row>
    <row r="133" spans="1:13" x14ac:dyDescent="0.25">
      <c r="A133" s="263" t="s">
        <v>278</v>
      </c>
      <c r="B133" s="265" t="str" cm="1">
        <f t="array" ref="B133:E133">+_xlfn.XLOOKUP($A133,'Quarter, Semis &amp; Final'!$G:$G,'Quarter, Semis &amp; Final'!H:K,"-",0)</f>
        <v>Marruecos</v>
      </c>
      <c r="C133" s="263">
        <v>2</v>
      </c>
      <c r="D133" s="198">
        <v>0</v>
      </c>
      <c r="E133" s="198" t="str">
        <v>Ghana</v>
      </c>
      <c r="I133" s="283" t="str">
        <f t="shared" si="8"/>
        <v>Marruecos</v>
      </c>
      <c r="J133" s="283" t="str">
        <f t="shared" si="9"/>
        <v/>
      </c>
      <c r="K133" s="283" t="str">
        <f t="shared" si="10"/>
        <v/>
      </c>
      <c r="L133" s="283" t="str">
        <f t="shared" si="11"/>
        <v>Ghana</v>
      </c>
      <c r="M133" s="283"/>
    </row>
    <row r="134" spans="1:13" x14ac:dyDescent="0.25">
      <c r="A134" s="263" t="s">
        <v>283</v>
      </c>
      <c r="B134" s="265" t="str" cm="1">
        <f t="array" ref="B134:E134">+_xlfn.XLOOKUP($A134,'Quarter, Semis &amp; Final'!$G:$G,'Quarter, Semis &amp; Final'!H:K,"-",0)</f>
        <v>Argentina</v>
      </c>
      <c r="C134" s="263">
        <v>3</v>
      </c>
      <c r="D134" s="198">
        <v>1</v>
      </c>
      <c r="E134" s="198" t="str">
        <v>Croacia</v>
      </c>
      <c r="I134" s="283" t="str">
        <f t="shared" si="8"/>
        <v>Argentina</v>
      </c>
      <c r="J134" s="283" t="str">
        <f t="shared" si="9"/>
        <v/>
      </c>
      <c r="K134" s="283" t="str">
        <f t="shared" si="10"/>
        <v/>
      </c>
      <c r="L134" s="283" t="str">
        <f t="shared" si="11"/>
        <v>Croacia</v>
      </c>
      <c r="M134" s="283"/>
    </row>
    <row r="135" spans="1:13" x14ac:dyDescent="0.25">
      <c r="A135" s="211" t="s">
        <v>287</v>
      </c>
      <c r="B135" s="266" t="str" cm="1">
        <f t="array" ref="B135:E135">+_xlfn.XLOOKUP($A135,'Quarter, Semis &amp; Final'!$A:$A,'Quarter, Semis &amp; Final'!B:E,"-",0)</f>
        <v>Brasil</v>
      </c>
      <c r="C135" s="211">
        <v>2</v>
      </c>
      <c r="D135" s="210">
        <v>1</v>
      </c>
      <c r="E135" s="210" t="str">
        <v>Colombia</v>
      </c>
      <c r="I135" s="283" t="str">
        <f t="shared" si="8"/>
        <v>Brasil</v>
      </c>
      <c r="J135" s="283" t="str">
        <f t="shared" si="9"/>
        <v/>
      </c>
      <c r="K135" s="283" t="str">
        <f t="shared" si="10"/>
        <v/>
      </c>
      <c r="L135" s="283" t="str">
        <f t="shared" si="11"/>
        <v>Colombia</v>
      </c>
      <c r="M135" s="283"/>
    </row>
    <row r="136" spans="1:13" x14ac:dyDescent="0.25">
      <c r="A136" s="211" t="s">
        <v>288</v>
      </c>
      <c r="B136" s="266" t="str" cm="1">
        <f t="array" ref="B136:E136">+_xlfn.XLOOKUP($A136,'Quarter, Semis &amp; Final'!$G:$G,'Quarter, Semis &amp; Final'!H:K,"-",0)</f>
        <v>Marruecos</v>
      </c>
      <c r="C136" s="211">
        <v>2</v>
      </c>
      <c r="D136" s="210">
        <v>2</v>
      </c>
      <c r="E136" s="210" t="str">
        <v>Argentina</v>
      </c>
      <c r="I136" s="283" t="str">
        <f t="shared" si="8"/>
        <v/>
      </c>
      <c r="J136" s="283" t="str">
        <f t="shared" si="9"/>
        <v>Marruecos</v>
      </c>
      <c r="K136" s="283" t="str">
        <f t="shared" si="10"/>
        <v>Argentina</v>
      </c>
      <c r="L136" s="283" t="str">
        <f t="shared" si="11"/>
        <v/>
      </c>
      <c r="M136" s="283"/>
    </row>
    <row r="137" spans="1:13" x14ac:dyDescent="0.25">
      <c r="A137" s="267" t="s">
        <v>286</v>
      </c>
      <c r="B137" s="268" t="str">
        <f>+'Quarter, Semis &amp; Final'!P13</f>
        <v>Colombia</v>
      </c>
      <c r="C137" s="267">
        <f>+'Quarter, Semis &amp; Final'!Q13</f>
        <v>1</v>
      </c>
      <c r="D137" s="272">
        <f>+'Quarter, Semis &amp; Final'!R13</f>
        <v>2</v>
      </c>
      <c r="E137" s="272" t="str">
        <f>+'Quarter, Semis &amp; Final'!S13</f>
        <v>Marruecos</v>
      </c>
      <c r="I137" s="283" t="str">
        <f t="shared" si="8"/>
        <v>Marruecos</v>
      </c>
      <c r="J137" s="283" t="str">
        <f t="shared" si="9"/>
        <v/>
      </c>
      <c r="K137" s="283" t="str">
        <f t="shared" si="10"/>
        <v/>
      </c>
      <c r="L137" s="283" t="str">
        <f t="shared" si="11"/>
        <v>Colombia</v>
      </c>
      <c r="M137" s="283"/>
    </row>
    <row r="138" spans="1:13" x14ac:dyDescent="0.25">
      <c r="A138" s="269" t="s">
        <v>279</v>
      </c>
      <c r="B138" s="270" t="str">
        <f>+'Quarter, Semis &amp; Final'!P4</f>
        <v>Brasil</v>
      </c>
      <c r="C138" s="270">
        <f>+'Quarter, Semis &amp; Final'!Q4</f>
        <v>1</v>
      </c>
      <c r="D138" s="271">
        <f>+'Quarter, Semis &amp; Final'!R4</f>
        <v>3</v>
      </c>
      <c r="E138" s="271" t="str">
        <f>+'Quarter, Semis &amp; Final'!S4</f>
        <v>Argentina</v>
      </c>
      <c r="I138" s="284" t="str">
        <f t="shared" si="8"/>
        <v>Argentina</v>
      </c>
      <c r="J138" s="284" t="str">
        <f t="shared" si="9"/>
        <v/>
      </c>
      <c r="K138" s="284" t="str">
        <f t="shared" si="10"/>
        <v/>
      </c>
      <c r="L138" s="284" t="str">
        <f t="shared" si="11"/>
        <v>Brasil</v>
      </c>
      <c r="M138" s="284"/>
    </row>
    <row r="172" spans="1:2" x14ac:dyDescent="0.25">
      <c r="A172" s="243"/>
      <c r="B172" s="273"/>
    </row>
    <row r="174" spans="1:2" x14ac:dyDescent="0.25">
      <c r="A174" s="243"/>
      <c r="B174" s="273"/>
    </row>
    <row r="176" spans="1:2" x14ac:dyDescent="0.25">
      <c r="A176" s="243"/>
      <c r="B176" s="273"/>
    </row>
    <row r="178" spans="1:2" x14ac:dyDescent="0.25">
      <c r="A178" s="243"/>
      <c r="B178" s="273"/>
    </row>
    <row r="180" spans="1:2" x14ac:dyDescent="0.25">
      <c r="A180" s="243"/>
      <c r="B180" s="273"/>
    </row>
    <row r="182" spans="1:2" x14ac:dyDescent="0.25">
      <c r="A182" s="243"/>
      <c r="B182" s="273"/>
    </row>
    <row r="184" spans="1:2" x14ac:dyDescent="0.25">
      <c r="A184" s="243"/>
      <c r="B184" s="273"/>
    </row>
    <row r="186" spans="1:2" x14ac:dyDescent="0.25">
      <c r="A186" s="243"/>
      <c r="B186" s="273"/>
    </row>
    <row r="188" spans="1:2" x14ac:dyDescent="0.25">
      <c r="A188" s="243"/>
      <c r="B188" s="273"/>
    </row>
    <row r="190" spans="1:2" x14ac:dyDescent="0.25">
      <c r="A190" s="243"/>
      <c r="B190" s="273"/>
    </row>
    <row r="192" spans="1:2" x14ac:dyDescent="0.25">
      <c r="A192" s="243"/>
      <c r="B192" s="273"/>
    </row>
    <row r="194" spans="1:2" x14ac:dyDescent="0.25">
      <c r="A194" s="243"/>
      <c r="B194" s="273"/>
    </row>
    <row r="196" spans="1:2" x14ac:dyDescent="0.25">
      <c r="A196" s="243"/>
      <c r="B196" s="273"/>
    </row>
    <row r="198" spans="1:2" x14ac:dyDescent="0.25">
      <c r="A198" s="243"/>
      <c r="B198" s="273"/>
    </row>
    <row r="200" spans="1:2" x14ac:dyDescent="0.25">
      <c r="A200" s="243"/>
      <c r="B200" s="273"/>
    </row>
    <row r="202" spans="1:2" x14ac:dyDescent="0.25">
      <c r="A202" s="244"/>
      <c r="B202" s="274"/>
    </row>
    <row r="204" spans="1:2" x14ac:dyDescent="0.25">
      <c r="A204" s="243"/>
      <c r="B204" s="273"/>
    </row>
    <row r="206" spans="1:2" x14ac:dyDescent="0.25">
      <c r="A206" s="243"/>
      <c r="B206" s="273"/>
    </row>
    <row r="208" spans="1:2" x14ac:dyDescent="0.25">
      <c r="A208" s="243"/>
      <c r="B208" s="273"/>
    </row>
    <row r="210" spans="1:2" x14ac:dyDescent="0.25">
      <c r="A210" s="243"/>
      <c r="B210" s="273"/>
    </row>
    <row r="212" spans="1:2" x14ac:dyDescent="0.25">
      <c r="A212" s="243"/>
      <c r="B212" s="273"/>
    </row>
    <row r="214" spans="1:2" x14ac:dyDescent="0.25">
      <c r="A214" s="243"/>
      <c r="B214" s="273"/>
    </row>
    <row r="216" spans="1:2" x14ac:dyDescent="0.25">
      <c r="A216" s="243"/>
      <c r="B216" s="273"/>
    </row>
    <row r="218" spans="1:2" x14ac:dyDescent="0.25">
      <c r="A218" s="243"/>
      <c r="B218" s="273"/>
    </row>
    <row r="220" spans="1:2" x14ac:dyDescent="0.25">
      <c r="A220" s="243"/>
      <c r="B220" s="273"/>
    </row>
    <row r="222" spans="1:2" x14ac:dyDescent="0.25">
      <c r="A222" s="243"/>
      <c r="B222" s="273"/>
    </row>
    <row r="224" spans="1:2" x14ac:dyDescent="0.25">
      <c r="A224" s="243"/>
      <c r="B224" s="273"/>
    </row>
    <row r="226" spans="1:2" x14ac:dyDescent="0.25">
      <c r="A226" s="243"/>
      <c r="B226" s="273"/>
    </row>
    <row r="228" spans="1:2" x14ac:dyDescent="0.25">
      <c r="A228" s="243"/>
      <c r="B228" s="273"/>
    </row>
    <row r="230" spans="1:2" x14ac:dyDescent="0.25">
      <c r="A230" s="243"/>
      <c r="B230" s="273"/>
    </row>
    <row r="232" spans="1:2" x14ac:dyDescent="0.25">
      <c r="A232" s="243"/>
      <c r="B232" s="273"/>
    </row>
    <row r="234" spans="1:2" x14ac:dyDescent="0.25">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3.8" x14ac:dyDescent="0.25"/>
  <cols>
    <col min="1" max="1" width="11.296875" customWidth="1"/>
    <col min="2" max="4" width="6.19921875" customWidth="1"/>
    <col min="20" max="20" width="9.296875" style="6" bestFit="1" customWidth="1"/>
    <col min="21" max="21" width="8.69921875" style="6"/>
  </cols>
  <sheetData>
    <row r="1" spans="1:40" ht="16.8" x14ac:dyDescent="0.4">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8" x14ac:dyDescent="0.4">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8" x14ac:dyDescent="0.4">
      <c r="A3" s="12" t="s">
        <v>221</v>
      </c>
      <c r="B3" s="13" t="s">
        <v>218</v>
      </c>
      <c r="C3" s="13" t="str">
        <f>+'Mejores 3eros'!AG3</f>
        <v>3D</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8" x14ac:dyDescent="0.4">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8" x14ac:dyDescent="0.4">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8" x14ac:dyDescent="0.4">
      <c r="A6" s="12" t="s">
        <v>249</v>
      </c>
      <c r="B6" s="13" t="s">
        <v>241</v>
      </c>
      <c r="C6" s="13" t="str">
        <f>+'Mejores 3eros'!AI3</f>
        <v>3F</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8" x14ac:dyDescent="0.4">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8" x14ac:dyDescent="0.4">
      <c r="A8" s="12" t="s">
        <v>266</v>
      </c>
      <c r="B8" s="13" t="s">
        <v>259</v>
      </c>
      <c r="C8" s="13" t="str">
        <f>+'Mejores 3eros'!AD3</f>
        <v>3C</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8" x14ac:dyDescent="0.4">
      <c r="A9" s="12" t="s">
        <v>273</v>
      </c>
      <c r="B9" s="13" t="s">
        <v>270</v>
      </c>
      <c r="C9" s="13" t="str">
        <f>+'Mejores 3eros'!AK3</f>
        <v>3I</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8" x14ac:dyDescent="0.4">
      <c r="A10" s="12" t="s">
        <v>214</v>
      </c>
      <c r="B10" s="13" t="s">
        <v>205</v>
      </c>
      <c r="C10" s="13" t="str">
        <f>+'Mejores 3eros'!AF3</f>
        <v>3E</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8" x14ac:dyDescent="0.4">
      <c r="A11" s="12" t="s">
        <v>222</v>
      </c>
      <c r="B11" s="13" t="s">
        <v>219</v>
      </c>
      <c r="C11" s="13" t="str">
        <f>+'Mejores 3eros'!AH3</f>
        <v>3A</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8" x14ac:dyDescent="0.4">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8" x14ac:dyDescent="0.4">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8" x14ac:dyDescent="0.4">
      <c r="A14" s="12" t="s">
        <v>250</v>
      </c>
      <c r="B14" s="13" t="s">
        <v>242</v>
      </c>
      <c r="C14" s="13" t="str">
        <f>+'Mejores 3eros'!AE3</f>
        <v>3J</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8" x14ac:dyDescent="0.4">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8" x14ac:dyDescent="0.4">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8" x14ac:dyDescent="0.4">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8" x14ac:dyDescent="0.4">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8" x14ac:dyDescent="0.4">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8" x14ac:dyDescent="0.4">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8" x14ac:dyDescent="0.4">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8" x14ac:dyDescent="0.4">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8" x14ac:dyDescent="0.4">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8" x14ac:dyDescent="0.4">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8" x14ac:dyDescent="0.4">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8" x14ac:dyDescent="0.4">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8" x14ac:dyDescent="0.4">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8" x14ac:dyDescent="0.4">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8" x14ac:dyDescent="0.4">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8" x14ac:dyDescent="0.4">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8" x14ac:dyDescent="0.4">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8" x14ac:dyDescent="0.4">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8" x14ac:dyDescent="0.4">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8" x14ac:dyDescent="0.4">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8" x14ac:dyDescent="0.4">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8" x14ac:dyDescent="0.4">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8" x14ac:dyDescent="0.4">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8" x14ac:dyDescent="0.4">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8" x14ac:dyDescent="0.4">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8" x14ac:dyDescent="0.4">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8" x14ac:dyDescent="0.4">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8" x14ac:dyDescent="0.4">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8" x14ac:dyDescent="0.4">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8" x14ac:dyDescent="0.4">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8" x14ac:dyDescent="0.4">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8" x14ac:dyDescent="0.4">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8" x14ac:dyDescent="0.4">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3.8" x14ac:dyDescent="0.25"/>
  <cols>
    <col min="17" max="17" width="8.69921875" style="5"/>
    <col min="18" max="24" width="8.69921875" style="6"/>
    <col min="27" max="27" width="12.19921875" bestFit="1" customWidth="1"/>
    <col min="42" max="42" width="13.19921875" bestFit="1" customWidth="1"/>
    <col min="56" max="56" width="13.19921875" bestFit="1" customWidth="1"/>
    <col min="59" max="59" width="14.5" bestFit="1" customWidth="1"/>
  </cols>
  <sheetData>
    <row r="1" spans="1:64"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5</v>
      </c>
      <c r="AA2" s="11" t="str">
        <f>+BL2</f>
        <v>f</v>
      </c>
      <c r="AC2" s="6" t="s">
        <v>332</v>
      </c>
      <c r="AD2" s="6" t="str">
        <f>+_xlfn.XLOOKUP(8,$Y:$Y,Q:Q,"Error",0)</f>
        <v>C</v>
      </c>
      <c r="AE2" s="6" t="str">
        <f t="shared" ref="AE2:AK2" si="10">+_xlfn.XLOOKUP(8,$Y:$Y,R:R,"Error",0)</f>
        <v>J</v>
      </c>
      <c r="AF2" s="6" t="str">
        <f t="shared" si="10"/>
        <v>E</v>
      </c>
      <c r="AG2" s="6" t="str">
        <f t="shared" si="10"/>
        <v>D</v>
      </c>
      <c r="AH2" s="6" t="str">
        <f t="shared" si="10"/>
        <v>A</v>
      </c>
      <c r="AI2" s="6" t="str">
        <f t="shared" si="10"/>
        <v>F</v>
      </c>
      <c r="AJ2" s="6" t="str">
        <f t="shared" si="10"/>
        <v>L</v>
      </c>
      <c r="AK2" s="6" t="str">
        <f t="shared" si="10"/>
        <v>I</v>
      </c>
      <c r="AO2" t="s">
        <v>333</v>
      </c>
      <c r="AP2" t="str">
        <f>+_xlfn.XLOOKUP($AO2,'Groups Stage'!$Y:$Y,'Groups Stage'!Z:Z,"-",0)</f>
        <v>Sudafrica</v>
      </c>
      <c r="AQ2" s="6">
        <f>+_xlfn.XLOOKUP($AO2,'Groups Stage'!$Y:$Y,'Groups Stage'!AA:AA,"-",0)</f>
        <v>3</v>
      </c>
      <c r="AR2" s="6">
        <f>+_xlfn.XLOOKUP($AO2,'Groups Stage'!$Y:$Y,'Groups Stage'!AB:AB,"-",0)</f>
        <v>1</v>
      </c>
      <c r="AS2" s="6">
        <f>+_xlfn.XLOOKUP($AO2,'Groups Stage'!$Y:$Y,'Groups Stage'!AC:AC,"-",0)</f>
        <v>1</v>
      </c>
      <c r="AT2" s="6">
        <f>+_xlfn.XLOOKUP($AO2,'Groups Stage'!$Y:$Y,'Groups Stage'!AD:AD,"-",0)</f>
        <v>1</v>
      </c>
      <c r="AU2" s="6">
        <f>+_xlfn.XLOOKUP($AO2,'Groups Stage'!$Y:$Y,'Groups Stage'!AE:AE,"-",0)</f>
        <v>0</v>
      </c>
      <c r="AV2" s="6">
        <f>+_xlfn.XLOOKUP($AO2,'Groups Stage'!$Y:$Y,'Groups Stage'!AF:AF,"-",0)</f>
        <v>2</v>
      </c>
      <c r="AW2" s="6">
        <f>+_xlfn.XLOOKUP($AO2,'Groups Stage'!$Y:$Y,'Groups Stage'!AG:AG,"-",0)</f>
        <v>2</v>
      </c>
      <c r="AX2" s="6">
        <f>+AR2*3+AS2+AU2/100+AV2/10000</f>
        <v>4.0002000000000004</v>
      </c>
      <c r="AY2" s="19">
        <f>+AX2+ROW()/10000000000</f>
        <v>4.0002000002000004</v>
      </c>
      <c r="AZ2" s="22" t="str">
        <f>+'Groups Stage'!CX2</f>
        <v xml:space="preserve"> - </v>
      </c>
      <c r="BA2" s="19">
        <f>+AY2+IF(AZ2="IN",1/100000000,0)</f>
        <v>4.0002000002000004</v>
      </c>
      <c r="BB2" s="19"/>
      <c r="BC2" s="19">
        <f>+LARGE($AY$2:$AY$13,ROW()-1)</f>
        <v>4.0105000006999996</v>
      </c>
      <c r="BD2" s="20" t="str">
        <f>IF($AQ$15="DONE",_xlfn.XLOOKUP(BC2,$AY$2:$AY$13,$AP$2:$AP$13,"-",0),"--")</f>
        <v>Suecia</v>
      </c>
      <c r="BE2">
        <f>+_xlfn.XLOOKUP(BD2,$AP$2:$AP$13,$AX$2:$AX$13,"-",0)</f>
        <v>4.0104999999999995</v>
      </c>
      <c r="BF2" s="6" t="str">
        <f t="shared" ref="BF2:BF9" si="11">+IF(COUNTIF($BE$10:$BE$13,BE2)=0,"-","x")</f>
        <v>-</v>
      </c>
      <c r="BG2" t="str">
        <f>+IF(BF2="x","Draw - Select","IN")</f>
        <v>IN</v>
      </c>
      <c r="BI2" s="19">
        <f>+LARGE($BA$2:$BA$13,ROW()-1)</f>
        <v>4.0105000006999996</v>
      </c>
      <c r="BJ2" s="20" t="str">
        <f>IF($AQ$15="DONE",_xlfn.XLOOKUP(BI2,$BA$2:$BA$13,$AP$2:$AP$13,"-",0),"--")</f>
        <v>Suecia</v>
      </c>
      <c r="BK2" s="20" t="str">
        <f>IF($AQ$15="DONE",_xlfn.XLOOKUP(BI2,$BA$2:$BA$13,$AO$2:$AO$13,"-",0),"--")</f>
        <v>3F</v>
      </c>
      <c r="BL2" t="str">
        <f>+LOWER(RIGHT(BK2,1))</f>
        <v>f</v>
      </c>
    </row>
    <row r="3" spans="1:64"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5</v>
      </c>
      <c r="AA3" s="11" t="str">
        <f t="shared" ref="AA3:AA9" si="14">+BL3</f>
        <v>a</v>
      </c>
      <c r="AC3" s="6"/>
      <c r="AD3" s="6" t="str">
        <f>+"3"&amp;AD2</f>
        <v>3C</v>
      </c>
      <c r="AE3" s="6" t="str">
        <f t="shared" ref="AE3:AK3" si="15">+"3"&amp;AE2</f>
        <v>3J</v>
      </c>
      <c r="AF3" s="6" t="str">
        <f t="shared" si="15"/>
        <v>3E</v>
      </c>
      <c r="AG3" s="6" t="str">
        <f t="shared" si="15"/>
        <v>3D</v>
      </c>
      <c r="AH3" s="6" t="str">
        <f t="shared" si="15"/>
        <v>3A</v>
      </c>
      <c r="AI3" s="6" t="str">
        <f t="shared" si="15"/>
        <v>3F</v>
      </c>
      <c r="AJ3" s="6" t="str">
        <f t="shared" si="15"/>
        <v>3L</v>
      </c>
      <c r="AK3" s="6" t="str">
        <f t="shared" si="15"/>
        <v>3I</v>
      </c>
      <c r="AO3" t="s">
        <v>336</v>
      </c>
      <c r="AP3" t="str">
        <f>+_xlfn.XLOOKUP($AO3,'Groups Stage'!$Y:$Y,'Groups Stage'!Z:Z,"-",0)</f>
        <v>Bosnia</v>
      </c>
      <c r="AQ3" s="6">
        <f>+_xlfn.XLOOKUP($AO3,'Groups Stage'!$Y:$Y,'Groups Stage'!AA:AA,"-",0)</f>
        <v>3</v>
      </c>
      <c r="AR3" s="6">
        <f>+_xlfn.XLOOKUP($AO3,'Groups Stage'!$Y:$Y,'Groups Stage'!AB:AB,"-",0)</f>
        <v>1</v>
      </c>
      <c r="AS3" s="6">
        <f>+_xlfn.XLOOKUP($AO3,'Groups Stage'!$Y:$Y,'Groups Stage'!AC:AC,"-",0)</f>
        <v>0</v>
      </c>
      <c r="AT3" s="6">
        <f>+_xlfn.XLOOKUP($AO3,'Groups Stage'!$Y:$Y,'Groups Stage'!AD:AD,"-",0)</f>
        <v>2</v>
      </c>
      <c r="AU3" s="6">
        <f>+_xlfn.XLOOKUP($AO3,'Groups Stage'!$Y:$Y,'Groups Stage'!AE:AE,"-",0)</f>
        <v>-1</v>
      </c>
      <c r="AV3" s="6">
        <f>+_xlfn.XLOOKUP($AO3,'Groups Stage'!$Y:$Y,'Groups Stage'!AF:AF,"-",0)</f>
        <v>2</v>
      </c>
      <c r="AW3" s="6">
        <f>+_xlfn.XLOOKUP($AO3,'Groups Stage'!$Y:$Y,'Groups Stage'!AG:AG,"-",0)</f>
        <v>3</v>
      </c>
      <c r="AX3" s="6">
        <f t="shared" ref="AX3:AX13" si="16">+AR3*3+AS3+AU3/100+AV3/10000</f>
        <v>2.9902000000000002</v>
      </c>
      <c r="AY3" s="19">
        <f t="shared" ref="AY3:AY13" si="17">+AX3+ROW()/10000000000</f>
        <v>2.9902000003000002</v>
      </c>
      <c r="AZ3" s="22" t="str">
        <f>+'Groups Stage'!CX3</f>
        <v xml:space="preserve"> - </v>
      </c>
      <c r="BA3" s="19">
        <f t="shared" ref="BA3:BA13" si="18">+AY3+IF(AZ3="IN",1/100000000,0)</f>
        <v>2.9902000003000002</v>
      </c>
      <c r="BB3" s="19"/>
      <c r="BC3" s="19">
        <f t="shared" ref="BC3:BC13" si="19">+LARGE($AY$2:$AY$13,ROW()-1)</f>
        <v>4.0002000002000004</v>
      </c>
      <c r="BD3" s="20" t="str">
        <f t="shared" ref="BD3:BD13" si="20">IF($AQ$15="DONE",_xlfn.XLOOKUP(BC3,$AY$2:$AY$13,$AP$2:$AP$13,"-",0),"--")</f>
        <v>Sudafrica</v>
      </c>
      <c r="BE3">
        <f t="shared" ref="BE3:BE13" si="21">+_xlfn.XLOOKUP(BD3,$AP$2:$AP$13,$AX$2:$AX$13,"-",0)</f>
        <v>4.0002000000000004</v>
      </c>
      <c r="BF3" s="6" t="str">
        <f t="shared" si="11"/>
        <v>-</v>
      </c>
      <c r="BG3" t="str">
        <f t="shared" ref="BG3:BG9" si="22">+IF(BF3="x","Draw - Select","IN")</f>
        <v>IN</v>
      </c>
      <c r="BI3" s="19">
        <f t="shared" ref="BI3:BI9" si="23">+LARGE($BA$2:$BA$13,ROW()-1)</f>
        <v>4.0002000002000004</v>
      </c>
      <c r="BJ3" s="20" t="str">
        <f t="shared" ref="BJ3:BJ9" si="24">IF($AQ$15="DONE",_xlfn.XLOOKUP(BI3,$BA$2:$BA$13,$AP$2:$AP$13,"-",0),"--")</f>
        <v>Sudafrica</v>
      </c>
      <c r="BK3" s="20" t="str">
        <f t="shared" ref="BK3:BK9" si="25">IF($AQ$15="DONE",_xlfn.XLOOKUP(BI3,$BA$2:$BA$13,$AO$2:$AO$13,"-",0),"--")</f>
        <v>3A</v>
      </c>
      <c r="BL3" t="str">
        <f t="shared" ref="BL3:BL9" si="26">+LOWER(RIGHT(BK3,1))</f>
        <v>a</v>
      </c>
    </row>
    <row r="4" spans="1:64"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5</v>
      </c>
      <c r="AA4" s="11" t="str">
        <f t="shared" si="14"/>
        <v>i</v>
      </c>
      <c r="AC4" s="6"/>
      <c r="AO4" t="s">
        <v>338</v>
      </c>
      <c r="AP4" t="str">
        <f>+_xlfn.XLOOKUP($AO4,'Groups Stage'!$Y:$Y,'Groups Stage'!Z:Z,"-",0)</f>
        <v>Escocia</v>
      </c>
      <c r="AQ4" s="6">
        <f>+_xlfn.XLOOKUP($AO4,'Groups Stage'!$Y:$Y,'Groups Stage'!AA:AA,"-",0)</f>
        <v>3</v>
      </c>
      <c r="AR4" s="6">
        <f>+_xlfn.XLOOKUP($AO4,'Groups Stage'!$Y:$Y,'Groups Stage'!AB:AB,"-",0)</f>
        <v>1</v>
      </c>
      <c r="AS4" s="6">
        <f>+_xlfn.XLOOKUP($AO4,'Groups Stage'!$Y:$Y,'Groups Stage'!AC:AC,"-",0)</f>
        <v>0</v>
      </c>
      <c r="AT4" s="6">
        <f>+_xlfn.XLOOKUP($AO4,'Groups Stage'!$Y:$Y,'Groups Stage'!AD:AD,"-",0)</f>
        <v>2</v>
      </c>
      <c r="AU4" s="6">
        <f>+_xlfn.XLOOKUP($AO4,'Groups Stage'!$Y:$Y,'Groups Stage'!AE:AE,"-",0)</f>
        <v>0</v>
      </c>
      <c r="AV4" s="6">
        <f>+_xlfn.XLOOKUP($AO4,'Groups Stage'!$Y:$Y,'Groups Stage'!AF:AF,"-",0)</f>
        <v>4</v>
      </c>
      <c r="AW4" s="6">
        <f>+_xlfn.XLOOKUP($AO4,'Groups Stage'!$Y:$Y,'Groups Stage'!AG:AG,"-",0)</f>
        <v>4</v>
      </c>
      <c r="AX4" s="6">
        <f t="shared" si="16"/>
        <v>3.0004</v>
      </c>
      <c r="AY4" s="19">
        <f t="shared" si="17"/>
        <v>3.0004000004</v>
      </c>
      <c r="AZ4" s="22">
        <f>+'Groups Stage'!CX4</f>
        <v>0</v>
      </c>
      <c r="BA4" s="19">
        <f t="shared" si="18"/>
        <v>3.0004000004</v>
      </c>
      <c r="BB4" s="19"/>
      <c r="BC4" s="19">
        <f t="shared" si="19"/>
        <v>3.9904000010000003</v>
      </c>
      <c r="BD4" s="20" t="str">
        <f t="shared" si="20"/>
        <v>Senegal</v>
      </c>
      <c r="BE4">
        <f t="shared" si="21"/>
        <v>3.9904000000000002</v>
      </c>
      <c r="BF4" s="6" t="str">
        <f t="shared" si="11"/>
        <v>-</v>
      </c>
      <c r="BG4" t="str">
        <f t="shared" si="22"/>
        <v>IN</v>
      </c>
      <c r="BI4" s="19">
        <f t="shared" si="23"/>
        <v>3.9904000010000003</v>
      </c>
      <c r="BJ4" s="20" t="str">
        <f t="shared" si="24"/>
        <v>Senegal</v>
      </c>
      <c r="BK4" s="20" t="str">
        <f t="shared" si="25"/>
        <v>3I</v>
      </c>
      <c r="BL4" t="str">
        <f t="shared" si="26"/>
        <v>i</v>
      </c>
    </row>
    <row r="5" spans="1:64"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6</v>
      </c>
      <c r="AA5" s="11" t="str">
        <f t="shared" si="14"/>
        <v>l</v>
      </c>
      <c r="AC5" s="6"/>
      <c r="AO5" t="s">
        <v>335</v>
      </c>
      <c r="AP5" t="str">
        <f>+_xlfn.XLOOKUP($AO5,'Groups Stage'!$Y:$Y,'Groups Stage'!Z:Z,"-",0)</f>
        <v>Australia</v>
      </c>
      <c r="AQ5" s="6">
        <f>+_xlfn.XLOOKUP($AO5,'Groups Stage'!$Y:$Y,'Groups Stage'!AA:AA,"-",0)</f>
        <v>3</v>
      </c>
      <c r="AR5" s="6">
        <f>+_xlfn.XLOOKUP($AO5,'Groups Stage'!$Y:$Y,'Groups Stage'!AB:AB,"-",0)</f>
        <v>1</v>
      </c>
      <c r="AS5" s="6">
        <f>+_xlfn.XLOOKUP($AO5,'Groups Stage'!$Y:$Y,'Groups Stage'!AC:AC,"-",0)</f>
        <v>0</v>
      </c>
      <c r="AT5" s="6">
        <f>+_xlfn.XLOOKUP($AO5,'Groups Stage'!$Y:$Y,'Groups Stage'!AD:AD,"-",0)</f>
        <v>2</v>
      </c>
      <c r="AU5" s="6">
        <f>+_xlfn.XLOOKUP($AO5,'Groups Stage'!$Y:$Y,'Groups Stage'!AE:AE,"-",0)</f>
        <v>-1</v>
      </c>
      <c r="AV5" s="6">
        <f>+_xlfn.XLOOKUP($AO5,'Groups Stage'!$Y:$Y,'Groups Stage'!AF:AF,"-",0)</f>
        <v>3</v>
      </c>
      <c r="AW5" s="6">
        <f>+_xlfn.XLOOKUP($AO5,'Groups Stage'!$Y:$Y,'Groups Stage'!AG:AG,"-",0)</f>
        <v>4</v>
      </c>
      <c r="AX5" s="6">
        <f t="shared" si="16"/>
        <v>2.9903000000000004</v>
      </c>
      <c r="AY5" s="19">
        <f t="shared" si="17"/>
        <v>2.9903000005000004</v>
      </c>
      <c r="AZ5" s="22" t="str">
        <f>+'Groups Stage'!CX5</f>
        <v xml:space="preserve"> - </v>
      </c>
      <c r="BA5" s="19">
        <f t="shared" si="18"/>
        <v>2.9903000005000004</v>
      </c>
      <c r="BB5" s="19"/>
      <c r="BC5" s="19">
        <f t="shared" si="19"/>
        <v>3.0005000013000003</v>
      </c>
      <c r="BD5" s="20" t="str">
        <f t="shared" si="20"/>
        <v>Croacia</v>
      </c>
      <c r="BE5">
        <f t="shared" si="21"/>
        <v>3.0005000000000002</v>
      </c>
      <c r="BF5" s="6" t="str">
        <f t="shared" si="11"/>
        <v>-</v>
      </c>
      <c r="BG5" t="str">
        <f t="shared" si="22"/>
        <v>IN</v>
      </c>
      <c r="BI5" s="19">
        <f t="shared" si="23"/>
        <v>3.0005000013000003</v>
      </c>
      <c r="BJ5" s="20" t="str">
        <f t="shared" si="24"/>
        <v>Croacia</v>
      </c>
      <c r="BK5" s="20" t="str">
        <f t="shared" si="25"/>
        <v>3L</v>
      </c>
      <c r="BL5" t="str">
        <f t="shared" si="26"/>
        <v>l</v>
      </c>
    </row>
    <row r="6" spans="1:64"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6</v>
      </c>
      <c r="AA6" s="11" t="str">
        <f t="shared" si="14"/>
        <v>c</v>
      </c>
      <c r="AC6" s="6"/>
      <c r="AO6" t="s">
        <v>324</v>
      </c>
      <c r="AP6" t="str">
        <f>+_xlfn.XLOOKUP($AO6,'Groups Stage'!$Y:$Y,'Groups Stage'!Z:Z,"-",0)</f>
        <v>Costa de Marfil</v>
      </c>
      <c r="AQ6" s="6">
        <f>+_xlfn.XLOOKUP($AO6,'Groups Stage'!$Y:$Y,'Groups Stage'!AA:AA,"-",0)</f>
        <v>3</v>
      </c>
      <c r="AR6" s="6">
        <f>+_xlfn.XLOOKUP($AO6,'Groups Stage'!$Y:$Y,'Groups Stage'!AB:AB,"-",0)</f>
        <v>1</v>
      </c>
      <c r="AS6" s="6">
        <f>+_xlfn.XLOOKUP($AO6,'Groups Stage'!$Y:$Y,'Groups Stage'!AC:AC,"-",0)</f>
        <v>0</v>
      </c>
      <c r="AT6" s="6">
        <f>+_xlfn.XLOOKUP($AO6,'Groups Stage'!$Y:$Y,'Groups Stage'!AD:AD,"-",0)</f>
        <v>2</v>
      </c>
      <c r="AU6" s="6">
        <f>+_xlfn.XLOOKUP($AO6,'Groups Stage'!$Y:$Y,'Groups Stage'!AE:AE,"-",0)</f>
        <v>-1</v>
      </c>
      <c r="AV6" s="6">
        <f>+_xlfn.XLOOKUP($AO6,'Groups Stage'!$Y:$Y,'Groups Stage'!AF:AF,"-",0)</f>
        <v>3</v>
      </c>
      <c r="AW6" s="6">
        <f>+_xlfn.XLOOKUP($AO6,'Groups Stage'!$Y:$Y,'Groups Stage'!AG:AG,"-",0)</f>
        <v>4</v>
      </c>
      <c r="AX6" s="6">
        <f t="shared" ref="AX6" si="27">+AR6*3+AS6+AU6/100+AV6/10000</f>
        <v>2.9903000000000004</v>
      </c>
      <c r="AY6" s="19">
        <f t="shared" si="17"/>
        <v>2.9903000006000005</v>
      </c>
      <c r="AZ6" s="22" t="str">
        <f>+'Groups Stage'!CX6</f>
        <v xml:space="preserve"> - </v>
      </c>
      <c r="BA6" s="19">
        <f t="shared" si="18"/>
        <v>2.9903000006000005</v>
      </c>
      <c r="BB6" s="19"/>
      <c r="BC6" s="19">
        <f t="shared" si="19"/>
        <v>3.0004000004</v>
      </c>
      <c r="BD6" s="20" t="str">
        <f t="shared" si="20"/>
        <v>Escocia</v>
      </c>
      <c r="BE6">
        <f t="shared" si="21"/>
        <v>3.0004</v>
      </c>
      <c r="BF6" s="6" t="str">
        <f t="shared" si="11"/>
        <v>-</v>
      </c>
      <c r="BG6" t="str">
        <f t="shared" si="22"/>
        <v>IN</v>
      </c>
      <c r="BI6" s="19">
        <f t="shared" si="23"/>
        <v>3.0004000004</v>
      </c>
      <c r="BJ6" s="20" t="str">
        <f t="shared" si="24"/>
        <v>Escocia</v>
      </c>
      <c r="BK6" s="20" t="str">
        <f t="shared" si="25"/>
        <v>3C</v>
      </c>
      <c r="BL6" t="str">
        <f t="shared" si="26"/>
        <v>c</v>
      </c>
    </row>
    <row r="7" spans="1:64"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5</v>
      </c>
      <c r="AA7" s="11" t="str">
        <f t="shared" si="14"/>
        <v>j</v>
      </c>
      <c r="AC7" s="6"/>
      <c r="AO7" t="s">
        <v>327</v>
      </c>
      <c r="AP7" t="str">
        <f>+_xlfn.XLOOKUP($AO7,'Groups Stage'!$Y:$Y,'Groups Stage'!Z:Z,"-",0)</f>
        <v>Suecia</v>
      </c>
      <c r="AQ7" s="6">
        <f>+_xlfn.XLOOKUP($AO7,'Groups Stage'!$Y:$Y,'Groups Stage'!AA:AA,"-",0)</f>
        <v>3</v>
      </c>
      <c r="AR7" s="6">
        <f>+_xlfn.XLOOKUP($AO7,'Groups Stage'!$Y:$Y,'Groups Stage'!AB:AB,"-",0)</f>
        <v>1</v>
      </c>
      <c r="AS7" s="6">
        <f>+_xlfn.XLOOKUP($AO7,'Groups Stage'!$Y:$Y,'Groups Stage'!AC:AC,"-",0)</f>
        <v>1</v>
      </c>
      <c r="AT7" s="6">
        <f>+_xlfn.XLOOKUP($AO7,'Groups Stage'!$Y:$Y,'Groups Stage'!AD:AD,"-",0)</f>
        <v>1</v>
      </c>
      <c r="AU7" s="6">
        <f>+_xlfn.XLOOKUP($AO7,'Groups Stage'!$Y:$Y,'Groups Stage'!AE:AE,"-",0)</f>
        <v>1</v>
      </c>
      <c r="AV7" s="6">
        <f>+_xlfn.XLOOKUP($AO7,'Groups Stage'!$Y:$Y,'Groups Stage'!AF:AF,"-",0)</f>
        <v>5</v>
      </c>
      <c r="AW7" s="6">
        <f>+_xlfn.XLOOKUP($AO7,'Groups Stage'!$Y:$Y,'Groups Stage'!AG:AG,"-",0)</f>
        <v>4</v>
      </c>
      <c r="AX7" s="6">
        <f t="shared" si="16"/>
        <v>4.0104999999999995</v>
      </c>
      <c r="AY7" s="19">
        <f t="shared" si="17"/>
        <v>4.0105000006999996</v>
      </c>
      <c r="AZ7" s="22" t="str">
        <f>+'Groups Stage'!CX7</f>
        <v xml:space="preserve"> - </v>
      </c>
      <c r="BA7" s="19">
        <f t="shared" si="18"/>
        <v>4.0105000006999996</v>
      </c>
      <c r="BB7" s="19"/>
      <c r="BC7" s="19">
        <f t="shared" si="19"/>
        <v>2.9903000011000005</v>
      </c>
      <c r="BD7" s="20" t="str">
        <f t="shared" si="20"/>
        <v>Argelia</v>
      </c>
      <c r="BE7">
        <f t="shared" si="21"/>
        <v>2.9903000000000004</v>
      </c>
      <c r="BF7" s="6" t="str">
        <f t="shared" si="11"/>
        <v>-</v>
      </c>
      <c r="BG7" t="str">
        <f t="shared" si="22"/>
        <v>IN</v>
      </c>
      <c r="BI7" s="19">
        <f t="shared" si="23"/>
        <v>2.9903000011000005</v>
      </c>
      <c r="BJ7" s="20" t="str">
        <f t="shared" si="24"/>
        <v>Argelia</v>
      </c>
      <c r="BK7" s="20" t="str">
        <f t="shared" si="25"/>
        <v>3J</v>
      </c>
      <c r="BL7" t="str">
        <f t="shared" si="26"/>
        <v>j</v>
      </c>
    </row>
    <row r="8" spans="1:64"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5</v>
      </c>
      <c r="AA8" s="11" t="str">
        <f t="shared" si="14"/>
        <v>e</v>
      </c>
      <c r="AC8" s="6"/>
      <c r="AO8" t="s">
        <v>329</v>
      </c>
      <c r="AP8" t="str">
        <f>+_xlfn.XLOOKUP($AO8,'Groups Stage'!$Y:$Y,'Groups Stage'!Z:Z,"-",0)</f>
        <v>Egipto</v>
      </c>
      <c r="AQ8" s="6">
        <f>+_xlfn.XLOOKUP($AO8,'Groups Stage'!$Y:$Y,'Groups Stage'!AA:AA,"-",0)</f>
        <v>3</v>
      </c>
      <c r="AR8" s="6">
        <f>+_xlfn.XLOOKUP($AO8,'Groups Stage'!$Y:$Y,'Groups Stage'!AB:AB,"-",0)</f>
        <v>0</v>
      </c>
      <c r="AS8" s="6">
        <f>+_xlfn.XLOOKUP($AO8,'Groups Stage'!$Y:$Y,'Groups Stage'!AC:AC,"-",0)</f>
        <v>2</v>
      </c>
      <c r="AT8" s="6">
        <f>+_xlfn.XLOOKUP($AO8,'Groups Stage'!$Y:$Y,'Groups Stage'!AD:AD,"-",0)</f>
        <v>1</v>
      </c>
      <c r="AU8" s="6">
        <f>+_xlfn.XLOOKUP($AO8,'Groups Stage'!$Y:$Y,'Groups Stage'!AE:AE,"-",0)</f>
        <v>-1</v>
      </c>
      <c r="AV8" s="6">
        <f>+_xlfn.XLOOKUP($AO8,'Groups Stage'!$Y:$Y,'Groups Stage'!AF:AF,"-",0)</f>
        <v>4</v>
      </c>
      <c r="AW8" s="6">
        <f>+_xlfn.XLOOKUP($AO8,'Groups Stage'!$Y:$Y,'Groups Stage'!AG:AG,"-",0)</f>
        <v>5</v>
      </c>
      <c r="AX8" s="6">
        <f t="shared" si="16"/>
        <v>1.9903999999999999</v>
      </c>
      <c r="AY8" s="19">
        <f t="shared" si="17"/>
        <v>1.9904000008</v>
      </c>
      <c r="AZ8" s="22" t="str">
        <f>+'Groups Stage'!CX8</f>
        <v xml:space="preserve"> - </v>
      </c>
      <c r="BA8" s="19">
        <f t="shared" si="18"/>
        <v>1.9904000008</v>
      </c>
      <c r="BB8" s="19"/>
      <c r="BC8" s="19">
        <f t="shared" si="19"/>
        <v>2.9903000006000005</v>
      </c>
      <c r="BD8" s="20" t="str">
        <f t="shared" si="20"/>
        <v>Costa de Marfil</v>
      </c>
      <c r="BE8">
        <f t="shared" si="21"/>
        <v>2.9903000000000004</v>
      </c>
      <c r="BF8" s="6" t="str">
        <f t="shared" si="11"/>
        <v>-</v>
      </c>
      <c r="BG8" t="str">
        <f t="shared" si="22"/>
        <v>IN</v>
      </c>
      <c r="BI8" s="19">
        <f t="shared" si="23"/>
        <v>2.9903000006000005</v>
      </c>
      <c r="BJ8" s="20" t="str">
        <f t="shared" si="24"/>
        <v>Costa de Marfil</v>
      </c>
      <c r="BK8" s="20" t="str">
        <f t="shared" si="25"/>
        <v>3E</v>
      </c>
      <c r="BL8" t="str">
        <f t="shared" si="26"/>
        <v>e</v>
      </c>
    </row>
    <row r="9" spans="1:64"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6</v>
      </c>
      <c r="AA9" s="11" t="str">
        <f t="shared" si="14"/>
        <v>d</v>
      </c>
      <c r="AC9" s="6"/>
      <c r="AO9" t="s">
        <v>328</v>
      </c>
      <c r="AP9" t="str">
        <f>+_xlfn.XLOOKUP($AO9,'Groups Stage'!$Y:$Y,'Groups Stage'!Z:Z,"-",0)</f>
        <v>Arabia Saudita</v>
      </c>
      <c r="AQ9" s="6">
        <f>+_xlfn.XLOOKUP($AO9,'Groups Stage'!$Y:$Y,'Groups Stage'!AA:AA,"-",0)</f>
        <v>3</v>
      </c>
      <c r="AR9" s="6">
        <f>+_xlfn.XLOOKUP($AO9,'Groups Stage'!$Y:$Y,'Groups Stage'!AB:AB,"-",0)</f>
        <v>1</v>
      </c>
      <c r="AS9" s="6">
        <f>+_xlfn.XLOOKUP($AO9,'Groups Stage'!$Y:$Y,'Groups Stage'!AC:AC,"-",0)</f>
        <v>0</v>
      </c>
      <c r="AT9" s="6">
        <f>+_xlfn.XLOOKUP($AO9,'Groups Stage'!$Y:$Y,'Groups Stage'!AD:AD,"-",0)</f>
        <v>2</v>
      </c>
      <c r="AU9" s="6">
        <f>+_xlfn.XLOOKUP($AO9,'Groups Stage'!$Y:$Y,'Groups Stage'!AE:AE,"-",0)</f>
        <v>-2</v>
      </c>
      <c r="AV9" s="6">
        <f>+_xlfn.XLOOKUP($AO9,'Groups Stage'!$Y:$Y,'Groups Stage'!AF:AF,"-",0)</f>
        <v>3</v>
      </c>
      <c r="AW9" s="6">
        <f>+_xlfn.XLOOKUP($AO9,'Groups Stage'!$Y:$Y,'Groups Stage'!AG:AG,"-",0)</f>
        <v>5</v>
      </c>
      <c r="AX9" s="6">
        <f t="shared" si="16"/>
        <v>2.9803000000000002</v>
      </c>
      <c r="AY9" s="19">
        <f t="shared" si="17"/>
        <v>2.9803000009000002</v>
      </c>
      <c r="AZ9" s="22" t="str">
        <f>+'Groups Stage'!CX9</f>
        <v xml:space="preserve"> - </v>
      </c>
      <c r="BA9" s="19">
        <f t="shared" si="18"/>
        <v>2.9803000009000002</v>
      </c>
      <c r="BB9" s="19"/>
      <c r="BC9" s="19">
        <f t="shared" si="19"/>
        <v>2.9903000005000004</v>
      </c>
      <c r="BD9" s="20" t="str">
        <f t="shared" si="20"/>
        <v>Australia</v>
      </c>
      <c r="BE9">
        <f t="shared" si="21"/>
        <v>2.9903000000000004</v>
      </c>
      <c r="BF9" s="6" t="str">
        <f t="shared" si="11"/>
        <v>-</v>
      </c>
      <c r="BG9" t="str">
        <f t="shared" si="22"/>
        <v>IN</v>
      </c>
      <c r="BI9" s="19">
        <f t="shared" si="23"/>
        <v>2.9903000005000004</v>
      </c>
      <c r="BJ9" s="20" t="str">
        <f t="shared" si="24"/>
        <v>Australia</v>
      </c>
      <c r="BK9" s="20" t="str">
        <f t="shared" si="25"/>
        <v>3D</v>
      </c>
      <c r="BL9" t="str">
        <f t="shared" si="26"/>
        <v>d</v>
      </c>
    </row>
    <row r="10" spans="1:64" x14ac:dyDescent="0.25">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5</v>
      </c>
      <c r="AO10" t="s">
        <v>326</v>
      </c>
      <c r="AP10" t="str">
        <f>+_xlfn.XLOOKUP($AO10,'Groups Stage'!$Y:$Y,'Groups Stage'!Z:Z,"-",0)</f>
        <v>Senegal</v>
      </c>
      <c r="AQ10" s="6">
        <f>+_xlfn.XLOOKUP($AO10,'Groups Stage'!$Y:$Y,'Groups Stage'!AA:AA,"-",0)</f>
        <v>3</v>
      </c>
      <c r="AR10" s="6">
        <f>+_xlfn.XLOOKUP($AO10,'Groups Stage'!$Y:$Y,'Groups Stage'!AB:AB,"-",0)</f>
        <v>1</v>
      </c>
      <c r="AS10" s="6">
        <f>+_xlfn.XLOOKUP($AO10,'Groups Stage'!$Y:$Y,'Groups Stage'!AC:AC,"-",0)</f>
        <v>1</v>
      </c>
      <c r="AT10" s="6">
        <f>+_xlfn.XLOOKUP($AO10,'Groups Stage'!$Y:$Y,'Groups Stage'!AD:AD,"-",0)</f>
        <v>1</v>
      </c>
      <c r="AU10" s="6">
        <f>+_xlfn.XLOOKUP($AO10,'Groups Stage'!$Y:$Y,'Groups Stage'!AE:AE,"-",0)</f>
        <v>-1</v>
      </c>
      <c r="AV10" s="6">
        <f>+_xlfn.XLOOKUP($AO10,'Groups Stage'!$Y:$Y,'Groups Stage'!AF:AF,"-",0)</f>
        <v>4</v>
      </c>
      <c r="AW10" s="6">
        <f>+_xlfn.XLOOKUP($AO10,'Groups Stage'!$Y:$Y,'Groups Stage'!AG:AG,"-",0)</f>
        <v>5</v>
      </c>
      <c r="AX10" s="6">
        <f t="shared" si="16"/>
        <v>3.9904000000000002</v>
      </c>
      <c r="AY10" s="19">
        <f t="shared" si="17"/>
        <v>3.9904000010000003</v>
      </c>
      <c r="AZ10" s="22">
        <f>+'Groups Stage'!CX10</f>
        <v>0</v>
      </c>
      <c r="BA10" s="19">
        <f t="shared" si="18"/>
        <v>3.9904000010000003</v>
      </c>
      <c r="BB10" s="19"/>
      <c r="BC10" s="19">
        <f t="shared" si="19"/>
        <v>2.9902000003000002</v>
      </c>
      <c r="BD10" s="20" t="str">
        <f t="shared" si="20"/>
        <v>Bosnia</v>
      </c>
      <c r="BE10">
        <f t="shared" si="21"/>
        <v>2.9902000000000002</v>
      </c>
      <c r="BF10" s="6" t="str">
        <f>+IF(COUNTIF($BE$2:$BE$9,BE10)=0,"-","x")</f>
        <v>-</v>
      </c>
      <c r="BG10" t="str">
        <f>+IF(BF10="x","Draw - Select","OUT")</f>
        <v>OUT</v>
      </c>
      <c r="BI10" s="19"/>
      <c r="BJ10" s="20"/>
      <c r="BK10" s="20"/>
    </row>
    <row r="11" spans="1:64" x14ac:dyDescent="0.25">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5</v>
      </c>
      <c r="AO11" t="s">
        <v>325</v>
      </c>
      <c r="AP11" t="str">
        <f>+_xlfn.XLOOKUP($AO11,'Groups Stage'!$Y:$Y,'Groups Stage'!Z:Z,"-",0)</f>
        <v>Argelia</v>
      </c>
      <c r="AQ11" s="6">
        <f>+_xlfn.XLOOKUP($AO11,'Groups Stage'!$Y:$Y,'Groups Stage'!AA:AA,"-",0)</f>
        <v>3</v>
      </c>
      <c r="AR11" s="6">
        <f>+_xlfn.XLOOKUP($AO11,'Groups Stage'!$Y:$Y,'Groups Stage'!AB:AB,"-",0)</f>
        <v>1</v>
      </c>
      <c r="AS11" s="6">
        <f>+_xlfn.XLOOKUP($AO11,'Groups Stage'!$Y:$Y,'Groups Stage'!AC:AC,"-",0)</f>
        <v>0</v>
      </c>
      <c r="AT11" s="6">
        <f>+_xlfn.XLOOKUP($AO11,'Groups Stage'!$Y:$Y,'Groups Stage'!AD:AD,"-",0)</f>
        <v>2</v>
      </c>
      <c r="AU11" s="6">
        <f>+_xlfn.XLOOKUP($AO11,'Groups Stage'!$Y:$Y,'Groups Stage'!AE:AE,"-",0)</f>
        <v>-1</v>
      </c>
      <c r="AV11" s="6">
        <f>+_xlfn.XLOOKUP($AO11,'Groups Stage'!$Y:$Y,'Groups Stage'!AF:AF,"-",0)</f>
        <v>3</v>
      </c>
      <c r="AW11" s="6">
        <f>+_xlfn.XLOOKUP($AO11,'Groups Stage'!$Y:$Y,'Groups Stage'!AG:AG,"-",0)</f>
        <v>4</v>
      </c>
      <c r="AX11" s="6">
        <f t="shared" si="16"/>
        <v>2.9903000000000004</v>
      </c>
      <c r="AY11" s="19">
        <f t="shared" si="17"/>
        <v>2.9903000011000005</v>
      </c>
      <c r="AZ11" s="22" t="str">
        <f>+'Groups Stage'!CX11</f>
        <v xml:space="preserve"> - </v>
      </c>
      <c r="BA11" s="19">
        <f t="shared" si="18"/>
        <v>2.9903000011000005</v>
      </c>
      <c r="BB11" s="19"/>
      <c r="BC11" s="19">
        <f t="shared" si="19"/>
        <v>2.9803000009000002</v>
      </c>
      <c r="BD11" s="20" t="str">
        <f t="shared" si="20"/>
        <v>Arabia Saudita</v>
      </c>
      <c r="BE11">
        <f t="shared" si="21"/>
        <v>2.9803000000000002</v>
      </c>
      <c r="BF11" s="6" t="str">
        <f t="shared" ref="BF11:BF13" si="28">+IF(COUNTIF($BE$2:$BE$9,BE11)=0,"-","x")</f>
        <v>-</v>
      </c>
      <c r="BG11" t="str">
        <f t="shared" ref="BG11:BG13" si="29">+IF(BF11="x","Draw - Select","OUT")</f>
        <v>OUT</v>
      </c>
      <c r="BI11" s="19"/>
      <c r="BJ11" s="20"/>
      <c r="BK11" s="20"/>
    </row>
    <row r="12" spans="1:64" x14ac:dyDescent="0.25">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5</v>
      </c>
      <c r="AO12" t="s">
        <v>331</v>
      </c>
      <c r="AP12" t="str">
        <f>+_xlfn.XLOOKUP($AO12,'Groups Stage'!$Y:$Y,'Groups Stage'!Z:Z,"-",0)</f>
        <v>Congo</v>
      </c>
      <c r="AQ12" s="6">
        <f>+_xlfn.XLOOKUP($AO12,'Groups Stage'!$Y:$Y,'Groups Stage'!AA:AA,"-",0)</f>
        <v>3</v>
      </c>
      <c r="AR12" s="6">
        <f>+_xlfn.XLOOKUP($AO12,'Groups Stage'!$Y:$Y,'Groups Stage'!AB:AB,"-",0)</f>
        <v>1</v>
      </c>
      <c r="AS12" s="6">
        <f>+_xlfn.XLOOKUP($AO12,'Groups Stage'!$Y:$Y,'Groups Stage'!AC:AC,"-",0)</f>
        <v>0</v>
      </c>
      <c r="AT12" s="6">
        <f>+_xlfn.XLOOKUP($AO12,'Groups Stage'!$Y:$Y,'Groups Stage'!AD:AD,"-",0)</f>
        <v>2</v>
      </c>
      <c r="AU12" s="6">
        <f>+_xlfn.XLOOKUP($AO12,'Groups Stage'!$Y:$Y,'Groups Stage'!AE:AE,"-",0)</f>
        <v>-2</v>
      </c>
      <c r="AV12" s="6">
        <f>+_xlfn.XLOOKUP($AO12,'Groups Stage'!$Y:$Y,'Groups Stage'!AF:AF,"-",0)</f>
        <v>2</v>
      </c>
      <c r="AW12" s="6">
        <f>+_xlfn.XLOOKUP($AO12,'Groups Stage'!$Y:$Y,'Groups Stage'!AG:AG,"-",0)</f>
        <v>4</v>
      </c>
      <c r="AX12" s="6">
        <f t="shared" si="16"/>
        <v>2.9802</v>
      </c>
      <c r="AY12" s="19">
        <f t="shared" si="17"/>
        <v>2.9802000012000001</v>
      </c>
      <c r="AZ12" s="22" t="str">
        <f>+'Groups Stage'!CX12</f>
        <v xml:space="preserve"> - </v>
      </c>
      <c r="BA12" s="19">
        <f t="shared" si="18"/>
        <v>2.9802000012000001</v>
      </c>
      <c r="BB12" s="19"/>
      <c r="BC12" s="19">
        <f t="shared" si="19"/>
        <v>2.9802000012000001</v>
      </c>
      <c r="BD12" s="20" t="str">
        <f t="shared" si="20"/>
        <v>Congo</v>
      </c>
      <c r="BE12">
        <f t="shared" si="21"/>
        <v>2.9802</v>
      </c>
      <c r="BF12" s="6" t="str">
        <f t="shared" si="28"/>
        <v>-</v>
      </c>
      <c r="BG12" t="str">
        <f t="shared" si="29"/>
        <v>OUT</v>
      </c>
      <c r="BI12" s="19"/>
      <c r="BJ12" s="20"/>
      <c r="BK12" s="20"/>
    </row>
    <row r="13" spans="1:64" x14ac:dyDescent="0.25">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6</v>
      </c>
      <c r="AO13" t="s">
        <v>330</v>
      </c>
      <c r="AP13" t="str">
        <f>+_xlfn.XLOOKUP($AO13,'Groups Stage'!$Y:$Y,'Groups Stage'!Z:Z,"-",0)</f>
        <v>Croacia</v>
      </c>
      <c r="AQ13" s="6">
        <f>+_xlfn.XLOOKUP($AO13,'Groups Stage'!$Y:$Y,'Groups Stage'!AA:AA,"-",0)</f>
        <v>3</v>
      </c>
      <c r="AR13" s="6">
        <f>+_xlfn.XLOOKUP($AO13,'Groups Stage'!$Y:$Y,'Groups Stage'!AB:AB,"-",0)</f>
        <v>1</v>
      </c>
      <c r="AS13" s="6">
        <f>+_xlfn.XLOOKUP($AO13,'Groups Stage'!$Y:$Y,'Groups Stage'!AC:AC,"-",0)</f>
        <v>0</v>
      </c>
      <c r="AT13" s="6">
        <f>+_xlfn.XLOOKUP($AO13,'Groups Stage'!$Y:$Y,'Groups Stage'!AD:AD,"-",0)</f>
        <v>2</v>
      </c>
      <c r="AU13" s="6">
        <f>+_xlfn.XLOOKUP($AO13,'Groups Stage'!$Y:$Y,'Groups Stage'!AE:AE,"-",0)</f>
        <v>0</v>
      </c>
      <c r="AV13" s="6">
        <f>+_xlfn.XLOOKUP($AO13,'Groups Stage'!$Y:$Y,'Groups Stage'!AF:AF,"-",0)</f>
        <v>5</v>
      </c>
      <c r="AW13" s="6">
        <f>+_xlfn.XLOOKUP($AO13,'Groups Stage'!$Y:$Y,'Groups Stage'!AG:AG,"-",0)</f>
        <v>5</v>
      </c>
      <c r="AX13" s="6">
        <f t="shared" si="16"/>
        <v>3.0005000000000002</v>
      </c>
      <c r="AY13" s="19">
        <f t="shared" si="17"/>
        <v>3.0005000013000003</v>
      </c>
      <c r="AZ13" s="22" t="str">
        <f>+'Groups Stage'!CX13</f>
        <v xml:space="preserve"> - </v>
      </c>
      <c r="BA13" s="19">
        <f t="shared" si="18"/>
        <v>3.0005000013000003</v>
      </c>
      <c r="BB13" s="19"/>
      <c r="BC13" s="19">
        <f t="shared" si="19"/>
        <v>1.9904000008</v>
      </c>
      <c r="BD13" s="20" t="str">
        <f t="shared" si="20"/>
        <v>Egipto</v>
      </c>
      <c r="BE13">
        <f t="shared" si="21"/>
        <v>1.9903999999999999</v>
      </c>
      <c r="BF13" s="6" t="str">
        <f t="shared" si="28"/>
        <v>-</v>
      </c>
      <c r="BG13" t="str">
        <f t="shared" si="29"/>
        <v>OUT</v>
      </c>
      <c r="BI13" s="19"/>
      <c r="BJ13" s="20"/>
      <c r="BK13" s="20"/>
    </row>
    <row r="14" spans="1:64" x14ac:dyDescent="0.25">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6</v>
      </c>
    </row>
    <row r="15" spans="1:64" x14ac:dyDescent="0.25">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5</v>
      </c>
      <c r="AQ15" s="6" t="str">
        <f>+IF(SUM(AQ2:AQ13)=3*12,"DONE","-")</f>
        <v>DONE</v>
      </c>
    </row>
    <row r="16" spans="1:64" x14ac:dyDescent="0.25">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5</v>
      </c>
    </row>
    <row r="17" spans="1:25" x14ac:dyDescent="0.25">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6</v>
      </c>
    </row>
    <row r="18" spans="1:25" x14ac:dyDescent="0.25">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5</v>
      </c>
    </row>
    <row r="19" spans="1:25" x14ac:dyDescent="0.25">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5</v>
      </c>
    </row>
    <row r="20" spans="1:25" x14ac:dyDescent="0.25">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6</v>
      </c>
    </row>
    <row r="21" spans="1:25" x14ac:dyDescent="0.25">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6</v>
      </c>
    </row>
    <row r="22" spans="1:25" x14ac:dyDescent="0.25">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5</v>
      </c>
    </row>
    <row r="23" spans="1:25" x14ac:dyDescent="0.25">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5</v>
      </c>
    </row>
    <row r="24" spans="1:25" x14ac:dyDescent="0.25">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6</v>
      </c>
    </row>
    <row r="25" spans="1:25" x14ac:dyDescent="0.25">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5</v>
      </c>
    </row>
    <row r="26" spans="1:25" x14ac:dyDescent="0.25">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6</v>
      </c>
    </row>
    <row r="27" spans="1:25" x14ac:dyDescent="0.25">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6</v>
      </c>
    </row>
    <row r="28" spans="1:25" x14ac:dyDescent="0.25">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5</v>
      </c>
    </row>
    <row r="29" spans="1:25" x14ac:dyDescent="0.25">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5</v>
      </c>
    </row>
    <row r="30" spans="1:25" x14ac:dyDescent="0.25">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6</v>
      </c>
    </row>
    <row r="31" spans="1:25" x14ac:dyDescent="0.25">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5</v>
      </c>
    </row>
    <row r="32" spans="1:25" x14ac:dyDescent="0.25">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7</v>
      </c>
    </row>
    <row r="33" spans="1:25" x14ac:dyDescent="0.25">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6</v>
      </c>
    </row>
    <row r="34" spans="1:25" x14ac:dyDescent="0.25">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6</v>
      </c>
    </row>
    <row r="35" spans="1:25" x14ac:dyDescent="0.25">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7</v>
      </c>
    </row>
    <row r="36" spans="1:25" x14ac:dyDescent="0.25">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6</v>
      </c>
    </row>
    <row r="37" spans="1:25" x14ac:dyDescent="0.25">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6</v>
      </c>
    </row>
    <row r="38" spans="1:25" x14ac:dyDescent="0.25">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6</v>
      </c>
    </row>
    <row r="39" spans="1:25" x14ac:dyDescent="0.25">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7</v>
      </c>
    </row>
    <row r="40" spans="1:25" x14ac:dyDescent="0.25">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6</v>
      </c>
    </row>
    <row r="41" spans="1:25" x14ac:dyDescent="0.25">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5</v>
      </c>
    </row>
    <row r="42" spans="1:25" x14ac:dyDescent="0.25">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6</v>
      </c>
    </row>
    <row r="43" spans="1:25" x14ac:dyDescent="0.25">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5</v>
      </c>
    </row>
    <row r="44" spans="1:25" x14ac:dyDescent="0.25">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6</v>
      </c>
    </row>
    <row r="45" spans="1:25" x14ac:dyDescent="0.25">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5</v>
      </c>
    </row>
    <row r="46" spans="1:25" x14ac:dyDescent="0.25">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6</v>
      </c>
    </row>
    <row r="47" spans="1:25" x14ac:dyDescent="0.25">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4</v>
      </c>
    </row>
    <row r="48" spans="1:25" x14ac:dyDescent="0.25">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4</v>
      </c>
    </row>
    <row r="49" spans="1:25" x14ac:dyDescent="0.25">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x14ac:dyDescent="0.25">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5</v>
      </c>
    </row>
    <row r="51" spans="1:25" x14ac:dyDescent="0.25">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4</v>
      </c>
    </row>
    <row r="52" spans="1:25" x14ac:dyDescent="0.25">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4</v>
      </c>
    </row>
    <row r="53" spans="1:25" x14ac:dyDescent="0.25">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5</v>
      </c>
    </row>
    <row r="54" spans="1:25" x14ac:dyDescent="0.25">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4</v>
      </c>
    </row>
    <row r="55" spans="1:25" x14ac:dyDescent="0.25">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4</v>
      </c>
    </row>
    <row r="56" spans="1:25" x14ac:dyDescent="0.25">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x14ac:dyDescent="0.25">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5</v>
      </c>
    </row>
    <row r="58" spans="1:25" x14ac:dyDescent="0.25">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4</v>
      </c>
    </row>
    <row r="59" spans="1:25" x14ac:dyDescent="0.25">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4</v>
      </c>
    </row>
    <row r="60" spans="1:25" x14ac:dyDescent="0.25">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5</v>
      </c>
    </row>
    <row r="61" spans="1:25" x14ac:dyDescent="0.25">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4</v>
      </c>
    </row>
    <row r="62" spans="1:25" x14ac:dyDescent="0.25">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5</v>
      </c>
    </row>
    <row r="63" spans="1:25" x14ac:dyDescent="0.25">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5</v>
      </c>
    </row>
    <row r="64" spans="1:25" x14ac:dyDescent="0.25">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4</v>
      </c>
    </row>
    <row r="65" spans="1:25" x14ac:dyDescent="0.25">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4</v>
      </c>
    </row>
    <row r="66" spans="1:25" x14ac:dyDescent="0.25">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5</v>
      </c>
    </row>
    <row r="67" spans="1:25" x14ac:dyDescent="0.25">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4</v>
      </c>
    </row>
    <row r="68" spans="1:25" x14ac:dyDescent="0.25">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6</v>
      </c>
    </row>
    <row r="69" spans="1:25" x14ac:dyDescent="0.25">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5</v>
      </c>
    </row>
    <row r="70" spans="1:25" x14ac:dyDescent="0.25">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5</v>
      </c>
    </row>
    <row r="71" spans="1:25" x14ac:dyDescent="0.25">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6</v>
      </c>
    </row>
    <row r="72" spans="1:25" x14ac:dyDescent="0.25">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5</v>
      </c>
    </row>
    <row r="73" spans="1:25" x14ac:dyDescent="0.25">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5</v>
      </c>
    </row>
    <row r="74" spans="1:25" x14ac:dyDescent="0.25">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5</v>
      </c>
    </row>
    <row r="75" spans="1:25" x14ac:dyDescent="0.25">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6</v>
      </c>
    </row>
    <row r="76" spans="1:25" x14ac:dyDescent="0.25">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5</v>
      </c>
    </row>
    <row r="77" spans="1:25" x14ac:dyDescent="0.25">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4</v>
      </c>
    </row>
    <row r="78" spans="1:25" x14ac:dyDescent="0.25">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5</v>
      </c>
    </row>
    <row r="79" spans="1:25" x14ac:dyDescent="0.25">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4</v>
      </c>
    </row>
    <row r="80" spans="1:25" x14ac:dyDescent="0.25">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5</v>
      </c>
    </row>
    <row r="81" spans="1:25" x14ac:dyDescent="0.25">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4</v>
      </c>
    </row>
    <row r="82" spans="1:25" x14ac:dyDescent="0.25">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5</v>
      </c>
    </row>
    <row r="83" spans="1:25" x14ac:dyDescent="0.25">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4</v>
      </c>
    </row>
    <row r="84" spans="1:25" x14ac:dyDescent="0.25">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5</v>
      </c>
    </row>
    <row r="85" spans="1:25" x14ac:dyDescent="0.25">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5</v>
      </c>
    </row>
    <row r="86" spans="1:25" x14ac:dyDescent="0.25">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4</v>
      </c>
    </row>
    <row r="87" spans="1:25" x14ac:dyDescent="0.25">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4</v>
      </c>
    </row>
    <row r="88" spans="1:25" x14ac:dyDescent="0.25">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5</v>
      </c>
    </row>
    <row r="89" spans="1:25" x14ac:dyDescent="0.25">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4</v>
      </c>
    </row>
    <row r="90" spans="1:25" x14ac:dyDescent="0.25">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5</v>
      </c>
    </row>
    <row r="91" spans="1:25" x14ac:dyDescent="0.25">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5</v>
      </c>
    </row>
    <row r="92" spans="1:25" x14ac:dyDescent="0.25">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4</v>
      </c>
    </row>
    <row r="93" spans="1:25" x14ac:dyDescent="0.25">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4</v>
      </c>
    </row>
    <row r="94" spans="1:25" x14ac:dyDescent="0.25">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5</v>
      </c>
    </row>
    <row r="95" spans="1:25" x14ac:dyDescent="0.25">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4</v>
      </c>
    </row>
    <row r="96" spans="1:25" x14ac:dyDescent="0.25">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6</v>
      </c>
    </row>
    <row r="97" spans="1:25" x14ac:dyDescent="0.25">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5</v>
      </c>
    </row>
    <row r="98" spans="1:25" x14ac:dyDescent="0.25">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5</v>
      </c>
    </row>
    <row r="99" spans="1:25" x14ac:dyDescent="0.25">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6</v>
      </c>
    </row>
    <row r="100" spans="1:25" x14ac:dyDescent="0.25">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5</v>
      </c>
    </row>
    <row r="101" spans="1:25" x14ac:dyDescent="0.25">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5</v>
      </c>
    </row>
    <row r="102" spans="1:25" x14ac:dyDescent="0.25">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5</v>
      </c>
    </row>
    <row r="103" spans="1:25" x14ac:dyDescent="0.25">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6</v>
      </c>
    </row>
    <row r="104" spans="1:25" x14ac:dyDescent="0.25">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5</v>
      </c>
    </row>
    <row r="105" spans="1:25" x14ac:dyDescent="0.25">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4</v>
      </c>
    </row>
    <row r="106" spans="1:25" x14ac:dyDescent="0.25">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5</v>
      </c>
    </row>
    <row r="107" spans="1:25" x14ac:dyDescent="0.25">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4</v>
      </c>
    </row>
    <row r="108" spans="1:25" x14ac:dyDescent="0.25">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5</v>
      </c>
    </row>
    <row r="109" spans="1:25" x14ac:dyDescent="0.25">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4</v>
      </c>
    </row>
    <row r="110" spans="1:25" x14ac:dyDescent="0.25">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x14ac:dyDescent="0.25">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5</v>
      </c>
    </row>
    <row r="112" spans="1:25" x14ac:dyDescent="0.25">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x14ac:dyDescent="0.25">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4</v>
      </c>
    </row>
    <row r="114" spans="1:25" x14ac:dyDescent="0.25">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4</v>
      </c>
    </row>
    <row r="115" spans="1:25" x14ac:dyDescent="0.25">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5</v>
      </c>
    </row>
    <row r="116" spans="1:25" x14ac:dyDescent="0.25">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4</v>
      </c>
    </row>
    <row r="117" spans="1:25" x14ac:dyDescent="0.25">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6</v>
      </c>
    </row>
    <row r="118" spans="1:25" x14ac:dyDescent="0.25">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5</v>
      </c>
    </row>
    <row r="119" spans="1:25" x14ac:dyDescent="0.25">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5</v>
      </c>
    </row>
    <row r="120" spans="1:25" x14ac:dyDescent="0.25">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6</v>
      </c>
    </row>
    <row r="121" spans="1:25" x14ac:dyDescent="0.25">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5</v>
      </c>
    </row>
    <row r="122" spans="1:25" x14ac:dyDescent="0.25">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x14ac:dyDescent="0.25">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5</v>
      </c>
    </row>
    <row r="124" spans="1:25" x14ac:dyDescent="0.25">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6</v>
      </c>
    </row>
    <row r="125" spans="1:25" x14ac:dyDescent="0.25">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5</v>
      </c>
    </row>
    <row r="126" spans="1:25" x14ac:dyDescent="0.25">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4</v>
      </c>
    </row>
    <row r="127" spans="1:25" x14ac:dyDescent="0.25">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5</v>
      </c>
    </row>
    <row r="128" spans="1:25" x14ac:dyDescent="0.25">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4</v>
      </c>
    </row>
    <row r="129" spans="1:25" x14ac:dyDescent="0.25">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5</v>
      </c>
    </row>
    <row r="130" spans="1:25" x14ac:dyDescent="0.25">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4</v>
      </c>
    </row>
    <row r="131" spans="1:25" x14ac:dyDescent="0.25">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5</v>
      </c>
    </row>
    <row r="132" spans="1:25" x14ac:dyDescent="0.25">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6</v>
      </c>
    </row>
    <row r="133" spans="1:25" x14ac:dyDescent="0.25">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5</v>
      </c>
    </row>
    <row r="134" spans="1:25" x14ac:dyDescent="0.25">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5</v>
      </c>
    </row>
    <row r="135" spans="1:25" x14ac:dyDescent="0.25">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6</v>
      </c>
    </row>
    <row r="136" spans="1:25" x14ac:dyDescent="0.25">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5</v>
      </c>
    </row>
    <row r="137" spans="1:25" x14ac:dyDescent="0.25">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5</v>
      </c>
    </row>
    <row r="138" spans="1:25" x14ac:dyDescent="0.25">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5</v>
      </c>
    </row>
    <row r="139" spans="1:25" x14ac:dyDescent="0.25">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6</v>
      </c>
    </row>
    <row r="140" spans="1:25" x14ac:dyDescent="0.25">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5</v>
      </c>
    </row>
    <row r="141" spans="1:25" x14ac:dyDescent="0.25">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4</v>
      </c>
    </row>
    <row r="142" spans="1:25" x14ac:dyDescent="0.25">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5</v>
      </c>
    </row>
    <row r="143" spans="1:25" x14ac:dyDescent="0.25">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4</v>
      </c>
    </row>
    <row r="144" spans="1:25" x14ac:dyDescent="0.25">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5</v>
      </c>
    </row>
    <row r="145" spans="1:25" x14ac:dyDescent="0.25">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4</v>
      </c>
    </row>
    <row r="146" spans="1:25" x14ac:dyDescent="0.25">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5</v>
      </c>
    </row>
    <row r="147" spans="1:25" x14ac:dyDescent="0.25">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6</v>
      </c>
    </row>
    <row r="148" spans="1:25" x14ac:dyDescent="0.25">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6</v>
      </c>
    </row>
    <row r="149" spans="1:25" x14ac:dyDescent="0.25">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7</v>
      </c>
    </row>
    <row r="150" spans="1:25" x14ac:dyDescent="0.25">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6</v>
      </c>
    </row>
    <row r="151" spans="1:25" x14ac:dyDescent="0.25">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5</v>
      </c>
    </row>
    <row r="152" spans="1:25" x14ac:dyDescent="0.25">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6</v>
      </c>
    </row>
    <row r="153" spans="1:25" x14ac:dyDescent="0.25">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5</v>
      </c>
    </row>
    <row r="154" spans="1:25" x14ac:dyDescent="0.25">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6</v>
      </c>
    </row>
    <row r="155" spans="1:25" x14ac:dyDescent="0.25">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5</v>
      </c>
    </row>
    <row r="156" spans="1:25" x14ac:dyDescent="0.25">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6</v>
      </c>
    </row>
    <row r="157" spans="1:25" x14ac:dyDescent="0.25">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5</v>
      </c>
    </row>
    <row r="158" spans="1:25" x14ac:dyDescent="0.25">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6</v>
      </c>
    </row>
    <row r="159" spans="1:25" x14ac:dyDescent="0.25">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5</v>
      </c>
    </row>
    <row r="160" spans="1:25" x14ac:dyDescent="0.25">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6</v>
      </c>
    </row>
    <row r="161" spans="1:25" x14ac:dyDescent="0.25">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5</v>
      </c>
    </row>
    <row r="162" spans="1:25" x14ac:dyDescent="0.25">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6</v>
      </c>
    </row>
    <row r="163" spans="1:25" x14ac:dyDescent="0.25">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5</v>
      </c>
    </row>
    <row r="164" spans="1:25" x14ac:dyDescent="0.25">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4</v>
      </c>
    </row>
    <row r="165" spans="1:25" x14ac:dyDescent="0.25">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5</v>
      </c>
    </row>
    <row r="166" spans="1:25" x14ac:dyDescent="0.25">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5</v>
      </c>
    </row>
    <row r="167" spans="1:25" x14ac:dyDescent="0.25">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5</v>
      </c>
    </row>
    <row r="168" spans="1:25" x14ac:dyDescent="0.25">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5</v>
      </c>
    </row>
    <row r="169" spans="1:25" x14ac:dyDescent="0.25">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6</v>
      </c>
    </row>
    <row r="170" spans="1:25" x14ac:dyDescent="0.25">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6</v>
      </c>
    </row>
    <row r="171" spans="1:25" x14ac:dyDescent="0.25">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5</v>
      </c>
    </row>
    <row r="172" spans="1:25" x14ac:dyDescent="0.25">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5</v>
      </c>
    </row>
    <row r="173" spans="1:25" x14ac:dyDescent="0.25">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6</v>
      </c>
    </row>
    <row r="174" spans="1:25" x14ac:dyDescent="0.25">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5</v>
      </c>
    </row>
    <row r="175" spans="1:25" x14ac:dyDescent="0.25">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5</v>
      </c>
    </row>
    <row r="176" spans="1:25" x14ac:dyDescent="0.25">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6</v>
      </c>
    </row>
    <row r="177" spans="1:25" x14ac:dyDescent="0.25">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6</v>
      </c>
    </row>
    <row r="178" spans="1:25" x14ac:dyDescent="0.25">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5</v>
      </c>
    </row>
    <row r="179" spans="1:25" x14ac:dyDescent="0.25">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5</v>
      </c>
    </row>
    <row r="180" spans="1:25" x14ac:dyDescent="0.25">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6</v>
      </c>
    </row>
    <row r="181" spans="1:25" x14ac:dyDescent="0.25">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5</v>
      </c>
    </row>
    <row r="182" spans="1:25" x14ac:dyDescent="0.25">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6</v>
      </c>
    </row>
    <row r="183" spans="1:25" x14ac:dyDescent="0.25">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6</v>
      </c>
    </row>
    <row r="184" spans="1:25" x14ac:dyDescent="0.25">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5</v>
      </c>
    </row>
    <row r="185" spans="1:25" x14ac:dyDescent="0.25">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5</v>
      </c>
    </row>
    <row r="186" spans="1:25" x14ac:dyDescent="0.25">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6</v>
      </c>
    </row>
    <row r="187" spans="1:25" x14ac:dyDescent="0.25">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5</v>
      </c>
    </row>
    <row r="188" spans="1:25" x14ac:dyDescent="0.25">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7</v>
      </c>
    </row>
    <row r="189" spans="1:25" x14ac:dyDescent="0.25">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6</v>
      </c>
    </row>
    <row r="190" spans="1:25" x14ac:dyDescent="0.25">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6</v>
      </c>
    </row>
    <row r="191" spans="1:25" x14ac:dyDescent="0.25">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7</v>
      </c>
    </row>
    <row r="192" spans="1:25" x14ac:dyDescent="0.25">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6</v>
      </c>
    </row>
    <row r="193" spans="1:25" x14ac:dyDescent="0.25">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6</v>
      </c>
    </row>
    <row r="194" spans="1:25" x14ac:dyDescent="0.25">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6</v>
      </c>
    </row>
    <row r="195" spans="1:25" x14ac:dyDescent="0.25">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7</v>
      </c>
    </row>
    <row r="196" spans="1:25" x14ac:dyDescent="0.25">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6</v>
      </c>
    </row>
    <row r="197" spans="1:25" x14ac:dyDescent="0.25">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5</v>
      </c>
    </row>
    <row r="198" spans="1:25" x14ac:dyDescent="0.25">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6</v>
      </c>
    </row>
    <row r="199" spans="1:25" x14ac:dyDescent="0.25">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5</v>
      </c>
    </row>
    <row r="200" spans="1:25" x14ac:dyDescent="0.25">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6</v>
      </c>
    </row>
    <row r="201" spans="1:25" x14ac:dyDescent="0.25">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5</v>
      </c>
    </row>
    <row r="202" spans="1:25" x14ac:dyDescent="0.25">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6</v>
      </c>
    </row>
    <row r="203" spans="1:25" x14ac:dyDescent="0.25">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x14ac:dyDescent="0.25">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6</v>
      </c>
    </row>
    <row r="205" spans="1:25" x14ac:dyDescent="0.25">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6</v>
      </c>
    </row>
    <row r="206" spans="1:25" x14ac:dyDescent="0.25">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5</v>
      </c>
    </row>
    <row r="207" spans="1:25" x14ac:dyDescent="0.25">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5</v>
      </c>
    </row>
    <row r="208" spans="1:25" x14ac:dyDescent="0.25">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6</v>
      </c>
    </row>
    <row r="209" spans="1:25" x14ac:dyDescent="0.25">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5</v>
      </c>
    </row>
    <row r="210" spans="1:25" x14ac:dyDescent="0.25">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6</v>
      </c>
    </row>
    <row r="211" spans="1:25" x14ac:dyDescent="0.25">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6</v>
      </c>
    </row>
    <row r="212" spans="1:25" x14ac:dyDescent="0.25">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5</v>
      </c>
    </row>
    <row r="213" spans="1:25" x14ac:dyDescent="0.25">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5</v>
      </c>
    </row>
    <row r="214" spans="1:25" x14ac:dyDescent="0.25">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6</v>
      </c>
    </row>
    <row r="215" spans="1:25" x14ac:dyDescent="0.25">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x14ac:dyDescent="0.25">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7</v>
      </c>
    </row>
    <row r="217" spans="1:25" x14ac:dyDescent="0.25">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6</v>
      </c>
    </row>
    <row r="218" spans="1:25" x14ac:dyDescent="0.25">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6</v>
      </c>
    </row>
    <row r="219" spans="1:25" x14ac:dyDescent="0.25">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7</v>
      </c>
    </row>
    <row r="220" spans="1:25" x14ac:dyDescent="0.25">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6</v>
      </c>
    </row>
    <row r="221" spans="1:25" x14ac:dyDescent="0.25">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6</v>
      </c>
    </row>
    <row r="222" spans="1:25" x14ac:dyDescent="0.25">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6</v>
      </c>
    </row>
    <row r="223" spans="1:25" x14ac:dyDescent="0.25">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7</v>
      </c>
    </row>
    <row r="224" spans="1:25" x14ac:dyDescent="0.25">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6</v>
      </c>
    </row>
    <row r="225" spans="1:25" x14ac:dyDescent="0.25">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5</v>
      </c>
    </row>
    <row r="226" spans="1:25" x14ac:dyDescent="0.25">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6</v>
      </c>
    </row>
    <row r="227" spans="1:25" x14ac:dyDescent="0.25">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5</v>
      </c>
    </row>
    <row r="228" spans="1:25" x14ac:dyDescent="0.25">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6</v>
      </c>
    </row>
    <row r="229" spans="1:25" x14ac:dyDescent="0.25">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5</v>
      </c>
    </row>
    <row r="230" spans="1:25" x14ac:dyDescent="0.25">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6</v>
      </c>
    </row>
    <row r="231" spans="1:25" x14ac:dyDescent="0.25">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6</v>
      </c>
    </row>
    <row r="232" spans="1:25" x14ac:dyDescent="0.25">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6</v>
      </c>
    </row>
    <row r="233" spans="1:25" x14ac:dyDescent="0.25">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5</v>
      </c>
    </row>
    <row r="234" spans="1:25" x14ac:dyDescent="0.25">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5</v>
      </c>
    </row>
    <row r="235" spans="1:25" x14ac:dyDescent="0.25">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6</v>
      </c>
    </row>
    <row r="236" spans="1:25" x14ac:dyDescent="0.25">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5</v>
      </c>
    </row>
    <row r="237" spans="1:25" x14ac:dyDescent="0.25">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7</v>
      </c>
    </row>
    <row r="238" spans="1:25" x14ac:dyDescent="0.25">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6</v>
      </c>
    </row>
    <row r="239" spans="1:25" x14ac:dyDescent="0.25">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6</v>
      </c>
    </row>
    <row r="240" spans="1:25" x14ac:dyDescent="0.25">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7</v>
      </c>
    </row>
    <row r="241" spans="1:25" x14ac:dyDescent="0.25">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6</v>
      </c>
    </row>
    <row r="242" spans="1:25" x14ac:dyDescent="0.25">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6</v>
      </c>
    </row>
    <row r="243" spans="1:25" x14ac:dyDescent="0.25">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6</v>
      </c>
    </row>
    <row r="244" spans="1:25" x14ac:dyDescent="0.25">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7</v>
      </c>
    </row>
    <row r="245" spans="1:25" x14ac:dyDescent="0.25">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6</v>
      </c>
    </row>
    <row r="246" spans="1:25" x14ac:dyDescent="0.25">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5</v>
      </c>
    </row>
    <row r="247" spans="1:25" x14ac:dyDescent="0.25">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6</v>
      </c>
    </row>
    <row r="248" spans="1:25" x14ac:dyDescent="0.25">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5</v>
      </c>
    </row>
    <row r="249" spans="1:25" x14ac:dyDescent="0.25">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6</v>
      </c>
    </row>
    <row r="250" spans="1:25" x14ac:dyDescent="0.25">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5</v>
      </c>
    </row>
    <row r="251" spans="1:25" x14ac:dyDescent="0.25">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6</v>
      </c>
    </row>
    <row r="252" spans="1:25" x14ac:dyDescent="0.25">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7</v>
      </c>
    </row>
    <row r="253" spans="1:25" x14ac:dyDescent="0.25">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6</v>
      </c>
    </row>
    <row r="254" spans="1:25" x14ac:dyDescent="0.25">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6</v>
      </c>
    </row>
    <row r="255" spans="1:25" x14ac:dyDescent="0.25">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7</v>
      </c>
    </row>
    <row r="256" spans="1:25" x14ac:dyDescent="0.25">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6</v>
      </c>
    </row>
    <row r="257" spans="1:25" x14ac:dyDescent="0.25">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6</v>
      </c>
    </row>
    <row r="258" spans="1:25" x14ac:dyDescent="0.25">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6</v>
      </c>
    </row>
    <row r="259" spans="1:25" x14ac:dyDescent="0.25">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7</v>
      </c>
    </row>
    <row r="260" spans="1:25" x14ac:dyDescent="0.25">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6</v>
      </c>
    </row>
    <row r="261" spans="1:25" x14ac:dyDescent="0.25">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5</v>
      </c>
    </row>
    <row r="262" spans="1:25" x14ac:dyDescent="0.25">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6</v>
      </c>
    </row>
    <row r="263" spans="1:25" x14ac:dyDescent="0.25">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5</v>
      </c>
    </row>
    <row r="264" spans="1:25" x14ac:dyDescent="0.25">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6</v>
      </c>
    </row>
    <row r="265" spans="1:25" x14ac:dyDescent="0.25">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5</v>
      </c>
    </row>
    <row r="266" spans="1:25" x14ac:dyDescent="0.25">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6</v>
      </c>
    </row>
    <row r="267" spans="1:25" x14ac:dyDescent="0.25">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7</v>
      </c>
    </row>
    <row r="268" spans="1:25" x14ac:dyDescent="0.25">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7</v>
      </c>
    </row>
    <row r="269" spans="1:25" x14ac:dyDescent="0.25">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8</v>
      </c>
    </row>
    <row r="270" spans="1:25" x14ac:dyDescent="0.25">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7</v>
      </c>
    </row>
    <row r="271" spans="1:25" x14ac:dyDescent="0.25">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6</v>
      </c>
    </row>
    <row r="272" spans="1:25" x14ac:dyDescent="0.25">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7</v>
      </c>
    </row>
    <row r="273" spans="1:25" x14ac:dyDescent="0.25">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6</v>
      </c>
    </row>
    <row r="274" spans="1:25" x14ac:dyDescent="0.25">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7</v>
      </c>
    </row>
    <row r="275" spans="1:25" x14ac:dyDescent="0.25">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6</v>
      </c>
    </row>
    <row r="276" spans="1:25" x14ac:dyDescent="0.25">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7</v>
      </c>
    </row>
    <row r="277" spans="1:25" x14ac:dyDescent="0.25">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6</v>
      </c>
    </row>
    <row r="278" spans="1:25" x14ac:dyDescent="0.25">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7</v>
      </c>
    </row>
    <row r="279" spans="1:25" x14ac:dyDescent="0.25">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6</v>
      </c>
    </row>
    <row r="280" spans="1:25" x14ac:dyDescent="0.25">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7</v>
      </c>
    </row>
    <row r="281" spans="1:25" x14ac:dyDescent="0.25">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6</v>
      </c>
    </row>
    <row r="282" spans="1:25" x14ac:dyDescent="0.25">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7</v>
      </c>
    </row>
    <row r="283" spans="1:25" x14ac:dyDescent="0.25">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6</v>
      </c>
    </row>
    <row r="284" spans="1:25" x14ac:dyDescent="0.25">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5</v>
      </c>
    </row>
    <row r="285" spans="1:25" x14ac:dyDescent="0.25">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6</v>
      </c>
    </row>
    <row r="286" spans="1:25" x14ac:dyDescent="0.25">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6</v>
      </c>
    </row>
    <row r="287" spans="1:25" x14ac:dyDescent="0.25">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4</v>
      </c>
    </row>
    <row r="288" spans="1:25" x14ac:dyDescent="0.25">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x14ac:dyDescent="0.25">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5</v>
      </c>
    </row>
    <row r="290" spans="1:25" x14ac:dyDescent="0.25">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4</v>
      </c>
    </row>
    <row r="291" spans="1:25" x14ac:dyDescent="0.25">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4</v>
      </c>
    </row>
    <row r="292" spans="1:25" x14ac:dyDescent="0.25">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5</v>
      </c>
    </row>
    <row r="293" spans="1:25" x14ac:dyDescent="0.25">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4</v>
      </c>
    </row>
    <row r="294" spans="1:25" x14ac:dyDescent="0.25">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5</v>
      </c>
    </row>
    <row r="295" spans="1:25" x14ac:dyDescent="0.25">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5</v>
      </c>
    </row>
    <row r="296" spans="1:25" x14ac:dyDescent="0.25">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4</v>
      </c>
    </row>
    <row r="297" spans="1:25" x14ac:dyDescent="0.25">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4</v>
      </c>
    </row>
    <row r="298" spans="1:25" x14ac:dyDescent="0.25">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5</v>
      </c>
    </row>
    <row r="299" spans="1:25" x14ac:dyDescent="0.25">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4</v>
      </c>
    </row>
    <row r="300" spans="1:25" x14ac:dyDescent="0.25">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6</v>
      </c>
    </row>
    <row r="301" spans="1:25" x14ac:dyDescent="0.25">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5</v>
      </c>
    </row>
    <row r="302" spans="1:25" x14ac:dyDescent="0.25">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5</v>
      </c>
    </row>
    <row r="303" spans="1:25" x14ac:dyDescent="0.25">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6</v>
      </c>
    </row>
    <row r="304" spans="1:25" x14ac:dyDescent="0.25">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x14ac:dyDescent="0.25">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5</v>
      </c>
    </row>
    <row r="306" spans="1:25" x14ac:dyDescent="0.25">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5</v>
      </c>
    </row>
    <row r="307" spans="1:25" x14ac:dyDescent="0.25">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6</v>
      </c>
    </row>
    <row r="308" spans="1:25" x14ac:dyDescent="0.25">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5</v>
      </c>
    </row>
    <row r="309" spans="1:25" x14ac:dyDescent="0.25">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4</v>
      </c>
    </row>
    <row r="310" spans="1:25" x14ac:dyDescent="0.25">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5</v>
      </c>
    </row>
    <row r="311" spans="1:25" x14ac:dyDescent="0.25">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4</v>
      </c>
    </row>
    <row r="312" spans="1:25" x14ac:dyDescent="0.25">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5</v>
      </c>
    </row>
    <row r="313" spans="1:25" x14ac:dyDescent="0.25">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4</v>
      </c>
    </row>
    <row r="314" spans="1:25" x14ac:dyDescent="0.25">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5</v>
      </c>
    </row>
    <row r="315" spans="1:25" x14ac:dyDescent="0.25">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5</v>
      </c>
    </row>
    <row r="316" spans="1:25" x14ac:dyDescent="0.25">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5</v>
      </c>
    </row>
    <row r="317" spans="1:25" x14ac:dyDescent="0.25">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4</v>
      </c>
    </row>
    <row r="318" spans="1:25" x14ac:dyDescent="0.25">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4</v>
      </c>
    </row>
    <row r="319" spans="1:25" x14ac:dyDescent="0.25">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5</v>
      </c>
    </row>
    <row r="320" spans="1:25" x14ac:dyDescent="0.25">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4</v>
      </c>
    </row>
    <row r="321" spans="1:25" x14ac:dyDescent="0.25">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6</v>
      </c>
    </row>
    <row r="322" spans="1:25" x14ac:dyDescent="0.25">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5</v>
      </c>
    </row>
    <row r="323" spans="1:25" x14ac:dyDescent="0.25">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5</v>
      </c>
    </row>
    <row r="324" spans="1:25" x14ac:dyDescent="0.25">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6</v>
      </c>
    </row>
    <row r="325" spans="1:25" x14ac:dyDescent="0.25">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5">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5</v>
      </c>
    </row>
    <row r="327" spans="1:25" x14ac:dyDescent="0.25">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5</v>
      </c>
    </row>
    <row r="328" spans="1:25" x14ac:dyDescent="0.25">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6</v>
      </c>
    </row>
    <row r="329" spans="1:25" x14ac:dyDescent="0.25">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5</v>
      </c>
    </row>
    <row r="330" spans="1:25" x14ac:dyDescent="0.25">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4</v>
      </c>
    </row>
    <row r="331" spans="1:25" x14ac:dyDescent="0.25">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5</v>
      </c>
    </row>
    <row r="332" spans="1:25" x14ac:dyDescent="0.25">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4</v>
      </c>
    </row>
    <row r="333" spans="1:25" x14ac:dyDescent="0.25">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5</v>
      </c>
    </row>
    <row r="334" spans="1:25" x14ac:dyDescent="0.25">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4</v>
      </c>
    </row>
    <row r="335" spans="1:25" x14ac:dyDescent="0.25">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5</v>
      </c>
    </row>
    <row r="336" spans="1:25" x14ac:dyDescent="0.25">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6</v>
      </c>
    </row>
    <row r="337" spans="1:25" x14ac:dyDescent="0.25">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x14ac:dyDescent="0.25">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5</v>
      </c>
    </row>
    <row r="339" spans="1:25" x14ac:dyDescent="0.25">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6</v>
      </c>
    </row>
    <row r="340" spans="1:25" x14ac:dyDescent="0.25">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5</v>
      </c>
    </row>
    <row r="341" spans="1:25" x14ac:dyDescent="0.25">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5</v>
      </c>
    </row>
    <row r="342" spans="1:25" x14ac:dyDescent="0.25">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5</v>
      </c>
    </row>
    <row r="343" spans="1:25" x14ac:dyDescent="0.25">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6</v>
      </c>
    </row>
    <row r="344" spans="1:25" x14ac:dyDescent="0.25">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5</v>
      </c>
    </row>
    <row r="345" spans="1:25" x14ac:dyDescent="0.25">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4</v>
      </c>
    </row>
    <row r="346" spans="1:25" x14ac:dyDescent="0.25">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5</v>
      </c>
    </row>
    <row r="347" spans="1:25" x14ac:dyDescent="0.25">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4</v>
      </c>
    </row>
    <row r="348" spans="1:25" x14ac:dyDescent="0.25">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5</v>
      </c>
    </row>
    <row r="349" spans="1:25" x14ac:dyDescent="0.25">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4</v>
      </c>
    </row>
    <row r="350" spans="1:25" x14ac:dyDescent="0.25">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5</v>
      </c>
    </row>
    <row r="351" spans="1:25" x14ac:dyDescent="0.25">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6</v>
      </c>
    </row>
    <row r="352" spans="1:25" x14ac:dyDescent="0.25">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6</v>
      </c>
    </row>
    <row r="353" spans="1:25" x14ac:dyDescent="0.25">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7</v>
      </c>
    </row>
    <row r="354" spans="1:25" x14ac:dyDescent="0.25">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6</v>
      </c>
    </row>
    <row r="355" spans="1:25" x14ac:dyDescent="0.25">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5</v>
      </c>
    </row>
    <row r="356" spans="1:25" x14ac:dyDescent="0.25">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6</v>
      </c>
    </row>
    <row r="357" spans="1:25" x14ac:dyDescent="0.25">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5</v>
      </c>
    </row>
    <row r="358" spans="1:25" x14ac:dyDescent="0.25">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6</v>
      </c>
    </row>
    <row r="359" spans="1:25" x14ac:dyDescent="0.25">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5</v>
      </c>
    </row>
    <row r="360" spans="1:25" x14ac:dyDescent="0.25">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6</v>
      </c>
    </row>
    <row r="361" spans="1:25" x14ac:dyDescent="0.25">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5</v>
      </c>
    </row>
    <row r="362" spans="1:25" x14ac:dyDescent="0.25">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6</v>
      </c>
    </row>
    <row r="363" spans="1:25" x14ac:dyDescent="0.25">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5</v>
      </c>
    </row>
    <row r="364" spans="1:25" x14ac:dyDescent="0.25">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6</v>
      </c>
    </row>
    <row r="365" spans="1:25" x14ac:dyDescent="0.25">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5</v>
      </c>
    </row>
    <row r="366" spans="1:25" x14ac:dyDescent="0.25">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6</v>
      </c>
    </row>
    <row r="367" spans="1:25" x14ac:dyDescent="0.25">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5</v>
      </c>
    </row>
    <row r="368" spans="1:25" x14ac:dyDescent="0.25">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4</v>
      </c>
    </row>
    <row r="369" spans="1:25" x14ac:dyDescent="0.25">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5</v>
      </c>
    </row>
    <row r="370" spans="1:25" x14ac:dyDescent="0.25">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5</v>
      </c>
    </row>
    <row r="371" spans="1:25" x14ac:dyDescent="0.25">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5</v>
      </c>
    </row>
    <row r="372" spans="1:25" x14ac:dyDescent="0.25">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x14ac:dyDescent="0.25">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4</v>
      </c>
    </row>
    <row r="374" spans="1:25" x14ac:dyDescent="0.25">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4</v>
      </c>
    </row>
    <row r="375" spans="1:25" x14ac:dyDescent="0.25">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5</v>
      </c>
    </row>
    <row r="376" spans="1:25" x14ac:dyDescent="0.25">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4</v>
      </c>
    </row>
    <row r="377" spans="1:25" x14ac:dyDescent="0.25">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6</v>
      </c>
    </row>
    <row r="378" spans="1:25" x14ac:dyDescent="0.25">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5</v>
      </c>
    </row>
    <row r="379" spans="1:25" x14ac:dyDescent="0.25">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5</v>
      </c>
    </row>
    <row r="380" spans="1:25" x14ac:dyDescent="0.25">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6</v>
      </c>
    </row>
    <row r="381" spans="1:25" x14ac:dyDescent="0.25">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x14ac:dyDescent="0.25">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5</v>
      </c>
    </row>
    <row r="383" spans="1:25" x14ac:dyDescent="0.25">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5</v>
      </c>
    </row>
    <row r="384" spans="1:25" x14ac:dyDescent="0.25">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6</v>
      </c>
    </row>
    <row r="385" spans="1:25" x14ac:dyDescent="0.25">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5</v>
      </c>
    </row>
    <row r="386" spans="1:25" x14ac:dyDescent="0.25">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4</v>
      </c>
    </row>
    <row r="387" spans="1:25" x14ac:dyDescent="0.25">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5</v>
      </c>
    </row>
    <row r="388" spans="1:25" x14ac:dyDescent="0.25">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4</v>
      </c>
    </row>
    <row r="389" spans="1:25" x14ac:dyDescent="0.25">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5</v>
      </c>
    </row>
    <row r="390" spans="1:25" x14ac:dyDescent="0.25">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4</v>
      </c>
    </row>
    <row r="391" spans="1:25" x14ac:dyDescent="0.25">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x14ac:dyDescent="0.25">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6</v>
      </c>
    </row>
    <row r="393" spans="1:25" x14ac:dyDescent="0.25">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5</v>
      </c>
    </row>
    <row r="394" spans="1:25" x14ac:dyDescent="0.25">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5</v>
      </c>
    </row>
    <row r="395" spans="1:25" x14ac:dyDescent="0.25">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6</v>
      </c>
    </row>
    <row r="396" spans="1:25" x14ac:dyDescent="0.25">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5</v>
      </c>
    </row>
    <row r="397" spans="1:25" x14ac:dyDescent="0.25">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5</v>
      </c>
    </row>
    <row r="398" spans="1:25" x14ac:dyDescent="0.25">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5</v>
      </c>
    </row>
    <row r="399" spans="1:25" x14ac:dyDescent="0.25">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6</v>
      </c>
    </row>
    <row r="400" spans="1:25" x14ac:dyDescent="0.25">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5</v>
      </c>
    </row>
    <row r="401" spans="1:25" x14ac:dyDescent="0.25">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4</v>
      </c>
    </row>
    <row r="402" spans="1:25" x14ac:dyDescent="0.25">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5</v>
      </c>
    </row>
    <row r="403" spans="1:25" x14ac:dyDescent="0.25">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4</v>
      </c>
    </row>
    <row r="404" spans="1:25" x14ac:dyDescent="0.25">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5</v>
      </c>
    </row>
    <row r="405" spans="1:25" x14ac:dyDescent="0.25">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4</v>
      </c>
    </row>
    <row r="406" spans="1:25" x14ac:dyDescent="0.25">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5</v>
      </c>
    </row>
    <row r="407" spans="1:25" x14ac:dyDescent="0.25">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6</v>
      </c>
    </row>
    <row r="408" spans="1:25" x14ac:dyDescent="0.25">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6</v>
      </c>
    </row>
    <row r="409" spans="1:25" x14ac:dyDescent="0.25">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7</v>
      </c>
    </row>
    <row r="410" spans="1:25" x14ac:dyDescent="0.25">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6</v>
      </c>
    </row>
    <row r="411" spans="1:25" x14ac:dyDescent="0.25">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5</v>
      </c>
    </row>
    <row r="412" spans="1:25" x14ac:dyDescent="0.25">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6</v>
      </c>
    </row>
    <row r="413" spans="1:25" x14ac:dyDescent="0.25">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5</v>
      </c>
    </row>
    <row r="414" spans="1:25" x14ac:dyDescent="0.25">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6</v>
      </c>
    </row>
    <row r="415" spans="1:25" x14ac:dyDescent="0.25">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5</v>
      </c>
    </row>
    <row r="416" spans="1:25" x14ac:dyDescent="0.25">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6</v>
      </c>
    </row>
    <row r="417" spans="1:25" x14ac:dyDescent="0.25">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5</v>
      </c>
    </row>
    <row r="418" spans="1:25" x14ac:dyDescent="0.25">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6</v>
      </c>
    </row>
    <row r="419" spans="1:25" x14ac:dyDescent="0.25">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5</v>
      </c>
    </row>
    <row r="420" spans="1:25" x14ac:dyDescent="0.25">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6</v>
      </c>
    </row>
    <row r="421" spans="1:25" x14ac:dyDescent="0.25">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5</v>
      </c>
    </row>
    <row r="422" spans="1:25" x14ac:dyDescent="0.25">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6</v>
      </c>
    </row>
    <row r="423" spans="1:25" x14ac:dyDescent="0.25">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5</v>
      </c>
    </row>
    <row r="424" spans="1:25" x14ac:dyDescent="0.25">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4</v>
      </c>
    </row>
    <row r="425" spans="1:25" x14ac:dyDescent="0.25">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5</v>
      </c>
    </row>
    <row r="426" spans="1:25" x14ac:dyDescent="0.25">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5</v>
      </c>
    </row>
    <row r="427" spans="1:25" x14ac:dyDescent="0.25">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6</v>
      </c>
    </row>
    <row r="428" spans="1:25" x14ac:dyDescent="0.25">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5</v>
      </c>
    </row>
    <row r="429" spans="1:25" x14ac:dyDescent="0.25">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5</v>
      </c>
    </row>
    <row r="430" spans="1:25" x14ac:dyDescent="0.25">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6</v>
      </c>
    </row>
    <row r="431" spans="1:25" x14ac:dyDescent="0.25">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5</v>
      </c>
    </row>
    <row r="432" spans="1:25" x14ac:dyDescent="0.25">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5</v>
      </c>
    </row>
    <row r="433" spans="1:25" x14ac:dyDescent="0.25">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5</v>
      </c>
    </row>
    <row r="434" spans="1:25" x14ac:dyDescent="0.25">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6</v>
      </c>
    </row>
    <row r="435" spans="1:25" x14ac:dyDescent="0.25">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5</v>
      </c>
    </row>
    <row r="436" spans="1:25" x14ac:dyDescent="0.25">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4</v>
      </c>
    </row>
    <row r="437" spans="1:25" x14ac:dyDescent="0.25">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5</v>
      </c>
    </row>
    <row r="438" spans="1:25" x14ac:dyDescent="0.25">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4</v>
      </c>
    </row>
    <row r="439" spans="1:25" x14ac:dyDescent="0.25">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5</v>
      </c>
    </row>
    <row r="440" spans="1:25" x14ac:dyDescent="0.25">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4</v>
      </c>
    </row>
    <row r="441" spans="1:25" x14ac:dyDescent="0.25">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5</v>
      </c>
    </row>
    <row r="442" spans="1:25" x14ac:dyDescent="0.25">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6</v>
      </c>
    </row>
    <row r="443" spans="1:25" x14ac:dyDescent="0.25">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6</v>
      </c>
    </row>
    <row r="444" spans="1:25" x14ac:dyDescent="0.25">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7</v>
      </c>
    </row>
    <row r="445" spans="1:25" x14ac:dyDescent="0.25">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6</v>
      </c>
    </row>
    <row r="446" spans="1:25" x14ac:dyDescent="0.25">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5</v>
      </c>
    </row>
    <row r="447" spans="1:25" x14ac:dyDescent="0.25">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6</v>
      </c>
    </row>
    <row r="448" spans="1:25" x14ac:dyDescent="0.25">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5</v>
      </c>
    </row>
    <row r="449" spans="1:25" x14ac:dyDescent="0.25">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6</v>
      </c>
    </row>
    <row r="450" spans="1:25" x14ac:dyDescent="0.25">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5</v>
      </c>
    </row>
    <row r="451" spans="1:25" x14ac:dyDescent="0.25">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6</v>
      </c>
    </row>
    <row r="452" spans="1:25" x14ac:dyDescent="0.25">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5</v>
      </c>
    </row>
    <row r="453" spans="1:25" x14ac:dyDescent="0.25">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6</v>
      </c>
    </row>
    <row r="454" spans="1:25" x14ac:dyDescent="0.25">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5</v>
      </c>
    </row>
    <row r="455" spans="1:25" x14ac:dyDescent="0.25">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6</v>
      </c>
    </row>
    <row r="456" spans="1:25" x14ac:dyDescent="0.25">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5</v>
      </c>
    </row>
    <row r="457" spans="1:25" x14ac:dyDescent="0.25">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6</v>
      </c>
    </row>
    <row r="458" spans="1:25" x14ac:dyDescent="0.25">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5</v>
      </c>
    </row>
    <row r="459" spans="1:25" x14ac:dyDescent="0.25">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4</v>
      </c>
    </row>
    <row r="460" spans="1:25" x14ac:dyDescent="0.25">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5</v>
      </c>
    </row>
    <row r="461" spans="1:25" x14ac:dyDescent="0.25">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5</v>
      </c>
    </row>
    <row r="462" spans="1:25" x14ac:dyDescent="0.25">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6</v>
      </c>
    </row>
    <row r="463" spans="1:25" x14ac:dyDescent="0.25">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6</v>
      </c>
    </row>
    <row r="464" spans="1:25" x14ac:dyDescent="0.25">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7</v>
      </c>
    </row>
    <row r="465" spans="1:25" x14ac:dyDescent="0.25">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6</v>
      </c>
    </row>
    <row r="466" spans="1:25" x14ac:dyDescent="0.25">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5</v>
      </c>
    </row>
    <row r="467" spans="1:25" x14ac:dyDescent="0.25">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6</v>
      </c>
    </row>
    <row r="468" spans="1:25" x14ac:dyDescent="0.25">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5</v>
      </c>
    </row>
    <row r="469" spans="1:25" x14ac:dyDescent="0.25">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6</v>
      </c>
    </row>
    <row r="470" spans="1:25" x14ac:dyDescent="0.25">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5</v>
      </c>
    </row>
    <row r="471" spans="1:25" x14ac:dyDescent="0.25">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6</v>
      </c>
    </row>
    <row r="472" spans="1:25" x14ac:dyDescent="0.25">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5</v>
      </c>
    </row>
    <row r="473" spans="1:25" x14ac:dyDescent="0.25">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6</v>
      </c>
    </row>
    <row r="474" spans="1:25" x14ac:dyDescent="0.25">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5</v>
      </c>
    </row>
    <row r="475" spans="1:25" x14ac:dyDescent="0.25">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6</v>
      </c>
    </row>
    <row r="476" spans="1:25" x14ac:dyDescent="0.25">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5</v>
      </c>
    </row>
    <row r="477" spans="1:25" x14ac:dyDescent="0.25">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6</v>
      </c>
    </row>
    <row r="478" spans="1:25" x14ac:dyDescent="0.25">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5</v>
      </c>
    </row>
    <row r="479" spans="1:25" x14ac:dyDescent="0.25">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4</v>
      </c>
    </row>
    <row r="480" spans="1:25" x14ac:dyDescent="0.25">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5</v>
      </c>
    </row>
    <row r="481" spans="1:25" x14ac:dyDescent="0.25">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5</v>
      </c>
    </row>
    <row r="482" spans="1:25" x14ac:dyDescent="0.25">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6</v>
      </c>
    </row>
    <row r="483" spans="1:25" x14ac:dyDescent="0.25">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7</v>
      </c>
    </row>
    <row r="484" spans="1:25" x14ac:dyDescent="0.25">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6</v>
      </c>
    </row>
    <row r="485" spans="1:25" x14ac:dyDescent="0.25">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7</v>
      </c>
    </row>
    <row r="486" spans="1:25" x14ac:dyDescent="0.25">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6</v>
      </c>
    </row>
    <row r="487" spans="1:25" x14ac:dyDescent="0.25">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7</v>
      </c>
    </row>
    <row r="488" spans="1:25" x14ac:dyDescent="0.25">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6</v>
      </c>
    </row>
    <row r="489" spans="1:25" x14ac:dyDescent="0.25">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5</v>
      </c>
    </row>
    <row r="490" spans="1:25" x14ac:dyDescent="0.25">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6</v>
      </c>
    </row>
    <row r="491" spans="1:25" x14ac:dyDescent="0.25">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6</v>
      </c>
    </row>
    <row r="492" spans="1:25" x14ac:dyDescent="0.25">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6</v>
      </c>
    </row>
    <row r="493" spans="1:25" x14ac:dyDescent="0.25">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5</v>
      </c>
    </row>
    <row r="494" spans="1:25" x14ac:dyDescent="0.25">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6</v>
      </c>
    </row>
    <row r="495" spans="1:25" x14ac:dyDescent="0.25">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6</v>
      </c>
    </row>
    <row r="496" spans="1:25" x14ac:dyDescent="0.25">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5</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3.8" x14ac:dyDescent="0.25"/>
  <cols>
    <col min="7" max="7" width="2.796875" bestFit="1" customWidth="1"/>
    <col min="8" max="8" width="13.59765625" bestFit="1" customWidth="1"/>
    <col min="9" max="15" width="10.19921875" customWidth="1"/>
    <col min="16" max="16" width="12.19921875" customWidth="1"/>
    <col min="24" max="24" width="12.59765625" bestFit="1" customWidth="1"/>
    <col min="25" max="26" width="12.59765625" customWidth="1"/>
    <col min="27" max="27" width="13.796875" customWidth="1"/>
    <col min="42" max="42" width="11.796875" style="457" bestFit="1" customWidth="1"/>
    <col min="43" max="43" width="13.796875" bestFit="1" customWidth="1"/>
    <col min="44" max="45" width="9" style="6"/>
    <col min="46" max="46" width="10.296875" style="169" bestFit="1" customWidth="1"/>
    <col min="49" max="49" width="11.69921875" customWidth="1"/>
    <col min="50" max="50" width="9.796875" customWidth="1"/>
    <col min="51" max="51" width="13.796875" bestFit="1" customWidth="1"/>
    <col min="52" max="52" width="11.19921875" customWidth="1"/>
    <col min="53" max="53" width="13.796875" bestFit="1" customWidth="1"/>
    <col min="54" max="54" width="9.09765625" customWidth="1"/>
    <col min="55" max="55" width="13.796875" bestFit="1" customWidth="1"/>
    <col min="56" max="56" width="14.19921875" customWidth="1"/>
    <col min="57" max="57" width="13.5" bestFit="1" customWidth="1"/>
    <col min="58" max="58" width="12.296875" customWidth="1"/>
    <col min="59" max="59" width="13.796875" bestFit="1" customWidth="1"/>
    <col min="61" max="61" width="13.796875" bestFit="1" customWidth="1"/>
    <col min="75" max="75" width="13.69921875" bestFit="1" customWidth="1"/>
  </cols>
  <sheetData>
    <row r="1" spans="1:71" x14ac:dyDescent="0.25">
      <c r="I1" s="169">
        <v>1000000</v>
      </c>
      <c r="J1" s="169">
        <v>100000</v>
      </c>
      <c r="K1" s="169">
        <v>10000</v>
      </c>
      <c r="L1" s="169">
        <v>1000</v>
      </c>
      <c r="M1" s="169">
        <v>100</v>
      </c>
      <c r="N1" s="169">
        <v>10</v>
      </c>
      <c r="O1" s="169">
        <v>1</v>
      </c>
      <c r="BI1" t="s">
        <v>831</v>
      </c>
    </row>
    <row r="2" spans="1:71" x14ac:dyDescent="0.25">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5">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1</v>
      </c>
      <c r="O4" s="6">
        <f t="shared" ref="O4:O51" si="6">+IF(COUNTIF(AI:AI,$H4)&gt;0,O$2,0)</f>
        <v>1</v>
      </c>
      <c r="P4" s="6">
        <f>+SUM(I4:O4)</f>
        <v>2</v>
      </c>
      <c r="Q4" s="6">
        <f>+COUNTIFS('Inputs summary'!I:I,$H4)</f>
        <v>2</v>
      </c>
      <c r="R4" s="6">
        <f>+COUNTIFS('Inputs summary'!J:K,$H4)</f>
        <v>2</v>
      </c>
      <c r="S4" s="6">
        <f>+COUNTIFS('Inputs summary'!L:L,$H4)</f>
        <v>1</v>
      </c>
      <c r="T4" s="6">
        <f>+U4-V4</f>
        <v>0</v>
      </c>
      <c r="U4" s="6">
        <f>+SUMIF('Inputs summary'!B:B,H4,'Inputs summary'!C:C)+SUMIF('Inputs summary'!E:E,H4,'Inputs summary'!D:D)</f>
        <v>4</v>
      </c>
      <c r="V4" s="6">
        <f>+SUMIF('Inputs summary'!B:B,H4,'Inputs summary'!D:D)+SUMIF('Inputs summary'!E:E,H4,'Inputs summary'!C:C)</f>
        <v>4</v>
      </c>
      <c r="W4" s="159">
        <f>+P4*100+Q4*3+R4+T4/100+U4/10000+(1/AA4)/100000000</f>
        <v>208.00040000066667</v>
      </c>
      <c r="X4" s="173">
        <f>+SUMPRODUCT(I4:O4,$I$1:$O$1)</f>
        <v>11</v>
      </c>
      <c r="Y4" s="167">
        <f t="shared" ref="Y4:Y51" si="7">+_xlfn.XLOOKUP(H4,AQ:AQ,AR:AR,"-",0)</f>
        <v>2</v>
      </c>
      <c r="Z4" s="173">
        <f>+W4+(1/Y4)*0.000001</f>
        <v>208.00040050066667</v>
      </c>
      <c r="AA4" s="173">
        <f>+_xlfn.XLOOKUP(H4,'Ranking FIFA'!B:B,'Ranking FIFA'!A:A,"--",0)</f>
        <v>15</v>
      </c>
      <c r="AC4" t="str">
        <f>+'Quarter, Semis &amp; Final'!P8</f>
        <v>Argentina</v>
      </c>
      <c r="AD4" t="str">
        <f>+'Quarter, Semis &amp; Final'!P4</f>
        <v>Brasil</v>
      </c>
      <c r="AE4" t="str">
        <f>+'Quarter, Semis &amp; Final'!P15</f>
        <v>Marruecos</v>
      </c>
      <c r="AF4" t="str">
        <f>+'Quarter, Semis &amp; Final'!B19</f>
        <v>Brasil</v>
      </c>
      <c r="AG4" t="str">
        <f>+'Quarter, Semis &amp; Final'!B5</f>
        <v>Alemania</v>
      </c>
      <c r="AH4" t="str">
        <f>+'Round of 32 &amp; Round of 16'!P5</f>
        <v>Alemania</v>
      </c>
      <c r="AI4" t="str">
        <f>+'Round of 32 &amp; Round of 16'!B5</f>
        <v>Repubilca Checa</v>
      </c>
      <c r="AP4" s="457">
        <f>+_xlfn.XLOOKUP(AQ4,'Ranking FIFA'!B:B,'Ranking FIFA'!A:A,"--",0)</f>
        <v>1</v>
      </c>
      <c r="AQ4" t="s">
        <v>48</v>
      </c>
      <c r="AR4" s="6">
        <v>1</v>
      </c>
      <c r="AS4" s="6">
        <v>1</v>
      </c>
      <c r="AT4" s="169">
        <f t="shared" ref="AT4:AT51" si="8">+SUMIF($H$4:$H$51,AQ4,$X$4:$X$51)</f>
        <v>11</v>
      </c>
      <c r="AU4" s="166">
        <f t="shared" ref="AU4:AU51" si="9">+SUMIF($H$4:$H$51,AQ4,$W$4:$W$51)</f>
        <v>213.07130000999999</v>
      </c>
      <c r="AW4" s="6">
        <v>2</v>
      </c>
      <c r="AX4" s="169">
        <f>+_xlfn.MAXIFS(AT:AT,AR:AR,AW4)</f>
        <v>11111</v>
      </c>
      <c r="AY4" s="6">
        <f>+IF($AX4&gt;AY$2,1,0)</f>
        <v>1</v>
      </c>
      <c r="AZ4" s="6">
        <f t="shared" ref="AZ4:BC6" si="10">+IF($AX4&gt;AZ$2,1,0)</f>
        <v>1</v>
      </c>
      <c r="BA4" s="6">
        <f t="shared" si="10"/>
        <v>1</v>
      </c>
      <c r="BB4" s="6">
        <f t="shared" si="10"/>
        <v>0</v>
      </c>
      <c r="BC4" s="6">
        <f t="shared" si="10"/>
        <v>0</v>
      </c>
      <c r="BD4" s="6" t="str">
        <f>+_xlfn.XLOOKUP(BE4,W:W,H:H)</f>
        <v>Marruecos</v>
      </c>
      <c r="BE4" s="166">
        <f>+_xlfn.MAXIFS(W:W,Y:Y,AW4)</f>
        <v>522.10160000125006</v>
      </c>
      <c r="BF4" s="168">
        <f>+IF(AZ4&gt;0,AX4,0)</f>
        <v>11111</v>
      </c>
      <c r="BH4">
        <v>1</v>
      </c>
      <c r="BI4" t="str">
        <f t="shared" ref="BI4:BI51" si="11">+H4</f>
        <v>Mexico</v>
      </c>
      <c r="BJ4" s="6">
        <f>+COUNTIFS('Inputs summary'!I$2:I$106,BI4)</f>
        <v>2</v>
      </c>
      <c r="BK4" s="6">
        <f>+COUNTIFS('Inputs summary'!J$2:K$106,BI4)</f>
        <v>1</v>
      </c>
      <c r="BL4" s="6">
        <f>+COUNTIFS('Inputs summary'!L$2:L$106,BI4)</f>
        <v>0</v>
      </c>
      <c r="BM4" s="6">
        <f>+BN4-BO4</f>
        <v>2</v>
      </c>
      <c r="BN4" s="6">
        <f>+SUMIF('Inputs summary'!$B$1:$B$106,$BI4,'Inputs summary'!$C$1:$C$106)+SUMIF('Inputs summary'!$E$1:$E$106,$BI4,'Inputs summary'!$D$1:$D$106)</f>
        <v>3</v>
      </c>
      <c r="BO4" s="6">
        <f>+SUMIF('Inputs summary'!$B$1:$B$106,$BI4,'Inputs summary'!$D$1:$D$106)+SUMIF('Inputs summary'!$E$1:$E$106,$BI4,'Inputs summary'!$C$1:$C$106)</f>
        <v>1</v>
      </c>
      <c r="BP4" s="166">
        <f t="shared" ref="BP4:BP51" si="12">+BJ4*3+BK4*2+BM4/100+BN4/1000+Y4/100000+AA4/10000000</f>
        <v>8.0230214999999987</v>
      </c>
      <c r="BR4">
        <f>+LARGE(BP4:BP51,1)</f>
        <v>9.0580100999999988</v>
      </c>
      <c r="BS4" s="175" t="str">
        <f>+_xlfn.XLOOKUP(BR4,$BP$4:$BP$51,$BI$4:$BI$51,"-",0)</f>
        <v>Francia</v>
      </c>
    </row>
    <row r="5" spans="1:71" x14ac:dyDescent="0.25">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1</v>
      </c>
      <c r="P5" s="6">
        <f t="shared" ref="P5:P51" si="13">+SUM(I5:O5)</f>
        <v>1</v>
      </c>
      <c r="Q5" s="6">
        <f>+COUNTIFS('Inputs summary'!I:I,$H5)</f>
        <v>1</v>
      </c>
      <c r="R5" s="6">
        <f>+COUNTIFS('Inputs summary'!J:K,$H5)</f>
        <v>1</v>
      </c>
      <c r="S5" s="6">
        <f>+COUNTIFS('Inputs summary'!L:L,$H5)</f>
        <v>2</v>
      </c>
      <c r="T5" s="6">
        <f t="shared" ref="T5:T51" si="14">+U5-V5</f>
        <v>-1</v>
      </c>
      <c r="U5" s="6">
        <f>+SUMIF('Inputs summary'!B:B,H5,'Inputs summary'!C:C)+SUMIF('Inputs summary'!E:E,H5,'Inputs summary'!D:D)</f>
        <v>2</v>
      </c>
      <c r="V5" s="6">
        <f>+SUMIF('Inputs summary'!B:B,H5,'Inputs summary'!D:D)+SUMIF('Inputs summary'!E:E,H5,'Inputs summary'!C:C)</f>
        <v>3</v>
      </c>
      <c r="W5" s="159">
        <f t="shared" ref="W5:W51" si="15">+P5*100+Q5*3+R5+T5/100+U5/10000+(1/AA5)/100000000</f>
        <v>103.99020000016667</v>
      </c>
      <c r="X5" s="173">
        <f t="shared" ref="X5:X51" si="16">+SUMPRODUCT(I5:O5,$I$1:$O$1)</f>
        <v>1</v>
      </c>
      <c r="Y5" s="167">
        <f t="shared" si="7"/>
        <v>3</v>
      </c>
      <c r="Z5" s="173">
        <f t="shared" ref="Z5:Z51" si="17">+W5+(1/Y5)*0.000001</f>
        <v>103.9902003335</v>
      </c>
      <c r="AA5" s="173">
        <f>+_xlfn.XLOOKUP(H5,'Ranking FIFA'!B:B,'Ranking FIFA'!A:A,"--",0)</f>
        <v>60</v>
      </c>
      <c r="AD5" t="str">
        <f>+'Quarter, Semis &amp; Final'!S4</f>
        <v>Argentina</v>
      </c>
      <c r="AF5" t="str">
        <f>+'Quarter, Semis &amp; Final'!E19</f>
        <v>Colombia</v>
      </c>
      <c r="AG5" t="str">
        <f>+'Quarter, Semis &amp; Final'!E5</f>
        <v>Brasil</v>
      </c>
      <c r="AH5" t="str">
        <f>+'Round of 32 &amp; Round of 16'!S5</f>
        <v>Francia</v>
      </c>
      <c r="AI5" t="str">
        <f>+'Round of 32 &amp; Round of 16'!E5</f>
        <v>Canada</v>
      </c>
      <c r="AP5" s="457">
        <f>+_xlfn.XLOOKUP(AQ5,'Ranking FIFA'!B:B,'Ranking FIFA'!A:A,"--",0)</f>
        <v>2</v>
      </c>
      <c r="AQ5" t="s">
        <v>49</v>
      </c>
      <c r="AR5" s="6">
        <v>1</v>
      </c>
      <c r="AS5" s="6">
        <v>1</v>
      </c>
      <c r="AT5" s="169">
        <f t="shared" si="8"/>
        <v>11</v>
      </c>
      <c r="AU5" s="166">
        <f t="shared" si="9"/>
        <v>212.041000005</v>
      </c>
      <c r="AW5" s="6">
        <v>3</v>
      </c>
      <c r="AX5" s="169">
        <f>+_xlfn.MAXIFS(AT:AT,AR:AR,AW5)</f>
        <v>111</v>
      </c>
      <c r="AY5" s="6">
        <f t="shared" ref="AY5:AY6" si="18">+IF($AX5&gt;AY$2,1,0)</f>
        <v>1</v>
      </c>
      <c r="AZ5" s="6">
        <f t="shared" si="10"/>
        <v>0</v>
      </c>
      <c r="BA5" s="6">
        <f t="shared" si="10"/>
        <v>0</v>
      </c>
      <c r="BB5" s="6">
        <f t="shared" si="10"/>
        <v>0</v>
      </c>
      <c r="BC5" s="6">
        <f t="shared" si="10"/>
        <v>0</v>
      </c>
      <c r="BD5" s="6" t="str">
        <f>+_xlfn.XLOOKUP(BE5,W:W,H:H)</f>
        <v>Ghana</v>
      </c>
      <c r="BE5" s="166">
        <f>+_xlfn.MAXIFS(W:W,Y:Y,AW5)</f>
        <v>313.04110000013515</v>
      </c>
      <c r="BF5" s="168">
        <f>+IF(AY5&gt;0,AX5,0)*1</f>
        <v>111</v>
      </c>
      <c r="BH5">
        <v>2</v>
      </c>
      <c r="BI5" t="str">
        <f t="shared" si="11"/>
        <v>Sudafrica</v>
      </c>
      <c r="BJ5" s="6">
        <f>+COUNTIFS('Inputs summary'!I$2:I$106,BI5)</f>
        <v>1</v>
      </c>
      <c r="BK5" s="6">
        <f>+COUNTIFS('Inputs summary'!J$2:K$106,BI5)</f>
        <v>1</v>
      </c>
      <c r="BL5" s="6">
        <f>+COUNTIFS('Inputs summary'!L$2:L$106,BI5)</f>
        <v>1</v>
      </c>
      <c r="BM5" s="6">
        <f t="shared" ref="BM5:BM51" si="19">+BN5-BO5</f>
        <v>0</v>
      </c>
      <c r="BN5" s="6">
        <f>+SUMIF('Inputs summary'!$B$1:$B$106,$BI5,'Inputs summary'!$C$1:$C$106)+SUMIF('Inputs summary'!$E$1:$E$106,$BI5,'Inputs summary'!$D$1:$D$106)</f>
        <v>2</v>
      </c>
      <c r="BO5" s="6">
        <f>+SUMIF('Inputs summary'!$B$1:$B$106,$BI5,'Inputs summary'!$D$1:$D$106)+SUMIF('Inputs summary'!$E$1:$E$106,$BI5,'Inputs summary'!$C$1:$C$106)</f>
        <v>2</v>
      </c>
      <c r="BP5" s="166">
        <f t="shared" si="12"/>
        <v>5.0020359999999995</v>
      </c>
    </row>
    <row r="6" spans="1:71" x14ac:dyDescent="0.25">
      <c r="A6">
        <v>4</v>
      </c>
      <c r="G6">
        <v>3</v>
      </c>
      <c r="H6" t="str">
        <f>+'Groups Stage'!O5</f>
        <v>Corea del Sur</v>
      </c>
      <c r="I6" s="6">
        <f t="shared" si="0"/>
        <v>0</v>
      </c>
      <c r="J6" s="6">
        <f t="shared" si="1"/>
        <v>0</v>
      </c>
      <c r="K6" s="6">
        <f t="shared" si="2"/>
        <v>0</v>
      </c>
      <c r="L6" s="6">
        <f t="shared" si="3"/>
        <v>0</v>
      </c>
      <c r="M6" s="6">
        <f t="shared" si="4"/>
        <v>0</v>
      </c>
      <c r="N6" s="6">
        <f t="shared" si="5"/>
        <v>0</v>
      </c>
      <c r="O6" s="6">
        <f t="shared" si="6"/>
        <v>0</v>
      </c>
      <c r="P6" s="6">
        <f t="shared" si="13"/>
        <v>0</v>
      </c>
      <c r="Q6" s="6">
        <f>+COUNTIFS('Inputs summary'!I:I,$H6)</f>
        <v>0</v>
      </c>
      <c r="R6" s="6">
        <f>+COUNTIFS('Inputs summary'!J:K,$H6)</f>
        <v>0</v>
      </c>
      <c r="S6" s="6">
        <f>+COUNTIFS('Inputs summary'!L:L,$H6)</f>
        <v>3</v>
      </c>
      <c r="T6" s="6">
        <f t="shared" si="14"/>
        <v>-4</v>
      </c>
      <c r="U6" s="6">
        <f>+SUMIF('Inputs summary'!B:B,H6,'Inputs summary'!C:C)+SUMIF('Inputs summary'!E:E,H6,'Inputs summary'!D:D)</f>
        <v>0</v>
      </c>
      <c r="V6" s="6">
        <f>+SUMIF('Inputs summary'!B:B,H6,'Inputs summary'!D:D)+SUMIF('Inputs summary'!E:E,H6,'Inputs summary'!C:C)</f>
        <v>4</v>
      </c>
      <c r="W6" s="159">
        <f t="shared" si="15"/>
        <v>-3.9999999600000002E-2</v>
      </c>
      <c r="X6" s="173">
        <f t="shared" si="16"/>
        <v>0</v>
      </c>
      <c r="Y6" s="167">
        <f t="shared" si="7"/>
        <v>2</v>
      </c>
      <c r="Z6" s="173">
        <f t="shared" si="17"/>
        <v>-3.9999499600000002E-2</v>
      </c>
      <c r="AA6" s="173">
        <f>+_xlfn.XLOOKUP(H6,'Ranking FIFA'!B:B,'Ranking FIFA'!A:A,"--",0)</f>
        <v>25</v>
      </c>
      <c r="AF6" t="str">
        <f>+'Quarter, Semis &amp; Final'!H19</f>
        <v>Marruecos</v>
      </c>
      <c r="AG6" t="str">
        <f>+'Quarter, Semis &amp; Final'!B9</f>
        <v>Colombia</v>
      </c>
      <c r="AH6" t="str">
        <f>+'Round of 32 &amp; Round of 16'!P13</f>
        <v>Canada</v>
      </c>
      <c r="AI6" t="str">
        <f>+'Round of 32 &amp; Round of 16'!B9</f>
        <v>Alemania</v>
      </c>
      <c r="AP6" s="457">
        <f>+_xlfn.XLOOKUP(AQ6,'Ranking FIFA'!B:B,'Ranking FIFA'!A:A,"--",0)</f>
        <v>3</v>
      </c>
      <c r="AQ6" t="s">
        <v>50</v>
      </c>
      <c r="AR6" s="6">
        <v>1</v>
      </c>
      <c r="AS6" s="6">
        <v>1</v>
      </c>
      <c r="AT6" s="169">
        <f t="shared" si="8"/>
        <v>2201111</v>
      </c>
      <c r="AU6" s="166">
        <f t="shared" si="9"/>
        <v>822.12190000333328</v>
      </c>
      <c r="AW6" s="154">
        <v>4</v>
      </c>
      <c r="AX6" s="170">
        <f>+_xlfn.MAXIFS(AT:AT,AR:AR,AW6)</f>
        <v>0</v>
      </c>
      <c r="AY6" s="154">
        <f t="shared" si="18"/>
        <v>0</v>
      </c>
      <c r="AZ6" s="154">
        <f t="shared" si="10"/>
        <v>0</v>
      </c>
      <c r="BA6" s="154">
        <f t="shared" si="10"/>
        <v>0</v>
      </c>
      <c r="BB6" s="154">
        <f t="shared" si="10"/>
        <v>0</v>
      </c>
      <c r="BC6" s="154">
        <f t="shared" si="10"/>
        <v>0</v>
      </c>
      <c r="BD6" s="154" t="str">
        <f>+_xlfn.XLOOKUP(BE6,W:W,H:H)</f>
        <v>Congo</v>
      </c>
      <c r="BE6" s="171">
        <f>+_xlfn.MAXIFS(W:W,Y:Y,AW6)</f>
        <v>2.9802000002173914</v>
      </c>
      <c r="BF6" s="172">
        <f>+IF(AY6&gt;0,AX6,0)*2</f>
        <v>0</v>
      </c>
      <c r="BH6">
        <v>3</v>
      </c>
      <c r="BI6" t="str">
        <f t="shared" si="11"/>
        <v>Corea del Sur</v>
      </c>
      <c r="BJ6" s="6">
        <f>+COUNTIFS('Inputs summary'!I$2:I$106,BI6)</f>
        <v>0</v>
      </c>
      <c r="BK6" s="6">
        <f>+COUNTIFS('Inputs summary'!J$2:K$106,BI6)</f>
        <v>0</v>
      </c>
      <c r="BL6" s="6">
        <f>+COUNTIFS('Inputs summary'!L$2:L$106,BI6)</f>
        <v>3</v>
      </c>
      <c r="BM6" s="6">
        <f t="shared" si="19"/>
        <v>-4</v>
      </c>
      <c r="BN6" s="6">
        <f>+SUMIF('Inputs summary'!$B$1:$B$106,$BI6,'Inputs summary'!$C$1:$C$106)+SUMIF('Inputs summary'!$E$1:$E$106,$BI6,'Inputs summary'!$D$1:$D$106)</f>
        <v>0</v>
      </c>
      <c r="BO6" s="6">
        <f>+SUMIF('Inputs summary'!$B$1:$B$106,$BI6,'Inputs summary'!$D$1:$D$106)+SUMIF('Inputs summary'!$E$1:$E$106,$BI6,'Inputs summary'!$C$1:$C$106)</f>
        <v>4</v>
      </c>
      <c r="BP6" s="166">
        <f t="shared" si="12"/>
        <v>-3.9977499999999999E-2</v>
      </c>
    </row>
    <row r="7" spans="1:71" x14ac:dyDescent="0.25">
      <c r="G7">
        <v>4</v>
      </c>
      <c r="H7" t="str">
        <f>+'Groups Stage'!O6</f>
        <v>Repubilca Checa</v>
      </c>
      <c r="I7" s="6">
        <f t="shared" si="0"/>
        <v>0</v>
      </c>
      <c r="J7" s="6">
        <f t="shared" si="1"/>
        <v>0</v>
      </c>
      <c r="K7" s="6">
        <f t="shared" si="2"/>
        <v>0</v>
      </c>
      <c r="L7" s="6">
        <f t="shared" si="3"/>
        <v>0</v>
      </c>
      <c r="M7" s="6">
        <f t="shared" si="4"/>
        <v>0</v>
      </c>
      <c r="N7" s="6">
        <f t="shared" si="5"/>
        <v>0</v>
      </c>
      <c r="O7" s="6">
        <f t="shared" si="6"/>
        <v>1</v>
      </c>
      <c r="P7" s="6">
        <f t="shared" si="13"/>
        <v>1</v>
      </c>
      <c r="Q7" s="6">
        <f>+COUNTIFS('Inputs summary'!I:I,$H7)</f>
        <v>1</v>
      </c>
      <c r="R7" s="6">
        <f>+COUNTIFS('Inputs summary'!J:K,$H7)</f>
        <v>3</v>
      </c>
      <c r="S7" s="6">
        <f>+COUNTIFS('Inputs summary'!L:L,$H7)</f>
        <v>0</v>
      </c>
      <c r="T7" s="6">
        <f t="shared" si="14"/>
        <v>2</v>
      </c>
      <c r="U7" s="6">
        <f>+SUMIF('Inputs summary'!B:B,H7,'Inputs summary'!C:C)+SUMIF('Inputs summary'!E:E,H7,'Inputs summary'!D:D)</f>
        <v>6</v>
      </c>
      <c r="V7" s="6">
        <f>+SUMIF('Inputs summary'!B:B,H7,'Inputs summary'!D:D)+SUMIF('Inputs summary'!E:E,H7,'Inputs summary'!C:C)</f>
        <v>4</v>
      </c>
      <c r="W7" s="159">
        <f t="shared" si="15"/>
        <v>106.0206000002439</v>
      </c>
      <c r="X7" s="173">
        <f t="shared" si="16"/>
        <v>1</v>
      </c>
      <c r="Y7" s="167">
        <f t="shared" si="7"/>
        <v>3</v>
      </c>
      <c r="Z7" s="173">
        <f t="shared" si="17"/>
        <v>106.02060033357724</v>
      </c>
      <c r="AA7" s="173">
        <f>+_xlfn.XLOOKUP(H7,'Ranking FIFA'!B:B,'Ranking FIFA'!A:A,"--",0)</f>
        <v>41</v>
      </c>
      <c r="AF7" t="str">
        <f>+'Quarter, Semis &amp; Final'!K19</f>
        <v>Argentina</v>
      </c>
      <c r="AG7" t="str">
        <f>+'Quarter, Semis &amp; Final'!E9</f>
        <v>Paraguay</v>
      </c>
      <c r="AH7" t="str">
        <f>+'Round of 32 &amp; Round of 16'!S13</f>
        <v>Brasil</v>
      </c>
      <c r="AI7" t="str">
        <f>+'Round of 32 &amp; Round of 16'!E9</f>
        <v>Australia</v>
      </c>
      <c r="AP7" s="457">
        <f>+_xlfn.XLOOKUP(AQ7,'Ranking FIFA'!B:B,'Ranking FIFA'!A:A,"--",0)</f>
        <v>4</v>
      </c>
      <c r="AQ7" t="s">
        <v>51</v>
      </c>
      <c r="AR7" s="6">
        <v>1</v>
      </c>
      <c r="AS7" s="6">
        <v>1</v>
      </c>
      <c r="AT7" s="169">
        <f t="shared" si="8"/>
        <v>1</v>
      </c>
      <c r="AU7" s="166">
        <f t="shared" si="9"/>
        <v>107.0107000025</v>
      </c>
      <c r="BC7" t="s">
        <v>849</v>
      </c>
      <c r="BD7" s="175" t="str">
        <f>+IF(BF7=0,IF(AX6&lt;1,"No hay Revelación",BD6),_xlfn.XLOOKUP(BF7,BF4:BF6,BD4:BD6,"-",0))</f>
        <v>Marruecos</v>
      </c>
      <c r="BF7" s="168">
        <f>+MAX(BF4:BF6)</f>
        <v>11111</v>
      </c>
      <c r="BH7">
        <v>4</v>
      </c>
      <c r="BI7" t="str">
        <f t="shared" si="11"/>
        <v>Repubilca Checa</v>
      </c>
      <c r="BJ7" s="6">
        <f>+COUNTIFS('Inputs summary'!I$2:I$106,BI7)</f>
        <v>1</v>
      </c>
      <c r="BK7" s="6">
        <f>+COUNTIFS('Inputs summary'!J$2:K$106,BI7)</f>
        <v>2</v>
      </c>
      <c r="BL7" s="6">
        <f>+COUNTIFS('Inputs summary'!L$2:L$106,BI7)</f>
        <v>0</v>
      </c>
      <c r="BM7" s="6">
        <f t="shared" si="19"/>
        <v>2</v>
      </c>
      <c r="BN7" s="6">
        <f>+SUMIF('Inputs summary'!$B$1:$B$106,$BI7,'Inputs summary'!$C$1:$C$106)+SUMIF('Inputs summary'!$E$1:$E$106,$BI7,'Inputs summary'!$D$1:$D$106)</f>
        <v>4</v>
      </c>
      <c r="BO7" s="6">
        <f>+SUMIF('Inputs summary'!$B$1:$B$106,$BI7,'Inputs summary'!$D$1:$D$106)+SUMIF('Inputs summary'!$E$1:$E$106,$BI7,'Inputs summary'!$C$1:$C$106)</f>
        <v>2</v>
      </c>
      <c r="BP7" s="166">
        <f t="shared" si="12"/>
        <v>7.0240340999999988</v>
      </c>
    </row>
    <row r="8" spans="1:71" x14ac:dyDescent="0.25">
      <c r="G8">
        <v>5</v>
      </c>
      <c r="H8" t="str">
        <f>+'Groups Stage'!O12</f>
        <v>Canada</v>
      </c>
      <c r="I8" s="6">
        <f t="shared" si="0"/>
        <v>0</v>
      </c>
      <c r="J8" s="6">
        <f t="shared" si="1"/>
        <v>0</v>
      </c>
      <c r="K8" s="6">
        <f t="shared" si="2"/>
        <v>0</v>
      </c>
      <c r="L8" s="6">
        <f t="shared" si="3"/>
        <v>0</v>
      </c>
      <c r="M8" s="6">
        <f t="shared" si="4"/>
        <v>0</v>
      </c>
      <c r="N8" s="6">
        <f t="shared" si="5"/>
        <v>1</v>
      </c>
      <c r="O8" s="6">
        <f t="shared" si="6"/>
        <v>1</v>
      </c>
      <c r="P8" s="6">
        <f t="shared" si="13"/>
        <v>2</v>
      </c>
      <c r="Q8" s="6">
        <f>+COUNTIFS('Inputs summary'!I:I,$H8)</f>
        <v>2</v>
      </c>
      <c r="R8" s="6">
        <f>+COUNTIFS('Inputs summary'!J:K,$H8)</f>
        <v>2</v>
      </c>
      <c r="S8" s="6">
        <f>+COUNTIFS('Inputs summary'!L:L,$H8)</f>
        <v>1</v>
      </c>
      <c r="T8" s="6">
        <f t="shared" si="14"/>
        <v>2</v>
      </c>
      <c r="U8" s="6">
        <f>+SUMIF('Inputs summary'!B:B,H8,'Inputs summary'!C:C)+SUMIF('Inputs summary'!E:E,H8,'Inputs summary'!D:D)</f>
        <v>7</v>
      </c>
      <c r="V8" s="6">
        <f>+SUMIF('Inputs summary'!B:B,H8,'Inputs summary'!D:D)+SUMIF('Inputs summary'!E:E,H8,'Inputs summary'!C:C)</f>
        <v>5</v>
      </c>
      <c r="W8" s="159">
        <f t="shared" si="15"/>
        <v>208.02070000033333</v>
      </c>
      <c r="X8" s="173">
        <f t="shared" si="16"/>
        <v>11</v>
      </c>
      <c r="Y8" s="167">
        <f t="shared" si="7"/>
        <v>3</v>
      </c>
      <c r="Z8" s="173">
        <f t="shared" si="17"/>
        <v>208.02070033366667</v>
      </c>
      <c r="AA8" s="173">
        <f>+_xlfn.XLOOKUP(H8,'Ranking FIFA'!B:B,'Ranking FIFA'!A:A,"--",0)</f>
        <v>30</v>
      </c>
      <c r="AG8" t="str">
        <f>+'Quarter, Semis &amp; Final'!H5</f>
        <v>Marruecos</v>
      </c>
      <c r="AH8" t="str">
        <f>+'Round of 32 &amp; Round of 16'!P21</f>
        <v>Marruecos</v>
      </c>
      <c r="AI8" t="str">
        <f>+'Round of 32 &amp; Round of 16'!B13</f>
        <v>Japon</v>
      </c>
      <c r="AP8" s="457">
        <f>+_xlfn.XLOOKUP(AQ8,'Ranking FIFA'!B:B,'Ranking FIFA'!A:A,"--",0)</f>
        <v>5</v>
      </c>
      <c r="AQ8" t="s">
        <v>52</v>
      </c>
      <c r="AR8" s="6">
        <v>1</v>
      </c>
      <c r="AS8" s="6">
        <v>1</v>
      </c>
      <c r="AT8" s="169">
        <f t="shared" si="8"/>
        <v>1</v>
      </c>
      <c r="AU8" s="166">
        <f t="shared" si="9"/>
        <v>108.040800002</v>
      </c>
      <c r="BH8">
        <v>5</v>
      </c>
      <c r="BI8" t="str">
        <f t="shared" si="11"/>
        <v>Canada</v>
      </c>
      <c r="BJ8" s="6">
        <f>+COUNTIFS('Inputs summary'!I$2:I$106,BI8)</f>
        <v>2</v>
      </c>
      <c r="BK8" s="6">
        <f>+COUNTIFS('Inputs summary'!J$2:K$106,BI8)</f>
        <v>1</v>
      </c>
      <c r="BL8" s="6">
        <f>+COUNTIFS('Inputs summary'!L$2:L$106,BI8)</f>
        <v>0</v>
      </c>
      <c r="BM8" s="6">
        <f t="shared" si="19"/>
        <v>3</v>
      </c>
      <c r="BN8" s="6">
        <f>+SUMIF('Inputs summary'!$B$1:$B$106,$BI8,'Inputs summary'!$C$1:$C$106)+SUMIF('Inputs summary'!$E$1:$E$106,$BI8,'Inputs summary'!$D$1:$D$106)</f>
        <v>4</v>
      </c>
      <c r="BO8" s="6">
        <f>+SUMIF('Inputs summary'!$B$1:$B$106,$BI8,'Inputs summary'!$D$1:$D$106)+SUMIF('Inputs summary'!$E$1:$E$106,$BI8,'Inputs summary'!$C$1:$C$106)</f>
        <v>1</v>
      </c>
      <c r="BP8" s="166">
        <f t="shared" si="12"/>
        <v>8.0340329999999991</v>
      </c>
    </row>
    <row r="9" spans="1:71" x14ac:dyDescent="0.25">
      <c r="G9">
        <v>6</v>
      </c>
      <c r="H9" t="str">
        <f>+'Groups Stage'!O13</f>
        <v>Bosnia</v>
      </c>
      <c r="I9" s="6">
        <f t="shared" si="0"/>
        <v>0</v>
      </c>
      <c r="J9" s="6">
        <f t="shared" si="1"/>
        <v>0</v>
      </c>
      <c r="K9" s="6">
        <f t="shared" si="2"/>
        <v>0</v>
      </c>
      <c r="L9" s="6">
        <f t="shared" si="3"/>
        <v>0</v>
      </c>
      <c r="M9" s="6">
        <f t="shared" si="4"/>
        <v>0</v>
      </c>
      <c r="N9" s="6">
        <f t="shared" si="5"/>
        <v>0</v>
      </c>
      <c r="O9" s="6">
        <f t="shared" si="6"/>
        <v>0</v>
      </c>
      <c r="P9" s="6">
        <f t="shared" si="13"/>
        <v>0</v>
      </c>
      <c r="Q9" s="6">
        <f>+COUNTIFS('Inputs summary'!I:I,$H9)</f>
        <v>1</v>
      </c>
      <c r="R9" s="6">
        <f>+COUNTIFS('Inputs summary'!J:K,$H9)</f>
        <v>0</v>
      </c>
      <c r="S9" s="6">
        <f>+COUNTIFS('Inputs summary'!L:L,$H9)</f>
        <v>2</v>
      </c>
      <c r="T9" s="6">
        <f t="shared" si="14"/>
        <v>-1</v>
      </c>
      <c r="U9" s="6">
        <f>+SUMIF('Inputs summary'!B:B,H9,'Inputs summary'!C:C)+SUMIF('Inputs summary'!E:E,H9,'Inputs summary'!D:D)</f>
        <v>2</v>
      </c>
      <c r="V9" s="6">
        <f>+SUMIF('Inputs summary'!B:B,H9,'Inputs summary'!D:D)+SUMIF('Inputs summary'!E:E,H9,'Inputs summary'!C:C)</f>
        <v>3</v>
      </c>
      <c r="W9" s="159">
        <f t="shared" si="15"/>
        <v>2.9902000001538465</v>
      </c>
      <c r="X9" s="173">
        <f t="shared" si="16"/>
        <v>0</v>
      </c>
      <c r="Y9" s="167">
        <f t="shared" si="7"/>
        <v>3</v>
      </c>
      <c r="Z9" s="173">
        <f t="shared" si="17"/>
        <v>2.9902003334871798</v>
      </c>
      <c r="AA9" s="173">
        <f>+_xlfn.XLOOKUP(H9,'Ranking FIFA'!B:B,'Ranking FIFA'!A:A,"--",0)</f>
        <v>65</v>
      </c>
      <c r="AG9" t="str">
        <f>+'Quarter, Semis &amp; Final'!K5</f>
        <v>Ghana</v>
      </c>
      <c r="AH9" t="str">
        <f>+'Round of 32 &amp; Round of 16'!S21</f>
        <v>Ecuador</v>
      </c>
      <c r="AI9" t="str">
        <f>+'Round of 32 &amp; Round of 16'!E13</f>
        <v>Brasil</v>
      </c>
      <c r="AP9" s="457">
        <f>+_xlfn.XLOOKUP(AQ9,'Ranking FIFA'!B:B,'Ranking FIFA'!A:A,"--",0)</f>
        <v>6</v>
      </c>
      <c r="AQ9" t="s">
        <v>53</v>
      </c>
      <c r="AR9" s="6">
        <v>1</v>
      </c>
      <c r="AS9" s="6">
        <v>1</v>
      </c>
      <c r="AT9" s="169">
        <f t="shared" si="8"/>
        <v>201111</v>
      </c>
      <c r="AU9" s="166">
        <f t="shared" si="9"/>
        <v>616.06140000166658</v>
      </c>
      <c r="AW9" t="s">
        <v>850</v>
      </c>
      <c r="AX9" t="str">
        <f>+_xlfn.XLOOKUP(AX10,AU:AU,AQ:AQ,"-",0)</f>
        <v>Paises Bajos</v>
      </c>
      <c r="BH9">
        <v>6</v>
      </c>
      <c r="BI9" t="str">
        <f t="shared" si="11"/>
        <v>Bosnia</v>
      </c>
      <c r="BJ9" s="6">
        <f>+COUNTIFS('Inputs summary'!I$2:I$106,BI9)</f>
        <v>1</v>
      </c>
      <c r="BK9" s="6">
        <f>+COUNTIFS('Inputs summary'!J$2:K$106,BI9)</f>
        <v>0</v>
      </c>
      <c r="BL9" s="6">
        <f>+COUNTIFS('Inputs summary'!L$2:L$106,BI9)</f>
        <v>2</v>
      </c>
      <c r="BM9" s="6">
        <f t="shared" si="19"/>
        <v>-1</v>
      </c>
      <c r="BN9" s="6">
        <f>+SUMIF('Inputs summary'!$B$1:$B$106,$BI9,'Inputs summary'!$C$1:$C$106)+SUMIF('Inputs summary'!$E$1:$E$106,$BI9,'Inputs summary'!$D$1:$D$106)</f>
        <v>2</v>
      </c>
      <c r="BO9" s="6">
        <f>+SUMIF('Inputs summary'!$B$1:$B$106,$BI9,'Inputs summary'!$D$1:$D$106)+SUMIF('Inputs summary'!$E$1:$E$106,$BI9,'Inputs summary'!$C$1:$C$106)</f>
        <v>3</v>
      </c>
      <c r="BP9" s="166">
        <f t="shared" si="12"/>
        <v>2.9920365000000002</v>
      </c>
    </row>
    <row r="10" spans="1:71" x14ac:dyDescent="0.25">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0</v>
      </c>
      <c r="S10" s="6">
        <f>+COUNTIFS('Inputs summary'!L:L,$H10)</f>
        <v>3</v>
      </c>
      <c r="T10" s="6">
        <f t="shared" si="14"/>
        <v>-6</v>
      </c>
      <c r="U10" s="6">
        <f>+SUMIF('Inputs summary'!B:B,H10,'Inputs summary'!C:C)+SUMIF('Inputs summary'!E:E,H10,'Inputs summary'!D:D)</f>
        <v>1</v>
      </c>
      <c r="V10" s="6">
        <f>+SUMIF('Inputs summary'!B:B,H10,'Inputs summary'!D:D)+SUMIF('Inputs summary'!E:E,H10,'Inputs summary'!C:C)</f>
        <v>7</v>
      </c>
      <c r="W10" s="159">
        <f t="shared" si="15"/>
        <v>-5.9899999818181816E-2</v>
      </c>
      <c r="X10" s="173">
        <f t="shared" si="16"/>
        <v>0</v>
      </c>
      <c r="Y10" s="167">
        <f t="shared" si="7"/>
        <v>4</v>
      </c>
      <c r="Z10" s="173">
        <f t="shared" si="17"/>
        <v>-5.9899749818181816E-2</v>
      </c>
      <c r="AA10" s="173">
        <f>+_xlfn.XLOOKUP(H10,'Ranking FIFA'!B:B,'Ranking FIFA'!A:A,"--",0)</f>
        <v>55</v>
      </c>
      <c r="AG10" t="str">
        <f>+'Quarter, Semis &amp; Final'!H9</f>
        <v>Argentina</v>
      </c>
      <c r="AH10" t="str">
        <f>+'Round of 32 &amp; Round of 16'!P29</f>
        <v>Mexico</v>
      </c>
      <c r="AI10" t="str">
        <f>+'Round of 32 &amp; Round of 16'!B17</f>
        <v>Marruecos</v>
      </c>
      <c r="AP10" s="457">
        <f>+_xlfn.XLOOKUP(AQ10,'Ranking FIFA'!B:B,'Ranking FIFA'!A:A,"--",0)</f>
        <v>7</v>
      </c>
      <c r="AQ10" t="s">
        <v>54</v>
      </c>
      <c r="AR10" s="6">
        <v>1</v>
      </c>
      <c r="AS10" s="6">
        <v>1</v>
      </c>
      <c r="AT10" s="169">
        <f t="shared" si="8"/>
        <v>1</v>
      </c>
      <c r="AU10" s="166">
        <f t="shared" si="9"/>
        <v>106.00070000142857</v>
      </c>
      <c r="AW10" t="s">
        <v>291</v>
      </c>
      <c r="AX10" s="174">
        <f>+_xlfn.MINIFS(AU:AU,AS:AS,1)</f>
        <v>106.00070000142857</v>
      </c>
      <c r="BH10">
        <v>7</v>
      </c>
      <c r="BI10" t="str">
        <f t="shared" si="11"/>
        <v>Qatar</v>
      </c>
      <c r="BJ10" s="6">
        <f>+COUNTIFS('Inputs summary'!I$2:I$106,BI10)</f>
        <v>0</v>
      </c>
      <c r="BK10" s="6">
        <f>+COUNTIFS('Inputs summary'!J$2:K$106,BI10)</f>
        <v>0</v>
      </c>
      <c r="BL10" s="6">
        <f>+COUNTIFS('Inputs summary'!L$2:L$106,BI10)</f>
        <v>3</v>
      </c>
      <c r="BM10" s="6">
        <f t="shared" si="19"/>
        <v>-6</v>
      </c>
      <c r="BN10" s="6">
        <f>+SUMIF('Inputs summary'!$B$1:$B$106,$BI10,'Inputs summary'!$C$1:$C$106)+SUMIF('Inputs summary'!$E$1:$E$106,$BI10,'Inputs summary'!$D$1:$D$106)</f>
        <v>1</v>
      </c>
      <c r="BO10" s="6">
        <f>+SUMIF('Inputs summary'!$B$1:$B$106,$BI10,'Inputs summary'!$D$1:$D$106)+SUMIF('Inputs summary'!$E$1:$E$106,$BI10,'Inputs summary'!$C$1:$C$106)</f>
        <v>7</v>
      </c>
      <c r="BP10" s="166">
        <f t="shared" si="12"/>
        <v>-5.89545E-2</v>
      </c>
    </row>
    <row r="11" spans="1:71" x14ac:dyDescent="0.25">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3</v>
      </c>
      <c r="R11" s="6">
        <f>+COUNTIFS('Inputs summary'!J:K,$H11)</f>
        <v>1</v>
      </c>
      <c r="S11" s="6">
        <f>+COUNTIFS('Inputs summary'!L:L,$H11)</f>
        <v>1</v>
      </c>
      <c r="T11" s="6">
        <f t="shared" si="14"/>
        <v>3</v>
      </c>
      <c r="U11" s="6">
        <f>+SUMIF('Inputs summary'!B:B,H11,'Inputs summary'!C:C)+SUMIF('Inputs summary'!E:E,H11,'Inputs summary'!D:D)</f>
        <v>7</v>
      </c>
      <c r="V11" s="6">
        <f>+SUMIF('Inputs summary'!B:B,H11,'Inputs summary'!D:D)+SUMIF('Inputs summary'!E:E,H11,'Inputs summary'!C:C)</f>
        <v>4</v>
      </c>
      <c r="W11" s="159">
        <f t="shared" si="15"/>
        <v>210.03070000052631</v>
      </c>
      <c r="X11" s="173">
        <f t="shared" si="16"/>
        <v>11</v>
      </c>
      <c r="Y11" s="167">
        <f t="shared" si="7"/>
        <v>2</v>
      </c>
      <c r="Z11" s="173">
        <f t="shared" si="17"/>
        <v>210.03070050052631</v>
      </c>
      <c r="AA11" s="173">
        <f>+_xlfn.XLOOKUP(H11,'Ranking FIFA'!B:B,'Ranking FIFA'!A:A,"--",0)</f>
        <v>19</v>
      </c>
      <c r="AG11" t="str">
        <f>+'Quarter, Semis &amp; Final'!K9</f>
        <v>Croacia</v>
      </c>
      <c r="AH11" t="str">
        <f>+'Round of 32 &amp; Round of 16'!S29</f>
        <v>Ghana</v>
      </c>
      <c r="AI11" t="str">
        <f>+'Round of 32 &amp; Round of 16'!E17</f>
        <v>Paises Bajos</v>
      </c>
      <c r="AP11" s="457">
        <f>+_xlfn.XLOOKUP(AQ11,'Ranking FIFA'!B:B,'Ranking FIFA'!A:A,"--",0)</f>
        <v>9</v>
      </c>
      <c r="AQ11" t="s">
        <v>55</v>
      </c>
      <c r="AR11" s="6">
        <v>1</v>
      </c>
      <c r="AS11" s="6">
        <v>2</v>
      </c>
      <c r="AT11" s="169">
        <f t="shared" si="8"/>
        <v>11</v>
      </c>
      <c r="AU11" s="166">
        <f t="shared" si="9"/>
        <v>211.04070000111111</v>
      </c>
      <c r="AW11" t="s">
        <v>851</v>
      </c>
      <c r="AX11" s="174">
        <f>+_xlfn.XLOOKUP(AX10,AU:AU,AT:AT,"-",0)</f>
        <v>1</v>
      </c>
      <c r="AY11" s="175" t="str">
        <f>+IF(AX11&gt;=AY2,"-",AX9)</f>
        <v>Paises Bajos</v>
      </c>
      <c r="BH11">
        <v>8</v>
      </c>
      <c r="BI11" t="str">
        <f t="shared" si="11"/>
        <v>Suiza</v>
      </c>
      <c r="BJ11" s="6">
        <f>+COUNTIFS('Inputs summary'!I$2:I$106,BI11)</f>
        <v>2</v>
      </c>
      <c r="BK11" s="6">
        <f>+COUNTIFS('Inputs summary'!J$2:K$106,BI11)</f>
        <v>1</v>
      </c>
      <c r="BL11" s="6">
        <f>+COUNTIFS('Inputs summary'!L$2:L$106,BI11)</f>
        <v>0</v>
      </c>
      <c r="BM11" s="6">
        <f t="shared" si="19"/>
        <v>4</v>
      </c>
      <c r="BN11" s="6">
        <f>+SUMIF('Inputs summary'!$B$1:$B$106,$BI11,'Inputs summary'!$C$1:$C$106)+SUMIF('Inputs summary'!$E$1:$E$106,$BI11,'Inputs summary'!$D$1:$D$106)</f>
        <v>6</v>
      </c>
      <c r="BO11" s="6">
        <f>+SUMIF('Inputs summary'!$B$1:$B$106,$BI11,'Inputs summary'!$D$1:$D$106)+SUMIF('Inputs summary'!$E$1:$E$106,$BI11,'Inputs summary'!$C$1:$C$106)</f>
        <v>2</v>
      </c>
      <c r="BP11" s="166">
        <f t="shared" si="12"/>
        <v>8.0460218999999995</v>
      </c>
    </row>
    <row r="12" spans="1:71" x14ac:dyDescent="0.25">
      <c r="G12">
        <v>9</v>
      </c>
      <c r="H12" t="str">
        <f>+'Groups Stage'!O21</f>
        <v>Brasil</v>
      </c>
      <c r="I12" s="6">
        <f t="shared" si="0"/>
        <v>0</v>
      </c>
      <c r="J12" s="6">
        <f t="shared" si="1"/>
        <v>2</v>
      </c>
      <c r="K12" s="6">
        <f t="shared" si="2"/>
        <v>0</v>
      </c>
      <c r="L12" s="6">
        <f t="shared" si="3"/>
        <v>1</v>
      </c>
      <c r="M12" s="6">
        <f t="shared" si="4"/>
        <v>1</v>
      </c>
      <c r="N12" s="6">
        <f t="shared" si="5"/>
        <v>1</v>
      </c>
      <c r="O12" s="6">
        <f t="shared" si="6"/>
        <v>1</v>
      </c>
      <c r="P12" s="6">
        <f t="shared" si="13"/>
        <v>6</v>
      </c>
      <c r="Q12" s="6">
        <f>+COUNTIFS('Inputs summary'!I:I,$H12)</f>
        <v>5</v>
      </c>
      <c r="R12" s="6">
        <f>+COUNTIFS('Inputs summary'!J:K,$H12)</f>
        <v>1</v>
      </c>
      <c r="S12" s="6">
        <f>+COUNTIFS('Inputs summary'!L:L,$H12)</f>
        <v>2</v>
      </c>
      <c r="T12" s="6">
        <f t="shared" si="14"/>
        <v>6</v>
      </c>
      <c r="U12" s="6">
        <f>+SUMIF('Inputs summary'!B:B,H12,'Inputs summary'!C:C)+SUMIF('Inputs summary'!E:E,H12,'Inputs summary'!D:D)</f>
        <v>14</v>
      </c>
      <c r="V12" s="6">
        <f>+SUMIF('Inputs summary'!B:B,H12,'Inputs summary'!D:D)+SUMIF('Inputs summary'!E:E,H12,'Inputs summary'!C:C)</f>
        <v>8</v>
      </c>
      <c r="W12" s="159">
        <f t="shared" si="15"/>
        <v>616.06140000166658</v>
      </c>
      <c r="X12" s="173">
        <f t="shared" si="16"/>
        <v>201111</v>
      </c>
      <c r="Y12" s="167">
        <f t="shared" si="7"/>
        <v>1</v>
      </c>
      <c r="Z12" s="173">
        <f t="shared" si="17"/>
        <v>616.06140100166658</v>
      </c>
      <c r="AA12" s="173">
        <f>+_xlfn.XLOOKUP(H12,'Ranking FIFA'!B:B,'Ranking FIFA'!A:A,"--",0)</f>
        <v>6</v>
      </c>
      <c r="AH12" t="str">
        <f>+'Round of 32 &amp; Round of 16'!V5</f>
        <v>Colombia</v>
      </c>
      <c r="AI12" t="str">
        <f>+'Round of 32 &amp; Round of 16'!B21</f>
        <v>Francia</v>
      </c>
      <c r="AP12" s="457">
        <f>+_xlfn.XLOOKUP(AQ12,'Ranking FIFA'!B:B,'Ranking FIFA'!A:A,"--",0)</f>
        <v>10</v>
      </c>
      <c r="AQ12" t="s">
        <v>56</v>
      </c>
      <c r="AR12" s="6">
        <v>1</v>
      </c>
      <c r="AS12" s="6">
        <v>1</v>
      </c>
      <c r="AT12" s="169">
        <f t="shared" si="8"/>
        <v>111</v>
      </c>
      <c r="AU12" s="166">
        <f t="shared" si="9"/>
        <v>311.06120000099997</v>
      </c>
      <c r="BH12">
        <v>9</v>
      </c>
      <c r="BI12" t="str">
        <f t="shared" si="11"/>
        <v>Brasil</v>
      </c>
      <c r="BJ12" s="6">
        <f>+COUNTIFS('Inputs summary'!I$2:I$106,BI12)</f>
        <v>2</v>
      </c>
      <c r="BK12" s="6">
        <f>+COUNTIFS('Inputs summary'!J$2:K$106,BI12)</f>
        <v>0</v>
      </c>
      <c r="BL12" s="6">
        <f>+COUNTIFS('Inputs summary'!L$2:L$106,BI12)</f>
        <v>1</v>
      </c>
      <c r="BM12" s="6">
        <f t="shared" si="19"/>
        <v>5</v>
      </c>
      <c r="BN12" s="6">
        <f>+SUMIF('Inputs summary'!$B$1:$B$106,$BI12,'Inputs summary'!$C$1:$C$106)+SUMIF('Inputs summary'!$E$1:$E$106,$BI12,'Inputs summary'!$D$1:$D$106)</f>
        <v>6</v>
      </c>
      <c r="BO12" s="6">
        <f>+SUMIF('Inputs summary'!$B$1:$B$106,$BI12,'Inputs summary'!$D$1:$D$106)+SUMIF('Inputs summary'!$E$1:$E$106,$BI12,'Inputs summary'!$C$1:$C$106)</f>
        <v>1</v>
      </c>
      <c r="BP12" s="166">
        <f t="shared" si="12"/>
        <v>6.0560105999999996</v>
      </c>
    </row>
    <row r="13" spans="1:71" x14ac:dyDescent="0.25">
      <c r="G13">
        <v>10</v>
      </c>
      <c r="H13" t="str">
        <f>+'Groups Stage'!O22</f>
        <v>Marruecos</v>
      </c>
      <c r="I13" s="6">
        <f t="shared" si="0"/>
        <v>0</v>
      </c>
      <c r="J13" s="6">
        <f t="shared" si="1"/>
        <v>0</v>
      </c>
      <c r="K13" s="6">
        <f t="shared" si="2"/>
        <v>1</v>
      </c>
      <c r="L13" s="6">
        <f t="shared" si="3"/>
        <v>1</v>
      </c>
      <c r="M13" s="6">
        <f t="shared" si="4"/>
        <v>1</v>
      </c>
      <c r="N13" s="6">
        <f t="shared" si="5"/>
        <v>1</v>
      </c>
      <c r="O13" s="6">
        <f t="shared" si="6"/>
        <v>1</v>
      </c>
      <c r="P13" s="6">
        <f t="shared" si="13"/>
        <v>5</v>
      </c>
      <c r="Q13" s="6">
        <f>+COUNTIFS('Inputs summary'!I:I,$H13)</f>
        <v>7</v>
      </c>
      <c r="R13" s="6">
        <f>+COUNTIFS('Inputs summary'!J:K,$H13)</f>
        <v>1</v>
      </c>
      <c r="S13" s="6">
        <f>+COUNTIFS('Inputs summary'!L:L,$H13)</f>
        <v>0</v>
      </c>
      <c r="T13" s="6">
        <f t="shared" si="14"/>
        <v>10</v>
      </c>
      <c r="U13" s="6">
        <f>+SUMIF('Inputs summary'!B:B,H13,'Inputs summary'!C:C)+SUMIF('Inputs summary'!E:E,H13,'Inputs summary'!D:D)</f>
        <v>16</v>
      </c>
      <c r="V13" s="6">
        <f>+SUMIF('Inputs summary'!B:B,H13,'Inputs summary'!D:D)+SUMIF('Inputs summary'!E:E,H13,'Inputs summary'!C:C)</f>
        <v>6</v>
      </c>
      <c r="W13" s="159">
        <f t="shared" si="15"/>
        <v>522.10160000125006</v>
      </c>
      <c r="X13" s="173">
        <f t="shared" si="16"/>
        <v>11111</v>
      </c>
      <c r="Y13" s="167">
        <f t="shared" si="7"/>
        <v>2</v>
      </c>
      <c r="Z13" s="173">
        <f t="shared" si="17"/>
        <v>522.10160050125012</v>
      </c>
      <c r="AA13" s="173">
        <f>+_xlfn.XLOOKUP(H13,'Ranking FIFA'!B:B,'Ranking FIFA'!A:A,"--",0)</f>
        <v>8</v>
      </c>
      <c r="AH13" t="str">
        <f>+'Round of 32 &amp; Round of 16'!Y5</f>
        <v>España</v>
      </c>
      <c r="AI13" t="str">
        <f>+'Round of 32 &amp; Round of 16'!E21</f>
        <v>Suecia</v>
      </c>
      <c r="AP13" s="457">
        <f>+_xlfn.XLOOKUP(AQ13,'Ranking FIFA'!B:B,'Ranking FIFA'!A:A,"--",0)</f>
        <v>11</v>
      </c>
      <c r="AQ13" t="s">
        <v>57</v>
      </c>
      <c r="AR13" s="6">
        <v>1</v>
      </c>
      <c r="AS13" s="6">
        <v>2</v>
      </c>
      <c r="AT13" s="169">
        <f t="shared" si="8"/>
        <v>111</v>
      </c>
      <c r="AU13" s="166">
        <f t="shared" si="9"/>
        <v>307.00100000090907</v>
      </c>
      <c r="AW13" t="s">
        <v>852</v>
      </c>
      <c r="AX13" t="str">
        <f>+_xlfn.XLOOKUP(AX14,AU:AU,AQ:AQ,"-",0)</f>
        <v>Uruguay</v>
      </c>
      <c r="BH13">
        <v>10</v>
      </c>
      <c r="BI13" t="str">
        <f t="shared" si="11"/>
        <v>Marruecos</v>
      </c>
      <c r="BJ13" s="6">
        <f>+COUNTIFS('Inputs summary'!I$2:I$106,BI13)</f>
        <v>3</v>
      </c>
      <c r="BK13" s="6">
        <f>+COUNTIFS('Inputs summary'!J$2:K$106,BI13)</f>
        <v>0</v>
      </c>
      <c r="BL13" s="6">
        <f>+COUNTIFS('Inputs summary'!L$2:L$106,BI13)</f>
        <v>0</v>
      </c>
      <c r="BM13" s="6">
        <f t="shared" si="19"/>
        <v>5</v>
      </c>
      <c r="BN13" s="6">
        <f>+SUMIF('Inputs summary'!$B$1:$B$106,$BI13,'Inputs summary'!$C$1:$C$106)+SUMIF('Inputs summary'!$E$1:$E$106,$BI13,'Inputs summary'!$D$1:$D$106)</f>
        <v>6</v>
      </c>
      <c r="BO13" s="6">
        <f>+SUMIF('Inputs summary'!$B$1:$B$106,$BI13,'Inputs summary'!$D$1:$D$106)+SUMIF('Inputs summary'!$E$1:$E$106,$BI13,'Inputs summary'!$C$1:$C$106)</f>
        <v>1</v>
      </c>
      <c r="BP13" s="166">
        <f t="shared" si="12"/>
        <v>9.0560208000000006</v>
      </c>
    </row>
    <row r="14" spans="1:71" x14ac:dyDescent="0.25">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-10</v>
      </c>
      <c r="U14" s="6">
        <f>+SUMIF('Inputs summary'!B:B,H14,'Inputs summary'!C:C)+SUMIF('Inputs summary'!E:E,H14,'Inputs summary'!D:D)</f>
        <v>0</v>
      </c>
      <c r="V14" s="6">
        <f>+SUMIF('Inputs summary'!B:B,H14,'Inputs summary'!D:D)+SUMIF('Inputs summary'!E:E,H14,'Inputs summary'!C:C)</f>
        <v>10</v>
      </c>
      <c r="W14" s="159">
        <f t="shared" si="15"/>
        <v>-9.9999999879518076E-2</v>
      </c>
      <c r="X14" s="173">
        <f t="shared" si="16"/>
        <v>0</v>
      </c>
      <c r="Y14" s="167">
        <f t="shared" si="7"/>
        <v>4</v>
      </c>
      <c r="Z14" s="173">
        <f t="shared" si="17"/>
        <v>-9.9999749879518082E-2</v>
      </c>
      <c r="AA14" s="173">
        <f>+_xlfn.XLOOKUP(H14,'Ranking FIFA'!B:B,'Ranking FIFA'!A:A,"--",0)</f>
        <v>83</v>
      </c>
      <c r="AH14" t="str">
        <f>+'Round of 32 &amp; Round of 16'!V13</f>
        <v>Paraguay</v>
      </c>
      <c r="AI14" t="str">
        <f>+'Round of 32 &amp; Round of 16'!B25</f>
        <v>Ecuador</v>
      </c>
      <c r="AP14" s="457">
        <f>+_xlfn.XLOOKUP(AQ14,'Ranking FIFA'!B:B,'Ranking FIFA'!A:A,"--",0)</f>
        <v>17</v>
      </c>
      <c r="AQ14" t="s">
        <v>58</v>
      </c>
      <c r="AR14" s="6">
        <v>1</v>
      </c>
      <c r="AS14" s="6">
        <v>2</v>
      </c>
      <c r="AT14" s="169">
        <f t="shared" si="8"/>
        <v>1</v>
      </c>
      <c r="AU14" s="166">
        <f t="shared" si="9"/>
        <v>106.01080000058823</v>
      </c>
      <c r="AW14" t="s">
        <v>291</v>
      </c>
      <c r="AX14" s="174">
        <f>+_xlfn.MINIFS(AU:AU,AS:AS,2)</f>
        <v>106.01080000058823</v>
      </c>
      <c r="BH14">
        <v>11</v>
      </c>
      <c r="BI14" t="str">
        <f t="shared" si="11"/>
        <v>Haiti</v>
      </c>
      <c r="BJ14" s="6">
        <f>+COUNTIFS('Inputs summary'!I$2:I$106,BI14)</f>
        <v>0</v>
      </c>
      <c r="BK14" s="6">
        <f>+COUNTIFS('Inputs summary'!J$2:K$106,BI14)</f>
        <v>0</v>
      </c>
      <c r="BL14" s="6">
        <f>+COUNTIFS('Inputs summary'!L$2:L$106,BI14)</f>
        <v>3</v>
      </c>
      <c r="BM14" s="6">
        <f t="shared" si="19"/>
        <v>-10</v>
      </c>
      <c r="BN14" s="6">
        <f>+SUMIF('Inputs summary'!$B$1:$B$106,$BI14,'Inputs summary'!$C$1:$C$106)+SUMIF('Inputs summary'!$E$1:$E$106,$BI14,'Inputs summary'!$D$1:$D$106)</f>
        <v>0</v>
      </c>
      <c r="BO14" s="6">
        <f>+SUMIF('Inputs summary'!$B$1:$B$106,$BI14,'Inputs summary'!$D$1:$D$106)+SUMIF('Inputs summary'!$E$1:$E$106,$BI14,'Inputs summary'!$C$1:$C$106)</f>
        <v>10</v>
      </c>
      <c r="BP14" s="166">
        <f t="shared" si="12"/>
        <v>-9.9951700000000004E-2</v>
      </c>
    </row>
    <row r="15" spans="1:71" x14ac:dyDescent="0.25">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1</v>
      </c>
      <c r="R15" s="6">
        <f>+COUNTIFS('Inputs summary'!J:K,$H15)</f>
        <v>1</v>
      </c>
      <c r="S15" s="6">
        <f>+COUNTIFS('Inputs summary'!L:L,$H15)</f>
        <v>2</v>
      </c>
      <c r="T15" s="6">
        <f t="shared" si="14"/>
        <v>0</v>
      </c>
      <c r="U15" s="6">
        <f>+SUMIF('Inputs summary'!B:B,H15,'Inputs summary'!C:C)+SUMIF('Inputs summary'!E:E,H15,'Inputs summary'!D:D)</f>
        <v>5</v>
      </c>
      <c r="V15" s="6">
        <f>+SUMIF('Inputs summary'!B:B,H15,'Inputs summary'!D:D)+SUMIF('Inputs summary'!E:E,H15,'Inputs summary'!C:C)</f>
        <v>5</v>
      </c>
      <c r="W15" s="159">
        <f t="shared" si="15"/>
        <v>104.00050000023256</v>
      </c>
      <c r="X15" s="173">
        <f t="shared" si="16"/>
        <v>1</v>
      </c>
      <c r="Y15" s="167">
        <f t="shared" si="7"/>
        <v>3</v>
      </c>
      <c r="Z15" s="173">
        <f t="shared" si="17"/>
        <v>104.0005003335659</v>
      </c>
      <c r="AA15" s="173">
        <f>+_xlfn.XLOOKUP(H15,'Ranking FIFA'!B:B,'Ranking FIFA'!A:A,"--",0)</f>
        <v>43</v>
      </c>
      <c r="AH15" t="str">
        <f>+'Round of 32 &amp; Round of 16'!Y13</f>
        <v>Belgica</v>
      </c>
      <c r="AI15" t="str">
        <f>+'Round of 32 &amp; Round of 16'!E25</f>
        <v>Noruega</v>
      </c>
      <c r="AP15" s="457">
        <f>+_xlfn.XLOOKUP(AQ15,'Ranking FIFA'!B:B,'Ranking FIFA'!A:A,"--",0)</f>
        <v>8</v>
      </c>
      <c r="AQ15" t="s">
        <v>59</v>
      </c>
      <c r="AR15" s="6">
        <v>2</v>
      </c>
      <c r="AT15" s="169">
        <f t="shared" si="8"/>
        <v>11111</v>
      </c>
      <c r="AU15" s="166">
        <f t="shared" si="9"/>
        <v>522.10160000125006</v>
      </c>
      <c r="AW15" t="s">
        <v>851</v>
      </c>
      <c r="AX15" s="174">
        <f>+_xlfn.XLOOKUP(AX14,AU:AU,AT:AT,"-",0)</f>
        <v>1</v>
      </c>
      <c r="AY15" s="175" t="str">
        <f>+IF(AX15&gt;=AY2,"-",AX13)</f>
        <v>Uruguay</v>
      </c>
      <c r="BH15">
        <v>12</v>
      </c>
      <c r="BI15" t="str">
        <f t="shared" si="11"/>
        <v>Escocia</v>
      </c>
      <c r="BJ15" s="6">
        <f>+COUNTIFS('Inputs summary'!I$2:I$106,BI15)</f>
        <v>1</v>
      </c>
      <c r="BK15" s="6">
        <f>+COUNTIFS('Inputs summary'!J$2:K$106,BI15)</f>
        <v>0</v>
      </c>
      <c r="BL15" s="6">
        <f>+COUNTIFS('Inputs summary'!L$2:L$106,BI15)</f>
        <v>2</v>
      </c>
      <c r="BM15" s="6">
        <f t="shared" si="19"/>
        <v>0</v>
      </c>
      <c r="BN15" s="6">
        <f>+SUMIF('Inputs summary'!$B$1:$B$106,$BI15,'Inputs summary'!$C$1:$C$106)+SUMIF('Inputs summary'!$E$1:$E$106,$BI15,'Inputs summary'!$D$1:$D$106)</f>
        <v>4</v>
      </c>
      <c r="BO15" s="6">
        <f>+SUMIF('Inputs summary'!$B$1:$B$106,$BI15,'Inputs summary'!$D$1:$D$106)+SUMIF('Inputs summary'!$E$1:$E$106,$BI15,'Inputs summary'!$C$1:$C$106)</f>
        <v>4</v>
      </c>
      <c r="BP15" s="166">
        <f t="shared" si="12"/>
        <v>3.0040343000000003</v>
      </c>
    </row>
    <row r="16" spans="1:71" x14ac:dyDescent="0.25">
      <c r="G16">
        <v>13</v>
      </c>
      <c r="H16" t="str">
        <f>+'Groups Stage'!O30</f>
        <v>Estados Unidos</v>
      </c>
      <c r="I16" s="6">
        <f t="shared" si="0"/>
        <v>0</v>
      </c>
      <c r="J16" s="6">
        <f t="shared" si="1"/>
        <v>0</v>
      </c>
      <c r="K16" s="6">
        <f t="shared" si="2"/>
        <v>0</v>
      </c>
      <c r="L16" s="6">
        <f t="shared" si="3"/>
        <v>0</v>
      </c>
      <c r="M16" s="6">
        <f t="shared" si="4"/>
        <v>0</v>
      </c>
      <c r="N16" s="6">
        <f t="shared" si="5"/>
        <v>1</v>
      </c>
      <c r="O16" s="6">
        <f t="shared" si="6"/>
        <v>1</v>
      </c>
      <c r="P16" s="6">
        <f t="shared" si="13"/>
        <v>2</v>
      </c>
      <c r="Q16" s="6">
        <f>+COUNTIFS('Inputs summary'!I:I,$H16)</f>
        <v>2</v>
      </c>
      <c r="R16" s="6">
        <f>+COUNTIFS('Inputs summary'!J:K,$H16)</f>
        <v>1</v>
      </c>
      <c r="S16" s="6">
        <f>+COUNTIFS('Inputs summary'!L:L,$H16)</f>
        <v>2</v>
      </c>
      <c r="T16" s="6">
        <f t="shared" si="14"/>
        <v>0</v>
      </c>
      <c r="U16" s="6">
        <f>+SUMIF('Inputs summary'!B:B,H16,'Inputs summary'!C:C)+SUMIF('Inputs summary'!E:E,H16,'Inputs summary'!D:D)</f>
        <v>7</v>
      </c>
      <c r="V16" s="6">
        <f>+SUMIF('Inputs summary'!B:B,H16,'Inputs summary'!D:D)+SUMIF('Inputs summary'!E:E,H16,'Inputs summary'!C:C)</f>
        <v>7</v>
      </c>
      <c r="W16" s="159">
        <f t="shared" si="15"/>
        <v>207.00070000062499</v>
      </c>
      <c r="X16" s="173">
        <f t="shared" si="16"/>
        <v>11</v>
      </c>
      <c r="Y16" s="167">
        <f t="shared" si="7"/>
        <v>2</v>
      </c>
      <c r="Z16" s="173">
        <f t="shared" si="17"/>
        <v>207.00070050062499</v>
      </c>
      <c r="AA16" s="173">
        <f>+_xlfn.XLOOKUP(H16,'Ranking FIFA'!B:B,'Ranking FIFA'!A:A,"--",0)</f>
        <v>16</v>
      </c>
      <c r="AH16" t="str">
        <f>+'Round of 32 &amp; Round of 16'!V21</f>
        <v>Argentina</v>
      </c>
      <c r="AI16" t="str">
        <f>+'Round of 32 &amp; Round of 16'!B29</f>
        <v>Mexico</v>
      </c>
      <c r="AP16" s="457">
        <f>+_xlfn.XLOOKUP(AQ16,'Ranking FIFA'!B:B,'Ranking FIFA'!A:A,"--",0)</f>
        <v>13</v>
      </c>
      <c r="AQ16" t="s">
        <v>60</v>
      </c>
      <c r="AR16" s="6">
        <v>2</v>
      </c>
      <c r="AT16" s="169">
        <f t="shared" si="8"/>
        <v>1111</v>
      </c>
      <c r="AU16" s="166">
        <f t="shared" si="9"/>
        <v>416.05150000076924</v>
      </c>
      <c r="BH16">
        <v>13</v>
      </c>
      <c r="BI16" t="str">
        <f t="shared" si="11"/>
        <v>Estados Unidos</v>
      </c>
      <c r="BJ16" s="6">
        <f>+COUNTIFS('Inputs summary'!I$2:I$106,BI16)</f>
        <v>1</v>
      </c>
      <c r="BK16" s="6">
        <f>+COUNTIFS('Inputs summary'!J$2:K$106,BI16)</f>
        <v>1</v>
      </c>
      <c r="BL16" s="6">
        <f>+COUNTIFS('Inputs summary'!L$2:L$106,BI16)</f>
        <v>1</v>
      </c>
      <c r="BM16" s="6">
        <f t="shared" si="19"/>
        <v>0</v>
      </c>
      <c r="BN16" s="6">
        <f>+SUMIF('Inputs summary'!$B$1:$B$106,$BI16,'Inputs summary'!$C$1:$C$106)+SUMIF('Inputs summary'!$E$1:$E$106,$BI16,'Inputs summary'!$D$1:$D$106)</f>
        <v>4</v>
      </c>
      <c r="BO16" s="6">
        <f>+SUMIF('Inputs summary'!$B$1:$B$106,$BI16,'Inputs summary'!$D$1:$D$106)+SUMIF('Inputs summary'!$E$1:$E$106,$BI16,'Inputs summary'!$C$1:$C$106)</f>
        <v>4</v>
      </c>
      <c r="BP16" s="166">
        <f t="shared" si="12"/>
        <v>5.0040215999999997</v>
      </c>
    </row>
    <row r="17" spans="7:68" x14ac:dyDescent="0.25">
      <c r="G17">
        <v>14</v>
      </c>
      <c r="H17" t="str">
        <f>+'Groups Stage'!O31</f>
        <v>Paraguay</v>
      </c>
      <c r="I17" s="6">
        <f t="shared" si="0"/>
        <v>0</v>
      </c>
      <c r="J17" s="6">
        <f t="shared" si="1"/>
        <v>0</v>
      </c>
      <c r="K17" s="6">
        <f t="shared" si="2"/>
        <v>0</v>
      </c>
      <c r="L17" s="6">
        <f t="shared" si="3"/>
        <v>0</v>
      </c>
      <c r="M17" s="6">
        <f t="shared" si="4"/>
        <v>1</v>
      </c>
      <c r="N17" s="6">
        <f t="shared" si="5"/>
        <v>1</v>
      </c>
      <c r="O17" s="6">
        <f t="shared" si="6"/>
        <v>1</v>
      </c>
      <c r="P17" s="6">
        <f t="shared" si="13"/>
        <v>3</v>
      </c>
      <c r="Q17" s="6">
        <f>+COUNTIFS('Inputs summary'!I:I,$H17)</f>
        <v>4</v>
      </c>
      <c r="R17" s="6">
        <f>+COUNTIFS('Inputs summary'!J:K,$H17)</f>
        <v>1</v>
      </c>
      <c r="S17" s="6">
        <f>+COUNTIFS('Inputs summary'!L:L,$H17)</f>
        <v>1</v>
      </c>
      <c r="T17" s="6">
        <f t="shared" si="14"/>
        <v>3</v>
      </c>
      <c r="U17" s="6">
        <f>+SUMIF('Inputs summary'!B:B,H17,'Inputs summary'!C:C)+SUMIF('Inputs summary'!E:E,H17,'Inputs summary'!D:D)</f>
        <v>7</v>
      </c>
      <c r="V17" s="6">
        <f>+SUMIF('Inputs summary'!B:B,H17,'Inputs summary'!D:D)+SUMIF('Inputs summary'!E:E,H17,'Inputs summary'!C:C)</f>
        <v>4</v>
      </c>
      <c r="W17" s="159">
        <f t="shared" si="15"/>
        <v>313.03070000024996</v>
      </c>
      <c r="X17" s="173">
        <f t="shared" si="16"/>
        <v>111</v>
      </c>
      <c r="Y17" s="167">
        <f t="shared" si="7"/>
        <v>2</v>
      </c>
      <c r="Z17" s="173">
        <f t="shared" si="17"/>
        <v>313.03070050024996</v>
      </c>
      <c r="AA17" s="173">
        <f>+_xlfn.XLOOKUP(H17,'Ranking FIFA'!B:B,'Ranking FIFA'!A:A,"--",0)</f>
        <v>40</v>
      </c>
      <c r="AH17" t="str">
        <f>+'Round of 32 &amp; Round of 16'!Y21</f>
        <v>Estados Unidos</v>
      </c>
      <c r="AI17" t="str">
        <f>+'Round of 32 &amp; Round of 16'!E29</f>
        <v>Escocia</v>
      </c>
      <c r="AP17" s="457">
        <f>+_xlfn.XLOOKUP(AQ17,'Ranking FIFA'!B:B,'Ranking FIFA'!A:A,"--",0)</f>
        <v>14</v>
      </c>
      <c r="AQ17" t="s">
        <v>61</v>
      </c>
      <c r="AR17" s="6">
        <v>2</v>
      </c>
      <c r="AT17" s="169">
        <f t="shared" si="8"/>
        <v>1</v>
      </c>
      <c r="AU17" s="166">
        <f t="shared" si="9"/>
        <v>103.98050000071429</v>
      </c>
      <c r="AY17" s="175" t="str">
        <f>+IF(AY11="-",IF(AY15="-","-",AY15),IF(AY15="-",AY11,IF(AX11&lt;=AX15,AY11,AY15)))</f>
        <v>Paises Bajos</v>
      </c>
      <c r="BH17">
        <v>14</v>
      </c>
      <c r="BI17" t="str">
        <f t="shared" si="11"/>
        <v>Paraguay</v>
      </c>
      <c r="BJ17" s="6">
        <f>+COUNTIFS('Inputs summary'!I$2:I$106,BI17)</f>
        <v>3</v>
      </c>
      <c r="BK17" s="6">
        <f>+COUNTIFS('Inputs summary'!J$2:K$106,BI17)</f>
        <v>0</v>
      </c>
      <c r="BL17" s="6">
        <f>+COUNTIFS('Inputs summary'!L$2:L$106,BI17)</f>
        <v>0</v>
      </c>
      <c r="BM17" s="6">
        <f t="shared" si="19"/>
        <v>4</v>
      </c>
      <c r="BN17" s="6">
        <f>+SUMIF('Inputs summary'!$B$1:$B$106,$BI17,'Inputs summary'!$C$1:$C$106)+SUMIF('Inputs summary'!$E$1:$E$106,$BI17,'Inputs summary'!$D$1:$D$106)</f>
        <v>5</v>
      </c>
      <c r="BO17" s="6">
        <f>+SUMIF('Inputs summary'!$B$1:$B$106,$BI17,'Inputs summary'!$D$1:$D$106)+SUMIF('Inputs summary'!$E$1:$E$106,$BI17,'Inputs summary'!$C$1:$C$106)</f>
        <v>1</v>
      </c>
      <c r="BP17" s="166">
        <f t="shared" si="12"/>
        <v>9.0450239999999997</v>
      </c>
    </row>
    <row r="18" spans="7:68" x14ac:dyDescent="0.25">
      <c r="G18">
        <v>15</v>
      </c>
      <c r="H18" t="str">
        <f>+'Groups Stage'!O32</f>
        <v>Australia</v>
      </c>
      <c r="I18" s="6">
        <f t="shared" si="0"/>
        <v>0</v>
      </c>
      <c r="J18" s="6">
        <f t="shared" si="1"/>
        <v>0</v>
      </c>
      <c r="K18" s="6">
        <f t="shared" si="2"/>
        <v>0</v>
      </c>
      <c r="L18" s="6">
        <f t="shared" si="3"/>
        <v>0</v>
      </c>
      <c r="M18" s="6">
        <f t="shared" si="4"/>
        <v>0</v>
      </c>
      <c r="N18" s="6">
        <f t="shared" si="5"/>
        <v>0</v>
      </c>
      <c r="O18" s="6">
        <f t="shared" si="6"/>
        <v>1</v>
      </c>
      <c r="P18" s="6">
        <f t="shared" si="13"/>
        <v>1</v>
      </c>
      <c r="Q18" s="6">
        <f>+COUNTIFS('Inputs summary'!I:I,$H18)</f>
        <v>1</v>
      </c>
      <c r="R18" s="6">
        <f>+COUNTIFS('Inputs summary'!J:K,$H18)</f>
        <v>0</v>
      </c>
      <c r="S18" s="6">
        <f>+COUNTIFS('Inputs summary'!L:L,$H18)</f>
        <v>3</v>
      </c>
      <c r="T18" s="6">
        <f t="shared" si="14"/>
        <v>-2</v>
      </c>
      <c r="U18" s="6">
        <f>+SUMIF('Inputs summary'!B:B,H18,'Inputs summary'!C:C)+SUMIF('Inputs summary'!E:E,H18,'Inputs summary'!D:D)</f>
        <v>3</v>
      </c>
      <c r="V18" s="6">
        <f>+SUMIF('Inputs summary'!B:B,H18,'Inputs summary'!D:D)+SUMIF('Inputs summary'!E:E,H18,'Inputs summary'!C:C)</f>
        <v>5</v>
      </c>
      <c r="W18" s="159">
        <f t="shared" si="15"/>
        <v>102.98030000037036</v>
      </c>
      <c r="X18" s="173">
        <f t="shared" si="16"/>
        <v>1</v>
      </c>
      <c r="Y18" s="167">
        <f t="shared" si="7"/>
        <v>3</v>
      </c>
      <c r="Z18" s="173">
        <f t="shared" si="17"/>
        <v>102.9803003337037</v>
      </c>
      <c r="AA18" s="173">
        <f>+_xlfn.XLOOKUP(H18,'Ranking FIFA'!B:B,'Ranking FIFA'!A:A,"--",0)</f>
        <v>27</v>
      </c>
      <c r="AH18" t="str">
        <f>+'Round of 32 &amp; Round of 16'!V29</f>
        <v>Suiza</v>
      </c>
      <c r="AI18" t="str">
        <f>+'Round of 32 &amp; Round of 16'!B33</f>
        <v>Ghana</v>
      </c>
      <c r="AP18" s="457">
        <f>+_xlfn.XLOOKUP(AQ18,'Ranking FIFA'!B:B,'Ranking FIFA'!A:A,"--",0)</f>
        <v>15</v>
      </c>
      <c r="AQ18" t="s">
        <v>62</v>
      </c>
      <c r="AR18" s="6">
        <v>2</v>
      </c>
      <c r="AT18" s="169">
        <f t="shared" si="8"/>
        <v>11</v>
      </c>
      <c r="AU18" s="166">
        <f t="shared" si="9"/>
        <v>208.00040000066667</v>
      </c>
      <c r="BH18">
        <v>15</v>
      </c>
      <c r="BI18" t="str">
        <f t="shared" si="11"/>
        <v>Australia</v>
      </c>
      <c r="BJ18" s="6">
        <f>+COUNTIFS('Inputs summary'!I$2:I$106,BI18)</f>
        <v>1</v>
      </c>
      <c r="BK18" s="6">
        <f>+COUNTIFS('Inputs summary'!J$2:K$106,BI18)</f>
        <v>0</v>
      </c>
      <c r="BL18" s="6">
        <f>+COUNTIFS('Inputs summary'!L$2:L$106,BI18)</f>
        <v>2</v>
      </c>
      <c r="BM18" s="6">
        <f t="shared" si="19"/>
        <v>-1</v>
      </c>
      <c r="BN18" s="6">
        <f>+SUMIF('Inputs summary'!$B$1:$B$106,$BI18,'Inputs summary'!$C$1:$C$106)+SUMIF('Inputs summary'!$E$1:$E$106,$BI18,'Inputs summary'!$D$1:$D$106)</f>
        <v>3</v>
      </c>
      <c r="BO18" s="6">
        <f>+SUMIF('Inputs summary'!$B$1:$B$106,$BI18,'Inputs summary'!$D$1:$D$106)+SUMIF('Inputs summary'!$E$1:$E$106,$BI18,'Inputs summary'!$C$1:$C$106)</f>
        <v>4</v>
      </c>
      <c r="BP18" s="166">
        <f t="shared" si="12"/>
        <v>2.9930327000000005</v>
      </c>
    </row>
    <row r="19" spans="7:68" x14ac:dyDescent="0.25">
      <c r="G19">
        <v>16</v>
      </c>
      <c r="H19" t="str">
        <f>+'Groups Stage'!O33</f>
        <v>Turquia</v>
      </c>
      <c r="I19" s="6">
        <f t="shared" si="0"/>
        <v>0</v>
      </c>
      <c r="J19" s="6">
        <f t="shared" si="1"/>
        <v>0</v>
      </c>
      <c r="K19" s="6">
        <f t="shared" si="2"/>
        <v>0</v>
      </c>
      <c r="L19" s="6">
        <f t="shared" si="3"/>
        <v>0</v>
      </c>
      <c r="M19" s="6">
        <f t="shared" si="4"/>
        <v>0</v>
      </c>
      <c r="N19" s="6">
        <f t="shared" si="5"/>
        <v>0</v>
      </c>
      <c r="O19" s="6">
        <f t="shared" si="6"/>
        <v>0</v>
      </c>
      <c r="P19" s="6">
        <f t="shared" si="13"/>
        <v>0</v>
      </c>
      <c r="Q19" s="6">
        <f>+COUNTIFS('Inputs summary'!I:I,$H19)</f>
        <v>0</v>
      </c>
      <c r="R19" s="6">
        <f>+COUNTIFS('Inputs summary'!J:K,$H19)</f>
        <v>1</v>
      </c>
      <c r="S19" s="6">
        <f>+COUNTIFS('Inputs summary'!L:L,$H19)</f>
        <v>2</v>
      </c>
      <c r="T19" s="6">
        <f t="shared" si="14"/>
        <v>-3</v>
      </c>
      <c r="U19" s="6">
        <f>+SUMIF('Inputs summary'!B:B,H19,'Inputs summary'!C:C)+SUMIF('Inputs summary'!E:E,H19,'Inputs summary'!D:D)</f>
        <v>2</v>
      </c>
      <c r="V19" s="6">
        <f>+SUMIF('Inputs summary'!B:B,H19,'Inputs summary'!D:D)+SUMIF('Inputs summary'!E:E,H19,'Inputs summary'!C:C)</f>
        <v>5</v>
      </c>
      <c r="W19" s="159">
        <f t="shared" si="15"/>
        <v>0.97020000045454535</v>
      </c>
      <c r="X19" s="173">
        <f t="shared" si="16"/>
        <v>0</v>
      </c>
      <c r="Y19" s="167">
        <f t="shared" si="7"/>
        <v>2</v>
      </c>
      <c r="Z19" s="173">
        <f t="shared" si="17"/>
        <v>0.97020050045454531</v>
      </c>
      <c r="AA19" s="173">
        <f>+_xlfn.XLOOKUP(H19,'Ranking FIFA'!B:B,'Ranking FIFA'!A:A,"--",0)</f>
        <v>22</v>
      </c>
      <c r="AH19" t="str">
        <f>+'Round of 32 &amp; Round of 16'!Y29</f>
        <v>Croacia</v>
      </c>
      <c r="AI19" t="str">
        <f>+'Round of 32 &amp; Round of 16'!E33</f>
        <v>Senegal</v>
      </c>
      <c r="AP19" s="457">
        <f>+_xlfn.XLOOKUP(AQ19,'Ranking FIFA'!B:B,'Ranking FIFA'!A:A,"--",0)</f>
        <v>16</v>
      </c>
      <c r="AQ19" t="s">
        <v>63</v>
      </c>
      <c r="AR19" s="6">
        <v>2</v>
      </c>
      <c r="AT19" s="169">
        <f t="shared" si="8"/>
        <v>11</v>
      </c>
      <c r="AU19" s="166">
        <f t="shared" si="9"/>
        <v>207.00070000062499</v>
      </c>
      <c r="BH19">
        <v>16</v>
      </c>
      <c r="BI19" t="str">
        <f t="shared" si="11"/>
        <v>Turquia</v>
      </c>
      <c r="BJ19" s="6">
        <f>+COUNTIFS('Inputs summary'!I$2:I$106,BI19)</f>
        <v>0</v>
      </c>
      <c r="BK19" s="6">
        <f>+COUNTIFS('Inputs summary'!J$2:K$106,BI19)</f>
        <v>1</v>
      </c>
      <c r="BL19" s="6">
        <f>+COUNTIFS('Inputs summary'!L$2:L$106,BI19)</f>
        <v>2</v>
      </c>
      <c r="BM19" s="6">
        <f t="shared" si="19"/>
        <v>-3</v>
      </c>
      <c r="BN19" s="6">
        <f>+SUMIF('Inputs summary'!$B$1:$B$106,$BI19,'Inputs summary'!$C$1:$C$106)+SUMIF('Inputs summary'!$E$1:$E$106,$BI19,'Inputs summary'!$D$1:$D$106)</f>
        <v>2</v>
      </c>
      <c r="BO19" s="6">
        <f>+SUMIF('Inputs summary'!$B$1:$B$106,$BI19,'Inputs summary'!$D$1:$D$106)+SUMIF('Inputs summary'!$E$1:$E$106,$BI19,'Inputs summary'!$C$1:$C$106)</f>
        <v>5</v>
      </c>
      <c r="BP19" s="166">
        <f t="shared" si="12"/>
        <v>1.9720221999999998</v>
      </c>
    </row>
    <row r="20" spans="7:68" x14ac:dyDescent="0.25">
      <c r="G20">
        <v>17</v>
      </c>
      <c r="H20" t="str">
        <f>+'Groups Stage'!O39</f>
        <v>Alemania</v>
      </c>
      <c r="I20" s="6">
        <f t="shared" si="0"/>
        <v>0</v>
      </c>
      <c r="J20" s="6">
        <f t="shared" si="1"/>
        <v>0</v>
      </c>
      <c r="K20" s="6">
        <f t="shared" si="2"/>
        <v>0</v>
      </c>
      <c r="L20" s="6">
        <f t="shared" si="3"/>
        <v>0</v>
      </c>
      <c r="M20" s="6">
        <f t="shared" si="4"/>
        <v>1</v>
      </c>
      <c r="N20" s="6">
        <f t="shared" si="5"/>
        <v>1</v>
      </c>
      <c r="O20" s="6">
        <f t="shared" si="6"/>
        <v>1</v>
      </c>
      <c r="P20" s="6">
        <f t="shared" si="13"/>
        <v>3</v>
      </c>
      <c r="Q20" s="6">
        <f>+COUNTIFS('Inputs summary'!I:I,$H20)</f>
        <v>3</v>
      </c>
      <c r="R20" s="6">
        <f>+COUNTIFS('Inputs summary'!J:K,$H20)</f>
        <v>2</v>
      </c>
      <c r="S20" s="6">
        <f>+COUNTIFS('Inputs summary'!L:L,$H20)</f>
        <v>1</v>
      </c>
      <c r="T20" s="6">
        <f t="shared" si="14"/>
        <v>6</v>
      </c>
      <c r="U20" s="6">
        <f>+SUMIF('Inputs summary'!B:B,H20,'Inputs summary'!C:C)+SUMIF('Inputs summary'!E:E,H20,'Inputs summary'!D:D)</f>
        <v>12</v>
      </c>
      <c r="V20" s="6">
        <f>+SUMIF('Inputs summary'!B:B,H20,'Inputs summary'!D:D)+SUMIF('Inputs summary'!E:E,H20,'Inputs summary'!C:C)</f>
        <v>6</v>
      </c>
      <c r="W20" s="159">
        <f t="shared" si="15"/>
        <v>311.06120000099997</v>
      </c>
      <c r="X20" s="173">
        <f t="shared" si="16"/>
        <v>111</v>
      </c>
      <c r="Y20" s="167">
        <f t="shared" si="7"/>
        <v>1</v>
      </c>
      <c r="Z20" s="173">
        <f t="shared" si="17"/>
        <v>311.06120100099997</v>
      </c>
      <c r="AA20" s="173">
        <f>+_xlfn.XLOOKUP(H20,'Ranking FIFA'!B:B,'Ranking FIFA'!A:A,"--",0)</f>
        <v>10</v>
      </c>
      <c r="AI20" t="str">
        <f>+'Round of 32 &amp; Round of 16'!H5</f>
        <v>Paraguay</v>
      </c>
      <c r="AP20" s="457">
        <f>+_xlfn.XLOOKUP(AQ20,'Ranking FIFA'!B:B,'Ranking FIFA'!A:A,"--",0)</f>
        <v>18</v>
      </c>
      <c r="AQ20" t="s">
        <v>64</v>
      </c>
      <c r="AR20" s="6">
        <v>2</v>
      </c>
      <c r="AT20" s="169">
        <f t="shared" si="8"/>
        <v>1</v>
      </c>
      <c r="AU20" s="166">
        <f t="shared" si="9"/>
        <v>108.03080000055556</v>
      </c>
      <c r="BH20">
        <v>17</v>
      </c>
      <c r="BI20" t="str">
        <f t="shared" si="11"/>
        <v>Alemania</v>
      </c>
      <c r="BJ20" s="6">
        <f>+COUNTIFS('Inputs summary'!I$2:I$106,BI20)</f>
        <v>2</v>
      </c>
      <c r="BK20" s="6">
        <f>+COUNTIFS('Inputs summary'!J$2:K$106,BI20)</f>
        <v>1</v>
      </c>
      <c r="BL20" s="6">
        <f>+COUNTIFS('Inputs summary'!L$2:L$106,BI20)</f>
        <v>0</v>
      </c>
      <c r="BM20" s="6">
        <f t="shared" si="19"/>
        <v>6</v>
      </c>
      <c r="BN20" s="6">
        <f>+SUMIF('Inputs summary'!$B$1:$B$106,$BI20,'Inputs summary'!$C$1:$C$106)+SUMIF('Inputs summary'!$E$1:$E$106,$BI20,'Inputs summary'!$D$1:$D$106)</f>
        <v>8</v>
      </c>
      <c r="BO20" s="6">
        <f>+SUMIF('Inputs summary'!$B$1:$B$106,$BI20,'Inputs summary'!$D$1:$D$106)+SUMIF('Inputs summary'!$E$1:$E$106,$BI20,'Inputs summary'!$C$1:$C$106)</f>
        <v>2</v>
      </c>
      <c r="BP20" s="166">
        <f t="shared" si="12"/>
        <v>8.0680109999999985</v>
      </c>
    </row>
    <row r="21" spans="7:68" x14ac:dyDescent="0.25">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-8</v>
      </c>
      <c r="U21" s="6">
        <f>+SUMIF('Inputs summary'!B:B,H21,'Inputs summary'!C:C)+SUMIF('Inputs summary'!E:E,H21,'Inputs summary'!D:D)</f>
        <v>0</v>
      </c>
      <c r="V21" s="6">
        <f>+SUMIF('Inputs summary'!B:B,H21,'Inputs summary'!D:D)+SUMIF('Inputs summary'!E:E,H21,'Inputs summary'!C:C)</f>
        <v>8</v>
      </c>
      <c r="W21" s="159">
        <f t="shared" si="15"/>
        <v>-7.9999999878048789E-2</v>
      </c>
      <c r="X21" s="173">
        <f t="shared" si="16"/>
        <v>0</v>
      </c>
      <c r="Y21" s="167">
        <f t="shared" si="7"/>
        <v>4</v>
      </c>
      <c r="Z21" s="173">
        <f t="shared" si="17"/>
        <v>-7.9999749878048795E-2</v>
      </c>
      <c r="AA21" s="173">
        <f>+_xlfn.XLOOKUP(H21,'Ranking FIFA'!B:B,'Ranking FIFA'!A:A,"--",0)</f>
        <v>82</v>
      </c>
      <c r="AI21" t="str">
        <f>+'Round of 32 &amp; Round of 16'!K5</f>
        <v>Costa de Marfil</v>
      </c>
      <c r="AP21" s="457">
        <f>+_xlfn.XLOOKUP(AQ21,'Ranking FIFA'!B:B,'Ranking FIFA'!A:A,"--",0)</f>
        <v>19</v>
      </c>
      <c r="AQ21" t="s">
        <v>65</v>
      </c>
      <c r="AR21" s="6">
        <v>2</v>
      </c>
      <c r="AT21" s="169">
        <f t="shared" si="8"/>
        <v>11</v>
      </c>
      <c r="AU21" s="166">
        <f t="shared" si="9"/>
        <v>210.03070000052631</v>
      </c>
      <c r="AW21" t="s">
        <v>32</v>
      </c>
      <c r="BH21">
        <v>18</v>
      </c>
      <c r="BI21" t="str">
        <f t="shared" si="11"/>
        <v>Curazao</v>
      </c>
      <c r="BJ21" s="6">
        <f>+COUNTIFS('Inputs summary'!I$2:I$106,BI21)</f>
        <v>0</v>
      </c>
      <c r="BK21" s="6">
        <f>+COUNTIFS('Inputs summary'!J$2:K$106,BI21)</f>
        <v>0</v>
      </c>
      <c r="BL21" s="6">
        <f>+COUNTIFS('Inputs summary'!L$2:L$106,BI21)</f>
        <v>3</v>
      </c>
      <c r="BM21" s="6">
        <f t="shared" si="19"/>
        <v>-8</v>
      </c>
      <c r="BN21" s="6">
        <f>+SUMIF('Inputs summary'!$B$1:$B$106,$BI21,'Inputs summary'!$C$1:$C$106)+SUMIF('Inputs summary'!$E$1:$E$106,$BI21,'Inputs summary'!$D$1:$D$106)</f>
        <v>0</v>
      </c>
      <c r="BO21" s="6">
        <f>+SUMIF('Inputs summary'!$B$1:$B$106,$BI21,'Inputs summary'!$D$1:$D$106)+SUMIF('Inputs summary'!$E$1:$E$106,$BI21,'Inputs summary'!$C$1:$C$106)</f>
        <v>8</v>
      </c>
      <c r="BP21" s="166">
        <f t="shared" si="12"/>
        <v>-7.9951800000000003E-2</v>
      </c>
    </row>
    <row r="22" spans="7:68" x14ac:dyDescent="0.25">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0</v>
      </c>
      <c r="S22" s="6">
        <f>+COUNTIFS('Inputs summary'!L:L,$H22)</f>
        <v>3</v>
      </c>
      <c r="T22" s="6">
        <f t="shared" si="14"/>
        <v>-2</v>
      </c>
      <c r="U22" s="6">
        <f>+SUMIF('Inputs summary'!B:B,H22,'Inputs summary'!C:C)+SUMIF('Inputs summary'!E:E,H22,'Inputs summary'!D:D)</f>
        <v>3</v>
      </c>
      <c r="V22" s="6">
        <f>+SUMIF('Inputs summary'!B:B,H22,'Inputs summary'!D:D)+SUMIF('Inputs summary'!E:E,H22,'Inputs summary'!C:C)</f>
        <v>5</v>
      </c>
      <c r="W22" s="159">
        <f t="shared" si="15"/>
        <v>102.98030000029412</v>
      </c>
      <c r="X22" s="173">
        <f t="shared" si="16"/>
        <v>1</v>
      </c>
      <c r="Y22" s="167">
        <f t="shared" si="7"/>
        <v>3</v>
      </c>
      <c r="Z22" s="173">
        <f t="shared" si="17"/>
        <v>102.98030033362745</v>
      </c>
      <c r="AA22" s="173">
        <f>+_xlfn.XLOOKUP(H22,'Ranking FIFA'!B:B,'Ranking FIFA'!A:A,"--",0)</f>
        <v>34</v>
      </c>
      <c r="AI22" t="str">
        <f>+'Round of 32 &amp; Round of 16'!H9</f>
        <v>Belgica</v>
      </c>
      <c r="AP22" s="457">
        <f>+_xlfn.XLOOKUP(AQ22,'Ranking FIFA'!B:B,'Ranking FIFA'!A:A,"--",0)</f>
        <v>22</v>
      </c>
      <c r="AQ22" s="456" t="s">
        <v>66</v>
      </c>
      <c r="AR22" s="6">
        <v>2</v>
      </c>
      <c r="AT22" s="169">
        <f t="shared" si="8"/>
        <v>0</v>
      </c>
      <c r="AU22" s="166">
        <f t="shared" si="9"/>
        <v>0.97020000045454535</v>
      </c>
      <c r="AW22">
        <f>+SMALL($Z$3:$Z$51,1)</f>
        <v>-9.9999749879518082E-2</v>
      </c>
      <c r="AX22" t="str">
        <f>+_xlfn.XLOOKUP(AW22,Z:Z,H:H,"-",0)</f>
        <v>Haiti</v>
      </c>
      <c r="BH22">
        <v>19</v>
      </c>
      <c r="BI22" t="str">
        <f t="shared" si="11"/>
        <v>Costa de Marfil</v>
      </c>
      <c r="BJ22" s="6">
        <f>+COUNTIFS('Inputs summary'!I$2:I$106,BI22)</f>
        <v>1</v>
      </c>
      <c r="BK22" s="6">
        <f>+COUNTIFS('Inputs summary'!J$2:K$106,BI22)</f>
        <v>0</v>
      </c>
      <c r="BL22" s="6">
        <f>+COUNTIFS('Inputs summary'!L$2:L$106,BI22)</f>
        <v>2</v>
      </c>
      <c r="BM22" s="6">
        <f t="shared" si="19"/>
        <v>-1</v>
      </c>
      <c r="BN22" s="6">
        <f>+SUMIF('Inputs summary'!$B$1:$B$106,$BI22,'Inputs summary'!$C$1:$C$106)+SUMIF('Inputs summary'!$E$1:$E$106,$BI22,'Inputs summary'!$D$1:$D$106)</f>
        <v>3</v>
      </c>
      <c r="BO22" s="6">
        <f>+SUMIF('Inputs summary'!$B$1:$B$106,$BI22,'Inputs summary'!$D$1:$D$106)+SUMIF('Inputs summary'!$E$1:$E$106,$BI22,'Inputs summary'!$C$1:$C$106)</f>
        <v>4</v>
      </c>
      <c r="BP22" s="166">
        <f t="shared" si="12"/>
        <v>2.9930334000000007</v>
      </c>
    </row>
    <row r="23" spans="7:68" x14ac:dyDescent="0.25">
      <c r="G23">
        <v>20</v>
      </c>
      <c r="H23" t="str">
        <f>+'Groups Stage'!O42</f>
        <v>Ecuador</v>
      </c>
      <c r="I23" s="6">
        <f t="shared" si="0"/>
        <v>0</v>
      </c>
      <c r="J23" s="6">
        <f t="shared" si="1"/>
        <v>0</v>
      </c>
      <c r="K23" s="6">
        <f t="shared" si="2"/>
        <v>0</v>
      </c>
      <c r="L23" s="6">
        <f t="shared" si="3"/>
        <v>0</v>
      </c>
      <c r="M23" s="6">
        <f t="shared" si="4"/>
        <v>0</v>
      </c>
      <c r="N23" s="6">
        <f t="shared" si="5"/>
        <v>1</v>
      </c>
      <c r="O23" s="6">
        <f t="shared" si="6"/>
        <v>1</v>
      </c>
      <c r="P23" s="6">
        <f t="shared" si="13"/>
        <v>2</v>
      </c>
      <c r="Q23" s="6">
        <f>+COUNTIFS('Inputs summary'!I:I,$H23)</f>
        <v>3</v>
      </c>
      <c r="R23" s="6">
        <f>+COUNTIFS('Inputs summary'!J:K,$H23)</f>
        <v>1</v>
      </c>
      <c r="S23" s="6">
        <f>+COUNTIFS('Inputs summary'!L:L,$H23)</f>
        <v>1</v>
      </c>
      <c r="T23" s="6">
        <f t="shared" si="14"/>
        <v>3</v>
      </c>
      <c r="U23" s="6">
        <f>+SUMIF('Inputs summary'!B:B,H23,'Inputs summary'!C:C)+SUMIF('Inputs summary'!E:E,H23,'Inputs summary'!D:D)</f>
        <v>8</v>
      </c>
      <c r="V23" s="6">
        <f>+SUMIF('Inputs summary'!B:B,H23,'Inputs summary'!D:D)+SUMIF('Inputs summary'!E:E,H23,'Inputs summary'!C:C)</f>
        <v>5</v>
      </c>
      <c r="W23" s="159">
        <f t="shared" si="15"/>
        <v>210.03080000043479</v>
      </c>
      <c r="X23" s="173">
        <f t="shared" si="16"/>
        <v>11</v>
      </c>
      <c r="Y23" s="167">
        <f t="shared" si="7"/>
        <v>2</v>
      </c>
      <c r="Z23" s="173">
        <f t="shared" si="17"/>
        <v>210.03080050043479</v>
      </c>
      <c r="AA23" s="173">
        <f>+_xlfn.XLOOKUP(H23,'Ranking FIFA'!B:B,'Ranking FIFA'!A:A,"--",0)</f>
        <v>23</v>
      </c>
      <c r="AI23" t="str">
        <f>+'Round of 32 &amp; Round of 16'!K9</f>
        <v>Sudafrica</v>
      </c>
      <c r="AP23" s="457">
        <f>+_xlfn.XLOOKUP(AQ23,'Ranking FIFA'!B:B,'Ranking FIFA'!A:A,"--",0)</f>
        <v>23</v>
      </c>
      <c r="AQ23" t="s">
        <v>67</v>
      </c>
      <c r="AR23" s="6">
        <v>2</v>
      </c>
      <c r="AT23" s="169">
        <f t="shared" si="8"/>
        <v>11</v>
      </c>
      <c r="AU23" s="166">
        <f t="shared" si="9"/>
        <v>210.03080000043479</v>
      </c>
      <c r="BH23">
        <v>20</v>
      </c>
      <c r="BI23" t="str">
        <f t="shared" si="11"/>
        <v>Ecuador</v>
      </c>
      <c r="BJ23" s="6">
        <f>+COUNTIFS('Inputs summary'!I$2:I$106,BI23)</f>
        <v>2</v>
      </c>
      <c r="BK23" s="6">
        <f>+COUNTIFS('Inputs summary'!J$2:K$106,BI23)</f>
        <v>1</v>
      </c>
      <c r="BL23" s="6">
        <f>+COUNTIFS('Inputs summary'!L$2:L$106,BI23)</f>
        <v>0</v>
      </c>
      <c r="BM23" s="6">
        <f t="shared" si="19"/>
        <v>3</v>
      </c>
      <c r="BN23" s="6">
        <f>+SUMIF('Inputs summary'!$B$1:$B$106,$BI23,'Inputs summary'!$C$1:$C$106)+SUMIF('Inputs summary'!$E$1:$E$106,$BI23,'Inputs summary'!$D$1:$D$106)</f>
        <v>6</v>
      </c>
      <c r="BO23" s="6">
        <f>+SUMIF('Inputs summary'!$B$1:$B$106,$BI23,'Inputs summary'!$D$1:$D$106)+SUMIF('Inputs summary'!$E$1:$E$106,$BI23,'Inputs summary'!$C$1:$C$106)</f>
        <v>3</v>
      </c>
      <c r="BP23" s="166">
        <f t="shared" si="12"/>
        <v>8.0360222999999991</v>
      </c>
    </row>
    <row r="24" spans="7:68" x14ac:dyDescent="0.25">
      <c r="G24">
        <v>21</v>
      </c>
      <c r="H24" t="str">
        <f>+'Groups Stage'!O48</f>
        <v>Paises Bajos</v>
      </c>
      <c r="I24" s="6">
        <f t="shared" si="0"/>
        <v>0</v>
      </c>
      <c r="J24" s="6">
        <f t="shared" si="1"/>
        <v>0</v>
      </c>
      <c r="K24" s="6">
        <f t="shared" si="2"/>
        <v>0</v>
      </c>
      <c r="L24" s="6">
        <f t="shared" si="3"/>
        <v>0</v>
      </c>
      <c r="M24" s="6">
        <f t="shared" si="4"/>
        <v>0</v>
      </c>
      <c r="N24" s="6">
        <f t="shared" si="5"/>
        <v>0</v>
      </c>
      <c r="O24" s="6">
        <f t="shared" si="6"/>
        <v>1</v>
      </c>
      <c r="P24" s="6">
        <f t="shared" si="13"/>
        <v>1</v>
      </c>
      <c r="Q24" s="6">
        <f>+COUNTIFS('Inputs summary'!I:I,$H24)</f>
        <v>2</v>
      </c>
      <c r="R24" s="6">
        <f>+COUNTIFS('Inputs summary'!J:K,$H24)</f>
        <v>0</v>
      </c>
      <c r="S24" s="6">
        <f>+COUNTIFS('Inputs summary'!L:L,$H24)</f>
        <v>2</v>
      </c>
      <c r="T24" s="6">
        <f t="shared" si="14"/>
        <v>0</v>
      </c>
      <c r="U24" s="6">
        <f>+SUMIF('Inputs summary'!B:B,H24,'Inputs summary'!C:C)+SUMIF('Inputs summary'!E:E,H24,'Inputs summary'!D:D)</f>
        <v>7</v>
      </c>
      <c r="V24" s="6">
        <f>+SUMIF('Inputs summary'!B:B,H24,'Inputs summary'!D:D)+SUMIF('Inputs summary'!E:E,H24,'Inputs summary'!C:C)</f>
        <v>7</v>
      </c>
      <c r="W24" s="159">
        <f t="shared" si="15"/>
        <v>106.00070000142857</v>
      </c>
      <c r="X24" s="173">
        <f t="shared" si="16"/>
        <v>1</v>
      </c>
      <c r="Y24" s="167">
        <f t="shared" si="7"/>
        <v>1</v>
      </c>
      <c r="Z24" s="173">
        <f t="shared" si="17"/>
        <v>106.00070100142857</v>
      </c>
      <c r="AA24" s="173">
        <f>+_xlfn.XLOOKUP(H24,'Ranking FIFA'!B:B,'Ranking FIFA'!A:A,"--",0)</f>
        <v>7</v>
      </c>
      <c r="AI24" t="str">
        <f>+'Round of 32 &amp; Round of 16'!H13</f>
        <v>Colombia</v>
      </c>
      <c r="AP24" s="457">
        <f>+_xlfn.XLOOKUP(AQ24,'Ranking FIFA'!B:B,'Ranking FIFA'!A:A,"--",0)</f>
        <v>25</v>
      </c>
      <c r="AQ24" t="s">
        <v>68</v>
      </c>
      <c r="AR24" s="6">
        <v>2</v>
      </c>
      <c r="AT24" s="169">
        <f t="shared" si="8"/>
        <v>0</v>
      </c>
      <c r="AU24" s="166">
        <f t="shared" si="9"/>
        <v>-3.9999999600000002E-2</v>
      </c>
      <c r="BH24">
        <v>21</v>
      </c>
      <c r="BI24" t="str">
        <f t="shared" si="11"/>
        <v>Paises Bajos</v>
      </c>
      <c r="BJ24" s="6">
        <f>+COUNTIFS('Inputs summary'!I$2:I$106,BI24)</f>
        <v>2</v>
      </c>
      <c r="BK24" s="6">
        <f>+COUNTIFS('Inputs summary'!J$2:K$106,BI24)</f>
        <v>0</v>
      </c>
      <c r="BL24" s="6">
        <f>+COUNTIFS('Inputs summary'!L$2:L$106,BI24)</f>
        <v>1</v>
      </c>
      <c r="BM24" s="6">
        <f t="shared" si="19"/>
        <v>1</v>
      </c>
      <c r="BN24" s="6">
        <f>+SUMIF('Inputs summary'!$B$1:$B$106,$BI24,'Inputs summary'!$C$1:$C$106)+SUMIF('Inputs summary'!$E$1:$E$106,$BI24,'Inputs summary'!$D$1:$D$106)</f>
        <v>5</v>
      </c>
      <c r="BO24" s="6">
        <f>+SUMIF('Inputs summary'!$B$1:$B$106,$BI24,'Inputs summary'!$D$1:$D$106)+SUMIF('Inputs summary'!$E$1:$E$106,$BI24,'Inputs summary'!$C$1:$C$106)</f>
        <v>4</v>
      </c>
      <c r="BP24" s="166">
        <f t="shared" si="12"/>
        <v>6.0150106999999995</v>
      </c>
    </row>
    <row r="25" spans="7:68" x14ac:dyDescent="0.25">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2</v>
      </c>
      <c r="R25" s="6">
        <f>+COUNTIFS('Inputs summary'!J:K,$H25)</f>
        <v>2</v>
      </c>
      <c r="S25" s="6">
        <f>+COUNTIFS('Inputs summary'!L:L,$H25)</f>
        <v>0</v>
      </c>
      <c r="T25" s="6">
        <f t="shared" si="14"/>
        <v>3</v>
      </c>
      <c r="U25" s="6">
        <f>+SUMIF('Inputs summary'!B:B,H25,'Inputs summary'!C:C)+SUMIF('Inputs summary'!E:E,H25,'Inputs summary'!D:D)</f>
        <v>8</v>
      </c>
      <c r="V25" s="6">
        <f>+SUMIF('Inputs summary'!B:B,H25,'Inputs summary'!D:D)+SUMIF('Inputs summary'!E:E,H25,'Inputs summary'!C:C)</f>
        <v>5</v>
      </c>
      <c r="W25" s="159">
        <f t="shared" si="15"/>
        <v>108.03080000055556</v>
      </c>
      <c r="X25" s="173">
        <f t="shared" si="16"/>
        <v>1</v>
      </c>
      <c r="Y25" s="167">
        <f t="shared" si="7"/>
        <v>2</v>
      </c>
      <c r="Z25" s="173">
        <f t="shared" si="17"/>
        <v>108.03080050055556</v>
      </c>
      <c r="AA25" s="173">
        <f>+_xlfn.XLOOKUP(H25,'Ranking FIFA'!B:B,'Ranking FIFA'!A:A,"--",0)</f>
        <v>18</v>
      </c>
      <c r="AI25" t="str">
        <f>+'Round of 32 &amp; Round of 16'!K13</f>
        <v>Inglaterra</v>
      </c>
      <c r="AP25" s="457">
        <f>+_xlfn.XLOOKUP(AQ25,'Ranking FIFA'!B:B,'Ranking FIFA'!A:A,"--",0)</f>
        <v>31</v>
      </c>
      <c r="AQ25" t="s">
        <v>69</v>
      </c>
      <c r="AR25" s="6">
        <v>2</v>
      </c>
      <c r="AT25" s="169">
        <f t="shared" si="8"/>
        <v>1</v>
      </c>
      <c r="AU25" s="166">
        <f t="shared" si="9"/>
        <v>104.00060000032259</v>
      </c>
      <c r="BH25">
        <v>22</v>
      </c>
      <c r="BI25" t="str">
        <f t="shared" si="11"/>
        <v>Japon</v>
      </c>
      <c r="BJ25" s="6">
        <f>+COUNTIFS('Inputs summary'!I$2:I$106,BI25)</f>
        <v>2</v>
      </c>
      <c r="BK25" s="6">
        <f>+COUNTIFS('Inputs summary'!J$2:K$106,BI25)</f>
        <v>1</v>
      </c>
      <c r="BL25" s="6">
        <f>+COUNTIFS('Inputs summary'!L$2:L$106,BI25)</f>
        <v>0</v>
      </c>
      <c r="BM25" s="6">
        <f t="shared" si="19"/>
        <v>3</v>
      </c>
      <c r="BN25" s="6">
        <f>+SUMIF('Inputs summary'!$B$1:$B$106,$BI25,'Inputs summary'!$C$1:$C$106)+SUMIF('Inputs summary'!$E$1:$E$106,$BI25,'Inputs summary'!$D$1:$D$106)</f>
        <v>7</v>
      </c>
      <c r="BO25" s="6">
        <f>+SUMIF('Inputs summary'!$B$1:$B$106,$BI25,'Inputs summary'!$D$1:$D$106)+SUMIF('Inputs summary'!$E$1:$E$106,$BI25,'Inputs summary'!$C$1:$C$106)</f>
        <v>4</v>
      </c>
      <c r="BP25" s="166">
        <f t="shared" si="12"/>
        <v>8.037021799999998</v>
      </c>
    </row>
    <row r="26" spans="7:68" x14ac:dyDescent="0.25">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1</v>
      </c>
      <c r="R26" s="6">
        <f>+COUNTIFS('Inputs summary'!J:K,$H26)</f>
        <v>1</v>
      </c>
      <c r="S26" s="6">
        <f>+COUNTIFS('Inputs summary'!L:L,$H26)</f>
        <v>2</v>
      </c>
      <c r="T26" s="6">
        <f t="shared" si="14"/>
        <v>-1</v>
      </c>
      <c r="U26" s="6">
        <f>+SUMIF('Inputs summary'!B:B,H26,'Inputs summary'!C:C)+SUMIF('Inputs summary'!E:E,H26,'Inputs summary'!D:D)</f>
        <v>6</v>
      </c>
      <c r="V26" s="6">
        <f>+SUMIF('Inputs summary'!B:B,H26,'Inputs summary'!D:D)+SUMIF('Inputs summary'!E:E,H26,'Inputs summary'!C:C)</f>
        <v>7</v>
      </c>
      <c r="W26" s="159">
        <f t="shared" si="15"/>
        <v>103.99060000026316</v>
      </c>
      <c r="X26" s="173">
        <f t="shared" si="16"/>
        <v>1</v>
      </c>
      <c r="Y26" s="167">
        <f t="shared" si="7"/>
        <v>2</v>
      </c>
      <c r="Z26" s="173">
        <f t="shared" si="17"/>
        <v>103.99060050026316</v>
      </c>
      <c r="AA26" s="173">
        <f>+_xlfn.XLOOKUP(H26,'Ranking FIFA'!B:B,'Ranking FIFA'!A:A,"--",0)</f>
        <v>38</v>
      </c>
      <c r="AI26" t="str">
        <f>+'Round of 32 &amp; Round of 16'!H17</f>
        <v>España</v>
      </c>
      <c r="AP26" s="457">
        <f>+_xlfn.XLOOKUP(AQ26,'Ranking FIFA'!B:B,'Ranking FIFA'!A:A,"--",0)</f>
        <v>38</v>
      </c>
      <c r="AQ26" s="456" t="s">
        <v>70</v>
      </c>
      <c r="AR26" s="6">
        <v>2</v>
      </c>
      <c r="AT26" s="169">
        <f t="shared" si="8"/>
        <v>1</v>
      </c>
      <c r="AU26" s="166">
        <f t="shared" si="9"/>
        <v>103.99060000026316</v>
      </c>
      <c r="BH26">
        <v>23</v>
      </c>
      <c r="BI26" t="str">
        <f t="shared" si="11"/>
        <v>Suecia</v>
      </c>
      <c r="BJ26" s="6">
        <f>+COUNTIFS('Inputs summary'!I$2:I$106,BI26)</f>
        <v>1</v>
      </c>
      <c r="BK26" s="6">
        <f>+COUNTIFS('Inputs summary'!J$2:K$106,BI26)</f>
        <v>1</v>
      </c>
      <c r="BL26" s="6">
        <f>+COUNTIFS('Inputs summary'!L$2:L$106,BI26)</f>
        <v>1</v>
      </c>
      <c r="BM26" s="6">
        <f t="shared" si="19"/>
        <v>1</v>
      </c>
      <c r="BN26" s="6">
        <f>+SUMIF('Inputs summary'!$B$1:$B$106,$BI26,'Inputs summary'!$C$1:$C$106)+SUMIF('Inputs summary'!$E$1:$E$106,$BI26,'Inputs summary'!$D$1:$D$106)</f>
        <v>5</v>
      </c>
      <c r="BO26" s="6">
        <f>+SUMIF('Inputs summary'!$B$1:$B$106,$BI26,'Inputs summary'!$D$1:$D$106)+SUMIF('Inputs summary'!$E$1:$E$106,$BI26,'Inputs summary'!$C$1:$C$106)</f>
        <v>4</v>
      </c>
      <c r="BP26" s="166">
        <f t="shared" si="12"/>
        <v>5.0150237999999998</v>
      </c>
    </row>
    <row r="27" spans="7:68" x14ac:dyDescent="0.25">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0</v>
      </c>
      <c r="S27" s="6">
        <f>+COUNTIFS('Inputs summary'!L:L,$H27)</f>
        <v>3</v>
      </c>
      <c r="T27" s="6">
        <f t="shared" si="14"/>
        <v>-5</v>
      </c>
      <c r="U27" s="6">
        <f>+SUMIF('Inputs summary'!B:B,H27,'Inputs summary'!C:C)+SUMIF('Inputs summary'!E:E,H27,'Inputs summary'!D:D)</f>
        <v>2</v>
      </c>
      <c r="V27" s="6">
        <f>+SUMIF('Inputs summary'!B:B,H27,'Inputs summary'!D:D)+SUMIF('Inputs summary'!E:E,H27,'Inputs summary'!C:C)</f>
        <v>7</v>
      </c>
      <c r="W27" s="159">
        <f t="shared" si="15"/>
        <v>-4.9799999772727276E-2</v>
      </c>
      <c r="X27" s="173">
        <f t="shared" si="16"/>
        <v>0</v>
      </c>
      <c r="Y27" s="167">
        <f t="shared" si="7"/>
        <v>3</v>
      </c>
      <c r="Z27" s="173">
        <f t="shared" si="17"/>
        <v>-4.9799666439393944E-2</v>
      </c>
      <c r="AA27" s="173">
        <f>+_xlfn.XLOOKUP(H27,'Ranking FIFA'!B:B,'Ranking FIFA'!A:A,"--",0)</f>
        <v>44</v>
      </c>
      <c r="AI27" t="str">
        <f>+'Round of 32 &amp; Round of 16'!K17</f>
        <v>Austria</v>
      </c>
      <c r="AP27" s="457">
        <f>+_xlfn.XLOOKUP(AQ27,'Ranking FIFA'!B:B,'Ranking FIFA'!A:A,"--",0)</f>
        <v>40</v>
      </c>
      <c r="AQ27" t="s">
        <v>71</v>
      </c>
      <c r="AR27" s="6">
        <v>2</v>
      </c>
      <c r="AT27" s="169">
        <f t="shared" si="8"/>
        <v>111</v>
      </c>
      <c r="AU27" s="166">
        <f t="shared" si="9"/>
        <v>313.03070000024996</v>
      </c>
      <c r="BH27">
        <v>24</v>
      </c>
      <c r="BI27" t="str">
        <f t="shared" si="11"/>
        <v>Tunez</v>
      </c>
      <c r="BJ27" s="6">
        <f>+COUNTIFS('Inputs summary'!I$2:I$106,BI27)</f>
        <v>0</v>
      </c>
      <c r="BK27" s="6">
        <f>+COUNTIFS('Inputs summary'!J$2:K$106,BI27)</f>
        <v>0</v>
      </c>
      <c r="BL27" s="6">
        <f>+COUNTIFS('Inputs summary'!L$2:L$106,BI27)</f>
        <v>3</v>
      </c>
      <c r="BM27" s="6">
        <f t="shared" si="19"/>
        <v>-5</v>
      </c>
      <c r="BN27" s="6">
        <f>+SUMIF('Inputs summary'!$B$1:$B$106,$BI27,'Inputs summary'!$C$1:$C$106)+SUMIF('Inputs summary'!$E$1:$E$106,$BI27,'Inputs summary'!$D$1:$D$106)</f>
        <v>2</v>
      </c>
      <c r="BO27" s="6">
        <f>+SUMIF('Inputs summary'!$B$1:$B$106,$BI27,'Inputs summary'!$D$1:$D$106)+SUMIF('Inputs summary'!$E$1:$E$106,$BI27,'Inputs summary'!$C$1:$C$106)</f>
        <v>7</v>
      </c>
      <c r="BP27" s="166">
        <f t="shared" si="12"/>
        <v>-4.7965599999999997E-2</v>
      </c>
    </row>
    <row r="28" spans="7:68" x14ac:dyDescent="0.25">
      <c r="G28">
        <v>25</v>
      </c>
      <c r="H28" t="str">
        <f>+'Groups Stage'!O57</f>
        <v>Iran</v>
      </c>
      <c r="I28" s="6">
        <f t="shared" si="0"/>
        <v>0</v>
      </c>
      <c r="J28" s="6">
        <f t="shared" si="1"/>
        <v>0</v>
      </c>
      <c r="K28" s="6">
        <f t="shared" si="2"/>
        <v>0</v>
      </c>
      <c r="L28" s="6">
        <f t="shared" si="3"/>
        <v>0</v>
      </c>
      <c r="M28" s="6">
        <f t="shared" si="4"/>
        <v>0</v>
      </c>
      <c r="N28" s="6">
        <f t="shared" si="5"/>
        <v>0</v>
      </c>
      <c r="O28" s="6">
        <f t="shared" si="6"/>
        <v>1</v>
      </c>
      <c r="P28" s="6">
        <f t="shared" si="13"/>
        <v>1</v>
      </c>
      <c r="Q28" s="6">
        <f>+COUNTIFS('Inputs summary'!I:I,$H28)</f>
        <v>1</v>
      </c>
      <c r="R28" s="6">
        <f>+COUNTIFS('Inputs summary'!J:K,$H28)</f>
        <v>2</v>
      </c>
      <c r="S28" s="6">
        <f>+COUNTIFS('Inputs summary'!L:L,$H28)</f>
        <v>1</v>
      </c>
      <c r="T28" s="6">
        <f t="shared" si="14"/>
        <v>-1</v>
      </c>
      <c r="U28" s="6">
        <f>+SUMIF('Inputs summary'!B:B,H28,'Inputs summary'!C:C)+SUMIF('Inputs summary'!E:E,H28,'Inputs summary'!D:D)</f>
        <v>3</v>
      </c>
      <c r="V28" s="6">
        <f>+SUMIF('Inputs summary'!B:B,H28,'Inputs summary'!D:D)+SUMIF('Inputs summary'!E:E,H28,'Inputs summary'!C:C)</f>
        <v>4</v>
      </c>
      <c r="W28" s="159">
        <f t="shared" si="15"/>
        <v>104.99030000047618</v>
      </c>
      <c r="X28" s="173">
        <f t="shared" si="16"/>
        <v>1</v>
      </c>
      <c r="Y28" s="167">
        <f t="shared" si="7"/>
        <v>3</v>
      </c>
      <c r="Z28" s="173">
        <f t="shared" si="17"/>
        <v>104.99030033380951</v>
      </c>
      <c r="AA28" s="173">
        <f>+_xlfn.XLOOKUP(H28,'Ranking FIFA'!B:B,'Ranking FIFA'!A:A,"--",0)</f>
        <v>21</v>
      </c>
      <c r="AI28" t="str">
        <f>+'Round of 32 &amp; Round of 16'!H21</f>
        <v>Suiza</v>
      </c>
      <c r="AP28" s="457">
        <f>+_xlfn.XLOOKUP(AQ28,'Ranking FIFA'!B:B,'Ranking FIFA'!A:A,"--",0)</f>
        <v>24</v>
      </c>
      <c r="AQ28" t="s">
        <v>72</v>
      </c>
      <c r="AR28" s="6">
        <v>3</v>
      </c>
      <c r="AT28" s="169">
        <f t="shared" si="8"/>
        <v>1</v>
      </c>
      <c r="AU28" s="166">
        <f t="shared" si="9"/>
        <v>106.01040000041667</v>
      </c>
      <c r="BH28">
        <v>25</v>
      </c>
      <c r="BI28" t="str">
        <f t="shared" si="11"/>
        <v>Iran</v>
      </c>
      <c r="BJ28" s="6">
        <f>+COUNTIFS('Inputs summary'!I$2:I$106,BI28)</f>
        <v>1</v>
      </c>
      <c r="BK28" s="6">
        <f>+COUNTIFS('Inputs summary'!J$2:K$106,BI28)</f>
        <v>2</v>
      </c>
      <c r="BL28" s="6">
        <f>+COUNTIFS('Inputs summary'!L$2:L$106,BI28)</f>
        <v>0</v>
      </c>
      <c r="BM28" s="6">
        <f t="shared" si="19"/>
        <v>1</v>
      </c>
      <c r="BN28" s="6">
        <f>+SUMIF('Inputs summary'!$B$1:$B$106,$BI28,'Inputs summary'!$C$1:$C$106)+SUMIF('Inputs summary'!$E$1:$E$106,$BI28,'Inputs summary'!$D$1:$D$106)</f>
        <v>3</v>
      </c>
      <c r="BO28" s="6">
        <f>+SUMIF('Inputs summary'!$B$1:$B$106,$BI28,'Inputs summary'!$D$1:$D$106)+SUMIF('Inputs summary'!$E$1:$E$106,$BI28,'Inputs summary'!$C$1:$C$106)</f>
        <v>2</v>
      </c>
      <c r="BP28" s="166">
        <f t="shared" si="12"/>
        <v>7.0130320999999993</v>
      </c>
    </row>
    <row r="29" spans="7:68" x14ac:dyDescent="0.25">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1</v>
      </c>
      <c r="S29" s="6">
        <f>+COUNTIFS('Inputs summary'!L:L,$H29)</f>
        <v>2</v>
      </c>
      <c r="T29" s="6">
        <f t="shared" si="14"/>
        <v>-3</v>
      </c>
      <c r="U29" s="6">
        <f>+SUMIF('Inputs summary'!B:B,H29,'Inputs summary'!C:C)+SUMIF('Inputs summary'!E:E,H29,'Inputs summary'!D:D)</f>
        <v>2</v>
      </c>
      <c r="V29" s="6">
        <f>+SUMIF('Inputs summary'!B:B,H29,'Inputs summary'!D:D)+SUMIF('Inputs summary'!E:E,H29,'Inputs summary'!C:C)</f>
        <v>5</v>
      </c>
      <c r="W29" s="159">
        <f t="shared" si="15"/>
        <v>0.97020000011764707</v>
      </c>
      <c r="X29" s="173">
        <f t="shared" si="16"/>
        <v>0</v>
      </c>
      <c r="Y29" s="167">
        <f t="shared" si="7"/>
        <v>4</v>
      </c>
      <c r="Z29" s="173">
        <f t="shared" si="17"/>
        <v>0.9702002501176471</v>
      </c>
      <c r="AA29" s="173">
        <f>+_xlfn.XLOOKUP(H29,'Ranking FIFA'!B:B,'Ranking FIFA'!A:A,"--",0)</f>
        <v>85</v>
      </c>
      <c r="AI29" t="str">
        <f>+'Round of 32 &amp; Round of 16'!K21</f>
        <v>Argelia</v>
      </c>
      <c r="AP29" s="457">
        <f>+_xlfn.XLOOKUP(AQ29,'Ranking FIFA'!B:B,'Ranking FIFA'!A:A,"--",0)</f>
        <v>27</v>
      </c>
      <c r="AQ29" t="s">
        <v>73</v>
      </c>
      <c r="AR29" s="6">
        <v>3</v>
      </c>
      <c r="AT29" s="169">
        <f t="shared" si="8"/>
        <v>1</v>
      </c>
      <c r="AU29" s="166">
        <f t="shared" si="9"/>
        <v>102.98030000037036</v>
      </c>
      <c r="BH29">
        <v>26</v>
      </c>
      <c r="BI29" t="str">
        <f t="shared" si="11"/>
        <v>Nueva Zelanda</v>
      </c>
      <c r="BJ29" s="6">
        <f>+COUNTIFS('Inputs summary'!I$2:I$106,BI29)</f>
        <v>0</v>
      </c>
      <c r="BK29" s="6">
        <f>+COUNTIFS('Inputs summary'!J$2:K$106,BI29)</f>
        <v>1</v>
      </c>
      <c r="BL29" s="6">
        <f>+COUNTIFS('Inputs summary'!L$2:L$106,BI29)</f>
        <v>2</v>
      </c>
      <c r="BM29" s="6">
        <f t="shared" si="19"/>
        <v>-3</v>
      </c>
      <c r="BN29" s="6">
        <f>+SUMIF('Inputs summary'!$B$1:$B$106,$BI29,'Inputs summary'!$C$1:$C$106)+SUMIF('Inputs summary'!$E$1:$E$106,$BI29,'Inputs summary'!$D$1:$D$106)</f>
        <v>2</v>
      </c>
      <c r="BO29" s="6">
        <f>+SUMIF('Inputs summary'!$B$1:$B$106,$BI29,'Inputs summary'!$D$1:$D$106)+SUMIF('Inputs summary'!$E$1:$E$106,$BI29,'Inputs summary'!$C$1:$C$106)</f>
        <v>5</v>
      </c>
      <c r="BP29" s="166">
        <f t="shared" si="12"/>
        <v>1.9720485000000001</v>
      </c>
    </row>
    <row r="30" spans="7:68" x14ac:dyDescent="0.25">
      <c r="G30">
        <v>27</v>
      </c>
      <c r="H30" t="str">
        <f>+'Groups Stage'!O59</f>
        <v>Belgica</v>
      </c>
      <c r="I30" s="6">
        <f t="shared" si="0"/>
        <v>0</v>
      </c>
      <c r="J30" s="6">
        <f t="shared" si="1"/>
        <v>0</v>
      </c>
      <c r="K30" s="6">
        <f t="shared" si="2"/>
        <v>0</v>
      </c>
      <c r="L30" s="6">
        <f t="shared" si="3"/>
        <v>0</v>
      </c>
      <c r="M30" s="6">
        <f t="shared" si="4"/>
        <v>0</v>
      </c>
      <c r="N30" s="6">
        <f t="shared" si="5"/>
        <v>1</v>
      </c>
      <c r="O30" s="6">
        <f t="shared" si="6"/>
        <v>1</v>
      </c>
      <c r="P30" s="6">
        <f t="shared" si="13"/>
        <v>2</v>
      </c>
      <c r="Q30" s="6">
        <f>+COUNTIFS('Inputs summary'!I:I,$H30)</f>
        <v>3</v>
      </c>
      <c r="R30" s="6">
        <f>+COUNTIFS('Inputs summary'!J:K,$H30)</f>
        <v>2</v>
      </c>
      <c r="S30" s="6">
        <f>+COUNTIFS('Inputs summary'!L:L,$H30)</f>
        <v>0</v>
      </c>
      <c r="T30" s="6">
        <f t="shared" si="14"/>
        <v>4</v>
      </c>
      <c r="U30" s="6">
        <f>+SUMIF('Inputs summary'!B:B,H30,'Inputs summary'!C:C)+SUMIF('Inputs summary'!E:E,H30,'Inputs summary'!D:D)</f>
        <v>7</v>
      </c>
      <c r="V30" s="6">
        <f>+SUMIF('Inputs summary'!B:B,H30,'Inputs summary'!D:D)+SUMIF('Inputs summary'!E:E,H30,'Inputs summary'!C:C)</f>
        <v>3</v>
      </c>
      <c r="W30" s="159">
        <f t="shared" si="15"/>
        <v>211.04070000111111</v>
      </c>
      <c r="X30" s="173">
        <f t="shared" si="16"/>
        <v>11</v>
      </c>
      <c r="Y30" s="167">
        <f t="shared" si="7"/>
        <v>1</v>
      </c>
      <c r="Z30" s="173">
        <f t="shared" si="17"/>
        <v>211.0407010011111</v>
      </c>
      <c r="AA30" s="173">
        <f>+_xlfn.XLOOKUP(H30,'Ranking FIFA'!B:B,'Ranking FIFA'!A:A,"--",0)</f>
        <v>9</v>
      </c>
      <c r="AI30" t="str">
        <f>+'Round of 32 &amp; Round of 16'!H25</f>
        <v>Argentina</v>
      </c>
      <c r="AP30" s="457">
        <f>+_xlfn.XLOOKUP(AQ30,'Ranking FIFA'!B:B,'Ranking FIFA'!A:A,"--",0)</f>
        <v>28</v>
      </c>
      <c r="AQ30" t="s">
        <v>74</v>
      </c>
      <c r="AR30" s="6">
        <v>3</v>
      </c>
      <c r="AT30" s="169">
        <f t="shared" si="8"/>
        <v>1</v>
      </c>
      <c r="AU30" s="166">
        <f t="shared" si="9"/>
        <v>102.98030000035715</v>
      </c>
      <c r="BH30">
        <v>27</v>
      </c>
      <c r="BI30" t="str">
        <f t="shared" si="11"/>
        <v>Belgica</v>
      </c>
      <c r="BJ30" s="6">
        <f>+COUNTIFS('Inputs summary'!I$2:I$106,BI30)</f>
        <v>2</v>
      </c>
      <c r="BK30" s="6">
        <f>+COUNTIFS('Inputs summary'!J$2:K$106,BI30)</f>
        <v>1</v>
      </c>
      <c r="BL30" s="6">
        <f>+COUNTIFS('Inputs summary'!L$2:L$106,BI30)</f>
        <v>0</v>
      </c>
      <c r="BM30" s="6">
        <f t="shared" si="19"/>
        <v>3</v>
      </c>
      <c r="BN30" s="6">
        <f>+SUMIF('Inputs summary'!$B$1:$B$106,$BI30,'Inputs summary'!$C$1:$C$106)+SUMIF('Inputs summary'!$E$1:$E$106,$BI30,'Inputs summary'!$D$1:$D$106)</f>
        <v>5</v>
      </c>
      <c r="BO30" s="6">
        <f>+SUMIF('Inputs summary'!$B$1:$B$106,$BI30,'Inputs summary'!$D$1:$D$106)+SUMIF('Inputs summary'!$E$1:$E$106,$BI30,'Inputs summary'!$C$1:$C$106)</f>
        <v>2</v>
      </c>
      <c r="BP30" s="166">
        <f t="shared" si="12"/>
        <v>8.0350108999999996</v>
      </c>
    </row>
    <row r="31" spans="7:68" x14ac:dyDescent="0.25">
      <c r="G31">
        <v>28</v>
      </c>
      <c r="H31" t="str">
        <f>+'Groups Stage'!O60</f>
        <v>Egipto</v>
      </c>
      <c r="I31" s="6">
        <f t="shared" si="0"/>
        <v>0</v>
      </c>
      <c r="J31" s="6">
        <f t="shared" si="1"/>
        <v>0</v>
      </c>
      <c r="K31" s="6">
        <f t="shared" si="2"/>
        <v>0</v>
      </c>
      <c r="L31" s="6">
        <f t="shared" si="3"/>
        <v>0</v>
      </c>
      <c r="M31" s="6">
        <f t="shared" si="4"/>
        <v>0</v>
      </c>
      <c r="N31" s="6">
        <f t="shared" si="5"/>
        <v>0</v>
      </c>
      <c r="O31" s="6">
        <f t="shared" si="6"/>
        <v>0</v>
      </c>
      <c r="P31" s="6">
        <f t="shared" si="13"/>
        <v>0</v>
      </c>
      <c r="Q31" s="6">
        <f>+COUNTIFS('Inputs summary'!I:I,$H31)</f>
        <v>0</v>
      </c>
      <c r="R31" s="6">
        <f>+COUNTIFS('Inputs summary'!J:K,$H31)</f>
        <v>2</v>
      </c>
      <c r="S31" s="6">
        <f>+COUNTIFS('Inputs summary'!L:L,$H31)</f>
        <v>1</v>
      </c>
      <c r="T31" s="6">
        <f t="shared" si="14"/>
        <v>-1</v>
      </c>
      <c r="U31" s="6">
        <f>+SUMIF('Inputs summary'!B:B,H31,'Inputs summary'!C:C)+SUMIF('Inputs summary'!E:E,H31,'Inputs summary'!D:D)</f>
        <v>4</v>
      </c>
      <c r="V31" s="6">
        <f>+SUMIF('Inputs summary'!B:B,H31,'Inputs summary'!D:D)+SUMIF('Inputs summary'!E:E,H31,'Inputs summary'!C:C)</f>
        <v>5</v>
      </c>
      <c r="W31" s="159">
        <f t="shared" si="15"/>
        <v>1.9904000003448274</v>
      </c>
      <c r="X31" s="173">
        <f t="shared" si="16"/>
        <v>0</v>
      </c>
      <c r="Y31" s="167">
        <f t="shared" si="7"/>
        <v>3</v>
      </c>
      <c r="Z31" s="173">
        <f t="shared" si="17"/>
        <v>1.9904003336781608</v>
      </c>
      <c r="AA31" s="173">
        <f>+_xlfn.XLOOKUP(H31,'Ranking FIFA'!B:B,'Ranking FIFA'!A:A,"--",0)</f>
        <v>29</v>
      </c>
      <c r="AI31" t="str">
        <f>+'Round of 32 &amp; Round of 16'!K25</f>
        <v>Uruguay</v>
      </c>
      <c r="AP31" s="457">
        <f>+_xlfn.XLOOKUP(AQ31,'Ranking FIFA'!B:B,'Ranking FIFA'!A:A,"--",0)</f>
        <v>29</v>
      </c>
      <c r="AQ31" t="s">
        <v>75</v>
      </c>
      <c r="AR31" s="6">
        <v>3</v>
      </c>
      <c r="AT31" s="169">
        <f t="shared" si="8"/>
        <v>0</v>
      </c>
      <c r="AU31" s="166">
        <f t="shared" si="9"/>
        <v>1.9904000003448274</v>
      </c>
      <c r="BH31">
        <v>28</v>
      </c>
      <c r="BI31" t="str">
        <f t="shared" si="11"/>
        <v>Egipto</v>
      </c>
      <c r="BJ31" s="6">
        <f>+COUNTIFS('Inputs summary'!I$2:I$106,BI31)</f>
        <v>0</v>
      </c>
      <c r="BK31" s="6">
        <f>+COUNTIFS('Inputs summary'!J$2:K$106,BI31)</f>
        <v>2</v>
      </c>
      <c r="BL31" s="6">
        <f>+COUNTIFS('Inputs summary'!L$2:L$106,BI31)</f>
        <v>1</v>
      </c>
      <c r="BM31" s="6">
        <f t="shared" si="19"/>
        <v>-1</v>
      </c>
      <c r="BN31" s="6">
        <f>+SUMIF('Inputs summary'!$B$1:$B$106,$BI31,'Inputs summary'!$C$1:$C$106)+SUMIF('Inputs summary'!$E$1:$E$106,$BI31,'Inputs summary'!$D$1:$D$106)</f>
        <v>4</v>
      </c>
      <c r="BO31" s="6">
        <f>+SUMIF('Inputs summary'!$B$1:$B$106,$BI31,'Inputs summary'!$D$1:$D$106)+SUMIF('Inputs summary'!$E$1:$E$106,$BI31,'Inputs summary'!$C$1:$C$106)</f>
        <v>5</v>
      </c>
      <c r="BP31" s="166">
        <f t="shared" si="12"/>
        <v>3.9940329000000006</v>
      </c>
    </row>
    <row r="32" spans="7:68" x14ac:dyDescent="0.25">
      <c r="G32">
        <v>29</v>
      </c>
      <c r="H32" t="str">
        <f>+'Groups Stage'!O66</f>
        <v>España</v>
      </c>
      <c r="I32" s="6">
        <f t="shared" si="0"/>
        <v>0</v>
      </c>
      <c r="J32" s="6">
        <f t="shared" si="1"/>
        <v>0</v>
      </c>
      <c r="K32" s="6">
        <f t="shared" si="2"/>
        <v>0</v>
      </c>
      <c r="L32" s="6">
        <f t="shared" si="3"/>
        <v>0</v>
      </c>
      <c r="M32" s="6">
        <f t="shared" si="4"/>
        <v>0</v>
      </c>
      <c r="N32" s="6">
        <f t="shared" si="5"/>
        <v>1</v>
      </c>
      <c r="O32" s="6">
        <f t="shared" si="6"/>
        <v>1</v>
      </c>
      <c r="P32" s="6">
        <f t="shared" si="13"/>
        <v>2</v>
      </c>
      <c r="Q32" s="6">
        <f>+COUNTIFS('Inputs summary'!I:I,$H32)</f>
        <v>4</v>
      </c>
      <c r="R32" s="6">
        <f>+COUNTIFS('Inputs summary'!J:K,$H32)</f>
        <v>0</v>
      </c>
      <c r="S32" s="6">
        <f>+COUNTIFS('Inputs summary'!L:L,$H32)</f>
        <v>1</v>
      </c>
      <c r="T32" s="6">
        <f t="shared" si="14"/>
        <v>4</v>
      </c>
      <c r="U32" s="6">
        <f>+SUMIF('Inputs summary'!B:B,H32,'Inputs summary'!C:C)+SUMIF('Inputs summary'!E:E,H32,'Inputs summary'!D:D)</f>
        <v>10</v>
      </c>
      <c r="V32" s="6">
        <f>+SUMIF('Inputs summary'!B:B,H32,'Inputs summary'!D:D)+SUMIF('Inputs summary'!E:E,H32,'Inputs summary'!C:C)</f>
        <v>6</v>
      </c>
      <c r="W32" s="159">
        <f t="shared" si="15"/>
        <v>212.041000005</v>
      </c>
      <c r="X32" s="173">
        <f t="shared" si="16"/>
        <v>11</v>
      </c>
      <c r="Y32" s="167">
        <f t="shared" si="7"/>
        <v>1</v>
      </c>
      <c r="Z32" s="173">
        <f t="shared" si="17"/>
        <v>212.041001005</v>
      </c>
      <c r="AA32" s="173">
        <f>+_xlfn.XLOOKUP(H32,'Ranking FIFA'!B:B,'Ranking FIFA'!A:A,"--",0)</f>
        <v>2</v>
      </c>
      <c r="AI32" t="str">
        <f>+'Round of 32 &amp; Round of 16'!H29</f>
        <v>Portugal</v>
      </c>
      <c r="AP32" s="457">
        <f>+_xlfn.XLOOKUP(AQ32,'Ranking FIFA'!B:B,'Ranking FIFA'!A:A,"--",0)</f>
        <v>30</v>
      </c>
      <c r="AQ32" t="s">
        <v>76</v>
      </c>
      <c r="AR32" s="6">
        <v>3</v>
      </c>
      <c r="AT32" s="169">
        <f t="shared" si="8"/>
        <v>11</v>
      </c>
      <c r="AU32" s="166">
        <f t="shared" si="9"/>
        <v>208.02070000033333</v>
      </c>
      <c r="BH32">
        <v>29</v>
      </c>
      <c r="BI32" t="str">
        <f t="shared" si="11"/>
        <v>España</v>
      </c>
      <c r="BJ32" s="6">
        <f>+COUNTIFS('Inputs summary'!I$2:I$106,BI32)</f>
        <v>3</v>
      </c>
      <c r="BK32" s="6">
        <f>+COUNTIFS('Inputs summary'!J$2:K$106,BI32)</f>
        <v>0</v>
      </c>
      <c r="BL32" s="6">
        <f>+COUNTIFS('Inputs summary'!L$2:L$106,BI32)</f>
        <v>0</v>
      </c>
      <c r="BM32" s="6">
        <f t="shared" si="19"/>
        <v>4</v>
      </c>
      <c r="BN32" s="6">
        <f>+SUMIF('Inputs summary'!$B$1:$B$106,$BI32,'Inputs summary'!$C$1:$C$106)+SUMIF('Inputs summary'!$E$1:$E$106,$BI32,'Inputs summary'!$D$1:$D$106)</f>
        <v>7</v>
      </c>
      <c r="BO32" s="6">
        <f>+SUMIF('Inputs summary'!$B$1:$B$106,$BI32,'Inputs summary'!$D$1:$D$106)+SUMIF('Inputs summary'!$E$1:$E$106,$BI32,'Inputs summary'!$C$1:$C$106)</f>
        <v>3</v>
      </c>
      <c r="BP32" s="166">
        <f t="shared" si="12"/>
        <v>9.047010199999999</v>
      </c>
    </row>
    <row r="33" spans="7:68" x14ac:dyDescent="0.25">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0</v>
      </c>
      <c r="S33" s="6">
        <f>+COUNTIFS('Inputs summary'!L:L,$H33)</f>
        <v>3</v>
      </c>
      <c r="T33" s="6">
        <f t="shared" si="14"/>
        <v>-5</v>
      </c>
      <c r="U33" s="6">
        <f>+SUMIF('Inputs summary'!B:B,H33,'Inputs summary'!C:C)+SUMIF('Inputs summary'!E:E,H33,'Inputs summary'!D:D)</f>
        <v>2</v>
      </c>
      <c r="V33" s="6">
        <f>+SUMIF('Inputs summary'!B:B,H33,'Inputs summary'!D:D)+SUMIF('Inputs summary'!E:E,H33,'Inputs summary'!C:C)</f>
        <v>7</v>
      </c>
      <c r="W33" s="159">
        <f t="shared" si="15"/>
        <v>-4.9799999855072469E-2</v>
      </c>
      <c r="X33" s="173">
        <f t="shared" si="16"/>
        <v>0</v>
      </c>
      <c r="Y33" s="167">
        <f t="shared" si="7"/>
        <v>4</v>
      </c>
      <c r="Z33" s="173">
        <f t="shared" si="17"/>
        <v>-4.9799749855072468E-2</v>
      </c>
      <c r="AA33" s="173">
        <f>+_xlfn.XLOOKUP(H33,'Ranking FIFA'!B:B,'Ranking FIFA'!A:A,"--",0)</f>
        <v>69</v>
      </c>
      <c r="AI33" t="str">
        <f>+'Round of 32 &amp; Round of 16'!K29</f>
        <v>Croacia</v>
      </c>
      <c r="AP33" s="457">
        <f>+_xlfn.XLOOKUP(AQ33,'Ranking FIFA'!B:B,'Ranking FIFA'!A:A,"--",0)</f>
        <v>33</v>
      </c>
      <c r="AQ33" t="s">
        <v>77</v>
      </c>
      <c r="AR33" s="6">
        <v>3</v>
      </c>
      <c r="AT33" s="169">
        <f t="shared" si="8"/>
        <v>0</v>
      </c>
      <c r="AU33" s="166">
        <f t="shared" si="9"/>
        <v>-4.9899999696969698E-2</v>
      </c>
      <c r="BH33">
        <v>30</v>
      </c>
      <c r="BI33" t="str">
        <f t="shared" si="11"/>
        <v>Cabo Verde</v>
      </c>
      <c r="BJ33" s="6">
        <f>+COUNTIFS('Inputs summary'!I$2:I$106,BI33)</f>
        <v>0</v>
      </c>
      <c r="BK33" s="6">
        <f>+COUNTIFS('Inputs summary'!J$2:K$106,BI33)</f>
        <v>0</v>
      </c>
      <c r="BL33" s="6">
        <f>+COUNTIFS('Inputs summary'!L$2:L$106,BI33)</f>
        <v>3</v>
      </c>
      <c r="BM33" s="6">
        <f t="shared" si="19"/>
        <v>-5</v>
      </c>
      <c r="BN33" s="6">
        <f>+SUMIF('Inputs summary'!$B$1:$B$106,$BI33,'Inputs summary'!$C$1:$C$106)+SUMIF('Inputs summary'!$E$1:$E$106,$BI33,'Inputs summary'!$D$1:$D$106)</f>
        <v>2</v>
      </c>
      <c r="BO33" s="6">
        <f>+SUMIF('Inputs summary'!$B$1:$B$106,$BI33,'Inputs summary'!$D$1:$D$106)+SUMIF('Inputs summary'!$E$1:$E$106,$BI33,'Inputs summary'!$C$1:$C$106)</f>
        <v>7</v>
      </c>
      <c r="BP33" s="166">
        <f t="shared" si="12"/>
        <v>-4.7953100000000005E-2</v>
      </c>
    </row>
    <row r="34" spans="7:68" x14ac:dyDescent="0.25">
      <c r="G34">
        <v>31</v>
      </c>
      <c r="H34" t="str">
        <f>+'Groups Stage'!O68</f>
        <v>Arabia Saudita</v>
      </c>
      <c r="I34" s="6">
        <f t="shared" si="0"/>
        <v>0</v>
      </c>
      <c r="J34" s="6">
        <f t="shared" si="1"/>
        <v>0</v>
      </c>
      <c r="K34" s="6">
        <f t="shared" si="2"/>
        <v>0</v>
      </c>
      <c r="L34" s="6">
        <f t="shared" si="3"/>
        <v>0</v>
      </c>
      <c r="M34" s="6">
        <f t="shared" si="4"/>
        <v>0</v>
      </c>
      <c r="N34" s="6">
        <f t="shared" si="5"/>
        <v>0</v>
      </c>
      <c r="O34" s="6">
        <f t="shared" si="6"/>
        <v>0</v>
      </c>
      <c r="P34" s="6">
        <f t="shared" si="13"/>
        <v>0</v>
      </c>
      <c r="Q34" s="6">
        <f>+COUNTIFS('Inputs summary'!I:I,$H34)</f>
        <v>1</v>
      </c>
      <c r="R34" s="6">
        <f>+COUNTIFS('Inputs summary'!J:K,$H34)</f>
        <v>0</v>
      </c>
      <c r="S34" s="6">
        <f>+COUNTIFS('Inputs summary'!L:L,$H34)</f>
        <v>2</v>
      </c>
      <c r="T34" s="6">
        <f t="shared" si="14"/>
        <v>-2</v>
      </c>
      <c r="U34" s="6">
        <f>+SUMIF('Inputs summary'!B:B,H34,'Inputs summary'!C:C)+SUMIF('Inputs summary'!E:E,H34,'Inputs summary'!D:D)</f>
        <v>3</v>
      </c>
      <c r="V34" s="6">
        <f>+SUMIF('Inputs summary'!B:B,H34,'Inputs summary'!D:D)+SUMIF('Inputs summary'!E:E,H34,'Inputs summary'!C:C)</f>
        <v>5</v>
      </c>
      <c r="W34" s="159">
        <f t="shared" si="15"/>
        <v>2.9803000001639348</v>
      </c>
      <c r="X34" s="173">
        <f t="shared" si="16"/>
        <v>0</v>
      </c>
      <c r="Y34" s="167">
        <f t="shared" si="7"/>
        <v>3</v>
      </c>
      <c r="Z34" s="173">
        <f t="shared" si="17"/>
        <v>2.9803003334972682</v>
      </c>
      <c r="AA34" s="173">
        <f>+_xlfn.XLOOKUP(H34,'Ranking FIFA'!B:B,'Ranking FIFA'!A:A,"--",0)</f>
        <v>61</v>
      </c>
      <c r="AI34" t="str">
        <f>+'Round of 32 &amp; Round of 16'!H33</f>
        <v>Estados Unidos</v>
      </c>
      <c r="AP34" s="457">
        <f>+_xlfn.XLOOKUP(AQ34,'Ranking FIFA'!B:B,'Ranking FIFA'!A:A,"--",0)</f>
        <v>34</v>
      </c>
      <c r="AQ34" t="s">
        <v>78</v>
      </c>
      <c r="AR34" s="6">
        <v>3</v>
      </c>
      <c r="AT34" s="169">
        <f t="shared" si="8"/>
        <v>1</v>
      </c>
      <c r="AU34" s="166">
        <f t="shared" si="9"/>
        <v>102.98030000029412</v>
      </c>
      <c r="BH34">
        <v>31</v>
      </c>
      <c r="BI34" t="str">
        <f t="shared" si="11"/>
        <v>Arabia Saudita</v>
      </c>
      <c r="BJ34" s="6">
        <f>+COUNTIFS('Inputs summary'!I$2:I$106,BI34)</f>
        <v>1</v>
      </c>
      <c r="BK34" s="6">
        <f>+COUNTIFS('Inputs summary'!J$2:K$106,BI34)</f>
        <v>0</v>
      </c>
      <c r="BL34" s="6">
        <f>+COUNTIFS('Inputs summary'!L$2:L$106,BI34)</f>
        <v>2</v>
      </c>
      <c r="BM34" s="6">
        <f t="shared" si="19"/>
        <v>-2</v>
      </c>
      <c r="BN34" s="6">
        <f>+SUMIF('Inputs summary'!$B$1:$B$106,$BI34,'Inputs summary'!$C$1:$C$106)+SUMIF('Inputs summary'!$E$1:$E$106,$BI34,'Inputs summary'!$D$1:$D$106)</f>
        <v>3</v>
      </c>
      <c r="BO34" s="6">
        <f>+SUMIF('Inputs summary'!$B$1:$B$106,$BI34,'Inputs summary'!$D$1:$D$106)+SUMIF('Inputs summary'!$E$1:$E$106,$BI34,'Inputs summary'!$C$1:$C$106)</f>
        <v>5</v>
      </c>
      <c r="BP34" s="166">
        <f t="shared" si="12"/>
        <v>2.9830361000000001</v>
      </c>
    </row>
    <row r="35" spans="7:68" x14ac:dyDescent="0.25">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0</v>
      </c>
      <c r="S35" s="6">
        <f>+COUNTIFS('Inputs summary'!L:L,$H35)</f>
        <v>2</v>
      </c>
      <c r="T35" s="6">
        <f t="shared" si="14"/>
        <v>1</v>
      </c>
      <c r="U35" s="6">
        <f>+SUMIF('Inputs summary'!B:B,H35,'Inputs summary'!C:C)+SUMIF('Inputs summary'!E:E,H35,'Inputs summary'!D:D)</f>
        <v>8</v>
      </c>
      <c r="V35" s="6">
        <f>+SUMIF('Inputs summary'!B:B,H35,'Inputs summary'!D:D)+SUMIF('Inputs summary'!E:E,H35,'Inputs summary'!C:C)</f>
        <v>7</v>
      </c>
      <c r="W35" s="159">
        <f t="shared" si="15"/>
        <v>106.01080000058823</v>
      </c>
      <c r="X35" s="173">
        <f t="shared" si="16"/>
        <v>1</v>
      </c>
      <c r="Y35" s="167">
        <f t="shared" si="7"/>
        <v>1</v>
      </c>
      <c r="Z35" s="173">
        <f t="shared" si="17"/>
        <v>106.01080100058823</v>
      </c>
      <c r="AA35" s="173">
        <f>+_xlfn.XLOOKUP(H35,'Ranking FIFA'!B:B,'Ranking FIFA'!A:A,"--",0)</f>
        <v>17</v>
      </c>
      <c r="AI35" t="str">
        <f>+'Round of 32 &amp; Round of 16'!K33</f>
        <v>Iran</v>
      </c>
      <c r="AP35" s="457">
        <f>+_xlfn.XLOOKUP(AQ35,'Ranking FIFA'!B:B,'Ranking FIFA'!A:A,"--",0)</f>
        <v>41</v>
      </c>
      <c r="AQ35" s="456" t="s">
        <v>79</v>
      </c>
      <c r="AR35" s="6">
        <v>3</v>
      </c>
      <c r="AT35" s="169">
        <f t="shared" si="8"/>
        <v>1</v>
      </c>
      <c r="AU35" s="166">
        <f t="shared" si="9"/>
        <v>106.0206000002439</v>
      </c>
      <c r="BH35">
        <v>32</v>
      </c>
      <c r="BI35" t="str">
        <f t="shared" si="11"/>
        <v>Uruguay</v>
      </c>
      <c r="BJ35" s="6">
        <f>+COUNTIFS('Inputs summary'!I$2:I$106,BI35)</f>
        <v>2</v>
      </c>
      <c r="BK35" s="6">
        <f>+COUNTIFS('Inputs summary'!J$2:K$106,BI35)</f>
        <v>0</v>
      </c>
      <c r="BL35" s="6">
        <f>+COUNTIFS('Inputs summary'!L$2:L$106,BI35)</f>
        <v>1</v>
      </c>
      <c r="BM35" s="6">
        <f t="shared" si="19"/>
        <v>3</v>
      </c>
      <c r="BN35" s="6">
        <f>+SUMIF('Inputs summary'!$B$1:$B$106,$BI35,'Inputs summary'!$C$1:$C$106)+SUMIF('Inputs summary'!$E$1:$E$106,$BI35,'Inputs summary'!$D$1:$D$106)</f>
        <v>7</v>
      </c>
      <c r="BO35" s="6">
        <f>+SUMIF('Inputs summary'!$B$1:$B$106,$BI35,'Inputs summary'!$D$1:$D$106)+SUMIF('Inputs summary'!$E$1:$E$106,$BI35,'Inputs summary'!$C$1:$C$106)</f>
        <v>4</v>
      </c>
      <c r="BP35" s="166">
        <f t="shared" si="12"/>
        <v>6.0370116999999999</v>
      </c>
    </row>
    <row r="36" spans="7:68" x14ac:dyDescent="0.25">
      <c r="G36">
        <v>33</v>
      </c>
      <c r="H36" t="str">
        <f>+'Groups Stage'!O75</f>
        <v>Francia</v>
      </c>
      <c r="I36" s="6">
        <f t="shared" si="0"/>
        <v>0</v>
      </c>
      <c r="J36" s="6">
        <f t="shared" si="1"/>
        <v>0</v>
      </c>
      <c r="K36" s="6">
        <f t="shared" si="2"/>
        <v>0</v>
      </c>
      <c r="L36" s="6">
        <f t="shared" si="3"/>
        <v>0</v>
      </c>
      <c r="M36" s="6">
        <f t="shared" si="4"/>
        <v>0</v>
      </c>
      <c r="N36" s="6">
        <f t="shared" si="5"/>
        <v>1</v>
      </c>
      <c r="O36" s="6">
        <f t="shared" si="6"/>
        <v>1</v>
      </c>
      <c r="P36" s="6">
        <f t="shared" si="13"/>
        <v>2</v>
      </c>
      <c r="Q36" s="6">
        <f>+COUNTIFS('Inputs summary'!I:I,$H36)</f>
        <v>4</v>
      </c>
      <c r="R36" s="6">
        <f>+COUNTIFS('Inputs summary'!J:K,$H36)</f>
        <v>1</v>
      </c>
      <c r="S36" s="6">
        <f>+COUNTIFS('Inputs summary'!L:L,$H36)</f>
        <v>0</v>
      </c>
      <c r="T36" s="6">
        <f t="shared" si="14"/>
        <v>7</v>
      </c>
      <c r="U36" s="6">
        <f>+SUMIF('Inputs summary'!B:B,H36,'Inputs summary'!C:C)+SUMIF('Inputs summary'!E:E,H36,'Inputs summary'!D:D)</f>
        <v>13</v>
      </c>
      <c r="V36" s="6">
        <f>+SUMIF('Inputs summary'!B:B,H36,'Inputs summary'!D:D)+SUMIF('Inputs summary'!E:E,H36,'Inputs summary'!C:C)</f>
        <v>6</v>
      </c>
      <c r="W36" s="159">
        <f t="shared" si="15"/>
        <v>213.07130000999999</v>
      </c>
      <c r="X36" s="173">
        <f t="shared" si="16"/>
        <v>11</v>
      </c>
      <c r="Y36" s="167">
        <f t="shared" si="7"/>
        <v>1</v>
      </c>
      <c r="Z36" s="173">
        <f t="shared" si="17"/>
        <v>213.07130100999998</v>
      </c>
      <c r="AA36" s="173">
        <f>+_xlfn.XLOOKUP(H36,'Ranking FIFA'!B:B,'Ranking FIFA'!A:A,"--",0)</f>
        <v>1</v>
      </c>
      <c r="AP36" s="457">
        <f>+_xlfn.XLOOKUP(AQ36,'Ranking FIFA'!B:B,'Ranking FIFA'!A:A,"--",0)</f>
        <v>43</v>
      </c>
      <c r="AQ36" t="s">
        <v>80</v>
      </c>
      <c r="AR36" s="6">
        <v>3</v>
      </c>
      <c r="AT36" s="169">
        <f t="shared" si="8"/>
        <v>1</v>
      </c>
      <c r="AU36" s="166">
        <f t="shared" si="9"/>
        <v>104.00050000023256</v>
      </c>
      <c r="BH36">
        <v>33</v>
      </c>
      <c r="BI36" t="str">
        <f t="shared" si="11"/>
        <v>Francia</v>
      </c>
      <c r="BJ36" s="6">
        <f>+COUNTIFS('Inputs summary'!I$2:I$106,BI36)</f>
        <v>3</v>
      </c>
      <c r="BK36" s="6">
        <f>+COUNTIFS('Inputs summary'!J$2:K$106,BI36)</f>
        <v>0</v>
      </c>
      <c r="BL36" s="6">
        <f>+COUNTIFS('Inputs summary'!L$2:L$106,BI36)</f>
        <v>0</v>
      </c>
      <c r="BM36" s="6">
        <f t="shared" si="19"/>
        <v>5</v>
      </c>
      <c r="BN36" s="6">
        <f>+SUMIF('Inputs summary'!$B$1:$B$106,$BI36,'Inputs summary'!$C$1:$C$106)+SUMIF('Inputs summary'!$E$1:$E$106,$BI36,'Inputs summary'!$D$1:$D$106)</f>
        <v>8</v>
      </c>
      <c r="BO36" s="6">
        <f>+SUMIF('Inputs summary'!$B$1:$B$106,$BI36,'Inputs summary'!$D$1:$D$106)+SUMIF('Inputs summary'!$E$1:$E$106,$BI36,'Inputs summary'!$C$1:$C$106)</f>
        <v>3</v>
      </c>
      <c r="BP36" s="166">
        <f t="shared" si="12"/>
        <v>9.0580100999999988</v>
      </c>
    </row>
    <row r="37" spans="7:68" x14ac:dyDescent="0.25">
      <c r="G37">
        <v>34</v>
      </c>
      <c r="H37" t="str">
        <f>+'Groups Stage'!O76</f>
        <v>Senegal</v>
      </c>
      <c r="I37" s="6">
        <f t="shared" si="0"/>
        <v>0</v>
      </c>
      <c r="J37" s="6">
        <f t="shared" si="1"/>
        <v>0</v>
      </c>
      <c r="K37" s="6">
        <f t="shared" si="2"/>
        <v>0</v>
      </c>
      <c r="L37" s="6">
        <f t="shared" si="3"/>
        <v>0</v>
      </c>
      <c r="M37" s="6">
        <f t="shared" si="4"/>
        <v>0</v>
      </c>
      <c r="N37" s="6">
        <f t="shared" si="5"/>
        <v>0</v>
      </c>
      <c r="O37" s="6">
        <f t="shared" si="6"/>
        <v>1</v>
      </c>
      <c r="P37" s="6">
        <f t="shared" si="13"/>
        <v>1</v>
      </c>
      <c r="Q37" s="6">
        <f>+COUNTIFS('Inputs summary'!I:I,$H37)</f>
        <v>1</v>
      </c>
      <c r="R37" s="6">
        <f>+COUNTIFS('Inputs summary'!J:K,$H37)</f>
        <v>1</v>
      </c>
      <c r="S37" s="6">
        <f>+COUNTIFS('Inputs summary'!L:L,$H37)</f>
        <v>2</v>
      </c>
      <c r="T37" s="6">
        <f t="shared" si="14"/>
        <v>-2</v>
      </c>
      <c r="U37" s="6">
        <f>+SUMIF('Inputs summary'!B:B,H37,'Inputs summary'!C:C)+SUMIF('Inputs summary'!E:E,H37,'Inputs summary'!D:D)</f>
        <v>5</v>
      </c>
      <c r="V37" s="6">
        <f>+SUMIF('Inputs summary'!B:B,H37,'Inputs summary'!D:D)+SUMIF('Inputs summary'!E:E,H37,'Inputs summary'!C:C)</f>
        <v>7</v>
      </c>
      <c r="W37" s="159">
        <f t="shared" si="15"/>
        <v>103.98050000071429</v>
      </c>
      <c r="X37" s="173">
        <f t="shared" si="16"/>
        <v>1</v>
      </c>
      <c r="Y37" s="167">
        <f t="shared" si="7"/>
        <v>2</v>
      </c>
      <c r="Z37" s="173">
        <f t="shared" si="17"/>
        <v>103.98050050071429</v>
      </c>
      <c r="AA37" s="173">
        <f>+_xlfn.XLOOKUP(H37,'Ranking FIFA'!B:B,'Ranking FIFA'!A:A,"--",0)</f>
        <v>14</v>
      </c>
      <c r="AP37" s="457">
        <f>+_xlfn.XLOOKUP(AQ37,'Ranking FIFA'!B:B,'Ranking FIFA'!A:A,"--",0)</f>
        <v>44</v>
      </c>
      <c r="AQ37" t="s">
        <v>81</v>
      </c>
      <c r="AR37" s="6">
        <v>3</v>
      </c>
      <c r="AT37" s="169">
        <f t="shared" si="8"/>
        <v>0</v>
      </c>
      <c r="AU37" s="166">
        <f t="shared" si="9"/>
        <v>-4.9799999772727276E-2</v>
      </c>
      <c r="BH37">
        <v>34</v>
      </c>
      <c r="BI37" t="str">
        <f t="shared" si="11"/>
        <v>Senegal</v>
      </c>
      <c r="BJ37" s="6">
        <f>+COUNTIFS('Inputs summary'!I$2:I$106,BI37)</f>
        <v>1</v>
      </c>
      <c r="BK37" s="6">
        <f>+COUNTIFS('Inputs summary'!J$2:K$106,BI37)</f>
        <v>1</v>
      </c>
      <c r="BL37" s="6">
        <f>+COUNTIFS('Inputs summary'!L$2:L$106,BI37)</f>
        <v>1</v>
      </c>
      <c r="BM37" s="6">
        <f t="shared" si="19"/>
        <v>-1</v>
      </c>
      <c r="BN37" s="6">
        <f>+SUMIF('Inputs summary'!$B$1:$B$106,$BI37,'Inputs summary'!$C$1:$C$106)+SUMIF('Inputs summary'!$E$1:$E$106,$BI37,'Inputs summary'!$D$1:$D$106)</f>
        <v>4</v>
      </c>
      <c r="BO37" s="6">
        <f>+SUMIF('Inputs summary'!$B$1:$B$106,$BI37,'Inputs summary'!$D$1:$D$106)+SUMIF('Inputs summary'!$E$1:$E$106,$BI37,'Inputs summary'!$C$1:$C$106)</f>
        <v>5</v>
      </c>
      <c r="BP37" s="166">
        <f t="shared" si="12"/>
        <v>4.9940214000000003</v>
      </c>
    </row>
    <row r="38" spans="7:68" x14ac:dyDescent="0.25">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0</v>
      </c>
      <c r="S38" s="6">
        <f>+COUNTIFS('Inputs summary'!L:L,$H38)</f>
        <v>3</v>
      </c>
      <c r="T38" s="6">
        <f t="shared" si="14"/>
        <v>-5</v>
      </c>
      <c r="U38" s="6">
        <f>+SUMIF('Inputs summary'!B:B,H38,'Inputs summary'!C:C)+SUMIF('Inputs summary'!E:E,H38,'Inputs summary'!D:D)</f>
        <v>1</v>
      </c>
      <c r="V38" s="6">
        <f>+SUMIF('Inputs summary'!B:B,H38,'Inputs summary'!D:D)+SUMIF('Inputs summary'!E:E,H38,'Inputs summary'!C:C)</f>
        <v>6</v>
      </c>
      <c r="W38" s="159">
        <f t="shared" si="15"/>
        <v>-4.9899999824561406E-2</v>
      </c>
      <c r="X38" s="173">
        <f t="shared" si="16"/>
        <v>0</v>
      </c>
      <c r="Y38" s="167">
        <f t="shared" si="7"/>
        <v>4</v>
      </c>
      <c r="Z38" s="173">
        <f t="shared" si="17"/>
        <v>-4.9899749824561405E-2</v>
      </c>
      <c r="AA38" s="173">
        <f>+_xlfn.XLOOKUP(H38,'Ranking FIFA'!B:B,'Ranking FIFA'!A:A,"--",0)</f>
        <v>57</v>
      </c>
      <c r="AP38" s="457">
        <f>+_xlfn.XLOOKUP(AQ38,'Ranking FIFA'!B:B,'Ranking FIFA'!A:A,"--",0)</f>
        <v>60</v>
      </c>
      <c r="AQ38" t="s">
        <v>82</v>
      </c>
      <c r="AR38" s="6">
        <v>3</v>
      </c>
      <c r="AT38" s="169">
        <f t="shared" si="8"/>
        <v>1</v>
      </c>
      <c r="AU38" s="166">
        <f t="shared" si="9"/>
        <v>103.99020000016667</v>
      </c>
      <c r="BH38">
        <v>35</v>
      </c>
      <c r="BI38" t="str">
        <f t="shared" si="11"/>
        <v>Irak</v>
      </c>
      <c r="BJ38" s="6">
        <f>+COUNTIFS('Inputs summary'!I$2:I$106,BI38)</f>
        <v>0</v>
      </c>
      <c r="BK38" s="6">
        <f>+COUNTIFS('Inputs summary'!J$2:K$106,BI38)</f>
        <v>0</v>
      </c>
      <c r="BL38" s="6">
        <f>+COUNTIFS('Inputs summary'!L$2:L$106,BI38)</f>
        <v>3</v>
      </c>
      <c r="BM38" s="6">
        <f t="shared" si="19"/>
        <v>-5</v>
      </c>
      <c r="BN38" s="6">
        <f>+SUMIF('Inputs summary'!$B$1:$B$106,$BI38,'Inputs summary'!$C$1:$C$106)+SUMIF('Inputs summary'!$E$1:$E$106,$BI38,'Inputs summary'!$D$1:$D$106)</f>
        <v>1</v>
      </c>
      <c r="BO38" s="6">
        <f>+SUMIF('Inputs summary'!$B$1:$B$106,$BI38,'Inputs summary'!$D$1:$D$106)+SUMIF('Inputs summary'!$E$1:$E$106,$BI38,'Inputs summary'!$C$1:$C$106)</f>
        <v>6</v>
      </c>
      <c r="BP38" s="166">
        <f t="shared" si="12"/>
        <v>-4.8954300000000006E-2</v>
      </c>
    </row>
    <row r="39" spans="7:68" x14ac:dyDescent="0.25">
      <c r="G39">
        <v>36</v>
      </c>
      <c r="H39" t="str">
        <f>+'Groups Stage'!O78</f>
        <v>Noruega</v>
      </c>
      <c r="I39" s="6">
        <f t="shared" si="0"/>
        <v>0</v>
      </c>
      <c r="J39" s="6">
        <f t="shared" si="1"/>
        <v>0</v>
      </c>
      <c r="K39" s="6">
        <f t="shared" si="2"/>
        <v>0</v>
      </c>
      <c r="L39" s="6">
        <f t="shared" si="3"/>
        <v>0</v>
      </c>
      <c r="M39" s="6">
        <f t="shared" si="4"/>
        <v>0</v>
      </c>
      <c r="N39" s="6">
        <f t="shared" si="5"/>
        <v>0</v>
      </c>
      <c r="O39" s="6">
        <f t="shared" si="6"/>
        <v>1</v>
      </c>
      <c r="P39" s="6">
        <f t="shared" si="13"/>
        <v>1</v>
      </c>
      <c r="Q39" s="6">
        <f>+COUNTIFS('Inputs summary'!I:I,$H39)</f>
        <v>1</v>
      </c>
      <c r="R39" s="6">
        <f>+COUNTIFS('Inputs summary'!J:K,$H39)</f>
        <v>1</v>
      </c>
      <c r="S39" s="6">
        <f>+COUNTIFS('Inputs summary'!L:L,$H39)</f>
        <v>2</v>
      </c>
      <c r="T39" s="6">
        <f t="shared" si="14"/>
        <v>0</v>
      </c>
      <c r="U39" s="6">
        <f>+SUMIF('Inputs summary'!B:B,H39,'Inputs summary'!C:C)+SUMIF('Inputs summary'!E:E,H39,'Inputs summary'!D:D)</f>
        <v>6</v>
      </c>
      <c r="V39" s="6">
        <f>+SUMIF('Inputs summary'!B:B,H39,'Inputs summary'!D:D)+SUMIF('Inputs summary'!E:E,H39,'Inputs summary'!C:C)</f>
        <v>6</v>
      </c>
      <c r="W39" s="159">
        <f t="shared" si="15"/>
        <v>104.00060000032259</v>
      </c>
      <c r="X39" s="173">
        <f t="shared" si="16"/>
        <v>1</v>
      </c>
      <c r="Y39" s="167">
        <f t="shared" si="7"/>
        <v>2</v>
      </c>
      <c r="Z39" s="173">
        <f t="shared" si="17"/>
        <v>104.00060050032259</v>
      </c>
      <c r="AA39" s="173">
        <f>+_xlfn.XLOOKUP(H39,'Ranking FIFA'!B:B,'Ranking FIFA'!A:A,"--",0)</f>
        <v>31</v>
      </c>
      <c r="AP39" s="457">
        <f>+_xlfn.XLOOKUP(AQ39,'Ranking FIFA'!B:B,'Ranking FIFA'!A:A,"--",0)</f>
        <v>61</v>
      </c>
      <c r="AQ39" t="s">
        <v>83</v>
      </c>
      <c r="AR39" s="6">
        <v>3</v>
      </c>
      <c r="AT39" s="169">
        <f t="shared" si="8"/>
        <v>0</v>
      </c>
      <c r="AU39" s="166">
        <f t="shared" si="9"/>
        <v>2.9803000001639348</v>
      </c>
      <c r="BH39">
        <v>36</v>
      </c>
      <c r="BI39" t="str">
        <f t="shared" si="11"/>
        <v>Noruega</v>
      </c>
      <c r="BJ39" s="6">
        <f>+COUNTIFS('Inputs summary'!I$2:I$106,BI39)</f>
        <v>1</v>
      </c>
      <c r="BK39" s="6">
        <f>+COUNTIFS('Inputs summary'!J$2:K$106,BI39)</f>
        <v>1</v>
      </c>
      <c r="BL39" s="6">
        <f>+COUNTIFS('Inputs summary'!L$2:L$106,BI39)</f>
        <v>1</v>
      </c>
      <c r="BM39" s="6">
        <f t="shared" si="19"/>
        <v>1</v>
      </c>
      <c r="BN39" s="6">
        <f>+SUMIF('Inputs summary'!$B$1:$B$106,$BI39,'Inputs summary'!$C$1:$C$106)+SUMIF('Inputs summary'!$E$1:$E$106,$BI39,'Inputs summary'!$D$1:$D$106)</f>
        <v>5</v>
      </c>
      <c r="BO39" s="6">
        <f>+SUMIF('Inputs summary'!$B$1:$B$106,$BI39,'Inputs summary'!$D$1:$D$106)+SUMIF('Inputs summary'!$E$1:$E$106,$BI39,'Inputs summary'!$C$1:$C$106)</f>
        <v>4</v>
      </c>
      <c r="BP39" s="166">
        <f t="shared" si="12"/>
        <v>5.0150230999999996</v>
      </c>
    </row>
    <row r="40" spans="7:68" x14ac:dyDescent="0.25">
      <c r="G40">
        <v>37</v>
      </c>
      <c r="H40" t="str">
        <f>+'Groups Stage'!O84</f>
        <v>Argentina</v>
      </c>
      <c r="I40" s="6">
        <f t="shared" si="0"/>
        <v>2</v>
      </c>
      <c r="J40" s="6">
        <f t="shared" si="1"/>
        <v>2</v>
      </c>
      <c r="K40" s="6">
        <f t="shared" si="2"/>
        <v>0</v>
      </c>
      <c r="L40" s="6">
        <f t="shared" si="3"/>
        <v>1</v>
      </c>
      <c r="M40" s="6">
        <f t="shared" si="4"/>
        <v>1</v>
      </c>
      <c r="N40" s="6">
        <f t="shared" si="5"/>
        <v>1</v>
      </c>
      <c r="O40" s="6">
        <f t="shared" si="6"/>
        <v>1</v>
      </c>
      <c r="P40" s="6">
        <f t="shared" si="13"/>
        <v>8</v>
      </c>
      <c r="Q40" s="6">
        <f>+COUNTIFS('Inputs summary'!I:I,$H40)</f>
        <v>7</v>
      </c>
      <c r="R40" s="6">
        <f>+COUNTIFS('Inputs summary'!J:K,$H40)</f>
        <v>1</v>
      </c>
      <c r="S40" s="6">
        <f>+COUNTIFS('Inputs summary'!L:L,$H40)</f>
        <v>0</v>
      </c>
      <c r="T40" s="6">
        <f t="shared" si="14"/>
        <v>12</v>
      </c>
      <c r="U40" s="6">
        <f>+SUMIF('Inputs summary'!B:B,H40,'Inputs summary'!C:C)+SUMIF('Inputs summary'!E:E,H40,'Inputs summary'!D:D)</f>
        <v>19</v>
      </c>
      <c r="V40" s="6">
        <f>+SUMIF('Inputs summary'!B:B,H40,'Inputs summary'!D:D)+SUMIF('Inputs summary'!E:E,H40,'Inputs summary'!C:C)</f>
        <v>7</v>
      </c>
      <c r="W40" s="159">
        <f t="shared" si="15"/>
        <v>822.12190000333328</v>
      </c>
      <c r="X40" s="173">
        <f t="shared" si="16"/>
        <v>2201111</v>
      </c>
      <c r="Y40" s="167">
        <f t="shared" si="7"/>
        <v>1</v>
      </c>
      <c r="Z40" s="173">
        <f t="shared" si="17"/>
        <v>822.12190100333328</v>
      </c>
      <c r="AA40" s="173">
        <f>+_xlfn.XLOOKUP(H40,'Ranking FIFA'!B:B,'Ranking FIFA'!A:A,"--",0)</f>
        <v>3</v>
      </c>
      <c r="AP40" s="457">
        <f>+_xlfn.XLOOKUP(AQ40,'Ranking FIFA'!B:B,'Ranking FIFA'!A:A,"--",0)</f>
        <v>65</v>
      </c>
      <c r="AQ40" s="456" t="s">
        <v>84</v>
      </c>
      <c r="AR40" s="6">
        <v>3</v>
      </c>
      <c r="AT40" s="169">
        <f t="shared" si="8"/>
        <v>0</v>
      </c>
      <c r="AU40" s="166">
        <f t="shared" si="9"/>
        <v>2.9902000001538465</v>
      </c>
      <c r="BH40">
        <v>37</v>
      </c>
      <c r="BI40" t="str">
        <f t="shared" si="11"/>
        <v>Argentina</v>
      </c>
      <c r="BJ40" s="6">
        <f>+COUNTIFS('Inputs summary'!I$2:I$106,BI40)</f>
        <v>3</v>
      </c>
      <c r="BK40" s="6">
        <f>+COUNTIFS('Inputs summary'!J$2:K$106,BI40)</f>
        <v>0</v>
      </c>
      <c r="BL40" s="6">
        <f>+COUNTIFS('Inputs summary'!L$2:L$106,BI40)</f>
        <v>0</v>
      </c>
      <c r="BM40" s="6">
        <f t="shared" si="19"/>
        <v>4</v>
      </c>
      <c r="BN40" s="6">
        <f>+SUMIF('Inputs summary'!$B$1:$B$106,$BI40,'Inputs summary'!$C$1:$C$106)+SUMIF('Inputs summary'!$E$1:$E$106,$BI40,'Inputs summary'!$D$1:$D$106)</f>
        <v>5</v>
      </c>
      <c r="BO40" s="6">
        <f>+SUMIF('Inputs summary'!$B$1:$B$106,$BI40,'Inputs summary'!$D$1:$D$106)+SUMIF('Inputs summary'!$E$1:$E$106,$BI40,'Inputs summary'!$C$1:$C$106)</f>
        <v>1</v>
      </c>
      <c r="BP40" s="166">
        <f t="shared" si="12"/>
        <v>9.0450102999999995</v>
      </c>
    </row>
    <row r="41" spans="7:68" x14ac:dyDescent="0.25">
      <c r="G41">
        <v>38</v>
      </c>
      <c r="H41" t="str">
        <f>+'Groups Stage'!O85</f>
        <v>Argelia</v>
      </c>
      <c r="I41" s="6">
        <f t="shared" si="0"/>
        <v>0</v>
      </c>
      <c r="J41" s="6">
        <f t="shared" si="1"/>
        <v>0</v>
      </c>
      <c r="K41" s="6">
        <f t="shared" si="2"/>
        <v>0</v>
      </c>
      <c r="L41" s="6">
        <f t="shared" si="3"/>
        <v>0</v>
      </c>
      <c r="M41" s="6">
        <f t="shared" si="4"/>
        <v>0</v>
      </c>
      <c r="N41" s="6">
        <f t="shared" si="5"/>
        <v>0</v>
      </c>
      <c r="O41" s="6">
        <f t="shared" si="6"/>
        <v>1</v>
      </c>
      <c r="P41" s="6">
        <f t="shared" si="13"/>
        <v>1</v>
      </c>
      <c r="Q41" s="6">
        <f>+COUNTIFS('Inputs summary'!I:I,$H41)</f>
        <v>1</v>
      </c>
      <c r="R41" s="6">
        <f>+COUNTIFS('Inputs summary'!J:K,$H41)</f>
        <v>0</v>
      </c>
      <c r="S41" s="6">
        <f>+COUNTIFS('Inputs summary'!L:L,$H41)</f>
        <v>3</v>
      </c>
      <c r="T41" s="6">
        <f t="shared" si="14"/>
        <v>-2</v>
      </c>
      <c r="U41" s="6">
        <f>+SUMIF('Inputs summary'!B:B,H41,'Inputs summary'!C:C)+SUMIF('Inputs summary'!E:E,H41,'Inputs summary'!D:D)</f>
        <v>3</v>
      </c>
      <c r="V41" s="6">
        <f>+SUMIF('Inputs summary'!B:B,H41,'Inputs summary'!D:D)+SUMIF('Inputs summary'!E:E,H41,'Inputs summary'!C:C)</f>
        <v>5</v>
      </c>
      <c r="W41" s="159">
        <f t="shared" si="15"/>
        <v>102.98030000035715</v>
      </c>
      <c r="X41" s="173">
        <f t="shared" si="16"/>
        <v>1</v>
      </c>
      <c r="Y41" s="167">
        <f t="shared" si="7"/>
        <v>3</v>
      </c>
      <c r="Z41" s="173">
        <f t="shared" si="17"/>
        <v>102.98030033369048</v>
      </c>
      <c r="AA41" s="173">
        <f>+_xlfn.XLOOKUP(H41,'Ranking FIFA'!B:B,'Ranking FIFA'!A:A,"--",0)</f>
        <v>28</v>
      </c>
      <c r="AP41" s="457">
        <f>+_xlfn.XLOOKUP(AQ41,'Ranking FIFA'!B:B,'Ranking FIFA'!A:A,"--",0)</f>
        <v>74</v>
      </c>
      <c r="AQ41" t="s">
        <v>85</v>
      </c>
      <c r="AR41" s="6">
        <v>3</v>
      </c>
      <c r="AT41" s="169">
        <f t="shared" si="8"/>
        <v>111</v>
      </c>
      <c r="AU41" s="166">
        <f t="shared" si="9"/>
        <v>313.04110000013515</v>
      </c>
      <c r="BH41">
        <v>38</v>
      </c>
      <c r="BI41" t="str">
        <f t="shared" si="11"/>
        <v>Argelia</v>
      </c>
      <c r="BJ41" s="6">
        <f>+COUNTIFS('Inputs summary'!I$2:I$106,BI41)</f>
        <v>1</v>
      </c>
      <c r="BK41" s="6">
        <f>+COUNTIFS('Inputs summary'!J$2:K$106,BI41)</f>
        <v>0</v>
      </c>
      <c r="BL41" s="6">
        <f>+COUNTIFS('Inputs summary'!L$2:L$106,BI41)</f>
        <v>2</v>
      </c>
      <c r="BM41" s="6">
        <f t="shared" si="19"/>
        <v>-1</v>
      </c>
      <c r="BN41" s="6">
        <f>+SUMIF('Inputs summary'!$B$1:$B$106,$BI41,'Inputs summary'!$C$1:$C$106)+SUMIF('Inputs summary'!$E$1:$E$106,$BI41,'Inputs summary'!$D$1:$D$106)</f>
        <v>3</v>
      </c>
      <c r="BO41" s="6">
        <f>+SUMIF('Inputs summary'!$B$1:$B$106,$BI41,'Inputs summary'!$D$1:$D$106)+SUMIF('Inputs summary'!$E$1:$E$106,$BI41,'Inputs summary'!$C$1:$C$106)</f>
        <v>4</v>
      </c>
      <c r="BP41" s="166">
        <f t="shared" si="12"/>
        <v>2.9930328000000004</v>
      </c>
    </row>
    <row r="42" spans="7:68" x14ac:dyDescent="0.25">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2</v>
      </c>
      <c r="R42" s="6">
        <f>+COUNTIFS('Inputs summary'!J:K,$H42)</f>
        <v>0</v>
      </c>
      <c r="S42" s="6">
        <f>+COUNTIFS('Inputs summary'!L:L,$H42)</f>
        <v>2</v>
      </c>
      <c r="T42" s="6">
        <f t="shared" si="14"/>
        <v>1</v>
      </c>
      <c r="U42" s="6">
        <f>+SUMIF('Inputs summary'!B:B,H42,'Inputs summary'!C:C)+SUMIF('Inputs summary'!E:E,H42,'Inputs summary'!D:D)</f>
        <v>4</v>
      </c>
      <c r="V42" s="6">
        <f>+SUMIF('Inputs summary'!B:B,H42,'Inputs summary'!D:D)+SUMIF('Inputs summary'!E:E,H42,'Inputs summary'!C:C)</f>
        <v>3</v>
      </c>
      <c r="W42" s="159">
        <f t="shared" si="15"/>
        <v>106.01040000041667</v>
      </c>
      <c r="X42" s="173">
        <f t="shared" si="16"/>
        <v>1</v>
      </c>
      <c r="Y42" s="167">
        <f t="shared" si="7"/>
        <v>3</v>
      </c>
      <c r="Z42" s="173">
        <f t="shared" si="17"/>
        <v>106.01040033375</v>
      </c>
      <c r="AA42" s="173">
        <f>+_xlfn.XLOOKUP(H42,'Ranking FIFA'!B:B,'Ranking FIFA'!A:A,"--",0)</f>
        <v>24</v>
      </c>
      <c r="AP42" s="457">
        <f>+_xlfn.XLOOKUP(AQ42,'Ranking FIFA'!B:B,'Ranking FIFA'!A:A,"--",0)</f>
        <v>21</v>
      </c>
      <c r="AQ42" t="s">
        <v>86</v>
      </c>
      <c r="AR42" s="6">
        <v>3</v>
      </c>
      <c r="AT42" s="169">
        <f t="shared" si="8"/>
        <v>1</v>
      </c>
      <c r="AU42" s="166">
        <f t="shared" si="9"/>
        <v>104.99030000047618</v>
      </c>
      <c r="BH42">
        <v>39</v>
      </c>
      <c r="BI42" t="str">
        <f t="shared" si="11"/>
        <v>Austria</v>
      </c>
      <c r="BJ42" s="6">
        <f>+COUNTIFS('Inputs summary'!I$2:I$106,BI42)</f>
        <v>2</v>
      </c>
      <c r="BK42" s="6">
        <f>+COUNTIFS('Inputs summary'!J$2:K$106,BI42)</f>
        <v>0</v>
      </c>
      <c r="BL42" s="6">
        <f>+COUNTIFS('Inputs summary'!L$2:L$106,BI42)</f>
        <v>1</v>
      </c>
      <c r="BM42" s="6">
        <f t="shared" si="19"/>
        <v>2</v>
      </c>
      <c r="BN42" s="6">
        <f>+SUMIF('Inputs summary'!$B$1:$B$106,$BI42,'Inputs summary'!$C$1:$C$106)+SUMIF('Inputs summary'!$E$1:$E$106,$BI42,'Inputs summary'!$D$1:$D$106)</f>
        <v>3</v>
      </c>
      <c r="BO42" s="6">
        <f>+SUMIF('Inputs summary'!$B$1:$B$106,$BI42,'Inputs summary'!$D$1:$D$106)+SUMIF('Inputs summary'!$E$1:$E$106,$BI42,'Inputs summary'!$C$1:$C$106)</f>
        <v>1</v>
      </c>
      <c r="BP42" s="166">
        <f t="shared" si="12"/>
        <v>6.0230323999999991</v>
      </c>
    </row>
    <row r="43" spans="7:68" x14ac:dyDescent="0.25">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0</v>
      </c>
      <c r="S43" s="6">
        <f>+COUNTIFS('Inputs summary'!L:L,$H43)</f>
        <v>3</v>
      </c>
      <c r="T43" s="6">
        <f t="shared" si="14"/>
        <v>-5</v>
      </c>
      <c r="U43" s="6">
        <f>+SUMIF('Inputs summary'!B:B,H43,'Inputs summary'!C:C)+SUMIF('Inputs summary'!E:E,H43,'Inputs summary'!D:D)</f>
        <v>0</v>
      </c>
      <c r="V43" s="6">
        <f>+SUMIF('Inputs summary'!B:B,H43,'Inputs summary'!D:D)+SUMIF('Inputs summary'!E:E,H43,'Inputs summary'!C:C)</f>
        <v>5</v>
      </c>
      <c r="W43" s="159">
        <f t="shared" si="15"/>
        <v>-4.9999999841269842E-2</v>
      </c>
      <c r="X43" s="173">
        <f t="shared" si="16"/>
        <v>0</v>
      </c>
      <c r="Y43" s="167">
        <f t="shared" si="7"/>
        <v>4</v>
      </c>
      <c r="Z43" s="173">
        <f t="shared" si="17"/>
        <v>-4.9999749841269842E-2</v>
      </c>
      <c r="AA43" s="173">
        <f>+_xlfn.XLOOKUP(H43,'Ranking FIFA'!B:B,'Ranking FIFA'!A:A,"--",0)</f>
        <v>63</v>
      </c>
      <c r="AP43" s="457">
        <f>+_xlfn.XLOOKUP(AQ43,'Ranking FIFA'!B:B,'Ranking FIFA'!A:A,"--",0)</f>
        <v>46</v>
      </c>
      <c r="AQ43" s="456" t="s">
        <v>87</v>
      </c>
      <c r="AR43" s="6">
        <v>4</v>
      </c>
      <c r="AT43" s="169">
        <f t="shared" si="8"/>
        <v>0</v>
      </c>
      <c r="AU43" s="166">
        <f t="shared" si="9"/>
        <v>2.9802000002173914</v>
      </c>
      <c r="BH43">
        <v>40</v>
      </c>
      <c r="BI43" t="str">
        <f t="shared" si="11"/>
        <v>Jordania</v>
      </c>
      <c r="BJ43" s="6">
        <f>+COUNTIFS('Inputs summary'!I$2:I$106,BI43)</f>
        <v>0</v>
      </c>
      <c r="BK43" s="6">
        <f>+COUNTIFS('Inputs summary'!J$2:K$106,BI43)</f>
        <v>0</v>
      </c>
      <c r="BL43" s="6">
        <f>+COUNTIFS('Inputs summary'!L$2:L$106,BI43)</f>
        <v>3</v>
      </c>
      <c r="BM43" s="6">
        <f t="shared" si="19"/>
        <v>-5</v>
      </c>
      <c r="BN43" s="6">
        <f>+SUMIF('Inputs summary'!$B$1:$B$106,$BI43,'Inputs summary'!$C$1:$C$106)+SUMIF('Inputs summary'!$E$1:$E$106,$BI43,'Inputs summary'!$D$1:$D$106)</f>
        <v>0</v>
      </c>
      <c r="BO43" s="6">
        <f>+SUMIF('Inputs summary'!$B$1:$B$106,$BI43,'Inputs summary'!$D$1:$D$106)+SUMIF('Inputs summary'!$E$1:$E$106,$BI43,'Inputs summary'!$C$1:$C$106)</f>
        <v>5</v>
      </c>
      <c r="BP43" s="166">
        <f t="shared" si="12"/>
        <v>-4.9953700000000004E-2</v>
      </c>
    </row>
    <row r="44" spans="7:68" x14ac:dyDescent="0.25">
      <c r="G44">
        <v>41</v>
      </c>
      <c r="H44" t="str">
        <f>+'Groups Stage'!O93</f>
        <v>Portugal</v>
      </c>
      <c r="I44" s="6">
        <f t="shared" si="0"/>
        <v>0</v>
      </c>
      <c r="J44" s="6">
        <f t="shared" si="1"/>
        <v>0</v>
      </c>
      <c r="K44" s="6">
        <f t="shared" si="2"/>
        <v>0</v>
      </c>
      <c r="L44" s="6">
        <f t="shared" si="3"/>
        <v>0</v>
      </c>
      <c r="M44" s="6">
        <f t="shared" si="4"/>
        <v>0</v>
      </c>
      <c r="N44" s="6">
        <f t="shared" si="5"/>
        <v>0</v>
      </c>
      <c r="O44" s="6">
        <f t="shared" si="6"/>
        <v>1</v>
      </c>
      <c r="P44" s="6">
        <f t="shared" si="13"/>
        <v>1</v>
      </c>
      <c r="Q44" s="6">
        <f>+COUNTIFS('Inputs summary'!I:I,$H44)</f>
        <v>2</v>
      </c>
      <c r="R44" s="6">
        <f>+COUNTIFS('Inputs summary'!J:K,$H44)</f>
        <v>2</v>
      </c>
      <c r="S44" s="6">
        <f>+COUNTIFS('Inputs summary'!L:L,$H44)</f>
        <v>0</v>
      </c>
      <c r="T44" s="6">
        <f t="shared" si="14"/>
        <v>4</v>
      </c>
      <c r="U44" s="6">
        <f>+SUMIF('Inputs summary'!B:B,H44,'Inputs summary'!C:C)+SUMIF('Inputs summary'!E:E,H44,'Inputs summary'!D:D)</f>
        <v>8</v>
      </c>
      <c r="V44" s="6">
        <f>+SUMIF('Inputs summary'!B:B,H44,'Inputs summary'!D:D)+SUMIF('Inputs summary'!E:E,H44,'Inputs summary'!C:C)</f>
        <v>4</v>
      </c>
      <c r="W44" s="159">
        <f t="shared" si="15"/>
        <v>108.040800002</v>
      </c>
      <c r="X44" s="173">
        <f t="shared" si="16"/>
        <v>1</v>
      </c>
      <c r="Y44" s="167">
        <f t="shared" si="7"/>
        <v>1</v>
      </c>
      <c r="Z44" s="173">
        <f t="shared" si="17"/>
        <v>108.04080100199999</v>
      </c>
      <c r="AA44" s="173">
        <f>+_xlfn.XLOOKUP(H44,'Ranking FIFA'!B:B,'Ranking FIFA'!A:A,"--",0)</f>
        <v>5</v>
      </c>
      <c r="AP44" s="457">
        <f>+_xlfn.XLOOKUP(AQ44,'Ranking FIFA'!B:B,'Ranking FIFA'!A:A,"--",0)</f>
        <v>50</v>
      </c>
      <c r="AQ44" t="s">
        <v>88</v>
      </c>
      <c r="AR44" s="6">
        <v>4</v>
      </c>
      <c r="AT44" s="169">
        <f t="shared" si="8"/>
        <v>0</v>
      </c>
      <c r="AU44" s="166">
        <f t="shared" si="9"/>
        <v>-4.9899999799999997E-2</v>
      </c>
      <c r="BH44">
        <v>41</v>
      </c>
      <c r="BI44" t="str">
        <f t="shared" si="11"/>
        <v>Portugal</v>
      </c>
      <c r="BJ44" s="6">
        <f>+COUNTIFS('Inputs summary'!I$2:I$106,BI44)</f>
        <v>2</v>
      </c>
      <c r="BK44" s="6">
        <f>+COUNTIFS('Inputs summary'!J$2:K$106,BI44)</f>
        <v>1</v>
      </c>
      <c r="BL44" s="6">
        <f>+COUNTIFS('Inputs summary'!L$2:L$106,BI44)</f>
        <v>0</v>
      </c>
      <c r="BM44" s="6">
        <f t="shared" si="19"/>
        <v>4</v>
      </c>
      <c r="BN44" s="6">
        <f>+SUMIF('Inputs summary'!$B$1:$B$106,$BI44,'Inputs summary'!$C$1:$C$106)+SUMIF('Inputs summary'!$E$1:$E$106,$BI44,'Inputs summary'!$D$1:$D$106)</f>
        <v>6</v>
      </c>
      <c r="BO44" s="6">
        <f>+SUMIF('Inputs summary'!$B$1:$B$106,$BI44,'Inputs summary'!$D$1:$D$106)+SUMIF('Inputs summary'!$E$1:$E$106,$BI44,'Inputs summary'!$C$1:$C$106)</f>
        <v>2</v>
      </c>
      <c r="BP44" s="166">
        <f t="shared" si="12"/>
        <v>8.0460104999999995</v>
      </c>
    </row>
    <row r="45" spans="7:68" x14ac:dyDescent="0.25">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1</v>
      </c>
      <c r="R45" s="6">
        <f>+COUNTIFS('Inputs summary'!J:K,$H45)</f>
        <v>0</v>
      </c>
      <c r="S45" s="6">
        <f>+COUNTIFS('Inputs summary'!L:L,$H45)</f>
        <v>2</v>
      </c>
      <c r="T45" s="6">
        <f t="shared" si="14"/>
        <v>-2</v>
      </c>
      <c r="U45" s="6">
        <f>+SUMIF('Inputs summary'!B:B,H45,'Inputs summary'!C:C)+SUMIF('Inputs summary'!E:E,H45,'Inputs summary'!D:D)</f>
        <v>2</v>
      </c>
      <c r="V45" s="6">
        <f>+SUMIF('Inputs summary'!B:B,H45,'Inputs summary'!D:D)+SUMIF('Inputs summary'!E:E,H45,'Inputs summary'!C:C)</f>
        <v>4</v>
      </c>
      <c r="W45" s="159">
        <f t="shared" si="15"/>
        <v>2.9802000002173914</v>
      </c>
      <c r="X45" s="173">
        <f t="shared" si="16"/>
        <v>0</v>
      </c>
      <c r="Y45" s="167">
        <f t="shared" si="7"/>
        <v>4</v>
      </c>
      <c r="Z45" s="173">
        <f t="shared" si="17"/>
        <v>2.9802002502173912</v>
      </c>
      <c r="AA45" s="173">
        <f>+_xlfn.XLOOKUP(H45,'Ranking FIFA'!B:B,'Ranking FIFA'!A:A,"--",0)</f>
        <v>46</v>
      </c>
      <c r="AP45" s="457">
        <f>+_xlfn.XLOOKUP(AQ45,'Ranking FIFA'!B:B,'Ranking FIFA'!A:A,"--",0)</f>
        <v>55</v>
      </c>
      <c r="AQ45" t="s">
        <v>89</v>
      </c>
      <c r="AR45" s="6">
        <v>4</v>
      </c>
      <c r="AT45" s="169">
        <f t="shared" si="8"/>
        <v>0</v>
      </c>
      <c r="AU45" s="166">
        <f t="shared" si="9"/>
        <v>-5.9899999818181816E-2</v>
      </c>
      <c r="BH45">
        <v>42</v>
      </c>
      <c r="BI45" t="str">
        <f t="shared" si="11"/>
        <v>Congo</v>
      </c>
      <c r="BJ45" s="6">
        <f>+COUNTIFS('Inputs summary'!I$2:I$106,BI45)</f>
        <v>1</v>
      </c>
      <c r="BK45" s="6">
        <f>+COUNTIFS('Inputs summary'!J$2:K$106,BI45)</f>
        <v>0</v>
      </c>
      <c r="BL45" s="6">
        <f>+COUNTIFS('Inputs summary'!L$2:L$106,BI45)</f>
        <v>2</v>
      </c>
      <c r="BM45" s="6">
        <f t="shared" si="19"/>
        <v>-2</v>
      </c>
      <c r="BN45" s="6">
        <f>+SUMIF('Inputs summary'!$B$1:$B$106,$BI45,'Inputs summary'!$C$1:$C$106)+SUMIF('Inputs summary'!$E$1:$E$106,$BI45,'Inputs summary'!$D$1:$D$106)</f>
        <v>2</v>
      </c>
      <c r="BO45" s="6">
        <f>+SUMIF('Inputs summary'!$B$1:$B$106,$BI45,'Inputs summary'!$D$1:$D$106)+SUMIF('Inputs summary'!$E$1:$E$106,$BI45,'Inputs summary'!$C$1:$C$106)</f>
        <v>4</v>
      </c>
      <c r="BP45" s="166">
        <f t="shared" si="12"/>
        <v>2.9820445999999996</v>
      </c>
    </row>
    <row r="46" spans="7:68" x14ac:dyDescent="0.25">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0</v>
      </c>
      <c r="S46" s="6">
        <f>+COUNTIFS('Inputs summary'!L:L,$H46)</f>
        <v>3</v>
      </c>
      <c r="T46" s="6">
        <f t="shared" si="14"/>
        <v>-5</v>
      </c>
      <c r="U46" s="6">
        <f>+SUMIF('Inputs summary'!B:B,H46,'Inputs summary'!C:C)+SUMIF('Inputs summary'!E:E,H46,'Inputs summary'!D:D)</f>
        <v>1</v>
      </c>
      <c r="V46" s="6">
        <f>+SUMIF('Inputs summary'!B:B,H46,'Inputs summary'!D:D)+SUMIF('Inputs summary'!E:E,H46,'Inputs summary'!C:C)</f>
        <v>6</v>
      </c>
      <c r="W46" s="159">
        <f t="shared" si="15"/>
        <v>-4.9899999799999997E-2</v>
      </c>
      <c r="X46" s="173">
        <f t="shared" si="16"/>
        <v>0</v>
      </c>
      <c r="Y46" s="167">
        <f t="shared" si="7"/>
        <v>4</v>
      </c>
      <c r="Z46" s="173">
        <f t="shared" si="17"/>
        <v>-4.9899749799999997E-2</v>
      </c>
      <c r="AA46" s="173">
        <f>+_xlfn.XLOOKUP(H46,'Ranking FIFA'!B:B,'Ranking FIFA'!A:A,"--",0)</f>
        <v>50</v>
      </c>
      <c r="AP46" s="457">
        <f>+_xlfn.XLOOKUP(AQ46,'Ranking FIFA'!B:B,'Ranking FIFA'!A:A,"--",0)</f>
        <v>57</v>
      </c>
      <c r="AQ46" s="456" t="s">
        <v>90</v>
      </c>
      <c r="AR46" s="6">
        <v>4</v>
      </c>
      <c r="AT46" s="169">
        <f t="shared" si="8"/>
        <v>0</v>
      </c>
      <c r="AU46" s="166">
        <f t="shared" si="9"/>
        <v>-4.9899999824561406E-2</v>
      </c>
      <c r="BH46">
        <v>43</v>
      </c>
      <c r="BI46" t="str">
        <f t="shared" si="11"/>
        <v>Uzbekistan</v>
      </c>
      <c r="BJ46" s="6">
        <f>+COUNTIFS('Inputs summary'!I$2:I$106,BI46)</f>
        <v>0</v>
      </c>
      <c r="BK46" s="6">
        <f>+COUNTIFS('Inputs summary'!J$2:K$106,BI46)</f>
        <v>0</v>
      </c>
      <c r="BL46" s="6">
        <f>+COUNTIFS('Inputs summary'!L$2:L$106,BI46)</f>
        <v>3</v>
      </c>
      <c r="BM46" s="6">
        <f t="shared" si="19"/>
        <v>-5</v>
      </c>
      <c r="BN46" s="6">
        <f>+SUMIF('Inputs summary'!$B$1:$B$106,$BI46,'Inputs summary'!$C$1:$C$106)+SUMIF('Inputs summary'!$E$1:$E$106,$BI46,'Inputs summary'!$D$1:$D$106)</f>
        <v>1</v>
      </c>
      <c r="BO46" s="6">
        <f>+SUMIF('Inputs summary'!$B$1:$B$106,$BI46,'Inputs summary'!$D$1:$D$106)+SUMIF('Inputs summary'!$E$1:$E$106,$BI46,'Inputs summary'!$C$1:$C$106)</f>
        <v>6</v>
      </c>
      <c r="BP46" s="166">
        <f t="shared" si="12"/>
        <v>-4.8955000000000005E-2</v>
      </c>
    </row>
    <row r="47" spans="7:68" x14ac:dyDescent="0.25">
      <c r="G47">
        <v>44</v>
      </c>
      <c r="H47" t="str">
        <f>+'Groups Stage'!O96</f>
        <v>Colombia</v>
      </c>
      <c r="I47" s="6">
        <f t="shared" si="0"/>
        <v>0</v>
      </c>
      <c r="J47" s="6">
        <f t="shared" si="1"/>
        <v>0</v>
      </c>
      <c r="K47" s="6">
        <f t="shared" si="2"/>
        <v>0</v>
      </c>
      <c r="L47" s="6">
        <f t="shared" si="3"/>
        <v>1</v>
      </c>
      <c r="M47" s="6">
        <f t="shared" si="4"/>
        <v>1</v>
      </c>
      <c r="N47" s="6">
        <f t="shared" si="5"/>
        <v>1</v>
      </c>
      <c r="O47" s="6">
        <f t="shared" si="6"/>
        <v>1</v>
      </c>
      <c r="P47" s="6">
        <f t="shared" si="13"/>
        <v>4</v>
      </c>
      <c r="Q47" s="6">
        <f>+COUNTIFS('Inputs summary'!I:I,$H47)</f>
        <v>5</v>
      </c>
      <c r="R47" s="6">
        <f>+COUNTIFS('Inputs summary'!J:K,$H47)</f>
        <v>1</v>
      </c>
      <c r="S47" s="6">
        <f>+COUNTIFS('Inputs summary'!L:L,$H47)</f>
        <v>2</v>
      </c>
      <c r="T47" s="6">
        <f t="shared" si="14"/>
        <v>5</v>
      </c>
      <c r="U47" s="6">
        <f>+SUMIF('Inputs summary'!B:B,H47,'Inputs summary'!C:C)+SUMIF('Inputs summary'!E:E,H47,'Inputs summary'!D:D)</f>
        <v>15</v>
      </c>
      <c r="V47" s="6">
        <f>+SUMIF('Inputs summary'!B:B,H47,'Inputs summary'!D:D)+SUMIF('Inputs summary'!E:E,H47,'Inputs summary'!C:C)</f>
        <v>10</v>
      </c>
      <c r="W47" s="159">
        <f t="shared" si="15"/>
        <v>416.05150000076924</v>
      </c>
      <c r="X47" s="173">
        <f t="shared" si="16"/>
        <v>1111</v>
      </c>
      <c r="Y47" s="167">
        <f t="shared" si="7"/>
        <v>2</v>
      </c>
      <c r="Z47" s="173">
        <f t="shared" si="17"/>
        <v>416.05150050076924</v>
      </c>
      <c r="AA47" s="173">
        <f>+_xlfn.XLOOKUP(H47,'Ranking FIFA'!B:B,'Ranking FIFA'!A:A,"--",0)</f>
        <v>13</v>
      </c>
      <c r="AP47" s="457">
        <f>+_xlfn.XLOOKUP(AQ47,'Ranking FIFA'!B:B,'Ranking FIFA'!A:A,"--",0)</f>
        <v>63</v>
      </c>
      <c r="AQ47" t="s">
        <v>91</v>
      </c>
      <c r="AR47" s="6">
        <v>4</v>
      </c>
      <c r="AT47" s="169">
        <f t="shared" si="8"/>
        <v>0</v>
      </c>
      <c r="AU47" s="166">
        <f t="shared" si="9"/>
        <v>-4.9999999841269842E-2</v>
      </c>
      <c r="BH47">
        <v>44</v>
      </c>
      <c r="BI47" t="str">
        <f t="shared" si="11"/>
        <v>Colombia</v>
      </c>
      <c r="BJ47" s="6">
        <f>+COUNTIFS('Inputs summary'!I$2:I$106,BI47)</f>
        <v>2</v>
      </c>
      <c r="BK47" s="6">
        <f>+COUNTIFS('Inputs summary'!J$2:K$106,BI47)</f>
        <v>1</v>
      </c>
      <c r="BL47" s="6">
        <f>+COUNTIFS('Inputs summary'!L$2:L$106,BI47)</f>
        <v>0</v>
      </c>
      <c r="BM47" s="6">
        <f t="shared" si="19"/>
        <v>3</v>
      </c>
      <c r="BN47" s="6">
        <f>+SUMIF('Inputs summary'!$B$1:$B$106,$BI47,'Inputs summary'!$C$1:$C$106)+SUMIF('Inputs summary'!$E$1:$E$106,$BI47,'Inputs summary'!$D$1:$D$106)</f>
        <v>7</v>
      </c>
      <c r="BO47" s="6">
        <f>+SUMIF('Inputs summary'!$B$1:$B$106,$BI47,'Inputs summary'!$D$1:$D$106)+SUMIF('Inputs summary'!$E$1:$E$106,$BI47,'Inputs summary'!$C$1:$C$106)</f>
        <v>4</v>
      </c>
      <c r="BP47" s="166">
        <f t="shared" si="12"/>
        <v>8.0370212999999975</v>
      </c>
    </row>
    <row r="48" spans="7:68" x14ac:dyDescent="0.25">
      <c r="G48">
        <v>45</v>
      </c>
      <c r="H48" t="str">
        <f>+'Groups Stage'!O102</f>
        <v>Inglaterra</v>
      </c>
      <c r="I48" s="6">
        <f t="shared" si="0"/>
        <v>0</v>
      </c>
      <c r="J48" s="6">
        <f t="shared" si="1"/>
        <v>0</v>
      </c>
      <c r="K48" s="6">
        <f t="shared" si="2"/>
        <v>0</v>
      </c>
      <c r="L48" s="6">
        <f t="shared" si="3"/>
        <v>0</v>
      </c>
      <c r="M48" s="6">
        <f t="shared" si="4"/>
        <v>0</v>
      </c>
      <c r="N48" s="6">
        <f t="shared" si="5"/>
        <v>0</v>
      </c>
      <c r="O48" s="6">
        <f t="shared" si="6"/>
        <v>1</v>
      </c>
      <c r="P48" s="6">
        <f t="shared" si="13"/>
        <v>1</v>
      </c>
      <c r="Q48" s="6">
        <f>+COUNTIFS('Inputs summary'!I:I,$H48)</f>
        <v>2</v>
      </c>
      <c r="R48" s="6">
        <f>+COUNTIFS('Inputs summary'!J:K,$H48)</f>
        <v>1</v>
      </c>
      <c r="S48" s="6">
        <f>+COUNTIFS('Inputs summary'!L:L,$H48)</f>
        <v>1</v>
      </c>
      <c r="T48" s="6">
        <f t="shared" si="14"/>
        <v>1</v>
      </c>
      <c r="U48" s="6">
        <f>+SUMIF('Inputs summary'!B:B,H48,'Inputs summary'!C:C)+SUMIF('Inputs summary'!E:E,H48,'Inputs summary'!D:D)</f>
        <v>7</v>
      </c>
      <c r="V48" s="6">
        <f>+SUMIF('Inputs summary'!B:B,H48,'Inputs summary'!D:D)+SUMIF('Inputs summary'!E:E,H48,'Inputs summary'!C:C)</f>
        <v>6</v>
      </c>
      <c r="W48" s="159">
        <f t="shared" si="15"/>
        <v>107.0107000025</v>
      </c>
      <c r="X48" s="173">
        <f t="shared" si="16"/>
        <v>1</v>
      </c>
      <c r="Y48" s="167">
        <f t="shared" si="7"/>
        <v>1</v>
      </c>
      <c r="Z48" s="173">
        <f t="shared" si="17"/>
        <v>107.0107010025</v>
      </c>
      <c r="AA48" s="173">
        <f>+_xlfn.XLOOKUP(H48,'Ranking FIFA'!B:B,'Ranking FIFA'!A:A,"--",0)</f>
        <v>4</v>
      </c>
      <c r="AP48" s="457">
        <f>+_xlfn.XLOOKUP(AQ48,'Ranking FIFA'!B:B,'Ranking FIFA'!A:A,"--",0)</f>
        <v>69</v>
      </c>
      <c r="AQ48" t="s">
        <v>92</v>
      </c>
      <c r="AR48" s="6">
        <v>4</v>
      </c>
      <c r="AT48" s="169">
        <f t="shared" si="8"/>
        <v>0</v>
      </c>
      <c r="AU48" s="166">
        <f t="shared" si="9"/>
        <v>-4.9799999855072469E-2</v>
      </c>
      <c r="BH48">
        <v>45</v>
      </c>
      <c r="BI48" t="str">
        <f t="shared" si="11"/>
        <v>Inglaterra</v>
      </c>
      <c r="BJ48" s="6">
        <f>+COUNTIFS('Inputs summary'!I$2:I$106,BI48)</f>
        <v>2</v>
      </c>
      <c r="BK48" s="6">
        <f>+COUNTIFS('Inputs summary'!J$2:K$106,BI48)</f>
        <v>1</v>
      </c>
      <c r="BL48" s="6">
        <f>+COUNTIFS('Inputs summary'!L$2:L$106,BI48)</f>
        <v>0</v>
      </c>
      <c r="BM48" s="6">
        <f t="shared" si="19"/>
        <v>2</v>
      </c>
      <c r="BN48" s="6">
        <f>+SUMIF('Inputs summary'!$B$1:$B$106,$BI48,'Inputs summary'!$C$1:$C$106)+SUMIF('Inputs summary'!$E$1:$E$106,$BI48,'Inputs summary'!$D$1:$D$106)</f>
        <v>6</v>
      </c>
      <c r="BO48" s="6">
        <f>+SUMIF('Inputs summary'!$B$1:$B$106,$BI48,'Inputs summary'!$D$1:$D$106)+SUMIF('Inputs summary'!$E$1:$E$106,$BI48,'Inputs summary'!$C$1:$C$106)</f>
        <v>4</v>
      </c>
      <c r="BP48" s="166">
        <f t="shared" si="12"/>
        <v>8.0260103999999988</v>
      </c>
    </row>
    <row r="49" spans="7:68" x14ac:dyDescent="0.25">
      <c r="G49">
        <v>46</v>
      </c>
      <c r="H49" t="str">
        <f>+'Groups Stage'!O103</f>
        <v>Croacia</v>
      </c>
      <c r="I49" s="6">
        <f t="shared" si="0"/>
        <v>0</v>
      </c>
      <c r="J49" s="6">
        <f t="shared" si="1"/>
        <v>0</v>
      </c>
      <c r="K49" s="6">
        <f t="shared" si="2"/>
        <v>0</v>
      </c>
      <c r="L49" s="6">
        <f t="shared" si="3"/>
        <v>0</v>
      </c>
      <c r="M49" s="6">
        <f t="shared" si="4"/>
        <v>1</v>
      </c>
      <c r="N49" s="6">
        <f t="shared" si="5"/>
        <v>1</v>
      </c>
      <c r="O49" s="6">
        <f t="shared" si="6"/>
        <v>1</v>
      </c>
      <c r="P49" s="6">
        <f t="shared" si="13"/>
        <v>3</v>
      </c>
      <c r="Q49" s="6">
        <f>+COUNTIFS('Inputs summary'!I:I,$H49)</f>
        <v>2</v>
      </c>
      <c r="R49" s="6">
        <f>+COUNTIFS('Inputs summary'!J:K,$H49)</f>
        <v>1</v>
      </c>
      <c r="S49" s="6">
        <f>+COUNTIFS('Inputs summary'!L:L,$H49)</f>
        <v>3</v>
      </c>
      <c r="T49" s="6">
        <f t="shared" si="14"/>
        <v>0</v>
      </c>
      <c r="U49" s="6">
        <f>+SUMIF('Inputs summary'!B:B,H49,'Inputs summary'!C:C)+SUMIF('Inputs summary'!E:E,H49,'Inputs summary'!D:D)</f>
        <v>10</v>
      </c>
      <c r="V49" s="6">
        <f>+SUMIF('Inputs summary'!B:B,H49,'Inputs summary'!D:D)+SUMIF('Inputs summary'!E:E,H49,'Inputs summary'!C:C)</f>
        <v>10</v>
      </c>
      <c r="W49" s="159">
        <f t="shared" si="15"/>
        <v>307.00100000090907</v>
      </c>
      <c r="X49" s="173">
        <f t="shared" si="16"/>
        <v>111</v>
      </c>
      <c r="Y49" s="167">
        <f t="shared" si="7"/>
        <v>1</v>
      </c>
      <c r="Z49" s="173">
        <f t="shared" si="17"/>
        <v>307.00100100090907</v>
      </c>
      <c r="AA49" s="173">
        <f>+_xlfn.XLOOKUP(H49,'Ranking FIFA'!B:B,'Ranking FIFA'!A:A,"--",0)</f>
        <v>11</v>
      </c>
      <c r="AP49" s="457">
        <f>+_xlfn.XLOOKUP(AQ49,'Ranking FIFA'!B:B,'Ranking FIFA'!A:A,"--",0)</f>
        <v>82</v>
      </c>
      <c r="AQ49" t="s">
        <v>93</v>
      </c>
      <c r="AR49" s="6">
        <v>4</v>
      </c>
      <c r="AT49" s="169">
        <f t="shared" si="8"/>
        <v>0</v>
      </c>
      <c r="AU49" s="166">
        <f t="shared" si="9"/>
        <v>-7.9999999878048789E-2</v>
      </c>
      <c r="BH49">
        <v>46</v>
      </c>
      <c r="BI49" t="str">
        <f t="shared" si="11"/>
        <v>Croacia</v>
      </c>
      <c r="BJ49" s="6">
        <f>+COUNTIFS('Inputs summary'!I$2:I$106,BI49)</f>
        <v>1</v>
      </c>
      <c r="BK49" s="6">
        <f>+COUNTIFS('Inputs summary'!J$2:K$106,BI49)</f>
        <v>0</v>
      </c>
      <c r="BL49" s="6">
        <f>+COUNTIFS('Inputs summary'!L$2:L$106,BI49)</f>
        <v>2</v>
      </c>
      <c r="BM49" s="6">
        <f t="shared" si="19"/>
        <v>0</v>
      </c>
      <c r="BN49" s="6">
        <f>+SUMIF('Inputs summary'!$B$1:$B$106,$BI49,'Inputs summary'!$C$1:$C$106)+SUMIF('Inputs summary'!$E$1:$E$106,$BI49,'Inputs summary'!$D$1:$D$106)</f>
        <v>5</v>
      </c>
      <c r="BO49" s="6">
        <f>+SUMIF('Inputs summary'!$B$1:$B$106,$BI49,'Inputs summary'!$D$1:$D$106)+SUMIF('Inputs summary'!$E$1:$E$106,$BI49,'Inputs summary'!$C$1:$C$106)</f>
        <v>5</v>
      </c>
      <c r="BP49" s="166">
        <f t="shared" si="12"/>
        <v>3.0050110999999999</v>
      </c>
    </row>
    <row r="50" spans="7:68" x14ac:dyDescent="0.25">
      <c r="G50">
        <v>47</v>
      </c>
      <c r="H50" t="str">
        <f>+'Groups Stage'!O104</f>
        <v>Ghana</v>
      </c>
      <c r="I50" s="6">
        <f t="shared" si="0"/>
        <v>0</v>
      </c>
      <c r="J50" s="6">
        <f t="shared" si="1"/>
        <v>0</v>
      </c>
      <c r="K50" s="6">
        <f t="shared" si="2"/>
        <v>0</v>
      </c>
      <c r="L50" s="6">
        <f t="shared" si="3"/>
        <v>0</v>
      </c>
      <c r="M50" s="6">
        <f t="shared" si="4"/>
        <v>1</v>
      </c>
      <c r="N50" s="6">
        <f t="shared" si="5"/>
        <v>1</v>
      </c>
      <c r="O50" s="6">
        <f t="shared" si="6"/>
        <v>1</v>
      </c>
      <c r="P50" s="6">
        <f t="shared" si="13"/>
        <v>3</v>
      </c>
      <c r="Q50" s="6">
        <f>+COUNTIFS('Inputs summary'!I:I,$H50)</f>
        <v>4</v>
      </c>
      <c r="R50" s="6">
        <f>+COUNTIFS('Inputs summary'!J:K,$H50)</f>
        <v>1</v>
      </c>
      <c r="S50" s="6">
        <f>+COUNTIFS('Inputs summary'!L:L,$H50)</f>
        <v>1</v>
      </c>
      <c r="T50" s="6">
        <f t="shared" si="14"/>
        <v>4</v>
      </c>
      <c r="U50" s="6">
        <f>+SUMIF('Inputs summary'!B:B,H50,'Inputs summary'!C:C)+SUMIF('Inputs summary'!E:E,H50,'Inputs summary'!D:D)</f>
        <v>11</v>
      </c>
      <c r="V50" s="6">
        <f>+SUMIF('Inputs summary'!B:B,H50,'Inputs summary'!D:D)+SUMIF('Inputs summary'!E:E,H50,'Inputs summary'!C:C)</f>
        <v>7</v>
      </c>
      <c r="W50" s="159">
        <f t="shared" si="15"/>
        <v>313.04110000013515</v>
      </c>
      <c r="X50" s="173">
        <f t="shared" si="16"/>
        <v>111</v>
      </c>
      <c r="Y50" s="167">
        <f t="shared" si="7"/>
        <v>3</v>
      </c>
      <c r="Z50" s="173">
        <f t="shared" si="17"/>
        <v>313.04110033346848</v>
      </c>
      <c r="AA50" s="173">
        <f>+_xlfn.XLOOKUP(H50,'Ranking FIFA'!B:B,'Ranking FIFA'!A:A,"--",0)</f>
        <v>74</v>
      </c>
      <c r="AP50" s="457">
        <f>+_xlfn.XLOOKUP(AQ50,'Ranking FIFA'!B:B,'Ranking FIFA'!A:A,"--",0)</f>
        <v>83</v>
      </c>
      <c r="AQ50" t="s">
        <v>94</v>
      </c>
      <c r="AR50" s="6">
        <v>4</v>
      </c>
      <c r="AT50" s="169">
        <f t="shared" si="8"/>
        <v>0</v>
      </c>
      <c r="AU50" s="166">
        <f t="shared" si="9"/>
        <v>-9.9999999879518076E-2</v>
      </c>
      <c r="BH50">
        <v>47</v>
      </c>
      <c r="BI50" t="str">
        <f t="shared" si="11"/>
        <v>Ghana</v>
      </c>
      <c r="BJ50" s="6">
        <f>+COUNTIFS('Inputs summary'!I$2:I$106,BI50)</f>
        <v>2</v>
      </c>
      <c r="BK50" s="6">
        <f>+COUNTIFS('Inputs summary'!J$2:K$106,BI50)</f>
        <v>1</v>
      </c>
      <c r="BL50" s="6">
        <f>+COUNTIFS('Inputs summary'!L$2:L$106,BI50)</f>
        <v>0</v>
      </c>
      <c r="BM50" s="6">
        <f t="shared" si="19"/>
        <v>3</v>
      </c>
      <c r="BN50" s="6">
        <f>+SUMIF('Inputs summary'!$B$1:$B$106,$BI50,'Inputs summary'!$C$1:$C$106)+SUMIF('Inputs summary'!$E$1:$E$106,$BI50,'Inputs summary'!$D$1:$D$106)</f>
        <v>7</v>
      </c>
      <c r="BO50" s="6">
        <f>+SUMIF('Inputs summary'!$B$1:$B$106,$BI50,'Inputs summary'!$D$1:$D$106)+SUMIF('Inputs summary'!$E$1:$E$106,$BI50,'Inputs summary'!$C$1:$C$106)</f>
        <v>4</v>
      </c>
      <c r="BP50" s="166">
        <f t="shared" si="12"/>
        <v>8.0370373999999991</v>
      </c>
    </row>
    <row r="51" spans="7:68" x14ac:dyDescent="0.25">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0</v>
      </c>
      <c r="S51" s="6">
        <f>+COUNTIFS('Inputs summary'!L:L,$H51)</f>
        <v>3</v>
      </c>
      <c r="T51" s="6">
        <f t="shared" si="14"/>
        <v>-5</v>
      </c>
      <c r="U51" s="6">
        <f>+SUMIF('Inputs summary'!B:B,H51,'Inputs summary'!C:C)+SUMIF('Inputs summary'!E:E,H51,'Inputs summary'!D:D)</f>
        <v>1</v>
      </c>
      <c r="V51" s="6">
        <f>+SUMIF('Inputs summary'!B:B,H51,'Inputs summary'!D:D)+SUMIF('Inputs summary'!E:E,H51,'Inputs summary'!C:C)</f>
        <v>6</v>
      </c>
      <c r="W51" s="159">
        <f t="shared" si="15"/>
        <v>-4.9899999696969698E-2</v>
      </c>
      <c r="X51" s="173">
        <f t="shared" si="16"/>
        <v>0</v>
      </c>
      <c r="Y51" s="167">
        <f t="shared" si="7"/>
        <v>3</v>
      </c>
      <c r="Z51" s="173">
        <f t="shared" si="17"/>
        <v>-4.9899666363636366E-2</v>
      </c>
      <c r="AA51" s="173">
        <f>+_xlfn.XLOOKUP(H51,'Ranking FIFA'!B:B,'Ranking FIFA'!A:A,"--",0)</f>
        <v>33</v>
      </c>
      <c r="AP51" s="457">
        <f>+_xlfn.XLOOKUP(AQ51,'Ranking FIFA'!B:B,'Ranking FIFA'!A:A,"--",0)</f>
        <v>85</v>
      </c>
      <c r="AQ51" t="s">
        <v>95</v>
      </c>
      <c r="AR51" s="6">
        <v>4</v>
      </c>
      <c r="AT51" s="169">
        <f t="shared" si="8"/>
        <v>0</v>
      </c>
      <c r="AU51" s="166">
        <f t="shared" si="9"/>
        <v>0.97020000011764707</v>
      </c>
      <c r="BH51">
        <v>48</v>
      </c>
      <c r="BI51" t="str">
        <f t="shared" si="11"/>
        <v>Panama</v>
      </c>
      <c r="BJ51" s="6">
        <f>+COUNTIFS('Inputs summary'!I$2:I$106,BI51)</f>
        <v>0</v>
      </c>
      <c r="BK51" s="6">
        <f>+COUNTIFS('Inputs summary'!J$2:K$106,BI51)</f>
        <v>0</v>
      </c>
      <c r="BL51" s="6">
        <f>+COUNTIFS('Inputs summary'!L$2:L$106,BI51)</f>
        <v>3</v>
      </c>
      <c r="BM51" s="6">
        <f t="shared" si="19"/>
        <v>-5</v>
      </c>
      <c r="BN51" s="6">
        <f>+SUMIF('Inputs summary'!$B$1:$B$106,$BI51,'Inputs summary'!$C$1:$C$106)+SUMIF('Inputs summary'!$E$1:$E$106,$BI51,'Inputs summary'!$D$1:$D$106)</f>
        <v>1</v>
      </c>
      <c r="BO51" s="6">
        <f>+SUMIF('Inputs summary'!$B$1:$B$106,$BI51,'Inputs summary'!$D$1:$D$106)+SUMIF('Inputs summary'!$E$1:$E$106,$BI51,'Inputs summary'!$C$1:$C$106)</f>
        <v>6</v>
      </c>
      <c r="BP51" s="166">
        <f t="shared" si="12"/>
        <v>-4.8966700000000002E-2</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3.8" x14ac:dyDescent="0.25"/>
  <cols>
    <col min="1" max="1" width="13.59765625" style="453" bestFit="1" customWidth="1"/>
    <col min="2" max="2" width="88.69921875" style="453" customWidth="1"/>
  </cols>
  <sheetData>
    <row r="1" spans="1:2" ht="69" x14ac:dyDescent="0.25">
      <c r="A1" s="453" t="s">
        <v>53</v>
      </c>
      <c r="B1" s="455" t="s">
        <v>853</v>
      </c>
    </row>
    <row r="2" spans="1:2" ht="41.4" x14ac:dyDescent="0.25">
      <c r="A2" s="453" t="s">
        <v>56</v>
      </c>
      <c r="B2" s="455" t="s">
        <v>854</v>
      </c>
    </row>
    <row r="3" spans="1:2" ht="69" x14ac:dyDescent="0.25">
      <c r="A3" s="453" t="s">
        <v>54</v>
      </c>
      <c r="B3" s="455" t="s">
        <v>855</v>
      </c>
    </row>
    <row r="4" spans="1:2" ht="41.4" x14ac:dyDescent="0.25">
      <c r="A4" s="453" t="s">
        <v>55</v>
      </c>
      <c r="B4" s="455" t="s">
        <v>856</v>
      </c>
    </row>
    <row r="5" spans="1:2" ht="55.2" x14ac:dyDescent="0.25">
      <c r="A5" s="453" t="s">
        <v>49</v>
      </c>
      <c r="B5" s="455" t="s">
        <v>857</v>
      </c>
    </row>
    <row r="6" spans="1:2" ht="55.2" x14ac:dyDescent="0.25">
      <c r="A6" s="453" t="s">
        <v>58</v>
      </c>
      <c r="B6" s="455" t="s">
        <v>858</v>
      </c>
    </row>
    <row r="7" spans="1:2" ht="41.4" x14ac:dyDescent="0.25">
      <c r="A7" s="453" t="s">
        <v>48</v>
      </c>
      <c r="B7" s="455" t="s">
        <v>859</v>
      </c>
    </row>
    <row r="8" spans="1:2" ht="55.2" x14ac:dyDescent="0.25">
      <c r="A8" s="453" t="s">
        <v>50</v>
      </c>
      <c r="B8" s="455" t="s">
        <v>860</v>
      </c>
    </row>
    <row r="9" spans="1:2" ht="124.2" x14ac:dyDescent="0.25">
      <c r="A9" s="453" t="s">
        <v>52</v>
      </c>
      <c r="B9" s="455" t="s">
        <v>861</v>
      </c>
    </row>
    <row r="10" spans="1:2" ht="41.4" x14ac:dyDescent="0.25">
      <c r="A10" s="453" t="s">
        <v>51</v>
      </c>
      <c r="B10" s="455" t="s">
        <v>862</v>
      </c>
    </row>
    <row r="11" spans="1:2" ht="41.4" x14ac:dyDescent="0.25">
      <c r="A11" s="453" t="s">
        <v>57</v>
      </c>
      <c r="B11" s="455" t="s">
        <v>863</v>
      </c>
    </row>
    <row r="12" spans="1:2" ht="41.4" x14ac:dyDescent="0.25">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Argentina como campeón. Desconocemos si lo hace a conciencia, si lo hace para destacarse, o si simplemente lo hace para joder. Sea como sea lo felicitamos; LA ESPERANZA ES LO ÚLTIMO QUE SE PIERDE. Celebramos su elección y le deseamos mucha suerte.</v>
      </c>
    </row>
    <row r="13" spans="1:2" x14ac:dyDescent="0.25">
      <c r="B13" s="454"/>
    </row>
    <row r="14" spans="1:2" x14ac:dyDescent="0.25">
      <c r="B14" s="454"/>
    </row>
    <row r="15" spans="1:2" x14ac:dyDescent="0.25">
      <c r="B15" s="454"/>
    </row>
    <row r="16" spans="1:2" x14ac:dyDescent="0.25">
      <c r="B16" s="454"/>
    </row>
    <row r="17" spans="2:2" x14ac:dyDescent="0.25">
      <c r="B17" s="454"/>
    </row>
    <row r="18" spans="2:2" x14ac:dyDescent="0.25">
      <c r="B18" s="454"/>
    </row>
    <row r="19" spans="2:2" x14ac:dyDescent="0.25">
      <c r="B19" s="454"/>
    </row>
    <row r="20" spans="2:2" x14ac:dyDescent="0.25">
      <c r="B20" s="454"/>
    </row>
    <row r="21" spans="2:2" x14ac:dyDescent="0.25">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3.8" x14ac:dyDescent="0.25"/>
  <cols>
    <col min="1" max="1" width="8.09765625" bestFit="1" customWidth="1"/>
    <col min="2" max="2" width="20.5" bestFit="1" customWidth="1"/>
    <col min="3" max="3" width="15.296875" bestFit="1" customWidth="1"/>
    <col min="4" max="4" width="10.19921875" bestFit="1" customWidth="1"/>
    <col min="5" max="5" width="16.09765625" bestFit="1" customWidth="1"/>
  </cols>
  <sheetData>
    <row r="1" spans="1:6" x14ac:dyDescent="0.25">
      <c r="A1">
        <v>1</v>
      </c>
      <c r="B1" t="str">
        <f>+_xlfn.XLOOKUP(A1,F:F,E:E,"--",0)</f>
        <v>Francia</v>
      </c>
      <c r="E1" t="s">
        <v>56</v>
      </c>
      <c r="F1">
        <v>10</v>
      </c>
    </row>
    <row r="2" spans="1:6" x14ac:dyDescent="0.25">
      <c r="A2">
        <v>2</v>
      </c>
      <c r="B2" t="str">
        <f t="shared" ref="B2:B48" si="0">+_xlfn.XLOOKUP(A2,F:F,E:E,"--",0)</f>
        <v>España</v>
      </c>
      <c r="E2" t="s">
        <v>83</v>
      </c>
      <c r="F2">
        <v>61</v>
      </c>
    </row>
    <row r="3" spans="1:6" x14ac:dyDescent="0.25">
      <c r="A3">
        <v>3</v>
      </c>
      <c r="B3" t="str">
        <f t="shared" si="0"/>
        <v>Argentina</v>
      </c>
      <c r="C3" s="188"/>
      <c r="D3" s="168"/>
      <c r="E3" t="s">
        <v>74</v>
      </c>
      <c r="F3">
        <v>28</v>
      </c>
    </row>
    <row r="4" spans="1:6" x14ac:dyDescent="0.25">
      <c r="A4">
        <v>4</v>
      </c>
      <c r="B4" t="str">
        <f t="shared" si="0"/>
        <v>Inglaterra</v>
      </c>
      <c r="C4" s="188"/>
      <c r="D4" s="168"/>
      <c r="E4" t="s">
        <v>50</v>
      </c>
      <c r="F4">
        <v>3</v>
      </c>
    </row>
    <row r="5" spans="1:6" x14ac:dyDescent="0.25">
      <c r="A5">
        <v>5</v>
      </c>
      <c r="B5" t="str">
        <f t="shared" si="0"/>
        <v>Portugal</v>
      </c>
      <c r="C5" s="188"/>
      <c r="D5" s="168"/>
      <c r="E5" t="s">
        <v>73</v>
      </c>
      <c r="F5">
        <v>27</v>
      </c>
    </row>
    <row r="6" spans="1:6" x14ac:dyDescent="0.25">
      <c r="A6">
        <v>6</v>
      </c>
      <c r="B6" t="str">
        <f t="shared" si="0"/>
        <v>Brasil</v>
      </c>
      <c r="C6" s="188"/>
      <c r="D6" s="168"/>
      <c r="E6" t="s">
        <v>72</v>
      </c>
      <c r="F6">
        <v>24</v>
      </c>
    </row>
    <row r="7" spans="1:6" x14ac:dyDescent="0.25">
      <c r="A7">
        <v>7</v>
      </c>
      <c r="B7" t="str">
        <f t="shared" si="0"/>
        <v>Paises Bajos</v>
      </c>
      <c r="C7" s="188"/>
      <c r="D7" s="168"/>
      <c r="E7" t="s">
        <v>55</v>
      </c>
      <c r="F7">
        <v>9</v>
      </c>
    </row>
    <row r="8" spans="1:6" x14ac:dyDescent="0.25">
      <c r="A8">
        <v>8</v>
      </c>
      <c r="B8" t="str">
        <f t="shared" si="0"/>
        <v>Marruecos</v>
      </c>
      <c r="C8" s="188"/>
      <c r="D8" s="168"/>
      <c r="E8" t="s">
        <v>84</v>
      </c>
      <c r="F8">
        <v>65</v>
      </c>
    </row>
    <row r="9" spans="1:6" x14ac:dyDescent="0.25">
      <c r="A9">
        <v>9</v>
      </c>
      <c r="B9" t="str">
        <f t="shared" si="0"/>
        <v>Belgica</v>
      </c>
      <c r="C9" s="188"/>
      <c r="D9" s="168"/>
      <c r="E9" t="s">
        <v>53</v>
      </c>
      <c r="F9">
        <v>6</v>
      </c>
    </row>
    <row r="10" spans="1:6" x14ac:dyDescent="0.25">
      <c r="A10">
        <v>10</v>
      </c>
      <c r="B10" t="str">
        <f t="shared" si="0"/>
        <v>Alemania</v>
      </c>
      <c r="D10" s="168"/>
      <c r="E10" t="s">
        <v>92</v>
      </c>
      <c r="F10">
        <v>69</v>
      </c>
    </row>
    <row r="11" spans="1:6" x14ac:dyDescent="0.25">
      <c r="A11">
        <v>11</v>
      </c>
      <c r="B11" t="str">
        <f t="shared" si="0"/>
        <v>Croacia</v>
      </c>
      <c r="C11" s="188"/>
      <c r="D11" s="168"/>
      <c r="E11" t="s">
        <v>76</v>
      </c>
      <c r="F11">
        <v>30</v>
      </c>
    </row>
    <row r="12" spans="1:6" x14ac:dyDescent="0.25">
      <c r="A12">
        <v>13</v>
      </c>
      <c r="B12" t="str">
        <f t="shared" si="0"/>
        <v>Colombia</v>
      </c>
      <c r="C12" s="188"/>
      <c r="D12" s="168"/>
      <c r="E12" t="s">
        <v>60</v>
      </c>
      <c r="F12">
        <v>13</v>
      </c>
    </row>
    <row r="13" spans="1:6" x14ac:dyDescent="0.25">
      <c r="A13">
        <v>14</v>
      </c>
      <c r="B13" t="str">
        <f t="shared" si="0"/>
        <v>Senegal</v>
      </c>
      <c r="C13" s="188"/>
      <c r="D13" s="168"/>
      <c r="E13" t="s">
        <v>87</v>
      </c>
      <c r="F13">
        <v>46</v>
      </c>
    </row>
    <row r="14" spans="1:6" x14ac:dyDescent="0.25">
      <c r="A14">
        <v>15</v>
      </c>
      <c r="B14" t="str">
        <f t="shared" si="0"/>
        <v>Mexico</v>
      </c>
      <c r="C14" s="188"/>
      <c r="D14" s="168"/>
      <c r="E14" t="s">
        <v>68</v>
      </c>
      <c r="F14">
        <v>25</v>
      </c>
    </row>
    <row r="15" spans="1:6" x14ac:dyDescent="0.25">
      <c r="A15">
        <v>16</v>
      </c>
      <c r="B15" t="str">
        <f t="shared" si="0"/>
        <v>Estados Unidos</v>
      </c>
      <c r="C15" s="188"/>
      <c r="D15" s="168"/>
      <c r="E15" t="s">
        <v>78</v>
      </c>
      <c r="F15">
        <v>34</v>
      </c>
    </row>
    <row r="16" spans="1:6" x14ac:dyDescent="0.25">
      <c r="A16">
        <v>17</v>
      </c>
      <c r="B16" t="str">
        <f t="shared" si="0"/>
        <v>Uruguay</v>
      </c>
      <c r="D16" s="168"/>
      <c r="E16" t="s">
        <v>57</v>
      </c>
      <c r="F16">
        <v>11</v>
      </c>
    </row>
    <row r="17" spans="1:6" x14ac:dyDescent="0.25">
      <c r="A17">
        <v>18</v>
      </c>
      <c r="B17" t="str">
        <f t="shared" si="0"/>
        <v>Japon</v>
      </c>
      <c r="C17" s="188"/>
      <c r="D17" s="168"/>
      <c r="E17" t="s">
        <v>93</v>
      </c>
      <c r="F17">
        <v>82</v>
      </c>
    </row>
    <row r="18" spans="1:6" x14ac:dyDescent="0.25">
      <c r="A18">
        <v>19</v>
      </c>
      <c r="B18" t="str">
        <f t="shared" si="0"/>
        <v>Suiza</v>
      </c>
      <c r="C18" s="188"/>
      <c r="D18" s="168"/>
      <c r="E18" t="s">
        <v>67</v>
      </c>
      <c r="F18">
        <v>23</v>
      </c>
    </row>
    <row r="19" spans="1:6" x14ac:dyDescent="0.25">
      <c r="A19">
        <v>21</v>
      </c>
      <c r="B19" t="str">
        <f t="shared" si="0"/>
        <v>Iran</v>
      </c>
      <c r="C19" s="188"/>
      <c r="D19" s="168"/>
      <c r="E19" t="s">
        <v>75</v>
      </c>
      <c r="F19">
        <v>29</v>
      </c>
    </row>
    <row r="20" spans="1:6" x14ac:dyDescent="0.25">
      <c r="A20">
        <v>22</v>
      </c>
      <c r="B20" t="str">
        <f t="shared" si="0"/>
        <v>Turquia</v>
      </c>
      <c r="C20" s="188"/>
      <c r="D20" s="168"/>
      <c r="E20" t="s">
        <v>80</v>
      </c>
      <c r="F20">
        <v>43</v>
      </c>
    </row>
    <row r="21" spans="1:6" x14ac:dyDescent="0.25">
      <c r="A21">
        <v>23</v>
      </c>
      <c r="B21" t="str">
        <f t="shared" si="0"/>
        <v>Ecuador</v>
      </c>
      <c r="C21" s="188"/>
      <c r="D21" s="168"/>
      <c r="E21" t="s">
        <v>49</v>
      </c>
      <c r="F21">
        <v>2</v>
      </c>
    </row>
    <row r="22" spans="1:6" x14ac:dyDescent="0.25">
      <c r="A22">
        <v>24</v>
      </c>
      <c r="B22" t="str">
        <f t="shared" si="0"/>
        <v>Austria</v>
      </c>
      <c r="C22" s="188"/>
      <c r="D22" s="168"/>
      <c r="E22" t="s">
        <v>63</v>
      </c>
      <c r="F22">
        <v>16</v>
      </c>
    </row>
    <row r="23" spans="1:6" x14ac:dyDescent="0.25">
      <c r="A23">
        <v>25</v>
      </c>
      <c r="B23" t="str">
        <f t="shared" si="0"/>
        <v>Corea del Sur</v>
      </c>
      <c r="C23" s="188"/>
      <c r="D23" s="168"/>
      <c r="E23" t="s">
        <v>48</v>
      </c>
      <c r="F23">
        <v>1</v>
      </c>
    </row>
    <row r="24" spans="1:6" x14ac:dyDescent="0.25">
      <c r="A24">
        <v>27</v>
      </c>
      <c r="B24" t="str">
        <f t="shared" si="0"/>
        <v>Australia</v>
      </c>
      <c r="C24" s="188"/>
      <c r="D24" s="168"/>
      <c r="E24" t="s">
        <v>85</v>
      </c>
      <c r="F24">
        <v>74</v>
      </c>
    </row>
    <row r="25" spans="1:6" x14ac:dyDescent="0.25">
      <c r="A25">
        <v>28</v>
      </c>
      <c r="B25" t="str">
        <f t="shared" si="0"/>
        <v>Argelia</v>
      </c>
      <c r="C25" s="188"/>
      <c r="D25" s="168"/>
      <c r="E25" t="s">
        <v>94</v>
      </c>
      <c r="F25">
        <v>83</v>
      </c>
    </row>
    <row r="26" spans="1:6" x14ac:dyDescent="0.25">
      <c r="A26">
        <v>29</v>
      </c>
      <c r="B26" t="str">
        <f t="shared" si="0"/>
        <v>Egipto</v>
      </c>
      <c r="C26" s="188"/>
      <c r="D26" s="168"/>
      <c r="E26" t="s">
        <v>51</v>
      </c>
      <c r="F26">
        <v>4</v>
      </c>
    </row>
    <row r="27" spans="1:6" x14ac:dyDescent="0.25">
      <c r="A27">
        <v>30</v>
      </c>
      <c r="B27" t="str">
        <f t="shared" si="0"/>
        <v>Canada</v>
      </c>
      <c r="C27" s="188"/>
      <c r="D27" s="168"/>
      <c r="E27" t="s">
        <v>90</v>
      </c>
      <c r="F27">
        <v>57</v>
      </c>
    </row>
    <row r="28" spans="1:6" x14ac:dyDescent="0.25">
      <c r="A28">
        <v>31</v>
      </c>
      <c r="B28" t="str">
        <f t="shared" si="0"/>
        <v>Noruega</v>
      </c>
      <c r="C28" s="188"/>
      <c r="D28" s="168"/>
      <c r="E28" t="s">
        <v>86</v>
      </c>
      <c r="F28">
        <v>21</v>
      </c>
    </row>
    <row r="29" spans="1:6" x14ac:dyDescent="0.25">
      <c r="A29">
        <v>33</v>
      </c>
      <c r="B29" t="str">
        <f t="shared" si="0"/>
        <v>Panama</v>
      </c>
      <c r="D29" s="168"/>
      <c r="E29" t="s">
        <v>64</v>
      </c>
      <c r="F29">
        <v>18</v>
      </c>
    </row>
    <row r="30" spans="1:6" x14ac:dyDescent="0.25">
      <c r="A30">
        <v>34</v>
      </c>
      <c r="B30" t="str">
        <f t="shared" si="0"/>
        <v>Costa de Marfil</v>
      </c>
      <c r="D30" s="168"/>
      <c r="E30" t="s">
        <v>91</v>
      </c>
      <c r="F30">
        <v>63</v>
      </c>
    </row>
    <row r="31" spans="1:6" x14ac:dyDescent="0.25">
      <c r="A31">
        <v>38</v>
      </c>
      <c r="B31" t="str">
        <f t="shared" si="0"/>
        <v>Suecia</v>
      </c>
      <c r="C31" s="188"/>
      <c r="D31" s="168"/>
      <c r="E31" t="s">
        <v>59</v>
      </c>
      <c r="F31">
        <v>8</v>
      </c>
    </row>
    <row r="32" spans="1:6" x14ac:dyDescent="0.25">
      <c r="A32">
        <v>40</v>
      </c>
      <c r="B32" t="str">
        <f t="shared" si="0"/>
        <v>Paraguay</v>
      </c>
      <c r="C32" s="188"/>
      <c r="D32" s="168"/>
      <c r="E32" t="s">
        <v>62</v>
      </c>
      <c r="F32">
        <v>15</v>
      </c>
    </row>
    <row r="33" spans="1:6" x14ac:dyDescent="0.25">
      <c r="A33">
        <v>41</v>
      </c>
      <c r="B33" t="str">
        <f t="shared" si="0"/>
        <v>Repubilca Checa</v>
      </c>
      <c r="D33" s="168"/>
      <c r="E33" t="s">
        <v>69</v>
      </c>
      <c r="F33">
        <v>31</v>
      </c>
    </row>
    <row r="34" spans="1:6" x14ac:dyDescent="0.25">
      <c r="A34">
        <v>43</v>
      </c>
      <c r="B34" t="str">
        <f t="shared" si="0"/>
        <v>Escocia</v>
      </c>
      <c r="C34" s="188"/>
      <c r="D34" s="168"/>
      <c r="E34" t="s">
        <v>95</v>
      </c>
      <c r="F34">
        <v>85</v>
      </c>
    </row>
    <row r="35" spans="1:6" x14ac:dyDescent="0.25">
      <c r="A35">
        <v>44</v>
      </c>
      <c r="B35" t="str">
        <f t="shared" si="0"/>
        <v>Tunez</v>
      </c>
      <c r="C35" s="188"/>
      <c r="D35" s="168"/>
      <c r="E35" t="s">
        <v>54</v>
      </c>
      <c r="F35">
        <v>7</v>
      </c>
    </row>
    <row r="36" spans="1:6" x14ac:dyDescent="0.25">
      <c r="A36">
        <v>46</v>
      </c>
      <c r="B36" t="str">
        <f t="shared" si="0"/>
        <v>Congo</v>
      </c>
      <c r="C36" s="188"/>
      <c r="D36" s="168"/>
      <c r="E36" t="s">
        <v>77</v>
      </c>
      <c r="F36">
        <v>33</v>
      </c>
    </row>
    <row r="37" spans="1:6" x14ac:dyDescent="0.25">
      <c r="A37">
        <v>50</v>
      </c>
      <c r="B37" t="str">
        <f t="shared" si="0"/>
        <v>Uzbekistan</v>
      </c>
      <c r="C37" s="188"/>
      <c r="D37" s="168"/>
      <c r="E37" t="s">
        <v>71</v>
      </c>
      <c r="F37">
        <v>40</v>
      </c>
    </row>
    <row r="38" spans="1:6" x14ac:dyDescent="0.25">
      <c r="A38">
        <v>55</v>
      </c>
      <c r="B38" t="str">
        <f t="shared" si="0"/>
        <v>Qatar</v>
      </c>
      <c r="C38" s="188"/>
      <c r="D38" s="168"/>
      <c r="E38" t="s">
        <v>52</v>
      </c>
      <c r="F38">
        <v>5</v>
      </c>
    </row>
    <row r="39" spans="1:6" x14ac:dyDescent="0.25">
      <c r="A39">
        <v>57</v>
      </c>
      <c r="B39" t="str">
        <f t="shared" si="0"/>
        <v>Irak</v>
      </c>
      <c r="D39" s="168"/>
      <c r="E39" t="s">
        <v>89</v>
      </c>
      <c r="F39">
        <v>55</v>
      </c>
    </row>
    <row r="40" spans="1:6" x14ac:dyDescent="0.25">
      <c r="A40">
        <v>60</v>
      </c>
      <c r="B40" t="str">
        <f t="shared" si="0"/>
        <v>Sudafrica</v>
      </c>
      <c r="C40" s="188"/>
      <c r="D40" s="168"/>
      <c r="E40" t="s">
        <v>79</v>
      </c>
      <c r="F40">
        <v>41</v>
      </c>
    </row>
    <row r="41" spans="1:6" x14ac:dyDescent="0.25">
      <c r="A41">
        <v>61</v>
      </c>
      <c r="B41" t="str">
        <f t="shared" si="0"/>
        <v>Arabia Saudita</v>
      </c>
      <c r="C41" s="188"/>
      <c r="D41" s="168"/>
      <c r="E41" t="s">
        <v>61</v>
      </c>
      <c r="F41">
        <v>14</v>
      </c>
    </row>
    <row r="42" spans="1:6" x14ac:dyDescent="0.25">
      <c r="A42">
        <v>63</v>
      </c>
      <c r="B42" t="str">
        <f t="shared" si="0"/>
        <v>Jordania</v>
      </c>
      <c r="C42" s="188"/>
      <c r="D42" s="168"/>
      <c r="E42" t="s">
        <v>82</v>
      </c>
      <c r="F42">
        <v>60</v>
      </c>
    </row>
    <row r="43" spans="1:6" x14ac:dyDescent="0.25">
      <c r="A43">
        <v>65</v>
      </c>
      <c r="B43" t="str">
        <f t="shared" si="0"/>
        <v>Bosnia</v>
      </c>
      <c r="C43" s="188"/>
      <c r="D43" s="168"/>
      <c r="E43" t="s">
        <v>70</v>
      </c>
      <c r="F43">
        <v>38</v>
      </c>
    </row>
    <row r="44" spans="1:6" x14ac:dyDescent="0.25">
      <c r="A44">
        <v>69</v>
      </c>
      <c r="B44" t="str">
        <f t="shared" si="0"/>
        <v>Cabo Verde</v>
      </c>
      <c r="C44" s="188"/>
      <c r="D44" s="168"/>
      <c r="E44" t="s">
        <v>65</v>
      </c>
      <c r="F44">
        <v>19</v>
      </c>
    </row>
    <row r="45" spans="1:6" x14ac:dyDescent="0.25">
      <c r="A45">
        <v>74</v>
      </c>
      <c r="B45" t="str">
        <f t="shared" si="0"/>
        <v>Ghana</v>
      </c>
      <c r="C45" s="188"/>
      <c r="D45" s="168"/>
      <c r="E45" t="s">
        <v>81</v>
      </c>
      <c r="F45">
        <v>44</v>
      </c>
    </row>
    <row r="46" spans="1:6" x14ac:dyDescent="0.25">
      <c r="A46">
        <v>82</v>
      </c>
      <c r="B46" t="str">
        <f t="shared" si="0"/>
        <v>Curazao</v>
      </c>
      <c r="C46" s="188"/>
      <c r="D46" s="168"/>
      <c r="E46" t="s">
        <v>66</v>
      </c>
      <c r="F46">
        <v>22</v>
      </c>
    </row>
    <row r="47" spans="1:6" x14ac:dyDescent="0.25">
      <c r="A47">
        <v>83</v>
      </c>
      <c r="B47" t="str">
        <f t="shared" si="0"/>
        <v>Haiti</v>
      </c>
      <c r="D47" s="168"/>
      <c r="E47" t="s">
        <v>58</v>
      </c>
      <c r="F47">
        <v>17</v>
      </c>
    </row>
    <row r="48" spans="1:6" x14ac:dyDescent="0.25">
      <c r="A48">
        <v>85</v>
      </c>
      <c r="B48" t="str">
        <f t="shared" si="0"/>
        <v>Nueva Zelanda</v>
      </c>
      <c r="C48" s="188"/>
      <c r="D48" s="168"/>
      <c r="E48" t="s">
        <v>88</v>
      </c>
      <c r="F48">
        <v>50</v>
      </c>
    </row>
    <row r="49" spans="3:4" x14ac:dyDescent="0.25">
      <c r="D49" s="168"/>
    </row>
    <row r="50" spans="3:4" x14ac:dyDescent="0.25">
      <c r="D50" s="168"/>
    </row>
    <row r="51" spans="3:4" x14ac:dyDescent="0.25">
      <c r="C51" s="188"/>
      <c r="D51" s="168"/>
    </row>
    <row r="52" spans="3:4" x14ac:dyDescent="0.25">
      <c r="C52" s="188"/>
      <c r="D52" s="168"/>
    </row>
    <row r="53" spans="3:4" x14ac:dyDescent="0.25">
      <c r="C53" s="188"/>
      <c r="D53" s="168"/>
    </row>
    <row r="54" spans="3:4" x14ac:dyDescent="0.25">
      <c r="C54" s="188"/>
      <c r="D54" s="168"/>
    </row>
    <row r="55" spans="3:4" x14ac:dyDescent="0.25">
      <c r="D55" s="168"/>
    </row>
    <row r="56" spans="3:4" x14ac:dyDescent="0.25">
      <c r="D56" s="168"/>
    </row>
    <row r="57" spans="3:4" x14ac:dyDescent="0.25">
      <c r="C57" s="188"/>
      <c r="D57" s="168"/>
    </row>
    <row r="58" spans="3:4" x14ac:dyDescent="0.25">
      <c r="C58" s="188"/>
      <c r="D58" s="168"/>
    </row>
    <row r="59" spans="3:4" x14ac:dyDescent="0.25">
      <c r="C59" s="188"/>
      <c r="D59" s="168"/>
    </row>
    <row r="60" spans="3:4" x14ac:dyDescent="0.25">
      <c r="C60" s="188"/>
      <c r="D60" s="168"/>
    </row>
    <row r="61" spans="3:4" x14ac:dyDescent="0.25">
      <c r="C61" s="188"/>
      <c r="D61" s="168"/>
    </row>
    <row r="62" spans="3:4" x14ac:dyDescent="0.25">
      <c r="D62" s="168"/>
    </row>
    <row r="63" spans="3:4" x14ac:dyDescent="0.25">
      <c r="C63" s="188"/>
      <c r="D63" s="168"/>
    </row>
    <row r="64" spans="3:4" x14ac:dyDescent="0.25">
      <c r="D64" s="168"/>
    </row>
    <row r="65" spans="3:4" x14ac:dyDescent="0.25">
      <c r="C65" s="188"/>
      <c r="D65" s="168"/>
    </row>
    <row r="66" spans="3:4" x14ac:dyDescent="0.25">
      <c r="C66" s="188"/>
      <c r="D66" s="168"/>
    </row>
    <row r="67" spans="3:4" x14ac:dyDescent="0.25">
      <c r="C67" s="188"/>
      <c r="D67" s="168"/>
    </row>
    <row r="68" spans="3:4" x14ac:dyDescent="0.25">
      <c r="C68" s="188"/>
      <c r="D68" s="168"/>
    </row>
    <row r="69" spans="3:4" x14ac:dyDescent="0.25">
      <c r="C69" s="188"/>
      <c r="D69" s="168"/>
    </row>
    <row r="70" spans="3:4" x14ac:dyDescent="0.25">
      <c r="C70" s="188"/>
      <c r="D70" s="168"/>
    </row>
    <row r="71" spans="3:4" x14ac:dyDescent="0.25">
      <c r="C71" s="188"/>
      <c r="D71" s="168"/>
    </row>
    <row r="72" spans="3:4" x14ac:dyDescent="0.25">
      <c r="C72" s="188"/>
      <c r="D72" s="168"/>
    </row>
    <row r="73" spans="3:4" x14ac:dyDescent="0.25">
      <c r="C73" s="188"/>
      <c r="D73" s="168"/>
    </row>
    <row r="74" spans="3:4" x14ac:dyDescent="0.25">
      <c r="C74" s="188"/>
      <c r="D74" s="168"/>
    </row>
    <row r="75" spans="3:4" x14ac:dyDescent="0.25">
      <c r="C75" s="188"/>
      <c r="D75" s="168"/>
    </row>
    <row r="76" spans="3:4" x14ac:dyDescent="0.25">
      <c r="C76" s="188"/>
      <c r="D76" s="168"/>
    </row>
    <row r="77" spans="3:4" x14ac:dyDescent="0.25">
      <c r="C77" s="188"/>
      <c r="D77" s="168"/>
    </row>
    <row r="78" spans="3:4" x14ac:dyDescent="0.25">
      <c r="C78" s="188"/>
      <c r="D78" s="168"/>
    </row>
    <row r="79" spans="3:4" x14ac:dyDescent="0.25">
      <c r="D79" s="168"/>
    </row>
    <row r="80" spans="3:4" x14ac:dyDescent="0.25">
      <c r="C80" s="188"/>
      <c r="D80" s="168"/>
    </row>
    <row r="81" spans="3:4" x14ac:dyDescent="0.25">
      <c r="C81" s="188"/>
      <c r="D81" s="168"/>
    </row>
    <row r="82" spans="3:4" x14ac:dyDescent="0.25">
      <c r="C82" s="188"/>
      <c r="D82" s="168"/>
    </row>
    <row r="83" spans="3:4" x14ac:dyDescent="0.25">
      <c r="C83" s="188"/>
      <c r="D83" s="168"/>
    </row>
    <row r="84" spans="3:4" x14ac:dyDescent="0.25">
      <c r="C84" s="188"/>
      <c r="D84" s="168"/>
    </row>
    <row r="85" spans="3:4" x14ac:dyDescent="0.25">
      <c r="C85" s="188"/>
      <c r="D85" s="168"/>
    </row>
    <row r="86" spans="3:4" x14ac:dyDescent="0.25">
      <c r="C86" s="188"/>
      <c r="D86" s="168"/>
    </row>
    <row r="87" spans="3:4" x14ac:dyDescent="0.25">
      <c r="C87" s="188"/>
      <c r="D87" s="168"/>
    </row>
    <row r="88" spans="3:4" x14ac:dyDescent="0.25">
      <c r="D88" s="168"/>
    </row>
    <row r="89" spans="3:4" x14ac:dyDescent="0.25">
      <c r="C89" s="188"/>
      <c r="D89" s="168"/>
    </row>
    <row r="90" spans="3:4" x14ac:dyDescent="0.25">
      <c r="D90" s="168"/>
    </row>
    <row r="91" spans="3:4" x14ac:dyDescent="0.25">
      <c r="D91" s="168"/>
    </row>
    <row r="92" spans="3:4" x14ac:dyDescent="0.25">
      <c r="C92" s="188"/>
      <c r="D92" s="168"/>
    </row>
    <row r="93" spans="3:4" x14ac:dyDescent="0.25">
      <c r="D93" s="168"/>
    </row>
    <row r="94" spans="3:4" x14ac:dyDescent="0.25">
      <c r="D94" s="168"/>
    </row>
    <row r="95" spans="3:4" x14ac:dyDescent="0.25">
      <c r="C95" s="188"/>
      <c r="D95" s="168"/>
    </row>
    <row r="96" spans="3:4" x14ac:dyDescent="0.25">
      <c r="C96" s="188"/>
      <c r="D96" s="168"/>
    </row>
    <row r="97" spans="3:4" x14ac:dyDescent="0.25">
      <c r="C97" s="188"/>
      <c r="D97" s="168"/>
    </row>
    <row r="98" spans="3:4" x14ac:dyDescent="0.25">
      <c r="C98" s="188"/>
      <c r="D98" s="168"/>
    </row>
    <row r="99" spans="3:4" x14ac:dyDescent="0.25">
      <c r="C99" s="188"/>
      <c r="D99" s="168"/>
    </row>
    <row r="100" spans="3:4" x14ac:dyDescent="0.25">
      <c r="C100" s="188"/>
      <c r="D100" s="168"/>
    </row>
    <row r="101" spans="3:4" x14ac:dyDescent="0.25">
      <c r="C101" s="188"/>
      <c r="D101" s="168"/>
    </row>
    <row r="102" spans="3:4" x14ac:dyDescent="0.25">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FormConfiguration><![CDATA[{"formFields":[],"formDataEntries":[]}]]></TemplafyFormConfiguration>
</file>

<file path=customXml/item2.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Props1.xml><?xml version="1.0" encoding="utf-8"?>
<ds:datastoreItem xmlns:ds="http://schemas.openxmlformats.org/officeDocument/2006/customXml" ds:itemID="{904BC371-2ADF-4271-BF15-7D239A4D7695}">
  <ds:schemaRefs/>
</ds:datastoreItem>
</file>

<file path=customXml/itemProps2.xml><?xml version="1.0" encoding="utf-8"?>
<ds:datastoreItem xmlns:ds="http://schemas.openxmlformats.org/officeDocument/2006/customXml" ds:itemID="{34ECD078-1A11-477F-8080-F9D902BF81D7}">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2026-05-19T18:29:39Z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