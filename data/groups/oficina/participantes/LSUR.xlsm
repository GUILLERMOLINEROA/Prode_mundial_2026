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4" documentId="8_{AAEA6394-B12E-41E4-970B-2D1EE8B3E2A7}" xr6:coauthVersionLast="47" xr6:coauthVersionMax="47" xr10:uidLastSave="{767B0D51-D14F-4091-886F-2C7701319C61}"/>
  <bookViews>
    <workbookView xWindow="-120" yWindow="-120" windowWidth="29040" windowHeight="15720" tabRatio="808" activeTab="4"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 i="5" l="1"/>
  <c r="W4" i="5" s="1"/>
  <c r="AU18" i="5" s="1"/>
  <c r="T7" i="5"/>
  <c r="W7" i="5" s="1"/>
  <c r="AU35" i="5" s="1"/>
  <c r="T10" i="5"/>
  <c r="W10" i="5" s="1"/>
  <c r="Z10" i="5" s="1"/>
  <c r="T9" i="5"/>
  <c r="W9" i="5" s="1"/>
  <c r="AU40" i="5" s="1"/>
  <c r="T17" i="5"/>
  <c r="W17" i="5" s="1"/>
  <c r="AU27" i="5" s="1"/>
  <c r="T44" i="5"/>
  <c r="W44" i="5" s="1"/>
  <c r="AU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4" i="5" l="1"/>
  <c r="Z7" i="5"/>
  <c r="AU45" i="5"/>
  <c r="Z9" i="5"/>
  <c r="Z18" i="5"/>
  <c r="Z44" i="5"/>
  <c r="Z1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<sst xmlns="http://schemas.openxmlformats.org/spreadsheetml/2006/main" count="5998" uniqueCount="866">
  <si>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</si>
  <si>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</si>
  <si>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</si>
  <si>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</si>
  <si>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</si>
  <si>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</si>
  <si>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</si>
  <si>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</si>
  <si>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</si>
  <si>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</si>
  <si>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</si>
  <si>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</si>
  <si>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</si>
  <si>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</si>
  <si>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</si>
  <si>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</si>
  <si>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</si>
  <si>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</si>
  <si>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</si>
  <si>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</si>
  <si>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</si>
  <si>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</si>
  <si>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</si>
  <si>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</si>
  <si>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</si>
  <si>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</si>
  <si>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</si>
  <si>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</si>
  <si>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</si>
  <si>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</si>
  <si>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</si>
  <si>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</si>
  <si>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</si>
  <si>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</si>
  <si>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</si>
  <si>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</si>
  <si>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</si>
  <si>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</si>
  <si>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</si>
  <si>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</si>
  <si>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</si>
  <si>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</si>
  <si>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</si>
  <si>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</si>
  <si>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</si>
  <si>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</si>
  <si>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</si>
  <si>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</si>
  <si>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</si>
  <si>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</si>
  <si>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</si>
  <si>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</si>
  <si>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</si>
  <si>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</si>
  <si>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</si>
  <si>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</si>
  <si>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</si>
  <si>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</si>
  <si>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</si>
  <si>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</si>
  <si>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</si>
  <si>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</si>
  <si>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</si>
  <si>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</si>
  <si>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</si>
  <si>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</si>
  <si>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</si>
  <si>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</si>
  <si>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</si>
  <si>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</si>
  <si>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</si>
  <si>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</si>
  <si>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</si>
  <si>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</si>
  <si>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</si>
  <si>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</si>
  <si>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</si>
  <si>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</si>
  <si>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</si>
  <si>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</si>
  <si>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</si>
  <si>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</si>
  <si>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</si>
  <si>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</si>
  <si>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</si>
  <si>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</si>
  <si>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</si>
  <si>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</si>
  <si>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</si>
  <si>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</si>
  <si>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</si>
  <si>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</si>
  <si>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</si>
  <si>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</si>
  <si>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</si>
  <si>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</si>
  <si>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</si>
  <si>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</si>
  <si>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</si>
  <si>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</si>
  <si>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</si>
  <si>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</si>
  <si>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</si>
  <si>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</si>
  <si>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</si>
  <si>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</si>
  <si>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</si>
  <si>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</si>
  <si>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</si>
  <si>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</si>
  <si>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</si>
  <si>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</si>
  <si>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</si>
  <si>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</si>
  <si>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</si>
  <si>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</si>
  <si>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</si>
  <si>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</si>
  <si>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</si>
  <si>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</si>
  <si>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</si>
  <si>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</si>
  <si>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</si>
  <si>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</si>
  <si>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</si>
  <si>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</si>
  <si>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</si>
  <si>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</si>
  <si>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</si>
  <si>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</si>
  <si>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</si>
  <si>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</si>
  <si>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</si>
  <si>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</si>
  <si>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</si>
  <si>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</si>
  <si>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</si>
  <si>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</si>
  <si>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</si>
  <si>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</si>
  <si>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</si>
  <si>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</si>
  <si>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</si>
  <si>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</si>
  <si>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</si>
  <si>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</si>
  <si>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</si>
  <si>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</si>
  <si>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</si>
  <si>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</si>
  <si>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</si>
  <si>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</si>
  <si>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</si>
  <si>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</si>
  <si>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</si>
  <si>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</si>
  <si>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</si>
  <si>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</si>
  <si>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</si>
  <si>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</si>
  <si>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</si>
  <si>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</si>
  <si>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</si>
  <si>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</si>
  <si>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</si>
  <si>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</si>
  <si>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</si>
  <si>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</si>
  <si>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</si>
  <si>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</si>
  <si>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</si>
  <si>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</si>
  <si>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</si>
  <si>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</si>
  <si>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</si>
  <si>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</si>
  <si>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</si>
  <si>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</si>
  <si>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</si>
  <si>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</si>
  <si>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</si>
  <si>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</si>
  <si>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</si>
  <si>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</si>
  <si>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</si>
  <si>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</si>
  <si>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</si>
  <si>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</si>
  <si>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</si>
  <si>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</si>
  <si>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</si>
  <si>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</si>
  <si>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</si>
  <si>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</si>
  <si>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</si>
  <si>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</si>
  <si>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</si>
  <si>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</si>
  <si>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</si>
  <si>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</si>
  <si>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</si>
  <si>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</si>
  <si>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</si>
  <si>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</si>
  <si>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</si>
  <si>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</si>
  <si>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</si>
  <si>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</si>
  <si>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</si>
  <si>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</si>
  <si>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</si>
  <si>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</si>
  <si>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</si>
  <si>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</si>
  <si>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</si>
  <si>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</si>
  <si>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</si>
  <si>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</si>
  <si>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</si>
  <si>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</si>
  <si>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</si>
  <si>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</si>
  <si>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</si>
  <si>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</si>
  <si>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</si>
  <si>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</si>
  <si>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</si>
  <si>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</si>
  <si>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</si>
  <si>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</si>
  <si>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</si>
  <si>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</si>
  <si>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</si>
  <si>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</si>
  <si>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</si>
  <si>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</si>
  <si>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</si>
  <si>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</si>
  <si>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</si>
  <si>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</si>
  <si>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</si>
  <si>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</si>
  <si>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</si>
  <si>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</si>
  <si>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</si>
  <si>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</si>
  <si>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</si>
  <si>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</si>
  <si>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</si>
  <si>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</si>
  <si>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</si>
  <si>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</si>
  <si>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</si>
  <si>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</si>
  <si>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</si>
  <si>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</si>
  <si>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</si>
  <si>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</si>
  <si>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</si>
  <si>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</si>
  <si>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</si>
  <si>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</si>
  <si>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</si>
  <si>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</si>
  <si>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</si>
  <si>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</si>
  <si>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</si>
  <si>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</si>
  <si>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</si>
  <si>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</si>
  <si>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</si>
  <si>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</si>
  <si>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</si>
  <si>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</si>
  <si>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</si>
  <si>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</si>
  <si>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</si>
  <si>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</si>
  <si>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</si>
  <si>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</si>
  <si>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</si>
  <si>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</si>
  <si>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</si>
  <si>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</si>
  <si>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</si>
  <si>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</si>
  <si>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</si>
  <si>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</si>
  <si>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</si>
  <si>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</si>
  <si>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</si>
  <si>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</si>
  <si>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</si>
  <si>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</si>
  <si>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</si>
  <si>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</si>
  <si>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</si>
  <si>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</si>
  <si>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</si>
  <si>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</si>
  <si>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</si>
  <si>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</si>
  <si>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</si>
  <si>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</si>
  <si>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</si>
  <si>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</si>
  <si>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</si>
  <si>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</si>
  <si>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</si>
  <si>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</si>
  <si>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</si>
  <si>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</si>
  <si>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</si>
  <si>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</si>
  <si>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</si>
  <si>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</si>
  <si>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</si>
  <si>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</si>
  <si>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</si>
  <si>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</si>
  <si>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</si>
  <si>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</si>
  <si>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</si>
  <si>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</si>
  <si>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</si>
  <si>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</si>
  <si>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</si>
  <si>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</si>
  <si>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</si>
  <si>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</si>
  <si>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</si>
  <si>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</si>
  <si>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</si>
  <si>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</si>
  <si>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</si>
  <si>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</si>
  <si>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</si>
  <si>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</si>
  <si>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</si>
  <si>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</si>
  <si>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</si>
  <si>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</si>
  <si>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</si>
  <si>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</si>
  <si>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</si>
  <si>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</si>
  <si>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</si>
  <si>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</si>
  <si>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</si>
  <si>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</si>
  <si>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</si>
  <si>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</si>
  <si>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</si>
  <si>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</si>
  <si>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</si>
  <si>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</si>
  <si>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</si>
  <si>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</si>
  <si>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</si>
  <si>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</si>
  <si>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</si>
  <si>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</si>
  <si>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</si>
  <si>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</si>
  <si>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</si>
  <si>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</si>
  <si>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</si>
  <si>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</si>
  <si>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</si>
  <si>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</si>
  <si>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</si>
  <si>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</si>
  <si>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</si>
  <si>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</si>
  <si>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</si>
  <si>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</si>
  <si>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</si>
  <si>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</si>
  <si>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</si>
  <si>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</si>
  <si>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</si>
  <si>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</si>
  <si>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</si>
  <si>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</si>
  <si>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</si>
  <si>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</si>
  <si>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</si>
  <si>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</si>
  <si>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</si>
  <si>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</si>
  <si>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</si>
  <si>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</si>
  <si>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</si>
  <si>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</si>
  <si>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</si>
  <si>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</si>
  <si>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</si>
  <si>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</si>
  <si>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</si>
  <si>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</si>
  <si>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</si>
  <si>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</si>
  <si>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</si>
  <si>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</si>
  <si>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</si>
  <si>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</si>
  <si>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</si>
  <si>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</si>
  <si>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</si>
  <si>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</si>
  <si>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</si>
  <si>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</si>
  <si>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</si>
  <si>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</si>
  <si>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</si>
  <si>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</si>
  <si>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</si>
  <si>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</si>
  <si>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</si>
  <si>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</si>
  <si>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</si>
  <si>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</si>
  <si>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</si>
  <si>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</si>
  <si>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</si>
  <si>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</si>
  <si>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</si>
  <si>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</si>
  <si>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</si>
  <si>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</si>
  <si>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</si>
  <si>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</si>
  <si>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</si>
  <si>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</si>
  <si>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</si>
  <si>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</si>
  <si>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</si>
  <si>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</si>
  <si>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</si>
  <si>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</si>
  <si>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</si>
  <si>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</si>
  <si>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</si>
  <si>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</si>
  <si>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</si>
  <si>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</si>
  <si>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</si>
  <si>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</si>
  <si>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</si>
  <si>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</si>
  <si>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</si>
  <si>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</si>
  <si>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</si>
  <si>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</si>
  <si>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</si>
  <si>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</si>
  <si>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</si>
  <si>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</si>
  <si>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</si>
  <si>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</si>
  <si>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</si>
  <si>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</si>
  <si>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</si>
  <si>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</si>
  <si>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</si>
  <si>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</si>
  <si>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</si>
  <si>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</si>
  <si>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</si>
  <si>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</si>
  <si>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</si>
  <si>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</si>
  <si>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</si>
  <si>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</si>
  <si>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</si>
  <si>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</si>
  <si>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</si>
  <si>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</si>
  <si>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</si>
  <si>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</si>
  <si>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</si>
  <si>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</si>
  <si>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</si>
  <si>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</si>
  <si>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</si>
  <si>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</si>
  <si>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</si>
  <si>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</si>
  <si>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</si>
  <si>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</si>
  <si>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</si>
  <si>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</si>
  <si>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</si>
  <si>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</si>
  <si>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</si>
  <si>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</si>
  <si>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</si>
  <si>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</si>
  <si>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</si>
  <si>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</si>
  <si>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</si>
  <si>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</si>
  <si>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</si>
  <si>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</si>
  <si>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</si>
  <si>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</si>
  <si>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</si>
  <si>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</si>
  <si>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</si>
  <si>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</si>
  <si>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</si>
  <si>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</si>
  <si>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</si>
  <si>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</si>
  <si>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</si>
  <si>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</si>
  <si>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</si>
  <si>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</si>
  <si>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</si>
  <si>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</si>
  <si>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</si>
  <si>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</si>
  <si>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</si>
  <si>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</si>
  <si>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</si>
  <si>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</si>
  <si>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</si>
  <si>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</si>
  <si>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</si>
  <si>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</si>
  <si>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</si>
  <si>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</si>
  <si>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</si>
  <si>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</si>
  <si>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</si>
  <si>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</si>
  <si>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</si>
  <si>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</si>
  <si>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</si>
  <si>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</si>
  <si>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</si>
  <si>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</si>
  <si>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</si>
  <si>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</si>
  <si>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</si>
  <si>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</si>
  <si>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</si>
  <si>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</si>
  <si>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</si>
  <si>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</si>
  <si>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</si>
  <si>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</si>
  <si>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</si>
  <si>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</si>
  <si>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</si>
  <si>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</si>
  <si>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</si>
  <si>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</si>
  <si>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</si>
  <si>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</si>
  <si>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</si>
  <si>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</si>
  <si>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</si>
  <si>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</si>
  <si>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</si>
  <si>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</si>
  <si>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</si>
  <si>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</si>
  <si>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</si>
  <si>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</si>
  <si>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</si>
  <si>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</si>
  <si>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</si>
  <si>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</si>
  <si>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</si>
  <si>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</si>
  <si>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</si>
  <si>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</si>
  <si>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</si>
  <si>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</si>
  <si>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</si>
  <si>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</si>
  <si>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</si>
  <si>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</si>
  <si>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</si>
  <si>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</si>
  <si>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</si>
  <si>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</si>
  <si>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</si>
  <si>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</si>
  <si>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</si>
  <si>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</si>
  <si>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</si>
  <si>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</si>
  <si>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</si>
  <si>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</si>
  <si>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</si>
  <si>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</si>
  <si>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</si>
  <si>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</si>
  <si>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</si>
  <si>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</si>
  <si>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</si>
  <si>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</si>
  <si>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</si>
  <si>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</si>
  <si>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</si>
  <si>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</si>
  <si>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</si>
  <si>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</si>
  <si>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</si>
  <si>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</si>
  <si>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</si>
  <si>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</si>
  <si>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</si>
  <si>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</si>
  <si>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</si>
  <si>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</si>
  <si>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</si>
  <si>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</si>
  <si>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</si>
  <si>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</si>
  <si>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</si>
  <si>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</si>
  <si>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</si>
  <si>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</si>
  <si>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</si>
  <si>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</si>
  <si>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</si>
  <si>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</si>
  <si>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</si>
  <si>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</si>
  <si>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</si>
  <si>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</si>
  <si>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</si>
  <si>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</si>
  <si>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</si>
  <si>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</si>
  <si>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</si>
  <si>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</si>
  <si>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</si>
  <si>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</si>
  <si>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</si>
  <si>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</si>
  <si>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</si>
  <si>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</si>
  <si>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</si>
  <si>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</si>
  <si>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</si>
  <si>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</si>
  <si>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</si>
  <si>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</si>
  <si>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</si>
  <si>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</si>
  <si>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</si>
  <si>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</si>
  <si>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</si>
  <si>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</si>
  <si>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</si>
  <si>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</si>
  <si>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</si>
  <si>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</si>
  <si>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</si>
  <si>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</si>
  <si>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</si>
  <si>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</si>
  <si>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</si>
  <si>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</si>
  <si>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</si>
  <si>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</si>
  <si>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</si>
  <si>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</si>
  <si>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</si>
  <si>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</si>
  <si>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</si>
  <si>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</si>
  <si>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</si>
  <si>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</si>
  <si>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</si>
  <si>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</si>
  <si>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</si>
  <si>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</si>
  <si>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</si>
  <si>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</si>
  <si>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</si>
  <si>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</si>
  <si>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</si>
  <si>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</si>
  <si>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</si>
  <si>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</si>
  <si>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</si>
  <si>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</si>
  <si>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</si>
  <si>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</si>
  <si>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</si>
  <si>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</si>
  <si>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</si>
  <si>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</si>
  <si>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</si>
  <si>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</si>
  <si>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</si>
  <si>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</si>
  <si>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</si>
  <si>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</si>
  <si>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</si>
  <si>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</si>
  <si>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</si>
  <si>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</si>
  <si>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</si>
  <si>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</si>
  <si>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</si>
  <si>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</si>
  <si>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</si>
  <si>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</si>
  <si>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</si>
  <si>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</si>
  <si>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</si>
  <si>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</si>
  <si>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</si>
  <si>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</si>
  <si>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</si>
  <si>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</si>
  <si>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</si>
  <si>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</si>
  <si>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</si>
  <si>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</si>
  <si>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</si>
  <si>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</si>
  <si>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</si>
  <si>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</si>
  <si>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</si>
  <si>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</si>
  <si>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</si>
  <si>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</si>
  <si>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</si>
  <si>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</si>
  <si>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</si>
  <si>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</si>
  <si>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</si>
  <si>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</si>
  <si>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</si>
  <si>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</si>
  <si>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</si>
  <si>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</si>
  <si>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</si>
  <si>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</si>
  <si>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</si>
  <si>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</si>
  <si>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</si>
  <si>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</si>
  <si>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</si>
  <si>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</si>
  <si>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</si>
  <si>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</si>
  <si>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</si>
  <si>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</si>
  <si>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</si>
  <si>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</si>
  <si>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</si>
  <si>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</si>
  <si>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</si>
  <si>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</si>
  <si>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</si>
  <si>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</si>
  <si>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</si>
  <si>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</si>
  <si>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</si>
  <si>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</si>
  <si>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</si>
  <si>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</si>
  <si>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</si>
  <si>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</si>
  <si>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</si>
  <si>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</si>
  <si>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</si>
  <si>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</si>
  <si>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</si>
  <si>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</si>
  <si>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</si>
  <si>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</si>
  <si>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</si>
  <si>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</si>
  <si>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</si>
  <si>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</si>
  <si>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</si>
  <si>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</si>
  <si>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</si>
  <si>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</si>
  <si>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</si>
  <si>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</si>
  <si>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</si>
  <si>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</si>
  <si>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</si>
  <si>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</si>
  <si>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</si>
  <si>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</si>
  <si>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</si>
  <si>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</si>
  <si>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</si>
  <si>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</si>
  <si>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</si>
  <si>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</si>
  <si>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</si>
  <si>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</si>
  <si>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</si>
  <si>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</si>
  <si>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</si>
  <si>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</si>
  <si>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</si>
  <si>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</si>
  <si>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</si>
  <si>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</si>
  <si>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</si>
  <si>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</si>
  <si>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</si>
  <si>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</si>
  <si>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</si>
  <si>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</si>
  <si>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</si>
  <si>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</si>
  <si>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</si>
  <si>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</si>
  <si>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</si>
  <si>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</si>
  <si>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</si>
  <si>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</si>
  <si>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</si>
  <si>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</si>
  <si>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</si>
  <si>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</si>
  <si>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</si>
  <si>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</si>
  <si>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</si>
  <si>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</si>
  <si>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</si>
  <si>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</si>
  <si>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</si>
  <si>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</si>
  <si>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</si>
  <si>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</si>
  <si>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</si>
  <si>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</si>
  <si>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</si>
  <si>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</si>
  <si>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</si>
  <si>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</si>
  <si>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</si>
  <si>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</si>
  <si>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</si>
  <si>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</si>
  <si>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</si>
  <si>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</si>
  <si>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</si>
  <si>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</si>
  <si>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</si>
  <si>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</si>
  <si>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</si>
  <si>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</si>
  <si>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</si>
  <si>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</si>
  <si>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</si>
  <si>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</si>
  <si>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</si>
  <si>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</si>
  <si>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Mbappé</t>
  </si>
  <si>
    <t>Joao Neves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</si>
</sst>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Y7" sqref="CY7"/>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4</v>
      </c>
      <c r="T3" s="24">
        <f>+SUMIF(E3:E8,$O3,F3:F8)+SUMIF(H3:H8,$O3,G3:G8)</f>
        <v>8</v>
      </c>
      <c r="U3" s="24">
        <f>+SUMIF(E3:E8,$O3,G3:G8)+SUMIF(H3:H8,$O3,F3:F8)</f>
        <v>4</v>
      </c>
      <c r="V3" s="45">
        <f>+P3*3+Q3*1+BT3+CN3+S3/1000+T3/10000+AV3/1000000+ROW()/10000000</f>
        <v>9.0048002999999994</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4</v>
      </c>
      <c r="AF3" s="49">
        <f t="shared" si="0"/>
        <v>8</v>
      </c>
      <c r="AG3" s="49">
        <f t="shared" si="0"/>
        <v>4</v>
      </c>
      <c r="AH3" s="50">
        <f>+VLOOKUP($Z3,$O$3:$V$6,COLUMN()-26,FALSE)</f>
        <v>9.0048002999999994</v>
      </c>
      <c r="AI3" s="51"/>
      <c r="AL3" s="45">
        <f>+LARGE(V3:V6,1)</f>
        <v>9.0048002999999994</v>
      </c>
      <c r="AM3" s="52">
        <f>+(AH3-AL3)*100000000000000000000</f>
        <v>0</v>
      </c>
      <c r="AP3" s="53" t="str">
        <f>+O3</f>
        <v>Mexico</v>
      </c>
      <c r="AQ3" s="23">
        <f>+P3*3+Q3*1+BT3+CN3+S3/1000+T3/10000</f>
        <v>9.0047999999999995</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-5</v>
      </c>
      <c r="T4" s="24">
        <f>+SUMIF(E3:E8,$O4,F3:F8)+SUMIF(H3:H8,$O4,G3:G8)</f>
        <v>3</v>
      </c>
      <c r="U4" s="24">
        <f>+SUMIF(E3:E8,$O4,G3:G8)+SUMIF(H3:H8,$O4,F3:F8)</f>
        <v>8</v>
      </c>
      <c r="V4" s="45">
        <f t="shared" ref="V4:V6" si="10">+P4*3+Q4*1+BT4+CN4+S4/1000+T4/10000+AV4/1000000+ROW()/10000000</f>
        <v>-4.6996E-3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4</v>
      </c>
      <c r="AF4" s="64">
        <f t="shared" si="0"/>
        <v>9</v>
      </c>
      <c r="AG4" s="64">
        <f t="shared" si="0"/>
        <v>5</v>
      </c>
      <c r="AH4" s="65">
        <f>+VLOOKUP($Z4,$O$3:$V$6,COLUMN()-26,FALSE)</f>
        <v>6.0049004999999989</v>
      </c>
      <c r="AI4" s="51"/>
      <c r="AL4" s="45">
        <f>+LARGE(V3:V6,2)</f>
        <v>6.0049004999999989</v>
      </c>
      <c r="AM4" s="52">
        <f t="shared" ref="AM4:AM6" si="13">+(AH4-AL4)*100000000000000000000</f>
        <v>0</v>
      </c>
      <c r="AP4" s="53" t="str">
        <f>+O4</f>
        <v>Sudafrica</v>
      </c>
      <c r="AQ4" s="23">
        <f>+P4*3+Q4*1+BT4+CN4+S4/1000+T4/10000</f>
        <v>-4.7000000000000002E-3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4</v>
      </c>
      <c r="T5" s="24">
        <f>+SUMIF(E3:E8,$O5,F3:F8)+SUMIF(H3:H8,$O5,G3:G8)</f>
        <v>9</v>
      </c>
      <c r="U5" s="24">
        <f>+SUMIF(E3:E8,$O5,G3:G8)+SUMIF(H3:H8,$O5,F3:F8)</f>
        <v>5</v>
      </c>
      <c r="V5" s="45">
        <f t="shared" si="10"/>
        <v>6.0049004999999989</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-3</v>
      </c>
      <c r="AF5" s="71">
        <f t="shared" si="0"/>
        <v>4</v>
      </c>
      <c r="AG5" s="71">
        <f t="shared" si="0"/>
        <v>7</v>
      </c>
      <c r="AH5" s="72">
        <f>+VLOOKUP($Z5,$O$3:$V$6,COLUMN()-26,FALSE)</f>
        <v>2.9974005999999997</v>
      </c>
      <c r="AI5" s="73">
        <f>+(COUNTIFS($CV$2:$CV$13,Z5,$CX$2:$CX$13,"IN")+COUNTIFS($CV$2:$CV$13,Z5,$CW$2:$CW$13,"IN"))*IF(SUM(AA3:AA6)=12,1,0)</f>
        <v>1</v>
      </c>
      <c r="AL5" s="45">
        <f>+LARGE(V3:V6,3)</f>
        <v>2.9974005999999997</v>
      </c>
      <c r="AM5" s="52">
        <f t="shared" si="13"/>
        <v>0</v>
      </c>
      <c r="AP5" s="53" t="str">
        <f>+O5</f>
        <v>Corea del Sur</v>
      </c>
      <c r="AQ5" s="23">
        <f>+P5*3+Q5*1+BT5+CN5+S5/1000+T5/10000</f>
        <v>6.0048999999999992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
      <c r="A6" s="38" t="s">
        <v>120</v>
      </c>
      <c r="B6" s="39">
        <v>46191</v>
      </c>
      <c r="C6" s="40"/>
      <c r="D6" s="41"/>
      <c r="E6" s="42" t="s">
        <v>62</v>
      </c>
      <c r="F6" s="43">
        <v>3</v>
      </c>
      <c r="G6" s="43">
        <v>2</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2</v>
      </c>
      <c r="S6" s="24">
        <f t="shared" si="9"/>
        <v>-3</v>
      </c>
      <c r="T6" s="24">
        <f>+SUMIF(E3:E8,$O6,F3:F8)+SUMIF(H3:H8,$O6,G3:G8)</f>
        <v>4</v>
      </c>
      <c r="U6" s="24">
        <f>+SUMIF(E3:E8,$O6,G3:G8)+SUMIF(H3:H8,$O6,F3:F8)</f>
        <v>7</v>
      </c>
      <c r="V6" s="45">
        <f t="shared" si="10"/>
        <v>2.9974005999999997</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3</v>
      </c>
      <c r="AG6" s="77">
        <f t="shared" si="0"/>
        <v>8</v>
      </c>
      <c r="AH6" s="78">
        <f>+VLOOKUP($Z6,$O$3:$V$6,COLUMN()-26,FALSE)</f>
        <v>-4.6996E-3</v>
      </c>
      <c r="AI6" s="73"/>
      <c r="AL6" s="45">
        <f>+LARGE(V3:V6,4)</f>
        <v>-4.6996E-3</v>
      </c>
      <c r="AM6" s="52">
        <f t="shared" si="13"/>
        <v>0</v>
      </c>
      <c r="AP6" s="53" t="str">
        <f>+O6</f>
        <v>Repubilca Checa</v>
      </c>
      <c r="AQ6" s="23">
        <f>+P6*3+Q6*1+BT6+CN6+S6/1000+T6/10000</f>
        <v>2.9973999999999998</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3</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
      <c r="A7" s="38" t="s">
        <v>121</v>
      </c>
      <c r="B7" s="39">
        <v>46197</v>
      </c>
      <c r="C7" s="40"/>
      <c r="D7" s="41"/>
      <c r="E7" s="42" t="s">
        <v>79</v>
      </c>
      <c r="F7" s="43">
        <v>1</v>
      </c>
      <c r="G7" s="43">
        <v>3</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3</v>
      </c>
      <c r="BI7" s="57" t="str">
        <f>+IF(_xlfn.XLOOKUP($H7,$AY:$AY,$AZ:$AZ,"-",0)=BF1,$H7,"-")</f>
        <v>-</v>
      </c>
      <c r="BY7" s="25" t="str">
        <f t="shared" si="26"/>
        <v>-</v>
      </c>
      <c r="BZ7" s="57" t="str">
        <f>+IF(_xlfn.XLOOKUP($E7,$AY:$AY,$AZ:$AZ,"-",0)=BZ1,$E7,"-")</f>
        <v>-</v>
      </c>
      <c r="CA7" s="58">
        <f t="shared" si="3"/>
        <v>1</v>
      </c>
      <c r="CB7" s="59">
        <f t="shared" si="4"/>
        <v>3</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1</v>
      </c>
      <c r="G8" s="43">
        <v>4</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4</v>
      </c>
      <c r="BI8" s="57" t="str">
        <f>+IF(_xlfn.XLOOKUP($H8,$AY:$AY,$AZ:$AZ,"-",0)=BF1,$H8,"-")</f>
        <v>-</v>
      </c>
      <c r="BY8" s="25" t="str">
        <f t="shared" si="26"/>
        <v>-</v>
      </c>
      <c r="BZ8" s="57" t="str">
        <f>+IF(_xlfn.XLOOKUP($E8,$AY:$AY,$AZ:$AZ,"-",0)=BZ1,$E8,"-")</f>
        <v>-</v>
      </c>
      <c r="CA8" s="58">
        <f t="shared" si="3"/>
        <v>1</v>
      </c>
      <c r="CB8" s="59">
        <f t="shared" si="4"/>
        <v>4</v>
      </c>
      <c r="CC8" s="57" t="str">
        <f>+IF(_xlfn.XLOOKUP($H8,$AY:$AY,$AZ:$AZ,"-",0)=BZ1,$H8,"-")</f>
        <v>-</v>
      </c>
      <c r="CV8" s="35" t="str">
        <f>+'Mejores 3eros'!AP8</f>
        <v>Egipto</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f>+IF(BA12&gt;1,AZ12,IF(BA13&gt;1,AZ13,IF(BA14&gt;1,AZ14,IF(BA15&gt;1,AZ15,"-"))))</f>
        <v>7</v>
      </c>
      <c r="BW10" s="23">
        <v>10</v>
      </c>
      <c r="BZ10" s="29">
        <f>+IF(BC12&gt;1,BB12,IF(BC13&gt;1,BB13,IF(BC14&gt;1,BB14,IF(BC15&gt;1,BB15,"-"))))</f>
        <v>3</v>
      </c>
      <c r="CQ10" s="23">
        <v>10</v>
      </c>
      <c r="CV10" s="35" t="str">
        <f>+'Mejores 3eros'!AP10</f>
        <v>Noruega</v>
      </c>
      <c r="CW10" s="36" t="str">
        <f>+_xlfn.XLOOKUP(CV10,'Mejores 3eros'!$BD$2:$BD$13,'Mejores 3eros'!$BG$2:$BG$13,"-",0)</f>
        <v>IN</v>
      </c>
      <c r="CX10" s="37" t="s">
        <v>116</v>
      </c>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4</v>
      </c>
      <c r="T12" s="24">
        <f t="shared" ref="T12" si="36">+SUMIF(E12:E17,$O12,F12:F17)+SUMIF(H12:H17,$O12,G12:G17)</f>
        <v>6</v>
      </c>
      <c r="U12" s="24">
        <f t="shared" ref="U12" si="37">+SUMIF(E12:E17,$O12,G12:G17)+SUMIF(H12:H17,$O12,F12:F17)</f>
        <v>2</v>
      </c>
      <c r="V12" s="45">
        <f>+P12*3+Q12*1+BT12+CN12+S12/1000+T12/10000+AV12/1000000+ROW()/10000000</f>
        <v>7.3046011999999996</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7</v>
      </c>
      <c r="AG12" s="49">
        <f t="shared" si="38"/>
        <v>3</v>
      </c>
      <c r="AH12" s="50">
        <f>+VLOOKUP($Z12,$O$12:$V$15,COLUMN()-26,FALSE)</f>
        <v>7.3047014999999993</v>
      </c>
      <c r="AI12" s="51"/>
      <c r="AL12" s="45">
        <f>+LARGE(V12:V15,1)</f>
        <v>7.3047014999999993</v>
      </c>
      <c r="AM12" s="52">
        <f>+(AH12-AL12)*100000000000000000000</f>
        <v>0</v>
      </c>
      <c r="AP12" s="53" t="str">
        <f>+O12</f>
        <v>Canada</v>
      </c>
      <c r="AQ12" s="23">
        <f>+P12*3+Q12*1+BT12+CN12+S12/1000+T12/10000</f>
        <v>7.3045999999999998</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5</v>
      </c>
      <c r="U13" s="24">
        <f t="shared" ref="U13" si="49">+SUMIF(E12:E17,$O13,G12:G17)+SUMIF(H12:H17,$O13,F12:F17)</f>
        <v>5</v>
      </c>
      <c r="V13" s="45">
        <f t="shared" ref="V13:V15" si="50">+P13*3+Q13*1+BT13+CN13+S13/1000+T13/10000+AV13/1000000+ROW()/10000000</f>
        <v>3.0005013000000003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4</v>
      </c>
      <c r="AF13" s="64">
        <f t="shared" si="38"/>
        <v>6</v>
      </c>
      <c r="AG13" s="64">
        <f t="shared" si="38"/>
        <v>2</v>
      </c>
      <c r="AH13" s="65">
        <f>+VLOOKUP($Z13,$O$12:$V$15,COLUMN()-26,FALSE)</f>
        <v>7.3046011999999996</v>
      </c>
      <c r="AI13" s="51"/>
      <c r="AL13" s="45">
        <f>+LARGE(V12:V15,2)</f>
        <v>7.3046011999999996</v>
      </c>
      <c r="AM13" s="52">
        <f t="shared" ref="AM13:AM15" si="53">+(AH13-AL13)*100000000000000000000</f>
        <v>0</v>
      </c>
      <c r="AP13" s="53" t="str">
        <f>+O13</f>
        <v>Bosnia</v>
      </c>
      <c r="AQ13" s="23">
        <f>+P13*3+Q13*1+BT13+CN13+S13/1000+T13/10000</f>
        <v>3.0005000000000002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
      <c r="A14" s="38" t="s">
        <v>128</v>
      </c>
      <c r="B14" s="39">
        <v>46191</v>
      </c>
      <c r="C14" s="40"/>
      <c r="D14" s="41"/>
      <c r="E14" s="42" t="s">
        <v>65</v>
      </c>
      <c r="F14" s="43">
        <v>3</v>
      </c>
      <c r="G14" s="43">
        <v>2</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-8</v>
      </c>
      <c r="T14" s="24">
        <f t="shared" ref="T14" si="76">+SUMIF(E12:E17,$O14,F12:F17)+SUMIF(H12:H17,$O14,G12:G17)</f>
        <v>0</v>
      </c>
      <c r="U14" s="24">
        <f t="shared" ref="U14" si="77">+SUMIF(E12:E17,$O14,G12:G17)+SUMIF(H12:H17,$O14,F12:F17)</f>
        <v>8</v>
      </c>
      <c r="V14" s="45">
        <f t="shared" si="50"/>
        <v>-7.9985999999999998E-3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5</v>
      </c>
      <c r="AG14" s="71">
        <f t="shared" si="38"/>
        <v>5</v>
      </c>
      <c r="AH14" s="72">
        <f>+VLOOKUP($Z14,$O$12:$V$15,COLUMN()-26,FALSE)</f>
        <v>3.0005013000000003</v>
      </c>
      <c r="AI14" s="73">
        <f>+(COUNTIFS($CV$2:$CV$13,Z14,$CX$2:$CX$13,"IN")+COUNTIFS($CV$2:$CV$13,Z14,$CW$2:$CW$13,"IN"))*IF(SUM(AA12:AA15)=12,1,0)</f>
        <v>1</v>
      </c>
      <c r="AL14" s="45">
        <f>+LARGE(V12:V15,3)</f>
        <v>3.0005013000000003</v>
      </c>
      <c r="AM14" s="52">
        <f t="shared" si="53"/>
        <v>0</v>
      </c>
      <c r="AP14" s="53" t="str">
        <f>+O14</f>
        <v>Qatar</v>
      </c>
      <c r="AQ14" s="23">
        <f>+P14*3+Q14*1+BT14+CN14+S14/1000+T14/10000</f>
        <v>-8.0000000000000002E-3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3</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7</v>
      </c>
      <c r="U15" s="24">
        <f t="shared" ref="U15" si="79">+SUMIF(E12:E17,$O15,G12:G17)+SUMIF(H12:H17,$O15,F12:F17)</f>
        <v>3</v>
      </c>
      <c r="V15" s="45">
        <f t="shared" si="50"/>
        <v>7.3047014999999993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-8</v>
      </c>
      <c r="AF15" s="77">
        <f t="shared" si="38"/>
        <v>0</v>
      </c>
      <c r="AG15" s="77">
        <f t="shared" si="38"/>
        <v>8</v>
      </c>
      <c r="AH15" s="78">
        <f>+VLOOKUP($Z15,$O$12:$V$15,COLUMN()-26,FALSE)</f>
        <v>-7.9985999999999998E-3</v>
      </c>
      <c r="AI15" s="73"/>
      <c r="AL15" s="45">
        <f>+LARGE(V12:V15,4)</f>
        <v>-7.9985999999999998E-3</v>
      </c>
      <c r="AM15" s="52">
        <f t="shared" si="53"/>
        <v>0</v>
      </c>
      <c r="AP15" s="53" t="str">
        <f>+O15</f>
        <v>Suiza</v>
      </c>
      <c r="AQ15" s="23">
        <f>+P15*3+Q15*1+BT15+CN15+S15/1000+T15/10000</f>
        <v>7.3046999999999995</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3</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1</v>
      </c>
      <c r="Q21" s="24">
        <f>+COUNTIF(K21:L26,"="&amp;$O21)</f>
        <v>2</v>
      </c>
      <c r="R21" s="24">
        <f>+COUNTIF(M21:M26,"="&amp;$O21)</f>
        <v>0</v>
      </c>
      <c r="S21" s="24">
        <f>+T21-U21</f>
        <v>3</v>
      </c>
      <c r="T21" s="24">
        <f t="shared" ref="T21" si="80">+SUMIF(E21:E26,$O21,F21:F26)+SUMIF(H21:H26,$O21,G21:G26)</f>
        <v>6</v>
      </c>
      <c r="U21" s="24">
        <f t="shared" ref="U21" si="81">+SUMIF(E21:E26,$O21,G21:G26)+SUMIF(H21:H26,$O21,F21:F26)</f>
        <v>3</v>
      </c>
      <c r="V21" s="45">
        <f>+P21*3+Q21*1+BT21+CN21+S21/1000+T21/10000+AV21/1000000+ROW()/10000000</f>
        <v>5.0036021000000002</v>
      </c>
      <c r="W21" s="26" t="str">
        <f>+O21</f>
        <v>Brasil</v>
      </c>
      <c r="Y21" s="46" t="str">
        <f>+CONCATENATE("1",RIGHT(E20,1))</f>
        <v>1C</v>
      </c>
      <c r="Z21" s="47" t="str">
        <f>+VLOOKUP(AL21,V21:W24,2,FALSE)</f>
        <v>Marruecos</v>
      </c>
      <c r="AA21" s="48">
        <f>+SUM(AB21:AD21)</f>
        <v>3</v>
      </c>
      <c r="AB21" s="49">
        <f t="shared" ref="AB21:AG24" si="82">+VLOOKUP($Z21,$O$21:$U$24,COLUMN()-26,FALSE)</f>
        <v>2</v>
      </c>
      <c r="AC21" s="49">
        <f t="shared" si="82"/>
        <v>1</v>
      </c>
      <c r="AD21" s="49">
        <f t="shared" si="82"/>
        <v>0</v>
      </c>
      <c r="AE21" s="49">
        <f t="shared" si="82"/>
        <v>3</v>
      </c>
      <c r="AF21" s="49">
        <f t="shared" si="82"/>
        <v>5</v>
      </c>
      <c r="AG21" s="49">
        <f t="shared" si="82"/>
        <v>2</v>
      </c>
      <c r="AH21" s="50">
        <f>+VLOOKUP($Z21,$O$21:$V$24,COLUMN()-26,FALSE)</f>
        <v>7.0035021999999998</v>
      </c>
      <c r="AI21" s="51"/>
      <c r="AL21" s="45">
        <f>+LARGE(V21:V24,1)</f>
        <v>7.0035021999999998</v>
      </c>
      <c r="AM21" s="52">
        <f>+(AH21-AL21)*100000000000000000000</f>
        <v>0</v>
      </c>
      <c r="AP21" s="53" t="str">
        <f>+O21</f>
        <v>Brasil</v>
      </c>
      <c r="AQ21" s="23">
        <f>+P21*3+Q21*1+BT21+CN21+S21/1000+T21/10000</f>
        <v>5.0036000000000005</v>
      </c>
      <c r="AR21" s="23" t="b">
        <f>+IF(OR(AQ21=AQ22,AQ21=AQ23,AQ21=AQ24),1)</f>
        <v>0</v>
      </c>
      <c r="AS21" s="54">
        <f>+AV21</f>
        <v>0</v>
      </c>
      <c r="AT21" s="54">
        <f>+IF(AND(AM25="si",OR(AR21=1,AR22=1,AR23=1)),1,0)</f>
        <v>0</v>
      </c>
      <c r="AU21" s="55" t="str">
        <f>+O21</f>
        <v>Brasil</v>
      </c>
      <c r="AV21" s="56"/>
      <c r="AX21" s="23" t="str">
        <f>+Y20</f>
        <v>Grupo C</v>
      </c>
      <c r="AY21" s="24" t="str">
        <f>+O21</f>
        <v>Brasil</v>
      </c>
      <c r="AZ21" s="29">
        <f>+P21*3+Q21</f>
        <v>5</v>
      </c>
      <c r="BA21" s="29">
        <f>+COUNTIFS($AX$1:AX21,AX21,$AZ$1:AZ21,AZ21)</f>
        <v>1</v>
      </c>
      <c r="BB21" s="29">
        <f>+IF(AZ21=BF19,ROW()*0.001,AZ21)</f>
        <v>5</v>
      </c>
      <c r="BC21" s="29">
        <f>+COUNTIFS($AX$1:AZ21,AZ21,$AZ$1:BB21,BB21)</f>
        <v>1</v>
      </c>
      <c r="BD21" s="29"/>
      <c r="BE21" s="25" t="str">
        <f>+IF(OR(BF21="-",BI21="-",BF19=0),"-","OK")</f>
        <v>-</v>
      </c>
      <c r="BF21" s="57" t="str">
        <f>+IF(_xlfn.XLOOKUP($E21,$AY:$AY,$AZ:$AZ,"-",0)=BF19,$E21,"-")</f>
        <v>-</v>
      </c>
      <c r="BG21" s="58">
        <f t="shared" ref="BG21:BG26" si="83">+$F21</f>
        <v>1</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5</v>
      </c>
      <c r="U22" s="24">
        <f t="shared" ref="U22" si="93">+SUMIF(E21:E26,$O22,G21:G26)+SUMIF(H21:H26,$O22,F21:F26)</f>
        <v>2</v>
      </c>
      <c r="V22" s="45">
        <f t="shared" ref="V22:V24" si="94">+P22*3+Q22*1+BT22+CN22+S22/1000+T22/10000+AV22/1000000+ROW()/10000000</f>
        <v>7.0035021999999998</v>
      </c>
      <c r="W22" s="26" t="str">
        <f t="shared" ref="W22:W24" si="95">+O22</f>
        <v>Marruecos</v>
      </c>
      <c r="Y22" s="61" t="str">
        <f>+CONCATENATE("2",RIGHT(E20,1))</f>
        <v>2C</v>
      </c>
      <c r="Z22" s="62" t="str">
        <f>+VLOOKUP(AL22,V21:W24,2,FALSE)</f>
        <v>Brasil</v>
      </c>
      <c r="AA22" s="63">
        <f t="shared" ref="AA22:AA24" si="96">+SUM(AB22:AD22)</f>
        <v>3</v>
      </c>
      <c r="AB22" s="64">
        <f t="shared" si="82"/>
        <v>1</v>
      </c>
      <c r="AC22" s="64">
        <f t="shared" si="82"/>
        <v>2</v>
      </c>
      <c r="AD22" s="64">
        <f t="shared" si="82"/>
        <v>0</v>
      </c>
      <c r="AE22" s="64">
        <f t="shared" si="82"/>
        <v>3</v>
      </c>
      <c r="AF22" s="64">
        <f t="shared" si="82"/>
        <v>6</v>
      </c>
      <c r="AG22" s="64">
        <f t="shared" si="82"/>
        <v>3</v>
      </c>
      <c r="AH22" s="65">
        <f>+VLOOKUP($Z22,$O$21:$V$24,COLUMN()-26,FALSE)</f>
        <v>5.0036021000000002</v>
      </c>
      <c r="AI22" s="51"/>
      <c r="AL22" s="45">
        <f>+LARGE(V21:V24,2)</f>
        <v>5.0036021000000002</v>
      </c>
      <c r="AM22" s="52">
        <f t="shared" ref="AM22:AM24" si="97">+(AH22-AL22)*100000000000000000000</f>
        <v>0</v>
      </c>
      <c r="AP22" s="53" t="str">
        <f>+O22</f>
        <v>Marruecos</v>
      </c>
      <c r="AQ22" s="23">
        <f>+P22*3+Q22*1+BT22+CN22+S22/1000+T22/10000</f>
        <v>7.0034999999999998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1</v>
      </c>
      <c r="BB22" s="29">
        <f>+IF(AZ22=BF19,ROW()*0.001,AZ22)</f>
        <v>7</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2</v>
      </c>
      <c r="U23" s="24">
        <f t="shared" ref="U23" si="121">+SUMIF(E21:E26,$O23,G21:G26)+SUMIF(H21:H26,$O23,F21:F26)</f>
        <v>10</v>
      </c>
      <c r="V23" s="45">
        <f t="shared" si="94"/>
        <v>-7.7977000000000003E-3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2</v>
      </c>
      <c r="AF23" s="71">
        <f t="shared" si="82"/>
        <v>4</v>
      </c>
      <c r="AG23" s="71">
        <f t="shared" si="82"/>
        <v>2</v>
      </c>
      <c r="AH23" s="72">
        <f>+VLOOKUP($Z23,$O$21:$V$24,COLUMN()-26,FALSE)</f>
        <v>4.0024023999999994</v>
      </c>
      <c r="AI23" s="73">
        <f>+(COUNTIFS($CV$2:$CV$13,Z23,$CX$2:$CX$13,"IN")+COUNTIFS($CV$2:$CV$13,Z23,$CW$2:$CW$13,"IN"))*IF(SUM(AA21:AA24)=12,1,0)</f>
        <v>1</v>
      </c>
      <c r="AL23" s="45">
        <f>+LARGE(V21:V24,3)</f>
        <v>4.0024023999999994</v>
      </c>
      <c r="AM23" s="52">
        <f t="shared" si="97"/>
        <v>0</v>
      </c>
      <c r="AP23" s="53" t="str">
        <f>+O23</f>
        <v>Haiti</v>
      </c>
      <c r="AQ23" s="23">
        <f>+P23*3+Q23*1+BT23+CN23+S23/1000+T23/10000</f>
        <v>-7.8000000000000005E-3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1</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1</v>
      </c>
      <c r="R24" s="24">
        <f>+COUNTIF(M21:M26,"="&amp;$O24)</f>
        <v>1</v>
      </c>
      <c r="S24" s="24">
        <f t="shared" si="91"/>
        <v>2</v>
      </c>
      <c r="T24" s="24">
        <f t="shared" ref="T24" si="122">+SUMIF(E21:E26,$O24,F21:F26)+SUMIF(H21:H26,$O24,G21:G26)</f>
        <v>4</v>
      </c>
      <c r="U24" s="24">
        <f t="shared" ref="U24" si="123">+SUMIF(E21:E26,$O24,G21:G26)+SUMIF(H21:H26,$O24,F21:F26)</f>
        <v>2</v>
      </c>
      <c r="V24" s="45">
        <f t="shared" si="94"/>
        <v>4.0024023999999994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2</v>
      </c>
      <c r="AG24" s="77">
        <f t="shared" si="82"/>
        <v>10</v>
      </c>
      <c r="AH24" s="78">
        <f>+VLOOKUP($Z24,$O$21:$V$24,COLUMN()-26,FALSE)</f>
        <v>-7.7977000000000003E-3</v>
      </c>
      <c r="AI24" s="73"/>
      <c r="AL24" s="45">
        <f>+LARGE(V21:V24,4)</f>
        <v>-7.7977000000000003E-3</v>
      </c>
      <c r="AM24" s="52">
        <f t="shared" si="97"/>
        <v>0</v>
      </c>
      <c r="AP24" s="53" t="str">
        <f>+O24</f>
        <v>Escocia</v>
      </c>
      <c r="AQ24" s="23">
        <f>+P24*3+Q24*1+BT24+CN24+S24/1000+T24/10000</f>
        <v>4.0023999999999997</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1</v>
      </c>
      <c r="H25" s="44" t="s">
        <v>53</v>
      </c>
      <c r="J25" s="24" t="str">
        <f t="shared" si="87"/>
        <v/>
      </c>
      <c r="K25" s="24" t="str">
        <f t="shared" si="88"/>
        <v>Escocia</v>
      </c>
      <c r="L25" s="24" t="str">
        <f t="shared" si="89"/>
        <v>Brasil</v>
      </c>
      <c r="M25" s="24" t="str">
        <f t="shared" si="90"/>
        <v/>
      </c>
      <c r="AL25" s="25" t="s">
        <v>122</v>
      </c>
      <c r="AM25" s="52" t="str">
        <f>+IF(SUM(AA21:AA24)=12,"si","no")</f>
        <v>si</v>
      </c>
      <c r="BE25" s="25" t="str">
        <f>+IF(OR(BF25="-",BI25="-",BF19=0),"-","OK")</f>
        <v>-</v>
      </c>
      <c r="BF25" s="57" t="str">
        <f>+IF(_xlfn.XLOOKUP($E25,$AY:$AY,$AZ:$AZ,"-",0)=BF19,$E25,"-")</f>
        <v>-</v>
      </c>
      <c r="BG25" s="58">
        <f t="shared" si="83"/>
        <v>1</v>
      </c>
      <c r="BH25" s="59">
        <f t="shared" si="84"/>
        <v>1</v>
      </c>
      <c r="BI25" s="57" t="str">
        <f>+IF(_xlfn.XLOOKUP($H25,$AY:$AY,$AZ:$AZ,"-",0)=BF19,$H25,"-")</f>
        <v>-</v>
      </c>
      <c r="BY25" s="25" t="str">
        <f t="shared" si="110"/>
        <v>-</v>
      </c>
      <c r="BZ25" s="57" t="str">
        <f>+IF(_xlfn.XLOOKUP($E25,$AY:$AY,$AZ:$AZ,"-",0)=BZ19,$E25,"-")</f>
        <v>-</v>
      </c>
      <c r="CA25" s="58">
        <f t="shared" si="85"/>
        <v>1</v>
      </c>
      <c r="CB25" s="59">
        <f t="shared" si="86"/>
        <v>1</v>
      </c>
      <c r="CC25" s="57" t="str">
        <f>+IF(_xlfn.XLOOKUP($H25,$AY:$AY,$AZ:$AZ,"-",0)=BZ19,$H25,"-")</f>
        <v>-</v>
      </c>
    </row>
    <row r="26" spans="1:102" x14ac:dyDescent="0.2">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v>
      </c>
      <c r="CA26" s="58">
        <f t="shared" si="85"/>
        <v>3</v>
      </c>
      <c r="CB26" s="59">
        <f t="shared" si="86"/>
        <v>1</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0</v>
      </c>
      <c r="G30" s="43">
        <v>1</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0</v>
      </c>
      <c r="R30" s="24">
        <f>+COUNTIF(M30:M35,"="&amp;$O30)</f>
        <v>2</v>
      </c>
      <c r="S30" s="24">
        <f>+T30-U30</f>
        <v>-1</v>
      </c>
      <c r="T30" s="24">
        <f t="shared" ref="T30" si="124">+SUMIF(E30:E35,$O30,F30:F35)+SUMIF(H30:H35,$O30,G30:G35)</f>
        <v>2</v>
      </c>
      <c r="U30" s="24">
        <f t="shared" ref="U30" si="125">+SUMIF(E30:E35,$O30,G30:G35)+SUMIF(H30:H35,$O30,F30:F35)</f>
        <v>3</v>
      </c>
      <c r="V30" s="45">
        <f>+P30*3+Q30*1+BT30+CN30+S30/1000+T30/10000+AV30/1000000+ROW()/10000000</f>
        <v>2.9992030000000001</v>
      </c>
      <c r="W30" s="26" t="str">
        <f>+O30</f>
        <v>Estados Unidos</v>
      </c>
      <c r="Y30" s="46" t="str">
        <f>+CONCATENATE("1",RIGHT(E29,1))</f>
        <v>1D</v>
      </c>
      <c r="Z30" s="47" t="str">
        <f>+VLOOKUP(AL30,V30:W33,2,FALSE)</f>
        <v>Turquia</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9.0036033</v>
      </c>
      <c r="AI30" s="51"/>
      <c r="AL30" s="45">
        <f>+LARGE(V30:V33,1)</f>
        <v>9.0036033</v>
      </c>
      <c r="AM30" s="52">
        <f>+(AH30-AL30)*100000000000000000000</f>
        <v>0</v>
      </c>
      <c r="AP30" s="53" t="str">
        <f>+O30</f>
        <v>Estados Unidos</v>
      </c>
      <c r="AQ30" s="23">
        <f>+P30*3+Q30*1+BT30+CN30+S30/1000+T30/10000</f>
        <v>2.9992000000000001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3</v>
      </c>
      <c r="BC30" s="29">
        <f>+COUNTIFS($AX$1:AZ30,AZ30,$AZ$1:BB30,BB30)</f>
        <v>3</v>
      </c>
      <c r="BD30" s="29"/>
      <c r="BE30" s="25" t="str">
        <f>+IF(OR(BF30="-",BI30="-",BF28=0),"-","OK")</f>
        <v>-</v>
      </c>
      <c r="BF30" s="57" t="str">
        <f>+IF(_xlfn.XLOOKUP($E30,$AY:$AY,$AZ:$AZ,"-",0)=BF28,$E30,"-")</f>
        <v>-</v>
      </c>
      <c r="BG30" s="58">
        <f t="shared" ref="BG30:BG35" si="127">+$F30</f>
        <v>0</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0</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3</v>
      </c>
      <c r="U31" s="24">
        <f t="shared" ref="U31" si="137">+SUMIF(E30:E35,$O31,G30:G35)+SUMIF(H30:H35,$O31,F30:F35)</f>
        <v>3</v>
      </c>
      <c r="V31" s="45">
        <f t="shared" ref="V31:V33" si="138">+P31*3+Q31*1+BT31+CN31+S31/1000+T31/10000+AV31/1000000+ROW()/10000000</f>
        <v>4.0003031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4.0003031</v>
      </c>
      <c r="AI31" s="51"/>
      <c r="AL31" s="45">
        <f>+LARGE(V30:V33,2)</f>
        <v>4.0003031</v>
      </c>
      <c r="AM31" s="52">
        <f t="shared" ref="AM31:AM33" si="141">+(AH31-AL31)*100000000000000000000</f>
        <v>0</v>
      </c>
      <c r="AP31" s="53" t="str">
        <f>+O31</f>
        <v>Paraguay</v>
      </c>
      <c r="AQ31" s="23">
        <f>+P31*3+Q31*1+BT31+CN31+S31/1000+T31/10000</f>
        <v>4.0003000000000002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2</v>
      </c>
      <c r="U32" s="24">
        <f t="shared" ref="U32" si="165">+SUMIF(E30:E35,$O32,G30:G35)+SUMIF(H30:H35,$O32,F30:F35)</f>
        <v>4</v>
      </c>
      <c r="V32" s="45">
        <f t="shared" si="138"/>
        <v>0.99820319999999996</v>
      </c>
      <c r="W32" s="26" t="str">
        <f t="shared" si="139"/>
        <v>Australia</v>
      </c>
      <c r="Y32" s="68" t="str">
        <f>+CONCATENATE("3",RIGHT(E29,1))</f>
        <v>3D</v>
      </c>
      <c r="Z32" s="69" t="str">
        <f>+VLOOKUP(AL32,V30:W33,2,FALSE)</f>
        <v>Estados Unidos</v>
      </c>
      <c r="AA32" s="70">
        <f t="shared" si="140"/>
        <v>3</v>
      </c>
      <c r="AB32" s="71">
        <f t="shared" si="126"/>
        <v>1</v>
      </c>
      <c r="AC32" s="71">
        <f t="shared" si="126"/>
        <v>0</v>
      </c>
      <c r="AD32" s="71">
        <f t="shared" si="126"/>
        <v>2</v>
      </c>
      <c r="AE32" s="71">
        <f t="shared" si="126"/>
        <v>-1</v>
      </c>
      <c r="AF32" s="71">
        <f t="shared" si="126"/>
        <v>2</v>
      </c>
      <c r="AG32" s="71">
        <f t="shared" si="126"/>
        <v>3</v>
      </c>
      <c r="AH32" s="72">
        <f>+VLOOKUP($Z32,$O$30:$V$33,COLUMN()-26,FALSE)</f>
        <v>2.9992030000000001</v>
      </c>
      <c r="AI32" s="73">
        <f>+(COUNTIFS($CV$2:$CV$13,Z32,$CX$2:$CX$13,"IN")+COUNTIFS($CV$2:$CV$13,Z32,$CW$2:$CW$13,"IN"))*IF(SUM(AA30:AA33)=12,1,0)</f>
        <v>1</v>
      </c>
      <c r="AL32" s="45">
        <f>+LARGE(V30:V33,3)</f>
        <v>2.9992030000000001</v>
      </c>
      <c r="AM32" s="52">
        <f t="shared" si="141"/>
        <v>0</v>
      </c>
      <c r="AP32" s="53" t="str">
        <f>+O32</f>
        <v>Australia</v>
      </c>
      <c r="AQ32" s="23">
        <f>+P32*3+Q32*1+BT32+CN32+S32/1000+T32/10000</f>
        <v>0.99819999999999998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1</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3</v>
      </c>
      <c r="Q33" s="24">
        <f>+COUNTIF(K30:L35,"="&amp;$O33)</f>
        <v>0</v>
      </c>
      <c r="R33" s="24">
        <f>+COUNTIF(M30:M35,"="&amp;$O33)</f>
        <v>0</v>
      </c>
      <c r="S33" s="24">
        <f t="shared" si="135"/>
        <v>3</v>
      </c>
      <c r="T33" s="24">
        <f t="shared" ref="T33" si="166">+SUMIF(E30:E35,$O33,F30:F35)+SUMIF(H30:H35,$O33,G30:G35)</f>
        <v>6</v>
      </c>
      <c r="U33" s="24">
        <f t="shared" ref="U33" si="167">+SUMIF(E30:E35,$O33,G30:G35)+SUMIF(H30:H35,$O33,F30:F35)</f>
        <v>3</v>
      </c>
      <c r="V33" s="45">
        <f t="shared" si="138"/>
        <v>9.0036033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2</v>
      </c>
      <c r="AG33" s="77">
        <f t="shared" si="126"/>
        <v>4</v>
      </c>
      <c r="AH33" s="78">
        <f>+VLOOKUP($Z33,$O$30:$V$33,COLUMN()-26,FALSE)</f>
        <v>0.99820319999999996</v>
      </c>
      <c r="AI33" s="73"/>
      <c r="AL33" s="45">
        <f>+LARGE(V30:V33,4)</f>
        <v>0.99820319999999996</v>
      </c>
      <c r="AM33" s="52">
        <f t="shared" si="141"/>
        <v>0</v>
      </c>
      <c r="AP33" s="53" t="str">
        <f>+O33</f>
        <v>Turquia</v>
      </c>
      <c r="AQ33" s="23">
        <f>+P33*3+Q33*1+BT33+CN33+S33/1000+T33/10000</f>
        <v>9.0036000000000005</v>
      </c>
      <c r="AS33" s="54">
        <f t="shared" si="142"/>
        <v>0</v>
      </c>
      <c r="AT33" s="54">
        <f>+IF(AND(AM34="si",OR(AR30=1,AR31=1,AR32=1)),1,0)</f>
        <v>0</v>
      </c>
      <c r="AU33" s="79" t="str">
        <f t="shared" si="143"/>
        <v>Turquia</v>
      </c>
      <c r="AV33" s="80"/>
      <c r="AX33" s="23" t="str">
        <f>+Y29</f>
        <v>Grupo D</v>
      </c>
      <c r="AY33" s="24" t="str">
        <f t="shared" si="144"/>
        <v>Turquia</v>
      </c>
      <c r="AZ33" s="29">
        <f t="shared" si="145"/>
        <v>9</v>
      </c>
      <c r="BA33" s="29">
        <f>+COUNTIFS($AX$1:AX33,AX33,$AZ$1:AZ33,AZ33)</f>
        <v>1</v>
      </c>
      <c r="BB33" s="29">
        <f>+IF(AZ33=BF28,ROW()*0.001,AZ33)</f>
        <v>9</v>
      </c>
      <c r="BC33" s="29">
        <f>+COUNTIFS($AX$1:AZ33,AZ33,$AZ$1:BB33,BB33)</f>
        <v>2</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x14ac:dyDescent="0.2">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1</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9</v>
      </c>
      <c r="U39" s="24">
        <f t="shared" ref="U39" si="169">+SUMIF(E39:E44,$O39,G39:G44)+SUMIF(H39:H44,$O39,F39:F44)</f>
        <v>2</v>
      </c>
      <c r="V39" s="45">
        <f>+P39*3+Q39*1+BT39+CN39+S39/1000+T39/10000+AV39/1000000+ROW()/10000000</f>
        <v>9.0079038999999987</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9</v>
      </c>
      <c r="AG39" s="49">
        <f t="shared" si="170"/>
        <v>2</v>
      </c>
      <c r="AH39" s="50">
        <f>+VLOOKUP($Z39,$O$39:$V$42,COLUMN()-26,FALSE)</f>
        <v>9.0079038999999987</v>
      </c>
      <c r="AI39" s="51"/>
      <c r="AL39" s="45">
        <f>+LARGE(V39:V42,1)</f>
        <v>9.0079038999999987</v>
      </c>
      <c r="AM39" s="52">
        <f>+(AH39-AL39)*100000000000000000000</f>
        <v>0</v>
      </c>
      <c r="AP39" s="53" t="str">
        <f>+O39</f>
        <v>Alemania</v>
      </c>
      <c r="AQ39" s="23">
        <f>+P39*3+Q39*1+BT39+CN39+S39/1000+T39/10000</f>
        <v>9.0078999999999994</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1</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0</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0</v>
      </c>
      <c r="Q40" s="24">
        <f>+COUNTIF(K39:L44,"="&amp;$O40)</f>
        <v>1</v>
      </c>
      <c r="R40" s="24">
        <f>+COUNTIF(M39:M44,"="&amp;$O40)</f>
        <v>2</v>
      </c>
      <c r="S40" s="24">
        <f t="shared" ref="S40:S42" si="179">+T40-U40</f>
        <v>-4</v>
      </c>
      <c r="T40" s="24">
        <f t="shared" ref="T40" si="180">+SUMIF(E39:E44,$O40,F39:F44)+SUMIF(H39:H44,$O40,G39:G44)</f>
        <v>3</v>
      </c>
      <c r="U40" s="24">
        <f t="shared" ref="U40" si="181">+SUMIF(E39:E44,$O40,G39:G44)+SUMIF(H39:H44,$O40,F39:F44)</f>
        <v>7</v>
      </c>
      <c r="V40" s="45">
        <f t="shared" ref="V40:V42" si="182">+P40*3+Q40*1+BT40+CN40+S40/1000+T40/10000+AV40/1000000+ROW()/10000000</f>
        <v>0.99630399999999997</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2</v>
      </c>
      <c r="AG40" s="64">
        <f t="shared" si="170"/>
        <v>3</v>
      </c>
      <c r="AH40" s="65">
        <f>+VLOOKUP($Z40,$O$39:$V$42,COLUMN()-26,FALSE)</f>
        <v>3.9992041</v>
      </c>
      <c r="AI40" s="51"/>
      <c r="AL40" s="45">
        <f>+LARGE(V39:V42,2)</f>
        <v>3.9992041</v>
      </c>
      <c r="AM40" s="52">
        <f t="shared" ref="AM40:AM42" si="185">+(AH40-AL40)*100000000000000000000</f>
        <v>0</v>
      </c>
      <c r="AP40" s="53" t="str">
        <f>+O40</f>
        <v>Curazao</v>
      </c>
      <c r="AQ40" s="23">
        <f>+P40*3+Q40*1+BT40+CN40+S40/1000+T40/10000</f>
        <v>0.99629999999999996</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1</v>
      </c>
      <c r="BC40" s="29">
        <f>+COUNTIFS($AX$1:AZ40,AZ40,$AZ$1:BB40,BB40)</f>
        <v>2</v>
      </c>
      <c r="BD40" s="29"/>
      <c r="BE40" s="25" t="str">
        <f>+IF(OR(BF40="-",BI40="-",BF37=0),"-","OK")</f>
        <v>-</v>
      </c>
      <c r="BF40" s="57" t="str">
        <f>+IF(_xlfn.XLOOKUP($E40,$AY:$AY,$AZ:$AZ,"-",0)=BF37,$E40,"-")</f>
        <v>-</v>
      </c>
      <c r="BG40" s="58">
        <f t="shared" si="171"/>
        <v>1</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2</v>
      </c>
      <c r="U41" s="24">
        <f t="shared" ref="U41" si="209">+SUMIF(E39:E44,$O41,G39:G44)+SUMIF(H39:H44,$O41,F39:F44)</f>
        <v>3</v>
      </c>
      <c r="V41" s="45">
        <f t="shared" si="182"/>
        <v>3.9992041</v>
      </c>
      <c r="W41" s="26" t="str">
        <f t="shared" si="183"/>
        <v>Costa de Marfil</v>
      </c>
      <c r="Y41" s="68" t="str">
        <f>+CONCATENATE("3",RIGHT(E38,1))</f>
        <v>3E</v>
      </c>
      <c r="Z41" s="69" t="str">
        <f>+VLOOKUP(AL41,V39:W42,2,FALSE)</f>
        <v>Ecuador</v>
      </c>
      <c r="AA41" s="70">
        <f t="shared" si="184"/>
        <v>3</v>
      </c>
      <c r="AB41" s="71">
        <f t="shared" si="170"/>
        <v>1</v>
      </c>
      <c r="AC41" s="71">
        <f t="shared" si="170"/>
        <v>0</v>
      </c>
      <c r="AD41" s="71">
        <f t="shared" si="170"/>
        <v>2</v>
      </c>
      <c r="AE41" s="71">
        <f t="shared" si="170"/>
        <v>-2</v>
      </c>
      <c r="AF41" s="71">
        <f t="shared" si="170"/>
        <v>3</v>
      </c>
      <c r="AG41" s="71">
        <f t="shared" si="170"/>
        <v>5</v>
      </c>
      <c r="AH41" s="72">
        <f>+VLOOKUP($Z41,$O$39:$V$42,COLUMN()-26,FALSE)</f>
        <v>2.9983042000000002</v>
      </c>
      <c r="AI41" s="73">
        <f>+(COUNTIFS($CV$2:$CV$13,Z41,$CX$2:$CX$13,"IN")+COUNTIFS($CV$2:$CV$13,Z41,$CW$2:$CW$13,"IN"))*IF(SUM(AA39:AA42)=12,1,0)</f>
        <v>1</v>
      </c>
      <c r="AL41" s="45">
        <f>+LARGE(V39:V42,3)</f>
        <v>2.9983042000000002</v>
      </c>
      <c r="AM41" s="52">
        <f t="shared" si="185"/>
        <v>0</v>
      </c>
      <c r="AP41" s="53" t="str">
        <f>+O41</f>
        <v>Costa de Marfil</v>
      </c>
      <c r="AQ41" s="23">
        <f>+P41*3+Q41*1+BT41+CN41+S41/1000+T41/10000</f>
        <v>3.9992000000000001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0</v>
      </c>
      <c r="R42" s="24">
        <f>+COUNTIF(M39:M44,"="&amp;$O42)</f>
        <v>2</v>
      </c>
      <c r="S42" s="24">
        <f t="shared" si="179"/>
        <v>-2</v>
      </c>
      <c r="T42" s="24">
        <f t="shared" ref="T42" si="210">+SUMIF(E39:E44,$O42,F39:F44)+SUMIF(H39:H44,$O42,G39:G44)</f>
        <v>3</v>
      </c>
      <c r="U42" s="24">
        <f t="shared" ref="U42" si="211">+SUMIF(E39:E44,$O42,G39:G44)+SUMIF(H39:H44,$O42,F39:F44)</f>
        <v>5</v>
      </c>
      <c r="V42" s="45">
        <f t="shared" si="182"/>
        <v>2.9983042000000002</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-4</v>
      </c>
      <c r="AF42" s="77">
        <f t="shared" si="170"/>
        <v>3</v>
      </c>
      <c r="AG42" s="77">
        <f t="shared" si="170"/>
        <v>7</v>
      </c>
      <c r="AH42" s="78">
        <f>+VLOOKUP($Z42,$O$39:$V$42,COLUMN()-26,FALSE)</f>
        <v>0.99630399999999997</v>
      </c>
      <c r="AI42" s="73"/>
      <c r="AL42" s="45">
        <f>+LARGE(V39:V42,4)</f>
        <v>0.99630399999999997</v>
      </c>
      <c r="AM42" s="52">
        <f t="shared" si="185"/>
        <v>0</v>
      </c>
      <c r="AP42" s="53" t="str">
        <f>+O42</f>
        <v>Ecuador</v>
      </c>
      <c r="AQ42" s="23">
        <f>+P42*3+Q42*1+BT42+CN42+S42/1000+T42/10000</f>
        <v>2.9983000000000004</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4</v>
      </c>
      <c r="BD42" s="29"/>
      <c r="BE42" s="25" t="str">
        <f>+IF(OR(BF42="-",BI42="-",BF37=0),"-","OK")</f>
        <v>-</v>
      </c>
      <c r="BF42" s="57" t="str">
        <f>+IF(_xlfn.XLOOKUP($E42,$AY:$AY,$AZ:$AZ,"-",0)=BF37,$E42,"-")</f>
        <v>-</v>
      </c>
      <c r="BG42" s="58">
        <f t="shared" si="171"/>
        <v>2</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1</v>
      </c>
      <c r="Q48" s="24">
        <f>+COUNTIF(K48:L53,"="&amp;$O48)</f>
        <v>1</v>
      </c>
      <c r="R48" s="24">
        <f>+COUNTIF(M48:M53,"="&amp;$O48)</f>
        <v>1</v>
      </c>
      <c r="S48" s="24">
        <f>+T48-U48</f>
        <v>1</v>
      </c>
      <c r="T48" s="24">
        <f t="shared" ref="T48" si="212">+SUMIF(E48:E53,$O48,F48:F53)+SUMIF(H48:H53,$O48,G48:G53)</f>
        <v>5</v>
      </c>
      <c r="U48" s="24">
        <f t="shared" ref="U48" si="213">+SUMIF(E48:E53,$O48,G48:G53)+SUMIF(H48:H53,$O48,F48:F53)</f>
        <v>4</v>
      </c>
      <c r="V48" s="45">
        <f>+P48*3+Q48*1+BT48+CN48+S48/1000+T48/10000+AV48/1000000+ROW()/10000000</f>
        <v>4.3015048</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5</v>
      </c>
      <c r="AF48" s="49">
        <f t="shared" si="214"/>
        <v>7</v>
      </c>
      <c r="AG48" s="49">
        <f t="shared" si="214"/>
        <v>2</v>
      </c>
      <c r="AH48" s="50">
        <f>+VLOOKUP($Z48,$O$48:$V$51,COLUMN()-26,FALSE)</f>
        <v>9.0057049000000013</v>
      </c>
      <c r="AI48" s="51"/>
      <c r="AL48" s="45">
        <f>+LARGE(V48:V51,1)</f>
        <v>9.0057049000000013</v>
      </c>
      <c r="AM48" s="52">
        <f>+(AH48-AL48)*100000000000000000000</f>
        <v>0</v>
      </c>
      <c r="AP48" s="53" t="str">
        <f>+O48</f>
        <v>Paises Bajos</v>
      </c>
      <c r="AQ48" s="23">
        <f>+P48*3+Q48*1+BT48+CN48+S48/1000+T48/10000</f>
        <v>4.3014999999999999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4</v>
      </c>
      <c r="BA48" s="29">
        <f>+COUNTIFS($AX$1:AX48,AX48,$AZ$1:AZ48,AZ48)</f>
        <v>1</v>
      </c>
      <c r="BB48" s="29">
        <f>+IF(AZ48=BF46,ROW()*0.001,AZ48)</f>
        <v>4.8000000000000001E-2</v>
      </c>
      <c r="BC48" s="29">
        <f>+COUNTIFS($AX$1:AZ48,AZ48,$AZ$1:BB48,BB48)</f>
        <v>1</v>
      </c>
      <c r="BD48" s="29"/>
      <c r="BE48" s="25" t="str">
        <f>+IF(OR(BF48="-",BI48="-",BF46=0),"-","OK")</f>
        <v>-</v>
      </c>
      <c r="BF48" s="57" t="str">
        <f>+IF(_xlfn.XLOOKUP($E48,$AY:$AY,$AZ:$AZ,"-",0)=BF46,$E48,"-")</f>
        <v>Paises Bajos</v>
      </c>
      <c r="BG48" s="58">
        <f t="shared" ref="BG48:BG53" si="215">+$F48</f>
        <v>1</v>
      </c>
      <c r="BH48" s="59">
        <f t="shared" ref="BH48:BH53" si="216">+$G48</f>
        <v>2</v>
      </c>
      <c r="BI48" s="57" t="str">
        <f>+IF(_xlfn.XLOOKUP($H48,$AY:$AY,$AZ:$AZ,"-",0)=BF46,$H48,"-")</f>
        <v>-</v>
      </c>
      <c r="BK48" s="26" t="str">
        <f>+O48</f>
        <v>Paises Bajos</v>
      </c>
      <c r="BL48" s="26">
        <f>+COUNTIFS($BE:$BE,"OK",$BI:$BI,BK48)+COUNTIFS($BE:$BE,"OK",$BF:$BF,BK48)</f>
        <v>1</v>
      </c>
      <c r="BM48" s="24">
        <f>+COUNTIFS(J:J,$BK48,$BE:$BE,"OK")</f>
        <v>0</v>
      </c>
      <c r="BN48" s="24">
        <f>+COUNTIFS(K:K,$BK48,$BE:$BE,"OK")+COUNTIFS(L:L,$BK48,$BE:$BE,"OK")</f>
        <v>1</v>
      </c>
      <c r="BO48" s="24">
        <f>+COUNTIFS(M:M,$BK48,$BE:$BE,"OK")</f>
        <v>0</v>
      </c>
      <c r="BP48" s="24">
        <f>+BQ48-BR48</f>
        <v>0</v>
      </c>
      <c r="BQ48" s="24">
        <f>+SUMIFS(BG:BG,$BE:$BE,"OK",BF:BF,$BK48)+SUMIFS(BH:BH,$BE:$BE,"OK",BI:BI,$BK48)</f>
        <v>1</v>
      </c>
      <c r="BR48" s="24">
        <f>+SUMIFS(BH:BH,$BE:$BE,"OK",BF:BF,$BK48)+SUMIFS(BG:BG,$BE:$BE,"OK",BI:BI,$BK48)</f>
        <v>1</v>
      </c>
      <c r="BS48" s="60">
        <f>+BM48*3+BN48*1+BP48/100+BQ48/10000</f>
        <v>1.0001</v>
      </c>
      <c r="BT48" s="29">
        <f>+IF(BL48=0,0,_xlfn.XLOOKUP(BS48,BV48:BV51,BW48:BW51))</f>
        <v>0.3</v>
      </c>
      <c r="BU48" s="45"/>
      <c r="BV48" s="24">
        <f>+LARGE(BS48:BS51,1)</f>
        <v>1.0001</v>
      </c>
      <c r="BW48" s="24">
        <f>+BX48/$BW$1</f>
        <v>0.3</v>
      </c>
      <c r="BX48" s="23">
        <v>3</v>
      </c>
      <c r="BY48" s="25" t="str">
        <f>+IF(OR(BZ48="-",CC48="-"),"-","OK")</f>
        <v>-</v>
      </c>
      <c r="BZ48" s="57" t="str">
        <f>+IF(_xlfn.XLOOKUP($E48,$AY:$AY,$AZ:$AZ,"-",0)=BZ46,$E48,"-")</f>
        <v>-</v>
      </c>
      <c r="CA48" s="58">
        <f t="shared" ref="CA48:CA53" si="217">+$F48</f>
        <v>1</v>
      </c>
      <c r="CB48" s="59">
        <f t="shared" ref="CB48:CB53" si="218">+$G48</f>
        <v>2</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3</v>
      </c>
      <c r="Q49" s="24">
        <f>+COUNTIF(K48:L53,"="&amp;$O49)</f>
        <v>0</v>
      </c>
      <c r="R49" s="24">
        <f>+COUNTIF(M48:M53,"="&amp;$O49)</f>
        <v>0</v>
      </c>
      <c r="S49" s="24">
        <f t="shared" ref="S49:S51" si="223">+T49-U49</f>
        <v>5</v>
      </c>
      <c r="T49" s="24">
        <f t="shared" ref="T49" si="224">+SUMIF(E48:E53,$O49,F48:F53)+SUMIF(H48:H53,$O49,G48:G53)</f>
        <v>7</v>
      </c>
      <c r="U49" s="24">
        <f t="shared" ref="U49" si="225">+SUMIF(E48:E53,$O49,G48:G53)+SUMIF(H48:H53,$O49,F48:F53)</f>
        <v>2</v>
      </c>
      <c r="V49" s="45">
        <f t="shared" ref="V49:V51" si="226">+P49*3+Q49*1+BT49+CN49+S49/1000+T49/10000+AV49/1000000+ROW()/10000000</f>
        <v>9.0057049000000013</v>
      </c>
      <c r="W49" s="26" t="str">
        <f t="shared" ref="W49:W51" si="227">+O49</f>
        <v>Japon</v>
      </c>
      <c r="Y49" s="61" t="str">
        <f>+CONCATENATE("2",RIGHT(E47,1))</f>
        <v>2F</v>
      </c>
      <c r="Z49" s="62" t="str">
        <f>+VLOOKUP(AL49,V48:W51,2,FALSE)</f>
        <v>Paises Bajos</v>
      </c>
      <c r="AA49" s="63">
        <f t="shared" ref="AA49:AA51" si="228">+SUM(AB49:AD49)</f>
        <v>3</v>
      </c>
      <c r="AB49" s="64">
        <f t="shared" si="214"/>
        <v>1</v>
      </c>
      <c r="AC49" s="64">
        <f t="shared" si="214"/>
        <v>1</v>
      </c>
      <c r="AD49" s="64">
        <f t="shared" si="214"/>
        <v>1</v>
      </c>
      <c r="AE49" s="64">
        <f t="shared" si="214"/>
        <v>1</v>
      </c>
      <c r="AF49" s="64">
        <f t="shared" si="214"/>
        <v>5</v>
      </c>
      <c r="AG49" s="64">
        <f t="shared" si="214"/>
        <v>4</v>
      </c>
      <c r="AH49" s="65">
        <f>+VLOOKUP($Z49,$O$48:$V$51,COLUMN()-26,FALSE)</f>
        <v>4.3015048</v>
      </c>
      <c r="AI49" s="51"/>
      <c r="AL49" s="45">
        <f>+LARGE(V48:V51,2)</f>
        <v>4.3015048</v>
      </c>
      <c r="AM49" s="52">
        <f t="shared" ref="AM49:AM51" si="229">+(AH49-AL49)*100000000000000000000</f>
        <v>0</v>
      </c>
      <c r="AP49" s="53" t="str">
        <f>+O49</f>
        <v>Japon</v>
      </c>
      <c r="AQ49" s="23">
        <f>+P49*3+Q49*1+BT49+CN49+S49/1000+T49/10000</f>
        <v>9.0057000000000009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4</v>
      </c>
      <c r="BD49" s="29"/>
      <c r="BE49" s="25" t="str">
        <f>+IF(OR(BF49="-",BI49="-",BF46=0),"-","OK")</f>
        <v>-</v>
      </c>
      <c r="BF49" s="57" t="str">
        <f>+IF(_xlfn.XLOOKUP($E49,$AY:$AY,$AZ:$AZ,"-",0)=BF46,$E49,"-")</f>
        <v>Suecia</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1</v>
      </c>
      <c r="G50" s="43">
        <v>1</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5">
        <f t="shared" si="226"/>
        <v>4.3003049999999998</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3</v>
      </c>
      <c r="AG50" s="71">
        <f t="shared" si="214"/>
        <v>3</v>
      </c>
      <c r="AH50" s="72">
        <f>+VLOOKUP($Z50,$O$48:$V$51,COLUMN()-26,FALSE)</f>
        <v>4.3003049999999998</v>
      </c>
      <c r="AI50" s="73">
        <f>+(COUNTIFS($CV$2:$CV$13,Z50,$CX$2:$CX$13,"IN")+COUNTIFS($CV$2:$CV$13,Z50,$CW$2:$CW$13,"IN"))*IF(SUM(AA48:AA51)=12,1,0)</f>
        <v>1</v>
      </c>
      <c r="AL50" s="45">
        <f>+LARGE(V48:V51,3)</f>
        <v>4.3003049999999998</v>
      </c>
      <c r="AM50" s="52">
        <f t="shared" si="229"/>
        <v>0</v>
      </c>
      <c r="AP50" s="53" t="str">
        <f>+O50</f>
        <v>Suecia</v>
      </c>
      <c r="AQ50" s="23">
        <f>+P50*3+Q50*1+BT50+CN50+S50/1000+T50/10000</f>
        <v>4.3003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OK</v>
      </c>
      <c r="BF50" s="57" t="str">
        <f>+IF(_xlfn.XLOOKUP($E50,$AY:$AY,$AZ:$AZ,"-",0)=BF46,$E50,"-")</f>
        <v>Paises Bajos</v>
      </c>
      <c r="BG50" s="58">
        <f t="shared" si="215"/>
        <v>1</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v>
      </c>
      <c r="CA50" s="58">
        <f t="shared" si="217"/>
        <v>1</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1</v>
      </c>
      <c r="U51" s="24">
        <f t="shared" ref="U51" si="255">+SUMIF(E48:E53,$O51,G48:G53)+SUMIF(H48:H53,$O51,F48:F53)</f>
        <v>7</v>
      </c>
      <c r="V51" s="45">
        <f t="shared" si="226"/>
        <v>-5.8948999999999998E-3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1</v>
      </c>
      <c r="AG51" s="77">
        <f t="shared" si="214"/>
        <v>7</v>
      </c>
      <c r="AH51" s="78">
        <f>+VLOOKUP($Z51,$O$48:$V$51,COLUMN()-26,FALSE)</f>
        <v>-5.8948999999999998E-3</v>
      </c>
      <c r="AI51" s="73"/>
      <c r="AL51" s="45">
        <f>+LARGE(V48:V51,4)</f>
        <v>-5.8948999999999998E-3</v>
      </c>
      <c r="AM51" s="52">
        <f t="shared" si="229"/>
        <v>0</v>
      </c>
      <c r="AP51" s="53" t="str">
        <f>+O51</f>
        <v>Tunez</v>
      </c>
      <c r="AQ51" s="23">
        <f>+P51*3+Q51*1+BT51+CN51+S51/1000+T51/10000</f>
        <v>-5.8999999999999999E-3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4</v>
      </c>
      <c r="BD51" s="29"/>
      <c r="BE51" s="25" t="str">
        <f>+IF(OR(BF51="-",BI51="-",BF46=0),"-","OK")</f>
        <v>-</v>
      </c>
      <c r="BF51" s="57" t="str">
        <f>+IF(_xlfn.XLOOKUP($E51,$AY:$AY,$AZ:$AZ,"-",0)=BF46,$E51,"-")</f>
        <v>-</v>
      </c>
      <c r="BG51" s="58">
        <f t="shared" si="215"/>
        <v>0</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3</v>
      </c>
      <c r="CC51" s="57" t="str">
        <f>+IF(_xlfn.XLOOKUP($H51,$AY:$AY,$AZ:$AZ,"-",0)=BZ46,$H51,"-")</f>
        <v>Japon</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Suecia</v>
      </c>
      <c r="BY52" s="25" t="str">
        <f t="shared" si="242"/>
        <v>-</v>
      </c>
      <c r="BZ52" s="57" t="str">
        <f>+IF(_xlfn.XLOOKUP($E52,$AY:$AY,$AZ:$AZ,"-",0)=BZ46,$E52,"-")</f>
        <v>Japon</v>
      </c>
      <c r="CA52" s="58">
        <f t="shared" si="217"/>
        <v>2</v>
      </c>
      <c r="CB52" s="59">
        <f t="shared" si="218"/>
        <v>1</v>
      </c>
      <c r="CC52" s="57" t="str">
        <f>+IF(_xlfn.XLOOKUP($H52,$AY:$AY,$AZ:$AZ,"-",0)=BZ46,$H52,"-")</f>
        <v>-</v>
      </c>
    </row>
    <row r="53" spans="1:102" x14ac:dyDescent="0.2">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Paises Bajos</v>
      </c>
      <c r="BY53" s="25" t="str">
        <f t="shared" si="242"/>
        <v>-</v>
      </c>
      <c r="BZ53" s="57" t="str">
        <f>+IF(_xlfn.XLOOKUP($E53,$AY:$AY,$AZ:$AZ,"-",0)=BZ46,$E53,"-")</f>
        <v>-</v>
      </c>
      <c r="CA53" s="58">
        <f t="shared" si="217"/>
        <v>1</v>
      </c>
      <c r="CB53" s="59">
        <f t="shared" si="218"/>
        <v>3</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3.9992057000000001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3.9992000000000001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4</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-3</v>
      </c>
      <c r="T58" s="24">
        <f t="shared" ref="T58" si="268">+SUMIF(E57:E62,$O58,F57:F62)+SUMIF(H57:H62,$O58,G57:G62)</f>
        <v>1</v>
      </c>
      <c r="U58" s="24">
        <f t="shared" ref="U58" si="269">+SUMIF(E57:E62,$O58,G57:G62)+SUMIF(H57:H62,$O58,F57:F62)</f>
        <v>4</v>
      </c>
      <c r="V58" s="45">
        <f t="shared" ref="V58:V60" si="270">+P58*3+Q58*1+BT58+CN58+S58/1000+T58/10000+AV58/1000000+ROW()/10000000</f>
        <v>0.99710579999999993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2</v>
      </c>
      <c r="AG58" s="64">
        <f t="shared" si="258"/>
        <v>3</v>
      </c>
      <c r="AH58" s="65">
        <f>+VLOOKUP($Z58,$O$57:$V$60,COLUMN()-26,FALSE)</f>
        <v>3.9992057000000001</v>
      </c>
      <c r="AI58" s="51"/>
      <c r="AL58" s="45">
        <f>+LARGE(V57:V60,2)</f>
        <v>3.9992057000000001</v>
      </c>
      <c r="AM58" s="52">
        <f t="shared" ref="AM58:AM60" si="273">+(AH58-AL58)*100000000000000000000</f>
        <v>0</v>
      </c>
      <c r="AP58" s="53" t="str">
        <f>+O58</f>
        <v>Nueva Zelanda</v>
      </c>
      <c r="AQ58" s="23">
        <f>+P58*3+Q58*1+BT58+CN58+S58/1000+T58/10000</f>
        <v>0.99709999999999999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Egipto</v>
      </c>
      <c r="AA59" s="70">
        <f t="shared" si="272"/>
        <v>3</v>
      </c>
      <c r="AB59" s="71">
        <f t="shared" si="258"/>
        <v>0</v>
      </c>
      <c r="AC59" s="71">
        <f t="shared" si="258"/>
        <v>2</v>
      </c>
      <c r="AD59" s="71">
        <f t="shared" si="258"/>
        <v>1</v>
      </c>
      <c r="AE59" s="71">
        <f t="shared" si="258"/>
        <v>-1</v>
      </c>
      <c r="AF59" s="71">
        <f t="shared" si="258"/>
        <v>3</v>
      </c>
      <c r="AG59" s="71">
        <f t="shared" si="258"/>
        <v>4</v>
      </c>
      <c r="AH59" s="72">
        <f>+VLOOKUP($Z59,$O$57:$V$60,COLUMN()-26,FALSE)</f>
        <v>1.999306</v>
      </c>
      <c r="AI59" s="73">
        <f>+(COUNTIFS($CV$2:$CV$13,Z59,$CX$2:$CX$13,"IN")+COUNTIFS($CV$2:$CV$13,Z59,$CW$2:$CW$13,"IN"))*IF(SUM(AA57:AA60)=12,1,0)</f>
        <v>0</v>
      </c>
      <c r="AL59" s="45">
        <f>+LARGE(V57:V60,3)</f>
        <v>1.999306</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0</v>
      </c>
      <c r="Q60" s="24">
        <f>+COUNTIF(K57:L62,"="&amp;$O60)</f>
        <v>2</v>
      </c>
      <c r="R60" s="24">
        <f>+COUNTIF(M57:M62,"="&amp;$O60)</f>
        <v>1</v>
      </c>
      <c r="S60" s="24">
        <f t="shared" si="267"/>
        <v>-1</v>
      </c>
      <c r="T60" s="24">
        <f t="shared" ref="T60" si="298">+SUMIF(E57:E62,$O60,F57:F62)+SUMIF(H57:H62,$O60,G57:G62)</f>
        <v>3</v>
      </c>
      <c r="U60" s="24">
        <f t="shared" ref="U60" si="299">+SUMIF(E57:E62,$O60,G57:G62)+SUMIF(H57:H62,$O60,F57:F62)</f>
        <v>4</v>
      </c>
      <c r="V60" s="45">
        <f t="shared" si="270"/>
        <v>1.999306</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-3</v>
      </c>
      <c r="AF60" s="77">
        <f t="shared" si="258"/>
        <v>1</v>
      </c>
      <c r="AG60" s="77">
        <f t="shared" si="258"/>
        <v>4</v>
      </c>
      <c r="AH60" s="78">
        <f>+VLOOKUP($Z60,$O$57:$V$60,COLUMN()-26,FALSE)</f>
        <v>0.99710579999999993</v>
      </c>
      <c r="AI60" s="73"/>
      <c r="AL60" s="45">
        <f>+LARGE(V57:V60,4)</f>
        <v>0.99710579999999993</v>
      </c>
      <c r="AM60" s="52">
        <f t="shared" si="273"/>
        <v>0</v>
      </c>
      <c r="AP60" s="53" t="str">
        <f>+O60</f>
        <v>Egipto</v>
      </c>
      <c r="AQ60" s="23">
        <f>+P60*3+Q60*1+BT60+CN60+S60/1000+T60/10000</f>
        <v>1.9993000000000001</v>
      </c>
      <c r="AS60" s="54">
        <f t="shared" si="274"/>
        <v>0</v>
      </c>
      <c r="AT60" s="54">
        <f>+IF(AND(AM61="si",OR(AR57=1,AR58=1,AR59=1)),1,0)</f>
        <v>0</v>
      </c>
      <c r="AU60" s="79" t="str">
        <f t="shared" si="275"/>
        <v>Egipto</v>
      </c>
      <c r="AV60" s="80"/>
      <c r="AX60" s="23" t="str">
        <f>+Y56</f>
        <v>Grupo G</v>
      </c>
      <c r="AY60" s="24" t="str">
        <f t="shared" si="276"/>
        <v>Egipto</v>
      </c>
      <c r="AZ60" s="29">
        <f t="shared" si="277"/>
        <v>2</v>
      </c>
      <c r="BA60" s="29">
        <f>+COUNTIFS($AX$1:AX60,AX60,$AZ$1:AZ60,AZ60)</f>
        <v>1</v>
      </c>
      <c r="BB60" s="29">
        <f>+IF(AZ60=BF55,ROW()*0.001,AZ60)</f>
        <v>2</v>
      </c>
      <c r="BC60" s="29">
        <f>+COUNTIFS($AX$1:AZ60,AZ60,$AZ$1:BB60,BB60)</f>
        <v>1</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9.0067066000000011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7</v>
      </c>
      <c r="AG66" s="49">
        <f t="shared" si="302"/>
        <v>1</v>
      </c>
      <c r="AH66" s="50">
        <f>+VLOOKUP($Z66,$O$66:$V$69,COLUMN()-26,FALSE)</f>
        <v>9.0067066000000011</v>
      </c>
      <c r="AI66" s="51"/>
      <c r="AL66" s="45">
        <f>+LARGE(V66:V69,1)</f>
        <v>9.0067066000000011</v>
      </c>
      <c r="AM66" s="52">
        <f>+(AH66-AL66)*100000000000000000000</f>
        <v>0</v>
      </c>
      <c r="AP66" s="53" t="str">
        <f>+O66</f>
        <v>España</v>
      </c>
      <c r="AQ66" s="23">
        <f>+P66*3+Q66*1+BT66+CN66+S66/1000+T66/10000</f>
        <v>9.0067000000000004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6</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1.2941066999999999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7</v>
      </c>
      <c r="AG67" s="64">
        <f t="shared" si="302"/>
        <v>3</v>
      </c>
      <c r="AH67" s="65">
        <f>+VLOOKUP($Z67,$O$66:$V$69,COLUMN()-26,FALSE)</f>
        <v>6.0047068999999995</v>
      </c>
      <c r="AI67" s="51"/>
      <c r="AL67" s="45">
        <f>+LARGE(V66:V69,2)</f>
        <v>6.0047068999999995</v>
      </c>
      <c r="AM67" s="52">
        <f t="shared" ref="AM67:AM69" si="317">+(AH67-AL67)*100000000000000000000</f>
        <v>0</v>
      </c>
      <c r="AP67" s="53" t="str">
        <f>+O67</f>
        <v>Cabo Verde</v>
      </c>
      <c r="AQ67" s="23">
        <f>+P67*3+Q67*1+BT67+CN67+S67/1000+T67/10000</f>
        <v>1.2941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-4</v>
      </c>
      <c r="T68" s="24">
        <f t="shared" ref="T68" si="340">+SUMIF(E66:E71,$O68,F66:F71)+SUMIF(H66:H71,$O68,G66:G71)</f>
        <v>2</v>
      </c>
      <c r="U68" s="24">
        <f t="shared" ref="U68" si="341">+SUMIF(E66:E71,$O68,G66:G71)+SUMIF(H66:H71,$O68,F66:F71)</f>
        <v>6</v>
      </c>
      <c r="V68" s="45">
        <f t="shared" si="314"/>
        <v>1.2962068</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-4</v>
      </c>
      <c r="AF68" s="71">
        <f t="shared" si="302"/>
        <v>2</v>
      </c>
      <c r="AG68" s="71">
        <f t="shared" si="302"/>
        <v>6</v>
      </c>
      <c r="AH68" s="72">
        <f>+VLOOKUP($Z68,$O$66:$V$69,COLUMN()-26,FALSE)</f>
        <v>1.2962068</v>
      </c>
      <c r="AI68" s="73">
        <f>+(COUNTIFS($CV$2:$CV$13,Z68,$CX$2:$CX$13,"IN")+COUNTIFS($CV$2:$CV$13,Z68,$CW$2:$CW$13,"IN"))*IF(SUM(AA66:AA69)=12,1,0)</f>
        <v>0</v>
      </c>
      <c r="AL68" s="45">
        <f>+LARGE(V66:V69,3)</f>
        <v>1.2962068</v>
      </c>
      <c r="AM68" s="52">
        <f t="shared" si="317"/>
        <v>0</v>
      </c>
      <c r="AP68" s="53" t="str">
        <f>+O68</f>
        <v>Arabia Saudita</v>
      </c>
      <c r="AQ68" s="23">
        <f>+P68*3+Q68*1+BT68+CN68+S68/1000+T68/10000</f>
        <v>1.2962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7</v>
      </c>
      <c r="U69" s="24">
        <f t="shared" ref="U69" si="343">+SUMIF(E66:E71,$O69,G66:G71)+SUMIF(H66:H71,$O69,F66:F71)</f>
        <v>3</v>
      </c>
      <c r="V69" s="45">
        <f t="shared" si="314"/>
        <v>6.0047068999999995</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-6</v>
      </c>
      <c r="AF69" s="77">
        <f t="shared" si="302"/>
        <v>1</v>
      </c>
      <c r="AG69" s="77">
        <f t="shared" si="302"/>
        <v>7</v>
      </c>
      <c r="AH69" s="78">
        <f>+VLOOKUP($Z69,$O$66:$V$69,COLUMN()-26,FALSE)</f>
        <v>1.2941066999999999</v>
      </c>
      <c r="AI69" s="73"/>
      <c r="AL69" s="45">
        <f>+LARGE(V66:V69,4)</f>
        <v>1.2941066999999999</v>
      </c>
      <c r="AM69" s="52">
        <f t="shared" si="317"/>
        <v>0</v>
      </c>
      <c r="AP69" s="53" t="str">
        <f>+O69</f>
        <v>Uruguay</v>
      </c>
      <c r="AQ69" s="23">
        <f>+P69*3+Q69*1+BT69+CN69+S69/1000+T69/10000</f>
        <v>6.0046999999999997</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2</v>
      </c>
      <c r="BD69" s="29"/>
      <c r="BE69" s="25" t="str">
        <f>+IF(OR(BF69="-",BI69="-",BF64=0),"-","OK")</f>
        <v>-</v>
      </c>
      <c r="BF69" s="57" t="str">
        <f>+IF(_xlfn.XLOOKUP($E69,$AY:$AY,$AZ:$AZ,"-",0)=BF64,$E69,"-")</f>
        <v>-</v>
      </c>
      <c r="BG69" s="58">
        <f t="shared" si="303"/>
        <v>3</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7</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2</v>
      </c>
      <c r="H75" s="44" t="s">
        <v>61</v>
      </c>
      <c r="J75" s="24" t="str">
        <f>IF(OR(ISBLANK(F75),ISBLANK(G75)),"",IF(F75&gt;G75,E75,IF(G75&gt;F75,H75,"")))</f>
        <v/>
      </c>
      <c r="K75" s="24" t="str">
        <f>IF(OR(ISBLANK(F75),ISBLANK(G75)),"",IF(F75=G75,E75,""))</f>
        <v>Francia</v>
      </c>
      <c r="L75" s="24" t="str">
        <f>IF(OR(ISBLANK(F75),ISBLANK(G75)),"",IF(F75=G75,H75,""))</f>
        <v>Senegal</v>
      </c>
      <c r="M75" s="24" t="str">
        <f>IF(OR(ISBLANK(F75),ISBLANK(G75)),"",IF(F75&lt;G75,E75,IF(G75&lt;F75,H75,"")))</f>
        <v/>
      </c>
      <c r="O75" s="26" t="str">
        <f>+E75</f>
        <v>Francia</v>
      </c>
      <c r="P75" s="24">
        <f>+COUNTIF(J75:J80,"="&amp;$O75)</f>
        <v>2</v>
      </c>
      <c r="Q75" s="24">
        <f>+COUNTIF(K75:L80,"="&amp;$O75)</f>
        <v>1</v>
      </c>
      <c r="R75" s="24">
        <f>+COUNTIF(M75:M80,"="&amp;$O75)</f>
        <v>0</v>
      </c>
      <c r="S75" s="24">
        <f>+T75-U75</f>
        <v>4</v>
      </c>
      <c r="T75" s="24">
        <f t="shared" ref="T75" si="344">+SUMIF(E75:E80,$O75,F75:F80)+SUMIF(H75:H80,$O75,G75:G80)</f>
        <v>8</v>
      </c>
      <c r="U75" s="24">
        <f t="shared" ref="U75" si="345">+SUMIF(E75:E80,$O75,G75:G80)+SUMIF(H75:H80,$O75,F75:F80)</f>
        <v>4</v>
      </c>
      <c r="V75" s="45">
        <f>+P75*3+Q75*1+BT75+CN75+S75/1000+T75/10000+AV75/1000000+ROW()/10000000</f>
        <v>7.0048074999999992</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8</v>
      </c>
      <c r="AG75" s="49">
        <f t="shared" ref="AG75:AG78" si="350">+_xlfn.XLOOKUP($Z75,$O:$O,U:U,"Error",0)</f>
        <v>4</v>
      </c>
      <c r="AH75" s="50">
        <f t="shared" ref="AH75:AH78" si="351">+_xlfn.XLOOKUP($Z75,$O:$O,V:V,"Error",0)</f>
        <v>7.0048074999999992</v>
      </c>
      <c r="AI75" s="51"/>
      <c r="AL75" s="45">
        <f>+LARGE(V75:V78,1)</f>
        <v>7.0048074999999992</v>
      </c>
      <c r="AM75" s="52">
        <f>+(AH75-AL75)*100000000000000000000</f>
        <v>0</v>
      </c>
      <c r="AP75" s="53" t="str">
        <f>+O75</f>
        <v>Francia</v>
      </c>
      <c r="AQ75" s="23">
        <f>+P75*3+Q75*1+BT75+CN75+S75/1000+T75/10000</f>
        <v>7.0047999999999995</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2</v>
      </c>
      <c r="BD75" s="29"/>
      <c r="BE75" s="25" t="str">
        <f>+IF(OR(BF75="-",BI75="-",BF73=0),"-","OK")</f>
        <v>-</v>
      </c>
      <c r="BF75" s="57" t="str">
        <f>+IF(_xlfn.XLOOKUP($E75,$AY:$AY,$AZ:$AZ,"-",0)=BF73,$E75,"-")</f>
        <v>-</v>
      </c>
      <c r="BG75" s="58">
        <f t="shared" ref="BG75:BG80" si="352">+$F75</f>
        <v>2</v>
      </c>
      <c r="BH75" s="59">
        <f t="shared" ref="BH75:BH80" si="353">+$G75</f>
        <v>2</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2</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2</v>
      </c>
      <c r="R76" s="24">
        <f>+COUNTIF(M75:M80,"="&amp;$O76)</f>
        <v>0</v>
      </c>
      <c r="S76" s="24">
        <f t="shared" ref="S76:S78" si="360">+T76-U76</f>
        <v>1</v>
      </c>
      <c r="T76" s="24">
        <f t="shared" ref="T76" si="361">+SUMIF(E75:E80,$O76,F75:F80)+SUMIF(H75:H80,$O76,G75:G80)</f>
        <v>7</v>
      </c>
      <c r="U76" s="24">
        <f t="shared" ref="U76" si="362">+SUMIF(E75:E80,$O76,G75:G80)+SUMIF(H75:H80,$O76,F75:F80)</f>
        <v>6</v>
      </c>
      <c r="V76" s="45">
        <f t="shared" ref="V76:V78" si="363">+P76*3+Q76*1+BT76+CN76+S76/1000+T76/10000+AV76/1000000+ROW()/10000000</f>
        <v>5.0017076000000005</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2</v>
      </c>
      <c r="AD76" s="64">
        <f t="shared" si="347"/>
        <v>0</v>
      </c>
      <c r="AE76" s="64">
        <f t="shared" si="348"/>
        <v>1</v>
      </c>
      <c r="AF76" s="64">
        <f t="shared" si="349"/>
        <v>7</v>
      </c>
      <c r="AG76" s="64">
        <f t="shared" si="350"/>
        <v>6</v>
      </c>
      <c r="AH76" s="65">
        <f t="shared" si="351"/>
        <v>5.0017076000000005</v>
      </c>
      <c r="AI76" s="51"/>
      <c r="AL76" s="45">
        <f>+LARGE(V75:V78,2)</f>
        <v>5.0017076000000005</v>
      </c>
      <c r="AM76" s="52">
        <f t="shared" ref="AM76:AM78" si="367">+(AH76-AL76)*100000000000000000000</f>
        <v>0</v>
      </c>
      <c r="AP76" s="53" t="str">
        <f>+O76</f>
        <v>Senegal</v>
      </c>
      <c r="AQ76" s="23">
        <f>+P76*3+Q76*1+BT76+CN76+S76/1000+T76/10000</f>
        <v>5.0017000000000005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5</v>
      </c>
      <c r="BA76" s="29">
        <f>+COUNTIFS($AX$1:AX76,AX76,$AZ$1:AZ76,AZ76)</f>
        <v>1</v>
      </c>
      <c r="BB76" s="29">
        <f>+IF(AZ76=BF73,ROW()*0.001,AZ76)</f>
        <v>5</v>
      </c>
      <c r="BC76" s="29">
        <f>+COUNTIFS($AX$1:AZ76,AZ76,$AZ$1:BB76,BB76)</f>
        <v>2</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-4</v>
      </c>
      <c r="T77" s="24">
        <f t="shared" ref="T77" si="390">+SUMIF(E75:E80,$O77,F75:F80)+SUMIF(H75:H80,$O77,G75:G80)</f>
        <v>2</v>
      </c>
      <c r="U77" s="24">
        <f t="shared" ref="U77" si="391">+SUMIF(E75:E80,$O77,G75:G80)+SUMIF(H75:H80,$O77,F75:F80)</f>
        <v>6</v>
      </c>
      <c r="V77" s="45">
        <f t="shared" si="363"/>
        <v>-3.7923000000000002E-3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5</v>
      </c>
      <c r="AG77" s="71">
        <f t="shared" si="350"/>
        <v>6</v>
      </c>
      <c r="AH77" s="72">
        <f t="shared" si="351"/>
        <v>3.9995078000000004</v>
      </c>
      <c r="AI77" s="73">
        <f>+(COUNTIFS($CV$2:$CV$13,Z77,$CX$2:$CX$13,"IN")+COUNTIFS($CV$2:$CV$13,Z77,$CW$2:$CW$13,"IN"))*IF(SUM(AA75:AA78)=12,1,0)</f>
        <v>1</v>
      </c>
      <c r="AL77" s="45">
        <f>+LARGE(V75:V78,3)</f>
        <v>3.9995078000000004</v>
      </c>
      <c r="AM77" s="52">
        <f t="shared" si="367"/>
        <v>0</v>
      </c>
      <c r="AP77" s="53" t="str">
        <f>+O77</f>
        <v>Irak</v>
      </c>
      <c r="AQ77" s="23">
        <f>+P77*3+Q77*1+BT77+CN77+S77/1000+T77/10000</f>
        <v>-3.8E-3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3</v>
      </c>
      <c r="G78" s="43">
        <v>3</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5</v>
      </c>
      <c r="U78" s="24">
        <f t="shared" ref="U78" si="393">+SUMIF(E75:E80,$O78,G75:G80)+SUMIF(H75:H80,$O78,F75:F80)</f>
        <v>6</v>
      </c>
      <c r="V78" s="45">
        <f t="shared" si="363"/>
        <v>3.9995078000000004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-4</v>
      </c>
      <c r="AF78" s="77">
        <f t="shared" si="349"/>
        <v>2</v>
      </c>
      <c r="AG78" s="77">
        <f t="shared" si="350"/>
        <v>6</v>
      </c>
      <c r="AH78" s="78">
        <f t="shared" si="351"/>
        <v>-3.7923000000000002E-3</v>
      </c>
      <c r="AI78" s="73"/>
      <c r="AL78" s="45">
        <f>+LARGE(V75:V78,4)</f>
        <v>-3.7923000000000002E-3</v>
      </c>
      <c r="AM78" s="52">
        <f t="shared" si="367"/>
        <v>0</v>
      </c>
      <c r="AP78" s="53" t="str">
        <f>+O78</f>
        <v>Noruega</v>
      </c>
      <c r="AQ78" s="23">
        <f>+P78*3+Q78*1+BT78+CN78+S78/1000+T78/10000</f>
        <v>3.9995000000000003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5</v>
      </c>
      <c r="BD78" s="29"/>
      <c r="BE78" s="25" t="str">
        <f>+IF(OR(BF78="-",BI78="-",BF73=0),"-","OK")</f>
        <v>-</v>
      </c>
      <c r="BF78" s="57" t="str">
        <f>+IF(_xlfn.XLOOKUP($E78,$AY:$AY,$AZ:$AZ,"-",0)=BF73,$E78,"-")</f>
        <v>-</v>
      </c>
      <c r="BG78" s="58">
        <f t="shared" si="352"/>
        <v>3</v>
      </c>
      <c r="BH78" s="59">
        <f t="shared" si="353"/>
        <v>3</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3</v>
      </c>
      <c r="CB78" s="59">
        <f t="shared" si="355"/>
        <v>3</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8</v>
      </c>
      <c r="U84" s="24">
        <f t="shared" ref="U84" si="395">+SUMIF(E84:E89,$O84,G84:G89)+SUMIF(H84:H89,$O84,F84:F89)</f>
        <v>1</v>
      </c>
      <c r="V84" s="45">
        <f>+P84*3+Q84*1+BT84+CN84+S84/1000+T84/10000+AV84/1000000+ROW()/10000000</f>
        <v>9.0078084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8</v>
      </c>
      <c r="AG84" s="49">
        <f t="shared" ref="AG84:AH87" si="400">+_xlfn.XLOOKUP($Z84,$O:$O,U:U,"Error",0)</f>
        <v>1</v>
      </c>
      <c r="AH84" s="50">
        <f t="shared" si="400"/>
        <v>9.0078084</v>
      </c>
      <c r="AI84" s="51"/>
      <c r="AL84" s="45">
        <f>+LARGE(V84:V87,1)</f>
        <v>9.0078084</v>
      </c>
      <c r="AM84" s="52">
        <f>+(AH84-AL84)*100000000000000000000</f>
        <v>0</v>
      </c>
      <c r="AP84" s="53" t="str">
        <f>+O84</f>
        <v>Argentina</v>
      </c>
      <c r="AQ84" s="23">
        <f>+P84*3+Q84*1+BT84+CN84+S84/1000+T84/10000</f>
        <v>9.0077999999999996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0</v>
      </c>
      <c r="R85" s="24">
        <f>+COUNTIF(M84:M89,"="&amp;$O85)</f>
        <v>3</v>
      </c>
      <c r="S85" s="24">
        <f t="shared" ref="S85:S87" si="410">+T85-U85</f>
        <v>-5</v>
      </c>
      <c r="T85" s="24">
        <f t="shared" ref="T85" si="411">+SUMIF(E84:E89,$O85,F84:F89)+SUMIF(H84:H89,$O85,G84:G89)</f>
        <v>2</v>
      </c>
      <c r="U85" s="24">
        <f t="shared" ref="U85" si="412">+SUMIF(E84:E89,$O85,G84:G89)+SUMIF(H84:H89,$O85,F84:F89)</f>
        <v>7</v>
      </c>
      <c r="V85" s="45">
        <f>+P85*3+Q85*1+BT85+CN85+S85/1000+T85/10000+AV85/1000000+ROW()/10000000</f>
        <v>-4.7915000000000006E-3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-4.8000000000000004E-3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0</v>
      </c>
      <c r="BA85" s="29">
        <f>+COUNTIFS($AX$1:AX85,AX85,$AZ$1:AZ85,AZ85)</f>
        <v>1</v>
      </c>
      <c r="BB85" s="29">
        <f>+IF(AZ85=BF82,ROW()*0.001,AZ85)</f>
        <v>0</v>
      </c>
      <c r="BC85" s="29">
        <f>+COUNTIFS($AX$1:AZ85,AZ85,$AZ$1:BB85,BB85)</f>
        <v>6</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Jordania</v>
      </c>
      <c r="AA86" s="70">
        <f t="shared" si="414"/>
        <v>3</v>
      </c>
      <c r="AB86" s="71">
        <f t="shared" si="415"/>
        <v>1</v>
      </c>
      <c r="AC86" s="71">
        <f t="shared" si="396"/>
        <v>0</v>
      </c>
      <c r="AD86" s="71">
        <f t="shared" si="397"/>
        <v>2</v>
      </c>
      <c r="AE86" s="71">
        <f t="shared" si="398"/>
        <v>-3</v>
      </c>
      <c r="AF86" s="71">
        <f t="shared" si="399"/>
        <v>3</v>
      </c>
      <c r="AG86" s="71">
        <f t="shared" si="400"/>
        <v>6</v>
      </c>
      <c r="AH86" s="72">
        <f t="shared" si="400"/>
        <v>2.9973087</v>
      </c>
      <c r="AI86" s="73">
        <f>+(COUNTIFS($CV$2:$CV$13,Z86,$CX$2:$CX$13,"IN")+COUNTIFS($CV$2:$CV$13,Z86,$CW$2:$CW$13,"IN"))*IF(SUM(AA84:AA87)=12,1,0)</f>
        <v>0</v>
      </c>
      <c r="AL86" s="45">
        <f>+LARGE(V84:V87,3)</f>
        <v>2.9973087</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3</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1</v>
      </c>
      <c r="H87" s="44" t="s">
        <v>74</v>
      </c>
      <c r="J87" s="24" t="str">
        <f t="shared" si="406"/>
        <v>Jordania</v>
      </c>
      <c r="K87" s="24" t="str">
        <f t="shared" si="407"/>
        <v/>
      </c>
      <c r="L87" s="24" t="str">
        <f t="shared" si="408"/>
        <v/>
      </c>
      <c r="M87" s="24" t="str">
        <f t="shared" si="409"/>
        <v>Argelia</v>
      </c>
      <c r="O87" s="26" t="str">
        <f>+H85</f>
        <v>Jordania</v>
      </c>
      <c r="P87" s="24">
        <f>+COUNTIF(J84:J89,"="&amp;$O87)</f>
        <v>1</v>
      </c>
      <c r="Q87" s="24">
        <f>+COUNTIF(K84:L89,"="&amp;$O87)</f>
        <v>0</v>
      </c>
      <c r="R87" s="24">
        <f>+COUNTIF(M84:M89,"="&amp;$O87)</f>
        <v>2</v>
      </c>
      <c r="S87" s="24">
        <f t="shared" si="410"/>
        <v>-3</v>
      </c>
      <c r="T87" s="24">
        <f t="shared" ref="T87" si="421">+SUMIF(E84:E89,$O87,F84:F89)+SUMIF(H84:H89,$O87,G84:G89)</f>
        <v>3</v>
      </c>
      <c r="U87" s="24">
        <f t="shared" ref="U87" si="422">+SUMIF(E84:E89,$O87,G84:G89)+SUMIF(H84:H89,$O87,F84:F89)</f>
        <v>6</v>
      </c>
      <c r="V87" s="45">
        <f>+P87*3+Q87*1+BT87+CN87+S87/1000+T87/10000+AV87/1000000+ROW()/10000000</f>
        <v>2.9973087</v>
      </c>
      <c r="W87" s="26" t="str">
        <f t="shared" si="413"/>
        <v>Jordania</v>
      </c>
      <c r="Y87" s="74" t="str">
        <f>+CONCATENATE("4",RIGHT(E83,1))</f>
        <v>4J</v>
      </c>
      <c r="Z87" s="75" t="str">
        <f>+VLOOKUP(AL87,V84:W87,2,FALSE)</f>
        <v>Argelia</v>
      </c>
      <c r="AA87" s="76">
        <f t="shared" si="414"/>
        <v>3</v>
      </c>
      <c r="AB87" s="77">
        <f t="shared" si="415"/>
        <v>0</v>
      </c>
      <c r="AC87" s="77">
        <f t="shared" si="396"/>
        <v>0</v>
      </c>
      <c r="AD87" s="77">
        <f t="shared" si="397"/>
        <v>3</v>
      </c>
      <c r="AE87" s="77">
        <f t="shared" si="398"/>
        <v>-5</v>
      </c>
      <c r="AF87" s="77">
        <f t="shared" si="399"/>
        <v>2</v>
      </c>
      <c r="AG87" s="77">
        <f t="shared" si="400"/>
        <v>7</v>
      </c>
      <c r="AH87" s="78">
        <f t="shared" si="400"/>
        <v>-4.7915000000000006E-3</v>
      </c>
      <c r="AI87" s="73"/>
      <c r="AL87" s="45">
        <f>+LARGE(V84:V87,4)</f>
        <v>-4.7915000000000006E-3</v>
      </c>
      <c r="AM87" s="52">
        <f>+(AH87-AL87)*100000000000000000000</f>
        <v>0</v>
      </c>
      <c r="AP87" s="53" t="str">
        <f>+O87</f>
        <v>Jordania</v>
      </c>
      <c r="AQ87" s="23">
        <f>+P87*3+Q87*1+BT87+CN87+S87/1000+T87/10000</f>
        <v>2.9973000000000001</v>
      </c>
      <c r="AS87" s="54">
        <f t="shared" si="416"/>
        <v>0</v>
      </c>
      <c r="AT87" s="54">
        <f>+IF(AND(AM88="si",OR(AR84=1,AR85=1,AR86=1)),1,0)</f>
        <v>0</v>
      </c>
      <c r="AU87" s="79" t="str">
        <f t="shared" si="417"/>
        <v>Jordania</v>
      </c>
      <c r="AV87" s="80"/>
      <c r="AX87" s="23" t="str">
        <f>+Y83</f>
        <v>Grupo J</v>
      </c>
      <c r="AY87" s="24" t="str">
        <f>+O87</f>
        <v>Jordania</v>
      </c>
      <c r="AZ87" s="29">
        <f>+P87*3+Q87</f>
        <v>3</v>
      </c>
      <c r="BA87" s="29">
        <f>+COUNTIFS($AX$1:AX87,AX87,$AZ$1:AZ87,AZ87)</f>
        <v>1</v>
      </c>
      <c r="BB87" s="29">
        <f>+IF(AZ87=BF82,ROW()*0.001,AZ87)</f>
        <v>3</v>
      </c>
      <c r="BC87" s="29">
        <f>+COUNTIFS($AX$1:AZ87,AZ87,$AZ$1:BB87,BB87)</f>
        <v>5</v>
      </c>
      <c r="BD87" s="29"/>
      <c r="BE87" s="25" t="str">
        <f>+IF(OR(BF87="-",BI87="-",BF82=0),"-","OK")</f>
        <v>-</v>
      </c>
      <c r="BF87" s="57" t="str">
        <f>+IF(_xlfn.XLOOKUP($E87,$AY:$AY,$AZ:$AZ,"-",0)=BF82,$E87,"-")</f>
        <v>-</v>
      </c>
      <c r="BG87" s="58">
        <f t="shared" si="401"/>
        <v>2</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2</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5</v>
      </c>
      <c r="U93" s="24">
        <f t="shared" ref="U93" si="424">+SUMIF(E93:E98,$O93,G93:G98)+SUMIF(H93:H98,$O93,F93:F98)</f>
        <v>1</v>
      </c>
      <c r="V93" s="45">
        <f>+P93*3+Q93*1+BT93+CN93+S93/1000+T93/10000+AV93/1000000+ROW()/10000000</f>
        <v>7.3045092999999994</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7.3045092999999994</v>
      </c>
      <c r="AI93" s="51"/>
      <c r="AL93" s="45">
        <f>+LARGE(V93:V96,1)</f>
        <v>7.3045092999999994</v>
      </c>
      <c r="AM93" s="52">
        <f>+(AH93-AL93)*100000000000000000000</f>
        <v>0</v>
      </c>
      <c r="AP93" s="53" t="str">
        <f>+O93</f>
        <v>Portugal</v>
      </c>
      <c r="AQ93" s="23">
        <f>+P93*3+Q93*1+BT93+CN93+S93/1000+T93/10000</f>
        <v>7.3044999999999991</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0</v>
      </c>
      <c r="CL93" s="24">
        <f>+SUMIFS(CB:CB,$BY:$BY,"OK",BZ:BZ,$BK93)+SUMIFS(CA:CA,$BY:$BY,"OK",CC:CC,$BK93)</f>
        <v>0</v>
      </c>
      <c r="CM93" s="60">
        <f>+CG93*3+CH93*1+CJ93/100+CK93/10000</f>
        <v>1</v>
      </c>
      <c r="CN93" s="29">
        <f>+IF(CF93=0,0,_xlfn.XLOOKUP(CM93,CP93:CP96,CQ93:CQ96))</f>
        <v>0.3</v>
      </c>
      <c r="CO93" s="45"/>
      <c r="CP93" s="24">
        <f>+LARGE(CM93:CM96,1)</f>
        <v>1</v>
      </c>
      <c r="CQ93" s="24">
        <f>+CR93/$BW$1</f>
        <v>0.3</v>
      </c>
      <c r="CR93" s="23">
        <v>3</v>
      </c>
    </row>
    <row r="94" spans="1:102" x14ac:dyDescent="0.2">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0</v>
      </c>
      <c r="U94" s="24">
        <f t="shared" ref="U94" si="441">+SUMIF(E93:E98,$O94,G93:G98)+SUMIF(H93:H98,$O94,F93:F98)</f>
        <v>4</v>
      </c>
      <c r="V94" s="45">
        <f t="shared" ref="V94:V96" si="442">+P94*3+Q94*1+BT94+CN94+S94/1000+T94/10000+AV94/1000000+ROW()/10000000</f>
        <v>1.2960094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3</v>
      </c>
      <c r="AG94" s="49">
        <f t="shared" si="429"/>
        <v>0</v>
      </c>
      <c r="AH94" s="65">
        <f t="shared" si="429"/>
        <v>7.3033096000000004</v>
      </c>
      <c r="AI94" s="51"/>
      <c r="AL94" s="45">
        <f>+LARGE(V93:V96,2)</f>
        <v>7.3033096000000004</v>
      </c>
      <c r="AM94" s="52">
        <f>+(AH94-AL94)*100000000000000000000</f>
        <v>0</v>
      </c>
      <c r="AP94" s="53" t="str">
        <f>+O94</f>
        <v>Congo</v>
      </c>
      <c r="AQ94" s="23">
        <f>+P94*3+Q94*1+BT94+CN94+S94/1000+T94/10000</f>
        <v>1.296</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v>
      </c>
      <c r="CQ94" s="24">
        <f>+CR94/$BW$1</f>
        <v>0.2</v>
      </c>
      <c r="CR94" s="23">
        <v>2</v>
      </c>
    </row>
    <row r="95" spans="1:102" x14ac:dyDescent="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3</v>
      </c>
      <c r="U96" s="24">
        <f t="shared" ref="U96" si="452">+SUMIF(E93:E98,$O96,G93:G98)+SUMIF(H93:H98,$O96,F93:F98)</f>
        <v>0</v>
      </c>
      <c r="V96" s="45">
        <f t="shared" si="442"/>
        <v>7.3033096000000004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0</v>
      </c>
      <c r="AG96" s="77">
        <f t="shared" si="429"/>
        <v>4</v>
      </c>
      <c r="AH96" s="78">
        <f t="shared" si="429"/>
        <v>1.2960094</v>
      </c>
      <c r="AI96" s="73"/>
      <c r="AL96" s="45">
        <f>+LARGE(V93:V96,4)</f>
        <v>1.2960094</v>
      </c>
      <c r="AM96" s="52">
        <f>+(AH96-AL96)*100000000000000000000</f>
        <v>0</v>
      </c>
      <c r="AP96" s="53" t="str">
        <f>+O96</f>
        <v>Colombia</v>
      </c>
      <c r="AQ96" s="23">
        <f>+P96*3+Q96*1+BT96+CN96+S96/1000+T96/10000</f>
        <v>7.3033000000000001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0</v>
      </c>
      <c r="CL96" s="24">
        <f>+SUMIFS(CB:CB,$BY:$BY,"OK",BZ:BZ,$BK96)+SUMIFS(CA:CA,$BY:$BY,"OK",CC:CC,$BK96)</f>
        <v>0</v>
      </c>
      <c r="CM96" s="60">
        <f>+CG96*3+CH96*1+CJ96/100+CK96/10000</f>
        <v>1</v>
      </c>
      <c r="CN96" s="29">
        <f>+IF(CF96=0,0,_xlfn.XLOOKUP(CM96,CP93:CP96,CQ93:CQ96))</f>
        <v>0.3</v>
      </c>
      <c r="CO96" s="45"/>
      <c r="CP96" s="24">
        <f>+LARGE(CM93:CM96,4)</f>
        <v>0</v>
      </c>
      <c r="CQ96" s="24">
        <f>+CR96/$BW$1</f>
        <v>0</v>
      </c>
      <c r="CR96" s="23">
        <v>0</v>
      </c>
    </row>
    <row r="97" spans="1:102" x14ac:dyDescent="0.2">
      <c r="A97" s="38" t="s">
        <v>193</v>
      </c>
      <c r="B97" s="39">
        <v>46200</v>
      </c>
      <c r="C97" s="40"/>
      <c r="D97" s="41"/>
      <c r="E97" s="42" t="s">
        <v>60</v>
      </c>
      <c r="F97" s="43">
        <v>0</v>
      </c>
      <c r="G97" s="43">
        <v>0</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0</v>
      </c>
      <c r="BH97" s="59">
        <f t="shared" si="431"/>
        <v>0</v>
      </c>
      <c r="BI97" s="57" t="str">
        <f>+IF(_xlfn.XLOOKUP($H97,$AY:$AY,$AZ:$AZ,"-",0)=BF91,$H97,"-")</f>
        <v>-</v>
      </c>
      <c r="BY97" s="25" t="str">
        <f t="shared" si="432"/>
        <v>OK</v>
      </c>
      <c r="BZ97" s="57" t="str">
        <f>+IF(_xlfn.XLOOKUP($E97,$AY:$AY,$AZ:$AZ,"-",0)=BZ91,$E97,"-")</f>
        <v>Colombia</v>
      </c>
      <c r="CA97" s="58">
        <f t="shared" si="433"/>
        <v>0</v>
      </c>
      <c r="CB97" s="59">
        <f t="shared" si="434"/>
        <v>0</v>
      </c>
      <c r="CC97" s="57" t="str">
        <f>+IF(_xlfn.XLOOKUP($H97,$AY:$AY,$AZ:$AZ,"-",0)=BZ91,$H97,"-")</f>
        <v>Portugal</v>
      </c>
    </row>
    <row r="98" spans="1:102" x14ac:dyDescent="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8</v>
      </c>
      <c r="U102" s="24">
        <f t="shared" ref="U102" si="454">+SUMIF(E102:E107,$O102,G102:G107)+SUMIF(H102:H107,$O102,F102:F107)</f>
        <v>2</v>
      </c>
      <c r="V102" s="45">
        <f>+P102*3+Q102*1+BT102+CN102+S102/1000+T102/10000+AV102/1000000+ROW()/10000000</f>
        <v>9.0068131999999999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8</v>
      </c>
      <c r="AG102" s="49">
        <f t="shared" ref="AG102:AH105" si="459">+_xlfn.XLOOKUP($Z102,$O:$O,U:U,"Error",0)</f>
        <v>2</v>
      </c>
      <c r="AH102" s="50">
        <f t="shared" si="459"/>
        <v>9.0068131999999999</v>
      </c>
      <c r="AI102" s="51"/>
      <c r="AL102" s="45">
        <f>+LARGE(V102:V105,1)</f>
        <v>9.0068131999999999</v>
      </c>
      <c r="AM102" s="52">
        <f>+(AH102-AL102)*100000000000000000000</f>
        <v>0</v>
      </c>
      <c r="AP102" s="53" t="str">
        <f>+O102</f>
        <v>Inglaterra</v>
      </c>
      <c r="AQ102" s="23">
        <f>+P102*3+Q102*1+BT102+CN102+S102/1000+T102/10000</f>
        <v>9.0068000000000001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0</v>
      </c>
      <c r="R103" s="24">
        <f>+COUNTIF(M102:M107,"="&amp;$O103)</f>
        <v>2</v>
      </c>
      <c r="S103" s="24">
        <f t="shared" ref="S103:S105" si="469">+T103-U103</f>
        <v>-1</v>
      </c>
      <c r="T103" s="24">
        <f t="shared" ref="T103" si="470">+SUMIF(E102:E107,$O103,F102:F107)+SUMIF(H102:H107,$O103,G102:G107)</f>
        <v>4</v>
      </c>
      <c r="U103" s="24">
        <f t="shared" ref="U103" si="471">+SUMIF(E102:E107,$O103,G102:G107)+SUMIF(H102:H107,$O103,F102:F107)</f>
        <v>5</v>
      </c>
      <c r="V103" s="45">
        <f t="shared" ref="V103:V105" si="472">+P103*3+Q103*1+BT103+CN103+S103/1000+T103/10000+AV103/1000000+ROW()/10000000</f>
        <v>2.9994103000000001</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4</v>
      </c>
      <c r="AH103" s="65">
        <f t="shared" si="459"/>
        <v>3.9993105000000004</v>
      </c>
      <c r="AI103" s="51"/>
      <c r="AL103" s="45">
        <f>+LARGE(V102:V105,2)</f>
        <v>3.9993105000000004</v>
      </c>
      <c r="AM103" s="52">
        <f>+(AH103-AL103)*100000000000000000000</f>
        <v>0</v>
      </c>
      <c r="AP103" s="53" t="str">
        <f>+O103</f>
        <v>Croacia</v>
      </c>
      <c r="AQ103" s="23">
        <f>+P103*3+Q103*1+BT103+CN103+S103/1000+T103/10000</f>
        <v>2.9994000000000001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6</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-4</v>
      </c>
      <c r="T104" s="24">
        <f t="shared" ref="T104" si="479">+SUMIF(E102:E107,$O104,F102:F107)+SUMIF(H102:H107,$O104,G102:G107)</f>
        <v>4</v>
      </c>
      <c r="U104" s="24">
        <f t="shared" ref="U104" si="480">+SUMIF(E102:E107,$O104,G102:G107)+SUMIF(H102:H107,$O104,F102:F107)</f>
        <v>8</v>
      </c>
      <c r="V104" s="45">
        <f t="shared" si="472"/>
        <v>0.99641039999999992</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-1</v>
      </c>
      <c r="AF104" s="71">
        <f t="shared" si="458"/>
        <v>4</v>
      </c>
      <c r="AG104" s="71">
        <f t="shared" si="459"/>
        <v>5</v>
      </c>
      <c r="AH104" s="72">
        <f t="shared" si="459"/>
        <v>2.9994103000000001</v>
      </c>
      <c r="AI104" s="73">
        <f>+(COUNTIFS($CV$2:$CV$13,Z104,$CX$2:$CX$13,"IN")+COUNTIFS($CV$2:$CV$13,Z104,$CW$2:$CW$13,"IN"))*IF(SUM(AA102:AA105)=12,1,0)</f>
        <v>1</v>
      </c>
      <c r="AL104" s="45">
        <f>+LARGE(V102:V105,3)</f>
        <v>2.9994103000000001</v>
      </c>
      <c r="AM104" s="52">
        <f>+(AH104-AL104)*100000000000000000000</f>
        <v>0</v>
      </c>
      <c r="AP104" s="53" t="str">
        <f>+O104</f>
        <v>Ghana</v>
      </c>
      <c r="AQ104" s="23">
        <f>+P104*3+Q104*1+BT104+CN104+S104/1000+T104/10000</f>
        <v>0.99639999999999995</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4</v>
      </c>
      <c r="BD104" s="29"/>
      <c r="BE104" s="25" t="str">
        <f>+IF(OR(BF104="-",BI104="-",BF100=0),"-","OK")</f>
        <v>-</v>
      </c>
      <c r="BF104" s="57" t="str">
        <f>+IF(_xlfn.XLOOKUP($E104,$AY:$AY,$AZ:$AZ,"-",0)=BF100,$E104,"-")</f>
        <v>-</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1</v>
      </c>
      <c r="Q105" s="24">
        <f>+COUNTIF(K102:L107,"="&amp;$O105)</f>
        <v>1</v>
      </c>
      <c r="R105" s="24">
        <f>+COUNTIF(M102:M107,"="&amp;$O105)</f>
        <v>1</v>
      </c>
      <c r="S105" s="24">
        <f t="shared" si="469"/>
        <v>-1</v>
      </c>
      <c r="T105" s="24">
        <f t="shared" ref="T105" si="481">+SUMIF(E102:E107,$O105,F102:F107)+SUMIF(H102:H107,$O105,G102:G107)</f>
        <v>3</v>
      </c>
      <c r="U105" s="24">
        <f t="shared" ref="U105" si="482">+SUMIF(E102:E107,$O105,G102:G107)+SUMIF(H102:H107,$O105,F102:F107)</f>
        <v>4</v>
      </c>
      <c r="V105" s="45">
        <f t="shared" si="472"/>
        <v>3.9993105000000004</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-4</v>
      </c>
      <c r="AF105" s="77">
        <f t="shared" si="458"/>
        <v>4</v>
      </c>
      <c r="AG105" s="77">
        <f t="shared" si="459"/>
        <v>8</v>
      </c>
      <c r="AH105" s="78">
        <f t="shared" si="459"/>
        <v>0.99641039999999992</v>
      </c>
      <c r="AI105" s="73"/>
      <c r="AL105" s="45">
        <f>+LARGE(V102:V105,4)</f>
        <v>0.99641039999999992</v>
      </c>
      <c r="AM105" s="52">
        <f>+(AH105-AL105)*100000000000000000000</f>
        <v>0</v>
      </c>
      <c r="AP105" s="53" t="str">
        <f>+O105</f>
        <v>Panama</v>
      </c>
      <c r="AQ105" s="23">
        <f>+P105*3+Q105*1+BT105+CN105+S105/1000+T105/10000</f>
        <v>3.9993000000000003</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1</v>
      </c>
      <c r="BB105" s="29">
        <f>+IF(AZ105=BF100,ROW()*0.001,AZ105)</f>
        <v>4</v>
      </c>
      <c r="BC105" s="29">
        <f>+COUNTIFS($AX$1:AZ105,AZ105,$AZ$1:BB105,BB105)</f>
        <v>6</v>
      </c>
      <c r="BD105" s="29"/>
      <c r="BE105" s="25" t="str">
        <f>+IF(OR(BF105="-",BI105="-",BF100=0),"-","OK")</f>
        <v>-</v>
      </c>
      <c r="BF105" s="57" t="str">
        <f>+IF(_xlfn.XLOOKUP($E105,$AY:$AY,$AZ:$AZ,"-",0)=BF100,$E105,"-")</f>
        <v>-</v>
      </c>
      <c r="BG105" s="58">
        <f t="shared" si="460"/>
        <v>1</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Inglaterra</v>
      </c>
    </row>
    <row r="107" spans="1:102" x14ac:dyDescent="0.2">
      <c r="A107" s="38" t="s">
        <v>201</v>
      </c>
      <c r="B107" s="39">
        <v>46200</v>
      </c>
      <c r="C107" s="40"/>
      <c r="D107" s="41"/>
      <c r="E107" s="42" t="s">
        <v>57</v>
      </c>
      <c r="F107" s="43">
        <v>3</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1</v>
      </c>
      <c r="BI107" s="57" t="str">
        <f>+IF(_xlfn.XLOOKUP($H107,$AY:$AY,$AZ:$AZ,"-",0)=BF100,$H107,"-")</f>
        <v>-</v>
      </c>
      <c r="BY107" s="25" t="str">
        <f t="shared" si="462"/>
        <v>-</v>
      </c>
      <c r="BZ107" s="57" t="str">
        <f>+IF(_xlfn.XLOOKUP($E107,$AY:$AY,$AZ:$AZ,"-",0)=BZ100,$E107,"-")</f>
        <v>-</v>
      </c>
      <c r="CA107" s="58">
        <f t="shared" si="463"/>
        <v>3</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S33" sqref="S33"/>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0</v>
      </c>
      <c r="E5" s="428" t="str">
        <f>+_xlfn.XLOOKUP(D4,'Groups Stage'!$Y:$Y,'Groups Stage'!$Z:$Z,"-",0)</f>
        <v>Canada</v>
      </c>
      <c r="F5" s="110"/>
      <c r="G5" s="437" t="s">
        <v>214</v>
      </c>
      <c r="H5" s="111" t="str">
        <f>+_xlfn.XLOOKUP(I4,'Groups Stage'!$Y:$Y,'Groups Stage'!$Z:$Z,"-",0)</f>
        <v>Turquia</v>
      </c>
      <c r="I5" s="112">
        <v>3</v>
      </c>
      <c r="J5" s="113">
        <v>1</v>
      </c>
      <c r="K5" s="438" t="str">
        <f>+_xlfn.XLOOKUP(J4,'Groups Stage'!$Y:$Y,'Groups Stage'!$Z:$Z,"-",0)</f>
        <v>Bosnia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2</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4</v>
      </c>
      <c r="D9" s="113">
        <v>2</v>
      </c>
      <c r="E9" s="428" t="str">
        <f>+_xlfn.XLOOKUP(D8,'Groups Stage'!$Y:$Y,'Groups Stage'!$Z:$Z,"-",0)</f>
        <v>Estados Unidos</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Japon</v>
      </c>
      <c r="C13" s="112">
        <v>2</v>
      </c>
      <c r="D13" s="113">
        <v>1</v>
      </c>
      <c r="E13" s="428" t="str">
        <f>+_xlfn.XLOOKUP(D12,'Groups Stage'!$Y:$Y,'Groups Stage'!$Z:$Z,"-",0)</f>
        <v>Brasil</v>
      </c>
      <c r="F13" s="110"/>
      <c r="G13" s="437" t="s">
        <v>231</v>
      </c>
      <c r="H13" s="111" t="str">
        <f>+_xlfn.XLOOKUP(I12,'Groups Stage'!$Y:$Y,'Groups Stage'!$Z:$Z,"-",0)</f>
        <v>Colombia</v>
      </c>
      <c r="I13" s="112">
        <v>2</v>
      </c>
      <c r="J13" s="113">
        <v>0</v>
      </c>
      <c r="K13" s="438" t="str">
        <f>+_xlfn.XLOOKUP(J12,'Groups Stage'!$Y:$Y,'Groups Stage'!$Z:$Z,"-",0)</f>
        <v>Panama</v>
      </c>
      <c r="O13" s="427" t="s">
        <v>232</v>
      </c>
      <c r="P13" s="111" t="str">
        <f>+_xlfn.XLOOKUP(Q12,$C:$C,$B:$B,_xlfn.XLOOKUP(Q12,$I:$I,$H:$H,"-",0),0)</f>
        <v>Corea del Sur</v>
      </c>
      <c r="Q13" s="112">
        <v>1</v>
      </c>
      <c r="R13" s="113">
        <v>2</v>
      </c>
      <c r="S13" s="428" t="str">
        <f>+_xlfn.XLOOKUP(R12,$C:$C,$B:$B,_xlfn.XLOOKUP(R12,$I:$I,$H:$H,"-",0),0)</f>
        <v>Japon</v>
      </c>
      <c r="T13" s="108"/>
      <c r="U13" s="437" t="s">
        <v>233</v>
      </c>
      <c r="V13" s="111" t="str">
        <f>+_xlfn.XLOOKUP(W12,$C:$C,$B:$B,_xlfn.XLOOKUP(W12,$I:$I,$H:$H,"-",0),0)</f>
        <v>Turquia</v>
      </c>
      <c r="W13" s="112">
        <v>1</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6</v>
      </c>
      <c r="Y14" s="442" t="str">
        <f>+IF(AND(ISNUMBER(W13),ISNUMBER(X13),W13=X13),"Y","N")</f>
        <v>Y</v>
      </c>
    </row>
    <row r="15" spans="1:25" ht="15.75" thickTop="1" thickBot="1" x14ac:dyDescent="0.25">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Marruecos</v>
      </c>
      <c r="C17" s="112">
        <v>2</v>
      </c>
      <c r="D17" s="113">
        <v>1</v>
      </c>
      <c r="E17" s="448" t="str">
        <f>+_xlfn.XLOOKUP(D16,'Groups Stage'!$Y:$Y,'Groups Stage'!$Z:$Z,"-",0)</f>
        <v>Paises Bajos</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4</v>
      </c>
      <c r="D21" s="113">
        <v>1</v>
      </c>
      <c r="E21" s="428" t="str">
        <f>+_xlfn.XLOOKUP(D20,'Groups Stage'!$Y:$Y,'Groups Stage'!$Z:$Z,"-",0)</f>
        <v>Suecia</v>
      </c>
      <c r="F21" s="110"/>
      <c r="G21" s="417" t="s">
        <v>250</v>
      </c>
      <c r="H21" s="111" t="str">
        <f>+_xlfn.XLOOKUP(I20,'Groups Stage'!$Y:$Y,'Groups Stage'!$Z:$Z,"-",0)</f>
        <v>Suiza</v>
      </c>
      <c r="I21" s="112">
        <v>1</v>
      </c>
      <c r="J21" s="113">
        <v>2</v>
      </c>
      <c r="K21" s="418" t="str">
        <f>+_xlfn.XLOOKUP(J20,'Groups Stage'!$Y:$Y,'Groups Stage'!$Z:$Z,"-",0)</f>
        <v>Ecuador</v>
      </c>
      <c r="O21" s="447" t="s">
        <v>251</v>
      </c>
      <c r="P21" s="111" t="str">
        <f>+_xlfn.XLOOKUP(Q20,$C:$C,$B:$B,_xlfn.XLOOKUP(Q20,$I:$I,$H:$H,"-",0),0)</f>
        <v>Marruecos</v>
      </c>
      <c r="Q21" s="112">
        <v>2</v>
      </c>
      <c r="R21" s="113">
        <v>2</v>
      </c>
      <c r="S21" s="448" t="str">
        <f>+_xlfn.XLOOKUP(R20,$C:$C,$B:$B,_xlfn.XLOOKUP(R20,$I:$I,$H:$H,"-",0),0)</f>
        <v>Senegal</v>
      </c>
      <c r="T21" s="108"/>
      <c r="U21" s="417" t="s">
        <v>252</v>
      </c>
      <c r="V21" s="111" t="str">
        <f>+_xlfn.XLOOKUP(W20,$C:$C,$B:$B,_xlfn.XLOOKUP(W20,$I:$I,$H:$H,"-",0),0)</f>
        <v>Argentina</v>
      </c>
      <c r="W21" s="112">
        <v>4</v>
      </c>
      <c r="X21" s="113">
        <v>0</v>
      </c>
      <c r="Y21" s="418" t="str">
        <f>+_xlfn.XLOOKUP(X20,$C:$C,$B:$B,_xlfn.XLOOKUP(X20,$I:$I,$H:$H,"-",0),0)</f>
        <v>Iran</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v>4</v>
      </c>
      <c r="R22" s="451">
        <v>3</v>
      </c>
      <c r="S22" s="452" t="str">
        <f>+IF(AND(ISNUMBER(Q21),ISNUMBER(R21),Q21=R21),"Y","N")</f>
        <v>Y</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Ecuador</v>
      </c>
      <c r="I23" s="117" t="str">
        <f>+K20</f>
        <v>W85</v>
      </c>
      <c r="J23" s="117"/>
      <c r="K23" s="117"/>
      <c r="P23" s="118" t="str">
        <f>+IF(AND(ISNUMBER(Q21),ISNUMBER(R21)),IF((Q21+Q22)&gt;(R21+R22),P21,S21),"-")</f>
        <v>Marruecos</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Costa de Marfil</v>
      </c>
      <c r="C25" s="112">
        <v>0</v>
      </c>
      <c r="D25" s="113">
        <v>1</v>
      </c>
      <c r="E25" s="448" t="str">
        <f>+_xlfn.XLOOKUP(D24,'Groups Stage'!$Y:$Y,'Groups Stage'!$Z:$Z,"-",0)</f>
        <v>Senegal</v>
      </c>
      <c r="F25" s="110"/>
      <c r="G25" s="417" t="s">
        <v>258</v>
      </c>
      <c r="H25" s="111" t="str">
        <f>+_xlfn.XLOOKUP(I24,'Groups Stage'!$Y:$Y,'Groups Stage'!$Z:$Z,"-",0)</f>
        <v>Argentina</v>
      </c>
      <c r="I25" s="112">
        <v>3</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Escocia</v>
      </c>
      <c r="F29" s="110"/>
      <c r="G29" s="417" t="s">
        <v>267</v>
      </c>
      <c r="H29" s="111" t="str">
        <f>+_xlfn.XLOOKUP(I28,'Groups Stage'!$Y:$Y,'Groups Stage'!$Z:$Z,"-",0)</f>
        <v>Portugal</v>
      </c>
      <c r="I29" s="112">
        <v>2</v>
      </c>
      <c r="J29" s="113">
        <v>0</v>
      </c>
      <c r="K29" s="418" t="str">
        <f>+_xlfn.XLOOKUP(J28,'Groups Stage'!$Y:$Y,'Groups Stage'!$Z:$Z,"-",0)</f>
        <v>Croacia</v>
      </c>
      <c r="O29" s="447" t="s">
        <v>268</v>
      </c>
      <c r="P29" s="111" t="str">
        <f>+_xlfn.XLOOKUP(Q28,$C:$C,$B:$B,_xlfn.XLOOKUP(Q28,$I:$I,$H:$H,"-",0),0)</f>
        <v>Mexico</v>
      </c>
      <c r="Q29" s="112">
        <v>1</v>
      </c>
      <c r="R29" s="113">
        <v>2</v>
      </c>
      <c r="S29" s="448" t="str">
        <f>+_xlfn.XLOOKUP(R28,$C:$C,$B:$B,_xlfn.XLOOKUP(R28,$I:$I,$H:$H,"-",0),0)</f>
        <v>Inglaterra</v>
      </c>
      <c r="T29" s="108"/>
      <c r="U29" s="417" t="s">
        <v>269</v>
      </c>
      <c r="V29" s="111" t="str">
        <f>+_xlfn.XLOOKUP(W28,$C:$C,$B:$B,_xlfn.XLOOKUP(W28,$I:$I,$H:$H,"-",0),0)</f>
        <v>Ecuador</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4</v>
      </c>
      <c r="D33" s="113">
        <v>1</v>
      </c>
      <c r="E33" s="448" t="str">
        <f>+_xlfn.XLOOKUP(D32,'Groups Stage'!$Y:$Y,'Groups Stage'!$Z:$Z,"-",0)</f>
        <v>Noruega</v>
      </c>
      <c r="F33" s="110"/>
      <c r="G33" s="417" t="s">
        <v>274</v>
      </c>
      <c r="H33" s="111" t="str">
        <f>+_xlfn.XLOOKUP(I32,'Groups Stage'!$Y:$Y,'Groups Stage'!$Z:$Z,"-",0)</f>
        <v>Paraguay</v>
      </c>
      <c r="I33" s="112">
        <v>1</v>
      </c>
      <c r="J33" s="113">
        <v>1</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v>4</v>
      </c>
      <c r="J34" s="421">
        <v>5</v>
      </c>
      <c r="K34" s="422" t="str">
        <f>+IF(AND(ISNUMBER(I33),ISNUMBER(J33),I33=J33),"Y","N")</f>
        <v>Y</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1</v>
      </c>
      <c r="R4" s="523">
        <v>1</v>
      </c>
      <c r="S4" s="517" t="str">
        <f>+H21</f>
        <v>Portugal</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Marruecos</v>
      </c>
      <c r="I5" s="112">
        <v>1</v>
      </c>
      <c r="J5" s="113">
        <v>3</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v>4</v>
      </c>
      <c r="R7" s="139">
        <v>5</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Portugal</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2</v>
      </c>
      <c r="R13" s="113">
        <v>1</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2</v>
      </c>
      <c r="D19" s="113">
        <v>0</v>
      </c>
      <c r="E19" s="114" t="str">
        <f>+B11</f>
        <v>España</v>
      </c>
      <c r="F19" s="121"/>
      <c r="G19" s="180" t="s">
        <v>288</v>
      </c>
      <c r="H19" s="111" t="str">
        <f>+H7</f>
        <v>Inglaterra</v>
      </c>
      <c r="I19" s="112">
        <v>1</v>
      </c>
      <c r="J19" s="113">
        <v>2</v>
      </c>
      <c r="K19" s="114" t="str">
        <f>+H11</f>
        <v>Portugal</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Portugal</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Qatar</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tabSelected="1" zoomScale="90" zoomScaleNormal="90" workbookViewId="0">
      <pane ySplit="1" topLeftCell="A2" activePane="bottomLeft" state="frozen"/>
      <selection pane="bottomLeft" activeCell="H7" sqref="H7"/>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820.10150000199997</v>
      </c>
      <c r="D2" s="189" t="str">
        <f>+_xlfn.XLOOKUP($C2,Aux!$W:$W,Aux!H:H,"-",0)</f>
        <v>Portugal</v>
      </c>
      <c r="E2" s="191">
        <f>+F2*3+G2</f>
        <v>20</v>
      </c>
      <c r="F2" s="191">
        <f>+_xlfn.XLOOKUP($C2,Aux!$W:$W,Aux!Q:Q,"-",0)</f>
        <v>6</v>
      </c>
      <c r="G2" s="191">
        <f>+_xlfn.XLOOKUP($C2,Aux!$W:$W,Aux!R:R,"-",0)</f>
        <v>2</v>
      </c>
      <c r="H2" s="191">
        <f>+_xlfn.XLOOKUP($C2,Aux!$W:$W,Aux!S:S,"-",0)</f>
        <v>0</v>
      </c>
      <c r="I2" s="191">
        <f>+_xlfn.XLOOKUP($C2,Aux!$W:$W,Aux!T:T,"-",0)</f>
        <v>10</v>
      </c>
      <c r="J2" s="191">
        <f>+_xlfn.XLOOKUP($C2,Aux!$W:$W,Aux!U:U,"-",0)</f>
        <v>15</v>
      </c>
      <c r="K2" s="192">
        <f>+_xlfn.XLOOKUP($C2,Aux!$W:$W,Aux!V:V,"-",0)</f>
        <v>5</v>
      </c>
    </row>
    <row r="3" spans="1:31" ht="18" x14ac:dyDescent="0.25">
      <c r="A3" s="401">
        <v>2</v>
      </c>
      <c r="B3" s="386" t="s">
        <v>292</v>
      </c>
      <c r="C3" s="194">
        <f>+LARGE(Aux!$W$4:$W$51,A3)</f>
        <v>620.11200000999997</v>
      </c>
      <c r="D3" s="193" t="str">
        <f>+_xlfn.XLOOKUP($C3,Aux!$W:$W,Aux!H:H,"-",0)</f>
        <v>Francia</v>
      </c>
      <c r="E3" s="195">
        <f t="shared" ref="E3:E49" si="0">+F3*3+G3</f>
        <v>20</v>
      </c>
      <c r="F3" s="195">
        <f>+_xlfn.XLOOKUP($C3,Aux!$W:$W,Aux!Q:Q,"-",0)</f>
        <v>6</v>
      </c>
      <c r="G3" s="195">
        <f>+_xlfn.XLOOKUP($C3,Aux!$W:$W,Aux!R:R,"-",0)</f>
        <v>2</v>
      </c>
      <c r="H3" s="195">
        <f>+_xlfn.XLOOKUP($C3,Aux!$W:$W,Aux!S:S,"-",0)</f>
        <v>0</v>
      </c>
      <c r="I3" s="195">
        <f>+_xlfn.XLOOKUP($C3,Aux!$W:$W,Aux!T:T,"-",0)</f>
        <v>11</v>
      </c>
      <c r="J3" s="195">
        <f>+_xlfn.XLOOKUP($C3,Aux!$W:$W,Aux!U:U,"-",0)</f>
        <v>20</v>
      </c>
      <c r="K3" s="196">
        <f>+_xlfn.XLOOKUP($C3,Aux!$W:$W,Aux!V:V,"-",0)</f>
        <v>9</v>
      </c>
    </row>
    <row r="4" spans="1:31" x14ac:dyDescent="0.2">
      <c r="A4" s="402">
        <v>3</v>
      </c>
      <c r="B4" s="387" t="s">
        <v>293</v>
      </c>
      <c r="C4" s="199">
        <f>+LARGE(Aux!$W$4:$W$51,A4)</f>
        <v>521.11170000499999</v>
      </c>
      <c r="D4" s="198" t="str">
        <f>+_xlfn.XLOOKUP($C4,Aux!$W:$W,Aux!H:H,"-",0)</f>
        <v>España</v>
      </c>
      <c r="E4" s="200">
        <f t="shared" si="0"/>
        <v>21</v>
      </c>
      <c r="F4" s="200">
        <f>+_xlfn.XLOOKUP($C4,Aux!$W:$W,Aux!Q:Q,"-",0)</f>
        <v>7</v>
      </c>
      <c r="G4" s="200">
        <f>+_xlfn.XLOOKUP($C4,Aux!$W:$W,Aux!R:R,"-",0)</f>
        <v>0</v>
      </c>
      <c r="H4" s="200">
        <f>+_xlfn.XLOOKUP($C4,Aux!$W:$W,Aux!S:S,"-",0)</f>
        <v>1</v>
      </c>
      <c r="I4" s="200">
        <f>+_xlfn.XLOOKUP($C4,Aux!$W:$W,Aux!T:T,"-",0)</f>
        <v>11</v>
      </c>
      <c r="J4" s="200">
        <f>+_xlfn.XLOOKUP($C4,Aux!$W:$W,Aux!U:U,"-",0)</f>
        <v>17</v>
      </c>
      <c r="K4" s="201">
        <f>+_xlfn.XLOOKUP($C4,Aux!$W:$W,Aux!V:V,"-",0)</f>
        <v>6</v>
      </c>
    </row>
    <row r="5" spans="1:31" x14ac:dyDescent="0.2">
      <c r="A5" s="403">
        <v>4</v>
      </c>
      <c r="B5" s="388" t="s">
        <v>294</v>
      </c>
      <c r="C5" s="203">
        <f>+LARGE(Aux!$W$4:$W$51,A5)</f>
        <v>418.10190000249997</v>
      </c>
      <c r="D5" s="202" t="str">
        <f>+_xlfn.XLOOKUP($C5,Aux!$W:$W,Aux!H:H,"-",0)</f>
        <v>Inglaterra</v>
      </c>
      <c r="E5" s="204">
        <f t="shared" si="0"/>
        <v>18</v>
      </c>
      <c r="F5" s="204">
        <f>+_xlfn.XLOOKUP($C5,Aux!$W:$W,Aux!Q:Q,"-",0)</f>
        <v>6</v>
      </c>
      <c r="G5" s="204">
        <f>+_xlfn.XLOOKUP($C5,Aux!$W:$W,Aux!R:R,"-",0)</f>
        <v>0</v>
      </c>
      <c r="H5" s="204">
        <f>+_xlfn.XLOOKUP($C5,Aux!$W:$W,Aux!S:S,"-",0)</f>
        <v>2</v>
      </c>
      <c r="I5" s="204">
        <f>+_xlfn.XLOOKUP($C5,Aux!$W:$W,Aux!T:T,"-",0)</f>
        <v>10</v>
      </c>
      <c r="J5" s="204">
        <f>+_xlfn.XLOOKUP($C5,Aux!$W:$W,Aux!U:U,"-",0)</f>
        <v>19</v>
      </c>
      <c r="K5" s="205">
        <f>+_xlfn.XLOOKUP($C5,Aux!$W:$W,Aux!V:V,"-",0)</f>
        <v>9</v>
      </c>
    </row>
    <row r="6" spans="1:31" x14ac:dyDescent="0.2">
      <c r="A6" s="404">
        <v>5</v>
      </c>
      <c r="B6" s="390" t="s">
        <v>295</v>
      </c>
      <c r="C6" s="207">
        <f>+LARGE(Aux!$W$4:$W$51,A6)</f>
        <v>315.12160000333336</v>
      </c>
      <c r="D6" s="206" t="str">
        <f>+_xlfn.XLOOKUP($C6,Aux!$W:$W,Aux!H:H,"-",0)</f>
        <v>Argentina</v>
      </c>
      <c r="E6" s="208">
        <f t="shared" si="0"/>
        <v>15</v>
      </c>
      <c r="F6" s="208">
        <f>+_xlfn.XLOOKUP($C6,Aux!$W:$W,Aux!Q:Q,"-",0)</f>
        <v>5</v>
      </c>
      <c r="G6" s="208">
        <f>+_xlfn.XLOOKUP($C6,Aux!$W:$W,Aux!R:R,"-",0)</f>
        <v>0</v>
      </c>
      <c r="H6" s="208">
        <f>+_xlfn.XLOOKUP($C6,Aux!$W:$W,Aux!S:S,"-",0)</f>
        <v>1</v>
      </c>
      <c r="I6" s="208">
        <f>+_xlfn.XLOOKUP($C6,Aux!$W:$W,Aux!T:T,"-",0)</f>
        <v>12</v>
      </c>
      <c r="J6" s="208">
        <f>+_xlfn.XLOOKUP($C6,Aux!$W:$W,Aux!U:U,"-",0)</f>
        <v>16</v>
      </c>
      <c r="K6" s="209">
        <f>+_xlfn.XLOOKUP($C6,Aux!$W:$W,Aux!V:V,"-",0)</f>
        <v>4</v>
      </c>
    </row>
    <row r="7" spans="1:31" x14ac:dyDescent="0.2">
      <c r="A7" s="404">
        <v>6</v>
      </c>
      <c r="B7" s="390" t="s">
        <v>295</v>
      </c>
      <c r="C7" s="207">
        <f>+LARGE(Aux!$W$4:$W$51,A7)</f>
        <v>315.06120000055552</v>
      </c>
      <c r="D7" s="206" t="str">
        <f>+_xlfn.XLOOKUP($C7,Aux!$W:$W,Aux!H:H,"-",0)</f>
        <v>Japon</v>
      </c>
      <c r="E7" s="208">
        <f t="shared" si="0"/>
        <v>15</v>
      </c>
      <c r="F7" s="208">
        <f>+_xlfn.XLOOKUP($C7,Aux!$W:$W,Aux!Q:Q,"-",0)</f>
        <v>5</v>
      </c>
      <c r="G7" s="208">
        <f>+_xlfn.XLOOKUP($C7,Aux!$W:$W,Aux!R:R,"-",0)</f>
        <v>0</v>
      </c>
      <c r="H7" s="208">
        <f>+_xlfn.XLOOKUP($C7,Aux!$W:$W,Aux!S:S,"-",0)</f>
        <v>1</v>
      </c>
      <c r="I7" s="208">
        <f>+_xlfn.XLOOKUP($C7,Aux!$W:$W,Aux!T:T,"-",0)</f>
        <v>6</v>
      </c>
      <c r="J7" s="208">
        <f>+_xlfn.XLOOKUP($C7,Aux!$W:$W,Aux!U:U,"-",0)</f>
        <v>12</v>
      </c>
      <c r="K7" s="209">
        <f>+_xlfn.XLOOKUP($C7,Aux!$W:$W,Aux!V:V,"-",0)</f>
        <v>6</v>
      </c>
    </row>
    <row r="8" spans="1:31" x14ac:dyDescent="0.2">
      <c r="A8" s="404">
        <v>7</v>
      </c>
      <c r="B8" s="390" t="s">
        <v>295</v>
      </c>
      <c r="C8" s="207">
        <f>+LARGE(Aux!$W$4:$W$51,A8)</f>
        <v>313.04090000111114</v>
      </c>
      <c r="D8" s="206" t="str">
        <f>+_xlfn.XLOOKUP($C8,Aux!$W:$W,Aux!H:H,"-",0)</f>
        <v>Belgica</v>
      </c>
      <c r="E8" s="208">
        <f t="shared" si="0"/>
        <v>13</v>
      </c>
      <c r="F8" s="208">
        <f>+_xlfn.XLOOKUP($C8,Aux!$W:$W,Aux!Q:Q,"-",0)</f>
        <v>4</v>
      </c>
      <c r="G8" s="208">
        <f>+_xlfn.XLOOKUP($C8,Aux!$W:$W,Aux!R:R,"-",0)</f>
        <v>1</v>
      </c>
      <c r="H8" s="208">
        <f>+_xlfn.XLOOKUP($C8,Aux!$W:$W,Aux!S:S,"-",0)</f>
        <v>1</v>
      </c>
      <c r="I8" s="208">
        <f>+_xlfn.XLOOKUP($C8,Aux!$W:$W,Aux!T:T,"-",0)</f>
        <v>4</v>
      </c>
      <c r="J8" s="208">
        <f>+_xlfn.XLOOKUP($C8,Aux!$W:$W,Aux!U:U,"-",0)</f>
        <v>9</v>
      </c>
      <c r="K8" s="209">
        <f>+_xlfn.XLOOKUP($C8,Aux!$W:$W,Aux!V:V,"-",0)</f>
        <v>5</v>
      </c>
    </row>
    <row r="9" spans="1:31" x14ac:dyDescent="0.2">
      <c r="A9" s="405">
        <v>8</v>
      </c>
      <c r="B9" s="391" t="s">
        <v>295</v>
      </c>
      <c r="C9" s="227">
        <f>+LARGE(Aux!$W$4:$W$51,A9)</f>
        <v>311.02100000124994</v>
      </c>
      <c r="D9" s="226" t="str">
        <f>+_xlfn.XLOOKUP($C9,Aux!$W:$W,Aux!H:H,"-",0)</f>
        <v>Marruecos</v>
      </c>
      <c r="E9" s="228">
        <f t="shared" si="0"/>
        <v>11</v>
      </c>
      <c r="F9" s="228">
        <f>+_xlfn.XLOOKUP($C9,Aux!$W:$W,Aux!Q:Q,"-",0)</f>
        <v>3</v>
      </c>
      <c r="G9" s="228">
        <f>+_xlfn.XLOOKUP($C9,Aux!$W:$W,Aux!R:R,"-",0)</f>
        <v>2</v>
      </c>
      <c r="H9" s="228">
        <f>+_xlfn.XLOOKUP($C9,Aux!$W:$W,Aux!S:S,"-",0)</f>
        <v>1</v>
      </c>
      <c r="I9" s="228">
        <f>+_xlfn.XLOOKUP($C9,Aux!$W:$W,Aux!T:T,"-",0)</f>
        <v>2</v>
      </c>
      <c r="J9" s="228">
        <f>+_xlfn.XLOOKUP($C9,Aux!$W:$W,Aux!U:U,"-",0)</f>
        <v>10</v>
      </c>
      <c r="K9" s="229">
        <f>+_xlfn.XLOOKUP($C9,Aux!$W:$W,Aux!V:V,"-",0)</f>
        <v>8</v>
      </c>
    </row>
    <row r="10" spans="1:31" x14ac:dyDescent="0.2">
      <c r="A10" s="406">
        <v>9</v>
      </c>
      <c r="B10" s="392" t="s">
        <v>296</v>
      </c>
      <c r="C10" s="231">
        <f>+LARGE(Aux!$W$4:$W$51,A10)</f>
        <v>213.05100000045456</v>
      </c>
      <c r="D10" s="230" t="str">
        <f>+_xlfn.XLOOKUP($C10,Aux!$W:$W,Aux!H:H,"-",0)</f>
        <v>Turquia</v>
      </c>
      <c r="E10" s="232">
        <f t="shared" si="0"/>
        <v>13</v>
      </c>
      <c r="F10" s="232">
        <f>+_xlfn.XLOOKUP($C10,Aux!$W:$W,Aux!Q:Q,"-",0)</f>
        <v>4</v>
      </c>
      <c r="G10" s="232">
        <f>+_xlfn.XLOOKUP($C10,Aux!$W:$W,Aux!R:R,"-",0)</f>
        <v>1</v>
      </c>
      <c r="H10" s="232">
        <f>+_xlfn.XLOOKUP($C10,Aux!$W:$W,Aux!S:S,"-",0)</f>
        <v>0</v>
      </c>
      <c r="I10" s="232">
        <f>+_xlfn.XLOOKUP($C10,Aux!$W:$W,Aux!T:T,"-",0)</f>
        <v>5</v>
      </c>
      <c r="J10" s="232">
        <f>+_xlfn.XLOOKUP($C10,Aux!$W:$W,Aux!U:U,"-",0)</f>
        <v>10</v>
      </c>
      <c r="K10" s="233">
        <f>+_xlfn.XLOOKUP($C10,Aux!$W:$W,Aux!V:V,"-",0)</f>
        <v>5</v>
      </c>
    </row>
    <row r="11" spans="1:31" x14ac:dyDescent="0.2">
      <c r="A11" s="406">
        <v>10</v>
      </c>
      <c r="B11" s="392" t="s">
        <v>296</v>
      </c>
      <c r="C11" s="231">
        <f>+LARGE(Aux!$W$4:$W$51,A11)</f>
        <v>212.08150000099999</v>
      </c>
      <c r="D11" s="230" t="str">
        <f>+_xlfn.XLOOKUP($C11,Aux!$W:$W,Aux!H:H,"-",0)</f>
        <v>Alemania</v>
      </c>
      <c r="E11" s="232">
        <f t="shared" si="0"/>
        <v>12</v>
      </c>
      <c r="F11" s="232">
        <f>+_xlfn.XLOOKUP($C11,Aux!$W:$W,Aux!Q:Q,"-",0)</f>
        <v>4</v>
      </c>
      <c r="G11" s="232">
        <f>+_xlfn.XLOOKUP($C11,Aux!$W:$W,Aux!R:R,"-",0)</f>
        <v>0</v>
      </c>
      <c r="H11" s="232">
        <f>+_xlfn.XLOOKUP($C11,Aux!$W:$W,Aux!S:S,"-",0)</f>
        <v>1</v>
      </c>
      <c r="I11" s="232">
        <f>+_xlfn.XLOOKUP($C11,Aux!$W:$W,Aux!T:T,"-",0)</f>
        <v>8</v>
      </c>
      <c r="J11" s="232">
        <f>+_xlfn.XLOOKUP($C11,Aux!$W:$W,Aux!U:U,"-",0)</f>
        <v>15</v>
      </c>
      <c r="K11" s="233">
        <f>+_xlfn.XLOOKUP($C11,Aux!$W:$W,Aux!V:V,"-",0)</f>
        <v>7</v>
      </c>
    </row>
    <row r="12" spans="1:31" x14ac:dyDescent="0.2">
      <c r="A12" s="406">
        <v>11</v>
      </c>
      <c r="B12" s="392" t="s">
        <v>296</v>
      </c>
      <c r="C12" s="231">
        <f>+LARGE(Aux!$W$4:$W$51,A12)</f>
        <v>212.04110000066666</v>
      </c>
      <c r="D12" s="230" t="str">
        <f>+_xlfn.XLOOKUP($C12,Aux!$W:$W,Aux!H:H,"-",0)</f>
        <v>Mexico</v>
      </c>
      <c r="E12" s="232">
        <f t="shared" si="0"/>
        <v>12</v>
      </c>
      <c r="F12" s="232">
        <f>+_xlfn.XLOOKUP($C12,Aux!$W:$W,Aux!Q:Q,"-",0)</f>
        <v>4</v>
      </c>
      <c r="G12" s="232">
        <f>+_xlfn.XLOOKUP($C12,Aux!$W:$W,Aux!R:R,"-",0)</f>
        <v>0</v>
      </c>
      <c r="H12" s="232">
        <f>+_xlfn.XLOOKUP($C12,Aux!$W:$W,Aux!S:S,"-",0)</f>
        <v>1</v>
      </c>
      <c r="I12" s="232">
        <f>+_xlfn.XLOOKUP($C12,Aux!$W:$W,Aux!T:T,"-",0)</f>
        <v>4</v>
      </c>
      <c r="J12" s="232">
        <f>+_xlfn.XLOOKUP($C12,Aux!$W:$W,Aux!U:U,"-",0)</f>
        <v>11</v>
      </c>
      <c r="K12" s="233">
        <f>+_xlfn.XLOOKUP($C12,Aux!$W:$W,Aux!V:V,"-",0)</f>
        <v>7</v>
      </c>
    </row>
    <row r="13" spans="1:31" x14ac:dyDescent="0.2">
      <c r="A13" s="406">
        <v>12</v>
      </c>
      <c r="B13" s="392" t="s">
        <v>296</v>
      </c>
      <c r="C13" s="231">
        <f>+LARGE(Aux!$W$4:$W$51,A13)</f>
        <v>210.04070000076922</v>
      </c>
      <c r="D13" s="230" t="str">
        <f>+_xlfn.XLOOKUP($C13,Aux!$W:$W,Aux!H:H,"-",0)</f>
        <v>Colombia</v>
      </c>
      <c r="E13" s="232">
        <f t="shared" si="0"/>
        <v>10</v>
      </c>
      <c r="F13" s="232">
        <f>+_xlfn.XLOOKUP($C13,Aux!$W:$W,Aux!Q:Q,"-",0)</f>
        <v>3</v>
      </c>
      <c r="G13" s="232">
        <f>+_xlfn.XLOOKUP($C13,Aux!$W:$W,Aux!R:R,"-",0)</f>
        <v>1</v>
      </c>
      <c r="H13" s="232">
        <f>+_xlfn.XLOOKUP($C13,Aux!$W:$W,Aux!S:S,"-",0)</f>
        <v>1</v>
      </c>
      <c r="I13" s="232">
        <f>+_xlfn.XLOOKUP($C13,Aux!$W:$W,Aux!T:T,"-",0)</f>
        <v>4</v>
      </c>
      <c r="J13" s="232">
        <f>+_xlfn.XLOOKUP($C13,Aux!$W:$W,Aux!U:U,"-",0)</f>
        <v>7</v>
      </c>
      <c r="K13" s="233">
        <f>+_xlfn.XLOOKUP($C13,Aux!$W:$W,Aux!V:V,"-",0)</f>
        <v>3</v>
      </c>
    </row>
    <row r="14" spans="1:31" x14ac:dyDescent="0.2">
      <c r="A14" s="406">
        <v>13</v>
      </c>
      <c r="B14" s="392" t="s">
        <v>296</v>
      </c>
      <c r="C14" s="231">
        <f>+LARGE(Aux!$W$4:$W$51,A14)</f>
        <v>209.05120000040003</v>
      </c>
      <c r="D14" s="230" t="str">
        <f>+_xlfn.XLOOKUP($C14,Aux!$W:$W,Aux!H:H,"-",0)</f>
        <v>Corea del Sur</v>
      </c>
      <c r="E14" s="232">
        <f t="shared" si="0"/>
        <v>9</v>
      </c>
      <c r="F14" s="232">
        <f>+_xlfn.XLOOKUP($C14,Aux!$W:$W,Aux!Q:Q,"-",0)</f>
        <v>3</v>
      </c>
      <c r="G14" s="232">
        <f>+_xlfn.XLOOKUP($C14,Aux!$W:$W,Aux!R:R,"-",0)</f>
        <v>0</v>
      </c>
      <c r="H14" s="232">
        <f>+_xlfn.XLOOKUP($C14,Aux!$W:$W,Aux!S:S,"-",0)</f>
        <v>2</v>
      </c>
      <c r="I14" s="232">
        <f>+_xlfn.XLOOKUP($C14,Aux!$W:$W,Aux!T:T,"-",0)</f>
        <v>5</v>
      </c>
      <c r="J14" s="232">
        <f>+_xlfn.XLOOKUP($C14,Aux!$W:$W,Aux!U:U,"-",0)</f>
        <v>12</v>
      </c>
      <c r="K14" s="233">
        <f>+_xlfn.XLOOKUP($C14,Aux!$W:$W,Aux!V:V,"-",0)</f>
        <v>7</v>
      </c>
    </row>
    <row r="15" spans="1:31" x14ac:dyDescent="0.2">
      <c r="A15" s="406">
        <v>14</v>
      </c>
      <c r="B15" s="392" t="s">
        <v>296</v>
      </c>
      <c r="C15" s="231">
        <f>+LARGE(Aux!$W$4:$W$51,A15)</f>
        <v>209.02100000071431</v>
      </c>
      <c r="D15" s="230" t="str">
        <f>+_xlfn.XLOOKUP($C15,Aux!$W:$W,Aux!H:H,"-",0)</f>
        <v>Senegal</v>
      </c>
      <c r="E15" s="232">
        <f t="shared" si="0"/>
        <v>9</v>
      </c>
      <c r="F15" s="232">
        <f>+_xlfn.XLOOKUP($C15,Aux!$W:$W,Aux!Q:Q,"-",0)</f>
        <v>2</v>
      </c>
      <c r="G15" s="232">
        <f>+_xlfn.XLOOKUP($C15,Aux!$W:$W,Aux!R:R,"-",0)</f>
        <v>3</v>
      </c>
      <c r="H15" s="232">
        <f>+_xlfn.XLOOKUP($C15,Aux!$W:$W,Aux!S:S,"-",0)</f>
        <v>0</v>
      </c>
      <c r="I15" s="232">
        <f>+_xlfn.XLOOKUP($C15,Aux!$W:$W,Aux!T:T,"-",0)</f>
        <v>2</v>
      </c>
      <c r="J15" s="232">
        <f>+_xlfn.XLOOKUP($C15,Aux!$W:$W,Aux!U:U,"-",0)</f>
        <v>10</v>
      </c>
      <c r="K15" s="233">
        <f>+_xlfn.XLOOKUP($C15,Aux!$W:$W,Aux!V:V,"-",0)</f>
        <v>8</v>
      </c>
    </row>
    <row r="16" spans="1:31" x14ac:dyDescent="0.2">
      <c r="A16" s="406">
        <v>15</v>
      </c>
      <c r="B16" s="392" t="s">
        <v>296</v>
      </c>
      <c r="C16" s="231">
        <f>+LARGE(Aux!$W$4:$W$51,A16)</f>
        <v>205.97060000043479</v>
      </c>
      <c r="D16" s="230" t="str">
        <f>+_xlfn.XLOOKUP($C16,Aux!$W:$W,Aux!H:H,"-",0)</f>
        <v>Ecuador</v>
      </c>
      <c r="E16" s="232">
        <f t="shared" si="0"/>
        <v>6</v>
      </c>
      <c r="F16" s="232">
        <f>+_xlfn.XLOOKUP($C16,Aux!$W:$W,Aux!Q:Q,"-",0)</f>
        <v>2</v>
      </c>
      <c r="G16" s="232">
        <f>+_xlfn.XLOOKUP($C16,Aux!$W:$W,Aux!R:R,"-",0)</f>
        <v>0</v>
      </c>
      <c r="H16" s="232">
        <f>+_xlfn.XLOOKUP($C16,Aux!$W:$W,Aux!S:S,"-",0)</f>
        <v>3</v>
      </c>
      <c r="I16" s="232">
        <f>+_xlfn.XLOOKUP($C16,Aux!$W:$W,Aux!T:T,"-",0)</f>
        <v>-3</v>
      </c>
      <c r="J16" s="232">
        <f>+_xlfn.XLOOKUP($C16,Aux!$W:$W,Aux!U:U,"-",0)</f>
        <v>6</v>
      </c>
      <c r="K16" s="233">
        <f>+_xlfn.XLOOKUP($C16,Aux!$W:$W,Aux!V:V,"-",0)</f>
        <v>9</v>
      </c>
    </row>
    <row r="17" spans="1:11" x14ac:dyDescent="0.2">
      <c r="A17" s="407">
        <v>16</v>
      </c>
      <c r="B17" s="393" t="s">
        <v>296</v>
      </c>
      <c r="C17" s="235">
        <f>+LARGE(Aux!$W$4:$W$51,A17)</f>
        <v>204.95030000047618</v>
      </c>
      <c r="D17" s="234" t="str">
        <f>+_xlfn.XLOOKUP($C17,Aux!$W:$W,Aux!H:H,"-",0)</f>
        <v>Iran</v>
      </c>
      <c r="E17" s="236">
        <f t="shared" si="0"/>
        <v>5</v>
      </c>
      <c r="F17" s="236">
        <f>+_xlfn.XLOOKUP($C17,Aux!$W:$W,Aux!Q:Q,"-",0)</f>
        <v>1</v>
      </c>
      <c r="G17" s="236">
        <f>+_xlfn.XLOOKUP($C17,Aux!$W:$W,Aux!R:R,"-",0)</f>
        <v>2</v>
      </c>
      <c r="H17" s="236">
        <f>+_xlfn.XLOOKUP($C17,Aux!$W:$W,Aux!S:S,"-",0)</f>
        <v>2</v>
      </c>
      <c r="I17" s="236">
        <f>+_xlfn.XLOOKUP($C17,Aux!$W:$W,Aux!T:T,"-",0)</f>
        <v>-5</v>
      </c>
      <c r="J17" s="236">
        <f>+_xlfn.XLOOKUP($C17,Aux!$W:$W,Aux!U:U,"-",0)</f>
        <v>3</v>
      </c>
      <c r="K17" s="237">
        <f>+_xlfn.XLOOKUP($C17,Aux!$W:$W,Aux!V:V,"-",0)</f>
        <v>8</v>
      </c>
    </row>
    <row r="18" spans="1:11" x14ac:dyDescent="0.2">
      <c r="A18" s="408">
        <v>17</v>
      </c>
      <c r="B18" s="394" t="s">
        <v>297</v>
      </c>
      <c r="C18" s="212">
        <f>+LARGE(Aux!$W$4:$W$51,A18)</f>
        <v>107.03080000052631</v>
      </c>
      <c r="D18" s="210" t="str">
        <f>+_xlfn.XLOOKUP($C18,Aux!$W:$W,Aux!H:H,"-",0)</f>
        <v>Suiza</v>
      </c>
      <c r="E18" s="213">
        <f t="shared" si="0"/>
        <v>7</v>
      </c>
      <c r="F18" s="213">
        <f>+_xlfn.XLOOKUP($C18,Aux!$W:$W,Aux!Q:Q,"-",0)</f>
        <v>2</v>
      </c>
      <c r="G18" s="213">
        <f>+_xlfn.XLOOKUP($C18,Aux!$W:$W,Aux!R:R,"-",0)</f>
        <v>1</v>
      </c>
      <c r="H18" s="213">
        <f>+_xlfn.XLOOKUP($C18,Aux!$W:$W,Aux!S:S,"-",0)</f>
        <v>1</v>
      </c>
      <c r="I18" s="213">
        <f>+_xlfn.XLOOKUP($C18,Aux!$W:$W,Aux!T:T,"-",0)</f>
        <v>3</v>
      </c>
      <c r="J18" s="213">
        <f>+_xlfn.XLOOKUP($C18,Aux!$W:$W,Aux!U:U,"-",0)</f>
        <v>8</v>
      </c>
      <c r="K18" s="197">
        <f>+_xlfn.XLOOKUP($C18,Aux!$W:$W,Aux!V:V,"-",0)</f>
        <v>5</v>
      </c>
    </row>
    <row r="19" spans="1:11" x14ac:dyDescent="0.2">
      <c r="A19" s="408">
        <v>18</v>
      </c>
      <c r="B19" s="394" t="s">
        <v>297</v>
      </c>
      <c r="C19" s="212">
        <f>+LARGE(Aux!$W$4:$W$51,A19)</f>
        <v>107.02060000033333</v>
      </c>
      <c r="D19" s="210" t="str">
        <f>+_xlfn.XLOOKUP($C19,Aux!$W:$W,Aux!H:H,"-",0)</f>
        <v>Canada</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x14ac:dyDescent="0.2">
      <c r="A20" s="408">
        <v>19</v>
      </c>
      <c r="B20" s="394" t="s">
        <v>297</v>
      </c>
      <c r="C20" s="212">
        <f>+LARGE(Aux!$W$4:$W$51,A20)</f>
        <v>106.02080000058822</v>
      </c>
      <c r="D20" s="210" t="str">
        <f>+_xlfn.XLOOKUP($C20,Aux!$W:$W,Aux!H:H,"-",0)</f>
        <v>Uruguay</v>
      </c>
      <c r="E20" s="213">
        <f t="shared" si="0"/>
        <v>6</v>
      </c>
      <c r="F20" s="213">
        <f>+_xlfn.XLOOKUP($C20,Aux!$W:$W,Aux!Q:Q,"-",0)</f>
        <v>2</v>
      </c>
      <c r="G20" s="213">
        <f>+_xlfn.XLOOKUP($C20,Aux!$W:$W,Aux!R:R,"-",0)</f>
        <v>0</v>
      </c>
      <c r="H20" s="213">
        <f>+_xlfn.XLOOKUP($C20,Aux!$W:$W,Aux!S:S,"-",0)</f>
        <v>2</v>
      </c>
      <c r="I20" s="213">
        <f>+_xlfn.XLOOKUP($C20,Aux!$W:$W,Aux!T:T,"-",0)</f>
        <v>2</v>
      </c>
      <c r="J20" s="213">
        <f>+_xlfn.XLOOKUP($C20,Aux!$W:$W,Aux!U:U,"-",0)</f>
        <v>8</v>
      </c>
      <c r="K20" s="197">
        <f>+_xlfn.XLOOKUP($C20,Aux!$W:$W,Aux!V:V,"-",0)</f>
        <v>6</v>
      </c>
    </row>
    <row r="21" spans="1:11" x14ac:dyDescent="0.2">
      <c r="A21" s="408">
        <v>20</v>
      </c>
      <c r="B21" s="394" t="s">
        <v>297</v>
      </c>
      <c r="C21" s="212">
        <f>+LARGE(Aux!$W$4:$W$51,A21)</f>
        <v>105.98040000041667</v>
      </c>
      <c r="D21" s="210" t="str">
        <f>+_xlfn.XLOOKUP($C21,Aux!$W:$W,Aux!H:H,"-",0)</f>
        <v>Austria</v>
      </c>
      <c r="E21" s="213">
        <f t="shared" si="0"/>
        <v>6</v>
      </c>
      <c r="F21" s="213">
        <f>+_xlfn.XLOOKUP($C21,Aux!$W:$W,Aux!Q:Q,"-",0)</f>
        <v>2</v>
      </c>
      <c r="G21" s="213">
        <f>+_xlfn.XLOOKUP($C21,Aux!$W:$W,Aux!R:R,"-",0)</f>
        <v>0</v>
      </c>
      <c r="H21" s="213">
        <f>+_xlfn.XLOOKUP($C21,Aux!$W:$W,Aux!S:S,"-",0)</f>
        <v>2</v>
      </c>
      <c r="I21" s="213">
        <f>+_xlfn.XLOOKUP($C21,Aux!$W:$W,Aux!T:T,"-",0)</f>
        <v>-2</v>
      </c>
      <c r="J21" s="213">
        <f>+_xlfn.XLOOKUP($C21,Aux!$W:$W,Aux!U:U,"-",0)</f>
        <v>4</v>
      </c>
      <c r="K21" s="197">
        <f>+_xlfn.XLOOKUP($C21,Aux!$W:$W,Aux!V:V,"-",0)</f>
        <v>6</v>
      </c>
    </row>
    <row r="22" spans="1:11" x14ac:dyDescent="0.2">
      <c r="A22" s="408">
        <v>21</v>
      </c>
      <c r="B22" s="394" t="s">
        <v>297</v>
      </c>
      <c r="C22" s="212">
        <f>+LARGE(Aux!$W$4:$W$51,A22)</f>
        <v>105.02070000166665</v>
      </c>
      <c r="D22" s="210" t="str">
        <f>+_xlfn.XLOOKUP($C22,Aux!$W:$W,Aux!H:H,"-",0)</f>
        <v>Brasil</v>
      </c>
      <c r="E22" s="213">
        <f t="shared" si="0"/>
        <v>5</v>
      </c>
      <c r="F22" s="213">
        <f>+_xlfn.XLOOKUP($C22,Aux!$W:$W,Aux!Q:Q,"-",0)</f>
        <v>1</v>
      </c>
      <c r="G22" s="213">
        <f>+_xlfn.XLOOKUP($C22,Aux!$W:$W,Aux!R:R,"-",0)</f>
        <v>2</v>
      </c>
      <c r="H22" s="213">
        <f>+_xlfn.XLOOKUP($C22,Aux!$W:$W,Aux!S:S,"-",0)</f>
        <v>1</v>
      </c>
      <c r="I22" s="213">
        <f>+_xlfn.XLOOKUP($C22,Aux!$W:$W,Aux!T:T,"-",0)</f>
        <v>2</v>
      </c>
      <c r="J22" s="213">
        <f>+_xlfn.XLOOKUP($C22,Aux!$W:$W,Aux!U:U,"-",0)</f>
        <v>7</v>
      </c>
      <c r="K22" s="197">
        <f>+_xlfn.XLOOKUP($C22,Aux!$W:$W,Aux!V:V,"-",0)</f>
        <v>5</v>
      </c>
    </row>
    <row r="23" spans="1:11" x14ac:dyDescent="0.2">
      <c r="A23" s="408">
        <v>22</v>
      </c>
      <c r="B23" s="394" t="s">
        <v>297</v>
      </c>
      <c r="C23" s="212">
        <f>+LARGE(Aux!$W$4:$W$51,A23)</f>
        <v>105.00040000025</v>
      </c>
      <c r="D23" s="210" t="str">
        <f>+_xlfn.XLOOKUP($C23,Aux!$W:$W,Aux!H:H,"-",0)</f>
        <v>Paraguay</v>
      </c>
      <c r="E23" s="213">
        <f t="shared" si="0"/>
        <v>5</v>
      </c>
      <c r="F23" s="213">
        <f>+_xlfn.XLOOKUP($C23,Aux!$W:$W,Aux!Q:Q,"-",0)</f>
        <v>1</v>
      </c>
      <c r="G23" s="213">
        <f>+_xlfn.XLOOKUP($C23,Aux!$W:$W,Aux!R:R,"-",0)</f>
        <v>2</v>
      </c>
      <c r="H23" s="213">
        <f>+_xlfn.XLOOKUP($C23,Aux!$W:$W,Aux!S:S,"-",0)</f>
        <v>1</v>
      </c>
      <c r="I23" s="213">
        <f>+_xlfn.XLOOKUP($C23,Aux!$W:$W,Aux!T:T,"-",0)</f>
        <v>0</v>
      </c>
      <c r="J23" s="213">
        <f>+_xlfn.XLOOKUP($C23,Aux!$W:$W,Aux!U:U,"-",0)</f>
        <v>4</v>
      </c>
      <c r="K23" s="197">
        <f>+_xlfn.XLOOKUP($C23,Aux!$W:$W,Aux!V:V,"-",0)</f>
        <v>4</v>
      </c>
    </row>
    <row r="24" spans="1:11" x14ac:dyDescent="0.2">
      <c r="A24" s="408">
        <v>23</v>
      </c>
      <c r="B24" s="394" t="s">
        <v>297</v>
      </c>
      <c r="C24" s="212">
        <f>+LARGE(Aux!$W$4:$W$51,A24)</f>
        <v>104.01050000023257</v>
      </c>
      <c r="D24" s="210" t="str">
        <f>+_xlfn.XLOOKUP($C24,Aux!$W:$W,Aux!H:H,"-",0)</f>
        <v>Escocia</v>
      </c>
      <c r="E24" s="213">
        <f t="shared" si="0"/>
        <v>4</v>
      </c>
      <c r="F24" s="213">
        <f>+_xlfn.XLOOKUP($C24,Aux!$W:$W,Aux!Q:Q,"-",0)</f>
        <v>1</v>
      </c>
      <c r="G24" s="213">
        <f>+_xlfn.XLOOKUP($C24,Aux!$W:$W,Aux!R:R,"-",0)</f>
        <v>1</v>
      </c>
      <c r="H24" s="213">
        <f>+_xlfn.XLOOKUP($C24,Aux!$W:$W,Aux!S:S,"-",0)</f>
        <v>2</v>
      </c>
      <c r="I24" s="213">
        <f>+_xlfn.XLOOKUP($C24,Aux!$W:$W,Aux!T:T,"-",0)</f>
        <v>1</v>
      </c>
      <c r="J24" s="213">
        <f>+_xlfn.XLOOKUP($C24,Aux!$W:$W,Aux!U:U,"-",0)</f>
        <v>5</v>
      </c>
      <c r="K24" s="197">
        <f>+_xlfn.XLOOKUP($C24,Aux!$W:$W,Aux!V:V,"-",0)</f>
        <v>4</v>
      </c>
    </row>
    <row r="25" spans="1:11" x14ac:dyDescent="0.2">
      <c r="A25" s="408">
        <v>24</v>
      </c>
      <c r="B25" s="394" t="s">
        <v>297</v>
      </c>
      <c r="C25" s="212">
        <f>+LARGE(Aux!$W$4:$W$51,A25)</f>
        <v>104.00060000142858</v>
      </c>
      <c r="D25" s="210" t="str">
        <f>+_xlfn.XLOOKUP($C25,Aux!$W:$W,Aux!H:H,"-",0)</f>
        <v>Paises Bajos</v>
      </c>
      <c r="E25" s="213">
        <f t="shared" si="0"/>
        <v>4</v>
      </c>
      <c r="F25" s="213">
        <f>+_xlfn.XLOOKUP($C25,Aux!$W:$W,Aux!Q:Q,"-",0)</f>
        <v>1</v>
      </c>
      <c r="G25" s="213">
        <f>+_xlfn.XLOOKUP($C25,Aux!$W:$W,Aux!R:R,"-",0)</f>
        <v>1</v>
      </c>
      <c r="H25" s="213">
        <f>+_xlfn.XLOOKUP($C25,Aux!$W:$W,Aux!S:S,"-",0)</f>
        <v>2</v>
      </c>
      <c r="I25" s="213">
        <f>+_xlfn.XLOOKUP($C25,Aux!$W:$W,Aux!T:T,"-",0)</f>
        <v>0</v>
      </c>
      <c r="J25" s="213">
        <f>+_xlfn.XLOOKUP($C25,Aux!$W:$W,Aux!U:U,"-",0)</f>
        <v>6</v>
      </c>
      <c r="K25" s="197">
        <f>+_xlfn.XLOOKUP($C25,Aux!$W:$W,Aux!V:V,"-",0)</f>
        <v>6</v>
      </c>
    </row>
    <row r="26" spans="1:11" x14ac:dyDescent="0.2">
      <c r="A26" s="408">
        <v>25</v>
      </c>
      <c r="B26" s="394" t="s">
        <v>297</v>
      </c>
      <c r="C26" s="212">
        <f>+LARGE(Aux!$W$4:$W$51,A26)</f>
        <v>103.98020000029413</v>
      </c>
      <c r="D26" s="210" t="str">
        <f>+_xlfn.XLOOKUP($C26,Aux!$W:$W,Aux!H:H,"-",0)</f>
        <v>Costa de Marfil</v>
      </c>
      <c r="E26" s="213">
        <f t="shared" si="0"/>
        <v>4</v>
      </c>
      <c r="F26" s="213">
        <f>+_xlfn.XLOOKUP($C26,Aux!$W:$W,Aux!Q:Q,"-",0)</f>
        <v>1</v>
      </c>
      <c r="G26" s="213">
        <f>+_xlfn.XLOOKUP($C26,Aux!$W:$W,Aux!R:R,"-",0)</f>
        <v>1</v>
      </c>
      <c r="H26" s="213">
        <f>+_xlfn.XLOOKUP($C26,Aux!$W:$W,Aux!S:S,"-",0)</f>
        <v>2</v>
      </c>
      <c r="I26" s="213">
        <f>+_xlfn.XLOOKUP($C26,Aux!$W:$W,Aux!T:T,"-",0)</f>
        <v>-2</v>
      </c>
      <c r="J26" s="213">
        <f>+_xlfn.XLOOKUP($C26,Aux!$W:$W,Aux!U:U,"-",0)</f>
        <v>2</v>
      </c>
      <c r="K26" s="197">
        <f>+_xlfn.XLOOKUP($C26,Aux!$W:$W,Aux!V:V,"-",0)</f>
        <v>4</v>
      </c>
    </row>
    <row r="27" spans="1:11" x14ac:dyDescent="0.2">
      <c r="A27" s="408">
        <v>26</v>
      </c>
      <c r="B27" s="394" t="s">
        <v>297</v>
      </c>
      <c r="C27" s="212">
        <f>+LARGE(Aux!$W$4:$W$51,A27)</f>
        <v>103.97040000026315</v>
      </c>
      <c r="D27" s="210" t="str">
        <f>+_xlfn.XLOOKUP($C27,Aux!$W:$W,Aux!H:H,"-",0)</f>
        <v>Suecia</v>
      </c>
      <c r="E27" s="213">
        <f t="shared" si="0"/>
        <v>4</v>
      </c>
      <c r="F27" s="213">
        <f>+_xlfn.XLOOKUP($C27,Aux!$W:$W,Aux!Q:Q,"-",0)</f>
        <v>1</v>
      </c>
      <c r="G27" s="213">
        <f>+_xlfn.XLOOKUP($C27,Aux!$W:$W,Aux!R:R,"-",0)</f>
        <v>1</v>
      </c>
      <c r="H27" s="213">
        <f>+_xlfn.XLOOKUP($C27,Aux!$W:$W,Aux!S:S,"-",0)</f>
        <v>2</v>
      </c>
      <c r="I27" s="213">
        <f>+_xlfn.XLOOKUP($C27,Aux!$W:$W,Aux!T:T,"-",0)</f>
        <v>-3</v>
      </c>
      <c r="J27" s="213">
        <f>+_xlfn.XLOOKUP($C27,Aux!$W:$W,Aux!U:U,"-",0)</f>
        <v>4</v>
      </c>
      <c r="K27" s="197">
        <f>+_xlfn.XLOOKUP($C27,Aux!$W:$W,Aux!V:V,"-",0)</f>
        <v>7</v>
      </c>
    </row>
    <row r="28" spans="1:11" x14ac:dyDescent="0.2">
      <c r="A28" s="408">
        <v>27</v>
      </c>
      <c r="B28" s="394" t="s">
        <v>297</v>
      </c>
      <c r="C28" s="212">
        <f>+LARGE(Aux!$W$4:$W$51,A28)</f>
        <v>103.97030000030303</v>
      </c>
      <c r="D28" s="210" t="str">
        <f>+_xlfn.XLOOKUP($C28,Aux!$W:$W,Aux!H:H,"-",0)</f>
        <v>Panama</v>
      </c>
      <c r="E28" s="213">
        <f t="shared" si="0"/>
        <v>4</v>
      </c>
      <c r="F28" s="213">
        <f>+_xlfn.XLOOKUP($C28,Aux!$W:$W,Aux!Q:Q,"-",0)</f>
        <v>1</v>
      </c>
      <c r="G28" s="213">
        <f>+_xlfn.XLOOKUP($C28,Aux!$W:$W,Aux!R:R,"-",0)</f>
        <v>1</v>
      </c>
      <c r="H28" s="213">
        <f>+_xlfn.XLOOKUP($C28,Aux!$W:$W,Aux!S:S,"-",0)</f>
        <v>2</v>
      </c>
      <c r="I28" s="213">
        <f>+_xlfn.XLOOKUP($C28,Aux!$W:$W,Aux!T:T,"-",0)</f>
        <v>-3</v>
      </c>
      <c r="J28" s="213">
        <f>+_xlfn.XLOOKUP($C28,Aux!$W:$W,Aux!U:U,"-",0)</f>
        <v>3</v>
      </c>
      <c r="K28" s="197">
        <f>+_xlfn.XLOOKUP($C28,Aux!$W:$W,Aux!V:V,"-",0)</f>
        <v>6</v>
      </c>
    </row>
    <row r="29" spans="1:11" x14ac:dyDescent="0.2">
      <c r="A29" s="408">
        <v>28</v>
      </c>
      <c r="B29" s="394" t="s">
        <v>297</v>
      </c>
      <c r="C29" s="212">
        <f>+LARGE(Aux!$W$4:$W$51,A29)</f>
        <v>103.96060000032259</v>
      </c>
      <c r="D29" s="210" t="str">
        <f>+_xlfn.XLOOKUP($C29,Aux!$W:$W,Aux!H:H,"-",0)</f>
        <v>Noruega</v>
      </c>
      <c r="E29" s="213">
        <f t="shared" si="0"/>
        <v>4</v>
      </c>
      <c r="F29" s="213">
        <f>+_xlfn.XLOOKUP($C29,Aux!$W:$W,Aux!Q:Q,"-",0)</f>
        <v>1</v>
      </c>
      <c r="G29" s="213">
        <f>+_xlfn.XLOOKUP($C29,Aux!$W:$W,Aux!R:R,"-",0)</f>
        <v>1</v>
      </c>
      <c r="H29" s="213">
        <f>+_xlfn.XLOOKUP($C29,Aux!$W:$W,Aux!S:S,"-",0)</f>
        <v>2</v>
      </c>
      <c r="I29" s="213">
        <f>+_xlfn.XLOOKUP($C29,Aux!$W:$W,Aux!T:T,"-",0)</f>
        <v>-4</v>
      </c>
      <c r="J29" s="213">
        <f>+_xlfn.XLOOKUP($C29,Aux!$W:$W,Aux!U:U,"-",0)</f>
        <v>6</v>
      </c>
      <c r="K29" s="197">
        <f>+_xlfn.XLOOKUP($C29,Aux!$W:$W,Aux!V:V,"-",0)</f>
        <v>10</v>
      </c>
    </row>
    <row r="30" spans="1:11" x14ac:dyDescent="0.2">
      <c r="A30" s="408">
        <v>29</v>
      </c>
      <c r="B30" s="394" t="s">
        <v>297</v>
      </c>
      <c r="C30" s="212">
        <f>+LARGE(Aux!$W$4:$W$51,A30)</f>
        <v>102.98060000015386</v>
      </c>
      <c r="D30" s="210" t="str">
        <f>+_xlfn.XLOOKUP($C30,Aux!$W:$W,Aux!H:H,"-",0)</f>
        <v>Bosnia</v>
      </c>
      <c r="E30" s="213">
        <f t="shared" si="0"/>
        <v>3</v>
      </c>
      <c r="F30" s="213">
        <f>+_xlfn.XLOOKUP($C30,Aux!$W:$W,Aux!Q:Q,"-",0)</f>
        <v>1</v>
      </c>
      <c r="G30" s="213">
        <f>+_xlfn.XLOOKUP($C30,Aux!$W:$W,Aux!R:R,"-",0)</f>
        <v>0</v>
      </c>
      <c r="H30" s="213">
        <f>+_xlfn.XLOOKUP($C30,Aux!$W:$W,Aux!S:S,"-",0)</f>
        <v>3</v>
      </c>
      <c r="I30" s="213">
        <f>+_xlfn.XLOOKUP($C30,Aux!$W:$W,Aux!T:T,"-",0)</f>
        <v>-2</v>
      </c>
      <c r="J30" s="213">
        <f>+_xlfn.XLOOKUP($C30,Aux!$W:$W,Aux!U:U,"-",0)</f>
        <v>6</v>
      </c>
      <c r="K30" s="197">
        <f>+_xlfn.XLOOKUP($C30,Aux!$W:$W,Aux!V:V,"-",0)</f>
        <v>8</v>
      </c>
    </row>
    <row r="31" spans="1:11" x14ac:dyDescent="0.2">
      <c r="A31" s="408">
        <v>30</v>
      </c>
      <c r="B31" s="394" t="s">
        <v>297</v>
      </c>
      <c r="C31" s="212">
        <f>+LARGE(Aux!$W$4:$W$51,A31)</f>
        <v>102.97040000090909</v>
      </c>
      <c r="D31" s="210" t="str">
        <f>+_xlfn.XLOOKUP($C31,Aux!$W:$W,Aux!H:H,"-",0)</f>
        <v>Croacia</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x14ac:dyDescent="0.2">
      <c r="A32" s="408">
        <v>31</v>
      </c>
      <c r="B32" s="394" t="s">
        <v>297</v>
      </c>
      <c r="C32" s="212">
        <f>+LARGE(Aux!$W$4:$W$51,A32)</f>
        <v>102.97040000062499</v>
      </c>
      <c r="D32" s="210" t="str">
        <f>+_xlfn.XLOOKUP($C32,Aux!$W:$W,Aux!H:H,"-",0)</f>
        <v>Estados Unidos</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297</v>
      </c>
      <c r="C33" s="215">
        <f>+LARGE(Aux!$W$4:$W$51,A33)</f>
        <v>102.9605000002439</v>
      </c>
      <c r="D33" s="214" t="str">
        <f>+_xlfn.XLOOKUP($C33,Aux!$W:$W,Aux!H:H,"-",0)</f>
        <v>Repubilca Checa</v>
      </c>
      <c r="E33" s="216">
        <f t="shared" si="0"/>
        <v>3</v>
      </c>
      <c r="F33" s="216">
        <f>+_xlfn.XLOOKUP($C33,Aux!$W:$W,Aux!Q:Q,"-",0)</f>
        <v>1</v>
      </c>
      <c r="G33" s="216">
        <f>+_xlfn.XLOOKUP($C33,Aux!$W:$W,Aux!R:R,"-",0)</f>
        <v>0</v>
      </c>
      <c r="H33" s="216">
        <f>+_xlfn.XLOOKUP($C33,Aux!$W:$W,Aux!S:S,"-",0)</f>
        <v>3</v>
      </c>
      <c r="I33" s="216">
        <f>+_xlfn.XLOOKUP($C33,Aux!$W:$W,Aux!T:T,"-",0)</f>
        <v>-4</v>
      </c>
      <c r="J33" s="216">
        <f>+_xlfn.XLOOKUP($C33,Aux!$W:$W,Aux!U:U,"-",0)</f>
        <v>5</v>
      </c>
      <c r="K33" s="217">
        <f>+_xlfn.XLOOKUP($C33,Aux!$W:$W,Aux!V:V,"-",0)</f>
        <v>9</v>
      </c>
    </row>
    <row r="34" spans="1:11" x14ac:dyDescent="0.2">
      <c r="A34" s="410">
        <v>33</v>
      </c>
      <c r="B34" s="396" t="s">
        <v>298</v>
      </c>
      <c r="C34" s="219">
        <f>+LARGE(Aux!$W$4:$W$51,A34)</f>
        <v>2.9703000001587307</v>
      </c>
      <c r="D34" s="218" t="str">
        <f>+_xlfn.XLOOKUP($C34,Aux!$W:$W,Aux!H:H,"-",0)</f>
        <v>Jordania</v>
      </c>
      <c r="E34" s="220">
        <f t="shared" si="0"/>
        <v>3</v>
      </c>
      <c r="F34" s="220">
        <f>+_xlfn.XLOOKUP($C34,Aux!$W:$W,Aux!Q:Q,"-",0)</f>
        <v>1</v>
      </c>
      <c r="G34" s="220">
        <f>+_xlfn.XLOOKUP($C34,Aux!$W:$W,Aux!R:R,"-",0)</f>
        <v>0</v>
      </c>
      <c r="H34" s="220">
        <f>+_xlfn.XLOOKUP($C34,Aux!$W:$W,Aux!S:S,"-",0)</f>
        <v>2</v>
      </c>
      <c r="I34" s="220">
        <f>+_xlfn.XLOOKUP($C34,Aux!$W:$W,Aux!T:T,"-",0)</f>
        <v>-3</v>
      </c>
      <c r="J34" s="220">
        <f>+_xlfn.XLOOKUP($C34,Aux!$W:$W,Aux!U:U,"-",0)</f>
        <v>3</v>
      </c>
      <c r="K34" s="221">
        <f>+_xlfn.XLOOKUP($C34,Aux!$W:$W,Aux!V:V,"-",0)</f>
        <v>6</v>
      </c>
    </row>
    <row r="35" spans="1:11" x14ac:dyDescent="0.2">
      <c r="A35" s="410">
        <v>34</v>
      </c>
      <c r="B35" s="396" t="s">
        <v>298</v>
      </c>
      <c r="C35" s="219">
        <f>+LARGE(Aux!$W$4:$W$51,A35)</f>
        <v>1.9903000003448275</v>
      </c>
      <c r="D35" s="218" t="str">
        <f>+_xlfn.XLOOKUP($C35,Aux!$W:$W,Aux!H:H,"-",0)</f>
        <v>Egipto</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x14ac:dyDescent="0.2">
      <c r="A36" s="410">
        <v>35</v>
      </c>
      <c r="B36" s="396" t="s">
        <v>298</v>
      </c>
      <c r="C36" s="219">
        <f>+LARGE(Aux!$W$4:$W$51,A36)</f>
        <v>0.98020000037037036</v>
      </c>
      <c r="D36" s="218" t="str">
        <f>+_xlfn.XLOOKUP($C36,Aux!$W:$W,Aux!H:H,"-",0)</f>
        <v>Australia</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x14ac:dyDescent="0.2">
      <c r="A37" s="410">
        <v>36</v>
      </c>
      <c r="B37" s="396" t="s">
        <v>298</v>
      </c>
      <c r="C37" s="219">
        <f>+LARGE(Aux!$W$4:$W$51,A37)</f>
        <v>0.97010000019999998</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x14ac:dyDescent="0.2">
      <c r="A38" s="410">
        <v>37</v>
      </c>
      <c r="B38" s="396" t="s">
        <v>298</v>
      </c>
      <c r="C38" s="219">
        <f>+LARGE(Aux!$W$4:$W$51,A38)</f>
        <v>0.97010000011764708</v>
      </c>
      <c r="D38" s="218" t="str">
        <f>+_xlfn.XLOOKUP($C38,Aux!$W:$W,Aux!H:H,"-",0)</f>
        <v>Nueva Zelanda</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x14ac:dyDescent="0.2">
      <c r="A39" s="410">
        <v>38</v>
      </c>
      <c r="B39" s="396" t="s">
        <v>298</v>
      </c>
      <c r="C39" s="219">
        <f>+LARGE(Aux!$W$4:$W$51,A39)</f>
        <v>0.96040000013513505</v>
      </c>
      <c r="D39" s="218" t="str">
        <f>+_xlfn.XLOOKUP($C39,Aux!$W:$W,Aux!H:H,"-",0)</f>
        <v>Ghana</v>
      </c>
      <c r="E39" s="220">
        <f t="shared" si="0"/>
        <v>1</v>
      </c>
      <c r="F39" s="220">
        <f>+_xlfn.XLOOKUP($C39,Aux!$W:$W,Aux!Q:Q,"-",0)</f>
        <v>0</v>
      </c>
      <c r="G39" s="220">
        <f>+_xlfn.XLOOKUP($C39,Aux!$W:$W,Aux!R:R,"-",0)</f>
        <v>1</v>
      </c>
      <c r="H39" s="220">
        <f>+_xlfn.XLOOKUP($C39,Aux!$W:$W,Aux!S:S,"-",0)</f>
        <v>2</v>
      </c>
      <c r="I39" s="220">
        <f>+_xlfn.XLOOKUP($C39,Aux!$W:$W,Aux!T:T,"-",0)</f>
        <v>-4</v>
      </c>
      <c r="J39" s="220">
        <f>+_xlfn.XLOOKUP($C39,Aux!$W:$W,Aux!U:U,"-",0)</f>
        <v>4</v>
      </c>
      <c r="K39" s="221">
        <f>+_xlfn.XLOOKUP($C39,Aux!$W:$W,Aux!V:V,"-",0)</f>
        <v>8</v>
      </c>
    </row>
    <row r="40" spans="1:11" x14ac:dyDescent="0.2">
      <c r="A40" s="410">
        <v>39</v>
      </c>
      <c r="B40" s="396" t="s">
        <v>298</v>
      </c>
      <c r="C40" s="219">
        <f>+LARGE(Aux!$W$4:$W$51,A40)</f>
        <v>0.96030000012195116</v>
      </c>
      <c r="D40" s="218" t="str">
        <f>+_xlfn.XLOOKUP($C40,Aux!$W:$W,Aux!H:H,"-",0)</f>
        <v>Curazao</v>
      </c>
      <c r="E40" s="220">
        <f t="shared" si="0"/>
        <v>1</v>
      </c>
      <c r="F40" s="220">
        <f>+_xlfn.XLOOKUP($C40,Aux!$W:$W,Aux!Q:Q,"-",0)</f>
        <v>0</v>
      </c>
      <c r="G40" s="220">
        <f>+_xlfn.XLOOKUP($C40,Aux!$W:$W,Aux!R:R,"-",0)</f>
        <v>1</v>
      </c>
      <c r="H40" s="220">
        <f>+_xlfn.XLOOKUP($C40,Aux!$W:$W,Aux!S:S,"-",0)</f>
        <v>2</v>
      </c>
      <c r="I40" s="220">
        <f>+_xlfn.XLOOKUP($C40,Aux!$W:$W,Aux!T:T,"-",0)</f>
        <v>-4</v>
      </c>
      <c r="J40" s="220">
        <f>+_xlfn.XLOOKUP($C40,Aux!$W:$W,Aux!U:U,"-",0)</f>
        <v>3</v>
      </c>
      <c r="K40" s="221">
        <f>+_xlfn.XLOOKUP($C40,Aux!$W:$W,Aux!V:V,"-",0)</f>
        <v>7</v>
      </c>
    </row>
    <row r="41" spans="1:11" x14ac:dyDescent="0.2">
      <c r="A41" s="410">
        <v>40</v>
      </c>
      <c r="B41" s="396" t="s">
        <v>298</v>
      </c>
      <c r="C41" s="219">
        <f>+LARGE(Aux!$W$4:$W$51,A41)</f>
        <v>0.96020000016393436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-4</v>
      </c>
      <c r="J41" s="220">
        <f>+_xlfn.XLOOKUP($C41,Aux!$W:$W,Aux!U:U,"-",0)</f>
        <v>2</v>
      </c>
      <c r="K41" s="221">
        <f>+_xlfn.XLOOKUP($C41,Aux!$W:$W,Aux!V:V,"-",0)</f>
        <v>6</v>
      </c>
    </row>
    <row r="42" spans="1:11" x14ac:dyDescent="0.2">
      <c r="A42" s="410">
        <v>41</v>
      </c>
      <c r="B42" s="396" t="s">
        <v>298</v>
      </c>
      <c r="C42" s="219">
        <f>+LARGE(Aux!$W$4:$W$51,A42)</f>
        <v>0.96000000021739129</v>
      </c>
      <c r="D42" s="218" t="str">
        <f>+_xlfn.XLOOKUP($C42,Aux!$W:$W,Aux!H:H,"-",0)</f>
        <v>Congo</v>
      </c>
      <c r="E42" s="220">
        <f t="shared" si="0"/>
        <v>1</v>
      </c>
      <c r="F42" s="220">
        <f>+_xlfn.XLOOKUP($C42,Aux!$W:$W,Aux!Q:Q,"-",0)</f>
        <v>0</v>
      </c>
      <c r="G42" s="220">
        <f>+_xlfn.XLOOKUP($C42,Aux!$W:$W,Aux!R:R,"-",0)</f>
        <v>1</v>
      </c>
      <c r="H42" s="220">
        <f>+_xlfn.XLOOKUP($C42,Aux!$W:$W,Aux!S:S,"-",0)</f>
        <v>2</v>
      </c>
      <c r="I42" s="220">
        <f>+_xlfn.XLOOKUP($C42,Aux!$W:$W,Aux!T:T,"-",0)</f>
        <v>-4</v>
      </c>
      <c r="J42" s="220">
        <f>+_xlfn.XLOOKUP($C42,Aux!$W:$W,Aux!U:U,"-",0)</f>
        <v>0</v>
      </c>
      <c r="K42" s="221">
        <f>+_xlfn.XLOOKUP($C42,Aux!$W:$W,Aux!V:V,"-",0)</f>
        <v>4</v>
      </c>
    </row>
    <row r="43" spans="1:11" x14ac:dyDescent="0.2">
      <c r="A43" s="410">
        <v>42</v>
      </c>
      <c r="B43" s="396" t="s">
        <v>298</v>
      </c>
      <c r="C43" s="219">
        <f>+LARGE(Aux!$W$4:$W$51,A43)</f>
        <v>0.94010000014492745</v>
      </c>
      <c r="D43" s="218" t="str">
        <f>+_xlfn.XLOOKUP($C43,Aux!$W:$W,Aux!H:H,"-",0)</f>
        <v>Cabo Verde</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x14ac:dyDescent="0.2">
      <c r="A44" s="410">
        <v>43</v>
      </c>
      <c r="B44" s="396" t="s">
        <v>298</v>
      </c>
      <c r="C44" s="219">
        <f>+LARGE(Aux!$W$4:$W$51,A44)</f>
        <v>-3.9799999824561408E-2</v>
      </c>
      <c r="D44" s="218" t="str">
        <f>+_xlfn.XLOOKUP($C44,Aux!$W:$W,Aux!H:H,"-",0)</f>
        <v>Irak</v>
      </c>
      <c r="E44" s="220">
        <f t="shared" si="0"/>
        <v>0</v>
      </c>
      <c r="F44" s="220">
        <f>+_xlfn.XLOOKUP($C44,Aux!$W:$W,Aux!Q:Q,"-",0)</f>
        <v>0</v>
      </c>
      <c r="G44" s="220">
        <f>+_xlfn.XLOOKUP($C44,Aux!$W:$W,Aux!R:R,"-",0)</f>
        <v>0</v>
      </c>
      <c r="H44" s="220">
        <f>+_xlfn.XLOOKUP($C44,Aux!$W:$W,Aux!S:S,"-",0)</f>
        <v>3</v>
      </c>
      <c r="I44" s="220">
        <f>+_xlfn.XLOOKUP($C44,Aux!$W:$W,Aux!T:T,"-",0)</f>
        <v>-4</v>
      </c>
      <c r="J44" s="220">
        <f>+_xlfn.XLOOKUP($C44,Aux!$W:$W,Aux!U:U,"-",0)</f>
        <v>2</v>
      </c>
      <c r="K44" s="221">
        <f>+_xlfn.XLOOKUP($C44,Aux!$W:$W,Aux!V:V,"-",0)</f>
        <v>6</v>
      </c>
    </row>
    <row r="45" spans="1:11" x14ac:dyDescent="0.2">
      <c r="A45" s="410">
        <v>44</v>
      </c>
      <c r="B45" s="396" t="s">
        <v>298</v>
      </c>
      <c r="C45" s="219">
        <f>+LARGE(Aux!$W$4:$W$51,A45)</f>
        <v>-4.9699999833333335E-2</v>
      </c>
      <c r="D45" s="218" t="str">
        <f>+_xlfn.XLOOKUP($C45,Aux!$W:$W,Aux!H:H,"-",0)</f>
        <v>Sudafrica</v>
      </c>
      <c r="E45" s="220">
        <f t="shared" si="0"/>
        <v>0</v>
      </c>
      <c r="F45" s="220">
        <f>+_xlfn.XLOOKUP($C45,Aux!$W:$W,Aux!Q:Q,"-",0)</f>
        <v>0</v>
      </c>
      <c r="G45" s="220">
        <f>+_xlfn.XLOOKUP($C45,Aux!$W:$W,Aux!R:R,"-",0)</f>
        <v>0</v>
      </c>
      <c r="H45" s="220">
        <f>+_xlfn.XLOOKUP($C45,Aux!$W:$W,Aux!S:S,"-",0)</f>
        <v>3</v>
      </c>
      <c r="I45" s="220">
        <f>+_xlfn.XLOOKUP($C45,Aux!$W:$W,Aux!T:T,"-",0)</f>
        <v>-5</v>
      </c>
      <c r="J45" s="220">
        <f>+_xlfn.XLOOKUP($C45,Aux!$W:$W,Aux!U:U,"-",0)</f>
        <v>3</v>
      </c>
      <c r="K45" s="221">
        <f>+_xlfn.XLOOKUP($C45,Aux!$W:$W,Aux!V:V,"-",0)</f>
        <v>8</v>
      </c>
    </row>
    <row r="46" spans="1:11" x14ac:dyDescent="0.2">
      <c r="A46" s="410">
        <v>45</v>
      </c>
      <c r="B46" s="396" t="s">
        <v>298</v>
      </c>
      <c r="C46" s="219">
        <f>+LARGE(Aux!$W$4:$W$51,A46)</f>
        <v>-4.9799999642857147E-2</v>
      </c>
      <c r="D46" s="218" t="str">
        <f>+_xlfn.XLOOKUP($C46,Aux!$W:$W,Aux!H:H,"-",0)</f>
        <v>Argelia</v>
      </c>
      <c r="E46" s="220">
        <f t="shared" si="0"/>
        <v>0</v>
      </c>
      <c r="F46" s="220">
        <f>+_xlfn.XLOOKUP($C46,Aux!$W:$W,Aux!Q:Q,"-",0)</f>
        <v>0</v>
      </c>
      <c r="G46" s="220">
        <f>+_xlfn.XLOOKUP($C46,Aux!$W:$W,Aux!R:R,"-",0)</f>
        <v>0</v>
      </c>
      <c r="H46" s="220">
        <f>+_xlfn.XLOOKUP($C46,Aux!$W:$W,Aux!S:S,"-",0)</f>
        <v>3</v>
      </c>
      <c r="I46" s="220">
        <f>+_xlfn.XLOOKUP($C46,Aux!$W:$W,Aux!T:T,"-",0)</f>
        <v>-5</v>
      </c>
      <c r="J46" s="220">
        <f>+_xlfn.XLOOKUP($C46,Aux!$W:$W,Aux!U:U,"-",0)</f>
        <v>2</v>
      </c>
      <c r="K46" s="221">
        <f>+_xlfn.XLOOKUP($C46,Aux!$W:$W,Aux!V:V,"-",0)</f>
        <v>7</v>
      </c>
    </row>
    <row r="47" spans="1:11" x14ac:dyDescent="0.2">
      <c r="A47" s="410">
        <v>46</v>
      </c>
      <c r="B47" s="396" t="s">
        <v>298</v>
      </c>
      <c r="C47" s="219">
        <f>+LARGE(Aux!$W$4:$W$51,A47)</f>
        <v>-5.9899999772727267E-2</v>
      </c>
      <c r="D47" s="218" t="str">
        <f>+_xlfn.XLOOKUP($C47,Aux!$W:$W,Aux!H:H,"-",0)</f>
        <v>Tunez</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x14ac:dyDescent="0.2">
      <c r="A48" s="410">
        <v>47</v>
      </c>
      <c r="B48" s="396" t="s">
        <v>298</v>
      </c>
      <c r="C48" s="219">
        <f>+LARGE(Aux!$W$4:$W$51,A48)</f>
        <v>-7.9799999879518066E-2</v>
      </c>
      <c r="D48" s="218" t="str">
        <f>+_xlfn.XLOOKUP($C48,Aux!$W:$W,Aux!H:H,"-",0)</f>
        <v>Haiti</v>
      </c>
      <c r="E48" s="220">
        <f t="shared" si="0"/>
        <v>0</v>
      </c>
      <c r="F48" s="220">
        <f>+_xlfn.XLOOKUP($C48,Aux!$W:$W,Aux!Q:Q,"-",0)</f>
        <v>0</v>
      </c>
      <c r="G48" s="220">
        <f>+_xlfn.XLOOKUP($C48,Aux!$W:$W,Aux!R:R,"-",0)</f>
        <v>0</v>
      </c>
      <c r="H48" s="220">
        <f>+_xlfn.XLOOKUP($C48,Aux!$W:$W,Aux!S:S,"-",0)</f>
        <v>3</v>
      </c>
      <c r="I48" s="220">
        <f>+_xlfn.XLOOKUP($C48,Aux!$W:$W,Aux!T:T,"-",0)</f>
        <v>-8</v>
      </c>
      <c r="J48" s="220">
        <f>+_xlfn.XLOOKUP($C48,Aux!$W:$W,Aux!U:U,"-",0)</f>
        <v>2</v>
      </c>
      <c r="K48" s="221">
        <f>+_xlfn.XLOOKUP($C48,Aux!$W:$W,Aux!V:V,"-",0)</f>
        <v>10</v>
      </c>
    </row>
    <row r="49" spans="1:11" x14ac:dyDescent="0.2">
      <c r="A49" s="411">
        <v>48</v>
      </c>
      <c r="B49" s="397" t="s">
        <v>298</v>
      </c>
      <c r="C49" s="223">
        <f>+LARGE(Aux!$W$4:$W$51,A49)</f>
        <v>-7.9999999818181816E-2</v>
      </c>
      <c r="D49" s="222" t="str">
        <f>+_xlfn.XLOOKUP($C49,Aux!$W:$W,Aux!H:H,"-",0)</f>
        <v>Qatar</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Joao Neves</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Mbappé</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3</v>
      </c>
      <c r="D5" s="142">
        <f>+'Groups Stage'!G6</f>
        <v>2</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3</v>
      </c>
      <c r="E6" s="142" t="str">
        <f>+'Groups Stage'!H7</f>
        <v>Mexico</v>
      </c>
      <c r="F6" s="277" t="str">
        <f>+'Quarter, Semis &amp; Final'!R23</f>
        <v>Peor Equipo</v>
      </c>
      <c r="G6" s="242" t="str">
        <f>+'Quarter, Semis &amp; Final'!S23</f>
        <v>Qatar</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4</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Portugal</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3</v>
      </c>
      <c r="D13" s="142">
        <f>+'Groups Stage'!G14</f>
        <v>2</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1</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1</v>
      </c>
      <c r="E24" s="142" t="str">
        <f>+'Groups Stage'!H25</f>
        <v>Brasil</v>
      </c>
      <c r="I24" s="278" t="str">
        <f t="shared" si="0"/>
        <v/>
      </c>
      <c r="J24" s="278" t="str">
        <f t="shared" si="1"/>
        <v>Escocia</v>
      </c>
      <c r="K24" s="278" t="str">
        <f t="shared" si="2"/>
        <v>Brasil</v>
      </c>
      <c r="L24" s="278" t="str">
        <f t="shared" si="3"/>
        <v/>
      </c>
    </row>
    <row r="25" spans="1:12" x14ac:dyDescent="0.2">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1</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1</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0</v>
      </c>
      <c r="E39" s="142" t="str">
        <f>+'Groups Stage'!H40</f>
        <v>Ecuador</v>
      </c>
      <c r="I39" s="278" t="str">
        <f t="shared" si="0"/>
        <v>Costa de Marfil</v>
      </c>
      <c r="J39" s="278" t="str">
        <f t="shared" si="1"/>
        <v/>
      </c>
      <c r="K39" s="278" t="str">
        <f t="shared" si="2"/>
        <v/>
      </c>
      <c r="L39" s="278" t="str">
        <f t="shared" si="3"/>
        <v>Ecuador</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1</v>
      </c>
      <c r="D49" s="142">
        <f>+'Groups Stage'!G50</f>
        <v>1</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0</v>
      </c>
      <c r="D50" s="142">
        <f>+'Groups Stage'!G51</f>
        <v>3</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2</v>
      </c>
      <c r="E74" s="147" t="str">
        <f>+'Groups Stage'!H75</f>
        <v>Senegal</v>
      </c>
      <c r="I74" s="280" t="str">
        <f t="shared" si="4"/>
        <v/>
      </c>
      <c r="J74" s="280" t="str">
        <f t="shared" si="5"/>
        <v>Francia</v>
      </c>
      <c r="K74" s="280" t="str">
        <f t="shared" si="6"/>
        <v>Senegal</v>
      </c>
      <c r="L74" s="280" t="str">
        <f t="shared" si="7"/>
        <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3</v>
      </c>
      <c r="D77" s="142">
        <f>+'Groups Stage'!G78</f>
        <v>3</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2</v>
      </c>
      <c r="D86" s="142">
        <f>+'Groups Stage'!G87</f>
        <v>1</v>
      </c>
      <c r="E86" s="142" t="str">
        <f>+'Groups Stage'!H87</f>
        <v>Argelia</v>
      </c>
      <c r="I86" s="278" t="str">
        <f t="shared" si="4"/>
        <v>Jordania</v>
      </c>
      <c r="J86" s="278" t="str">
        <f t="shared" si="5"/>
        <v/>
      </c>
      <c r="K86" s="278" t="str">
        <f t="shared" si="6"/>
        <v/>
      </c>
      <c r="L86" s="278" t="str">
        <f t="shared" si="7"/>
        <v>Argelia</v>
      </c>
    </row>
    <row r="87" spans="1:12" x14ac:dyDescent="0.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0</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0</v>
      </c>
      <c r="E104" s="142" t="str">
        <f>+'Groups Stage'!H105</f>
        <v>Croacia</v>
      </c>
      <c r="I104" s="278" t="str">
        <f t="shared" si="4"/>
        <v>Panama</v>
      </c>
      <c r="J104" s="278" t="str">
        <f t="shared" si="5"/>
        <v/>
      </c>
      <c r="K104" s="278" t="str">
        <f t="shared" si="6"/>
        <v/>
      </c>
      <c r="L104" s="278" t="str">
        <f t="shared" si="7"/>
        <v>Croacia</v>
      </c>
    </row>
    <row r="105" spans="1:13" x14ac:dyDescent="0.2">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4</v>
      </c>
      <c r="D108" s="250">
        <f>+_xlfn.XLOOKUP($A108,'Round of 32 &amp; Round of 16'!$A:$A,'Round of 32 &amp; Round of 16'!D:D,"-",0)</f>
        <v>2</v>
      </c>
      <c r="E108" s="250" t="str">
        <f>+_xlfn.XLOOKUP($A108,'Round of 32 &amp; Round of 16'!$A:$A,'Round of 32 &amp; Round of 16'!E:E,"-",0)</f>
        <v>Estados Unidos</v>
      </c>
      <c r="I108" s="283" t="str">
        <f t="shared" si="8"/>
        <v>Alemania</v>
      </c>
      <c r="J108" s="283" t="str">
        <f t="shared" si="9"/>
        <v/>
      </c>
      <c r="K108" s="283" t="str">
        <f t="shared" si="10"/>
        <v/>
      </c>
      <c r="L108" s="283" t="str">
        <f t="shared" si="11"/>
        <v>Estados Unidos</v>
      </c>
      <c r="M108" s="283"/>
    </row>
    <row r="109" spans="1:13" x14ac:dyDescent="0.2">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Brasil</v>
      </c>
      <c r="I109" s="283" t="str">
        <f t="shared" si="8"/>
        <v>Japon</v>
      </c>
      <c r="J109" s="283" t="str">
        <f t="shared" si="9"/>
        <v/>
      </c>
      <c r="K109" s="283" t="str">
        <f t="shared" si="10"/>
        <v/>
      </c>
      <c r="L109" s="283" t="str">
        <f t="shared" si="11"/>
        <v>Brasil</v>
      </c>
      <c r="M109" s="283"/>
    </row>
    <row r="110" spans="1:13" x14ac:dyDescent="0.2">
      <c r="A110" s="248" t="s">
        <v>239</v>
      </c>
      <c r="B110" s="249" t="str">
        <f>+_xlfn.XLOOKUP($A110,'Round of 32 &amp; Round of 16'!$A:$A,'Round of 32 &amp; Round of 16'!B:B,"-",0)</f>
        <v>Marruecos</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Marruecos</v>
      </c>
      <c r="J110" s="283" t="str">
        <f t="shared" si="9"/>
        <v/>
      </c>
      <c r="K110" s="283" t="str">
        <f t="shared" si="10"/>
        <v/>
      </c>
      <c r="L110" s="283" t="str">
        <f t="shared" si="11"/>
        <v>Paises Bajos</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4</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Costa de Marfil</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Senegal</v>
      </c>
      <c r="I112" s="283" t="str">
        <f t="shared" si="8"/>
        <v>Senegal</v>
      </c>
      <c r="J112" s="283" t="str">
        <f t="shared" si="9"/>
        <v/>
      </c>
      <c r="K112" s="283" t="str">
        <f t="shared" si="10"/>
        <v/>
      </c>
      <c r="L112" s="283" t="str">
        <f t="shared" si="11"/>
        <v>Costa de Marfil</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Mexico</v>
      </c>
      <c r="J113" s="283" t="str">
        <f t="shared" si="9"/>
        <v/>
      </c>
      <c r="K113" s="283" t="str">
        <f t="shared" si="10"/>
        <v/>
      </c>
      <c r="L113" s="283" t="str">
        <f t="shared" si="11"/>
        <v>Escocia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4</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3</v>
      </c>
      <c r="D115" s="250">
        <f>+_xlfn.XLOOKUP($A115,'Round of 32 &amp; Round of 16'!$G:$G,'Round of 32 &amp; Round of 16'!J:J,"-",0)</f>
        <v>1</v>
      </c>
      <c r="E115" s="250" t="str">
        <f>+_xlfn.XLOOKUP($A115,'Round of 32 &amp; Round of 16'!$G:$G,'Round of 32 &amp; Round of 16'!K:K,"-",0)</f>
        <v>Bosnia</v>
      </c>
      <c r="I115" s="283" t="str">
        <f t="shared" si="8"/>
        <v>Turquia</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0</v>
      </c>
      <c r="E117" s="250" t="str">
        <f>+_xlfn.XLOOKUP($A117,'Round of 32 &amp; Round of 16'!$G:$G,'Round of 32 &amp; Round of 16'!K:K,"-",0)</f>
        <v>Panama</v>
      </c>
      <c r="I117" s="283" t="str">
        <f t="shared" si="8"/>
        <v>Colombia</v>
      </c>
      <c r="J117" s="283" t="str">
        <f t="shared" si="9"/>
        <v/>
      </c>
      <c r="K117" s="283" t="str">
        <f t="shared" si="10"/>
        <v/>
      </c>
      <c r="L117" s="283" t="str">
        <f t="shared" si="11"/>
        <v>Panama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Ecuador</v>
      </c>
      <c r="I119" s="283" t="str">
        <f t="shared" si="8"/>
        <v>Ecuador</v>
      </c>
      <c r="J119" s="283" t="str">
        <f t="shared" si="9"/>
        <v/>
      </c>
      <c r="K119" s="283" t="str">
        <f t="shared" si="10"/>
        <v/>
      </c>
      <c r="L119" s="283" t="str">
        <f t="shared" si="11"/>
        <v>Suiza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Iran</v>
      </c>
      <c r="I122" s="284" t="str">
        <f t="shared" si="8"/>
        <v/>
      </c>
      <c r="J122" s="284" t="str">
        <f t="shared" si="9"/>
        <v>Paraguay</v>
      </c>
      <c r="K122" s="284" t="str">
        <f t="shared" si="10"/>
        <v>Iran</v>
      </c>
      <c r="L122" s="284" t="str">
        <f t="shared" si="11"/>
        <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Marruecos</v>
      </c>
      <c r="C125" s="257">
        <f>+_xlfn.XLOOKUP($A125,'Round of 32 &amp; Round of 16'!$O:$O,'Round of 32 &amp; Round of 16'!Q:Q,"-",0)</f>
        <v>2</v>
      </c>
      <c r="D125" s="259">
        <f>+_xlfn.XLOOKUP($A125,'Round of 32 &amp; Round of 16'!$O:$O,'Round of 32 &amp; Round of 16'!R:R,"-",0)</f>
        <v>2</v>
      </c>
      <c r="E125" s="259" t="str">
        <f>+_xlfn.XLOOKUP($A125,'Round of 32 &amp; Round of 16'!$O:$O,'Round of 32 &amp; Round of 16'!S:S,"-",0)</f>
        <v>Senegal</v>
      </c>
      <c r="I125" s="283" t="str">
        <f t="shared" si="8"/>
        <v/>
      </c>
      <c r="J125" s="283" t="str">
        <f t="shared" si="9"/>
        <v>Marruecos</v>
      </c>
      <c r="K125" s="283" t="str">
        <f t="shared" si="10"/>
        <v>Senegal</v>
      </c>
      <c r="L125" s="283" t="str">
        <f t="shared" si="11"/>
        <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Turquia</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x14ac:dyDescent="0.2">
      <c r="A130" s="260" t="s">
        <v>269</v>
      </c>
      <c r="B130" s="261" t="str">
        <f>+_xlfn.XLOOKUP($A130,'Round of 32 &amp; Round of 16'!$U:$U,'Round of 32 &amp; Round of 16'!V:V,"-",0)</f>
        <v>Ecuador</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Ecuador</v>
      </c>
      <c r="M130" s="284"/>
    </row>
    <row r="131" spans="1:13" x14ac:dyDescent="0.2">
      <c r="A131" s="263" t="s">
        <v>277</v>
      </c>
      <c r="B131" s="264" t="str" cm="1">
        <f t="array" ref="B131:E131">+_xlfn.XLOOKUP($A131,'Quarter, Semis &amp; Final'!$A:$A,'Quarter, Semis &amp; Final'!B:E,"-",0)</f>
        <v>Francia</v>
      </c>
      <c r="C131" s="263">
        <v>2</v>
      </c>
      <c r="D131" s="198">
        <v>1</v>
      </c>
      <c r="E131" s="198" t="str">
        <v>Japon</v>
      </c>
      <c r="I131" s="283" t="str">
        <f t="shared" si="8"/>
        <v>Francia</v>
      </c>
      <c r="J131" s="282" t="str">
        <f t="shared" si="9"/>
        <v/>
      </c>
      <c r="K131" s="283" t="str">
        <f t="shared" si="10"/>
        <v/>
      </c>
      <c r="L131" s="283" t="str">
        <f t="shared" si="11"/>
        <v>Japon</v>
      </c>
      <c r="M131" s="283"/>
    </row>
    <row r="132" spans="1:13" x14ac:dyDescent="0.2">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Marruecos</v>
      </c>
      <c r="C133" s="263">
        <v>1</v>
      </c>
      <c r="D133" s="198">
        <v>3</v>
      </c>
      <c r="E133" s="198" t="str">
        <v>Inglaterra</v>
      </c>
      <c r="I133" s="283" t="str">
        <f t="shared" si="8"/>
        <v>Inglaterra</v>
      </c>
      <c r="J133" s="283" t="str">
        <f t="shared" si="9"/>
        <v/>
      </c>
      <c r="K133" s="283" t="str">
        <f t="shared" si="10"/>
        <v/>
      </c>
      <c r="L133" s="283" t="str">
        <f t="shared" si="11"/>
        <v>Marruecos</v>
      </c>
      <c r="M133" s="283"/>
    </row>
    <row r="134" spans="1:13" x14ac:dyDescent="0.2">
      <c r="A134" s="263" t="s">
        <v>283</v>
      </c>
      <c r="B134" s="265" t="str" cm="1">
        <f t="array" ref="B134:E134">+_xlfn.XLOOKUP($A134,'Quarter, Semis &amp; Final'!$G:$G,'Quarter, Semis &amp; Final'!H:K,"-",0)</f>
        <v>Argentina</v>
      </c>
      <c r="C134" s="263">
        <v>1</v>
      </c>
      <c r="D134" s="198">
        <v>2</v>
      </c>
      <c r="E134" s="198" t="str">
        <v>Portugal</v>
      </c>
      <c r="I134" s="283" t="str">
        <f t="shared" si="8"/>
        <v>Portugal</v>
      </c>
      <c r="J134" s="283" t="str">
        <f t="shared" si="9"/>
        <v/>
      </c>
      <c r="K134" s="283" t="str">
        <f t="shared" si="10"/>
        <v/>
      </c>
      <c r="L134" s="283" t="str">
        <f t="shared" si="11"/>
        <v>Argentina</v>
      </c>
      <c r="M134" s="283"/>
    </row>
    <row r="135" spans="1:13" x14ac:dyDescent="0.2">
      <c r="A135" s="211" t="s">
        <v>287</v>
      </c>
      <c r="B135" s="266" t="str" cm="1">
        <f t="array" ref="B135:E135">+_xlfn.XLOOKUP($A135,'Quarter, Semis &amp; Final'!$A:$A,'Quarter, Semis &amp; Final'!B:E,"-",0)</f>
        <v>Francia</v>
      </c>
      <c r="C135" s="211">
        <v>2</v>
      </c>
      <c r="D135" s="210">
        <v>0</v>
      </c>
      <c r="E135" s="210" t="str">
        <v>España</v>
      </c>
      <c r="I135" s="283" t="str">
        <f t="shared" si="8"/>
        <v>Francia</v>
      </c>
      <c r="J135" s="283" t="str">
        <f t="shared" si="9"/>
        <v/>
      </c>
      <c r="K135" s="283" t="str">
        <f t="shared" si="10"/>
        <v/>
      </c>
      <c r="L135" s="283" t="str">
        <f t="shared" si="11"/>
        <v>España</v>
      </c>
      <c r="M135" s="283"/>
    </row>
    <row r="136" spans="1:13" x14ac:dyDescent="0.2">
      <c r="A136" s="211" t="s">
        <v>288</v>
      </c>
      <c r="B136" s="266" t="str" cm="1">
        <f t="array" ref="B136:E136">+_xlfn.XLOOKUP($A136,'Quarter, Semis &amp; Final'!$G:$G,'Quarter, Semis &amp; Final'!H:K,"-",0)</f>
        <v>Inglaterra</v>
      </c>
      <c r="C136" s="211">
        <v>1</v>
      </c>
      <c r="D136" s="210">
        <v>2</v>
      </c>
      <c r="E136" s="210" t="str">
        <v>Portugal</v>
      </c>
      <c r="I136" s="283" t="str">
        <f t="shared" si="8"/>
        <v>Portugal</v>
      </c>
      <c r="J136" s="283" t="str">
        <f t="shared" si="9"/>
        <v/>
      </c>
      <c r="K136" s="283" t="str">
        <f t="shared" si="10"/>
        <v/>
      </c>
      <c r="L136" s="283" t="str">
        <f t="shared" si="11"/>
        <v>Inglaterra</v>
      </c>
      <c r="M136" s="283"/>
    </row>
    <row r="137" spans="1:13" x14ac:dyDescent="0.2">
      <c r="A137" s="267" t="s">
        <v>286</v>
      </c>
      <c r="B137" s="268" t="str">
        <f>+'Quarter, Semis &amp; Final'!P13</f>
        <v>España</v>
      </c>
      <c r="C137" s="267">
        <f>+'Quarter, Semis &amp; Final'!Q13</f>
        <v>2</v>
      </c>
      <c r="D137" s="272">
        <f>+'Quarter, Semis &amp; Final'!R13</f>
        <v>1</v>
      </c>
      <c r="E137" s="272" t="str">
        <f>+'Quarter, Semis &amp; Final'!S13</f>
        <v>Inglaterra</v>
      </c>
      <c r="I137" s="283" t="str">
        <f t="shared" si="8"/>
        <v>España</v>
      </c>
      <c r="J137" s="283" t="str">
        <f t="shared" si="9"/>
        <v/>
      </c>
      <c r="K137" s="283" t="str">
        <f t="shared" si="10"/>
        <v/>
      </c>
      <c r="L137" s="283" t="str">
        <f t="shared" si="11"/>
        <v>Inglaterra</v>
      </c>
      <c r="M137" s="283"/>
    </row>
    <row r="138" spans="1:13" x14ac:dyDescent="0.2">
      <c r="A138" s="269" t="s">
        <v>279</v>
      </c>
      <c r="B138" s="270" t="str">
        <f>+'Quarter, Semis &amp; Final'!P4</f>
        <v>Francia</v>
      </c>
      <c r="C138" s="270">
        <f>+'Quarter, Semis &amp; Final'!Q4</f>
        <v>1</v>
      </c>
      <c r="D138" s="271">
        <f>+'Quarter, Semis &amp; Final'!R4</f>
        <v>1</v>
      </c>
      <c r="E138" s="271" t="str">
        <f>+'Quarter, Semis &amp; Final'!S4</f>
        <v>Portugal</v>
      </c>
      <c r="I138" s="284" t="str">
        <f t="shared" si="8"/>
        <v/>
      </c>
      <c r="J138" s="284" t="str">
        <f t="shared" si="9"/>
        <v>Francia</v>
      </c>
      <c r="K138" s="284" t="str">
        <f t="shared" si="10"/>
        <v>Portugal</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c</v>
      </c>
      <c r="AC2" s="6" t="s">
        <v>332</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-3</v>
      </c>
      <c r="AV2" s="6">
        <f>+_xlfn.XLOOKUP($AO2,'Groups Stage'!$Y:$Y,'Groups Stage'!AF:AF,"-",0)</f>
        <v>4</v>
      </c>
      <c r="AW2" s="6">
        <f>+_xlfn.XLOOKUP($AO2,'Groups Stage'!$Y:$Y,'Groups Stage'!AG:AG,"-",0)</f>
        <v>7</v>
      </c>
      <c r="AX2" s="6">
        <f>+AR2*3+AS2+AU2/100+AV2/10000</f>
        <v>2.9704000000000002</v>
      </c>
      <c r="AY2" s="19">
        <f>+AX2+ROW()/10000000000</f>
        <v>2.9704000002000002</v>
      </c>
      <c r="AZ2" s="22" t="str">
        <f>+'Groups Stage'!CX2</f>
        <v xml:space="preserve"> - </v>
      </c>
      <c r="BA2" s="19">
        <f>+AY2+IF(AZ2="IN",1/100000000,0)</f>
        <v>2.9704000002000002</v>
      </c>
      <c r="BB2" s="19"/>
      <c r="BC2" s="19">
        <f>+LARGE($AY$2:$AY$13,ROW()-1)</f>
        <v>4.0204000003999996</v>
      </c>
      <c r="BD2" s="20" t="str">
        <f>IF($AQ$15="DONE",_xlfn.XLOOKUP(BC2,$AY$2:$AY$13,$AP$2:$AP$13,"-",0),"--")</f>
        <v>Escocia</v>
      </c>
      <c r="BE2">
        <f>+_xlfn.XLOOKUP(BD2,$AP$2:$AP$13,$AX$2:$AX$13,"-",0)</f>
        <v>4.0203999999999995</v>
      </c>
      <c r="BF2" s="6" t="str">
        <f t="shared" ref="BF2:BF9" si="11">+IF(COUNTIF($BE$10:$BE$13,BE2)=0,"-","x")</f>
        <v>-</v>
      </c>
      <c r="BG2" t="str">
        <f>+IF(BF2="x","Draw - Select","IN")</f>
        <v>IN</v>
      </c>
      <c r="BI2" s="19">
        <f>+LARGE($BA$2:$BA$13,ROW()-1)</f>
        <v>4.0204000003999996</v>
      </c>
      <c r="BJ2" s="20" t="str">
        <f>IF($AQ$15="DONE",_xlfn.XLOOKUP(BI2,$BA$2:$BA$13,$AP$2:$AP$13,"-",0),"--")</f>
        <v>Escocia</v>
      </c>
      <c r="BK2" s="20" t="str">
        <f>IF($AQ$15="DONE",_xlfn.XLOOKUP(BI2,$BA$2:$BA$13,$AO$2:$AO$13,"-",0),"--")</f>
        <v>3C</v>
      </c>
      <c r="BL2" t="str">
        <f>+LOWER(RIGHT(BK2,1))</f>
        <v>c</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f</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5</v>
      </c>
      <c r="AW3" s="6">
        <f>+_xlfn.XLOOKUP($AO3,'Groups Stage'!$Y:$Y,'Groups Stage'!AG:AG,"-",0)</f>
        <v>5</v>
      </c>
      <c r="AX3" s="6">
        <f t="shared" ref="AX3:AX13" si="16">+AR3*3+AS3+AU3/100+AV3/10000</f>
        <v>3.0005000000000002</v>
      </c>
      <c r="AY3" s="19">
        <f t="shared" ref="AY3:AY13" si="17">+AX3+ROW()/10000000000</f>
        <v>3.0005000003000002</v>
      </c>
      <c r="AZ3" s="22" t="str">
        <f>+'Groups Stage'!CX3</f>
        <v xml:space="preserve"> - </v>
      </c>
      <c r="BA3" s="19">
        <f t="shared" ref="BA3:BA13" si="18">+AY3+IF(AZ3="IN",1/100000000,0)</f>
        <v>3.0005000003000002</v>
      </c>
      <c r="BB3" s="19"/>
      <c r="BC3" s="19">
        <f t="shared" ref="BC3:BC13" si="19">+LARGE($AY$2:$AY$13,ROW()-1)</f>
        <v>4.0003000007000002</v>
      </c>
      <c r="BD3" s="20" t="str">
        <f t="shared" ref="BD3:BD13" si="20">IF($AQ$15="DONE",_xlfn.XLOOKUP(BC3,$AY$2:$AY$13,$AP$2:$AP$13,"-",0),"--")</f>
        <v>Suecia</v>
      </c>
      <c r="BE3">
        <f t="shared" ref="BE3:BE13" si="21">+_xlfn.XLOOKUP(BD3,$AP$2:$AP$13,$AX$2:$AX$13,"-",0)</f>
        <v>4.0003000000000002</v>
      </c>
      <c r="BF3" s="6" t="str">
        <f t="shared" si="11"/>
        <v>-</v>
      </c>
      <c r="BG3" t="str">
        <f t="shared" ref="BG3:BG9" si="22">+IF(BF3="x","Draw - Select","IN")</f>
        <v>IN</v>
      </c>
      <c r="BI3" s="19">
        <f t="shared" ref="BI3:BI9" si="23">+LARGE($BA$2:$BA$13,ROW()-1)</f>
        <v>4.0003000007000002</v>
      </c>
      <c r="BJ3" s="20" t="str">
        <f t="shared" ref="BJ3:BJ9" si="24">IF($AQ$15="DONE",_xlfn.XLOOKUP(BI3,$BA$2:$BA$13,$AP$2:$AP$13,"-",0),"--")</f>
        <v>Suecia</v>
      </c>
      <c r="BK3" s="20" t="str">
        <f t="shared" ref="BK3:BK9" si="25">IF($AQ$15="DONE",_xlfn.XLOOKUP(BI3,$BA$2:$BA$13,$AO$2:$AO$13,"-",0),"--")</f>
        <v>3F</v>
      </c>
      <c r="BL3" t="str">
        <f t="shared" ref="BL3:BL9" si="26">+LOWER(RIGHT(BK3,1))</f>
        <v>f</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i</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4</v>
      </c>
      <c r="AW4" s="6">
        <f>+_xlfn.XLOOKUP($AO4,'Groups Stage'!$Y:$Y,'Groups Stage'!AG:AG,"-",0)</f>
        <v>2</v>
      </c>
      <c r="AX4" s="6">
        <f t="shared" si="16"/>
        <v>4.0203999999999995</v>
      </c>
      <c r="AY4" s="19">
        <f t="shared" si="17"/>
        <v>4.0204000003999996</v>
      </c>
      <c r="AZ4" s="22">
        <f>+'Groups Stage'!CX4</f>
        <v>0</v>
      </c>
      <c r="BA4" s="19">
        <f t="shared" si="18"/>
        <v>4.0204000003999996</v>
      </c>
      <c r="BB4" s="19"/>
      <c r="BC4" s="19">
        <f t="shared" si="19"/>
        <v>3.9905000010000005</v>
      </c>
      <c r="BD4" s="20" t="str">
        <f t="shared" si="20"/>
        <v>Noruega</v>
      </c>
      <c r="BE4">
        <f t="shared" si="21"/>
        <v>3.9905000000000004</v>
      </c>
      <c r="BF4" s="6" t="str">
        <f t="shared" si="11"/>
        <v>-</v>
      </c>
      <c r="BG4" t="str">
        <f t="shared" si="22"/>
        <v>IN</v>
      </c>
      <c r="BI4" s="19">
        <f t="shared" si="23"/>
        <v>3.9905000010000005</v>
      </c>
      <c r="BJ4" s="20" t="str">
        <f t="shared" si="24"/>
        <v>Noruega</v>
      </c>
      <c r="BK4" s="20" t="str">
        <f t="shared" si="25"/>
        <v>3I</v>
      </c>
      <c r="BL4" t="str">
        <f t="shared" si="26"/>
        <v>i</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b</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2</v>
      </c>
      <c r="AW5" s="6">
        <f>+_xlfn.XLOOKUP($AO5,'Groups Stage'!$Y:$Y,'Groups Stage'!AG:AG,"-",0)</f>
        <v>3</v>
      </c>
      <c r="AX5" s="6">
        <f t="shared" si="16"/>
        <v>2.9902000000000002</v>
      </c>
      <c r="AY5" s="19">
        <f t="shared" si="17"/>
        <v>2.9902000005000002</v>
      </c>
      <c r="AZ5" s="22" t="str">
        <f>+'Groups Stage'!CX5</f>
        <v xml:space="preserve"> - </v>
      </c>
      <c r="BA5" s="19">
        <f t="shared" si="18"/>
        <v>2.9902000005000002</v>
      </c>
      <c r="BB5" s="19"/>
      <c r="BC5" s="19">
        <f t="shared" si="19"/>
        <v>3.0005000003000002</v>
      </c>
      <c r="BD5" s="20" t="str">
        <f t="shared" si="20"/>
        <v>Bosnia</v>
      </c>
      <c r="BE5">
        <f t="shared" si="21"/>
        <v>3.0005000000000002</v>
      </c>
      <c r="BF5" s="6" t="str">
        <f t="shared" si="11"/>
        <v>-</v>
      </c>
      <c r="BG5" t="str">
        <f t="shared" si="22"/>
        <v>IN</v>
      </c>
      <c r="BI5" s="19">
        <f t="shared" si="23"/>
        <v>3.0005000003000002</v>
      </c>
      <c r="BJ5" s="20" t="str">
        <f t="shared" si="24"/>
        <v>Bosnia</v>
      </c>
      <c r="BK5" s="20" t="str">
        <f t="shared" si="25"/>
        <v>3B</v>
      </c>
      <c r="BL5" t="str">
        <f t="shared" si="26"/>
        <v>b</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l</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3</v>
      </c>
      <c r="AW6" s="6">
        <f>+_xlfn.XLOOKUP($AO6,'Groups Stage'!$Y:$Y,'Groups Stage'!AG:AG,"-",0)</f>
        <v>5</v>
      </c>
      <c r="AX6" s="6">
        <f t="shared" ref="AX6" si="27">+AR6*3+AS6+AU6/100+AV6/10000</f>
        <v>2.9803000000000002</v>
      </c>
      <c r="AY6" s="19">
        <f t="shared" si="17"/>
        <v>2.9803000006000002</v>
      </c>
      <c r="AZ6" s="22" t="str">
        <f>+'Groups Stage'!CX6</f>
        <v xml:space="preserve"> - </v>
      </c>
      <c r="BA6" s="19">
        <f t="shared" si="18"/>
        <v>2.9803000006000002</v>
      </c>
      <c r="BB6" s="19"/>
      <c r="BC6" s="19">
        <f t="shared" si="19"/>
        <v>2.9904000013000003</v>
      </c>
      <c r="BD6" s="20" t="str">
        <f t="shared" si="20"/>
        <v>Croacia</v>
      </c>
      <c r="BE6">
        <f t="shared" si="21"/>
        <v>2.9904000000000002</v>
      </c>
      <c r="BF6" s="6" t="str">
        <f t="shared" si="11"/>
        <v>-</v>
      </c>
      <c r="BG6" t="str">
        <f t="shared" si="22"/>
        <v>IN</v>
      </c>
      <c r="BI6" s="19">
        <f t="shared" si="23"/>
        <v>2.9904000013000003</v>
      </c>
      <c r="BJ6" s="20" t="str">
        <f t="shared" si="24"/>
        <v>Croacia</v>
      </c>
      <c r="BK6" s="20" t="str">
        <f t="shared" si="25"/>
        <v>3L</v>
      </c>
      <c r="BL6" t="str">
        <f t="shared" si="26"/>
        <v>l</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d</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2.9902000005000002</v>
      </c>
      <c r="BD7" s="20" t="str">
        <f t="shared" si="20"/>
        <v>Estados Unidos</v>
      </c>
      <c r="BE7">
        <f t="shared" si="21"/>
        <v>2.9902000000000002</v>
      </c>
      <c r="BF7" s="6" t="str">
        <f t="shared" si="11"/>
        <v>-</v>
      </c>
      <c r="BG7" t="str">
        <f t="shared" si="22"/>
        <v>IN</v>
      </c>
      <c r="BI7" s="19">
        <f t="shared" si="23"/>
        <v>2.9902000005000002</v>
      </c>
      <c r="BJ7" s="20" t="str">
        <f t="shared" si="24"/>
        <v>Estados Unidos</v>
      </c>
      <c r="BK7" s="20" t="str">
        <f t="shared" si="25"/>
        <v>3D</v>
      </c>
      <c r="BL7" t="str">
        <f t="shared" si="26"/>
        <v>d</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1.9903</v>
      </c>
      <c r="AY8" s="19">
        <f t="shared" si="17"/>
        <v>1.9903000008</v>
      </c>
      <c r="AZ8" s="22" t="str">
        <f>+'Groups Stage'!CX8</f>
        <v xml:space="preserve"> - </v>
      </c>
      <c r="BA8" s="19">
        <f t="shared" si="18"/>
        <v>1.9903000008</v>
      </c>
      <c r="BB8" s="19"/>
      <c r="BC8" s="19">
        <f t="shared" si="19"/>
        <v>2.9803000006000002</v>
      </c>
      <c r="BD8" s="20" t="str">
        <f t="shared" si="20"/>
        <v>Ecuador</v>
      </c>
      <c r="BE8">
        <f t="shared" si="21"/>
        <v>2.9803000000000002</v>
      </c>
      <c r="BF8" s="6" t="str">
        <f t="shared" si="11"/>
        <v>-</v>
      </c>
      <c r="BG8" t="str">
        <f t="shared" si="22"/>
        <v>IN</v>
      </c>
      <c r="BI8" s="19">
        <f t="shared" si="23"/>
        <v>2.9803000006000002</v>
      </c>
      <c r="BJ8" s="20" t="str">
        <f t="shared" si="24"/>
        <v>Ecuador</v>
      </c>
      <c r="BK8" s="20" t="str">
        <f t="shared" si="25"/>
        <v>3E</v>
      </c>
      <c r="BL8" t="str">
        <f t="shared"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-4</v>
      </c>
      <c r="AV9" s="6">
        <f>+_xlfn.XLOOKUP($AO9,'Groups Stage'!$Y:$Y,'Groups Stage'!AF:AF,"-",0)</f>
        <v>2</v>
      </c>
      <c r="AW9" s="6">
        <f>+_xlfn.XLOOKUP($AO9,'Groups Stage'!$Y:$Y,'Groups Stage'!AG:AG,"-",0)</f>
        <v>6</v>
      </c>
      <c r="AX9" s="6">
        <f t="shared" si="16"/>
        <v>0.96019999999999994</v>
      </c>
      <c r="AY9" s="19">
        <f t="shared" si="17"/>
        <v>0.96020000089999991</v>
      </c>
      <c r="AZ9" s="22" t="str">
        <f>+'Groups Stage'!CX9</f>
        <v xml:space="preserve"> - </v>
      </c>
      <c r="BA9" s="19">
        <f t="shared" si="18"/>
        <v>0.96020000089999991</v>
      </c>
      <c r="BB9" s="19"/>
      <c r="BC9" s="19">
        <f t="shared" si="19"/>
        <v>2.9704000002000002</v>
      </c>
      <c r="BD9" s="20" t="str">
        <f t="shared" si="20"/>
        <v>Repubilca Checa</v>
      </c>
      <c r="BE9">
        <f t="shared" si="21"/>
        <v>2.9704000000000002</v>
      </c>
      <c r="BF9" s="6" t="str">
        <f t="shared" si="11"/>
        <v>-</v>
      </c>
      <c r="BG9" t="str">
        <f t="shared" si="22"/>
        <v>IN</v>
      </c>
      <c r="BI9" s="19">
        <f t="shared" si="23"/>
        <v>2.9704000002000002</v>
      </c>
      <c r="BJ9" s="20" t="str">
        <f t="shared" si="24"/>
        <v>Repubilca Checa</v>
      </c>
      <c r="BK9" s="20" t="str">
        <f t="shared" si="25"/>
        <v>3A</v>
      </c>
      <c r="BL9" t="str">
        <f t="shared" si="26"/>
        <v>a</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5</v>
      </c>
      <c r="AW10" s="6">
        <f>+_xlfn.XLOOKUP($AO10,'Groups Stage'!$Y:$Y,'Groups Stage'!AG:AG,"-",0)</f>
        <v>6</v>
      </c>
      <c r="AX10" s="6">
        <f t="shared" si="16"/>
        <v>3.9905000000000004</v>
      </c>
      <c r="AY10" s="19">
        <f t="shared" si="17"/>
        <v>3.9905000010000005</v>
      </c>
      <c r="AZ10" s="22" t="str">
        <f>+'Groups Stage'!CX10</f>
        <v xml:space="preserve"> - </v>
      </c>
      <c r="BA10" s="19">
        <f t="shared" si="18"/>
        <v>3.9905000010000005</v>
      </c>
      <c r="BB10" s="19"/>
      <c r="BC10" s="19">
        <f t="shared" si="19"/>
        <v>2.9703000011000005</v>
      </c>
      <c r="BD10" s="20" t="str">
        <f t="shared" si="20"/>
        <v>Jordania</v>
      </c>
      <c r="BE10">
        <f t="shared" si="21"/>
        <v>2.9703000000000004</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Jordania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3</v>
      </c>
      <c r="AW11" s="6">
        <f>+_xlfn.XLOOKUP($AO11,'Groups Stage'!$Y:$Y,'Groups Stage'!AG:AG,"-",0)</f>
        <v>6</v>
      </c>
      <c r="AX11" s="6">
        <f t="shared" si="16"/>
        <v>2.9703000000000004</v>
      </c>
      <c r="AY11" s="19">
        <f t="shared" si="17"/>
        <v>2.9703000011000005</v>
      </c>
      <c r="AZ11" s="22" t="str">
        <f>+'Groups Stage'!CX11</f>
        <v xml:space="preserve"> - </v>
      </c>
      <c r="BA11" s="19">
        <f t="shared" si="18"/>
        <v>2.9703000011000005</v>
      </c>
      <c r="BB11" s="19"/>
      <c r="BC11" s="19">
        <f t="shared" si="19"/>
        <v>1.9903000008</v>
      </c>
      <c r="BD11" s="20" t="str">
        <f t="shared" si="20"/>
        <v>Egipto</v>
      </c>
      <c r="BE11">
        <f t="shared" si="21"/>
        <v>1.9903</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0.97010000119999995</v>
      </c>
      <c r="BD12" s="20" t="str">
        <f t="shared" si="20"/>
        <v>Uzbekistan</v>
      </c>
      <c r="BE12">
        <f t="shared" si="21"/>
        <v>0.97009999999999996</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4</v>
      </c>
      <c r="AW13" s="6">
        <f>+_xlfn.XLOOKUP($AO13,'Groups Stage'!$Y:$Y,'Groups Stage'!AG:AG,"-",0)</f>
        <v>5</v>
      </c>
      <c r="AX13" s="6">
        <f t="shared" si="16"/>
        <v>2.9904000000000002</v>
      </c>
      <c r="AY13" s="19">
        <f t="shared" si="17"/>
        <v>2.9904000013000003</v>
      </c>
      <c r="AZ13" s="22" t="str">
        <f>+'Groups Stage'!CX13</f>
        <v xml:space="preserve"> - </v>
      </c>
      <c r="BA13" s="19">
        <f t="shared" si="18"/>
        <v>2.9904000013000003</v>
      </c>
      <c r="BB13" s="19"/>
      <c r="BC13" s="19">
        <f t="shared" si="19"/>
        <v>0.96020000089999991</v>
      </c>
      <c r="BD13" s="20" t="str">
        <f t="shared" si="20"/>
        <v>Arabia Saudita</v>
      </c>
      <c r="BE13">
        <f t="shared" si="21"/>
        <v>0.96019999999999994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8</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4</v>
      </c>
      <c r="R4" s="6">
        <f>+COUNTIFS('Inputs summary'!J:K,$H4)</f>
        <v>0</v>
      </c>
      <c r="S4" s="6">
        <f>+COUNTIFS('Inputs summary'!L:L,$H4)</f>
        <v>1</v>
      </c>
      <c r="T4" s="6">
        <f>+U4-V4</f>
        <v>4</v>
      </c>
      <c r="U4" s="6">
        <f>+SUMIF('Inputs summary'!B:B,H4,'Inputs summary'!C:C)+SUMIF('Inputs summary'!E:E,H4,'Inputs summary'!D:D)</f>
        <v>11</v>
      </c>
      <c r="V4" s="6">
        <f>+SUMIF('Inputs summary'!B:B,H4,'Inputs summary'!D:D)+SUMIF('Inputs summary'!E:E,H4,'Inputs summary'!C:C)</f>
        <v>7</v>
      </c>
      <c r="W4" s="159">
        <f>+P4*100+Q4*3+R4+T4/100+U4/10000+(1/AA4)/100000000</f>
        <v>212.04110000066666</v>
      </c>
      <c r="X4" s="173">
        <f>+SUMPRODUCT(I4:O4,$I$1:$O$1)</f>
        <v>11</v>
      </c>
      <c r="Y4" s="167">
        <f t="shared" ref="Y4:Y51" si="7">+_xlfn.XLOOKUP(H4,AQ:AQ,AR:AR,"-",0)</f>
        <v>2</v>
      </c>
      <c r="Z4" s="173">
        <f>+W4+(1/Y4)*0.000001</f>
        <v>212.04110050066666</v>
      </c>
      <c r="AA4" s="173">
        <f>+_xlfn.XLOOKUP(H4,'Ranking FIFA'!B:B,'Ranking FIFA'!A:A,"--",0)</f>
        <v>15</v>
      </c>
      <c r="AC4" t="str">
        <f>+'Quarter, Semis &amp; Final'!P8</f>
        <v>Portugal</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201111</v>
      </c>
      <c r="AU4" s="166">
        <f t="shared" ref="AU4:AU51" si="9">+SUMIF($H$4:$H$51,AQ4,$W$4:$W$51)</f>
        <v>620.11200000999997</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Japon</v>
      </c>
      <c r="BE4" s="166">
        <f>+_xlfn.MAXIFS(W:W,Y:Y,AW4)</f>
        <v>315.06120000055552</v>
      </c>
      <c r="BF4" s="168">
        <f>+IF(AZ4&gt;0,AX4,0)</f>
        <v>0</v>
      </c>
      <c r="BH4">
        <v>1</v>
      </c>
      <c r="BI4" t="str">
        <f t="shared" ref="BI4:BI51" si="11">+H4</f>
        <v>Mexico</v>
      </c>
      <c r="BJ4" s="6">
        <f>+COUNTIFS('Inputs summary'!I$2:I$106,BI4)</f>
        <v>3</v>
      </c>
      <c r="BK4" s="6">
        <f>+COUNTIFS('Inputs summary'!J$2:K$106,BI4)</f>
        <v>0</v>
      </c>
      <c r="BL4" s="6">
        <f>+COUNTIFS('Inputs summary'!L$2:L$106,BI4)</f>
        <v>0</v>
      </c>
      <c r="BM4" s="6">
        <f>+BN4-BO4</f>
        <v>4</v>
      </c>
      <c r="BN4" s="6">
        <f>+SUMIF('Inputs summary'!$B$1:$B$106,$BI4,'Inputs summary'!$C$1:$C$106)+SUMIF('Inputs summary'!$E$1:$E$106,$BI4,'Inputs summary'!$D$1:$D$106)</f>
        <v>8</v>
      </c>
      <c r="BO4" s="6">
        <f>+SUMIF('Inputs summary'!$B$1:$B$106,$BI4,'Inputs summary'!$D$1:$D$106)+SUMIF('Inputs summary'!$E$1:$E$106,$BI4,'Inputs summary'!$C$1:$C$106)</f>
        <v>4</v>
      </c>
      <c r="BP4" s="166">
        <f t="shared" ref="BP4:BP51" si="12">+BJ4*3+BK4*2+BM4/100+BN4/1000+Y4/100000+AA4/10000000</f>
        <v>9.0480214999999973</v>
      </c>
      <c r="BR4">
        <f>+LARGE(BP4:BP51,1)</f>
        <v>9.0790109999999995</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3</v>
      </c>
      <c r="V5" s="6">
        <f>+SUMIF('Inputs summary'!B:B,H5,'Inputs summary'!D:D)+SUMIF('Inputs summary'!E:E,H5,'Inputs summary'!C:C)</f>
        <v>8</v>
      </c>
      <c r="W5" s="159">
        <f t="shared" ref="W5:W51" si="15">+P5*100+Q5*3+R5+T5/100+U5/10000+(1/AA5)/100000000</f>
        <v>-4.9699999833333335E-2</v>
      </c>
      <c r="X5" s="173">
        <f t="shared" ref="X5:X51" si="16">+SUMPRODUCT(I5:O5,$I$1:$O$1)</f>
        <v>0</v>
      </c>
      <c r="Y5" s="167">
        <f t="shared" si="7"/>
        <v>3</v>
      </c>
      <c r="Z5" s="173">
        <f t="shared" ref="Z5:Z51" si="17">+W5+(1/Y5)*0.000001</f>
        <v>-4.9699666500000003E-2</v>
      </c>
      <c r="AA5" s="173">
        <f>+_xlfn.XLOOKUP(H5,'Ranking FIFA'!B:B,'Ranking FIFA'!A:A,"--",0)</f>
        <v>60</v>
      </c>
      <c r="AD5" t="str">
        <f>+'Quarter, Semis &amp; Final'!S4</f>
        <v>Portugal</v>
      </c>
      <c r="AF5" t="str">
        <f>+'Quarter, Semis &amp; Final'!E19</f>
        <v>España</v>
      </c>
      <c r="AG5" t="str">
        <f>+'Quarter, Semis &amp; Final'!E5</f>
        <v>Japon</v>
      </c>
      <c r="AH5" t="str">
        <f>+'Round of 32 &amp; Round of 16'!S5</f>
        <v>Francia</v>
      </c>
      <c r="AI5" t="str">
        <f>+'Round of 32 &amp; Round of 16'!E5</f>
        <v>Canada</v>
      </c>
      <c r="AP5" s="457">
        <f>+_xlfn.XLOOKUP(AQ5,'Ranking FIFA'!B:B,'Ranking FIFA'!A:A,"--",0)</f>
        <v>2</v>
      </c>
      <c r="AQ5" t="s">
        <v>49</v>
      </c>
      <c r="AR5" s="6">
        <v>1</v>
      </c>
      <c r="AS5" s="6">
        <v>1</v>
      </c>
      <c r="AT5" s="169">
        <f t="shared" si="8"/>
        <v>11111</v>
      </c>
      <c r="AU5" s="166">
        <f t="shared" si="9"/>
        <v>521.11170000499999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204.95030000047618</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3</v>
      </c>
      <c r="BO5" s="6">
        <f>+SUMIF('Inputs summary'!$B$1:$B$106,$BI5,'Inputs summary'!$D$1:$D$106)+SUMIF('Inputs summary'!$E$1:$E$106,$BI5,'Inputs summary'!$C$1:$C$106)</f>
        <v>8</v>
      </c>
      <c r="BP5" s="166">
        <f t="shared" si="12"/>
        <v>-4.6963999999999999E-2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0</v>
      </c>
      <c r="S6" s="6">
        <f>+COUNTIFS('Inputs summary'!L:L,$H6)</f>
        <v>2</v>
      </c>
      <c r="T6" s="6">
        <f t="shared" si="14"/>
        <v>5</v>
      </c>
      <c r="U6" s="6">
        <f>+SUMIF('Inputs summary'!B:B,H6,'Inputs summary'!C:C)+SUMIF('Inputs summary'!E:E,H6,'Inputs summary'!D:D)</f>
        <v>12</v>
      </c>
      <c r="V6" s="6">
        <f>+SUMIF('Inputs summary'!B:B,H6,'Inputs summary'!D:D)+SUMIF('Inputs summary'!E:E,H6,'Inputs summary'!C:C)</f>
        <v>7</v>
      </c>
      <c r="W6" s="159">
        <f t="shared" si="15"/>
        <v>209.05120000040003</v>
      </c>
      <c r="X6" s="173">
        <f t="shared" si="16"/>
        <v>11</v>
      </c>
      <c r="Y6" s="167">
        <f t="shared" si="7"/>
        <v>2</v>
      </c>
      <c r="Z6" s="173">
        <f t="shared" si="17"/>
        <v>209.05120050040003</v>
      </c>
      <c r="AA6" s="173">
        <f>+_xlfn.XLOOKUP(H6,'Ranking FIFA'!B:B,'Ranking FIFA'!A:A,"--",0)</f>
        <v>25</v>
      </c>
      <c r="AF6" t="str">
        <f>+'Quarter, Semis &amp; Final'!H19</f>
        <v>Inglaterra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v>
      </c>
      <c r="AU6" s="166">
        <f t="shared" si="9"/>
        <v>315.12160000333336</v>
      </c>
      <c r="AW6" s="154">
        <v>4</v>
      </c>
      <c r="AX6" s="170">
        <f>+_xlfn.MAXIFS(AT:AT,AR:AR,AW6)</f>
        <v>0</v>
      </c>
      <c r="AY6" s="154">
        <f t="shared" si="18"/>
        <v>0</v>
      </c>
      <c r="AZ6" s="154">
        <f t="shared" si="10"/>
        <v>0</v>
      </c>
      <c r="BA6" s="154">
        <f t="shared" si="10"/>
        <v>0</v>
      </c>
      <c r="BB6" s="154">
        <f t="shared" si="10"/>
        <v>0</v>
      </c>
      <c r="BC6" s="154">
        <f t="shared" si="10"/>
        <v>0</v>
      </c>
      <c r="BD6" s="154" t="str">
        <f>+_xlfn.XLOOKUP(BE6,W:W,H:H)</f>
        <v>Jordania</v>
      </c>
      <c r="BE6" s="171">
        <f>+_xlfn.MAXIFS(W:W,Y:Y,AW6)</f>
        <v>2.9703000001587307</v>
      </c>
      <c r="BF6" s="172">
        <f>+IF(AY6&gt;0,AX6,0)*2</f>
        <v>0</v>
      </c>
      <c r="BH6">
        <v>3</v>
      </c>
      <c r="BI6" t="str">
        <f t="shared" si="11"/>
        <v>Corea del Sur</v>
      </c>
      <c r="BJ6" s="6">
        <f>+COUNTIFS('Inputs summary'!I$2:I$106,BI6)</f>
        <v>2</v>
      </c>
      <c r="BK6" s="6">
        <f>+COUNTIFS('Inputs summary'!J$2:K$106,BI6)</f>
        <v>0</v>
      </c>
      <c r="BL6" s="6">
        <f>+COUNTIFS('Inputs summary'!L$2:L$106,BI6)</f>
        <v>1</v>
      </c>
      <c r="BM6" s="6">
        <f t="shared" si="19"/>
        <v>4</v>
      </c>
      <c r="BN6" s="6">
        <f>+SUMIF('Inputs summary'!$B$1:$B$106,$BI6,'Inputs summary'!$C$1:$C$106)+SUMIF('Inputs summary'!$E$1:$E$106,$BI6,'Inputs summary'!$D$1:$D$106)</f>
        <v>9</v>
      </c>
      <c r="BO6" s="6">
        <f>+SUMIF('Inputs summary'!$B$1:$B$106,$BI6,'Inputs summary'!$D$1:$D$106)+SUMIF('Inputs summary'!$E$1:$E$106,$BI6,'Inputs summary'!$C$1:$C$106)</f>
        <v>5</v>
      </c>
      <c r="BP6" s="166">
        <f t="shared" si="12"/>
        <v>6.0490225000000004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0</v>
      </c>
      <c r="S7" s="6">
        <f>+COUNTIFS('Inputs summary'!L:L,$H7)</f>
        <v>3</v>
      </c>
      <c r="T7" s="6">
        <f t="shared" si="14"/>
        <v>-4</v>
      </c>
      <c r="U7" s="6">
        <f>+SUMIF('Inputs summary'!B:B,H7,'Inputs summary'!C:C)+SUMIF('Inputs summary'!E:E,H7,'Inputs summary'!D:D)</f>
        <v>5</v>
      </c>
      <c r="V7" s="6">
        <f>+SUMIF('Inputs summary'!B:B,H7,'Inputs summary'!D:D)+SUMIF('Inputs summary'!E:E,H7,'Inputs summary'!C:C)</f>
        <v>9</v>
      </c>
      <c r="W7" s="159">
        <f t="shared" si="15"/>
        <v>102.9605000002439</v>
      </c>
      <c r="X7" s="173">
        <f t="shared" si="16"/>
        <v>1</v>
      </c>
      <c r="Y7" s="167">
        <f t="shared" si="7"/>
        <v>3</v>
      </c>
      <c r="Z7" s="173">
        <f t="shared" si="17"/>
        <v>102.96050033357723</v>
      </c>
      <c r="AA7" s="173">
        <f>+_xlfn.XLOOKUP(H7,'Ranking FIFA'!B:B,'Ranking FIFA'!A:A,"--",0)</f>
        <v>41</v>
      </c>
      <c r="AF7" t="str">
        <f>+'Quarter, Semis &amp; Final'!K19</f>
        <v>Portugal</v>
      </c>
      <c r="AG7" t="str">
        <f>+'Quarter, Semis &amp; Final'!E9</f>
        <v>Belgica</v>
      </c>
      <c r="AH7" t="str">
        <f>+'Round of 32 &amp; Round of 16'!S13</f>
        <v>Japon</v>
      </c>
      <c r="AI7" t="str">
        <f>+'Round of 32 &amp; Round of 16'!E9</f>
        <v>Estados Unidos</v>
      </c>
      <c r="AP7" s="457">
        <f>+_xlfn.XLOOKUP(AQ7,'Ranking FIFA'!B:B,'Ranking FIFA'!A:A,"--",0)</f>
        <v>4</v>
      </c>
      <c r="AQ7" t="s">
        <v>51</v>
      </c>
      <c r="AR7" s="6">
        <v>1</v>
      </c>
      <c r="AS7" s="6">
        <v>1</v>
      </c>
      <c r="AT7" s="169">
        <f t="shared" si="8"/>
        <v>1111</v>
      </c>
      <c r="AU7" s="166">
        <f t="shared" si="9"/>
        <v>418.10190000249997</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0</v>
      </c>
      <c r="BL7" s="6">
        <f>+COUNTIFS('Inputs summary'!L$2:L$106,BI7)</f>
        <v>2</v>
      </c>
      <c r="BM7" s="6">
        <f t="shared" si="19"/>
        <v>-3</v>
      </c>
      <c r="BN7" s="6">
        <f>+SUMIF('Inputs summary'!$B$1:$B$106,$BI7,'Inputs summary'!$C$1:$C$106)+SUMIF('Inputs summary'!$E$1:$E$106,$BI7,'Inputs summary'!$D$1:$D$106)</f>
        <v>4</v>
      </c>
      <c r="BO7" s="6">
        <f>+SUMIF('Inputs summary'!$B$1:$B$106,$BI7,'Inputs summary'!$D$1:$D$106)+SUMIF('Inputs summary'!$E$1:$E$106,$BI7,'Inputs summary'!$C$1:$C$106)</f>
        <v>7</v>
      </c>
      <c r="BP7" s="166">
        <f t="shared" si="12"/>
        <v>2.9740341000000003</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107.02060000033333</v>
      </c>
      <c r="X8" s="173">
        <f t="shared" si="16"/>
        <v>1</v>
      </c>
      <c r="Y8" s="167">
        <f t="shared" si="7"/>
        <v>3</v>
      </c>
      <c r="Z8" s="173">
        <f t="shared" si="17"/>
        <v>107.02060033366666</v>
      </c>
      <c r="AA8" s="173">
        <f>+_xlfn.XLOOKUP(H8,'Ranking FIFA'!B:B,'Ranking FIFA'!A:A,"--",0)</f>
        <v>30</v>
      </c>
      <c r="AG8" t="str">
        <f>+'Quarter, Semis &amp; Final'!H5</f>
        <v>Marruecos</v>
      </c>
      <c r="AH8" t="str">
        <f>+'Round of 32 &amp; Round of 16'!P21</f>
        <v>Marruecos</v>
      </c>
      <c r="AI8" t="str">
        <f>+'Round of 32 &amp; Round of 16'!B13</f>
        <v>Japon</v>
      </c>
      <c r="AP8" s="457">
        <f>+_xlfn.XLOOKUP(AQ8,'Ranking FIFA'!B:B,'Ranking FIFA'!A:A,"--",0)</f>
        <v>5</v>
      </c>
      <c r="AQ8" t="s">
        <v>52</v>
      </c>
      <c r="AR8" s="6">
        <v>1</v>
      </c>
      <c r="AS8" s="6">
        <v>1</v>
      </c>
      <c r="AT8" s="169">
        <f t="shared" si="8"/>
        <v>2201111</v>
      </c>
      <c r="AU8" s="166">
        <f t="shared" si="9"/>
        <v>820.10150000199997</v>
      </c>
      <c r="BH8">
        <v>5</v>
      </c>
      <c r="BI8" t="str">
        <f t="shared" si="11"/>
        <v>Canada</v>
      </c>
      <c r="BJ8" s="6">
        <f>+COUNTIFS('Inputs summary'!I$2:I$106,BI8)</f>
        <v>2</v>
      </c>
      <c r="BK8" s="6">
        <f>+COUNTIFS('Inputs summary'!J$2:K$106,BI8)</f>
        <v>1</v>
      </c>
      <c r="BL8" s="6">
        <f>+COUNTIFS('Inputs summary'!L$2:L$106,BI8)</f>
        <v>0</v>
      </c>
      <c r="BM8" s="6">
        <f t="shared" si="19"/>
        <v>4</v>
      </c>
      <c r="BN8" s="6">
        <f>+SUMIF('Inputs summary'!$B$1:$B$106,$BI8,'Inputs summary'!$C$1:$C$106)+SUMIF('Inputs summary'!$E$1:$E$106,$BI8,'Inputs summary'!$D$1:$D$106)</f>
        <v>6</v>
      </c>
      <c r="BO8" s="6">
        <f>+SUMIF('Inputs summary'!$B$1:$B$106,$BI8,'Inputs summary'!$D$1:$D$106)+SUMIF('Inputs summary'!$E$1:$E$106,$BI8,'Inputs summary'!$C$1:$C$106)</f>
        <v>2</v>
      </c>
      <c r="BP8" s="166">
        <f t="shared" si="12"/>
        <v>8.0460329999999995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-2</v>
      </c>
      <c r="U9" s="6">
        <f>+SUMIF('Inputs summary'!B:B,H9,'Inputs summary'!C:C)+SUMIF('Inputs summary'!E:E,H9,'Inputs summary'!D:D)</f>
        <v>6</v>
      </c>
      <c r="V9" s="6">
        <f>+SUMIF('Inputs summary'!B:B,H9,'Inputs summary'!D:D)+SUMIF('Inputs summary'!E:E,H9,'Inputs summary'!C:C)</f>
        <v>8</v>
      </c>
      <c r="W9" s="159">
        <f t="shared" si="15"/>
        <v>102.98060000015386</v>
      </c>
      <c r="X9" s="173">
        <f t="shared" si="16"/>
        <v>1</v>
      </c>
      <c r="Y9" s="167">
        <f t="shared" si="7"/>
        <v>3</v>
      </c>
      <c r="Z9" s="173">
        <f t="shared" si="17"/>
        <v>102.98060033348719</v>
      </c>
      <c r="AA9" s="173">
        <f>+_xlfn.XLOOKUP(H9,'Ranking FIFA'!B:B,'Ranking FIFA'!A:A,"--",0)</f>
        <v>65</v>
      </c>
      <c r="AG9" t="str">
        <f>+'Quarter, Semis &amp; Final'!K5</f>
        <v>Inglaterra</v>
      </c>
      <c r="AH9" t="str">
        <f>+'Round of 32 &amp; Round of 16'!S21</f>
        <v>Senegal</v>
      </c>
      <c r="AI9" t="str">
        <f>+'Round of 32 &amp; Round of 16'!E13</f>
        <v>Brasil</v>
      </c>
      <c r="AP9" s="457">
        <f>+_xlfn.XLOOKUP(AQ9,'Ranking FIFA'!B:B,'Ranking FIFA'!A:A,"--",0)</f>
        <v>6</v>
      </c>
      <c r="AQ9" t="s">
        <v>53</v>
      </c>
      <c r="AR9" s="6">
        <v>1</v>
      </c>
      <c r="AS9" s="6">
        <v>1</v>
      </c>
      <c r="AT9" s="169">
        <f t="shared" si="8"/>
        <v>1</v>
      </c>
      <c r="AU9" s="166">
        <f t="shared" si="9"/>
        <v>105.02070000166665</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5</v>
      </c>
      <c r="BO9" s="6">
        <f>+SUMIF('Inputs summary'!$B$1:$B$106,$BI9,'Inputs summary'!$D$1:$D$106)+SUMIF('Inputs summary'!$E$1:$E$106,$BI9,'Inputs summary'!$C$1:$C$106)</f>
        <v>5</v>
      </c>
      <c r="BP9" s="166">
        <f t="shared" si="12"/>
        <v>3.0050365000000001</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-8</v>
      </c>
      <c r="U10" s="6">
        <f>+SUMIF('Inputs summary'!B:B,H10,'Inputs summary'!C:C)+SUMIF('Inputs summary'!E:E,H10,'Inputs summary'!D:D)</f>
        <v>0</v>
      </c>
      <c r="V10" s="6">
        <f>+SUMIF('Inputs summary'!B:B,H10,'Inputs summary'!D:D)+SUMIF('Inputs summary'!E:E,H10,'Inputs summary'!C:C)</f>
        <v>8</v>
      </c>
      <c r="W10" s="159">
        <f t="shared" si="15"/>
        <v>-7.9999999818181816E-2</v>
      </c>
      <c r="X10" s="173">
        <f t="shared" si="16"/>
        <v>0</v>
      </c>
      <c r="Y10" s="167">
        <f t="shared" si="7"/>
        <v>4</v>
      </c>
      <c r="Z10" s="173">
        <f t="shared" si="17"/>
        <v>-7.9999749818181823E-2</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54</v>
      </c>
      <c r="AR10" s="6">
        <v>1</v>
      </c>
      <c r="AS10" s="6">
        <v>1</v>
      </c>
      <c r="AT10" s="169">
        <f t="shared" si="8"/>
        <v>1</v>
      </c>
      <c r="AU10" s="166">
        <f t="shared" si="9"/>
        <v>104.00060000142858</v>
      </c>
      <c r="AW10" t="s">
        <v>291</v>
      </c>
      <c r="AX10" s="174">
        <f>+_xlfn.MINIFS(AU:AU,AS:AS,1)</f>
        <v>104.00060000142858</v>
      </c>
      <c r="BH10">
        <v>7</v>
      </c>
      <c r="BI10" t="str">
        <f t="shared" si="11"/>
        <v>Qatar</v>
      </c>
      <c r="BJ10" s="6">
        <f>+COUNTIFS('Inputs summary'!I$2:I$106,BI10)</f>
        <v>0</v>
      </c>
      <c r="BK10" s="6">
        <f>+COUNTIFS('Inputs summary'!J$2:K$106,BI10)</f>
        <v>0</v>
      </c>
      <c r="BL10" s="6">
        <f>+COUNTIFS('Inputs summary'!L$2:L$106,BI10)</f>
        <v>3</v>
      </c>
      <c r="BM10" s="6">
        <f t="shared" si="19"/>
        <v>-8</v>
      </c>
      <c r="BN10" s="6">
        <f>+SUMIF('Inputs summary'!$B$1:$B$106,$BI10,'Inputs summary'!$C$1:$C$106)+SUMIF('Inputs summary'!$E$1:$E$106,$BI10,'Inputs summary'!$D$1:$D$106)</f>
        <v>0</v>
      </c>
      <c r="BO10" s="6">
        <f>+SUMIF('Inputs summary'!$B$1:$B$106,$BI10,'Inputs summary'!$D$1:$D$106)+SUMIF('Inputs summary'!$E$1:$E$106,$BI10,'Inputs summary'!$C$1:$C$106)</f>
        <v>8</v>
      </c>
      <c r="BP10" s="166">
        <f t="shared" si="12"/>
        <v>-7.9954499999999998E-2</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107.03080000052631</v>
      </c>
      <c r="X11" s="173">
        <f t="shared" si="16"/>
        <v>1</v>
      </c>
      <c r="Y11" s="167">
        <f t="shared" si="7"/>
        <v>2</v>
      </c>
      <c r="Z11" s="173">
        <f t="shared" si="17"/>
        <v>107.03080050052631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313.04090000111114</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7</v>
      </c>
      <c r="BO11" s="6">
        <f>+SUMIF('Inputs summary'!$B$1:$B$106,$BI11,'Inputs summary'!$D$1:$D$106)+SUMIF('Inputs summary'!$E$1:$E$106,$BI11,'Inputs summary'!$C$1:$C$106)</f>
        <v>3</v>
      </c>
      <c r="BP11" s="166">
        <f t="shared" si="12"/>
        <v>8.047021899999999</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1</v>
      </c>
      <c r="R12" s="6">
        <f>+COUNTIFS('Inputs summary'!J:K,$H12)</f>
        <v>2</v>
      </c>
      <c r="S12" s="6">
        <f>+COUNTIFS('Inputs summary'!L:L,$H12)</f>
        <v>1</v>
      </c>
      <c r="T12" s="6">
        <f t="shared" si="14"/>
        <v>2</v>
      </c>
      <c r="U12" s="6">
        <f>+SUMIF('Inputs summary'!B:B,H12,'Inputs summary'!C:C)+SUMIF('Inputs summary'!E:E,H12,'Inputs summary'!D:D)</f>
        <v>7</v>
      </c>
      <c r="V12" s="6">
        <f>+SUMIF('Inputs summary'!B:B,H12,'Inputs summary'!D:D)+SUMIF('Inputs summary'!E:E,H12,'Inputs summary'!C:C)</f>
        <v>5</v>
      </c>
      <c r="W12" s="159">
        <f t="shared" si="15"/>
        <v>105.02070000166665</v>
      </c>
      <c r="X12" s="173">
        <f t="shared" si="16"/>
        <v>1</v>
      </c>
      <c r="Y12" s="167">
        <f t="shared" si="7"/>
        <v>1</v>
      </c>
      <c r="Z12" s="173">
        <f t="shared" si="17"/>
        <v>105.02070100166665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212.08150000099999</v>
      </c>
      <c r="BH12">
        <v>9</v>
      </c>
      <c r="BI12" t="str">
        <f t="shared" si="11"/>
        <v>Brasil</v>
      </c>
      <c r="BJ12" s="6">
        <f>+COUNTIFS('Inputs summary'!I$2:I$106,BI12)</f>
        <v>1</v>
      </c>
      <c r="BK12" s="6">
        <f>+COUNTIFS('Inputs summary'!J$2:K$106,BI12)</f>
        <v>2</v>
      </c>
      <c r="BL12" s="6">
        <f>+COUNTIFS('Inputs summary'!L$2:L$106,BI12)</f>
        <v>0</v>
      </c>
      <c r="BM12" s="6">
        <f t="shared" si="19"/>
        <v>3</v>
      </c>
      <c r="BN12" s="6">
        <f>+SUMIF('Inputs summary'!$B$1:$B$106,$BI12,'Inputs summary'!$C$1:$C$106)+SUMIF('Inputs summary'!$E$1:$E$106,$BI12,'Inputs summary'!$D$1:$D$106)</f>
        <v>6</v>
      </c>
      <c r="BO12" s="6">
        <f>+SUMIF('Inputs summary'!$B$1:$B$106,$BI12,'Inputs summary'!$D$1:$D$106)+SUMIF('Inputs summary'!$E$1:$E$106,$BI12,'Inputs summary'!$C$1:$C$106)</f>
        <v>3</v>
      </c>
      <c r="BP12" s="166">
        <f t="shared" si="12"/>
        <v>7.0360106</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2</v>
      </c>
      <c r="S13" s="6">
        <f>+COUNTIFS('Inputs summary'!L:L,$H13)</f>
        <v>1</v>
      </c>
      <c r="T13" s="6">
        <f t="shared" si="14"/>
        <v>2</v>
      </c>
      <c r="U13" s="6">
        <f>+SUMIF('Inputs summary'!B:B,H13,'Inputs summary'!C:C)+SUMIF('Inputs summary'!E:E,H13,'Inputs summary'!D:D)</f>
        <v>10</v>
      </c>
      <c r="V13" s="6">
        <f>+SUMIF('Inputs summary'!B:B,H13,'Inputs summary'!D:D)+SUMIF('Inputs summary'!E:E,H13,'Inputs summary'!C:C)</f>
        <v>8</v>
      </c>
      <c r="W13" s="159">
        <f t="shared" si="15"/>
        <v>311.02100000124994</v>
      </c>
      <c r="X13" s="173">
        <f t="shared" si="16"/>
        <v>111</v>
      </c>
      <c r="Y13" s="167">
        <f t="shared" si="7"/>
        <v>2</v>
      </c>
      <c r="Z13" s="173">
        <f t="shared" si="17"/>
        <v>311.02100050124994</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102.97040000090909</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5</v>
      </c>
      <c r="BO13" s="6">
        <f>+SUMIF('Inputs summary'!$B$1:$B$106,$BI13,'Inputs summary'!$D$1:$D$106)+SUMIF('Inputs summary'!$E$1:$E$106,$BI13,'Inputs summary'!$C$1:$C$106)</f>
        <v>2</v>
      </c>
      <c r="BP13" s="166">
        <f t="shared" si="12"/>
        <v>8.0350207999999999</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2</v>
      </c>
      <c r="V14" s="6">
        <f>+SUMIF('Inputs summary'!B:B,H14,'Inputs summary'!D:D)+SUMIF('Inputs summary'!E:E,H14,'Inputs summary'!C:C)</f>
        <v>10</v>
      </c>
      <c r="W14" s="159">
        <f t="shared" si="15"/>
        <v>-7.9799999879518066E-2</v>
      </c>
      <c r="X14" s="173">
        <f t="shared" si="16"/>
        <v>0</v>
      </c>
      <c r="Y14" s="167">
        <f t="shared" si="7"/>
        <v>4</v>
      </c>
      <c r="Z14" s="173">
        <f t="shared" si="17"/>
        <v>-7.9799749879518073E-2</v>
      </c>
      <c r="AA14" s="173">
        <f>+_xlfn.XLOOKUP(H14,'Ranking FIFA'!B:B,'Ranking FIFA'!A:A,"--",0)</f>
        <v>83</v>
      </c>
      <c r="AH14" t="str">
        <f>+'Round of 32 &amp; Round of 16'!V13</f>
        <v>Turquia</v>
      </c>
      <c r="AI14" t="str">
        <f>+'Round of 32 &amp; Round of 16'!B25</f>
        <v>Costa de Marfil</v>
      </c>
      <c r="AP14" s="457">
        <f>+_xlfn.XLOOKUP(AQ14,'Ranking FIFA'!B:B,'Ranking FIFA'!A:A,"--",0)</f>
        <v>17</v>
      </c>
      <c r="AQ14" t="s">
        <v>58</v>
      </c>
      <c r="AR14" s="6">
        <v>1</v>
      </c>
      <c r="AS14" s="6">
        <v>2</v>
      </c>
      <c r="AT14" s="169">
        <f t="shared" si="8"/>
        <v>1</v>
      </c>
      <c r="AU14" s="166">
        <f t="shared" si="9"/>
        <v>106.02080000058822</v>
      </c>
      <c r="AW14" t="s">
        <v>291</v>
      </c>
      <c r="AX14" s="174">
        <f>+_xlfn.MINIFS(AU:AU,AS:AS,2)</f>
        <v>102.97040000090909</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2</v>
      </c>
      <c r="BO14" s="6">
        <f>+SUMIF('Inputs summary'!$B$1:$B$106,$BI14,'Inputs summary'!$D$1:$D$106)+SUMIF('Inputs summary'!$E$1:$E$106,$BI14,'Inputs summary'!$C$1:$C$106)</f>
        <v>10</v>
      </c>
      <c r="BP14" s="166">
        <f t="shared" si="12"/>
        <v>-7.7951699999999999E-2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1</v>
      </c>
      <c r="U15" s="6">
        <f>+SUMIF('Inputs summary'!B:B,H15,'Inputs summary'!C:C)+SUMIF('Inputs summary'!E:E,H15,'Inputs summary'!D:D)</f>
        <v>5</v>
      </c>
      <c r="V15" s="6">
        <f>+SUMIF('Inputs summary'!B:B,H15,'Inputs summary'!D:D)+SUMIF('Inputs summary'!E:E,H15,'Inputs summary'!C:C)</f>
        <v>4</v>
      </c>
      <c r="W15" s="159">
        <f t="shared" si="15"/>
        <v>104.01050000023257</v>
      </c>
      <c r="X15" s="173">
        <f t="shared" si="16"/>
        <v>1</v>
      </c>
      <c r="Y15" s="167">
        <f t="shared" si="7"/>
        <v>3</v>
      </c>
      <c r="Z15" s="173">
        <f t="shared" si="17"/>
        <v>104.0105003335659</v>
      </c>
      <c r="AA15" s="173">
        <f>+_xlfn.XLOOKUP(H15,'Ranking FIFA'!B:B,'Ranking FIFA'!A:A,"--",0)</f>
        <v>43</v>
      </c>
      <c r="AH15" t="str">
        <f>+'Round of 32 &amp; Round of 16'!Y13</f>
        <v>Belgica</v>
      </c>
      <c r="AI15" t="str">
        <f>+'Round of 32 &amp; Round of 16'!E25</f>
        <v>Senegal</v>
      </c>
      <c r="AP15" s="457">
        <f>+_xlfn.XLOOKUP(AQ15,'Ranking FIFA'!B:B,'Ranking FIFA'!A:A,"--",0)</f>
        <v>8</v>
      </c>
      <c r="AQ15" t="s">
        <v>59</v>
      </c>
      <c r="AR15" s="6">
        <v>2</v>
      </c>
      <c r="AT15" s="169">
        <f t="shared" si="8"/>
        <v>111</v>
      </c>
      <c r="AU15" s="166">
        <f t="shared" si="9"/>
        <v>311.02100000124994</v>
      </c>
      <c r="AW15" t="s">
        <v>851</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2</v>
      </c>
      <c r="BN15" s="6">
        <f>+SUMIF('Inputs summary'!$B$1:$B$106,$BI15,'Inputs summary'!$C$1:$C$106)+SUMIF('Inputs summary'!$E$1:$E$106,$BI15,'Inputs summary'!$D$1:$D$106)</f>
        <v>4</v>
      </c>
      <c r="BO15" s="6">
        <f>+SUMIF('Inputs summary'!$B$1:$B$106,$BI15,'Inputs summary'!$D$1:$D$106)+SUMIF('Inputs summary'!$E$1:$E$106,$BI15,'Inputs summary'!$C$1:$C$106)</f>
        <v>2</v>
      </c>
      <c r="BP15" s="166">
        <f t="shared" si="12"/>
        <v>5.0240342999999985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0</v>
      </c>
      <c r="S16" s="6">
        <f>+COUNTIFS('Inputs summary'!L:L,$H16)</f>
        <v>3</v>
      </c>
      <c r="T16" s="6">
        <f t="shared" si="14"/>
        <v>-3</v>
      </c>
      <c r="U16" s="6">
        <f>+SUMIF('Inputs summary'!B:B,H16,'Inputs summary'!C:C)+SUMIF('Inputs summary'!E:E,H16,'Inputs summary'!D:D)</f>
        <v>4</v>
      </c>
      <c r="V16" s="6">
        <f>+SUMIF('Inputs summary'!B:B,H16,'Inputs summary'!D:D)+SUMIF('Inputs summary'!E:E,H16,'Inputs summary'!C:C)</f>
        <v>7</v>
      </c>
      <c r="W16" s="159">
        <f t="shared" si="15"/>
        <v>102.97040000062499</v>
      </c>
      <c r="X16" s="173">
        <f t="shared" si="16"/>
        <v>1</v>
      </c>
      <c r="Y16" s="167">
        <f t="shared" si="7"/>
        <v>2</v>
      </c>
      <c r="Z16" s="173">
        <f t="shared" si="17"/>
        <v>102.97040050062499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210.04070000076922</v>
      </c>
      <c r="BH16">
        <v>13</v>
      </c>
      <c r="BI16" t="str">
        <f t="shared" si="11"/>
        <v>Estados Unidos</v>
      </c>
      <c r="BJ16" s="6">
        <f>+COUNTIFS('Inputs summary'!I$2:I$106,BI16)</f>
        <v>1</v>
      </c>
      <c r="BK16" s="6">
        <f>+COUNTIFS('Inputs summary'!J$2:K$106,BI16)</f>
        <v>0</v>
      </c>
      <c r="BL16" s="6">
        <f>+COUNTIFS('Inputs summary'!L$2:L$106,BI16)</f>
        <v>2</v>
      </c>
      <c r="BM16" s="6">
        <f t="shared" si="19"/>
        <v>-1</v>
      </c>
      <c r="BN16" s="6">
        <f>+SUMIF('Inputs summary'!$B$1:$B$106,$BI16,'Inputs summary'!$C$1:$C$106)+SUMIF('Inputs summary'!$E$1:$E$106,$BI16,'Inputs summary'!$D$1:$D$106)</f>
        <v>2</v>
      </c>
      <c r="BO16" s="6">
        <f>+SUMIF('Inputs summary'!$B$1:$B$106,$BI16,'Inputs summary'!$D$1:$D$106)+SUMIF('Inputs summary'!$E$1:$E$106,$BI16,'Inputs summary'!$C$1:$C$106)</f>
        <v>3</v>
      </c>
      <c r="BP16" s="166">
        <f t="shared" si="12"/>
        <v>2.9920216000000002</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4</v>
      </c>
      <c r="V17" s="6">
        <f>+SUMIF('Inputs summary'!B:B,H17,'Inputs summary'!D:D)+SUMIF('Inputs summary'!E:E,H17,'Inputs summary'!C:C)</f>
        <v>4</v>
      </c>
      <c r="W17" s="159">
        <f t="shared" si="15"/>
        <v>105.00040000025</v>
      </c>
      <c r="X17" s="173">
        <f t="shared" si="16"/>
        <v>1</v>
      </c>
      <c r="Y17" s="167">
        <f t="shared" si="7"/>
        <v>2</v>
      </c>
      <c r="Z17" s="173">
        <f t="shared" si="17"/>
        <v>105.00040050025</v>
      </c>
      <c r="AA17" s="173">
        <f>+_xlfn.XLOOKUP(H17,'Ranking FIFA'!B:B,'Ranking FIFA'!A:A,"--",0)</f>
        <v>40</v>
      </c>
      <c r="AH17" t="str">
        <f>+'Round of 32 &amp; Round of 16'!Y21</f>
        <v>Iran</v>
      </c>
      <c r="AI17" t="str">
        <f>+'Round of 32 &amp; Round of 16'!E29</f>
        <v>Escocia</v>
      </c>
      <c r="AP17" s="457">
        <f>+_xlfn.XLOOKUP(AQ17,'Ranking FIFA'!B:B,'Ranking FIFA'!A:A,"--",0)</f>
        <v>14</v>
      </c>
      <c r="AQ17" t="s">
        <v>61</v>
      </c>
      <c r="AR17" s="6">
        <v>2</v>
      </c>
      <c r="AT17" s="169">
        <f t="shared" si="8"/>
        <v>11</v>
      </c>
      <c r="AU17" s="166">
        <f t="shared" si="9"/>
        <v>209.02100000071431</v>
      </c>
      <c r="AY17" s="175" t="str">
        <f>+IF(AY11="-",IF(AY15="-","-",AY15),IF(AY15="-",AY11,IF(AX11&lt;=AX15,AY11,AY15)))</f>
        <v>Paises Bajos</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3</v>
      </c>
      <c r="BO17" s="6">
        <f>+SUMIF('Inputs summary'!$B$1:$B$106,$BI17,'Inputs summary'!$D$1:$D$106)+SUMIF('Inputs summary'!$E$1:$E$106,$BI17,'Inputs summary'!$C$1:$C$106)</f>
        <v>3</v>
      </c>
      <c r="BP17" s="166">
        <f t="shared" si="12"/>
        <v>5.0030239999999999</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2</v>
      </c>
      <c r="V18" s="6">
        <f>+SUMIF('Inputs summary'!B:B,H18,'Inputs summary'!D:D)+SUMIF('Inputs summary'!E:E,H18,'Inputs summary'!C:C)</f>
        <v>4</v>
      </c>
      <c r="W18" s="159">
        <f t="shared" si="15"/>
        <v>0.98020000037037036</v>
      </c>
      <c r="X18" s="173">
        <f t="shared" si="16"/>
        <v>0</v>
      </c>
      <c r="Y18" s="167">
        <f t="shared" si="7"/>
        <v>3</v>
      </c>
      <c r="Z18" s="173">
        <f t="shared" si="17"/>
        <v>0.98020033370370374</v>
      </c>
      <c r="AA18" s="173">
        <f>+_xlfn.XLOOKUP(H18,'Ranking FIFA'!B:B,'Ranking FIFA'!A:A,"--",0)</f>
        <v>27</v>
      </c>
      <c r="AH18" t="str">
        <f>+'Round of 32 &amp; Round of 16'!V29</f>
        <v>Ecuador</v>
      </c>
      <c r="AI18" t="str">
        <f>+'Round of 32 &amp; Round of 16'!B33</f>
        <v>Inglaterra</v>
      </c>
      <c r="AP18" s="457">
        <f>+_xlfn.XLOOKUP(AQ18,'Ranking FIFA'!B:B,'Ranking FIFA'!A:A,"--",0)</f>
        <v>15</v>
      </c>
      <c r="AQ18" t="s">
        <v>62</v>
      </c>
      <c r="AR18" s="6">
        <v>2</v>
      </c>
      <c r="AT18" s="169">
        <f t="shared" si="8"/>
        <v>11</v>
      </c>
      <c r="AU18" s="166">
        <f t="shared" si="9"/>
        <v>212.04110000066666</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1.9820327</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4</v>
      </c>
      <c r="R19" s="6">
        <f>+COUNTIFS('Inputs summary'!J:K,$H19)</f>
        <v>1</v>
      </c>
      <c r="S19" s="6">
        <f>+COUNTIFS('Inputs summary'!L:L,$H19)</f>
        <v>0</v>
      </c>
      <c r="T19" s="6">
        <f t="shared" si="14"/>
        <v>5</v>
      </c>
      <c r="U19" s="6">
        <f>+SUMIF('Inputs summary'!B:B,H19,'Inputs summary'!C:C)+SUMIF('Inputs summary'!E:E,H19,'Inputs summary'!D:D)</f>
        <v>10</v>
      </c>
      <c r="V19" s="6">
        <f>+SUMIF('Inputs summary'!B:B,H19,'Inputs summary'!D:D)+SUMIF('Inputs summary'!E:E,H19,'Inputs summary'!C:C)</f>
        <v>5</v>
      </c>
      <c r="W19" s="159">
        <f t="shared" si="15"/>
        <v>213.05100000045456</v>
      </c>
      <c r="X19" s="173">
        <f t="shared" si="16"/>
        <v>11</v>
      </c>
      <c r="Y19" s="167">
        <f t="shared" si="7"/>
        <v>2</v>
      </c>
      <c r="Z19" s="173">
        <f t="shared" si="17"/>
        <v>213.05100050045456</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v>
      </c>
      <c r="AU19" s="166">
        <f t="shared" si="9"/>
        <v>102.97040000062499</v>
      </c>
      <c r="BH19">
        <v>16</v>
      </c>
      <c r="BI19" t="str">
        <f t="shared" si="11"/>
        <v>Turquia</v>
      </c>
      <c r="BJ19" s="6">
        <f>+COUNTIFS('Inputs summary'!I$2:I$106,BI19)</f>
        <v>3</v>
      </c>
      <c r="BK19" s="6">
        <f>+COUNTIFS('Inputs summary'!J$2:K$106,BI19)</f>
        <v>0</v>
      </c>
      <c r="BL19" s="6">
        <f>+COUNTIFS('Inputs summary'!L$2:L$106,BI19)</f>
        <v>0</v>
      </c>
      <c r="BM19" s="6">
        <f t="shared" si="19"/>
        <v>3</v>
      </c>
      <c r="BN19" s="6">
        <f>+SUMIF('Inputs summary'!$B$1:$B$106,$BI19,'Inputs summary'!$C$1:$C$106)+SUMIF('Inputs summary'!$E$1:$E$106,$BI19,'Inputs summary'!$D$1:$D$106)</f>
        <v>6</v>
      </c>
      <c r="BO19" s="6">
        <f>+SUMIF('Inputs summary'!$B$1:$B$106,$BI19,'Inputs summary'!$D$1:$D$106)+SUMIF('Inputs summary'!$E$1:$E$106,$BI19,'Inputs summary'!$C$1:$C$106)</f>
        <v>3</v>
      </c>
      <c r="BP19" s="166">
        <f t="shared" si="12"/>
        <v>9.0360221999999997</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8</v>
      </c>
      <c r="U20" s="6">
        <f>+SUMIF('Inputs summary'!B:B,H20,'Inputs summary'!C:C)+SUMIF('Inputs summary'!E:E,H20,'Inputs summary'!D:D)</f>
        <v>15</v>
      </c>
      <c r="V20" s="6">
        <f>+SUMIF('Inputs summary'!B:B,H20,'Inputs summary'!D:D)+SUMIF('Inputs summary'!E:E,H20,'Inputs summary'!C:C)</f>
        <v>7</v>
      </c>
      <c r="W20" s="159">
        <f t="shared" si="15"/>
        <v>212.08150000099999</v>
      </c>
      <c r="X20" s="173">
        <f t="shared" si="16"/>
        <v>11</v>
      </c>
      <c r="Y20" s="167">
        <f t="shared" si="7"/>
        <v>1</v>
      </c>
      <c r="Z20" s="173">
        <f t="shared" si="17"/>
        <v>212.08150100099999</v>
      </c>
      <c r="AA20" s="173">
        <f>+_xlfn.XLOOKUP(H20,'Ranking FIFA'!B:B,'Ranking FIFA'!A:A,"--",0)</f>
        <v>10</v>
      </c>
      <c r="AI20" t="str">
        <f>+'Round of 32 &amp; Round of 16'!H5</f>
        <v>Turquia</v>
      </c>
      <c r="AP20" s="457">
        <f>+_xlfn.XLOOKUP(AQ20,'Ranking FIFA'!B:B,'Ranking FIFA'!A:A,"--",0)</f>
        <v>18</v>
      </c>
      <c r="AQ20" t="s">
        <v>64</v>
      </c>
      <c r="AR20" s="6">
        <v>2</v>
      </c>
      <c r="AT20" s="169">
        <f t="shared" si="8"/>
        <v>111</v>
      </c>
      <c r="AU20" s="166">
        <f t="shared" si="9"/>
        <v>315.06120000055552</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9</v>
      </c>
      <c r="BO20" s="6">
        <f>+SUMIF('Inputs summary'!$B$1:$B$106,$BI20,'Inputs summary'!$D$1:$D$106)+SUMIF('Inputs summary'!$E$1:$E$106,$BI20,'Inputs summary'!$C$1:$C$106)</f>
        <v>2</v>
      </c>
      <c r="BP20" s="166">
        <f t="shared" si="12"/>
        <v>9.0790109999999995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-4</v>
      </c>
      <c r="U21" s="6">
        <f>+SUMIF('Inputs summary'!B:B,H21,'Inputs summary'!C:C)+SUMIF('Inputs summary'!E:E,H21,'Inputs summary'!D:D)</f>
        <v>3</v>
      </c>
      <c r="V21" s="6">
        <f>+SUMIF('Inputs summary'!B:B,H21,'Inputs summary'!D:D)+SUMIF('Inputs summary'!E:E,H21,'Inputs summary'!C:C)</f>
        <v>7</v>
      </c>
      <c r="W21" s="159">
        <f t="shared" si="15"/>
        <v>0.96030000012195116</v>
      </c>
      <c r="X21" s="173">
        <f t="shared" si="16"/>
        <v>0</v>
      </c>
      <c r="Y21" s="167">
        <f t="shared" si="7"/>
        <v>4</v>
      </c>
      <c r="Z21" s="173">
        <f t="shared" si="17"/>
        <v>0.96030025012195119</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107.03080000052631</v>
      </c>
      <c r="AW21" t="s">
        <v>32</v>
      </c>
      <c r="BH21">
        <v>18</v>
      </c>
      <c r="BI21" t="str">
        <f t="shared" si="11"/>
        <v>Curazao</v>
      </c>
      <c r="BJ21" s="6">
        <f>+COUNTIFS('Inputs summary'!I$2:I$106,BI21)</f>
        <v>0</v>
      </c>
      <c r="BK21" s="6">
        <f>+COUNTIFS('Inputs summary'!J$2:K$106,BI21)</f>
        <v>1</v>
      </c>
      <c r="BL21" s="6">
        <f>+COUNTIFS('Inputs summary'!L$2:L$106,BI21)</f>
        <v>2</v>
      </c>
      <c r="BM21" s="6">
        <f t="shared" si="19"/>
        <v>-4</v>
      </c>
      <c r="BN21" s="6">
        <f>+SUMIF('Inputs summary'!$B$1:$B$106,$BI21,'Inputs summary'!$C$1:$C$106)+SUMIF('Inputs summary'!$E$1:$E$106,$BI21,'Inputs summary'!$D$1:$D$106)</f>
        <v>3</v>
      </c>
      <c r="BO21" s="6">
        <f>+SUMIF('Inputs summary'!$B$1:$B$106,$BI21,'Inputs summary'!$D$1:$D$106)+SUMIF('Inputs summary'!$E$1:$E$106,$BI21,'Inputs summary'!$C$1:$C$106)</f>
        <v>7</v>
      </c>
      <c r="BP21" s="166">
        <f t="shared" si="12"/>
        <v>1.9630481999999998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2</v>
      </c>
      <c r="V22" s="6">
        <f>+SUMIF('Inputs summary'!B:B,H22,'Inputs summary'!D:D)+SUMIF('Inputs summary'!E:E,H22,'Inputs summary'!C:C)</f>
        <v>4</v>
      </c>
      <c r="W22" s="159">
        <f t="shared" si="15"/>
        <v>103.98020000029413</v>
      </c>
      <c r="X22" s="173">
        <f t="shared" si="16"/>
        <v>1</v>
      </c>
      <c r="Y22" s="167">
        <f t="shared" si="7"/>
        <v>3</v>
      </c>
      <c r="Z22" s="173">
        <f t="shared" si="17"/>
        <v>103.98020033362747</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213.05100000045456</v>
      </c>
      <c r="AW22">
        <f>+SMALL($Z$3:$Z$51,1)</f>
        <v>-7.9999749818181823E-2</v>
      </c>
      <c r="AX22" t="str">
        <f>+_xlfn.XLOOKUP(AW22,Z:Z,H:H,"-",0)</f>
        <v>Qatar</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2</v>
      </c>
      <c r="BO22" s="6">
        <f>+SUMIF('Inputs summary'!$B$1:$B$106,$BI22,'Inputs summary'!$D$1:$D$106)+SUMIF('Inputs summary'!$E$1:$E$106,$BI22,'Inputs summary'!$C$1:$C$106)</f>
        <v>3</v>
      </c>
      <c r="BP22" s="166">
        <f t="shared" si="12"/>
        <v>4.9920333999999995</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0</v>
      </c>
      <c r="S23" s="6">
        <f>+COUNTIFS('Inputs summary'!L:L,$H23)</f>
        <v>3</v>
      </c>
      <c r="T23" s="6">
        <f t="shared" si="14"/>
        <v>-3</v>
      </c>
      <c r="U23" s="6">
        <f>+SUMIF('Inputs summary'!B:B,H23,'Inputs summary'!C:C)+SUMIF('Inputs summary'!E:E,H23,'Inputs summary'!D:D)</f>
        <v>6</v>
      </c>
      <c r="V23" s="6">
        <f>+SUMIF('Inputs summary'!B:B,H23,'Inputs summary'!D:D)+SUMIF('Inputs summary'!E:E,H23,'Inputs summary'!C:C)</f>
        <v>9</v>
      </c>
      <c r="W23" s="159">
        <f t="shared" si="15"/>
        <v>205.97060000043479</v>
      </c>
      <c r="X23" s="173">
        <f t="shared" si="16"/>
        <v>11</v>
      </c>
      <c r="Y23" s="167">
        <f t="shared" si="7"/>
        <v>2</v>
      </c>
      <c r="Z23" s="173">
        <f t="shared" si="17"/>
        <v>205.97060050043478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205.97060000043479</v>
      </c>
      <c r="BH23">
        <v>20</v>
      </c>
      <c r="BI23" t="str">
        <f t="shared" si="11"/>
        <v>Ecuador</v>
      </c>
      <c r="BJ23" s="6">
        <f>+COUNTIFS('Inputs summary'!I$2:I$106,BI23)</f>
        <v>1</v>
      </c>
      <c r="BK23" s="6">
        <f>+COUNTIFS('Inputs summary'!J$2:K$106,BI23)</f>
        <v>0</v>
      </c>
      <c r="BL23" s="6">
        <f>+COUNTIFS('Inputs summary'!L$2:L$106,BI23)</f>
        <v>2</v>
      </c>
      <c r="BM23" s="6">
        <f t="shared" si="19"/>
        <v>-2</v>
      </c>
      <c r="BN23" s="6">
        <f>+SUMIF('Inputs summary'!$B$1:$B$106,$BI23,'Inputs summary'!$C$1:$C$106)+SUMIF('Inputs summary'!$E$1:$E$106,$BI23,'Inputs summary'!$D$1:$D$106)</f>
        <v>3</v>
      </c>
      <c r="BO23" s="6">
        <f>+SUMIF('Inputs summary'!$B$1:$B$106,$BI23,'Inputs summary'!$D$1:$D$106)+SUMIF('Inputs summary'!$E$1:$E$106,$BI23,'Inputs summary'!$C$1:$C$106)</f>
        <v>5</v>
      </c>
      <c r="BP23" s="166">
        <f t="shared" si="12"/>
        <v>2.9830223</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1</v>
      </c>
      <c r="R24" s="6">
        <f>+COUNTIFS('Inputs summary'!J:K,$H24)</f>
        <v>1</v>
      </c>
      <c r="S24" s="6">
        <f>+COUNTIFS('Inputs summary'!L:L,$H24)</f>
        <v>2</v>
      </c>
      <c r="T24" s="6">
        <f t="shared" si="14"/>
        <v>0</v>
      </c>
      <c r="U24" s="6">
        <f>+SUMIF('Inputs summary'!B:B,H24,'Inputs summary'!C:C)+SUMIF('Inputs summary'!E:E,H24,'Inputs summary'!D:D)</f>
        <v>6</v>
      </c>
      <c r="V24" s="6">
        <f>+SUMIF('Inputs summary'!B:B,H24,'Inputs summary'!D:D)+SUMIF('Inputs summary'!E:E,H24,'Inputs summary'!C:C)</f>
        <v>6</v>
      </c>
      <c r="W24" s="159">
        <f t="shared" si="15"/>
        <v>104.00060000142858</v>
      </c>
      <c r="X24" s="173">
        <f t="shared" si="16"/>
        <v>1</v>
      </c>
      <c r="Y24" s="167">
        <f t="shared" si="7"/>
        <v>1</v>
      </c>
      <c r="Z24" s="173">
        <f t="shared" si="17"/>
        <v>104.00060100142858</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209.05120000040003</v>
      </c>
      <c r="BH24">
        <v>21</v>
      </c>
      <c r="BI24" t="str">
        <f t="shared" si="11"/>
        <v>Paises Bajos</v>
      </c>
      <c r="BJ24" s="6">
        <f>+COUNTIFS('Inputs summary'!I$2:I$106,BI24)</f>
        <v>1</v>
      </c>
      <c r="BK24" s="6">
        <f>+COUNTIFS('Inputs summary'!J$2:K$106,BI24)</f>
        <v>1</v>
      </c>
      <c r="BL24" s="6">
        <f>+COUNTIFS('Inputs summary'!L$2:L$106,BI24)</f>
        <v>1</v>
      </c>
      <c r="BM24" s="6">
        <f t="shared" si="19"/>
        <v>1</v>
      </c>
      <c r="BN24" s="6">
        <f>+SUMIF('Inputs summary'!$B$1:$B$106,$BI24,'Inputs summary'!$C$1:$C$106)+SUMIF('Inputs summary'!$E$1:$E$106,$BI24,'Inputs summary'!$D$1:$D$106)</f>
        <v>5</v>
      </c>
      <c r="BO24" s="6">
        <f>+SUMIF('Inputs summary'!$B$1:$B$106,$BI24,'Inputs summary'!$D$1:$D$106)+SUMIF('Inputs summary'!$E$1:$E$106,$BI24,'Inputs summary'!$C$1:$C$106)</f>
        <v>4</v>
      </c>
      <c r="BP24" s="166">
        <f t="shared" si="12"/>
        <v>5.0150106999999995</v>
      </c>
    </row>
    <row r="25" spans="7:68" x14ac:dyDescent="0.2">
      <c r="G25">
        <v>22</v>
      </c>
      <c r="H25" t="str">
        <f>+'Groups Stage'!O49</f>
        <v>Japon</v>
      </c>
      <c r="I25" s="6">
        <f t="shared" si="0"/>
        <v>0</v>
      </c>
      <c r="J25" s="6">
        <f t="shared" si="1"/>
        <v>0</v>
      </c>
      <c r="K25" s="6">
        <f t="shared" si="2"/>
        <v>0</v>
      </c>
      <c r="L25" s="6">
        <f t="shared" si="3"/>
        <v>0</v>
      </c>
      <c r="M25" s="6">
        <f t="shared" si="4"/>
        <v>1</v>
      </c>
      <c r="N25" s="6">
        <f t="shared" si="5"/>
        <v>1</v>
      </c>
      <c r="O25" s="6">
        <f t="shared" si="6"/>
        <v>1</v>
      </c>
      <c r="P25" s="6">
        <f t="shared" si="13"/>
        <v>3</v>
      </c>
      <c r="Q25" s="6">
        <f>+COUNTIFS('Inputs summary'!I:I,$H25)</f>
        <v>5</v>
      </c>
      <c r="R25" s="6">
        <f>+COUNTIFS('Inputs summary'!J:K,$H25)</f>
        <v>0</v>
      </c>
      <c r="S25" s="6">
        <f>+COUNTIFS('Inputs summary'!L:L,$H25)</f>
        <v>1</v>
      </c>
      <c r="T25" s="6">
        <f t="shared" si="14"/>
        <v>6</v>
      </c>
      <c r="U25" s="6">
        <f>+SUMIF('Inputs summary'!B:B,H25,'Inputs summary'!C:C)+SUMIF('Inputs summary'!E:E,H25,'Inputs summary'!D:D)</f>
        <v>12</v>
      </c>
      <c r="V25" s="6">
        <f>+SUMIF('Inputs summary'!B:B,H25,'Inputs summary'!D:D)+SUMIF('Inputs summary'!E:E,H25,'Inputs summary'!C:C)</f>
        <v>6</v>
      </c>
      <c r="W25" s="159">
        <f t="shared" si="15"/>
        <v>315.06120000055552</v>
      </c>
      <c r="X25" s="173">
        <f t="shared" si="16"/>
        <v>111</v>
      </c>
      <c r="Y25" s="167">
        <f t="shared" si="7"/>
        <v>2</v>
      </c>
      <c r="Z25" s="173">
        <f t="shared" si="17"/>
        <v>315.06120050055551</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103.96060000032259</v>
      </c>
      <c r="BH25">
        <v>22</v>
      </c>
      <c r="BI25" t="str">
        <f t="shared" si="11"/>
        <v>Japon</v>
      </c>
      <c r="BJ25" s="6">
        <f>+COUNTIFS('Inputs summary'!I$2:I$106,BI25)</f>
        <v>3</v>
      </c>
      <c r="BK25" s="6">
        <f>+COUNTIFS('Inputs summary'!J$2:K$106,BI25)</f>
        <v>0</v>
      </c>
      <c r="BL25" s="6">
        <f>+COUNTIFS('Inputs summary'!L$2:L$106,BI25)</f>
        <v>0</v>
      </c>
      <c r="BM25" s="6">
        <f t="shared" si="19"/>
        <v>5</v>
      </c>
      <c r="BN25" s="6">
        <f>+SUMIF('Inputs summary'!$B$1:$B$106,$BI25,'Inputs summary'!$C$1:$C$106)+SUMIF('Inputs summary'!$E$1:$E$106,$BI25,'Inputs summary'!$D$1:$D$106)</f>
        <v>7</v>
      </c>
      <c r="BO25" s="6">
        <f>+SUMIF('Inputs summary'!$B$1:$B$106,$BI25,'Inputs summary'!$D$1:$D$106)+SUMIF('Inputs summary'!$E$1:$E$106,$BI25,'Inputs summary'!$C$1:$C$106)</f>
        <v>2</v>
      </c>
      <c r="BP25" s="166">
        <f t="shared" si="12"/>
        <v>9.0570217999999993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-3</v>
      </c>
      <c r="U26" s="6">
        <f>+SUMIF('Inputs summary'!B:B,H26,'Inputs summary'!C:C)+SUMIF('Inputs summary'!E:E,H26,'Inputs summary'!D:D)</f>
        <v>4</v>
      </c>
      <c r="V26" s="6">
        <f>+SUMIF('Inputs summary'!B:B,H26,'Inputs summary'!D:D)+SUMIF('Inputs summary'!E:E,H26,'Inputs summary'!C:C)</f>
        <v>7</v>
      </c>
      <c r="W26" s="159">
        <f t="shared" si="15"/>
        <v>103.97040000026315</v>
      </c>
      <c r="X26" s="173">
        <f t="shared" si="16"/>
        <v>1</v>
      </c>
      <c r="Y26" s="167">
        <f t="shared" si="7"/>
        <v>2</v>
      </c>
      <c r="Z26" s="173">
        <f t="shared" si="17"/>
        <v>103.97040050026315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103.97040000026315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5.0030238000000002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1</v>
      </c>
      <c r="V27" s="6">
        <f>+SUMIF('Inputs summary'!B:B,H27,'Inputs summary'!D:D)+SUMIF('Inputs summary'!E:E,H27,'Inputs summary'!C:C)</f>
        <v>7</v>
      </c>
      <c r="W27" s="159">
        <f t="shared" si="15"/>
        <v>-5.9899999772727267E-2</v>
      </c>
      <c r="X27" s="173">
        <f t="shared" si="16"/>
        <v>0</v>
      </c>
      <c r="Y27" s="167">
        <f t="shared" si="7"/>
        <v>3</v>
      </c>
      <c r="Z27" s="173">
        <f t="shared" si="17"/>
        <v>-5.9899666439393935E-2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105.00040000025</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1</v>
      </c>
      <c r="BO27" s="6">
        <f>+SUMIF('Inputs summary'!$B$1:$B$106,$BI27,'Inputs summary'!$D$1:$D$106)+SUMIF('Inputs summary'!$E$1:$E$106,$BI27,'Inputs summary'!$C$1:$C$106)</f>
        <v>7</v>
      </c>
      <c r="BP27" s="166">
        <f t="shared" si="12"/>
        <v>-5.8965599999999993E-2</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1</v>
      </c>
      <c r="R28" s="6">
        <f>+COUNTIFS('Inputs summary'!J:K,$H28)</f>
        <v>2</v>
      </c>
      <c r="S28" s="6">
        <f>+COUNTIFS('Inputs summary'!L:L,$H28)</f>
        <v>2</v>
      </c>
      <c r="T28" s="6">
        <f t="shared" si="14"/>
        <v>-5</v>
      </c>
      <c r="U28" s="6">
        <f>+SUMIF('Inputs summary'!B:B,H28,'Inputs summary'!C:C)+SUMIF('Inputs summary'!E:E,H28,'Inputs summary'!D:D)</f>
        <v>3</v>
      </c>
      <c r="V28" s="6">
        <f>+SUMIF('Inputs summary'!B:B,H28,'Inputs summary'!D:D)+SUMIF('Inputs summary'!E:E,H28,'Inputs summary'!C:C)</f>
        <v>8</v>
      </c>
      <c r="W28" s="159">
        <f t="shared" si="15"/>
        <v>204.95030000047618</v>
      </c>
      <c r="X28" s="173">
        <f t="shared" si="16"/>
        <v>11</v>
      </c>
      <c r="Y28" s="167">
        <f t="shared" si="7"/>
        <v>3</v>
      </c>
      <c r="Z28" s="173">
        <f t="shared" si="17"/>
        <v>204.95030033380951</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105.98040000041667</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-3</v>
      </c>
      <c r="U29" s="6">
        <f>+SUMIF('Inputs summary'!B:B,H29,'Inputs summary'!C:C)+SUMIF('Inputs summary'!E:E,H29,'Inputs summary'!D:D)</f>
        <v>1</v>
      </c>
      <c r="V29" s="6">
        <f>+SUMIF('Inputs summary'!B:B,H29,'Inputs summary'!D:D)+SUMIF('Inputs summary'!E:E,H29,'Inputs summary'!C:C)</f>
        <v>4</v>
      </c>
      <c r="W29" s="159">
        <f t="shared" si="15"/>
        <v>0.97010000011764708</v>
      </c>
      <c r="X29" s="173">
        <f t="shared" si="16"/>
        <v>0</v>
      </c>
      <c r="Y29" s="167">
        <f t="shared" si="7"/>
        <v>4</v>
      </c>
      <c r="Z29" s="173">
        <f t="shared" si="17"/>
        <v>0.97010025011764711</v>
      </c>
      <c r="AA29" s="173">
        <f>+_xlfn.XLOOKUP(H29,'Ranking FIFA'!B:B,'Ranking FIFA'!A:A,"--",0)</f>
        <v>85</v>
      </c>
      <c r="AI29" t="str">
        <f>+'Round of 32 &amp; Round of 16'!K21</f>
        <v>Ecuador</v>
      </c>
      <c r="AP29" s="457">
        <f>+_xlfn.XLOOKUP(AQ29,'Ranking FIFA'!B:B,'Ranking FIFA'!A:A,"--",0)</f>
        <v>27</v>
      </c>
      <c r="AQ29" t="s">
        <v>73</v>
      </c>
      <c r="AR29" s="6">
        <v>3</v>
      </c>
      <c r="AT29" s="169">
        <f t="shared" si="8"/>
        <v>0</v>
      </c>
      <c r="AU29" s="166">
        <f t="shared" si="9"/>
        <v>0.98020000037037036</v>
      </c>
      <c r="BH29">
        <v>26</v>
      </c>
      <c r="BI29" t="str">
        <f t="shared" si="11"/>
        <v>Nueva Zelanda</v>
      </c>
      <c r="BJ29" s="6">
        <f>+COUNTIFS('Inputs summary'!I$2:I$106,BI29)</f>
        <v>0</v>
      </c>
      <c r="BK29" s="6">
        <f>+COUNTIFS('Inputs summary'!J$2:K$106,BI29)</f>
        <v>1</v>
      </c>
      <c r="BL29" s="6">
        <f>+COUNTIFS('Inputs summary'!L$2:L$106,BI29)</f>
        <v>2</v>
      </c>
      <c r="BM29" s="6">
        <f t="shared" si="19"/>
        <v>-3</v>
      </c>
      <c r="BN29" s="6">
        <f>+SUMIF('Inputs summary'!$B$1:$B$106,$BI29,'Inputs summary'!$C$1:$C$106)+SUMIF('Inputs summary'!$E$1:$E$106,$BI29,'Inputs summary'!$D$1:$D$106)</f>
        <v>1</v>
      </c>
      <c r="BO29" s="6">
        <f>+SUMIF('Inputs summary'!$B$1:$B$106,$BI29,'Inputs summary'!$D$1:$D$106)+SUMIF('Inputs summary'!$E$1:$E$106,$BI29,'Inputs summary'!$C$1:$C$106)</f>
        <v>4</v>
      </c>
      <c r="BP29" s="166">
        <f t="shared" si="12"/>
        <v>1.9710485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4</v>
      </c>
      <c r="U30" s="6">
        <f>+SUMIF('Inputs summary'!B:B,H30,'Inputs summary'!C:C)+SUMIF('Inputs summary'!E:E,H30,'Inputs summary'!D:D)</f>
        <v>9</v>
      </c>
      <c r="V30" s="6">
        <f>+SUMIF('Inputs summary'!B:B,H30,'Inputs summary'!D:D)+SUMIF('Inputs summary'!E:E,H30,'Inputs summary'!C:C)</f>
        <v>5</v>
      </c>
      <c r="W30" s="159">
        <f t="shared" si="15"/>
        <v>313.04090000111114</v>
      </c>
      <c r="X30" s="173">
        <f t="shared" si="16"/>
        <v>111</v>
      </c>
      <c r="Y30" s="167">
        <f t="shared" si="7"/>
        <v>1</v>
      </c>
      <c r="Z30" s="173">
        <f t="shared" si="17"/>
        <v>313.04090100111114</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-4.9799999642857147E-2</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2</v>
      </c>
      <c r="S31" s="6">
        <f>+COUNTIFS('Inputs summary'!L:L,$H31)</f>
        <v>1</v>
      </c>
      <c r="T31" s="6">
        <f t="shared" si="14"/>
        <v>-1</v>
      </c>
      <c r="U31" s="6">
        <f>+SUMIF('Inputs summary'!B:B,H31,'Inputs summary'!C:C)+SUMIF('Inputs summary'!E:E,H31,'Inputs summary'!D:D)</f>
        <v>3</v>
      </c>
      <c r="V31" s="6">
        <f>+SUMIF('Inputs summary'!B:B,H31,'Inputs summary'!D:D)+SUMIF('Inputs summary'!E:E,H31,'Inputs summary'!C:C)</f>
        <v>4</v>
      </c>
      <c r="W31" s="159">
        <f t="shared" si="15"/>
        <v>1.9903000003448275</v>
      </c>
      <c r="X31" s="173">
        <f t="shared" si="16"/>
        <v>0</v>
      </c>
      <c r="Y31" s="167">
        <f t="shared" si="7"/>
        <v>3</v>
      </c>
      <c r="Z31" s="173">
        <f t="shared" si="17"/>
        <v>1.9903003336781608</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1.9903000003448275</v>
      </c>
      <c r="BH31">
        <v>28</v>
      </c>
      <c r="BI31" t="str">
        <f t="shared" si="11"/>
        <v>Egipto</v>
      </c>
      <c r="BJ31" s="6">
        <f>+COUNTIFS('Inputs summary'!I$2:I$106,BI31)</f>
        <v>0</v>
      </c>
      <c r="BK31" s="6">
        <f>+COUNTIFS('Inputs summary'!J$2:K$106,BI31)</f>
        <v>2</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3.9930329000000007</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7</v>
      </c>
      <c r="R32" s="6">
        <f>+COUNTIFS('Inputs summary'!J:K,$H32)</f>
        <v>0</v>
      </c>
      <c r="S32" s="6">
        <f>+COUNTIFS('Inputs summary'!L:L,$H32)</f>
        <v>1</v>
      </c>
      <c r="T32" s="6">
        <f t="shared" si="14"/>
        <v>11</v>
      </c>
      <c r="U32" s="6">
        <f>+SUMIF('Inputs summary'!B:B,H32,'Inputs summary'!C:C)+SUMIF('Inputs summary'!E:E,H32,'Inputs summary'!D:D)</f>
        <v>17</v>
      </c>
      <c r="V32" s="6">
        <f>+SUMIF('Inputs summary'!B:B,H32,'Inputs summary'!D:D)+SUMIF('Inputs summary'!E:E,H32,'Inputs summary'!C:C)</f>
        <v>6</v>
      </c>
      <c r="W32" s="159">
        <f t="shared" si="15"/>
        <v>521.11170000499999</v>
      </c>
      <c r="X32" s="173">
        <f t="shared" si="16"/>
        <v>11111</v>
      </c>
      <c r="Y32" s="167">
        <f t="shared" si="7"/>
        <v>1</v>
      </c>
      <c r="Z32" s="173">
        <f t="shared" si="17"/>
        <v>521.11170100499999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107.02060000033333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9.0670102000000004</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1</v>
      </c>
      <c r="V33" s="6">
        <f>+SUMIF('Inputs summary'!B:B,H33,'Inputs summary'!D:D)+SUMIF('Inputs summary'!E:E,H33,'Inputs summary'!C:C)</f>
        <v>7</v>
      </c>
      <c r="W33" s="159">
        <f t="shared" si="15"/>
        <v>0.94010000014492745</v>
      </c>
      <c r="X33" s="173">
        <f t="shared" si="16"/>
        <v>0</v>
      </c>
      <c r="Y33" s="167">
        <f t="shared" si="7"/>
        <v>4</v>
      </c>
      <c r="Z33" s="173">
        <f t="shared" si="17"/>
        <v>0.94010025014492749</v>
      </c>
      <c r="AA33" s="173">
        <f>+_xlfn.XLOOKUP(H33,'Ranking FIFA'!B:B,'Ranking FIFA'!A:A,"--",0)</f>
        <v>69</v>
      </c>
      <c r="AI33" t="str">
        <f>+'Round of 32 &amp; Round of 16'!K29</f>
        <v>Croacia</v>
      </c>
      <c r="AP33" s="457">
        <f>+_xlfn.XLOOKUP(AQ33,'Ranking FIFA'!B:B,'Ranking FIFA'!A:A,"--",0)</f>
        <v>33</v>
      </c>
      <c r="AQ33" t="s">
        <v>77</v>
      </c>
      <c r="AR33" s="6">
        <v>3</v>
      </c>
      <c r="AT33" s="169">
        <f t="shared" si="8"/>
        <v>1</v>
      </c>
      <c r="AU33" s="166">
        <f t="shared" si="9"/>
        <v>103.97030000030303</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1.9410468999999999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-4</v>
      </c>
      <c r="U34" s="6">
        <f>+SUMIF('Inputs summary'!B:B,H34,'Inputs summary'!C:C)+SUMIF('Inputs summary'!E:E,H34,'Inputs summary'!D:D)</f>
        <v>2</v>
      </c>
      <c r="V34" s="6">
        <f>+SUMIF('Inputs summary'!B:B,H34,'Inputs summary'!D:D)+SUMIF('Inputs summary'!E:E,H34,'Inputs summary'!C:C)</f>
        <v>6</v>
      </c>
      <c r="W34" s="159">
        <f t="shared" si="15"/>
        <v>0.96020000016393436</v>
      </c>
      <c r="X34" s="173">
        <f t="shared" si="16"/>
        <v>0</v>
      </c>
      <c r="Y34" s="167">
        <f t="shared" si="7"/>
        <v>3</v>
      </c>
      <c r="Z34" s="173">
        <f t="shared" si="17"/>
        <v>0.96020033349726774</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103.98020000029413</v>
      </c>
      <c r="BH34">
        <v>31</v>
      </c>
      <c r="BI34" t="str">
        <f t="shared" si="11"/>
        <v>Arabia Saudita</v>
      </c>
      <c r="BJ34" s="6">
        <f>+COUNTIFS('Inputs summary'!I$2:I$106,BI34)</f>
        <v>0</v>
      </c>
      <c r="BK34" s="6">
        <f>+COUNTIFS('Inputs summary'!J$2:K$106,BI34)</f>
        <v>1</v>
      </c>
      <c r="BL34" s="6">
        <f>+COUNTIFS('Inputs summary'!L$2:L$106,BI34)</f>
        <v>2</v>
      </c>
      <c r="BM34" s="6">
        <f t="shared" si="19"/>
        <v>-4</v>
      </c>
      <c r="BN34" s="6">
        <f>+SUMIF('Inputs summary'!$B$1:$B$106,$BI34,'Inputs summary'!$C$1:$C$106)+SUMIF('Inputs summary'!$E$1:$E$106,$BI34,'Inputs summary'!$D$1:$D$106)</f>
        <v>2</v>
      </c>
      <c r="BO34" s="6">
        <f>+SUMIF('Inputs summary'!$B$1:$B$106,$BI34,'Inputs summary'!$D$1:$D$106)+SUMIF('Inputs summary'!$E$1:$E$106,$BI34,'Inputs summary'!$C$1:$C$106)</f>
        <v>6</v>
      </c>
      <c r="BP34" s="166">
        <f t="shared" si="12"/>
        <v>1.9620360999999999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8</v>
      </c>
      <c r="V35" s="6">
        <f>+SUMIF('Inputs summary'!B:B,H35,'Inputs summary'!D:D)+SUMIF('Inputs summary'!E:E,H35,'Inputs summary'!C:C)</f>
        <v>6</v>
      </c>
      <c r="W35" s="159">
        <f t="shared" si="15"/>
        <v>106.02080000058822</v>
      </c>
      <c r="X35" s="173">
        <f t="shared" si="16"/>
        <v>1</v>
      </c>
      <c r="Y35" s="167">
        <f t="shared" si="7"/>
        <v>1</v>
      </c>
      <c r="Z35" s="173">
        <f t="shared" si="17"/>
        <v>106.02080100058822</v>
      </c>
      <c r="AA35" s="173">
        <f>+_xlfn.XLOOKUP(H35,'Ranking FIFA'!B:B,'Ranking FIFA'!A:A,"--",0)</f>
        <v>17</v>
      </c>
      <c r="AI35" t="str">
        <f>+'Round of 32 &amp; Round of 16'!K33</f>
        <v>Iran</v>
      </c>
      <c r="AP35" s="457">
        <f>+_xlfn.XLOOKUP(AQ35,'Ranking FIFA'!B:B,'Ranking FIFA'!A:A,"--",0)</f>
        <v>41</v>
      </c>
      <c r="AQ35" s="456" t="s">
        <v>79</v>
      </c>
      <c r="AR35" s="6">
        <v>3</v>
      </c>
      <c r="AT35" s="169">
        <f t="shared" si="8"/>
        <v>1</v>
      </c>
      <c r="AU35" s="166">
        <f t="shared" si="9"/>
        <v>102.9605000002439</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6.0470116999999997</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6</v>
      </c>
      <c r="R36" s="6">
        <f>+COUNTIFS('Inputs summary'!J:K,$H36)</f>
        <v>2</v>
      </c>
      <c r="S36" s="6">
        <f>+COUNTIFS('Inputs summary'!L:L,$H36)</f>
        <v>0</v>
      </c>
      <c r="T36" s="6">
        <f t="shared" si="14"/>
        <v>11</v>
      </c>
      <c r="U36" s="6">
        <f>+SUMIF('Inputs summary'!B:B,H36,'Inputs summary'!C:C)+SUMIF('Inputs summary'!E:E,H36,'Inputs summary'!D:D)</f>
        <v>20</v>
      </c>
      <c r="V36" s="6">
        <f>+SUMIF('Inputs summary'!B:B,H36,'Inputs summary'!D:D)+SUMIF('Inputs summary'!E:E,H36,'Inputs summary'!C:C)</f>
        <v>9</v>
      </c>
      <c r="W36" s="159">
        <f t="shared" si="15"/>
        <v>620.11200000999997</v>
      </c>
      <c r="X36" s="173">
        <f t="shared" si="16"/>
        <v>201111</v>
      </c>
      <c r="Y36" s="167">
        <f t="shared" si="7"/>
        <v>1</v>
      </c>
      <c r="Z36" s="173">
        <f t="shared" si="17"/>
        <v>620.11200100999997</v>
      </c>
      <c r="AA36" s="173">
        <f>+_xlfn.XLOOKUP(H36,'Ranking FIFA'!B:B,'Ranking FIFA'!A:A,"--",0)</f>
        <v>1</v>
      </c>
      <c r="AP36" s="457">
        <f>+_xlfn.XLOOKUP(AQ36,'Ranking FIFA'!B:B,'Ranking FIFA'!A:A,"--",0)</f>
        <v>43</v>
      </c>
      <c r="AQ36" t="s">
        <v>80</v>
      </c>
      <c r="AR36" s="6">
        <v>3</v>
      </c>
      <c r="AT36" s="169">
        <f t="shared" si="8"/>
        <v>1</v>
      </c>
      <c r="AU36" s="166">
        <f t="shared" si="9"/>
        <v>104.01050000023257</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8</v>
      </c>
      <c r="BO36" s="6">
        <f>+SUMIF('Inputs summary'!$B$1:$B$106,$BI36,'Inputs summary'!$D$1:$D$106)+SUMIF('Inputs summary'!$E$1:$E$106,$BI36,'Inputs summary'!$C$1:$C$106)</f>
        <v>4</v>
      </c>
      <c r="BP36" s="166">
        <f t="shared" si="12"/>
        <v>8.0480100999999973</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2</v>
      </c>
      <c r="R37" s="6">
        <f>+COUNTIFS('Inputs summary'!J:K,$H37)</f>
        <v>3</v>
      </c>
      <c r="S37" s="6">
        <f>+COUNTIFS('Inputs summary'!L:L,$H37)</f>
        <v>0</v>
      </c>
      <c r="T37" s="6">
        <f t="shared" si="14"/>
        <v>2</v>
      </c>
      <c r="U37" s="6">
        <f>+SUMIF('Inputs summary'!B:B,H37,'Inputs summary'!C:C)+SUMIF('Inputs summary'!E:E,H37,'Inputs summary'!D:D)</f>
        <v>10</v>
      </c>
      <c r="V37" s="6">
        <f>+SUMIF('Inputs summary'!B:B,H37,'Inputs summary'!D:D)+SUMIF('Inputs summary'!E:E,H37,'Inputs summary'!C:C)</f>
        <v>8</v>
      </c>
      <c r="W37" s="159">
        <f t="shared" si="15"/>
        <v>209.02100000071431</v>
      </c>
      <c r="X37" s="173">
        <f t="shared" si="16"/>
        <v>11</v>
      </c>
      <c r="Y37" s="167">
        <f t="shared" si="7"/>
        <v>2</v>
      </c>
      <c r="Z37" s="173">
        <f t="shared" si="17"/>
        <v>209.02100050071431</v>
      </c>
      <c r="AA37" s="173">
        <f>+_xlfn.XLOOKUP(H37,'Ranking FIFA'!B:B,'Ranking FIFA'!A:A,"--",0)</f>
        <v>14</v>
      </c>
      <c r="AP37" s="457">
        <f>+_xlfn.XLOOKUP(AQ37,'Ranking FIFA'!B:B,'Ranking FIFA'!A:A,"--",0)</f>
        <v>44</v>
      </c>
      <c r="AQ37" t="s">
        <v>81</v>
      </c>
      <c r="AR37" s="6">
        <v>3</v>
      </c>
      <c r="AT37" s="169">
        <f t="shared" si="8"/>
        <v>0</v>
      </c>
      <c r="AU37" s="166">
        <f t="shared" si="9"/>
        <v>-5.9899999772727267E-2</v>
      </c>
      <c r="BH37">
        <v>34</v>
      </c>
      <c r="BI37" t="str">
        <f t="shared" si="11"/>
        <v>Senegal</v>
      </c>
      <c r="BJ37" s="6">
        <f>+COUNTIFS('Inputs summary'!I$2:I$106,BI37)</f>
        <v>1</v>
      </c>
      <c r="BK37" s="6">
        <f>+COUNTIFS('Inputs summary'!J$2:K$106,BI37)</f>
        <v>2</v>
      </c>
      <c r="BL37" s="6">
        <f>+COUNTIFS('Inputs summary'!L$2:L$106,BI37)</f>
        <v>0</v>
      </c>
      <c r="BM37" s="6">
        <f t="shared" si="19"/>
        <v>1</v>
      </c>
      <c r="BN37" s="6">
        <f>+SUMIF('Inputs summary'!$B$1:$B$106,$BI37,'Inputs summary'!$C$1:$C$106)+SUMIF('Inputs summary'!$E$1:$E$106,$BI37,'Inputs summary'!$D$1:$D$106)</f>
        <v>7</v>
      </c>
      <c r="BO37" s="6">
        <f>+SUMIF('Inputs summary'!$B$1:$B$106,$BI37,'Inputs summary'!$D$1:$D$106)+SUMIF('Inputs summary'!$E$1:$E$106,$BI37,'Inputs summary'!$C$1:$C$106)</f>
        <v>6</v>
      </c>
      <c r="BP37" s="166">
        <f t="shared" si="12"/>
        <v>7.0170214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-4</v>
      </c>
      <c r="U38" s="6">
        <f>+SUMIF('Inputs summary'!B:B,H38,'Inputs summary'!C:C)+SUMIF('Inputs summary'!E:E,H38,'Inputs summary'!D:D)</f>
        <v>2</v>
      </c>
      <c r="V38" s="6">
        <f>+SUMIF('Inputs summary'!B:B,H38,'Inputs summary'!D:D)+SUMIF('Inputs summary'!E:E,H38,'Inputs summary'!C:C)</f>
        <v>6</v>
      </c>
      <c r="W38" s="159">
        <f t="shared" si="15"/>
        <v>-3.9799999824561408E-2</v>
      </c>
      <c r="X38" s="173">
        <f t="shared" si="16"/>
        <v>0</v>
      </c>
      <c r="Y38" s="167">
        <f t="shared" si="7"/>
        <v>4</v>
      </c>
      <c r="Z38" s="173">
        <f t="shared" si="17"/>
        <v>-3.9799749824561408E-2</v>
      </c>
      <c r="AA38" s="173">
        <f>+_xlfn.XLOOKUP(H38,'Ranking FIFA'!B:B,'Ranking FIFA'!A:A,"--",0)</f>
        <v>57</v>
      </c>
      <c r="AP38" s="457">
        <f>+_xlfn.XLOOKUP(AQ38,'Ranking FIFA'!B:B,'Ranking FIFA'!A:A,"--",0)</f>
        <v>60</v>
      </c>
      <c r="AQ38" t="s">
        <v>82</v>
      </c>
      <c r="AR38" s="6">
        <v>3</v>
      </c>
      <c r="AT38" s="169">
        <f t="shared" si="8"/>
        <v>0</v>
      </c>
      <c r="AU38" s="166">
        <f t="shared" si="9"/>
        <v>-4.9699999833333335E-2</v>
      </c>
      <c r="BH38">
        <v>35</v>
      </c>
      <c r="BI38" t="str">
        <f t="shared" si="11"/>
        <v>Irak</v>
      </c>
      <c r="BJ38" s="6">
        <f>+COUNTIFS('Inputs summary'!I$2:I$106,BI38)</f>
        <v>0</v>
      </c>
      <c r="BK38" s="6">
        <f>+COUNTIFS('Inputs summary'!J$2:K$106,BI38)</f>
        <v>0</v>
      </c>
      <c r="BL38" s="6">
        <f>+COUNTIFS('Inputs summary'!L$2:L$106,BI38)</f>
        <v>3</v>
      </c>
      <c r="BM38" s="6">
        <f t="shared" si="19"/>
        <v>-4</v>
      </c>
      <c r="BN38" s="6">
        <f>+SUMIF('Inputs summary'!$B$1:$B$106,$BI38,'Inputs summary'!$C$1:$C$106)+SUMIF('Inputs summary'!$E$1:$E$106,$BI38,'Inputs summary'!$D$1:$D$106)</f>
        <v>2</v>
      </c>
      <c r="BO38" s="6">
        <f>+SUMIF('Inputs summary'!$B$1:$B$106,$BI38,'Inputs summary'!$D$1:$D$106)+SUMIF('Inputs summary'!$E$1:$E$106,$BI38,'Inputs summary'!$C$1:$C$106)</f>
        <v>6</v>
      </c>
      <c r="BP38" s="166">
        <f t="shared" si="12"/>
        <v>-3.7954300000000003E-2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-4</v>
      </c>
      <c r="U39" s="6">
        <f>+SUMIF('Inputs summary'!B:B,H39,'Inputs summary'!C:C)+SUMIF('Inputs summary'!E:E,H39,'Inputs summary'!D:D)</f>
        <v>6</v>
      </c>
      <c r="V39" s="6">
        <f>+SUMIF('Inputs summary'!B:B,H39,'Inputs summary'!D:D)+SUMIF('Inputs summary'!E:E,H39,'Inputs summary'!C:C)</f>
        <v>10</v>
      </c>
      <c r="W39" s="159">
        <f t="shared" si="15"/>
        <v>103.96060000032259</v>
      </c>
      <c r="X39" s="173">
        <f t="shared" si="16"/>
        <v>1</v>
      </c>
      <c r="Y39" s="167">
        <f t="shared" si="7"/>
        <v>2</v>
      </c>
      <c r="Z39" s="173">
        <f t="shared" si="17"/>
        <v>103.96060050032258</v>
      </c>
      <c r="AA39" s="173">
        <f>+_xlfn.XLOOKUP(H39,'Ranking FIFA'!B:B,'Ranking FIFA'!A:A,"--",0)</f>
        <v>31</v>
      </c>
      <c r="AP39" s="457">
        <f>+_xlfn.XLOOKUP(AQ39,'Ranking FIFA'!B:B,'Ranking FIFA'!A:A,"--",0)</f>
        <v>61</v>
      </c>
      <c r="AQ39" t="s">
        <v>83</v>
      </c>
      <c r="AR39" s="6">
        <v>3</v>
      </c>
      <c r="AT39" s="169">
        <f t="shared" si="8"/>
        <v>0</v>
      </c>
      <c r="AU39" s="166">
        <f t="shared" si="9"/>
        <v>0.96020000016393436</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6</v>
      </c>
      <c r="BP39" s="166">
        <f t="shared" si="12"/>
        <v>4.9950231</v>
      </c>
    </row>
    <row r="40" spans="7:68" x14ac:dyDescent="0.2">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5</v>
      </c>
      <c r="R40" s="6">
        <f>+COUNTIFS('Inputs summary'!J:K,$H40)</f>
        <v>0</v>
      </c>
      <c r="S40" s="6">
        <f>+COUNTIFS('Inputs summary'!L:L,$H40)</f>
        <v>1</v>
      </c>
      <c r="T40" s="6">
        <f t="shared" si="14"/>
        <v>12</v>
      </c>
      <c r="U40" s="6">
        <f>+SUMIF('Inputs summary'!B:B,H40,'Inputs summary'!C:C)+SUMIF('Inputs summary'!E:E,H40,'Inputs summary'!D:D)</f>
        <v>16</v>
      </c>
      <c r="V40" s="6">
        <f>+SUMIF('Inputs summary'!B:B,H40,'Inputs summary'!D:D)+SUMIF('Inputs summary'!E:E,H40,'Inputs summary'!C:C)</f>
        <v>4</v>
      </c>
      <c r="W40" s="159">
        <f t="shared" si="15"/>
        <v>315.12160000333336</v>
      </c>
      <c r="X40" s="173">
        <f t="shared" si="16"/>
        <v>111</v>
      </c>
      <c r="Y40" s="167">
        <f t="shared" si="7"/>
        <v>1</v>
      </c>
      <c r="Z40" s="173">
        <f t="shared" si="17"/>
        <v>315.12160100333335</v>
      </c>
      <c r="AA40" s="173">
        <f>+_xlfn.XLOOKUP(H40,'Ranking FIFA'!B:B,'Ranking FIFA'!A:A,"--",0)</f>
        <v>3</v>
      </c>
      <c r="AP40" s="457">
        <f>+_xlfn.XLOOKUP(AQ40,'Ranking FIFA'!B:B,'Ranking FIFA'!A:A,"--",0)</f>
        <v>65</v>
      </c>
      <c r="AQ40" s="456" t="s">
        <v>84</v>
      </c>
      <c r="AR40" s="6">
        <v>3</v>
      </c>
      <c r="AT40" s="169">
        <f t="shared" si="8"/>
        <v>1</v>
      </c>
      <c r="AU40" s="166">
        <f t="shared" si="9"/>
        <v>102.98060000015386</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8</v>
      </c>
      <c r="BO40" s="6">
        <f>+SUMIF('Inputs summary'!$B$1:$B$106,$BI40,'Inputs summary'!$D$1:$D$106)+SUMIF('Inputs summary'!$E$1:$E$106,$BI40,'Inputs summary'!$C$1:$C$106)</f>
        <v>1</v>
      </c>
      <c r="BP40" s="166">
        <f t="shared" si="12"/>
        <v>9.078010299999999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0</v>
      </c>
      <c r="S41" s="6">
        <f>+COUNTIFS('Inputs summary'!L:L,$H41)</f>
        <v>3</v>
      </c>
      <c r="T41" s="6">
        <f t="shared" si="14"/>
        <v>-5</v>
      </c>
      <c r="U41" s="6">
        <f>+SUMIF('Inputs summary'!B:B,H41,'Inputs summary'!C:C)+SUMIF('Inputs summary'!E:E,H41,'Inputs summary'!D:D)</f>
        <v>2</v>
      </c>
      <c r="V41" s="6">
        <f>+SUMIF('Inputs summary'!B:B,H41,'Inputs summary'!D:D)+SUMIF('Inputs summary'!E:E,H41,'Inputs summary'!C:C)</f>
        <v>7</v>
      </c>
      <c r="W41" s="159">
        <f t="shared" si="15"/>
        <v>-4.9799999642857147E-2</v>
      </c>
      <c r="X41" s="173">
        <f t="shared" si="16"/>
        <v>0</v>
      </c>
      <c r="Y41" s="167">
        <f t="shared" si="7"/>
        <v>3</v>
      </c>
      <c r="Z41" s="173">
        <f t="shared" si="17"/>
        <v>-4.9799666309523816E-2</v>
      </c>
      <c r="AA41" s="173">
        <f>+_xlfn.XLOOKUP(H41,'Ranking FIFA'!B:B,'Ranking FIFA'!A:A,"--",0)</f>
        <v>28</v>
      </c>
      <c r="AP41" s="457">
        <f>+_xlfn.XLOOKUP(AQ41,'Ranking FIFA'!B:B,'Ranking FIFA'!A:A,"--",0)</f>
        <v>74</v>
      </c>
      <c r="AQ41" t="s">
        <v>85</v>
      </c>
      <c r="AR41" s="6">
        <v>3</v>
      </c>
      <c r="AT41" s="169">
        <f t="shared" si="8"/>
        <v>0</v>
      </c>
      <c r="AU41" s="166">
        <f t="shared" si="9"/>
        <v>0.96040000013513505</v>
      </c>
      <c r="BH41">
        <v>38</v>
      </c>
      <c r="BI41" t="str">
        <f t="shared" si="11"/>
        <v>Argelia</v>
      </c>
      <c r="BJ41" s="6">
        <f>+COUNTIFS('Inputs summary'!I$2:I$106,BI41)</f>
        <v>0</v>
      </c>
      <c r="BK41" s="6">
        <f>+COUNTIFS('Inputs summary'!J$2:K$106,BI41)</f>
        <v>0</v>
      </c>
      <c r="BL41" s="6">
        <f>+COUNTIFS('Inputs summary'!L$2:L$106,BI41)</f>
        <v>3</v>
      </c>
      <c r="BM41" s="6">
        <f t="shared" si="19"/>
        <v>-5</v>
      </c>
      <c r="BN41" s="6">
        <f>+SUMIF('Inputs summary'!$B$1:$B$106,$BI41,'Inputs summary'!$C$1:$C$106)+SUMIF('Inputs summary'!$E$1:$E$106,$BI41,'Inputs summary'!$D$1:$D$106)</f>
        <v>2</v>
      </c>
      <c r="BO41" s="6">
        <f>+SUMIF('Inputs summary'!$B$1:$B$106,$BI41,'Inputs summary'!$D$1:$D$106)+SUMIF('Inputs summary'!$E$1:$E$106,$BI41,'Inputs summary'!$C$1:$C$106)</f>
        <v>7</v>
      </c>
      <c r="BP41" s="166">
        <f t="shared" si="12"/>
        <v>-4.7967200000000002E-2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105.98040000041667</v>
      </c>
      <c r="X42" s="173">
        <f t="shared" si="16"/>
        <v>1</v>
      </c>
      <c r="Y42" s="167">
        <f t="shared" si="7"/>
        <v>3</v>
      </c>
      <c r="Z42" s="173">
        <f t="shared" si="17"/>
        <v>105.98040033375</v>
      </c>
      <c r="AA42" s="173">
        <f>+_xlfn.XLOOKUP(H42,'Ranking FIFA'!B:B,'Ranking FIFA'!A:A,"--",0)</f>
        <v>24</v>
      </c>
      <c r="AP42" s="457">
        <f>+_xlfn.XLOOKUP(AQ42,'Ranking FIFA'!B:B,'Ranking FIFA'!A:A,"--",0)</f>
        <v>21</v>
      </c>
      <c r="AQ42" t="s">
        <v>86</v>
      </c>
      <c r="AR42" s="6">
        <v>3</v>
      </c>
      <c r="AT42" s="169">
        <f t="shared" si="8"/>
        <v>11</v>
      </c>
      <c r="AU42" s="166">
        <f t="shared" si="9"/>
        <v>204.95030000047618</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1</v>
      </c>
      <c r="R43" s="6">
        <f>+COUNTIFS('Inputs summary'!J:K,$H43)</f>
        <v>0</v>
      </c>
      <c r="S43" s="6">
        <f>+COUNTIFS('Inputs summary'!L:L,$H43)</f>
        <v>2</v>
      </c>
      <c r="T43" s="6">
        <f t="shared" si="14"/>
        <v>-3</v>
      </c>
      <c r="U43" s="6">
        <f>+SUMIF('Inputs summary'!B:B,H43,'Inputs summary'!C:C)+SUMIF('Inputs summary'!E:E,H43,'Inputs summary'!D:D)</f>
        <v>3</v>
      </c>
      <c r="V43" s="6">
        <f>+SUMIF('Inputs summary'!B:B,H43,'Inputs summary'!D:D)+SUMIF('Inputs summary'!E:E,H43,'Inputs summary'!C:C)</f>
        <v>6</v>
      </c>
      <c r="W43" s="159">
        <f t="shared" si="15"/>
        <v>2.9703000001587307</v>
      </c>
      <c r="X43" s="173">
        <f t="shared" si="16"/>
        <v>0</v>
      </c>
      <c r="Y43" s="167">
        <f t="shared" si="7"/>
        <v>4</v>
      </c>
      <c r="Z43" s="173">
        <f t="shared" si="17"/>
        <v>2.9703002501587306</v>
      </c>
      <c r="AA43" s="173">
        <f>+_xlfn.XLOOKUP(H43,'Ranking FIFA'!B:B,'Ranking FIFA'!A:A,"--",0)</f>
        <v>63</v>
      </c>
      <c r="AP43" s="457">
        <f>+_xlfn.XLOOKUP(AQ43,'Ranking FIFA'!B:B,'Ranking FIFA'!A:A,"--",0)</f>
        <v>46</v>
      </c>
      <c r="AQ43" s="456" t="s">
        <v>87</v>
      </c>
      <c r="AR43" s="6">
        <v>4</v>
      </c>
      <c r="AT43" s="169">
        <f t="shared" si="8"/>
        <v>0</v>
      </c>
      <c r="AU43" s="166">
        <f t="shared" si="9"/>
        <v>0.96000000021739129</v>
      </c>
      <c r="BH43">
        <v>40</v>
      </c>
      <c r="BI43" t="str">
        <f t="shared" si="11"/>
        <v>Jordania</v>
      </c>
      <c r="BJ43" s="6">
        <f>+COUNTIFS('Inputs summary'!I$2:I$106,BI43)</f>
        <v>1</v>
      </c>
      <c r="BK43" s="6">
        <f>+COUNTIFS('Inputs summary'!J$2:K$106,BI43)</f>
        <v>0</v>
      </c>
      <c r="BL43" s="6">
        <f>+COUNTIFS('Inputs summary'!L$2:L$106,BI43)</f>
        <v>2</v>
      </c>
      <c r="BM43" s="6">
        <f t="shared" si="19"/>
        <v>-3</v>
      </c>
      <c r="BN43" s="6">
        <f>+SUMIF('Inputs summary'!$B$1:$B$106,$BI43,'Inputs summary'!$C$1:$C$106)+SUMIF('Inputs summary'!$E$1:$E$106,$BI43,'Inputs summary'!$D$1:$D$106)</f>
        <v>3</v>
      </c>
      <c r="BO43" s="6">
        <f>+SUMIF('Inputs summary'!$B$1:$B$106,$BI43,'Inputs summary'!$D$1:$D$106)+SUMIF('Inputs summary'!$E$1:$E$106,$BI43,'Inputs summary'!$C$1:$C$106)</f>
        <v>6</v>
      </c>
      <c r="BP43" s="166">
        <f t="shared" si="12"/>
        <v>2.9730463</v>
      </c>
    </row>
    <row r="44" spans="7:68" x14ac:dyDescent="0.2">
      <c r="G44">
        <v>41</v>
      </c>
      <c r="H44" t="str">
        <f>+'Groups Stage'!O93</f>
        <v>Portugal</v>
      </c>
      <c r="I44" s="6">
        <f t="shared" si="0"/>
        <v>2</v>
      </c>
      <c r="J44" s="6">
        <f t="shared" si="1"/>
        <v>2</v>
      </c>
      <c r="K44" s="6">
        <f t="shared" si="2"/>
        <v>0</v>
      </c>
      <c r="L44" s="6">
        <f t="shared" si="3"/>
        <v>1</v>
      </c>
      <c r="M44" s="6">
        <f t="shared" si="4"/>
        <v>1</v>
      </c>
      <c r="N44" s="6">
        <f t="shared" si="5"/>
        <v>1</v>
      </c>
      <c r="O44" s="6">
        <f t="shared" si="6"/>
        <v>1</v>
      </c>
      <c r="P44" s="6">
        <f t="shared" si="13"/>
        <v>8</v>
      </c>
      <c r="Q44" s="6">
        <f>+COUNTIFS('Inputs summary'!I:I,$H44)</f>
        <v>6</v>
      </c>
      <c r="R44" s="6">
        <f>+COUNTIFS('Inputs summary'!J:K,$H44)</f>
        <v>2</v>
      </c>
      <c r="S44" s="6">
        <f>+COUNTIFS('Inputs summary'!L:L,$H44)</f>
        <v>0</v>
      </c>
      <c r="T44" s="6">
        <f t="shared" si="14"/>
        <v>10</v>
      </c>
      <c r="U44" s="6">
        <f>+SUMIF('Inputs summary'!B:B,H44,'Inputs summary'!C:C)+SUMIF('Inputs summary'!E:E,H44,'Inputs summary'!D:D)</f>
        <v>15</v>
      </c>
      <c r="V44" s="6">
        <f>+SUMIF('Inputs summary'!B:B,H44,'Inputs summary'!D:D)+SUMIF('Inputs summary'!E:E,H44,'Inputs summary'!C:C)</f>
        <v>5</v>
      </c>
      <c r="W44" s="159">
        <f t="shared" si="15"/>
        <v>820.10150000199997</v>
      </c>
      <c r="X44" s="173">
        <f t="shared" si="16"/>
        <v>2201111</v>
      </c>
      <c r="Y44" s="167">
        <f t="shared" si="7"/>
        <v>1</v>
      </c>
      <c r="Z44" s="173">
        <f t="shared" si="17"/>
        <v>820.10150100199996</v>
      </c>
      <c r="AA44" s="173">
        <f>+_xlfn.XLOOKUP(H44,'Ranking FIFA'!B:B,'Ranking FIFA'!A:A,"--",0)</f>
        <v>5</v>
      </c>
      <c r="AP44" s="457">
        <f>+_xlfn.XLOOKUP(AQ44,'Ranking FIFA'!B:B,'Ranking FIFA'!A:A,"--",0)</f>
        <v>50</v>
      </c>
      <c r="AQ44" t="s">
        <v>88</v>
      </c>
      <c r="AR44" s="6">
        <v>4</v>
      </c>
      <c r="AT44" s="169">
        <f t="shared" si="8"/>
        <v>0</v>
      </c>
      <c r="AU44" s="166">
        <f t="shared" si="9"/>
        <v>0.97010000019999998</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5</v>
      </c>
      <c r="BO44" s="6">
        <f>+SUMIF('Inputs summary'!$B$1:$B$106,$BI44,'Inputs summary'!$D$1:$D$106)+SUMIF('Inputs summary'!$E$1:$E$106,$BI44,'Inputs summary'!$C$1:$C$106)</f>
        <v>1</v>
      </c>
      <c r="BP44" s="166">
        <f t="shared" si="12"/>
        <v>8.0450105000000001</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0</v>
      </c>
      <c r="V45" s="6">
        <f>+SUMIF('Inputs summary'!B:B,H45,'Inputs summary'!D:D)+SUMIF('Inputs summary'!E:E,H45,'Inputs summary'!C:C)</f>
        <v>4</v>
      </c>
      <c r="W45" s="159">
        <f t="shared" si="15"/>
        <v>0.96000000021739129</v>
      </c>
      <c r="X45" s="173">
        <f t="shared" si="16"/>
        <v>0</v>
      </c>
      <c r="Y45" s="167">
        <f t="shared" si="7"/>
        <v>4</v>
      </c>
      <c r="Z45" s="173">
        <f t="shared" si="17"/>
        <v>0.96000025021739133</v>
      </c>
      <c r="AA45" s="173">
        <f>+_xlfn.XLOOKUP(H45,'Ranking FIFA'!B:B,'Ranking FIFA'!A:A,"--",0)</f>
        <v>46</v>
      </c>
      <c r="AP45" s="457">
        <f>+_xlfn.XLOOKUP(AQ45,'Ranking FIFA'!B:B,'Ranking FIFA'!A:A,"--",0)</f>
        <v>55</v>
      </c>
      <c r="AQ45" t="s">
        <v>89</v>
      </c>
      <c r="AR45" s="6">
        <v>4</v>
      </c>
      <c r="AT45" s="169">
        <f t="shared" si="8"/>
        <v>0</v>
      </c>
      <c r="AU45" s="166">
        <f t="shared" si="9"/>
        <v>-7.9999999818181816E-2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0</v>
      </c>
      <c r="BO45" s="6">
        <f>+SUMIF('Inputs summary'!$B$1:$B$106,$BI45,'Inputs summary'!$D$1:$D$106)+SUMIF('Inputs summary'!$E$1:$E$106,$BI45,'Inputs summary'!$C$1:$C$106)</f>
        <v>4</v>
      </c>
      <c r="BP45" s="166">
        <f t="shared" si="12"/>
        <v>1.9600446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90</v>
      </c>
      <c r="AR46" s="6">
        <v>4</v>
      </c>
      <c r="AT46" s="169">
        <f t="shared" si="8"/>
        <v>0</v>
      </c>
      <c r="AU46" s="166">
        <f t="shared" si="9"/>
        <v>-3.9799999824561408E-2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4</v>
      </c>
      <c r="U47" s="6">
        <f>+SUMIF('Inputs summary'!B:B,H47,'Inputs summary'!C:C)+SUMIF('Inputs summary'!E:E,H47,'Inputs summary'!D:D)</f>
        <v>7</v>
      </c>
      <c r="V47" s="6">
        <f>+SUMIF('Inputs summary'!B:B,H47,'Inputs summary'!D:D)+SUMIF('Inputs summary'!E:E,H47,'Inputs summary'!C:C)</f>
        <v>3</v>
      </c>
      <c r="W47" s="159">
        <f t="shared" si="15"/>
        <v>210.04070000076922</v>
      </c>
      <c r="X47" s="173">
        <f t="shared" si="16"/>
        <v>11</v>
      </c>
      <c r="Y47" s="167">
        <f t="shared" si="7"/>
        <v>2</v>
      </c>
      <c r="Z47" s="173">
        <f t="shared" si="17"/>
        <v>210.04070050076922</v>
      </c>
      <c r="AA47" s="173">
        <f>+_xlfn.XLOOKUP(H47,'Ranking FIFA'!B:B,'Ranking FIFA'!A:A,"--",0)</f>
        <v>13</v>
      </c>
      <c r="AP47" s="457">
        <f>+_xlfn.XLOOKUP(AQ47,'Ranking FIFA'!B:B,'Ranking FIFA'!A:A,"--",0)</f>
        <v>63</v>
      </c>
      <c r="AQ47" t="s">
        <v>91</v>
      </c>
      <c r="AR47" s="6">
        <v>4</v>
      </c>
      <c r="AT47" s="169">
        <f t="shared" si="8"/>
        <v>0</v>
      </c>
      <c r="AU47" s="166">
        <f t="shared" si="9"/>
        <v>2.9703000001587307</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3</v>
      </c>
      <c r="BO47" s="6">
        <f>+SUMIF('Inputs summary'!$B$1:$B$106,$BI47,'Inputs summary'!$D$1:$D$106)+SUMIF('Inputs summary'!$E$1:$E$106,$BI47,'Inputs summary'!$C$1:$C$106)</f>
        <v>0</v>
      </c>
      <c r="BP47" s="166">
        <f t="shared" si="12"/>
        <v>8.0330212999999979</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0</v>
      </c>
      <c r="S48" s="6">
        <f>+COUNTIFS('Inputs summary'!L:L,$H48)</f>
        <v>2</v>
      </c>
      <c r="T48" s="6">
        <f t="shared" si="14"/>
        <v>10</v>
      </c>
      <c r="U48" s="6">
        <f>+SUMIF('Inputs summary'!B:B,H48,'Inputs summary'!C:C)+SUMIF('Inputs summary'!E:E,H48,'Inputs summary'!D:D)</f>
        <v>19</v>
      </c>
      <c r="V48" s="6">
        <f>+SUMIF('Inputs summary'!B:B,H48,'Inputs summary'!D:D)+SUMIF('Inputs summary'!E:E,H48,'Inputs summary'!C:C)</f>
        <v>9</v>
      </c>
      <c r="W48" s="159">
        <f t="shared" si="15"/>
        <v>418.10190000249997</v>
      </c>
      <c r="X48" s="173">
        <f t="shared" si="16"/>
        <v>1111</v>
      </c>
      <c r="Y48" s="167">
        <f t="shared" si="7"/>
        <v>1</v>
      </c>
      <c r="Z48" s="173">
        <f t="shared" si="17"/>
        <v>418.10190100249997</v>
      </c>
      <c r="AA48" s="173">
        <f>+_xlfn.XLOOKUP(H48,'Ranking FIFA'!B:B,'Ranking FIFA'!A:A,"--",0)</f>
        <v>4</v>
      </c>
      <c r="AP48" s="457">
        <f>+_xlfn.XLOOKUP(AQ48,'Ranking FIFA'!B:B,'Ranking FIFA'!A:A,"--",0)</f>
        <v>69</v>
      </c>
      <c r="AQ48" t="s">
        <v>92</v>
      </c>
      <c r="AR48" s="6">
        <v>4</v>
      </c>
      <c r="AT48" s="169">
        <f t="shared" si="8"/>
        <v>0</v>
      </c>
      <c r="AU48" s="166">
        <f t="shared" si="9"/>
        <v>0.94010000014492745</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8</v>
      </c>
      <c r="BO48" s="6">
        <f>+SUMIF('Inputs summary'!$B$1:$B$106,$BI48,'Inputs summary'!$D$1:$D$106)+SUMIF('Inputs summary'!$E$1:$E$106,$BI48,'Inputs summary'!$C$1:$C$106)</f>
        <v>2</v>
      </c>
      <c r="BP48" s="166">
        <f t="shared" si="12"/>
        <v>9.0680103999999986</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0</v>
      </c>
      <c r="S49" s="6">
        <f>+COUNTIFS('Inputs summary'!L:L,$H49)</f>
        <v>3</v>
      </c>
      <c r="T49" s="6">
        <f t="shared" si="14"/>
        <v>-3</v>
      </c>
      <c r="U49" s="6">
        <f>+SUMIF('Inputs summary'!B:B,H49,'Inputs summary'!C:C)+SUMIF('Inputs summary'!E:E,H49,'Inputs summary'!D:D)</f>
        <v>4</v>
      </c>
      <c r="V49" s="6">
        <f>+SUMIF('Inputs summary'!B:B,H49,'Inputs summary'!D:D)+SUMIF('Inputs summary'!E:E,H49,'Inputs summary'!C:C)</f>
        <v>7</v>
      </c>
      <c r="W49" s="159">
        <f t="shared" si="15"/>
        <v>102.97040000090909</v>
      </c>
      <c r="X49" s="173">
        <f t="shared" si="16"/>
        <v>1</v>
      </c>
      <c r="Y49" s="167">
        <f t="shared" si="7"/>
        <v>1</v>
      </c>
      <c r="Z49" s="173">
        <f t="shared" si="17"/>
        <v>102.97040100090909</v>
      </c>
      <c r="AA49" s="173">
        <f>+_xlfn.XLOOKUP(H49,'Ranking FIFA'!B:B,'Ranking FIFA'!A:A,"--",0)</f>
        <v>11</v>
      </c>
      <c r="AP49" s="457">
        <f>+_xlfn.XLOOKUP(AQ49,'Ranking FIFA'!B:B,'Ranking FIFA'!A:A,"--",0)</f>
        <v>82</v>
      </c>
      <c r="AQ49" t="s">
        <v>93</v>
      </c>
      <c r="AR49" s="6">
        <v>4</v>
      </c>
      <c r="AT49" s="169">
        <f t="shared" si="8"/>
        <v>0</v>
      </c>
      <c r="AU49" s="166">
        <f t="shared" si="9"/>
        <v>0.96030000012195116</v>
      </c>
      <c r="BH49">
        <v>46</v>
      </c>
      <c r="BI49" t="str">
        <f t="shared" si="11"/>
        <v>Croacia</v>
      </c>
      <c r="BJ49" s="6">
        <f>+COUNTIFS('Inputs summary'!I$2:I$106,BI49)</f>
        <v>1</v>
      </c>
      <c r="BK49" s="6">
        <f>+COUNTIFS('Inputs summary'!J$2:K$106,BI49)</f>
        <v>0</v>
      </c>
      <c r="BL49" s="6">
        <f>+COUNTIFS('Inputs summary'!L$2:L$106,BI49)</f>
        <v>2</v>
      </c>
      <c r="BM49" s="6">
        <f t="shared" si="19"/>
        <v>-1</v>
      </c>
      <c r="BN49" s="6">
        <f>+SUMIF('Inputs summary'!$B$1:$B$106,$BI49,'Inputs summary'!$C$1:$C$106)+SUMIF('Inputs summary'!$E$1:$E$106,$BI49,'Inputs summary'!$D$1:$D$106)</f>
        <v>4</v>
      </c>
      <c r="BO49" s="6">
        <f>+SUMIF('Inputs summary'!$B$1:$B$106,$BI49,'Inputs summary'!$D$1:$D$106)+SUMIF('Inputs summary'!$E$1:$E$106,$BI49,'Inputs summary'!$C$1:$C$106)</f>
        <v>5</v>
      </c>
      <c r="BP49" s="166">
        <f t="shared" si="12"/>
        <v>2.9940111000000003</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-4</v>
      </c>
      <c r="U50" s="6">
        <f>+SUMIF('Inputs summary'!B:B,H50,'Inputs summary'!C:C)+SUMIF('Inputs summary'!E:E,H50,'Inputs summary'!D:D)</f>
        <v>4</v>
      </c>
      <c r="V50" s="6">
        <f>+SUMIF('Inputs summary'!B:B,H50,'Inputs summary'!D:D)+SUMIF('Inputs summary'!E:E,H50,'Inputs summary'!C:C)</f>
        <v>8</v>
      </c>
      <c r="W50" s="159">
        <f t="shared" si="15"/>
        <v>0.96040000013513505</v>
      </c>
      <c r="X50" s="173">
        <f t="shared" si="16"/>
        <v>0</v>
      </c>
      <c r="Y50" s="167">
        <f t="shared" si="7"/>
        <v>3</v>
      </c>
      <c r="Z50" s="173">
        <f t="shared" si="17"/>
        <v>0.96040033346846843</v>
      </c>
      <c r="AA50" s="173">
        <f>+_xlfn.XLOOKUP(H50,'Ranking FIFA'!B:B,'Ranking FIFA'!A:A,"--",0)</f>
        <v>74</v>
      </c>
      <c r="AP50" s="457">
        <f>+_xlfn.XLOOKUP(AQ50,'Ranking FIFA'!B:B,'Ranking FIFA'!A:A,"--",0)</f>
        <v>83</v>
      </c>
      <c r="AQ50" t="s">
        <v>94</v>
      </c>
      <c r="AR50" s="6">
        <v>4</v>
      </c>
      <c r="AT50" s="169">
        <f t="shared" si="8"/>
        <v>0</v>
      </c>
      <c r="AU50" s="166">
        <f t="shared" si="9"/>
        <v>-7.9799999879518066E-2</v>
      </c>
      <c r="BH50">
        <v>47</v>
      </c>
      <c r="BI50" t="str">
        <f t="shared" si="11"/>
        <v>Ghana</v>
      </c>
      <c r="BJ50" s="6">
        <f>+COUNTIFS('Inputs summary'!I$2:I$106,BI50)</f>
        <v>0</v>
      </c>
      <c r="BK50" s="6">
        <f>+COUNTIFS('Inputs summary'!J$2:K$106,BI50)</f>
        <v>1</v>
      </c>
      <c r="BL50" s="6">
        <f>+COUNTIFS('Inputs summary'!L$2:L$106,BI50)</f>
        <v>2</v>
      </c>
      <c r="BM50" s="6">
        <f t="shared" si="19"/>
        <v>-4</v>
      </c>
      <c r="BN50" s="6">
        <f>+SUMIF('Inputs summary'!$B$1:$B$106,$BI50,'Inputs summary'!$C$1:$C$106)+SUMIF('Inputs summary'!$E$1:$E$106,$BI50,'Inputs summary'!$D$1:$D$106)</f>
        <v>4</v>
      </c>
      <c r="BO50" s="6">
        <f>+SUMIF('Inputs summary'!$B$1:$B$106,$BI50,'Inputs summary'!$D$1:$D$106)+SUMIF('Inputs summary'!$E$1:$E$106,$BI50,'Inputs summary'!$C$1:$C$106)</f>
        <v>8</v>
      </c>
      <c r="BP50" s="166">
        <f t="shared" si="12"/>
        <v>1.9640374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-3</v>
      </c>
      <c r="U51" s="6">
        <f>+SUMIF('Inputs summary'!B:B,H51,'Inputs summary'!C:C)+SUMIF('Inputs summary'!E:E,H51,'Inputs summary'!D:D)</f>
        <v>3</v>
      </c>
      <c r="V51" s="6">
        <f>+SUMIF('Inputs summary'!B:B,H51,'Inputs summary'!D:D)+SUMIF('Inputs summary'!E:E,H51,'Inputs summary'!C:C)</f>
        <v>6</v>
      </c>
      <c r="W51" s="159">
        <f t="shared" si="15"/>
        <v>103.97030000030303</v>
      </c>
      <c r="X51" s="173">
        <f t="shared" si="16"/>
        <v>1</v>
      </c>
      <c r="Y51" s="167">
        <f t="shared" si="7"/>
        <v>3</v>
      </c>
      <c r="Z51" s="173">
        <f t="shared" si="17"/>
        <v>103.97030033363636</v>
      </c>
      <c r="AA51" s="173">
        <f>+_xlfn.XLOOKUP(H51,'Ranking FIFA'!B:B,'Ranking FIFA'!A:A,"--",0)</f>
        <v>33</v>
      </c>
      <c r="AP51" s="457">
        <f>+_xlfn.XLOOKUP(AQ51,'Ranking FIFA'!B:B,'Ranking FIFA'!A:A,"--",0)</f>
        <v>85</v>
      </c>
      <c r="AQ51" t="s">
        <v>95</v>
      </c>
      <c r="AR51" s="6">
        <v>4</v>
      </c>
      <c r="AT51" s="169">
        <f t="shared" si="8"/>
        <v>0</v>
      </c>
      <c r="AU51" s="166">
        <f t="shared" si="9"/>
        <v>0.97010000011764708</v>
      </c>
      <c r="BH51">
        <v>48</v>
      </c>
      <c r="BI51" t="str">
        <f t="shared" si="11"/>
        <v>Panama</v>
      </c>
      <c r="BJ51" s="6">
        <f>+COUNTIFS('Inputs summary'!I$2:I$106,BI51)</f>
        <v>1</v>
      </c>
      <c r="BK51" s="6">
        <f>+COUNTIFS('Inputs summary'!J$2:K$106,BI51)</f>
        <v>1</v>
      </c>
      <c r="BL51" s="6">
        <f>+COUNTIFS('Inputs summary'!L$2:L$106,BI51)</f>
        <v>1</v>
      </c>
      <c r="BM51" s="6">
        <f t="shared" si="19"/>
        <v>-1</v>
      </c>
      <c r="BN51" s="6">
        <f>+SUMIF('Inputs summary'!$B$1:$B$106,$BI51,'Inputs summary'!$C$1:$C$106)+SUMIF('Inputs summary'!$E$1:$E$106,$BI51,'Inputs summary'!$D$1:$D$106)</f>
        <v>3</v>
      </c>
      <c r="BO51" s="6">
        <f>+SUMIF('Inputs summary'!$B$1:$B$106,$BI51,'Inputs summary'!$D$1:$D$106)+SUMIF('Inputs summary'!$E$1:$E$106,$BI51,'Inputs summary'!$C$1:$C$106)</f>
        <v>4</v>
      </c>
      <c r="BP51" s="166">
        <f t="shared" si="12"/>
        <v>4.9930333000000005</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Portugal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2026-05-07T16:58:38Z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