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xr:revisionPtr revIDLastSave="3" documentId="8_{1AE226E3-0A4A-6E40-AD2E-E404B3A3391A}" xr6:coauthVersionLast="47" xr6:coauthVersionMax="47" xr10:uidLastSave="{5494C4BB-9DE4-4A31-A415-EF669D464E09}"/>
  <bookViews>
    <workbookView xWindow="28680" yWindow="-2640" windowWidth="24240" windowHeight="13020" tabRatio="808" firstSheet="1"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definedNames>
    <definedName name="_xlnm._FilterDatabase" localSheetId="8" hidden="1">Aux!$V$3:$Y$51</definedName>
    <definedName name="_xleta.IF" hidden="1" xlm="1">#NAME?</definedName>
    <definedName name="_xleta.ROUND" hidden="1" xlm="1">#NAME?</definedName>
    <definedName name="_xleta.SUMIFS" hidden="1" xlm="1">#NAME?</definedName>
  </definedNames>
  <calcPr calcId="191028" iterate="1" iterateCount="10"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10" l="1"/>
  <c r="B2" i="10"/>
  <c r="A37" i="12"/>
  <c r="B3" i="10"/>
  <c r="A38" i="12"/>
  <c r="B4" i="10"/>
  <c r="A39" i="12"/>
  <c r="B5" i="10"/>
  <c r="A40" i="12"/>
  <c r="B6" i="10"/>
  <c r="A41" i="12"/>
  <c r="B7" i="10"/>
  <c r="A42" i="12"/>
  <c r="B8" i="10"/>
  <c r="B9" i="10"/>
  <c r="A43" i="12"/>
  <c r="B10" i="10"/>
  <c r="A44" i="12"/>
  <c r="B11" i="10"/>
  <c r="A45" i="12"/>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O60" i="4"/>
  <c r="H31" i="5"/>
  <c r="AA31" i="5"/>
  <c r="O84" i="4"/>
  <c r="H40"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C122" i="9"/>
  <c r="C121" i="9"/>
  <c r="C120" i="9"/>
  <c r="C119" i="9"/>
  <c r="C118" i="9"/>
  <c r="C117" i="9"/>
  <c r="C116" i="9"/>
  <c r="C115" i="9"/>
  <c r="C114" i="9"/>
  <c r="C113" i="9"/>
  <c r="C112" i="9"/>
  <c r="C111" i="9"/>
  <c r="C110" i="9"/>
  <c r="C109" i="9"/>
  <c r="C108"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O87" i="4"/>
  <c r="H43" i="5"/>
  <c r="Y43" i="5"/>
  <c r="Y40" i="5"/>
  <c r="O67" i="4"/>
  <c r="H33" i="5"/>
  <c r="Y33" i="5"/>
  <c r="Y31" i="5"/>
  <c r="O57" i="4"/>
  <c r="H28" i="5"/>
  <c r="Y28" i="5"/>
  <c r="O32" i="4"/>
  <c r="H18" i="5"/>
  <c r="Y18" i="5"/>
  <c r="O30" i="4"/>
  <c r="H16" i="5"/>
  <c r="Y16" i="5"/>
  <c r="O5" i="4"/>
  <c r="H6" i="5"/>
  <c r="Y6" i="5"/>
  <c r="O3" i="4"/>
  <c r="H4" i="5"/>
  <c r="Y4" i="5"/>
  <c r="S7" i="7"/>
  <c r="S14" i="7"/>
  <c r="I21" i="7"/>
  <c r="C21" i="7"/>
  <c r="K20" i="7"/>
  <c r="E20" i="7"/>
  <c r="I11" i="7"/>
  <c r="C11" i="7"/>
  <c r="K10" i="7"/>
  <c r="E10" i="7"/>
  <c r="I7" i="7"/>
  <c r="C7" i="7"/>
  <c r="K6" i="7"/>
  <c r="E6" i="7"/>
  <c r="R1" i="2"/>
  <c r="AE1" i="2"/>
  <c r="S1" i="2"/>
  <c r="AF1" i="2"/>
  <c r="T1" i="2"/>
  <c r="AG1" i="2"/>
  <c r="U1" i="2"/>
  <c r="AH1" i="2"/>
  <c r="V1" i="2"/>
  <c r="AI1" i="2"/>
  <c r="W1" i="2"/>
  <c r="AJ1" i="2"/>
  <c r="X1" i="2"/>
  <c r="AK1" i="2"/>
  <c r="Q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AY67" i="4"/>
  <c r="AY60" i="4"/>
  <c r="O51" i="4"/>
  <c r="BK51" i="4"/>
  <c r="O49" i="4"/>
  <c r="AP49" i="4"/>
  <c r="O40" i="4"/>
  <c r="AY40" i="4"/>
  <c r="O42" i="4"/>
  <c r="AY42" i="4"/>
  <c r="O33" i="4"/>
  <c r="AP33" i="4"/>
  <c r="O31" i="4"/>
  <c r="W31" i="4"/>
  <c r="O24" i="4"/>
  <c r="BK24" i="4"/>
  <c r="O22" i="4"/>
  <c r="BK22" i="4"/>
  <c r="O15" i="4"/>
  <c r="BK15" i="4"/>
  <c r="O13" i="4"/>
  <c r="W13" i="4"/>
  <c r="O4" i="4"/>
  <c r="W4" i="4"/>
  <c r="Y105" i="4"/>
  <c r="O105" i="4"/>
  <c r="W105" i="4"/>
  <c r="Y104" i="4"/>
  <c r="O104" i="4"/>
  <c r="W104" i="4"/>
  <c r="Y103" i="4"/>
  <c r="O103" i="4"/>
  <c r="AY103" i="4"/>
  <c r="Y102" i="4"/>
  <c r="O102" i="4"/>
  <c r="W102" i="4"/>
  <c r="O101" i="4"/>
  <c r="Y96" i="4"/>
  <c r="O96" i="4"/>
  <c r="BK96" i="4"/>
  <c r="Y95" i="4"/>
  <c r="O95" i="4"/>
  <c r="W95" i="4"/>
  <c r="Y94" i="4"/>
  <c r="O94" i="4"/>
  <c r="W94" i="4"/>
  <c r="Y93" i="4"/>
  <c r="O93" i="4"/>
  <c r="AP93" i="4"/>
  <c r="O92" i="4"/>
  <c r="Y87" i="4"/>
  <c r="BK87" i="4"/>
  <c r="Y86" i="4"/>
  <c r="O86" i="4"/>
  <c r="AY86" i="4"/>
  <c r="Y85" i="4"/>
  <c r="O85" i="4"/>
  <c r="BK85" i="4"/>
  <c r="Y84" i="4"/>
  <c r="AP84" i="4"/>
  <c r="O83" i="4"/>
  <c r="Y78" i="4"/>
  <c r="O78" i="4"/>
  <c r="W78" i="4"/>
  <c r="Y77" i="4"/>
  <c r="O77" i="4"/>
  <c r="AP77" i="4"/>
  <c r="Y76" i="4"/>
  <c r="O76" i="4"/>
  <c r="AP76" i="4"/>
  <c r="Y75" i="4"/>
  <c r="O75" i="4"/>
  <c r="W75" i="4"/>
  <c r="O74" i="4"/>
  <c r="Y69" i="4"/>
  <c r="Y68" i="4"/>
  <c r="O68" i="4"/>
  <c r="W68" i="4"/>
  <c r="Y67" i="4"/>
  <c r="Y66" i="4"/>
  <c r="O66" i="4"/>
  <c r="W66" i="4"/>
  <c r="O65" i="4"/>
  <c r="Y60" i="4"/>
  <c r="Y59" i="4"/>
  <c r="O59" i="4"/>
  <c r="W59" i="4"/>
  <c r="Y58" i="4"/>
  <c r="Y57" i="4"/>
  <c r="AY57" i="4"/>
  <c r="O56" i="4"/>
  <c r="Y51" i="4"/>
  <c r="Y50" i="4"/>
  <c r="O50" i="4"/>
  <c r="W50" i="4"/>
  <c r="Y49" i="4"/>
  <c r="Y48" i="4"/>
  <c r="O48" i="4"/>
  <c r="W48" i="4"/>
  <c r="O47" i="4"/>
  <c r="Y42" i="4"/>
  <c r="Y41" i="4"/>
  <c r="O41" i="4"/>
  <c r="BK41" i="4"/>
  <c r="Y40" i="4"/>
  <c r="Y39" i="4"/>
  <c r="O39" i="4"/>
  <c r="AY39" i="4"/>
  <c r="O38" i="4"/>
  <c r="Y33" i="4"/>
  <c r="Y32" i="4"/>
  <c r="AY32" i="4"/>
  <c r="Y31" i="4"/>
  <c r="Y30" i="4"/>
  <c r="W30" i="4"/>
  <c r="O29" i="4"/>
  <c r="Y24" i="4"/>
  <c r="Y23" i="4"/>
  <c r="O23" i="4"/>
  <c r="BK23" i="4"/>
  <c r="Y22" i="4"/>
  <c r="Y21" i="4"/>
  <c r="O21" i="4"/>
  <c r="AP21" i="4"/>
  <c r="O20" i="4"/>
  <c r="Y15" i="4"/>
  <c r="Y14" i="4"/>
  <c r="O14" i="4"/>
  <c r="W14" i="4"/>
  <c r="Y13" i="4"/>
  <c r="Y12" i="4"/>
  <c r="O12" i="4"/>
  <c r="W12" i="4"/>
  <c r="O11" i="4"/>
  <c r="Y6" i="4"/>
  <c r="Y5" i="4"/>
  <c r="AP5" i="4"/>
  <c r="Y4" i="4"/>
  <c r="Y3" i="4"/>
  <c r="W3" i="4"/>
  <c r="O2" i="4"/>
  <c r="D122" i="9"/>
  <c r="D121" i="9"/>
  <c r="D120" i="9"/>
  <c r="D119" i="9"/>
  <c r="D118" i="9"/>
  <c r="D117" i="9"/>
  <c r="D116" i="9"/>
  <c r="D115" i="9"/>
  <c r="D114" i="9"/>
  <c r="D113" i="9"/>
  <c r="D112" i="9"/>
  <c r="D111" i="9"/>
  <c r="D110" i="9"/>
  <c r="D109" i="9"/>
  <c r="D108" i="9"/>
  <c r="D107" i="9"/>
  <c r="F3" i="12"/>
  <c r="F6" i="12"/>
  <c r="E18" i="12"/>
  <c r="H5" i="5"/>
  <c r="AA5" i="5"/>
  <c r="H45" i="5"/>
  <c r="AA45" i="5"/>
  <c r="AA28" i="5"/>
  <c r="H44" i="5"/>
  <c r="AA44" i="5"/>
  <c r="AA43" i="5"/>
  <c r="H39" i="5"/>
  <c r="AA39" i="5"/>
  <c r="AA16" i="5"/>
  <c r="H11" i="5"/>
  <c r="AA11" i="5"/>
  <c r="AA4" i="5"/>
  <c r="AA33" i="5"/>
  <c r="H25" i="5"/>
  <c r="AA25" i="5"/>
  <c r="H48" i="5"/>
  <c r="AA48" i="5"/>
  <c r="H36" i="5"/>
  <c r="AA36" i="5"/>
  <c r="H24" i="5"/>
  <c r="AA24" i="5"/>
  <c r="H20" i="5"/>
  <c r="AA20" i="5"/>
  <c r="AA18" i="5"/>
  <c r="AA6" i="5"/>
  <c r="BI4" i="5"/>
  <c r="BI6" i="5"/>
  <c r="BN6" i="5"/>
  <c r="BI33" i="5"/>
  <c r="BI18" i="5"/>
  <c r="BI31" i="5"/>
  <c r="BI43" i="5"/>
  <c r="BO43" i="5"/>
  <c r="BI16" i="5"/>
  <c r="BI28" i="5"/>
  <c r="H19" i="5"/>
  <c r="AA19" i="5"/>
  <c r="C106" i="9"/>
  <c r="I106" i="9"/>
  <c r="T105" i="4"/>
  <c r="D39" i="9"/>
  <c r="L39" i="9"/>
  <c r="BH107" i="4"/>
  <c r="D66" i="9"/>
  <c r="D102" i="9"/>
  <c r="D84" i="9"/>
  <c r="C93" i="9"/>
  <c r="D48" i="9"/>
  <c r="BH86" i="4"/>
  <c r="BH89" i="4"/>
  <c r="CA104" i="4"/>
  <c r="U105" i="4"/>
  <c r="BG85" i="4"/>
  <c r="C102" i="9"/>
  <c r="I89" i="9"/>
  <c r="J55" i="9"/>
  <c r="I62" i="9"/>
  <c r="K91" i="9"/>
  <c r="I73" i="9"/>
  <c r="D57" i="9"/>
  <c r="J57" i="9"/>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c r="BH22" i="4"/>
  <c r="D103" i="9"/>
  <c r="J103" i="9"/>
  <c r="D104" i="9"/>
  <c r="T94" i="4"/>
  <c r="C104" i="9"/>
  <c r="CA88" i="4"/>
  <c r="CA105" i="4"/>
  <c r="U104" i="4"/>
  <c r="CB88" i="4"/>
  <c r="D105" i="9"/>
  <c r="L105" i="9"/>
  <c r="D96" i="9"/>
  <c r="I96" i="9"/>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U93" i="4"/>
  <c r="K85" i="9"/>
  <c r="L88" i="9"/>
  <c r="K88" i="9"/>
  <c r="T76" i="4"/>
  <c r="U84" i="4"/>
  <c r="CA41" i="4"/>
  <c r="T85" i="4"/>
  <c r="CB44" i="4"/>
  <c r="BH87" i="4"/>
  <c r="J75" i="9"/>
  <c r="D67" i="9"/>
  <c r="J67" i="9"/>
  <c r="D16" i="9"/>
  <c r="T86" i="4"/>
  <c r="T60" i="4"/>
  <c r="CA89" i="4"/>
  <c r="D70" i="9"/>
  <c r="BH8" i="4"/>
  <c r="L97" i="9"/>
  <c r="U85" i="4"/>
  <c r="BG50" i="4"/>
  <c r="CA93" i="4"/>
  <c r="C52" i="9"/>
  <c r="K97" i="9"/>
  <c r="L85" i="9"/>
  <c r="J97" i="9"/>
  <c r="J87" i="9"/>
  <c r="O69" i="4"/>
  <c r="T69" i="4"/>
  <c r="T87" i="4"/>
  <c r="C74" i="9"/>
  <c r="D69" i="9"/>
  <c r="I69" i="9"/>
  <c r="J88" i="9"/>
  <c r="J85" i="9"/>
  <c r="I88" i="9"/>
  <c r="I85" i="9"/>
  <c r="T75" i="4"/>
  <c r="U87" i="4"/>
  <c r="C79" i="9"/>
  <c r="L87" i="9"/>
  <c r="U75" i="4"/>
  <c r="K87" i="9"/>
  <c r="C83" i="9"/>
  <c r="BN40" i="5"/>
  <c r="K75" i="9"/>
  <c r="T84" i="4"/>
  <c r="U76" i="4"/>
  <c r="L78" i="9"/>
  <c r="J78" i="9"/>
  <c r="CA77" i="4"/>
  <c r="D76" i="9"/>
  <c r="J76" i="9"/>
  <c r="D58" i="9"/>
  <c r="K58" i="9"/>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O58" i="4"/>
  <c r="T58" i="4"/>
  <c r="U58" i="4"/>
  <c r="C51" i="9"/>
  <c r="CA59" i="4"/>
  <c r="U59" i="4"/>
  <c r="D60" i="9"/>
  <c r="C43" i="9"/>
  <c r="D41" i="9"/>
  <c r="CB15" i="4"/>
  <c r="C6" i="9"/>
  <c r="L6" i="9"/>
  <c r="T39" i="4"/>
  <c r="C60" i="9"/>
  <c r="T48" i="4"/>
  <c r="D50" i="9"/>
  <c r="BH61" i="4"/>
  <c r="T40" i="4"/>
  <c r="U15" i="4"/>
  <c r="U33" i="4"/>
  <c r="T50" i="4"/>
  <c r="BH33" i="4"/>
  <c r="BH51" i="4"/>
  <c r="U32" i="4"/>
  <c r="T42" i="4"/>
  <c r="T49" i="4"/>
  <c r="U48" i="4"/>
  <c r="C47" i="9"/>
  <c r="U49" i="4"/>
  <c r="BG39" i="4"/>
  <c r="D49" i="9"/>
  <c r="L49" i="9"/>
  <c r="C42" i="9"/>
  <c r="D14" i="9"/>
  <c r="T15" i="4"/>
  <c r="T21" i="4"/>
  <c r="U31" i="4"/>
  <c r="C24" i="9"/>
  <c r="L24" i="9"/>
  <c r="C38" i="9"/>
  <c r="U40" i="4"/>
  <c r="T31" i="4"/>
  <c r="I29" i="9"/>
  <c r="K29" i="9"/>
  <c r="L29" i="9"/>
  <c r="D22" i="9"/>
  <c r="I22" i="9"/>
  <c r="T24" i="4"/>
  <c r="CA35" i="4"/>
  <c r="C32" i="9"/>
  <c r="BG8" i="4"/>
  <c r="CA32" i="4"/>
  <c r="BH42" i="4"/>
  <c r="CA42" i="4"/>
  <c r="J29" i="9"/>
  <c r="K21" i="9"/>
  <c r="CA44" i="4"/>
  <c r="CB32" i="4"/>
  <c r="T32" i="4"/>
  <c r="CB41" i="4"/>
  <c r="D32" i="9"/>
  <c r="BO16" i="5"/>
  <c r="BH7" i="4"/>
  <c r="CA33" i="4"/>
  <c r="L34" i="9"/>
  <c r="U39" i="4"/>
  <c r="T41" i="4"/>
  <c r="U23" i="4"/>
  <c r="T30" i="4"/>
  <c r="U24" i="4"/>
  <c r="U22" i="4"/>
  <c r="K7" i="9"/>
  <c r="CA26" i="4"/>
  <c r="D33" i="9"/>
  <c r="J33" i="9"/>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c r="L7" i="9"/>
  <c r="T4" i="4"/>
  <c r="J7" i="9"/>
  <c r="CA6" i="4"/>
  <c r="U3" i="4"/>
  <c r="L3" i="9"/>
  <c r="K3" i="9"/>
  <c r="J3" i="9"/>
  <c r="H17" i="5"/>
  <c r="AA17" i="5"/>
  <c r="H41" i="5"/>
  <c r="AA41" i="5"/>
  <c r="H8" i="5"/>
  <c r="AA8" i="5"/>
  <c r="H32" i="5"/>
  <c r="AA32" i="5"/>
  <c r="H23" i="5"/>
  <c r="AA23" i="5"/>
  <c r="H47" i="5"/>
  <c r="AA47" i="5"/>
  <c r="H10" i="5"/>
  <c r="AA10" i="5"/>
  <c r="H22" i="5"/>
  <c r="AA22" i="5"/>
  <c r="H34" i="5"/>
  <c r="AA34" i="5"/>
  <c r="H46" i="5"/>
  <c r="AA46" i="5"/>
  <c r="H9" i="5"/>
  <c r="AA9" i="5"/>
  <c r="H21" i="5"/>
  <c r="AA21" i="5"/>
  <c r="H12" i="5"/>
  <c r="AA12" i="5"/>
  <c r="H42" i="5"/>
  <c r="AA42" i="5"/>
  <c r="H15" i="5"/>
  <c r="AA15" i="5"/>
  <c r="H27" i="5"/>
  <c r="AA27" i="5"/>
  <c r="H51" i="5"/>
  <c r="AA51" i="5"/>
  <c r="H30" i="5"/>
  <c r="AA30" i="5"/>
  <c r="H14" i="5"/>
  <c r="AA14" i="5"/>
  <c r="H26" i="5"/>
  <c r="AA26" i="5"/>
  <c r="H38" i="5"/>
  <c r="AA38" i="5"/>
  <c r="H50" i="5"/>
  <c r="AA50" i="5"/>
  <c r="H13" i="5"/>
  <c r="AA13" i="5"/>
  <c r="H37" i="5"/>
  <c r="AA37" i="5"/>
  <c r="H49" i="5"/>
  <c r="AA49" i="5"/>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c r="M58" i="4"/>
  <c r="AP103" i="4"/>
  <c r="M49" i="4"/>
  <c r="BK42" i="4"/>
  <c r="CE42" i="4"/>
  <c r="BK103" i="4"/>
  <c r="CE103" i="4"/>
  <c r="AP105" i="4"/>
  <c r="AY21" i="4"/>
  <c r="AP24" i="4"/>
  <c r="AY59" i="4"/>
  <c r="AP31" i="4"/>
  <c r="BK78" i="4"/>
  <c r="CE78" i="4"/>
  <c r="BK21" i="4"/>
  <c r="CE21" i="4"/>
  <c r="AP23" i="4"/>
  <c r="BK68" i="4"/>
  <c r="CE68" i="4"/>
  <c r="AY24" i="4"/>
  <c r="AY23" i="4"/>
  <c r="BK84" i="4"/>
  <c r="CE84" i="4"/>
  <c r="AP86" i="4"/>
  <c r="AY76" i="4"/>
  <c r="BK93" i="4"/>
  <c r="CE93" i="4"/>
  <c r="AP95" i="4"/>
  <c r="AP59" i="4"/>
  <c r="AY78" i="4"/>
  <c r="BK95" i="4"/>
  <c r="CE95" i="4"/>
  <c r="M66" i="4"/>
  <c r="AP15" i="4"/>
  <c r="AP40" i="4"/>
  <c r="AP66" i="4"/>
  <c r="AP94" i="4"/>
  <c r="AP96" i="4"/>
  <c r="BK104" i="4"/>
  <c r="CE104" i="4"/>
  <c r="AY22" i="4"/>
  <c r="AY66" i="4"/>
  <c r="AY94" i="4"/>
  <c r="AY95" i="4"/>
  <c r="AY96" i="4"/>
  <c r="AY14" i="4"/>
  <c r="BK33" i="4"/>
  <c r="CE33" i="4"/>
  <c r="BK76" i="4"/>
  <c r="AP78" i="4"/>
  <c r="AY93" i="4"/>
  <c r="BK57" i="4"/>
  <c r="CE57" i="4"/>
  <c r="BK31" i="4"/>
  <c r="CE31" i="4"/>
  <c r="BK102" i="4"/>
  <c r="CE102" i="4"/>
  <c r="AP39" i="4"/>
  <c r="BK59" i="4"/>
  <c r="CE59" i="4"/>
  <c r="AP68" i="4"/>
  <c r="BK86" i="4"/>
  <c r="CE86" i="4"/>
  <c r="BK14" i="4"/>
  <c r="CE14" i="4"/>
  <c r="BK94" i="4"/>
  <c r="CE94" i="4"/>
  <c r="AP102" i="4"/>
  <c r="AP104" i="4"/>
  <c r="AY102" i="4"/>
  <c r="AY104" i="4"/>
  <c r="BK48" i="4"/>
  <c r="CE48" i="4"/>
  <c r="CE96" i="4"/>
  <c r="AY12" i="4"/>
  <c r="AY33" i="4"/>
  <c r="AP42" i="4"/>
  <c r="AY48" i="4"/>
  <c r="AY49" i="4"/>
  <c r="AP57" i="4"/>
  <c r="AY84" i="4"/>
  <c r="AP85" i="4"/>
  <c r="BK32" i="4"/>
  <c r="BK60" i="4"/>
  <c r="CE60" i="4"/>
  <c r="BK67" i="4"/>
  <c r="AY77" i="4"/>
  <c r="AP14" i="4"/>
  <c r="CE23" i="4"/>
  <c r="BK39" i="4"/>
  <c r="BK40" i="4"/>
  <c r="AP41" i="4"/>
  <c r="AY68" i="4"/>
  <c r="BK13" i="4"/>
  <c r="AP22" i="4"/>
  <c r="BK75" i="4"/>
  <c r="AY85" i="4"/>
  <c r="BK12" i="4"/>
  <c r="CE12" i="4"/>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c r="BK5" i="4"/>
  <c r="CE5" i="4"/>
  <c r="BK3" i="4"/>
  <c r="CE3" i="4"/>
  <c r="AY5" i="4"/>
  <c r="L3" i="4"/>
  <c r="O6" i="4"/>
  <c r="H7" i="5"/>
  <c r="AA7" i="5"/>
  <c r="L7" i="4"/>
  <c r="M4" i="4"/>
  <c r="M5" i="4"/>
  <c r="AY3" i="4"/>
  <c r="AY4" i="4"/>
  <c r="W96" i="4"/>
  <c r="W93" i="4"/>
  <c r="W87" i="4"/>
  <c r="W86" i="4"/>
  <c r="W84" i="4"/>
  <c r="W77" i="4"/>
  <c r="W51" i="4"/>
  <c r="W49" i="4"/>
  <c r="W33" i="4"/>
  <c r="W22" i="4"/>
  <c r="W23" i="4"/>
  <c r="W15" i="4"/>
  <c r="W5" i="4"/>
  <c r="W103" i="4"/>
  <c r="W85" i="4"/>
  <c r="W76" i="4"/>
  <c r="W42" i="4"/>
  <c r="W39" i="4"/>
  <c r="W40" i="4"/>
  <c r="W32" i="4"/>
  <c r="AP3" i="4"/>
  <c r="AP4" i="4"/>
  <c r="W21" i="4"/>
  <c r="W41" i="4"/>
  <c r="W24" i="4"/>
  <c r="W67" i="4"/>
  <c r="W57" i="4"/>
  <c r="W60" i="4"/>
  <c r="K106" i="9"/>
  <c r="J39" i="9"/>
  <c r="BO18" i="5"/>
  <c r="Y8" i="5"/>
  <c r="BI8" i="5"/>
  <c r="Y30" i="5"/>
  <c r="BI30" i="5"/>
  <c r="Y17" i="5"/>
  <c r="BI17" i="5"/>
  <c r="Y39" i="5"/>
  <c r="BI39" i="5"/>
  <c r="BN39" i="5"/>
  <c r="Y10" i="5"/>
  <c r="BI10" i="5"/>
  <c r="Y13" i="5"/>
  <c r="BI13" i="5"/>
  <c r="Y11" i="5"/>
  <c r="BI11" i="5"/>
  <c r="Y50" i="5"/>
  <c r="BI50" i="5"/>
  <c r="BN50" i="5"/>
  <c r="Y24" i="5"/>
  <c r="BI24" i="5"/>
  <c r="Y44" i="5"/>
  <c r="BI44" i="5"/>
  <c r="Y14" i="5"/>
  <c r="BI14" i="5"/>
  <c r="BO14" i="5"/>
  <c r="Y51" i="5"/>
  <c r="BI51" i="5"/>
  <c r="Y5" i="5"/>
  <c r="BI5" i="5"/>
  <c r="BN5" i="5"/>
  <c r="Y22" i="5"/>
  <c r="BI22" i="5"/>
  <c r="BN22" i="5"/>
  <c r="Y49" i="5"/>
  <c r="BI49" i="5"/>
  <c r="BO49" i="5"/>
  <c r="Y36" i="5"/>
  <c r="BI36" i="5"/>
  <c r="BN36" i="5"/>
  <c r="Y12" i="5"/>
  <c r="BI12" i="5"/>
  <c r="BN12" i="5"/>
  <c r="Y32" i="5"/>
  <c r="BI32" i="5"/>
  <c r="BN32" i="5"/>
  <c r="BO44" i="5"/>
  <c r="BN13" i="5"/>
  <c r="Y41" i="5"/>
  <c r="BI41" i="5"/>
  <c r="BN41" i="5"/>
  <c r="Y42" i="5"/>
  <c r="BI42" i="5"/>
  <c r="BN42" i="5"/>
  <c r="Y20" i="5"/>
  <c r="BI20" i="5"/>
  <c r="BN20" i="5"/>
  <c r="Y21" i="5"/>
  <c r="BI21" i="5"/>
  <c r="Y46" i="5"/>
  <c r="BI46" i="5"/>
  <c r="BO46" i="5"/>
  <c r="Y34" i="5"/>
  <c r="BI34" i="5"/>
  <c r="BN34" i="5"/>
  <c r="Y27" i="5"/>
  <c r="BI27" i="5"/>
  <c r="Y37" i="5"/>
  <c r="BI37" i="5"/>
  <c r="BO37" i="5"/>
  <c r="Y47" i="5"/>
  <c r="BI47" i="5"/>
  <c r="BN47" i="5"/>
  <c r="Y25" i="5"/>
  <c r="BI25" i="5"/>
  <c r="BO25" i="5"/>
  <c r="Y48" i="5"/>
  <c r="BI48" i="5"/>
  <c r="BO48" i="5"/>
  <c r="Y23" i="5"/>
  <c r="BI23" i="5"/>
  <c r="BO10" i="5"/>
  <c r="BO39" i="5"/>
  <c r="Y45" i="5"/>
  <c r="BI45" i="5"/>
  <c r="BO45" i="5"/>
  <c r="Y38" i="5"/>
  <c r="BI38" i="5"/>
  <c r="BN38" i="5"/>
  <c r="Y26" i="5"/>
  <c r="BI26" i="5"/>
  <c r="BN26" i="5"/>
  <c r="Y19" i="5"/>
  <c r="BI19" i="5"/>
  <c r="BN19" i="5"/>
  <c r="Y15" i="5"/>
  <c r="BI15" i="5"/>
  <c r="BO15" i="5"/>
  <c r="Y9" i="5"/>
  <c r="BI9" i="5"/>
  <c r="U6" i="4"/>
  <c r="Y7" i="5"/>
  <c r="BI7" i="5"/>
  <c r="BO7" i="5"/>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c r="BN17" i="5"/>
  <c r="BN16" i="5"/>
  <c r="BM16" i="5"/>
  <c r="BO17" i="5"/>
  <c r="BO12" i="5"/>
  <c r="L25" i="9"/>
  <c r="BO13" i="5"/>
  <c r="K16" i="9"/>
  <c r="BO9" i="5"/>
  <c r="BN8" i="5"/>
  <c r="BN9" i="5"/>
  <c r="J4" i="9"/>
  <c r="BN7" i="5"/>
  <c r="BM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c r="AU69" i="4"/>
  <c r="H35" i="5"/>
  <c r="AA35" i="5"/>
  <c r="R40" i="4"/>
  <c r="BK6" i="4"/>
  <c r="CE6" i="4"/>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O50" i="5"/>
  <c r="BM50" i="5"/>
  <c r="BN49" i="5"/>
  <c r="BM49" i="5"/>
  <c r="BN48" i="5"/>
  <c r="BM48" i="5"/>
  <c r="BO20" i="5"/>
  <c r="BN14" i="5"/>
  <c r="BM14" i="5"/>
  <c r="BN15" i="5"/>
  <c r="BM15" i="5"/>
  <c r="BO22" i="5"/>
  <c r="BM22" i="5"/>
  <c r="BO36" i="5"/>
  <c r="BM36" i="5"/>
  <c r="BO47" i="5"/>
  <c r="BM47" i="5"/>
  <c r="BN37" i="5"/>
  <c r="BM37" i="5"/>
  <c r="BO5" i="5"/>
  <c r="BM5" i="5"/>
  <c r="BO42" i="5"/>
  <c r="BM42" i="5"/>
  <c r="BM12" i="5"/>
  <c r="BO34" i="5"/>
  <c r="BM34" i="5"/>
  <c r="BO38" i="5"/>
  <c r="BM38" i="5"/>
  <c r="BM20" i="5"/>
  <c r="BM41" i="5"/>
  <c r="BM39" i="5"/>
  <c r="BM44" i="5"/>
  <c r="BM13" i="5"/>
  <c r="BM10" i="5"/>
  <c r="BN46" i="5"/>
  <c r="BM46" i="5"/>
  <c r="BO19" i="5"/>
  <c r="BM19" i="5"/>
  <c r="Y29" i="5"/>
  <c r="BI29" i="5"/>
  <c r="BL29" i="5"/>
  <c r="Y35" i="5"/>
  <c r="BI35" i="5"/>
  <c r="BL35" i="5"/>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c r="AZ67" i="4"/>
  <c r="AZ60" i="4"/>
  <c r="AZ86" i="4"/>
  <c r="AZ95" i="4"/>
  <c r="AZ102" i="4"/>
  <c r="AZ51" i="4"/>
  <c r="AZ105" i="4"/>
  <c r="AZ78" i="4"/>
  <c r="AZ77" i="4"/>
  <c r="AZ93" i="4"/>
  <c r="AZ103" i="4"/>
  <c r="AZ104" i="4"/>
  <c r="AZ96" i="4"/>
  <c r="AZ76" i="4"/>
  <c r="AZ49" i="4"/>
  <c r="AZ94" i="4"/>
  <c r="AZ39" i="4"/>
  <c r="BA39" i="4"/>
  <c r="AZ59" i="4"/>
  <c r="AZ30" i="4"/>
  <c r="BA30" i="4"/>
  <c r="AZ31" i="4"/>
  <c r="AZ66" i="4"/>
  <c r="BA66" i="4"/>
  <c r="AZ33" i="4"/>
  <c r="AZ87" i="4"/>
  <c r="AZ48" i="4"/>
  <c r="BA48" i="4"/>
  <c r="AZ85" i="4"/>
  <c r="AZ41" i="4"/>
  <c r="AZ68" i="4"/>
  <c r="AZ75" i="4"/>
  <c r="AZ32" i="4"/>
  <c r="AZ42" i="4"/>
  <c r="AZ40" i="4"/>
  <c r="AZ84" i="4"/>
  <c r="AZ3" i="4"/>
  <c r="AZ23" i="4"/>
  <c r="AZ13" i="4"/>
  <c r="AZ50" i="4"/>
  <c r="AZ12" i="4"/>
  <c r="BA12" i="4"/>
  <c r="AZ24" i="4"/>
  <c r="AZ15" i="4"/>
  <c r="AZ22" i="4"/>
  <c r="AZ14" i="4"/>
  <c r="AZ21" i="4"/>
  <c r="BA21" i="4"/>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c r="BP35" i="5"/>
  <c r="BM29" i="5"/>
  <c r="BP29" i="5"/>
  <c r="BF28" i="4"/>
  <c r="BF55" i="4"/>
  <c r="BF10" i="4"/>
  <c r="BF46" i="4"/>
  <c r="BB49" i="4"/>
  <c r="BF19" i="4"/>
  <c r="BF64" i="4"/>
  <c r="BF37" i="4"/>
  <c r="BB40" i="4"/>
  <c r="BF82" i="4"/>
  <c r="BB87" i="4"/>
  <c r="BF91" i="4"/>
  <c r="BF73" i="4"/>
  <c r="BF100" i="4"/>
  <c r="BB105" i="4"/>
  <c r="BF35" i="4"/>
  <c r="BF14" i="4"/>
  <c r="BI21" i="4"/>
  <c r="BI97" i="4"/>
  <c r="BF62" i="4"/>
  <c r="BI71" i="4"/>
  <c r="BI76" i="4"/>
  <c r="BR4" i="5"/>
  <c r="BB32" i="4"/>
  <c r="BB31" i="4"/>
  <c r="BB30" i="4"/>
  <c r="BB33" i="4"/>
  <c r="BB57" i="4"/>
  <c r="BB59" i="4"/>
  <c r="BB58" i="4"/>
  <c r="BB60" i="4"/>
  <c r="BB13" i="4"/>
  <c r="BB12" i="4"/>
  <c r="BB14" i="4"/>
  <c r="BB15" i="4"/>
  <c r="BB22" i="4"/>
  <c r="BB66" i="4"/>
  <c r="BB51" i="4"/>
  <c r="BB23" i="4"/>
  <c r="BB21" i="4"/>
  <c r="BB24" i="4"/>
  <c r="BB48" i="4"/>
  <c r="BB67" i="4"/>
  <c r="BB68" i="4"/>
  <c r="BB50" i="4"/>
  <c r="BB42" i="4"/>
  <c r="BB41" i="4"/>
  <c r="BB69" i="4"/>
  <c r="BB39" i="4"/>
  <c r="BB84" i="4"/>
  <c r="BB86" i="4"/>
  <c r="BB85" i="4"/>
  <c r="BB96" i="4"/>
  <c r="BB94" i="4"/>
  <c r="BB95" i="4"/>
  <c r="BB93" i="4"/>
  <c r="BB75" i="4"/>
  <c r="BB78" i="4"/>
  <c r="BB77" i="4"/>
  <c r="BB76" i="4"/>
  <c r="BB103" i="4"/>
  <c r="BB104" i="4"/>
  <c r="BB102"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S4" i="5"/>
  <c r="BI30" i="4"/>
  <c r="BF33" i="4"/>
  <c r="BF32" i="4"/>
  <c r="BI34" i="4"/>
  <c r="BI32" i="4"/>
  <c r="BF60" i="4"/>
  <c r="BI60" i="4"/>
  <c r="BF61" i="4"/>
  <c r="BF59" i="4"/>
  <c r="BI15" i="4"/>
  <c r="BI16" i="4"/>
  <c r="BF12" i="4"/>
  <c r="BF17" i="4"/>
  <c r="BF21" i="4"/>
  <c r="BI26" i="4"/>
  <c r="BI48" i="4"/>
  <c r="BF49" i="4"/>
  <c r="BF39" i="4"/>
  <c r="BF52" i="4"/>
  <c r="BI23" i="4"/>
  <c r="BF48" i="4"/>
  <c r="BF25" i="4"/>
  <c r="BI24" i="4"/>
  <c r="BF24" i="4"/>
  <c r="BI53" i="4"/>
  <c r="BI52" i="4"/>
  <c r="BI49" i="4"/>
  <c r="BF53" i="4"/>
  <c r="BI67" i="4"/>
  <c r="BF22" i="4"/>
  <c r="BI66" i="4"/>
  <c r="BI41" i="4"/>
  <c r="BI39" i="4"/>
  <c r="BI44" i="4"/>
  <c r="BF68" i="4"/>
  <c r="BF71" i="4"/>
  <c r="BI43" i="4"/>
  <c r="BF43" i="4"/>
  <c r="BI86" i="4"/>
  <c r="BF86" i="4"/>
  <c r="BI84" i="4"/>
  <c r="BF87" i="4"/>
  <c r="BI88" i="4"/>
  <c r="BI94" i="4"/>
  <c r="BF93" i="4"/>
  <c r="BF97" i="4"/>
  <c r="BI96" i="4"/>
  <c r="BI93" i="4"/>
  <c r="BF96" i="4"/>
  <c r="BF75" i="4"/>
  <c r="BI75" i="4"/>
  <c r="BI98" i="4"/>
  <c r="BF80" i="4"/>
  <c r="BI79" i="4"/>
  <c r="BI104" i="4"/>
  <c r="BF104" i="4"/>
  <c r="BI105" i="4"/>
  <c r="BF105" i="4"/>
  <c r="BI106" i="4"/>
  <c r="BI107" i="4"/>
  <c r="BF30" i="4"/>
  <c r="BF31" i="4"/>
  <c r="BI33" i="4"/>
  <c r="BI31" i="4"/>
  <c r="BI35" i="4"/>
  <c r="BF34" i="4"/>
  <c r="BI59" i="4"/>
  <c r="BI61" i="4"/>
  <c r="BF58" i="4"/>
  <c r="BI57" i="4"/>
  <c r="BI62" i="4"/>
  <c r="BF57" i="4"/>
  <c r="BI58" i="4"/>
  <c r="BF15" i="4"/>
  <c r="BI14" i="4"/>
  <c r="BI13" i="4"/>
  <c r="BI17" i="4"/>
  <c r="BF16" i="4"/>
  <c r="BI12" i="4"/>
  <c r="BF13" i="4"/>
  <c r="BI25" i="4"/>
  <c r="BI51" i="4"/>
  <c r="BF51" i="4"/>
  <c r="BI69" i="4"/>
  <c r="BF26" i="4"/>
  <c r="BI22" i="4"/>
  <c r="BF69" i="4"/>
  <c r="BF67" i="4"/>
  <c r="BF50" i="4"/>
  <c r="BI50" i="4"/>
  <c r="BF44" i="4"/>
  <c r="BF70" i="4"/>
  <c r="BF23" i="4"/>
  <c r="BI70" i="4"/>
  <c r="BI42" i="4"/>
  <c r="BF40" i="4"/>
  <c r="BI68" i="4"/>
  <c r="BF66" i="4"/>
  <c r="BI40" i="4"/>
  <c r="BF42" i="4"/>
  <c r="BF41" i="4"/>
  <c r="BF85" i="4"/>
  <c r="BF84" i="4"/>
  <c r="BI89" i="4"/>
  <c r="BI85" i="4"/>
  <c r="BF88" i="4"/>
  <c r="BF89" i="4"/>
  <c r="BF94" i="4"/>
  <c r="BI87" i="4"/>
  <c r="BF98" i="4"/>
  <c r="BI95" i="4"/>
  <c r="BF95" i="4"/>
  <c r="BF78" i="4"/>
  <c r="BF77" i="4"/>
  <c r="BF79" i="4"/>
  <c r="BI80" i="4"/>
  <c r="BF76" i="4"/>
  <c r="BI77" i="4"/>
  <c r="BI78" i="4"/>
  <c r="BI102" i="4"/>
  <c r="BI103" i="4"/>
  <c r="BF107" i="4"/>
  <c r="BF106" i="4"/>
  <c r="BF102" i="4"/>
  <c r="BF103" i="4"/>
  <c r="BE76" i="4"/>
  <c r="BE14" i="4"/>
  <c r="BE62" i="4"/>
  <c r="BE35" i="4"/>
  <c r="BE32" i="4"/>
  <c r="BN31" i="4"/>
  <c r="BE97" i="4"/>
  <c r="BE71" i="4"/>
  <c r="BE21" i="4"/>
  <c r="BE30" i="4"/>
  <c r="BE34" i="4"/>
  <c r="BE31" i="4"/>
  <c r="BN32" i="4"/>
  <c r="BE33" i="4"/>
  <c r="BE60" i="4"/>
  <c r="BE58" i="4"/>
  <c r="BN60" i="4"/>
  <c r="BE61" i="4"/>
  <c r="BE59" i="4"/>
  <c r="BE66" i="4"/>
  <c r="BE57" i="4"/>
  <c r="BN57" i="4"/>
  <c r="BE39" i="4"/>
  <c r="BE15" i="4"/>
  <c r="BE16" i="4"/>
  <c r="BE25" i="4"/>
  <c r="BE26" i="4"/>
  <c r="BE13" i="4"/>
  <c r="BE17" i="4"/>
  <c r="BE12" i="4"/>
  <c r="BE51" i="4"/>
  <c r="BE48" i="4"/>
  <c r="BE70" i="4"/>
  <c r="BE24" i="4"/>
  <c r="BE50" i="4"/>
  <c r="BE52" i="4"/>
  <c r="BE49" i="4"/>
  <c r="BN50" i="4"/>
  <c r="BE23" i="4"/>
  <c r="BE69" i="4"/>
  <c r="BE22" i="4"/>
  <c r="BE53" i="4"/>
  <c r="BE42" i="4"/>
  <c r="BE43" i="4"/>
  <c r="BE44" i="4"/>
  <c r="BE67" i="4"/>
  <c r="BE68" i="4"/>
  <c r="BE40" i="4"/>
  <c r="BE41" i="4"/>
  <c r="BE88" i="4"/>
  <c r="BE89" i="4"/>
  <c r="BE84" i="4"/>
  <c r="BE95" i="4"/>
  <c r="BE86" i="4"/>
  <c r="BE94" i="4"/>
  <c r="BE75" i="4"/>
  <c r="BE93" i="4"/>
  <c r="BE87" i="4"/>
  <c r="BE77" i="4"/>
  <c r="BE80" i="4"/>
  <c r="BE85" i="4"/>
  <c r="BE98" i="4"/>
  <c r="BE78" i="4"/>
  <c r="BE96" i="4"/>
  <c r="BE79" i="4"/>
  <c r="BE102" i="4"/>
  <c r="BE104" i="4"/>
  <c r="BE107" i="4"/>
  <c r="BE106" i="4"/>
  <c r="BE103" i="4"/>
  <c r="BE105" i="4"/>
  <c r="BN66" i="4"/>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c r="BA4" i="4"/>
  <c r="BA3" i="4"/>
  <c r="BA6" i="4"/>
  <c r="BF1" i="4"/>
  <c r="BB4" i="4"/>
  <c r="BB6" i="4"/>
  <c r="BB5" i="4"/>
  <c r="BB3" i="4"/>
  <c r="BF7" i="4"/>
  <c r="BI7" i="4"/>
  <c r="BI6" i="4"/>
  <c r="BF8" i="4"/>
  <c r="BI5" i="4"/>
  <c r="BF6" i="4"/>
  <c r="BF5" i="4"/>
  <c r="BI3" i="4"/>
  <c r="BI4" i="4"/>
  <c r="BF4" i="4"/>
  <c r="BI8" i="4"/>
  <c r="BF3" i="4"/>
  <c r="BC103" i="4"/>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c r="BZ19" i="4"/>
  <c r="BZ100" i="4"/>
  <c r="BZ55" i="4"/>
  <c r="BZ28" i="4"/>
  <c r="BZ37" i="4"/>
  <c r="BZ91" i="4"/>
  <c r="BZ82" i="4"/>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L4" i="4"/>
  <c r="BM6" i="4"/>
  <c r="BO5" i="4"/>
  <c r="BL6" i="4"/>
  <c r="BQ4" i="4"/>
  <c r="BR4" i="4"/>
  <c r="BL3" i="4"/>
  <c r="BQ5" i="4"/>
  <c r="BQ6" i="4"/>
  <c r="BQ3" i="4"/>
  <c r="BR3" i="4"/>
  <c r="BR5" i="4"/>
  <c r="BL5" i="4"/>
  <c r="BR6" i="4"/>
  <c r="BZ104" i="4"/>
  <c r="CC30" i="4"/>
  <c r="BZ3" i="4"/>
  <c r="CC21" i="4"/>
  <c r="CC58" i="4"/>
  <c r="BZ43" i="4"/>
  <c r="CC86" i="4"/>
  <c r="BP93" i="4"/>
  <c r="BS93" i="4"/>
  <c r="BP40" i="4"/>
  <c r="BS40" i="4"/>
  <c r="BP14" i="4"/>
  <c r="BS14" i="4"/>
  <c r="BP23" i="4"/>
  <c r="BS23" i="4"/>
  <c r="BP48" i="4"/>
  <c r="BS48" i="4"/>
  <c r="BP42" i="4"/>
  <c r="BS42" i="4"/>
  <c r="BP31" i="4"/>
  <c r="BS31" i="4"/>
  <c r="BP67" i="4"/>
  <c r="BS67" i="4"/>
  <c r="BP32" i="4"/>
  <c r="BS32" i="4"/>
  <c r="BP49" i="4"/>
  <c r="BS49" i="4"/>
  <c r="BP95" i="4"/>
  <c r="BS95" i="4"/>
  <c r="BP103" i="4"/>
  <c r="BS103" i="4"/>
  <c r="BP105" i="4"/>
  <c r="BS105" i="4"/>
  <c r="BP84" i="4"/>
  <c r="BS84" i="4"/>
  <c r="BP94" i="4"/>
  <c r="BS94" i="4"/>
  <c r="BP104" i="4"/>
  <c r="BS104" i="4"/>
  <c r="BP102" i="4"/>
  <c r="BS102" i="4"/>
  <c r="BP96" i="4"/>
  <c r="BS96" i="4"/>
  <c r="BP77" i="4"/>
  <c r="BS77" i="4"/>
  <c r="BP86" i="4"/>
  <c r="BS86" i="4"/>
  <c r="BP87" i="4"/>
  <c r="BS87" i="4"/>
  <c r="BP51" i="4"/>
  <c r="BS51" i="4"/>
  <c r="BP85" i="4"/>
  <c r="BS85" i="4"/>
  <c r="BP75" i="4"/>
  <c r="BS75" i="4"/>
  <c r="BP50" i="4"/>
  <c r="BS50" i="4"/>
  <c r="BP78" i="4"/>
  <c r="BS78" i="4"/>
  <c r="BP76" i="4"/>
  <c r="BS76" i="4"/>
  <c r="BP69" i="4"/>
  <c r="BS69" i="4"/>
  <c r="BP68" i="4"/>
  <c r="BS68" i="4"/>
  <c r="BP66" i="4"/>
  <c r="BS66" i="4"/>
  <c r="BP60" i="4"/>
  <c r="BS60" i="4"/>
  <c r="BP59" i="4"/>
  <c r="BS59" i="4"/>
  <c r="BP57" i="4"/>
  <c r="BS57" i="4"/>
  <c r="BP58" i="4"/>
  <c r="BS58" i="4"/>
  <c r="BP12" i="4"/>
  <c r="BS12" i="4"/>
  <c r="BP41" i="4"/>
  <c r="BS41" i="4"/>
  <c r="BP39" i="4"/>
  <c r="BS39" i="4"/>
  <c r="BP30" i="4"/>
  <c r="BS30" i="4"/>
  <c r="BP33" i="4"/>
  <c r="BS33" i="4"/>
  <c r="BP22" i="4"/>
  <c r="BS22" i="4"/>
  <c r="BP21" i="4"/>
  <c r="BS21" i="4"/>
  <c r="BP24" i="4"/>
  <c r="BS24" i="4"/>
  <c r="BP13" i="4"/>
  <c r="BS13" i="4"/>
  <c r="BP15" i="4"/>
  <c r="BS15" i="4"/>
  <c r="BP4" i="4"/>
  <c r="BS4" i="4"/>
  <c r="BP6" i="4"/>
  <c r="BS6" i="4"/>
  <c r="BP5" i="4"/>
  <c r="BS5" i="4"/>
  <c r="BP3" i="4"/>
  <c r="BS3" i="4"/>
  <c r="CC23" i="4"/>
  <c r="CC22" i="4"/>
  <c r="CC25" i="4"/>
  <c r="CC85" i="4"/>
  <c r="CC41" i="4"/>
  <c r="BZ44" i="4"/>
  <c r="CC35" i="4"/>
  <c r="BZ32" i="4"/>
  <c r="BZ40" i="4"/>
  <c r="BZ61" i="4"/>
  <c r="CC26" i="4"/>
  <c r="BZ24" i="4"/>
  <c r="CC42" i="4"/>
  <c r="BZ31" i="4"/>
  <c r="CC59" i="4"/>
  <c r="BZ62" i="4"/>
  <c r="CC60" i="4"/>
  <c r="BZ33" i="4"/>
  <c r="BZ30" i="4"/>
  <c r="BZ89" i="4"/>
  <c r="BZ39" i="4"/>
  <c r="BZ57" i="4"/>
  <c r="BZ105" i="4"/>
  <c r="CC102" i="4"/>
  <c r="CC57" i="4"/>
  <c r="CC62" i="4"/>
  <c r="BZ88" i="4"/>
  <c r="CC106" i="4"/>
  <c r="CC87" i="4"/>
  <c r="BZ106" i="4"/>
  <c r="CC105" i="4"/>
  <c r="CC5" i="4"/>
  <c r="CC6" i="4"/>
  <c r="CC3" i="4"/>
  <c r="BZ94" i="4"/>
  <c r="CC97" i="4"/>
  <c r="BZ93" i="4"/>
  <c r="BZ98" i="4"/>
  <c r="CC98" i="4"/>
  <c r="CC93" i="4"/>
  <c r="CC84" i="4"/>
  <c r="BZ86" i="4"/>
  <c r="BZ71" i="4"/>
  <c r="BZ66" i="4"/>
  <c r="CC68" i="4"/>
  <c r="CC69" i="4"/>
  <c r="CC71" i="4"/>
  <c r="BZ69" i="4"/>
  <c r="CC77" i="4"/>
  <c r="CC78" i="4"/>
  <c r="BZ80" i="4"/>
  <c r="BZ77" i="4"/>
  <c r="CC75" i="4"/>
  <c r="BZ79" i="4"/>
  <c r="CC15" i="4"/>
  <c r="BZ14" i="4"/>
  <c r="BZ13" i="4"/>
  <c r="BZ15" i="4"/>
  <c r="CC13" i="4"/>
  <c r="BZ16" i="4"/>
  <c r="CC51" i="4"/>
  <c r="CC53" i="4"/>
  <c r="BZ51" i="4"/>
  <c r="CC49" i="4"/>
  <c r="BZ48" i="4"/>
  <c r="BZ49" i="4"/>
  <c r="BZ4" i="4"/>
  <c r="CC4" i="4"/>
  <c r="BZ8" i="4"/>
  <c r="CC7" i="4"/>
  <c r="BZ25" i="4"/>
  <c r="CC24" i="4"/>
  <c r="CC88" i="4"/>
  <c r="BZ21" i="4"/>
  <c r="BZ23" i="4"/>
  <c r="BZ35" i="4"/>
  <c r="CC34" i="4"/>
  <c r="CC33" i="4"/>
  <c r="BZ58" i="4"/>
  <c r="BZ42" i="4"/>
  <c r="BZ22" i="4"/>
  <c r="CC44" i="4"/>
  <c r="BZ26" i="4"/>
  <c r="BZ59" i="4"/>
  <c r="CC39" i="4"/>
  <c r="CC61" i="4"/>
  <c r="CC32" i="4"/>
  <c r="CC89" i="4"/>
  <c r="BZ34" i="4"/>
  <c r="CC31" i="4"/>
  <c r="BZ60" i="4"/>
  <c r="BZ102" i="4"/>
  <c r="CC40" i="4"/>
  <c r="BZ41" i="4"/>
  <c r="CC43" i="4"/>
  <c r="CC107" i="4"/>
  <c r="CC103" i="4"/>
  <c r="BZ107" i="4"/>
  <c r="CC104" i="4"/>
  <c r="BZ103" i="4"/>
  <c r="CC8" i="4"/>
  <c r="BZ97" i="4"/>
  <c r="BZ95" i="4"/>
  <c r="CC96" i="4"/>
  <c r="CC94" i="4"/>
  <c r="BZ96" i="4"/>
  <c r="CC95" i="4"/>
  <c r="BZ84" i="4"/>
  <c r="BZ87" i="4"/>
  <c r="BZ85" i="4"/>
  <c r="BZ70" i="4"/>
  <c r="CC67" i="4"/>
  <c r="BZ68" i="4"/>
  <c r="BZ67" i="4"/>
  <c r="CC70" i="4"/>
  <c r="CC66" i="4"/>
  <c r="BZ75" i="4"/>
  <c r="BZ76" i="4"/>
  <c r="CC80" i="4"/>
  <c r="CC76" i="4"/>
  <c r="CC79" i="4"/>
  <c r="BZ78" i="4"/>
  <c r="BZ17" i="4"/>
  <c r="CC17" i="4"/>
  <c r="CC16" i="4"/>
  <c r="CC12" i="4"/>
  <c r="CC14" i="4"/>
  <c r="BZ12" i="4"/>
  <c r="CC52" i="4"/>
  <c r="BZ52" i="4"/>
  <c r="CC50" i="4"/>
  <c r="BZ7" i="4"/>
  <c r="BZ5" i="4"/>
  <c r="BZ50" i="4"/>
  <c r="CC48" i="4"/>
  <c r="BZ53" i="4"/>
  <c r="BZ6" i="4"/>
  <c r="BY104" i="4"/>
  <c r="BY43" i="4"/>
  <c r="BY58" i="4"/>
  <c r="BY21" i="4"/>
  <c r="BY86" i="4"/>
  <c r="BY3" i="4"/>
  <c r="BY30" i="4"/>
  <c r="BY23" i="4"/>
  <c r="BY25" i="4"/>
  <c r="BY22" i="4"/>
  <c r="BY24" i="4"/>
  <c r="BY88" i="4"/>
  <c r="BY85" i="4"/>
  <c r="BY41" i="4"/>
  <c r="BY34" i="4"/>
  <c r="BY44" i="4"/>
  <c r="CH40" i="4"/>
  <c r="BY35" i="4"/>
  <c r="BY32" i="4"/>
  <c r="BY40" i="4"/>
  <c r="CH41" i="4"/>
  <c r="BY33" i="4"/>
  <c r="BY61" i="4"/>
  <c r="BY42" i="4"/>
  <c r="BY26" i="4"/>
  <c r="CH22" i="4"/>
  <c r="BY59" i="4"/>
  <c r="BY39" i="4"/>
  <c r="BY31" i="4"/>
  <c r="BY60" i="4"/>
  <c r="BY62" i="4"/>
  <c r="BY89" i="4"/>
  <c r="BY8" i="4"/>
  <c r="BY6" i="4"/>
  <c r="BY107" i="4"/>
  <c r="BY57" i="4"/>
  <c r="BY87" i="4"/>
  <c r="BY105" i="4"/>
  <c r="BY102" i="4"/>
  <c r="BY5" i="4"/>
  <c r="BY103" i="4"/>
  <c r="BY106" i="4"/>
  <c r="CH21" i="4"/>
  <c r="BY97" i="4"/>
  <c r="BY94" i="4"/>
  <c r="BY93" i="4"/>
  <c r="BY96" i="4"/>
  <c r="BY98" i="4"/>
  <c r="BY95" i="4"/>
  <c r="BY84" i="4"/>
  <c r="CH84" i="4"/>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H31" i="4"/>
  <c r="CI21" i="4"/>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c r="CM30" i="4"/>
  <c r="CJ40" i="4"/>
  <c r="CM40" i="4"/>
  <c r="CJ32" i="4"/>
  <c r="CM32" i="4"/>
  <c r="CJ93" i="4"/>
  <c r="CM93" i="4"/>
  <c r="CJ21" i="4"/>
  <c r="CM21" i="4"/>
  <c r="CJ22" i="4"/>
  <c r="CM22" i="4"/>
  <c r="CJ59" i="4"/>
  <c r="CM59" i="4"/>
  <c r="CJ87" i="4"/>
  <c r="CM87" i="4"/>
  <c r="CJ104" i="4"/>
  <c r="CM104" i="4"/>
  <c r="CJ105" i="4"/>
  <c r="CM105" i="4"/>
  <c r="CJ84" i="4"/>
  <c r="CM84" i="4"/>
  <c r="CJ42" i="4"/>
  <c r="CM42" i="4"/>
  <c r="CJ95" i="4"/>
  <c r="CM95" i="4"/>
  <c r="CJ103" i="4"/>
  <c r="CM103" i="4"/>
  <c r="CJ102" i="4"/>
  <c r="CM102" i="4"/>
  <c r="CJ94" i="4"/>
  <c r="CM94" i="4"/>
  <c r="CJ68" i="4"/>
  <c r="CM68" i="4"/>
  <c r="CJ96" i="4"/>
  <c r="CM96" i="4"/>
  <c r="CJ67" i="4"/>
  <c r="CM67" i="4"/>
  <c r="CJ86" i="4"/>
  <c r="CM86" i="4"/>
  <c r="CJ23" i="4"/>
  <c r="CM23" i="4"/>
  <c r="CJ76" i="4"/>
  <c r="CM76" i="4"/>
  <c r="CJ31" i="4"/>
  <c r="CM31" i="4"/>
  <c r="CJ85" i="4"/>
  <c r="CM85" i="4"/>
  <c r="CJ77" i="4"/>
  <c r="CM77" i="4"/>
  <c r="CJ66" i="4"/>
  <c r="CM66" i="4"/>
  <c r="CJ75" i="4"/>
  <c r="CM75" i="4"/>
  <c r="CJ69" i="4"/>
  <c r="CM69" i="4"/>
  <c r="CJ49" i="4"/>
  <c r="CM49" i="4"/>
  <c r="CJ58" i="4"/>
  <c r="CM58" i="4"/>
  <c r="CJ78" i="4"/>
  <c r="CM78" i="4"/>
  <c r="CJ24" i="4"/>
  <c r="CM24" i="4"/>
  <c r="CJ50" i="4"/>
  <c r="CM50" i="4"/>
  <c r="CJ48" i="4"/>
  <c r="CM48" i="4"/>
  <c r="CJ33" i="4"/>
  <c r="CM33" i="4"/>
  <c r="CJ60" i="4"/>
  <c r="CM60" i="4"/>
  <c r="CJ57" i="4"/>
  <c r="CM57" i="4"/>
  <c r="CJ13" i="4"/>
  <c r="CM13" i="4"/>
  <c r="CJ51" i="4"/>
  <c r="CM51" i="4"/>
  <c r="CJ39" i="4"/>
  <c r="CM39" i="4"/>
  <c r="CJ41" i="4"/>
  <c r="CM41" i="4"/>
  <c r="CJ15" i="4"/>
  <c r="CM15" i="4"/>
  <c r="CJ12" i="4"/>
  <c r="CM12" i="4"/>
  <c r="CJ14" i="4"/>
  <c r="CM14" i="4"/>
  <c r="CJ6" i="4"/>
  <c r="CM6" i="4"/>
  <c r="CJ4" i="4"/>
  <c r="CM4" i="4"/>
  <c r="CJ3" i="4"/>
  <c r="CM3" i="4"/>
  <c r="CJ5" i="4"/>
  <c r="CM5" i="4"/>
  <c r="CP86" i="4"/>
  <c r="CP33" i="4"/>
  <c r="CP85" i="4"/>
  <c r="CP84" i="4"/>
  <c r="CP95" i="4"/>
  <c r="CP96" i="4"/>
  <c r="CP94" i="4"/>
  <c r="CP93" i="4"/>
  <c r="CP24" i="4"/>
  <c r="CP87" i="4"/>
  <c r="CP102" i="4"/>
  <c r="CN102" i="4"/>
  <c r="AQ102" i="4"/>
  <c r="CP105" i="4"/>
  <c r="CP103" i="4"/>
  <c r="CP104" i="4"/>
  <c r="CP67" i="4"/>
  <c r="CP66" i="4"/>
  <c r="CP23" i="4"/>
  <c r="CP21" i="4"/>
  <c r="CP22" i="4"/>
  <c r="CP31" i="4"/>
  <c r="CP75" i="4"/>
  <c r="CN76" i="4"/>
  <c r="AQ76" i="4"/>
  <c r="CP76" i="4"/>
  <c r="CP77" i="4"/>
  <c r="CP78" i="4"/>
  <c r="CP68" i="4"/>
  <c r="CP69" i="4"/>
  <c r="CP48" i="4"/>
  <c r="CP57" i="4"/>
  <c r="CN58" i="4"/>
  <c r="AQ58" i="4"/>
  <c r="CP58" i="4"/>
  <c r="CP59" i="4"/>
  <c r="CP60" i="4"/>
  <c r="CP30" i="4"/>
  <c r="CP32" i="4"/>
  <c r="CP50" i="4"/>
  <c r="CP49" i="4"/>
  <c r="CP51" i="4"/>
  <c r="CP39" i="4"/>
  <c r="CP40" i="4"/>
  <c r="CP41" i="4"/>
  <c r="CP42" i="4"/>
  <c r="CP12" i="4"/>
  <c r="CP13" i="4"/>
  <c r="CP14" i="4"/>
  <c r="CP15" i="4"/>
  <c r="CP6" i="4"/>
  <c r="CP3" i="4"/>
  <c r="CP5" i="4"/>
  <c r="CP4" i="4"/>
  <c r="CN5" i="4"/>
  <c r="AQ5" i="4"/>
  <c r="CN85" i="4"/>
  <c r="AQ85" i="4"/>
  <c r="CN68" i="4"/>
  <c r="AQ68" i="4"/>
  <c r="CN95" i="4"/>
  <c r="AQ95" i="4"/>
  <c r="CN13" i="4"/>
  <c r="AQ13" i="4"/>
  <c r="CN48" i="4"/>
  <c r="AQ48" i="4"/>
  <c r="CN75" i="4"/>
  <c r="AQ75" i="4"/>
  <c r="CN84" i="4"/>
  <c r="AQ84" i="4"/>
  <c r="CN93" i="4"/>
  <c r="AQ93" i="4"/>
  <c r="CN49" i="4"/>
  <c r="AQ49" i="4"/>
  <c r="CN22" i="4"/>
  <c r="AQ22" i="4"/>
  <c r="CN59" i="4"/>
  <c r="AQ59" i="4"/>
  <c r="CN23" i="4"/>
  <c r="AQ23" i="4"/>
  <c r="CN14" i="4"/>
  <c r="AQ14" i="4"/>
  <c r="V58" i="4"/>
  <c r="CN86" i="4"/>
  <c r="AQ86" i="4"/>
  <c r="CN103" i="4"/>
  <c r="AQ103" i="4"/>
  <c r="CN77" i="4"/>
  <c r="AQ77" i="4"/>
  <c r="V102" i="4"/>
  <c r="V85" i="4"/>
  <c r="CN87" i="4"/>
  <c r="AQ87" i="4"/>
  <c r="CN60" i="4"/>
  <c r="AQ60" i="4"/>
  <c r="CN57" i="4"/>
  <c r="AQ57" i="4"/>
  <c r="CN67" i="4"/>
  <c r="AQ67" i="4"/>
  <c r="CN66" i="4"/>
  <c r="AQ66" i="4"/>
  <c r="CN40" i="4"/>
  <c r="AQ40" i="4"/>
  <c r="V76" i="4"/>
  <c r="CN12" i="4"/>
  <c r="AQ12" i="4"/>
  <c r="CN24" i="4"/>
  <c r="AQ24" i="4"/>
  <c r="CN78" i="4"/>
  <c r="AQ78" i="4"/>
  <c r="CN94" i="4"/>
  <c r="AQ94" i="4"/>
  <c r="CN50" i="4"/>
  <c r="AQ50" i="4"/>
  <c r="CN51" i="4"/>
  <c r="AQ51" i="4"/>
  <c r="CN96" i="4"/>
  <c r="AQ96" i="4"/>
  <c r="CN39" i="4"/>
  <c r="AQ39" i="4"/>
  <c r="CN32" i="4"/>
  <c r="AQ32" i="4"/>
  <c r="CN30" i="4"/>
  <c r="AQ30" i="4"/>
  <c r="CN6" i="4"/>
  <c r="AQ6" i="4"/>
  <c r="CN69" i="4"/>
  <c r="AQ69" i="4"/>
  <c r="CN3" i="4"/>
  <c r="AQ3" i="4"/>
  <c r="CN31" i="4"/>
  <c r="AQ31" i="4"/>
  <c r="CN21" i="4"/>
  <c r="AQ21" i="4"/>
  <c r="CN15" i="4"/>
  <c r="AQ15" i="4"/>
  <c r="CN33" i="4"/>
  <c r="AQ33" i="4"/>
  <c r="CN41" i="4"/>
  <c r="AQ41" i="4"/>
  <c r="CN42" i="4"/>
  <c r="AQ42" i="4"/>
  <c r="V5" i="4"/>
  <c r="CN4" i="4"/>
  <c r="AQ4" i="4"/>
  <c r="CN105" i="4"/>
  <c r="AQ105" i="4"/>
  <c r="CN104" i="4"/>
  <c r="AQ104"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c r="Z6" i="4"/>
  <c r="AB6" i="4"/>
  <c r="AL84" i="4"/>
  <c r="Z84" i="4"/>
  <c r="AL14" i="4"/>
  <c r="Z14" i="4"/>
  <c r="AC14" i="4"/>
  <c r="AL50" i="4"/>
  <c r="Z50" i="4"/>
  <c r="AL85" i="4"/>
  <c r="Z85" i="4"/>
  <c r="AL86" i="4"/>
  <c r="Z86" i="4"/>
  <c r="AL87" i="4"/>
  <c r="Z87" i="4"/>
  <c r="AL76" i="4"/>
  <c r="Z76" i="4"/>
  <c r="AL5" i="4"/>
  <c r="Z5" i="4"/>
  <c r="AL4" i="4"/>
  <c r="Z4" i="4"/>
  <c r="AL3" i="4"/>
  <c r="Z3" i="4"/>
  <c r="AL48" i="4"/>
  <c r="Z48" i="4"/>
  <c r="AL49" i="4"/>
  <c r="Z49" i="4"/>
  <c r="AL75" i="4"/>
  <c r="Z75" i="4"/>
  <c r="AL78" i="4"/>
  <c r="Z78" i="4"/>
  <c r="AL77" i="4"/>
  <c r="Z77" i="4"/>
  <c r="AL60" i="4"/>
  <c r="Z60" i="4"/>
  <c r="AL57" i="4"/>
  <c r="Z57" i="4"/>
  <c r="AL59" i="4"/>
  <c r="Z59" i="4"/>
  <c r="AL58" i="4"/>
  <c r="Z58" i="4"/>
  <c r="AL93" i="4"/>
  <c r="Z93" i="4"/>
  <c r="AL69" i="4"/>
  <c r="Z69" i="4"/>
  <c r="AH69" i="4"/>
  <c r="AM69" i="4"/>
  <c r="AL13" i="4"/>
  <c r="Z13" i="4"/>
  <c r="AL12" i="4"/>
  <c r="Z12" i="4"/>
  <c r="AL66" i="4"/>
  <c r="Z66" i="4"/>
  <c r="AL68" i="4"/>
  <c r="Z68" i="4"/>
  <c r="AL51" i="4"/>
  <c r="Z51" i="4"/>
  <c r="AG51" i="4"/>
  <c r="AL30" i="4"/>
  <c r="Z30" i="4"/>
  <c r="AL94" i="4"/>
  <c r="Z94" i="4"/>
  <c r="AL33" i="4"/>
  <c r="Z33" i="4"/>
  <c r="AF33" i="4"/>
  <c r="AL96" i="4"/>
  <c r="Z96" i="4"/>
  <c r="AL95" i="4"/>
  <c r="Z95" i="4"/>
  <c r="AR30" i="4"/>
  <c r="AL67" i="4"/>
  <c r="Z67" i="4"/>
  <c r="AR31" i="4"/>
  <c r="AL32" i="4"/>
  <c r="Z32" i="4"/>
  <c r="AL31" i="4"/>
  <c r="Z31" i="4"/>
  <c r="AL42" i="4"/>
  <c r="Z42" i="4"/>
  <c r="AC42" i="4"/>
  <c r="AL15" i="4"/>
  <c r="Z15" i="4"/>
  <c r="AH15" i="4"/>
  <c r="AM15" i="4"/>
  <c r="AL41" i="4"/>
  <c r="Z41" i="4"/>
  <c r="AL23" i="4"/>
  <c r="Z23" i="4"/>
  <c r="AL21" i="4"/>
  <c r="Z21" i="4"/>
  <c r="AL24" i="4"/>
  <c r="Z24" i="4"/>
  <c r="AL22" i="4"/>
  <c r="Z22" i="4"/>
  <c r="AL39" i="4"/>
  <c r="Z39" i="4"/>
  <c r="AL40" i="4"/>
  <c r="Z40" i="4"/>
  <c r="AL105" i="4"/>
  <c r="Z105" i="4"/>
  <c r="AL104" i="4"/>
  <c r="Z104" i="4"/>
  <c r="AL103" i="4"/>
  <c r="Z103" i="4"/>
  <c r="AL102" i="4"/>
  <c r="Z102" i="4"/>
  <c r="AS3" i="2"/>
  <c r="AE87" i="4"/>
  <c r="AH78" i="4"/>
  <c r="AG96" i="4"/>
  <c r="K13" i="6"/>
  <c r="B33" i="6"/>
  <c r="AE86" i="4"/>
  <c r="AF77" i="4"/>
  <c r="H9" i="6"/>
  <c r="K33" i="6"/>
  <c r="B17" i="6"/>
  <c r="E13" i="6"/>
  <c r="AM78" i="4"/>
  <c r="B116" i="9"/>
  <c r="J116" i="9"/>
  <c r="B114" i="9"/>
  <c r="J114" i="9"/>
  <c r="B110" i="9"/>
  <c r="J110" i="9"/>
  <c r="AI9" i="5"/>
  <c r="AI35" i="5"/>
  <c r="AI25" i="5"/>
  <c r="AD6" i="4"/>
  <c r="AF6" i="4"/>
  <c r="AI18" i="5"/>
  <c r="AI10" i="5"/>
  <c r="AI22" i="5"/>
  <c r="AG6" i="4"/>
  <c r="AH6" i="4"/>
  <c r="AM6" i="4"/>
  <c r="AE6" i="4"/>
  <c r="AC6" i="4"/>
  <c r="AG4" i="4"/>
  <c r="AH13" i="4"/>
  <c r="AM13" i="4"/>
  <c r="AE40" i="4"/>
  <c r="AD12" i="4"/>
  <c r="AD32" i="4"/>
  <c r="AE48" i="4"/>
  <c r="AD3" i="4"/>
  <c r="AF67" i="4"/>
  <c r="AH39" i="4"/>
  <c r="AM39" i="4"/>
  <c r="AC30" i="4"/>
  <c r="AD50" i="4"/>
  <c r="AE68" i="4"/>
  <c r="AD31" i="4"/>
  <c r="AD66" i="4"/>
  <c r="AF49" i="4"/>
  <c r="AE50" i="4"/>
  <c r="AF50" i="4"/>
  <c r="AC50" i="4"/>
  <c r="AF5" i="4"/>
  <c r="AE14" i="4"/>
  <c r="AB14" i="4"/>
  <c r="AG14" i="4"/>
  <c r="AF14" i="4"/>
  <c r="AD14" i="4"/>
  <c r="AG5" i="4"/>
  <c r="AC5" i="4"/>
  <c r="AD5" i="4"/>
  <c r="AH50" i="4"/>
  <c r="AM50" i="4"/>
  <c r="AH14" i="4"/>
  <c r="AM14" i="4"/>
  <c r="AB50" i="4"/>
  <c r="AG50" i="4"/>
  <c r="AH5" i="4"/>
  <c r="AM5" i="4"/>
  <c r="AE5" i="4"/>
  <c r="AB5" i="4"/>
  <c r="AE30" i="4"/>
  <c r="AH3" i="4"/>
  <c r="AM3" i="4"/>
  <c r="AE42" i="4"/>
  <c r="AG3" i="4"/>
  <c r="AF3" i="4"/>
  <c r="AB3" i="4"/>
  <c r="AE3" i="4"/>
  <c r="AC3" i="4"/>
  <c r="AD69" i="4"/>
  <c r="AE69" i="4"/>
  <c r="AB49" i="4"/>
  <c r="AD13" i="4"/>
  <c r="AE49" i="4"/>
  <c r="AH49" i="4"/>
  <c r="AM49" i="4"/>
  <c r="AG49" i="4"/>
  <c r="AH32" i="4"/>
  <c r="AM32" i="4"/>
  <c r="AC48" i="4"/>
  <c r="AE66" i="4"/>
  <c r="AB66" i="4"/>
  <c r="AE32" i="4"/>
  <c r="AF12" i="4"/>
  <c r="AH12" i="4"/>
  <c r="AM12" i="4"/>
  <c r="AG12" i="4"/>
  <c r="AE31" i="4"/>
  <c r="AB12" i="4"/>
  <c r="AB13" i="4"/>
  <c r="AC69" i="4"/>
  <c r="AG48" i="4"/>
  <c r="AC66" i="4"/>
  <c r="AC13" i="4"/>
  <c r="AG69" i="4"/>
  <c r="AD49" i="4"/>
  <c r="AD42" i="4"/>
  <c r="AB69" i="4"/>
  <c r="AC49" i="4"/>
  <c r="AE12" i="4"/>
  <c r="AE4" i="4"/>
  <c r="AB30" i="4"/>
  <c r="AF13" i="4"/>
  <c r="AF68" i="4"/>
  <c r="AH48" i="4"/>
  <c r="AM48" i="4"/>
  <c r="AG30" i="4"/>
  <c r="AH67" i="4"/>
  <c r="AM67" i="4"/>
  <c r="AE13" i="4"/>
  <c r="AB4" i="4"/>
  <c r="AG13" i="4"/>
  <c r="AD4" i="4"/>
  <c r="AH30" i="4"/>
  <c r="AM30" i="4"/>
  <c r="AD68" i="4"/>
  <c r="AC51" i="4"/>
  <c r="AF48" i="4"/>
  <c r="AD30" i="4"/>
  <c r="AG68" i="4"/>
  <c r="AD51" i="4"/>
  <c r="AD48" i="4"/>
  <c r="AC4" i="4"/>
  <c r="AF30" i="4"/>
  <c r="AH68" i="4"/>
  <c r="AM68" i="4"/>
  <c r="AF51" i="4"/>
  <c r="AB48" i="4"/>
  <c r="AG32" i="4"/>
  <c r="AF69" i="4"/>
  <c r="AF66" i="4"/>
  <c r="AH4" i="4"/>
  <c r="AM4" i="4"/>
  <c r="AH66" i="4"/>
  <c r="AM66" i="4"/>
  <c r="AF4" i="4"/>
  <c r="AB31" i="4"/>
  <c r="AG31" i="4"/>
  <c r="AC12" i="4"/>
  <c r="AC68" i="4"/>
  <c r="AC67" i="4"/>
  <c r="AC32" i="4"/>
  <c r="AG67" i="4"/>
  <c r="AG66" i="4"/>
  <c r="AH51" i="4"/>
  <c r="AM51" i="4"/>
  <c r="AB67" i="4"/>
  <c r="AB51" i="4"/>
  <c r="AG42" i="4"/>
  <c r="AF32" i="4"/>
  <c r="AH31" i="4"/>
  <c r="AM31" i="4"/>
  <c r="AF15" i="4"/>
  <c r="AD67" i="4"/>
  <c r="AH42" i="4"/>
  <c r="AM42" i="4"/>
  <c r="AD15" i="4"/>
  <c r="AB42" i="4"/>
  <c r="AB32" i="4"/>
  <c r="AE67" i="4"/>
  <c r="AE41" i="4"/>
  <c r="AB68" i="4"/>
  <c r="AF42" i="4"/>
  <c r="AC31" i="4"/>
  <c r="AE51" i="4"/>
  <c r="AC15" i="4"/>
  <c r="AH58" i="4"/>
  <c r="AM58" i="4"/>
  <c r="AG58" i="4"/>
  <c r="AD58" i="4"/>
  <c r="AF58" i="4"/>
  <c r="AE58" i="4"/>
  <c r="AC58" i="4"/>
  <c r="AB58" i="4"/>
  <c r="AG59" i="4"/>
  <c r="AE59" i="4"/>
  <c r="AB59" i="4"/>
  <c r="AF59" i="4"/>
  <c r="AD59" i="4"/>
  <c r="AH59" i="4"/>
  <c r="AM59" i="4"/>
  <c r="AC59" i="4"/>
  <c r="AH57" i="4"/>
  <c r="AM57" i="4"/>
  <c r="AD57" i="4"/>
  <c r="AB57" i="4"/>
  <c r="AF57" i="4"/>
  <c r="AC57" i="4"/>
  <c r="AG57" i="4"/>
  <c r="AE57" i="4"/>
  <c r="AG15" i="4"/>
  <c r="AH60" i="4"/>
  <c r="AM60" i="4"/>
  <c r="AB60" i="4"/>
  <c r="AC60" i="4"/>
  <c r="AF60" i="4"/>
  <c r="AD60" i="4"/>
  <c r="AE60" i="4"/>
  <c r="AG60" i="4"/>
  <c r="AD41" i="4"/>
  <c r="AB33" i="4"/>
  <c r="AE15" i="4"/>
  <c r="AD33" i="4"/>
  <c r="AB15" i="4"/>
  <c r="AC33" i="4"/>
  <c r="AE33" i="4"/>
  <c r="AH33" i="4"/>
  <c r="AM33" i="4"/>
  <c r="AG33" i="4"/>
  <c r="AC41" i="4"/>
  <c r="AF31" i="4"/>
  <c r="AF40" i="4"/>
  <c r="AD40" i="4"/>
  <c r="AB41" i="4"/>
  <c r="AH40" i="4"/>
  <c r="AM40" i="4"/>
  <c r="AF41" i="4"/>
  <c r="AG41" i="4"/>
  <c r="AB39" i="4"/>
  <c r="AC39" i="4"/>
  <c r="AF39" i="4"/>
  <c r="AH41" i="4"/>
  <c r="AM41" i="4"/>
  <c r="AC22" i="4"/>
  <c r="AF22" i="4"/>
  <c r="AG22" i="4"/>
  <c r="AD22" i="4"/>
  <c r="AE22" i="4"/>
  <c r="AH22" i="4"/>
  <c r="AM22" i="4"/>
  <c r="AB22" i="4"/>
  <c r="AB40" i="4"/>
  <c r="AD39" i="4"/>
  <c r="AF24" i="4"/>
  <c r="AB24" i="4"/>
  <c r="AE24" i="4"/>
  <c r="AD24" i="4"/>
  <c r="AH24" i="4"/>
  <c r="AM24" i="4"/>
  <c r="AG24" i="4"/>
  <c r="AC24" i="4"/>
  <c r="AG40" i="4"/>
  <c r="AE39" i="4"/>
  <c r="AH21" i="4"/>
  <c r="AM21" i="4"/>
  <c r="AD21" i="4"/>
  <c r="AC21" i="4"/>
  <c r="AG21" i="4"/>
  <c r="AB21" i="4"/>
  <c r="AF21" i="4"/>
  <c r="AE21" i="4"/>
  <c r="AG39" i="4"/>
  <c r="AE23" i="4"/>
  <c r="AD23" i="4"/>
  <c r="AF23" i="4"/>
  <c r="AB23" i="4"/>
  <c r="AH23" i="4"/>
  <c r="AM23" i="4"/>
  <c r="AG23" i="4"/>
  <c r="AC23" i="4"/>
  <c r="AC40" i="4"/>
  <c r="AV10" i="2"/>
  <c r="E109" i="9"/>
  <c r="E122" i="9"/>
  <c r="E117" i="9"/>
  <c r="AP2" i="2"/>
  <c r="E25" i="6"/>
  <c r="AG95" i="4"/>
  <c r="H21" i="6"/>
  <c r="H29" i="6"/>
  <c r="K17" i="6"/>
  <c r="AP6" i="2"/>
  <c r="H5" i="6"/>
  <c r="AG94" i="4"/>
  <c r="AU9" i="2"/>
  <c r="B21" i="6"/>
  <c r="H25" i="6"/>
  <c r="H33" i="6"/>
  <c r="H17" i="6"/>
  <c r="E17" i="6"/>
  <c r="AH84" i="4"/>
  <c r="AU7" i="2"/>
  <c r="AS7" i="2"/>
  <c r="AG84" i="4"/>
  <c r="AV2" i="2"/>
  <c r="AR3" i="2"/>
  <c r="AV3" i="2"/>
  <c r="AW2" i="2"/>
  <c r="AT2" i="2"/>
  <c r="AD84" i="4"/>
  <c r="AP11" i="2"/>
  <c r="AR7" i="2"/>
  <c r="AH76" i="4"/>
  <c r="AF76" i="4"/>
  <c r="AG76" i="4"/>
  <c r="AB87" i="4"/>
  <c r="AC76" i="4"/>
  <c r="AU2" i="2"/>
  <c r="AF85" i="4"/>
  <c r="AG85" i="4"/>
  <c r="AD85" i="4"/>
  <c r="AG86" i="4"/>
  <c r="AF93" i="4"/>
  <c r="AD93" i="4"/>
  <c r="AC86" i="4"/>
  <c r="AB93" i="4"/>
  <c r="AH87" i="4"/>
  <c r="AC93" i="4"/>
  <c r="AG78" i="4"/>
  <c r="AD78" i="4"/>
  <c r="AF87" i="4"/>
  <c r="AH77" i="4"/>
  <c r="AP9" i="2"/>
  <c r="AB77" i="4"/>
  <c r="AD96" i="4"/>
  <c r="AP5" i="2"/>
  <c r="AT9" i="2"/>
  <c r="AW9" i="2"/>
  <c r="AC78" i="4"/>
  <c r="AP12" i="2"/>
  <c r="AE78" i="4"/>
  <c r="AE75" i="4"/>
  <c r="AC95" i="4"/>
  <c r="AH95" i="4"/>
  <c r="AB94" i="4"/>
  <c r="AS5" i="2"/>
  <c r="AD94" i="4"/>
  <c r="AG77" i="4"/>
  <c r="AD75" i="4"/>
  <c r="AB75" i="4"/>
  <c r="AV5" i="2"/>
  <c r="AC77" i="4"/>
  <c r="AR9" i="2"/>
  <c r="AD77" i="4"/>
  <c r="AE96" i="4"/>
  <c r="AW8" i="2"/>
  <c r="AT8" i="2"/>
  <c r="AS8" i="2"/>
  <c r="AT6" i="2"/>
  <c r="AB96" i="4"/>
  <c r="AW6" i="2"/>
  <c r="AU4" i="2"/>
  <c r="AV4" i="2"/>
  <c r="AS4" i="2"/>
  <c r="AD102" i="4"/>
  <c r="AC102" i="4"/>
  <c r="AB102" i="4"/>
  <c r="AG102" i="4"/>
  <c r="AC103" i="4"/>
  <c r="AF103" i="4"/>
  <c r="AG103" i="4"/>
  <c r="AE104" i="4"/>
  <c r="AH104" i="4"/>
  <c r="AC104" i="4"/>
  <c r="AB104" i="4"/>
  <c r="AG105" i="4"/>
  <c r="AC105" i="4"/>
  <c r="AE105" i="4"/>
  <c r="AU11" i="2"/>
  <c r="B5" i="6"/>
  <c r="AE76" i="4"/>
  <c r="AP13" i="2"/>
  <c r="E5" i="6"/>
  <c r="B25" i="6"/>
  <c r="AH93" i="4"/>
  <c r="AE85" i="4"/>
  <c r="AT5" i="2"/>
  <c r="B13" i="6"/>
  <c r="B29" i="6"/>
  <c r="K25" i="6"/>
  <c r="B9" i="6"/>
  <c r="AT7" i="2"/>
  <c r="H13" i="6"/>
  <c r="AH75" i="4"/>
  <c r="AF84" i="4"/>
  <c r="AC84" i="4"/>
  <c r="AB84" i="4"/>
  <c r="AV7" i="2"/>
  <c r="AP7" i="2"/>
  <c r="AE84" i="4"/>
  <c r="AU3" i="2"/>
  <c r="AW3" i="2"/>
  <c r="AT3" i="2"/>
  <c r="AS2" i="2"/>
  <c r="AP3" i="2"/>
  <c r="AW7" i="2"/>
  <c r="AB76" i="4"/>
  <c r="AF86" i="4"/>
  <c r="AD76" i="4"/>
  <c r="AD87" i="4"/>
  <c r="AH85" i="4"/>
  <c r="AB85" i="4"/>
  <c r="AC85" i="4"/>
  <c r="AR2" i="2"/>
  <c r="AD86" i="4"/>
  <c r="AG93" i="4"/>
  <c r="AE93" i="4"/>
  <c r="AB86" i="4"/>
  <c r="AH86" i="4"/>
  <c r="AC87" i="4"/>
  <c r="AB78" i="4"/>
  <c r="AG87" i="4"/>
  <c r="AP10" i="2"/>
  <c r="AU5" i="2"/>
  <c r="AC96" i="4"/>
  <c r="AH96" i="4"/>
  <c r="AE77" i="4"/>
  <c r="AF78" i="4"/>
  <c r="AV9" i="2"/>
  <c r="AF95" i="4"/>
  <c r="AF94" i="4"/>
  <c r="AW5" i="2"/>
  <c r="AS9" i="2"/>
  <c r="AD95" i="4"/>
  <c r="AC75" i="4"/>
  <c r="AF96" i="4"/>
  <c r="AF75" i="4"/>
  <c r="AC94" i="4"/>
  <c r="AG75" i="4"/>
  <c r="AR5" i="2"/>
  <c r="AU6" i="2"/>
  <c r="AE95" i="4"/>
  <c r="AB95" i="4"/>
  <c r="AH94" i="4"/>
  <c r="AP8" i="2"/>
  <c r="AU8" i="2"/>
  <c r="AV8" i="2"/>
  <c r="AS6" i="2"/>
  <c r="AE94" i="4"/>
  <c r="AR6" i="2"/>
  <c r="AV6" i="2"/>
  <c r="AP4" i="2"/>
  <c r="AT4" i="2"/>
  <c r="AW4" i="2"/>
  <c r="AH102" i="4"/>
  <c r="AF102" i="4"/>
  <c r="AE102" i="4"/>
  <c r="AE103" i="4"/>
  <c r="AD103" i="4"/>
  <c r="AH103" i="4"/>
  <c r="AB103" i="4"/>
  <c r="AG104" i="4"/>
  <c r="AD104" i="4"/>
  <c r="AF104" i="4"/>
  <c r="AF105" i="4"/>
  <c r="AB105" i="4"/>
  <c r="AH105" i="4"/>
  <c r="AD105" i="4"/>
  <c r="AM105" i="4"/>
  <c r="AM103" i="4"/>
  <c r="AM102" i="4"/>
  <c r="CV4" i="4"/>
  <c r="CV8" i="4"/>
  <c r="AM94" i="4"/>
  <c r="AM96" i="4"/>
  <c r="CV10" i="4"/>
  <c r="AM86" i="4"/>
  <c r="AM85" i="4"/>
  <c r="CV3" i="4"/>
  <c r="CV7" i="4"/>
  <c r="AM75" i="4"/>
  <c r="AM93" i="4"/>
  <c r="CV13" i="4"/>
  <c r="AM104" i="4"/>
  <c r="AM95" i="4"/>
  <c r="CV12" i="4"/>
  <c r="CV5" i="4"/>
  <c r="CV9" i="4"/>
  <c r="AM77" i="4"/>
  <c r="AM87" i="4"/>
  <c r="AM76" i="4"/>
  <c r="CV11" i="4"/>
  <c r="AM84" i="4"/>
  <c r="B19" i="6"/>
  <c r="CV6" i="4"/>
  <c r="CV2" i="4"/>
  <c r="B107" i="9"/>
  <c r="J107" i="9"/>
  <c r="I122" i="9"/>
  <c r="K122" i="9"/>
  <c r="B122" i="9"/>
  <c r="L122" i="9"/>
  <c r="J122" i="9"/>
  <c r="B120" i="9"/>
  <c r="I120" i="9"/>
  <c r="J120" i="9"/>
  <c r="B118" i="9"/>
  <c r="J118" i="9"/>
  <c r="B117" i="9"/>
  <c r="I117" i="9"/>
  <c r="K117" i="9"/>
  <c r="L117" i="9"/>
  <c r="J117" i="9"/>
  <c r="B113" i="9"/>
  <c r="J113" i="9"/>
  <c r="B112" i="9"/>
  <c r="J112" i="9"/>
  <c r="B111" i="9"/>
  <c r="J111" i="9"/>
  <c r="B109" i="9"/>
  <c r="I109" i="9"/>
  <c r="J109" i="9"/>
  <c r="L109" i="9"/>
  <c r="K109" i="9"/>
  <c r="B108" i="9"/>
  <c r="J108" i="9"/>
  <c r="AA6" i="4"/>
  <c r="AI27" i="5"/>
  <c r="AI32" i="5"/>
  <c r="AI20" i="5"/>
  <c r="AI28" i="5"/>
  <c r="AI11" i="5"/>
  <c r="AI15" i="5"/>
  <c r="AI31" i="5"/>
  <c r="AI5" i="5"/>
  <c r="AI12" i="5"/>
  <c r="H19" i="6"/>
  <c r="AI26" i="5"/>
  <c r="H35" i="6"/>
  <c r="AI34" i="5"/>
  <c r="H27" i="6"/>
  <c r="AI30" i="5"/>
  <c r="H15" i="6"/>
  <c r="AI24" i="5"/>
  <c r="AI6" i="5"/>
  <c r="AI16" i="5"/>
  <c r="B15" i="6"/>
  <c r="AI8" i="5"/>
  <c r="B27" i="6"/>
  <c r="AI14" i="5"/>
  <c r="B7" i="6"/>
  <c r="AI4" i="5"/>
  <c r="AA84" i="4"/>
  <c r="AA14" i="4"/>
  <c r="AX3" i="2"/>
  <c r="AY3" i="2"/>
  <c r="BA3" i="2"/>
  <c r="AA50" i="4"/>
  <c r="AX7" i="2"/>
  <c r="AY7" i="2"/>
  <c r="BA7" i="2"/>
  <c r="AX2" i="2"/>
  <c r="AY2" i="2"/>
  <c r="BA2" i="2"/>
  <c r="AA76" i="4"/>
  <c r="AA5" i="4"/>
  <c r="AA87" i="4"/>
  <c r="AA85" i="4"/>
  <c r="AA86" i="4"/>
  <c r="AA93" i="4"/>
  <c r="AA3" i="4"/>
  <c r="AA66" i="4"/>
  <c r="AA78" i="4"/>
  <c r="AA31" i="4"/>
  <c r="AA30" i="4"/>
  <c r="AA13" i="4"/>
  <c r="AA49" i="4"/>
  <c r="AA4" i="4"/>
  <c r="AA48" i="4"/>
  <c r="AA12" i="4"/>
  <c r="AA42" i="4"/>
  <c r="AA94" i="4"/>
  <c r="AA69" i="4"/>
  <c r="AX6" i="2"/>
  <c r="AY6" i="2"/>
  <c r="BA6" i="2"/>
  <c r="AA77" i="4"/>
  <c r="AA95" i="4"/>
  <c r="AA96" i="4"/>
  <c r="AA67" i="4"/>
  <c r="AA32" i="4"/>
  <c r="AA51" i="4"/>
  <c r="AX5" i="2"/>
  <c r="AY5" i="2"/>
  <c r="BA5" i="2"/>
  <c r="AA75" i="4"/>
  <c r="AA33" i="4"/>
  <c r="AX9" i="2"/>
  <c r="AY9" i="2"/>
  <c r="BA9" i="2"/>
  <c r="AA68" i="4"/>
  <c r="AA15" i="4"/>
  <c r="AA58" i="4"/>
  <c r="AA59" i="4"/>
  <c r="AA57" i="4"/>
  <c r="AA60" i="4"/>
  <c r="AA39" i="4"/>
  <c r="AA41" i="4"/>
  <c r="AA40" i="4"/>
  <c r="AA22" i="4"/>
  <c r="AA23" i="4"/>
  <c r="AA21" i="4"/>
  <c r="AA24" i="4"/>
  <c r="AA102" i="4"/>
  <c r="AA104" i="4"/>
  <c r="AA103" i="4"/>
  <c r="AA105" i="4"/>
  <c r="AT13" i="2"/>
  <c r="AU12" i="2"/>
  <c r="AV12" i="2"/>
  <c r="AT11" i="2"/>
  <c r="AV11" i="2"/>
  <c r="AR13" i="2"/>
  <c r="AT10" i="2"/>
  <c r="AW10" i="2"/>
  <c r="AS12" i="2"/>
  <c r="AW11" i="2"/>
  <c r="P21" i="6"/>
  <c r="AW12" i="2"/>
  <c r="AQ12" i="2"/>
  <c r="AR8" i="2"/>
  <c r="AR4" i="2"/>
  <c r="AQ13" i="2"/>
  <c r="AQ4" i="2"/>
  <c r="AV13" i="2"/>
  <c r="AW13" i="2"/>
  <c r="AR12" i="2"/>
  <c r="AT12" i="2"/>
  <c r="AU10" i="2"/>
  <c r="AR11" i="2"/>
  <c r="AS13" i="2"/>
  <c r="AU13" i="2"/>
  <c r="AS10" i="2"/>
  <c r="AR10" i="2"/>
  <c r="AS11" i="2"/>
  <c r="E118" i="9"/>
  <c r="B121" i="9"/>
  <c r="B115" i="9"/>
  <c r="B119" i="9"/>
  <c r="E110" i="9"/>
  <c r="E112" i="9"/>
  <c r="E120" i="9"/>
  <c r="E107" i="9"/>
  <c r="Y5" i="6"/>
  <c r="Y21" i="6"/>
  <c r="V21" i="6"/>
  <c r="V5" i="6"/>
  <c r="S13" i="6"/>
  <c r="S21" i="6"/>
  <c r="P13" i="6"/>
  <c r="AQ3" i="2"/>
  <c r="AQ7" i="2"/>
  <c r="AQ2" i="2"/>
  <c r="AQ11" i="2"/>
  <c r="AQ10" i="2"/>
  <c r="AQ9" i="2"/>
  <c r="AQ8" i="2"/>
  <c r="AQ6" i="2"/>
  <c r="I107" i="9"/>
  <c r="I112" i="9"/>
  <c r="I110" i="9"/>
  <c r="I118" i="9"/>
  <c r="AX10" i="2"/>
  <c r="AY10" i="2"/>
  <c r="BA10" i="2"/>
  <c r="AX11" i="2"/>
  <c r="AY11" i="2"/>
  <c r="BA11" i="2"/>
  <c r="AX12" i="2"/>
  <c r="AY12" i="2"/>
  <c r="BA12" i="2"/>
  <c r="AX4" i="2"/>
  <c r="AY4" i="2"/>
  <c r="BA4" i="2"/>
  <c r="AX8" i="2"/>
  <c r="AY8" i="2"/>
  <c r="BA8" i="2"/>
  <c r="AH8" i="5"/>
  <c r="AX13" i="2"/>
  <c r="AY13" i="2"/>
  <c r="BA13" i="2"/>
  <c r="J115" i="9"/>
  <c r="K107" i="9"/>
  <c r="L107" i="9"/>
  <c r="E121" i="9"/>
  <c r="I121" i="9"/>
  <c r="J121" i="9"/>
  <c r="L120" i="9"/>
  <c r="K120" i="9"/>
  <c r="I119" i="9"/>
  <c r="J119" i="9"/>
  <c r="L118" i="9"/>
  <c r="K118" i="9"/>
  <c r="L112" i="9"/>
  <c r="K112" i="9"/>
  <c r="L110" i="9"/>
  <c r="K110" i="9"/>
  <c r="S22" i="7"/>
  <c r="G5" i="9"/>
  <c r="AH17" i="5"/>
  <c r="AH9" i="5"/>
  <c r="AH13" i="5"/>
  <c r="AH7" i="5"/>
  <c r="P23" i="6"/>
  <c r="P15" i="6"/>
  <c r="AH6" i="5"/>
  <c r="V7" i="6"/>
  <c r="AH12" i="5"/>
  <c r="V23" i="6"/>
  <c r="AH16" i="5"/>
  <c r="AM88" i="4"/>
  <c r="AM7" i="4"/>
  <c r="AM16" i="4"/>
  <c r="AM52" i="4"/>
  <c r="AM97" i="4"/>
  <c r="AM34" i="4"/>
  <c r="AR35" i="4"/>
  <c r="AM79" i="4"/>
  <c r="AM70" i="4"/>
  <c r="CS2" i="4"/>
  <c r="CS4" i="4"/>
  <c r="AM61" i="4"/>
  <c r="AM43" i="4"/>
  <c r="BI5" i="2"/>
  <c r="AM25" i="4"/>
  <c r="BI3" i="2"/>
  <c r="BI4" i="2"/>
  <c r="BI7" i="2"/>
  <c r="BI8" i="2"/>
  <c r="BI2" i="2"/>
  <c r="BI9" i="2"/>
  <c r="BI6" i="2"/>
  <c r="AM106" i="4"/>
  <c r="B124" i="9"/>
  <c r="B129" i="9"/>
  <c r="B125" i="9"/>
  <c r="H5" i="7"/>
  <c r="B127" i="9"/>
  <c r="E129" i="9"/>
  <c r="E125" i="9"/>
  <c r="E127" i="9"/>
  <c r="E124" i="9"/>
  <c r="E5" i="7"/>
  <c r="B9" i="7"/>
  <c r="H9" i="7"/>
  <c r="AQ5" i="2"/>
  <c r="AQ15" i="2"/>
  <c r="AG5" i="5"/>
  <c r="L124" i="9"/>
  <c r="L127" i="9"/>
  <c r="I125" i="9"/>
  <c r="I129" i="9"/>
  <c r="J127" i="9"/>
  <c r="J125" i="9"/>
  <c r="J129" i="9"/>
  <c r="J124" i="9"/>
  <c r="L129" i="9"/>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c r="AA4" i="2"/>
  <c r="BJ7" i="2"/>
  <c r="BJ6" i="2"/>
  <c r="BK8" i="2"/>
  <c r="BL8" i="2"/>
  <c r="AA8" i="2"/>
  <c r="BK2" i="2"/>
  <c r="BL2" i="2"/>
  <c r="AA2" i="2"/>
  <c r="BK9" i="2"/>
  <c r="BL9" i="2"/>
  <c r="AA9" i="2"/>
  <c r="BK5" i="2"/>
  <c r="BL5" i="2"/>
  <c r="AA5" i="2"/>
  <c r="AR62" i="4"/>
  <c r="AR44" i="4"/>
  <c r="BJ3" i="2"/>
  <c r="BJ5" i="2"/>
  <c r="BJ4" i="2"/>
  <c r="AR26" i="4"/>
  <c r="BK3" i="2"/>
  <c r="BL3" i="2"/>
  <c r="AA3" i="2"/>
  <c r="BK7" i="2"/>
  <c r="BL7" i="2"/>
  <c r="AA7" i="2"/>
  <c r="BK6" i="2"/>
  <c r="BL6" i="2"/>
  <c r="AA6" i="2"/>
  <c r="BJ9" i="2"/>
  <c r="BJ8" i="2"/>
  <c r="BJ2" i="2"/>
  <c r="BC3" i="2"/>
  <c r="BD3" i="2"/>
  <c r="BC2" i="2"/>
  <c r="BD2" i="2"/>
  <c r="BC6" i="2"/>
  <c r="BD6" i="2"/>
  <c r="BC7" i="2"/>
  <c r="BD7" i="2"/>
  <c r="BC8" i="2"/>
  <c r="BD8" i="2"/>
  <c r="BC9" i="2"/>
  <c r="BD9" i="2"/>
  <c r="BC10" i="2"/>
  <c r="BD10" i="2"/>
  <c r="BC13" i="2"/>
  <c r="BD13" i="2"/>
  <c r="BC4" i="2"/>
  <c r="BD4" i="2"/>
  <c r="BC12" i="2"/>
  <c r="BD12" i="2"/>
  <c r="BC5" i="2"/>
  <c r="BD5" i="2"/>
  <c r="BC11" i="2"/>
  <c r="BD11" i="2"/>
  <c r="BE3" i="2"/>
  <c r="BE6" i="2"/>
  <c r="BE8" i="2"/>
  <c r="BE10" i="2"/>
  <c r="BE4" i="2"/>
  <c r="BE5" i="2"/>
  <c r="BE7" i="2"/>
  <c r="BE9" i="2"/>
  <c r="BE13" i="2"/>
  <c r="BE12" i="2"/>
  <c r="BE11" i="2"/>
  <c r="Y325" i="2"/>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F4" i="2"/>
  <c r="BG4" i="2"/>
  <c r="BF9" i="2"/>
  <c r="BG9" i="2"/>
  <c r="BF8" i="2"/>
  <c r="BG8" i="2"/>
  <c r="BF7" i="2"/>
  <c r="BF6" i="2"/>
  <c r="BF5" i="2"/>
  <c r="BF3" i="2"/>
  <c r="BE2" i="2"/>
  <c r="BF12" i="2"/>
  <c r="BG12" i="2"/>
  <c r="BF2" i="2"/>
  <c r="BG2" i="2"/>
  <c r="BF13" i="2"/>
  <c r="BG13" i="2"/>
  <c r="BG6" i="2"/>
  <c r="BG7" i="2"/>
  <c r="BG3" i="2"/>
  <c r="BG5" i="2"/>
  <c r="BF11" i="2"/>
  <c r="BF10" i="2"/>
  <c r="BG10" i="2"/>
  <c r="AD2" i="2"/>
  <c r="AH2" i="2"/>
  <c r="AF2" i="2"/>
  <c r="AJ2" i="2"/>
  <c r="AK2" i="2"/>
  <c r="AI2" i="2"/>
  <c r="AG2" i="2"/>
  <c r="AE2" i="2"/>
  <c r="AE3" i="2"/>
  <c r="AG3" i="2"/>
  <c r="C3" i="1"/>
  <c r="AI3" i="2"/>
  <c r="AK3" i="2"/>
  <c r="C9" i="1"/>
  <c r="AJ3" i="2"/>
  <c r="AF3" i="2"/>
  <c r="C10" i="1"/>
  <c r="AH3" i="2"/>
  <c r="AD3" i="2"/>
  <c r="C8" i="1"/>
  <c r="C16" i="1"/>
  <c r="C14" i="1"/>
  <c r="C11" i="1"/>
  <c r="C6" i="1"/>
  <c r="BG11" i="2"/>
  <c r="CW4" i="4"/>
  <c r="J4" i="6"/>
  <c r="J28" i="6"/>
  <c r="J20" i="6"/>
  <c r="D8" i="6"/>
  <c r="J8" i="6"/>
  <c r="D20" i="6"/>
  <c r="D28" i="6"/>
  <c r="D32" i="6"/>
  <c r="AI23" i="4"/>
  <c r="B11" i="6"/>
  <c r="K5" i="6"/>
  <c r="E115" i="9"/>
  <c r="K115" i="9"/>
  <c r="L115" i="9"/>
  <c r="L121" i="9"/>
  <c r="K29" i="6"/>
  <c r="K121" i="9"/>
  <c r="E119" i="9"/>
  <c r="L119" i="9"/>
  <c r="K21" i="6"/>
  <c r="K119" i="9"/>
  <c r="E116" i="9"/>
  <c r="L116" i="9"/>
  <c r="K9" i="6"/>
  <c r="K116" i="9"/>
  <c r="E111" i="9"/>
  <c r="L111" i="9"/>
  <c r="E21" i="6"/>
  <c r="K111" i="9"/>
  <c r="P31" i="6"/>
  <c r="H11" i="6"/>
  <c r="B23" i="6"/>
  <c r="H23" i="6"/>
  <c r="H31" i="6"/>
  <c r="H7" i="6"/>
  <c r="E33" i="6"/>
  <c r="E9" i="6"/>
  <c r="P5" i="6"/>
  <c r="B35" i="6"/>
  <c r="S29" i="6"/>
  <c r="E126" i="9"/>
  <c r="B31" i="6"/>
  <c r="P29" i="6"/>
  <c r="B126" i="9"/>
  <c r="Y13" i="6"/>
  <c r="CW5" i="4"/>
  <c r="CW2" i="4"/>
  <c r="E29" i="6"/>
  <c r="E108" i="9"/>
  <c r="K5" i="7"/>
  <c r="E114" i="9"/>
  <c r="E113" i="9"/>
  <c r="V29" i="6"/>
  <c r="Y29" i="6"/>
  <c r="V13" i="6"/>
  <c r="CW8" i="4"/>
  <c r="CW13" i="4"/>
  <c r="CW9" i="4"/>
  <c r="CW11" i="4"/>
  <c r="CW7" i="4"/>
  <c r="CW12" i="4"/>
  <c r="CW3" i="4"/>
  <c r="CW10" i="4"/>
  <c r="CW6" i="4"/>
  <c r="AI41" i="4"/>
  <c r="AI77" i="4"/>
  <c r="AI14" i="4"/>
  <c r="AI95" i="4"/>
  <c r="AI50" i="4"/>
  <c r="AI86" i="4"/>
  <c r="AI68" i="4"/>
  <c r="AI104" i="4"/>
  <c r="AI59" i="4"/>
  <c r="I113" i="9"/>
  <c r="I114" i="9"/>
  <c r="I108" i="9"/>
  <c r="AI21" i="5"/>
  <c r="AI29" i="5"/>
  <c r="AI23" i="5"/>
  <c r="AI17" i="5"/>
  <c r="AI32" i="4"/>
  <c r="AI33" i="5"/>
  <c r="AI7" i="5"/>
  <c r="AI13" i="5"/>
  <c r="AI19" i="5"/>
  <c r="O37" i="5"/>
  <c r="K108" i="9"/>
  <c r="L108" i="9"/>
  <c r="AH4" i="5"/>
  <c r="I126" i="9"/>
  <c r="K126" i="9"/>
  <c r="L126" i="9"/>
  <c r="J126" i="9"/>
  <c r="L114" i="9"/>
  <c r="K114" i="9"/>
  <c r="L113" i="9"/>
  <c r="K113" i="9"/>
  <c r="AG9" i="5"/>
  <c r="H7" i="7"/>
  <c r="H19" i="7"/>
  <c r="AH19" i="5"/>
  <c r="AH15" i="5"/>
  <c r="O44" i="5"/>
  <c r="O18" i="5"/>
  <c r="O15" i="5"/>
  <c r="O29" i="5"/>
  <c r="O5" i="5"/>
  <c r="O20" i="5"/>
  <c r="O48" i="5"/>
  <c r="O7" i="5"/>
  <c r="O26" i="5"/>
  <c r="O46" i="5"/>
  <c r="O36" i="5"/>
  <c r="O19" i="5"/>
  <c r="O12" i="5"/>
  <c r="O17" i="5"/>
  <c r="O40" i="5"/>
  <c r="O47" i="5"/>
  <c r="O50" i="5"/>
  <c r="O4" i="5"/>
  <c r="O14" i="5"/>
  <c r="O28" i="5"/>
  <c r="O43" i="5"/>
  <c r="O21" i="5"/>
  <c r="O51" i="5"/>
  <c r="O45" i="5"/>
  <c r="V15" i="6"/>
  <c r="AH14" i="5"/>
  <c r="V31" i="6"/>
  <c r="AH18" i="5"/>
  <c r="CV14" i="4"/>
  <c r="AI5" i="4"/>
  <c r="B130" i="9"/>
  <c r="B133" i="9" a="1"/>
  <c r="E130" i="9"/>
  <c r="E128" i="9"/>
  <c r="K9" i="7"/>
  <c r="B128" i="9"/>
  <c r="B123" i="9"/>
  <c r="S5" i="6"/>
  <c r="E9" i="7"/>
  <c r="O16" i="5"/>
  <c r="O11" i="5"/>
  <c r="O8" i="5"/>
  <c r="O27" i="5"/>
  <c r="O13" i="5"/>
  <c r="O22" i="5"/>
  <c r="O6" i="5"/>
  <c r="O38" i="5"/>
  <c r="O41" i="5"/>
  <c r="O30" i="5"/>
  <c r="O25" i="5"/>
  <c r="O31" i="5"/>
  <c r="O33" i="5"/>
  <c r="O10" i="5"/>
  <c r="O24" i="5"/>
  <c r="O32" i="5"/>
  <c r="O35" i="5"/>
  <c r="O34" i="5"/>
  <c r="O42" i="5"/>
  <c r="O49" i="5"/>
  <c r="O23" i="5"/>
  <c r="O39" i="5"/>
  <c r="O9" i="5"/>
  <c r="J128" i="9"/>
  <c r="I128" i="9"/>
  <c r="L130" i="9"/>
  <c r="AH11" i="5"/>
  <c r="I111" i="9"/>
  <c r="AH10" i="5"/>
  <c r="I116" i="9"/>
  <c r="I115" i="9"/>
  <c r="J130" i="9"/>
  <c r="J123" i="9"/>
  <c r="I130" i="9"/>
  <c r="K130" i="9"/>
  <c r="L128" i="9"/>
  <c r="K128" i="9"/>
  <c r="B133" i="9"/>
  <c r="AF6" i="5"/>
  <c r="P7" i="6"/>
  <c r="AH5" i="5"/>
  <c r="N31" i="5"/>
  <c r="AG7" i="5"/>
  <c r="B11" i="7"/>
  <c r="E19" i="7"/>
  <c r="AF5" i="5"/>
  <c r="AG11" i="5"/>
  <c r="H11" i="7"/>
  <c r="K19" i="7"/>
  <c r="B132" i="9" a="1"/>
  <c r="B134" i="9" a="1"/>
  <c r="B5" i="7"/>
  <c r="B136" i="9" a="1"/>
  <c r="E123" i="9"/>
  <c r="L123" i="9"/>
  <c r="B134" i="9"/>
  <c r="B132" i="9"/>
  <c r="K21" i="7"/>
  <c r="S13" i="7"/>
  <c r="E137" i="9"/>
  <c r="K137" i="9"/>
  <c r="I123" i="9"/>
  <c r="K123" i="9"/>
  <c r="B7" i="7"/>
  <c r="B19" i="7"/>
  <c r="AF4" i="5"/>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6" i="9"/>
  <c r="AG4" i="5"/>
  <c r="M28" i="5"/>
  <c r="AF7" i="5"/>
  <c r="H21" i="7"/>
  <c r="S4" i="7"/>
  <c r="E138" i="9"/>
  <c r="B131" i="9" a="1"/>
  <c r="B131" i="9"/>
  <c r="E21" i="7"/>
  <c r="P13" i="7"/>
  <c r="B137" i="9"/>
  <c r="K138" i="9"/>
  <c r="L137" i="9"/>
  <c r="B21" i="7"/>
  <c r="P4" i="7"/>
  <c r="B138" i="9"/>
  <c r="I138" i="9"/>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B135" i="9" a="1"/>
  <c r="J137" i="9"/>
  <c r="I137" i="9"/>
  <c r="P15" i="7"/>
  <c r="AE4" i="5"/>
  <c r="K18" i="5"/>
  <c r="P8" i="7"/>
  <c r="AC4" i="5"/>
  <c r="I43" i="5"/>
  <c r="L138" i="9"/>
  <c r="J138" i="9"/>
  <c r="B135" i="9"/>
  <c r="S8" i="7"/>
  <c r="AD4" i="5"/>
  <c r="J30" i="5"/>
  <c r="K9" i="5"/>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I41" i="5"/>
  <c r="I20" i="5"/>
  <c r="I27" i="5"/>
  <c r="I42" i="5"/>
  <c r="I7" i="5"/>
  <c r="I19" i="5"/>
  <c r="I25" i="5"/>
  <c r="I15" i="5"/>
  <c r="I35" i="5"/>
  <c r="I40" i="5"/>
  <c r="I16"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c r="P42" i="5"/>
  <c r="P32" i="5"/>
  <c r="P26" i="5"/>
  <c r="P22" i="5"/>
  <c r="P43" i="5"/>
  <c r="P5" i="5"/>
  <c r="P47" i="5"/>
  <c r="P20" i="5"/>
  <c r="X30" i="5"/>
  <c r="AT11" i="5"/>
  <c r="P30" i="5"/>
  <c r="P41" i="5"/>
  <c r="P27" i="5"/>
  <c r="P36" i="5"/>
  <c r="X19" i="5"/>
  <c r="AT22" i="5"/>
  <c r="P37" i="5"/>
  <c r="P14" i="5"/>
  <c r="P7" i="5"/>
  <c r="P28" i="5"/>
  <c r="P6" i="5"/>
  <c r="P31" i="5"/>
  <c r="P46" i="5"/>
  <c r="P48" i="5"/>
  <c r="P24" i="5"/>
  <c r="P21" i="5"/>
  <c r="P45" i="5"/>
  <c r="P34" i="5"/>
  <c r="P38" i="5"/>
  <c r="P35" i="5"/>
  <c r="P50" i="5"/>
  <c r="P15" i="5"/>
  <c r="P9" i="5"/>
  <c r="P10" i="5"/>
  <c r="P23" i="5"/>
  <c r="P51" i="5"/>
  <c r="P40" i="5"/>
  <c r="P39" i="5"/>
  <c r="P25" i="5"/>
  <c r="P29" i="5"/>
  <c r="P33" i="5"/>
  <c r="P13" i="5"/>
  <c r="P49" i="5"/>
  <c r="P4" i="5"/>
  <c r="P8" i="5"/>
  <c r="P17" i="5"/>
  <c r="P11" i="5"/>
  <c r="P44" i="5"/>
  <c r="P16" i="5"/>
  <c r="P12" i="5"/>
  <c r="P19" i="5"/>
  <c r="X46" i="5"/>
  <c r="AT44" i="5"/>
  <c r="X8" i="5"/>
  <c r="AT32" i="5"/>
  <c r="X29" i="5"/>
  <c r="AT51" i="5"/>
  <c r="X32" i="5"/>
  <c r="AT5" i="5"/>
  <c r="X24" i="5"/>
  <c r="AT10" i="5"/>
  <c r="X17" i="5"/>
  <c r="AT27" i="5"/>
  <c r="X28" i="5"/>
  <c r="AT42" i="5"/>
  <c r="X12" i="5"/>
  <c r="AT9" i="5"/>
  <c r="X50" i="5"/>
  <c r="AT41" i="5"/>
  <c r="X47" i="5"/>
  <c r="AT16" i="5"/>
  <c r="X18" i="5"/>
  <c r="AT29" i="5"/>
  <c r="X5" i="5"/>
  <c r="AT38" i="5"/>
  <c r="X44" i="5"/>
  <c r="AT8" i="5"/>
  <c r="X40" i="5"/>
  <c r="AT6" i="5"/>
  <c r="X22" i="5"/>
  <c r="AT34" i="5"/>
  <c r="X15" i="5"/>
  <c r="AT36" i="5"/>
  <c r="X14" i="5"/>
  <c r="AT50" i="5"/>
  <c r="X16" i="5"/>
  <c r="AT19" i="5"/>
  <c r="X38" i="5"/>
  <c r="AT46" i="5"/>
  <c r="X7" i="5"/>
  <c r="AT35" i="5"/>
  <c r="X41" i="5"/>
  <c r="AT30" i="5"/>
  <c r="X37" i="5"/>
  <c r="AT17" i="5"/>
  <c r="X20" i="5"/>
  <c r="AT12" i="5"/>
  <c r="X23" i="5"/>
  <c r="AT23" i="5"/>
  <c r="X25" i="5"/>
  <c r="AT20" i="5"/>
  <c r="X39" i="5"/>
  <c r="AT25" i="5"/>
  <c r="X6" i="5"/>
  <c r="AT24" i="5"/>
  <c r="X49" i="5"/>
  <c r="AT13" i="5"/>
  <c r="X36" i="5"/>
  <c r="X35" i="5"/>
  <c r="AT14" i="5"/>
  <c r="X42" i="5"/>
  <c r="AT28" i="5"/>
  <c r="X43" i="5"/>
  <c r="AT47" i="5"/>
  <c r="X9" i="5"/>
  <c r="AT40" i="5"/>
  <c r="X45" i="5"/>
  <c r="AT43" i="5"/>
  <c r="X11" i="5"/>
  <c r="AT21" i="5"/>
  <c r="X33" i="5"/>
  <c r="AT48" i="5"/>
  <c r="X13" i="5"/>
  <c r="AT15" i="5"/>
  <c r="X27" i="5"/>
  <c r="AT37" i="5"/>
  <c r="X51" i="5"/>
  <c r="AT33" i="5"/>
  <c r="X4" i="5"/>
  <c r="AT18" i="5"/>
  <c r="X31" i="5"/>
  <c r="AT31" i="5"/>
  <c r="X21" i="5"/>
  <c r="AT49" i="5"/>
  <c r="X26" i="5"/>
  <c r="AT26" i="5"/>
  <c r="X48" i="5"/>
  <c r="AT7" i="5"/>
  <c r="X10" i="5"/>
  <c r="AT45" i="5"/>
  <c r="X34" i="5"/>
  <c r="AT39" i="5"/>
  <c r="AT4" i="5"/>
  <c r="Q4" i="5"/>
  <c r="R4" i="5"/>
  <c r="U4" i="5"/>
  <c r="V4" i="5"/>
  <c r="T4" i="5"/>
  <c r="W4" i="5"/>
  <c r="Q5" i="5"/>
  <c r="R5" i="5"/>
  <c r="U5" i="5"/>
  <c r="V5" i="5"/>
  <c r="T5" i="5"/>
  <c r="W5" i="5"/>
  <c r="Q6" i="5"/>
  <c r="R6" i="5"/>
  <c r="U6" i="5"/>
  <c r="V6" i="5"/>
  <c r="T6" i="5"/>
  <c r="W6" i="5"/>
  <c r="Q7" i="5"/>
  <c r="R7" i="5"/>
  <c r="U7" i="5"/>
  <c r="V7" i="5"/>
  <c r="T7" i="5"/>
  <c r="W7" i="5"/>
  <c r="Q8" i="5"/>
  <c r="R8" i="5"/>
  <c r="U8" i="5"/>
  <c r="V8" i="5"/>
  <c r="T8" i="5"/>
  <c r="W8" i="5"/>
  <c r="Q9" i="5"/>
  <c r="R9" i="5"/>
  <c r="U9" i="5"/>
  <c r="V9" i="5"/>
  <c r="T9" i="5"/>
  <c r="W9" i="5"/>
  <c r="Q10" i="5"/>
  <c r="R10" i="5"/>
  <c r="U10" i="5"/>
  <c r="V10" i="5"/>
  <c r="T10" i="5"/>
  <c r="W10" i="5"/>
  <c r="Q11" i="5"/>
  <c r="R11" i="5"/>
  <c r="U11" i="5"/>
  <c r="V11" i="5"/>
  <c r="T11" i="5"/>
  <c r="W11" i="5"/>
  <c r="Q12" i="5"/>
  <c r="R12" i="5"/>
  <c r="U12" i="5"/>
  <c r="V12" i="5"/>
  <c r="T12" i="5"/>
  <c r="W12" i="5"/>
  <c r="Q13" i="5"/>
  <c r="R13" i="5"/>
  <c r="U13" i="5"/>
  <c r="V13" i="5"/>
  <c r="T13" i="5"/>
  <c r="W13" i="5"/>
  <c r="Q14" i="5"/>
  <c r="R14" i="5"/>
  <c r="U14" i="5"/>
  <c r="V14" i="5"/>
  <c r="T14" i="5"/>
  <c r="W14" i="5"/>
  <c r="Q15" i="5"/>
  <c r="R15" i="5"/>
  <c r="U15" i="5"/>
  <c r="V15" i="5"/>
  <c r="T15" i="5"/>
  <c r="W15" i="5"/>
  <c r="Q16" i="5"/>
  <c r="R16" i="5"/>
  <c r="U16" i="5"/>
  <c r="V16" i="5"/>
  <c r="T16" i="5"/>
  <c r="W16" i="5"/>
  <c r="Q17" i="5"/>
  <c r="R17" i="5"/>
  <c r="U17" i="5"/>
  <c r="V17" i="5"/>
  <c r="T17" i="5"/>
  <c r="W17" i="5"/>
  <c r="Q18" i="5"/>
  <c r="R18" i="5"/>
  <c r="U18" i="5"/>
  <c r="V18" i="5"/>
  <c r="T18" i="5"/>
  <c r="W18" i="5"/>
  <c r="Q19" i="5"/>
  <c r="R19" i="5"/>
  <c r="U19" i="5"/>
  <c r="V19" i="5"/>
  <c r="T19" i="5"/>
  <c r="W19" i="5"/>
  <c r="Q20" i="5"/>
  <c r="R20" i="5"/>
  <c r="U20" i="5"/>
  <c r="V20" i="5"/>
  <c r="T20" i="5"/>
  <c r="W20" i="5"/>
  <c r="Q21" i="5"/>
  <c r="R21" i="5"/>
  <c r="U21" i="5"/>
  <c r="V21" i="5"/>
  <c r="T21" i="5"/>
  <c r="W21" i="5"/>
  <c r="Q22" i="5"/>
  <c r="R22" i="5"/>
  <c r="U22" i="5"/>
  <c r="V22" i="5"/>
  <c r="T22" i="5"/>
  <c r="W22" i="5"/>
  <c r="Q23" i="5"/>
  <c r="R23" i="5"/>
  <c r="U23" i="5"/>
  <c r="V23" i="5"/>
  <c r="T23" i="5"/>
  <c r="W23" i="5"/>
  <c r="Q24" i="5"/>
  <c r="R24" i="5"/>
  <c r="U24" i="5"/>
  <c r="V24" i="5"/>
  <c r="T24" i="5"/>
  <c r="W24" i="5"/>
  <c r="Q25" i="5"/>
  <c r="R25" i="5"/>
  <c r="U25" i="5"/>
  <c r="V25" i="5"/>
  <c r="T25" i="5"/>
  <c r="W25" i="5"/>
  <c r="Q26" i="5"/>
  <c r="R26" i="5"/>
  <c r="U26" i="5"/>
  <c r="V26" i="5"/>
  <c r="T26" i="5"/>
  <c r="W26" i="5"/>
  <c r="Q27" i="5"/>
  <c r="R27" i="5"/>
  <c r="U27" i="5"/>
  <c r="V27" i="5"/>
  <c r="T27" i="5"/>
  <c r="W27" i="5"/>
  <c r="Q28" i="5"/>
  <c r="R28" i="5"/>
  <c r="U28" i="5"/>
  <c r="V28" i="5"/>
  <c r="T28" i="5"/>
  <c r="W28" i="5"/>
  <c r="Q29" i="5"/>
  <c r="R29" i="5"/>
  <c r="U29" i="5"/>
  <c r="V29" i="5"/>
  <c r="T29" i="5"/>
  <c r="W29" i="5"/>
  <c r="Q30" i="5"/>
  <c r="R30" i="5"/>
  <c r="U30" i="5"/>
  <c r="V30" i="5"/>
  <c r="T30" i="5"/>
  <c r="W30" i="5"/>
  <c r="Q31" i="5"/>
  <c r="R31" i="5"/>
  <c r="U31" i="5"/>
  <c r="V31" i="5"/>
  <c r="T31" i="5"/>
  <c r="W31" i="5"/>
  <c r="Q32" i="5"/>
  <c r="R32" i="5"/>
  <c r="U32" i="5"/>
  <c r="V32" i="5"/>
  <c r="T32" i="5"/>
  <c r="W32" i="5"/>
  <c r="Q33" i="5"/>
  <c r="R33" i="5"/>
  <c r="U33" i="5"/>
  <c r="V33" i="5"/>
  <c r="T33" i="5"/>
  <c r="W33" i="5"/>
  <c r="Q34" i="5"/>
  <c r="R34" i="5"/>
  <c r="U34" i="5"/>
  <c r="V34" i="5"/>
  <c r="T34" i="5"/>
  <c r="W34" i="5"/>
  <c r="Q35" i="5"/>
  <c r="R35" i="5"/>
  <c r="U35" i="5"/>
  <c r="V35" i="5"/>
  <c r="T35" i="5"/>
  <c r="W35" i="5"/>
  <c r="Q36" i="5"/>
  <c r="R36" i="5"/>
  <c r="U36" i="5"/>
  <c r="V36" i="5"/>
  <c r="T36" i="5"/>
  <c r="W36" i="5"/>
  <c r="Q37" i="5"/>
  <c r="R37" i="5"/>
  <c r="U37" i="5"/>
  <c r="V37" i="5"/>
  <c r="T37" i="5"/>
  <c r="W37" i="5"/>
  <c r="Q38" i="5"/>
  <c r="R38" i="5"/>
  <c r="U38" i="5"/>
  <c r="V38" i="5"/>
  <c r="T38" i="5"/>
  <c r="W38" i="5"/>
  <c r="Q39" i="5"/>
  <c r="R39" i="5"/>
  <c r="U39" i="5"/>
  <c r="V39" i="5"/>
  <c r="T39" i="5"/>
  <c r="W39" i="5"/>
  <c r="Q40" i="5"/>
  <c r="R40" i="5"/>
  <c r="U40" i="5"/>
  <c r="V40" i="5"/>
  <c r="T40" i="5"/>
  <c r="W40" i="5"/>
  <c r="Q41" i="5"/>
  <c r="R41" i="5"/>
  <c r="U41" i="5"/>
  <c r="V41" i="5"/>
  <c r="T41" i="5"/>
  <c r="W41" i="5"/>
  <c r="Q42" i="5"/>
  <c r="R42" i="5"/>
  <c r="U42" i="5"/>
  <c r="V42" i="5"/>
  <c r="T42" i="5"/>
  <c r="W42" i="5"/>
  <c r="Q43" i="5"/>
  <c r="R43" i="5"/>
  <c r="U43" i="5"/>
  <c r="V43" i="5"/>
  <c r="T43" i="5"/>
  <c r="W43" i="5"/>
  <c r="Q44" i="5"/>
  <c r="R44" i="5"/>
  <c r="U44" i="5"/>
  <c r="V44" i="5"/>
  <c r="T44" i="5"/>
  <c r="W44" i="5"/>
  <c r="Q45" i="5"/>
  <c r="R45" i="5"/>
  <c r="U45" i="5"/>
  <c r="V45" i="5"/>
  <c r="T45" i="5"/>
  <c r="W45" i="5"/>
  <c r="Q46" i="5"/>
  <c r="R46" i="5"/>
  <c r="U46" i="5"/>
  <c r="V46" i="5"/>
  <c r="T46" i="5"/>
  <c r="W46" i="5"/>
  <c r="Q47" i="5"/>
  <c r="R47" i="5"/>
  <c r="U47" i="5"/>
  <c r="V47" i="5"/>
  <c r="T47" i="5"/>
  <c r="W47" i="5"/>
  <c r="Q48" i="5"/>
  <c r="R48" i="5"/>
  <c r="U48" i="5"/>
  <c r="V48" i="5"/>
  <c r="T48" i="5"/>
  <c r="W48" i="5"/>
  <c r="Q49" i="5"/>
  <c r="R49" i="5"/>
  <c r="U49" i="5"/>
  <c r="V49" i="5"/>
  <c r="T49" i="5"/>
  <c r="W49" i="5"/>
  <c r="Q50" i="5"/>
  <c r="R50" i="5"/>
  <c r="U50" i="5"/>
  <c r="V50" i="5"/>
  <c r="T50" i="5"/>
  <c r="W50" i="5"/>
  <c r="Q51" i="5"/>
  <c r="R51" i="5"/>
  <c r="U51" i="5"/>
  <c r="V51" i="5"/>
  <c r="T51" i="5"/>
  <c r="W51" i="5"/>
  <c r="C2" i="8"/>
  <c r="D2" i="8"/>
  <c r="O25" i="7"/>
  <c r="AX6" i="5"/>
  <c r="AX5" i="5"/>
  <c r="AX4" i="5"/>
  <c r="I131" i="9"/>
  <c r="I132" i="9"/>
  <c r="I133" i="9"/>
  <c r="I134" i="9"/>
  <c r="I135" i="9"/>
  <c r="I136" i="9"/>
  <c r="J131" i="9"/>
  <c r="K131" i="9"/>
  <c r="J132" i="9"/>
  <c r="K132" i="9"/>
  <c r="J133" i="9"/>
  <c r="K133" i="9"/>
  <c r="J134" i="9"/>
  <c r="K134" i="9"/>
  <c r="J135" i="9"/>
  <c r="K135" i="9"/>
  <c r="J136" i="9"/>
  <c r="K136" i="9"/>
  <c r="BE5" i="5"/>
  <c r="BE6" i="5"/>
  <c r="BE4" i="5"/>
  <c r="AU4" i="5"/>
  <c r="AU5" i="5"/>
  <c r="AU6" i="5"/>
  <c r="AU7" i="5"/>
  <c r="AU8" i="5"/>
  <c r="AU9" i="5"/>
  <c r="AU10" i="5"/>
  <c r="AU11" i="5"/>
  <c r="AU12" i="5"/>
  <c r="AU13" i="5"/>
  <c r="AU14" i="5"/>
  <c r="AU15" i="5"/>
  <c r="AU16" i="5"/>
  <c r="AU17" i="5"/>
  <c r="AU18" i="5"/>
  <c r="AU19" i="5"/>
  <c r="AU20" i="5"/>
  <c r="AU21" i="5"/>
  <c r="AU22" i="5"/>
  <c r="AU23" i="5"/>
  <c r="AU24" i="5"/>
  <c r="AU25" i="5"/>
  <c r="AU26" i="5"/>
  <c r="AU27" i="5"/>
  <c r="AU28" i="5"/>
  <c r="AU29" i="5"/>
  <c r="AU30" i="5"/>
  <c r="AU31" i="5"/>
  <c r="AU32" i="5"/>
  <c r="AU33" i="5"/>
  <c r="AU34" i="5"/>
  <c r="AU35" i="5"/>
  <c r="AU36" i="5"/>
  <c r="AU37" i="5"/>
  <c r="AU38" i="5"/>
  <c r="AU39" i="5"/>
  <c r="AU40" i="5"/>
  <c r="AU41" i="5"/>
  <c r="AU42" i="5"/>
  <c r="AU43" i="5"/>
  <c r="AU44" i="5"/>
  <c r="AU45" i="5"/>
  <c r="AU46" i="5"/>
  <c r="AU47" i="5"/>
  <c r="AU48" i="5"/>
  <c r="AU49" i="5"/>
  <c r="AU50" i="5"/>
  <c r="AU51" i="5"/>
  <c r="AX10" i="5"/>
  <c r="C28" i="8"/>
  <c r="F28" i="8"/>
  <c r="K28" i="8"/>
  <c r="I28" i="8"/>
  <c r="C15" i="8"/>
  <c r="L131" i="9"/>
  <c r="L132" i="9"/>
  <c r="L133" i="9"/>
  <c r="L134" i="9"/>
  <c r="L135" i="9"/>
  <c r="L136" i="9"/>
  <c r="S25" i="5"/>
  <c r="S48" i="5"/>
  <c r="S39" i="5"/>
  <c r="S30" i="5"/>
  <c r="S11" i="5"/>
  <c r="S47" i="5"/>
  <c r="S44" i="5"/>
  <c r="S40" i="5"/>
  <c r="S22" i="5"/>
  <c r="S49" i="5"/>
  <c r="S8" i="5"/>
  <c r="S17" i="5"/>
  <c r="S31" i="5"/>
  <c r="H15" i="8"/>
  <c r="G15" i="8"/>
  <c r="C32" i="8"/>
  <c r="F32" i="8"/>
  <c r="S34" i="5"/>
  <c r="S4" i="5"/>
  <c r="S18" i="5"/>
  <c r="S15" i="5"/>
  <c r="H32" i="8"/>
  <c r="J32" i="8"/>
  <c r="I32" i="8"/>
  <c r="C43" i="8"/>
  <c r="D43" i="8"/>
  <c r="F43" i="8"/>
  <c r="G43" i="8"/>
  <c r="C36" i="8"/>
  <c r="J36" i="8"/>
  <c r="G36" i="8"/>
  <c r="S16" i="5"/>
  <c r="H36" i="8"/>
  <c r="K36" i="8"/>
  <c r="C9" i="8"/>
  <c r="F9" i="8"/>
  <c r="K9" i="8"/>
  <c r="G9" i="8"/>
  <c r="C26" i="8"/>
  <c r="S41" i="5"/>
  <c r="S19" i="5"/>
  <c r="S28" i="5"/>
  <c r="H26" i="8"/>
  <c r="K26" i="8"/>
  <c r="D26" i="8"/>
  <c r="J26" i="8"/>
  <c r="C17" i="8"/>
  <c r="F17" i="8"/>
  <c r="J17" i="8"/>
  <c r="D17" i="8"/>
  <c r="C31" i="8"/>
  <c r="S9" i="5"/>
  <c r="S42" i="5"/>
  <c r="H31" i="8"/>
  <c r="F31" i="8"/>
  <c r="D31" i="8"/>
  <c r="J31" i="8"/>
  <c r="C20" i="8"/>
  <c r="J20" i="8"/>
  <c r="F20" i="8"/>
  <c r="D20" i="8"/>
  <c r="C34" i="8"/>
  <c r="F34" i="8"/>
  <c r="S7" i="5"/>
  <c r="H34" i="8"/>
  <c r="K34" i="8"/>
  <c r="G34" i="8"/>
  <c r="C38" i="8"/>
  <c r="I38" i="8"/>
  <c r="K38" i="8"/>
  <c r="J38" i="8"/>
  <c r="C29" i="8"/>
  <c r="D29" i="8"/>
  <c r="J29" i="8"/>
  <c r="F29" i="8"/>
  <c r="I29" i="8"/>
  <c r="C6" i="8"/>
  <c r="K6" i="8"/>
  <c r="S12" i="5"/>
  <c r="S23" i="5"/>
  <c r="S6" i="5"/>
  <c r="S32" i="5"/>
  <c r="S13" i="5"/>
  <c r="S36" i="5"/>
  <c r="H6" i="8"/>
  <c r="G6" i="8"/>
  <c r="C18" i="8"/>
  <c r="K18" i="8"/>
  <c r="D18" i="8"/>
  <c r="J18" i="8"/>
  <c r="I18" i="8"/>
  <c r="C44" i="8"/>
  <c r="G44" i="8"/>
  <c r="K44" i="8"/>
  <c r="I44" i="8"/>
  <c r="C7" i="8"/>
  <c r="J7" i="8"/>
  <c r="G7" i="8"/>
  <c r="I7" i="8"/>
  <c r="D7" i="8"/>
  <c r="C25" i="8"/>
  <c r="K25" i="8"/>
  <c r="G25" i="8"/>
  <c r="F25" i="8"/>
  <c r="C41" i="8"/>
  <c r="I41" i="8"/>
  <c r="F41" i="8"/>
  <c r="K41" i="8"/>
  <c r="G41" i="8"/>
  <c r="C11" i="8"/>
  <c r="J11" i="8"/>
  <c r="H11" i="8"/>
  <c r="D11" i="8"/>
  <c r="J2" i="8"/>
  <c r="H2" i="8"/>
  <c r="G2" i="8"/>
  <c r="C19" i="8"/>
  <c r="K19" i="8"/>
  <c r="D19" i="8"/>
  <c r="J19" i="8"/>
  <c r="C30" i="8"/>
  <c r="D30" i="8"/>
  <c r="F30" i="8"/>
  <c r="G30" i="8"/>
  <c r="J30" i="8"/>
  <c r="C16" i="8"/>
  <c r="S20" i="5"/>
  <c r="H16" i="8"/>
  <c r="F16" i="8"/>
  <c r="K16" i="8"/>
  <c r="C13" i="8"/>
  <c r="G13" i="8"/>
  <c r="J13" i="8"/>
  <c r="K13" i="8"/>
  <c r="H13" i="8"/>
  <c r="C49" i="8"/>
  <c r="D49" i="8"/>
  <c r="J49" i="8"/>
  <c r="I49" i="8"/>
  <c r="C27" i="8"/>
  <c r="I27" i="8"/>
  <c r="D27" i="8"/>
  <c r="H27" i="8"/>
  <c r="G27" i="8"/>
  <c r="C40" i="8"/>
  <c r="S5" i="5"/>
  <c r="H40" i="8"/>
  <c r="F40" i="8"/>
  <c r="K40" i="8"/>
  <c r="C46" i="8"/>
  <c r="I46" i="8"/>
  <c r="F46" i="8"/>
  <c r="D46" i="8"/>
  <c r="K46" i="8"/>
  <c r="C10" i="8"/>
  <c r="H10" i="8"/>
  <c r="G10" i="8"/>
  <c r="F10" i="8"/>
  <c r="C24" i="8"/>
  <c r="G24" i="8"/>
  <c r="D24" i="8"/>
  <c r="K24" i="8"/>
  <c r="J24" i="8"/>
  <c r="C23" i="8"/>
  <c r="I23" i="8"/>
  <c r="J23" i="8"/>
  <c r="G23" i="8"/>
  <c r="C47" i="8"/>
  <c r="I47" i="8"/>
  <c r="F47" i="8"/>
  <c r="J47" i="8"/>
  <c r="S21" i="5"/>
  <c r="H47" i="8"/>
  <c r="C42" i="8"/>
  <c r="F42" i="8"/>
  <c r="D42" i="8"/>
  <c r="G42" i="8"/>
  <c r="C35" i="8"/>
  <c r="D35" i="8"/>
  <c r="F35" i="8"/>
  <c r="J35" i="8"/>
  <c r="G35" i="8"/>
  <c r="C21" i="8"/>
  <c r="J21" i="8"/>
  <c r="K21" i="8"/>
  <c r="AX14" i="5"/>
  <c r="J28" i="8"/>
  <c r="H28" i="8"/>
  <c r="D28" i="8"/>
  <c r="K15" i="8"/>
  <c r="F15" i="8"/>
  <c r="J15" i="8"/>
  <c r="D15" i="8"/>
  <c r="K32" i="8"/>
  <c r="D32" i="8"/>
  <c r="G32" i="8"/>
  <c r="I43" i="8"/>
  <c r="K43" i="8"/>
  <c r="S43" i="5"/>
  <c r="H43" i="8"/>
  <c r="J43" i="8"/>
  <c r="F36" i="8"/>
  <c r="D36" i="8"/>
  <c r="I36" i="8"/>
  <c r="J9" i="8"/>
  <c r="H9" i="8"/>
  <c r="I9" i="8"/>
  <c r="D9" i="8"/>
  <c r="G26" i="8"/>
  <c r="F26" i="8"/>
  <c r="I26" i="8"/>
  <c r="S24" i="5"/>
  <c r="S35" i="5"/>
  <c r="H17" i="8"/>
  <c r="G17" i="8"/>
  <c r="I17" i="8"/>
  <c r="K17" i="8"/>
  <c r="G31" i="8"/>
  <c r="I31" i="8"/>
  <c r="K31" i="8"/>
  <c r="G20" i="8"/>
  <c r="S50" i="5"/>
  <c r="H20" i="8"/>
  <c r="K20" i="8"/>
  <c r="I20" i="8"/>
  <c r="D34" i="8"/>
  <c r="J34" i="8"/>
  <c r="I34" i="8"/>
  <c r="S46" i="5"/>
  <c r="H38" i="8"/>
  <c r="F38" i="8"/>
  <c r="G38" i="8"/>
  <c r="D38" i="8"/>
  <c r="G29" i="8"/>
  <c r="K29" i="8"/>
  <c r="H29" i="8"/>
  <c r="D6" i="8"/>
  <c r="F6" i="8"/>
  <c r="I6" i="8"/>
  <c r="J6" i="8"/>
  <c r="H18" i="8"/>
  <c r="F18" i="8"/>
  <c r="G18" i="8"/>
  <c r="J44" i="8"/>
  <c r="S38" i="5"/>
  <c r="H44" i="8"/>
  <c r="F44" i="8"/>
  <c r="D44" i="8"/>
  <c r="K7" i="8"/>
  <c r="F7" i="8"/>
  <c r="H7" i="8"/>
  <c r="I25" i="8"/>
  <c r="D25" i="8"/>
  <c r="H25" i="8"/>
  <c r="J25" i="8"/>
  <c r="D41" i="8"/>
  <c r="J41" i="8"/>
  <c r="S45" i="5"/>
  <c r="H41" i="8"/>
  <c r="G11" i="8"/>
  <c r="K11" i="8"/>
  <c r="F11" i="8"/>
  <c r="I11" i="8"/>
  <c r="I2" i="8"/>
  <c r="F2" i="8"/>
  <c r="K2" i="8"/>
  <c r="F19" i="8"/>
  <c r="H19" i="8"/>
  <c r="I19" i="8"/>
  <c r="G19" i="8"/>
  <c r="I30" i="8"/>
  <c r="H30" i="8"/>
  <c r="K30" i="8"/>
  <c r="J16" i="8"/>
  <c r="G16" i="8"/>
  <c r="I16" i="8"/>
  <c r="D16" i="8"/>
  <c r="D13" i="8"/>
  <c r="F13" i="8"/>
  <c r="I13" i="8"/>
  <c r="K49" i="8"/>
  <c r="G49" i="8"/>
  <c r="S14" i="5"/>
  <c r="H49" i="8"/>
  <c r="F49" i="8"/>
  <c r="J27" i="8"/>
  <c r="F27" i="8"/>
  <c r="K27" i="8"/>
  <c r="I40" i="8"/>
  <c r="D40" i="8"/>
  <c r="J40" i="8"/>
  <c r="G40" i="8"/>
  <c r="G46" i="8"/>
  <c r="J46" i="8"/>
  <c r="S29" i="5"/>
  <c r="H46" i="8"/>
  <c r="I10" i="8"/>
  <c r="J10" i="8"/>
  <c r="K10" i="8"/>
  <c r="D10" i="8"/>
  <c r="H24" i="8"/>
  <c r="F24" i="8"/>
  <c r="I24" i="8"/>
  <c r="K23" i="8"/>
  <c r="H23" i="8"/>
  <c r="F23" i="8"/>
  <c r="D23" i="8"/>
  <c r="K47" i="8"/>
  <c r="D47" i="8"/>
  <c r="G47" i="8"/>
  <c r="I42" i="8"/>
  <c r="K42" i="8"/>
  <c r="J42" i="8"/>
  <c r="S51" i="5"/>
  <c r="H42" i="8"/>
  <c r="K35" i="8"/>
  <c r="S37" i="5"/>
  <c r="H35" i="8"/>
  <c r="I35" i="8"/>
  <c r="D21" i="8"/>
  <c r="H21" i="8"/>
  <c r="I21" i="8"/>
  <c r="F21" i="8"/>
  <c r="G21" i="8"/>
  <c r="C5" i="8"/>
  <c r="G5" i="8"/>
  <c r="D5" i="8"/>
  <c r="J5" i="8"/>
  <c r="C45" i="8"/>
  <c r="I45" i="8"/>
  <c r="D45" i="8"/>
  <c r="K45" i="8"/>
  <c r="F45" i="8"/>
  <c r="C39" i="8"/>
  <c r="J39" i="8"/>
  <c r="D39" i="8"/>
  <c r="I39" i="8"/>
  <c r="C37" i="8"/>
  <c r="I37" i="8"/>
  <c r="F37" i="8"/>
  <c r="G37" i="8"/>
  <c r="D37" i="8"/>
  <c r="C4" i="8"/>
  <c r="H4" i="8"/>
  <c r="K4" i="8"/>
  <c r="J4" i="8"/>
  <c r="C22" i="8"/>
  <c r="H22" i="8"/>
  <c r="I22" i="8"/>
  <c r="J22" i="8"/>
  <c r="F22" i="8"/>
  <c r="C12" i="8"/>
  <c r="J12" i="8"/>
  <c r="F12" i="8"/>
  <c r="H12" i="8"/>
  <c r="C8" i="8"/>
  <c r="G8" i="8"/>
  <c r="H8" i="8"/>
  <c r="I8" i="8"/>
  <c r="F8" i="8"/>
  <c r="C14" i="8"/>
  <c r="J14" i="8"/>
  <c r="G14" i="8"/>
  <c r="D14" i="8"/>
  <c r="C48" i="8"/>
  <c r="D48" i="8"/>
  <c r="I48" i="8"/>
  <c r="S33" i="5"/>
  <c r="H48" i="8"/>
  <c r="F48" i="8"/>
  <c r="C3" i="8"/>
  <c r="G3" i="8"/>
  <c r="F3" i="8"/>
  <c r="D3" i="8"/>
  <c r="C33" i="8"/>
  <c r="J33" i="8"/>
  <c r="D33" i="8"/>
  <c r="G33" i="8"/>
  <c r="K33" i="8"/>
  <c r="K5" i="8"/>
  <c r="I5" i="8"/>
  <c r="H5" i="8"/>
  <c r="F5" i="8"/>
  <c r="S10" i="5"/>
  <c r="H45" i="8"/>
  <c r="J45" i="8"/>
  <c r="G45" i="8"/>
  <c r="K39" i="8"/>
  <c r="S27" i="5"/>
  <c r="H39" i="8"/>
  <c r="G39" i="8"/>
  <c r="F39" i="8"/>
  <c r="J37" i="8"/>
  <c r="S26" i="5"/>
  <c r="H37" i="8"/>
  <c r="K37" i="8"/>
  <c r="F4" i="8"/>
  <c r="D4" i="8"/>
  <c r="G4" i="8"/>
  <c r="I4" i="8"/>
  <c r="G22" i="8"/>
  <c r="K22" i="8"/>
  <c r="D22" i="8"/>
  <c r="I12" i="8"/>
  <c r="K12" i="8"/>
  <c r="D12" i="8"/>
  <c r="G12" i="8"/>
  <c r="J8" i="8"/>
  <c r="D8" i="8"/>
  <c r="K8" i="8"/>
  <c r="H14" i="8"/>
  <c r="I14" i="8"/>
  <c r="K14" i="8"/>
  <c r="F14" i="8"/>
  <c r="K48" i="8"/>
  <c r="J48" i="8"/>
  <c r="G48" i="8"/>
  <c r="J3" i="8"/>
  <c r="I3" i="8"/>
  <c r="H3" i="8"/>
  <c r="K3" i="8"/>
  <c r="H33" i="8"/>
  <c r="I33" i="8"/>
  <c r="F33" i="8"/>
  <c r="AX11" i="5"/>
  <c r="AX15" i="5"/>
  <c r="AX13" i="5"/>
  <c r="AY15" i="5"/>
  <c r="AX9" i="5"/>
  <c r="AY11" i="5"/>
  <c r="E33" i="8"/>
  <c r="E14" i="8"/>
  <c r="G7" i="9"/>
  <c r="E4" i="8"/>
  <c r="E39" i="8"/>
  <c r="E5" i="8"/>
  <c r="G9" i="9"/>
  <c r="E3" i="8"/>
  <c r="E48" i="8"/>
  <c r="E8" i="8"/>
  <c r="E12" i="8"/>
  <c r="E22" i="8"/>
  <c r="E37" i="8"/>
  <c r="E45" i="8"/>
  <c r="G10" i="9"/>
  <c r="E21" i="8"/>
  <c r="E23" i="8"/>
  <c r="E24" i="8"/>
  <c r="E27" i="8"/>
  <c r="E49" i="8"/>
  <c r="E13" i="8"/>
  <c r="E19" i="8"/>
  <c r="E2" i="8"/>
  <c r="E11" i="8"/>
  <c r="E7" i="8"/>
  <c r="E44" i="8"/>
  <c r="E18" i="8"/>
  <c r="E6" i="8"/>
  <c r="E38" i="8"/>
  <c r="E26" i="8"/>
  <c r="E36" i="8"/>
  <c r="E15" i="8"/>
  <c r="E35" i="8"/>
  <c r="E42" i="8"/>
  <c r="E47" i="8"/>
  <c r="E10" i="8"/>
  <c r="E46" i="8"/>
  <c r="E40" i="8"/>
  <c r="E16" i="8"/>
  <c r="E30" i="8"/>
  <c r="G8" i="9"/>
  <c r="B12" i="11"/>
  <c r="E41" i="8"/>
  <c r="E25" i="8"/>
  <c r="E29" i="8"/>
  <c r="E34" i="8"/>
  <c r="E20" i="8"/>
  <c r="E31" i="8"/>
  <c r="E17" i="8"/>
  <c r="E9" i="8"/>
  <c r="E43" i="8"/>
  <c r="E32" i="8"/>
  <c r="AY4" i="5"/>
  <c r="AZ4" i="5"/>
  <c r="BF4" i="5"/>
  <c r="AY5" i="5"/>
  <c r="BF5" i="5"/>
  <c r="AY6" i="5"/>
  <c r="BF6" i="5"/>
  <c r="BF7" i="5"/>
  <c r="BD5" i="5"/>
  <c r="BD7" i="5"/>
  <c r="S20" i="7"/>
  <c r="G3" i="9"/>
  <c r="BB4" i="5"/>
  <c r="BA4" i="5"/>
  <c r="BC4" i="5"/>
  <c r="BA5" i="5"/>
  <c r="BC5" i="5"/>
  <c r="AZ5" i="5"/>
  <c r="BB5" i="5"/>
  <c r="BC6" i="5"/>
  <c r="AZ6" i="5"/>
  <c r="BB6" i="5"/>
  <c r="BA6" i="5"/>
  <c r="AY17" i="5"/>
  <c r="S21" i="7"/>
  <c r="G4" i="9"/>
  <c r="BD6" i="5"/>
  <c r="BD4" i="5"/>
  <c r="Z47" i="5"/>
  <c r="Z16" i="5"/>
  <c r="Z49" i="5"/>
  <c r="Z13" i="5"/>
  <c r="Z35" i="5"/>
  <c r="Z46" i="5"/>
  <c r="Z38" i="5"/>
  <c r="Z50" i="5"/>
  <c r="Z45" i="5"/>
  <c r="Z14" i="5"/>
  <c r="Z25" i="5"/>
  <c r="Z5" i="5"/>
  <c r="Z11" i="5"/>
  <c r="Z40" i="5"/>
  <c r="Z20" i="5"/>
  <c r="Z34" i="5"/>
  <c r="Z26" i="5"/>
  <c r="Z9" i="5"/>
  <c r="Z4" i="5"/>
  <c r="Z8" i="5"/>
  <c r="Z48" i="5"/>
  <c r="Z15" i="5"/>
  <c r="Z10" i="5"/>
  <c r="Z28" i="5"/>
  <c r="Z37" i="5"/>
  <c r="Z30" i="5"/>
  <c r="Z6" i="5"/>
  <c r="Z42" i="5"/>
  <c r="Z33" i="5"/>
  <c r="Z39" i="5"/>
  <c r="Z51" i="5"/>
  <c r="Z17" i="5"/>
  <c r="Z44" i="5"/>
  <c r="Z7" i="5"/>
  <c r="Z23" i="5"/>
  <c r="Z29" i="5"/>
  <c r="Z19" i="5"/>
  <c r="Z21" i="5"/>
  <c r="Z41" i="5"/>
  <c r="Z27" i="5"/>
  <c r="Z24" i="5"/>
  <c r="Z22" i="5"/>
  <c r="Z31" i="5"/>
  <c r="Z43" i="5"/>
  <c r="Z12" i="5"/>
  <c r="Z18" i="5"/>
  <c r="Z32" i="5"/>
  <c r="Z36" i="5"/>
  <c r="G28" i="8"/>
  <c r="I15" i="8"/>
  <c r="AW22" i="5"/>
  <c r="AX22" i="5"/>
  <c r="S23" i="7"/>
  <c r="G6" i="9"/>
  <c r="E28"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00000000-0006-0000-0000-000001000000}">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<sst xmlns="http://schemas.openxmlformats.org/spreadsheetml/2006/main" count="5997" uniqueCount="866">
  <si>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</si>
  <si>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</si>
  <si>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</si>
  <si>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</si>
  <si>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</si>
  <si>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</si>
  <si>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</si>
  <si>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</si>
  <si>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</si>
  <si>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</si>
  <si>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</si>
  <si>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</si>
  <si>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</si>
  <si>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</si>
  <si>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</si>
  <si>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</si>
  <si>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</si>
  <si>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</si>
  <si>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</si>
  <si>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</si>
  <si>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</si>
  <si>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</si>
  <si>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</si>
  <si>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</si>
  <si>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</si>
  <si>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</si>
  <si>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</si>
  <si>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</si>
  <si>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</si>
  <si>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</si>
  <si>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</si>
  <si>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</si>
  <si>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</si>
  <si>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</si>
  <si>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</si>
  <si>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</si>
  <si>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</si>
  <si>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</si>
  <si>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</si>
  <si>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</si>
  <si>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</si>
  <si>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</si>
  <si>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</si>
  <si>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</si>
  <si>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</si>
  <si>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</si>
  <si>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</si>
  <si>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</si>
  <si>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</si>
  <si>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</si>
  <si>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</si>
  <si>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</si>
  <si>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</si>
  <si>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</si>
  <si>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</si>
  <si>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</si>
  <si>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</si>
  <si>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</si>
  <si>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</si>
  <si>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</si>
  <si>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</si>
  <si>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</si>
  <si>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</si>
  <si>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</si>
  <si>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</si>
  <si>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</si>
  <si>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</si>
  <si>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</si>
  <si>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</si>
  <si>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</si>
  <si>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</si>
  <si>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</si>
  <si>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</si>
  <si>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</si>
  <si>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</si>
  <si>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</si>
  <si>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</si>
  <si>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</si>
  <si>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</si>
  <si>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</si>
  <si>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</si>
  <si>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</si>
  <si>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</si>
  <si>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</si>
  <si>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</si>
  <si>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</si>
  <si>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</si>
  <si>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</si>
  <si>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</si>
  <si>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</si>
  <si>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</si>
  <si>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</si>
  <si>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</si>
  <si>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</si>
  <si>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</si>
  <si>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</si>
  <si>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</si>
  <si>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</si>
  <si>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</si>
  <si>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</si>
  <si>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</si>
  <si>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</si>
  <si>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</si>
  <si>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</si>
  <si>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</si>
  <si>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</si>
  <si>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</si>
  <si>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</si>
  <si>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</si>
  <si>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</si>
  <si>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</si>
  <si>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</si>
  <si>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</si>
  <si>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</si>
  <si>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</si>
  <si>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</si>
  <si>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</si>
  <si>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</si>
  <si>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</si>
  <si>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</si>
  <si>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</si>
  <si>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</si>
  <si>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</si>
  <si>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</si>
  <si>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</si>
  <si>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</si>
  <si>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</si>
  <si>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</si>
  <si>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</si>
  <si>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</si>
  <si>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</si>
  <si>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</si>
  <si>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</si>
  <si>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</si>
  <si>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</si>
  <si>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</si>
  <si>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</si>
  <si>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</si>
  <si>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</si>
  <si>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</si>
  <si>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</si>
  <si>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</si>
  <si>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</si>
  <si>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</si>
  <si>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</si>
  <si>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</si>
  <si>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</si>
  <si>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</si>
  <si>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</si>
  <si>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</si>
  <si>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</si>
  <si>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</si>
  <si>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</si>
  <si>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</si>
  <si>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</si>
  <si>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</si>
  <si>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</si>
  <si>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</si>
  <si>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</si>
  <si>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</si>
  <si>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</si>
  <si>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</si>
  <si>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</si>
  <si>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</si>
  <si>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</si>
  <si>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</si>
  <si>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</si>
  <si>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</si>
  <si>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</si>
  <si>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</si>
  <si>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</si>
  <si>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</si>
  <si>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</si>
  <si>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</si>
  <si>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</si>
  <si>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</si>
  <si>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</si>
  <si>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</si>
  <si>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</si>
  <si>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</si>
  <si>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</si>
  <si>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</si>
  <si>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</si>
  <si>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</si>
  <si>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</si>
  <si>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</si>
  <si>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</si>
  <si>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</si>
  <si>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</si>
  <si>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</si>
  <si>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</si>
  <si>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</si>
  <si>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</si>
  <si>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</si>
  <si>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</si>
  <si>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</si>
  <si>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</si>
  <si>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</si>
  <si>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</si>
  <si>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</si>
  <si>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</si>
  <si>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</si>
  <si>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</si>
  <si>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</si>
  <si>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</si>
  <si>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</si>
  <si>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</si>
  <si>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</si>
  <si>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</si>
  <si>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</si>
  <si>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</si>
  <si>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</si>
  <si>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</si>
  <si>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</si>
  <si>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</si>
  <si>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</si>
  <si>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</si>
  <si>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</si>
  <si>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</si>
  <si>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</si>
  <si>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</si>
  <si>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</si>
  <si>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</si>
  <si>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</si>
  <si>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</si>
  <si>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</si>
  <si>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</si>
  <si>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</si>
  <si>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</si>
  <si>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</si>
  <si>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</si>
  <si>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</si>
  <si>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</si>
  <si>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</si>
  <si>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</si>
  <si>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</si>
  <si>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</si>
  <si>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</si>
  <si>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</si>
  <si>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</si>
  <si>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</si>
  <si>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</si>
  <si>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</si>
  <si>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</si>
  <si>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</si>
  <si>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</si>
  <si>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</si>
  <si>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</si>
  <si>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</si>
  <si>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</si>
  <si>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</si>
  <si>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</si>
  <si>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</si>
  <si>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</si>
  <si>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</si>
  <si>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</si>
  <si>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</si>
  <si>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</si>
  <si>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</si>
  <si>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</si>
  <si>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</si>
  <si>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</si>
  <si>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</si>
  <si>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</si>
  <si>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</si>
  <si>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</si>
  <si>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</si>
  <si>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</si>
  <si>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</si>
  <si>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</si>
  <si>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</si>
  <si>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</si>
  <si>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</si>
  <si>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</si>
  <si>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</si>
  <si>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</si>
  <si>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</si>
  <si>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</si>
  <si>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</si>
  <si>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</si>
  <si>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</si>
  <si>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</si>
  <si>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</si>
  <si>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</si>
  <si>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</si>
  <si>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</si>
  <si>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</si>
  <si>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</si>
  <si>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</si>
  <si>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</si>
  <si>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</si>
  <si>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</si>
  <si>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</si>
  <si>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</si>
  <si>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</si>
  <si>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</si>
  <si>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</si>
  <si>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</si>
  <si>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</si>
  <si>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</si>
  <si>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</si>
  <si>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</si>
  <si>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</si>
  <si>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</si>
  <si>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</si>
  <si>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</si>
  <si>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</si>
  <si>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</si>
  <si>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</si>
  <si>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</si>
  <si>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</si>
  <si>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</si>
  <si>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</si>
  <si>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</si>
  <si>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</si>
  <si>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</si>
  <si>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</si>
  <si>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</si>
  <si>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</si>
  <si>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</si>
  <si>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</si>
  <si>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</si>
  <si>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</si>
  <si>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</si>
  <si>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</si>
  <si>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</si>
  <si>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</si>
  <si>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</si>
  <si>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</si>
  <si>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</si>
  <si>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</si>
  <si>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</si>
  <si>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</si>
  <si>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</si>
  <si>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</si>
  <si>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</si>
  <si>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</si>
  <si>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</si>
  <si>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</si>
  <si>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</si>
  <si>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</si>
  <si>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</si>
  <si>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</si>
  <si>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</si>
  <si>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</si>
  <si>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</si>
  <si>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</si>
  <si>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</si>
  <si>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</si>
  <si>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</si>
  <si>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</si>
  <si>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</si>
  <si>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</si>
  <si>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</si>
  <si>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</si>
  <si>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</si>
  <si>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</si>
  <si>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</si>
  <si>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</si>
  <si>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</si>
  <si>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</si>
  <si>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</si>
  <si>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</si>
  <si>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</si>
  <si>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</si>
  <si>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</si>
  <si>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</si>
  <si>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</si>
  <si>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</si>
  <si>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</si>
  <si>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</si>
  <si>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</si>
  <si>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</si>
  <si>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</si>
  <si>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</si>
  <si>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</si>
  <si>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</si>
  <si>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</si>
  <si>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</si>
  <si>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</si>
  <si>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</si>
  <si>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</si>
  <si>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</si>
  <si>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</si>
  <si>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</si>
  <si>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</si>
  <si>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</si>
  <si>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</si>
  <si>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</si>
  <si>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</si>
  <si>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</si>
  <si>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</si>
  <si>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</si>
  <si>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</si>
  <si>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</si>
  <si>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</si>
  <si>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</si>
  <si>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</si>
  <si>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</si>
  <si>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</si>
  <si>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</si>
  <si>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</si>
  <si>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</si>
  <si>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</si>
  <si>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</si>
  <si>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</si>
  <si>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</si>
  <si>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</si>
  <si>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</si>
  <si>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</si>
  <si>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</si>
  <si>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</si>
  <si>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</si>
  <si>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</si>
  <si>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</si>
  <si>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</si>
  <si>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</si>
  <si>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</si>
  <si>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</si>
  <si>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</si>
  <si>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</si>
  <si>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</si>
  <si>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</si>
  <si>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</si>
  <si>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</si>
  <si>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</si>
  <si>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</si>
  <si>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</si>
  <si>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</si>
  <si>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</si>
  <si>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</si>
  <si>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</si>
  <si>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</si>
  <si>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</si>
  <si>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</si>
  <si>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</si>
  <si>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</si>
  <si>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</si>
  <si>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</si>
  <si>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</si>
  <si>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</si>
  <si>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</si>
  <si>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</si>
  <si>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</si>
  <si>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</si>
  <si>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</si>
  <si>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</si>
  <si>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</si>
  <si>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</si>
  <si>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</si>
  <si>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</si>
  <si>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</si>
  <si>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</si>
  <si>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</si>
  <si>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</si>
  <si>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</si>
  <si>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</si>
  <si>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</si>
  <si>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</si>
  <si>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</si>
  <si>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</si>
  <si>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</si>
  <si>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</si>
  <si>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</si>
  <si>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</si>
  <si>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</si>
  <si>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</si>
  <si>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</si>
  <si>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</si>
  <si>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</si>
  <si>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</si>
  <si>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</si>
  <si>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</si>
  <si>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</si>
  <si>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</si>
  <si>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</si>
  <si>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</si>
  <si>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</si>
  <si>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</si>
  <si>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</si>
  <si>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</si>
  <si>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</si>
  <si>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</si>
  <si>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</si>
  <si>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</si>
  <si>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</si>
  <si>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</si>
  <si>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</si>
  <si>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</si>
  <si>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</si>
  <si>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</si>
  <si>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</si>
  <si>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</si>
  <si>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</si>
  <si>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</si>
  <si>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</si>
  <si>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</si>
  <si>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</si>
  <si>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</si>
  <si>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</si>
  <si>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</si>
  <si>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</si>
  <si>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</si>
  <si>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</si>
  <si>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</si>
  <si>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</si>
  <si>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</si>
  <si>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</si>
  <si>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</si>
  <si>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</si>
  <si>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</si>
  <si>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</si>
  <si>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</si>
  <si>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</si>
  <si>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</si>
  <si>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</si>
  <si>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</si>
  <si>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</si>
  <si>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</si>
  <si>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</si>
  <si>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</si>
  <si>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</si>
  <si>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</si>
  <si>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</si>
  <si>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</si>
  <si>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</si>
  <si>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</si>
  <si>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</si>
  <si>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</si>
  <si>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</si>
  <si>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</si>
  <si>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</si>
  <si>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</si>
  <si>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</si>
  <si>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</si>
  <si>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</si>
  <si>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</si>
  <si>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</si>
  <si>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</si>
  <si>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</si>
  <si>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</si>
  <si>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</si>
  <si>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</si>
  <si>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</si>
  <si>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</si>
  <si>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</si>
  <si>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</si>
  <si>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</si>
  <si>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</si>
  <si>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</si>
  <si>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</si>
  <si>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</si>
  <si>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</si>
  <si>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</si>
  <si>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</si>
  <si>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</si>
  <si>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</si>
  <si>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</si>
  <si>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</si>
  <si>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</si>
  <si>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</si>
  <si>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</si>
  <si>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</si>
  <si>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</si>
  <si>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</si>
  <si>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</si>
  <si>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</si>
  <si>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</si>
  <si>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</si>
  <si>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</si>
  <si>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</si>
  <si>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</si>
  <si>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</si>
  <si>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</si>
  <si>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</si>
  <si>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</si>
  <si>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</si>
  <si>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</si>
  <si>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</si>
  <si>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</si>
  <si>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</si>
  <si>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</si>
  <si>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</si>
  <si>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</si>
  <si>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</si>
  <si>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</si>
  <si>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</si>
  <si>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</si>
  <si>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</si>
  <si>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</si>
  <si>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</si>
  <si>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</si>
  <si>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</si>
  <si>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</si>
  <si>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</si>
  <si>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</si>
  <si>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</si>
  <si>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</si>
  <si>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</si>
  <si>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</si>
  <si>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</si>
  <si>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</si>
  <si>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</si>
  <si>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</si>
  <si>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</si>
  <si>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</si>
  <si>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</si>
  <si>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</si>
  <si>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</si>
  <si>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</si>
  <si>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</si>
  <si>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</si>
  <si>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</si>
  <si>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</si>
  <si>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</si>
  <si>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</si>
  <si>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</si>
  <si>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</si>
  <si>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</si>
  <si>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</si>
  <si>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</si>
  <si>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</si>
  <si>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</si>
  <si>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</si>
  <si>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</si>
  <si>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</si>
  <si>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</si>
  <si>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</si>
  <si>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</si>
  <si>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</si>
  <si>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</si>
  <si>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</si>
  <si>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</si>
  <si>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</si>
  <si>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</si>
  <si>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</si>
  <si>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</si>
  <si>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</si>
  <si>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</si>
  <si>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</si>
  <si>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</si>
  <si>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</si>
  <si>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</si>
  <si>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</si>
  <si>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</si>
  <si>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</si>
  <si>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</si>
  <si>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</si>
  <si>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</si>
  <si>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</si>
  <si>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</si>
  <si>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</si>
  <si>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</si>
  <si>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</si>
  <si>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</si>
  <si>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</si>
  <si>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</si>
  <si>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</si>
  <si>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</si>
  <si>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</si>
  <si>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</si>
  <si>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</si>
  <si>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</si>
  <si>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</si>
  <si>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</si>
  <si>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</si>
  <si>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</si>
  <si>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</si>
  <si>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</si>
  <si>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</si>
  <si>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</si>
  <si>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</si>
  <si>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</si>
  <si>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</si>
  <si>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</si>
  <si>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</si>
  <si>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</si>
  <si>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</si>
  <si>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</si>
  <si>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</si>
  <si>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</si>
  <si>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</si>
  <si>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</si>
  <si>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</si>
  <si>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</si>
  <si>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</si>
  <si>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</si>
  <si>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</si>
  <si>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</si>
  <si>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</si>
  <si>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</si>
  <si>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</si>
  <si>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</si>
  <si>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</si>
  <si>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</si>
  <si>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</si>
  <si>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</si>
  <si>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</si>
  <si>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</si>
  <si>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</si>
  <si>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</si>
  <si>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</si>
  <si>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</si>
  <si>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</si>
  <si>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</si>
  <si>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</si>
  <si>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</si>
  <si>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</si>
  <si>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</si>
  <si>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</si>
  <si>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</si>
  <si>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</si>
  <si>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</si>
  <si>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</si>
  <si>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</si>
  <si>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</si>
  <si>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</si>
  <si>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</si>
  <si>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</si>
  <si>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</si>
  <si>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</si>
  <si>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</si>
  <si>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</si>
  <si>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</si>
  <si>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</si>
  <si>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</si>
  <si>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</si>
  <si>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</si>
  <si>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</si>
  <si>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</si>
  <si>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</si>
  <si>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</si>
  <si>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</si>
  <si>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</si>
  <si>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</si>
  <si>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</si>
  <si>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</si>
  <si>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</si>
  <si>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</si>
  <si>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</si>
  <si>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</si>
  <si>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</si>
  <si>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</si>
  <si>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</si>
  <si>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</si>
  <si>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</si>
  <si>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</si>
  <si>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</si>
  <si>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</si>
  <si>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</si>
  <si>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</si>
  <si>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</si>
  <si>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</si>
  <si>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</si>
  <si>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</si>
  <si>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</si>
  <si>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</si>
  <si>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</si>
  <si>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</si>
  <si>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</si>
  <si>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</si>
  <si>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</si>
  <si>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</si>
  <si>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</si>
  <si>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</si>
  <si>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</si>
  <si>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</si>
  <si>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</si>
  <si>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</si>
  <si>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</si>
  <si>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</si>
  <si>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</si>
  <si>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</si>
  <si>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</si>
  <si>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</si>
  <si>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</si>
  <si>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</si>
  <si>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</si>
  <si>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</si>
  <si>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</si>
  <si>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</si>
  <si>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</si>
  <si>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</si>
  <si>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</si>
  <si>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</si>
  <si>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</si>
  <si>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</si>
  <si>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</si>
  <si>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</si>
  <si>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</si>
  <si>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</si>
  <si>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</si>
  <si>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</si>
  <si>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</si>
  <si>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</si>
  <si>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</si>
  <si>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</si>
  <si>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</si>
  <si>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</si>
  <si>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</si>
  <si>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</si>
  <si>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</si>
  <si>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</si>
  <si>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</si>
  <si>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</si>
  <si>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</si>
  <si>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</si>
  <si>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</si>
  <si>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</si>
  <si>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</si>
  <si>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</si>
  <si>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</si>
  <si>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</si>
  <si>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</si>
  <si>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</si>
  <si>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</si>
  <si>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</si>
  <si>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</si>
  <si>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</si>
  <si>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</si>
  <si>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</si>
  <si>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</si>
  <si>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</si>
  <si>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</si>
  <si>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</si>
  <si>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</si>
  <si>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</si>
  <si>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</si>
  <si>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</si>
  <si>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</si>
  <si>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</si>
  <si>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</si>
  <si>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</si>
  <si>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</si>
  <si>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</si>
  <si>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</si>
  <si>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</si>
  <si>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</si>
  <si>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</si>
  <si>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</si>
  <si>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</si>
  <si>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</si>
  <si>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</si>
  <si>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</si>
  <si>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</si>
  <si>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</si>
  <si>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</si>
  <si>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</si>
  <si>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</si>
  <si>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</si>
  <si>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</si>
  <si>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</si>
  <si>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</si>
  <si>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</si>
  <si>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</si>
  <si>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</si>
  <si>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</si>
  <si>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</si>
  <si>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</si>
  <si>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</si>
  <si>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</si>
  <si>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</si>
  <si>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</si>
  <si>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</si>
  <si>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Lamine</t>
  </si>
  <si>
    <t>Julian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</si>
</sst>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0000000-0011-0000-FFFF-FFFF00000000}"/>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0"/>
  </sheetPr>
  <dimension ref="A2:I83"/>
  <sheetViews>
    <sheetView zoomScaleNormal="100" workbookViewId="0">
      <selection activeCell="C4" sqref="C4"/>
    </sheetView>
  </sheetViews>
  <sheetFormatPr defaultColWidth="8.8984375" defaultRowHeight="13.8" x14ac:dyDescent="0.25"/>
  <cols>
    <col min="1" max="1" width="12" style="458" customWidth="1"/>
    <col min="2" max="2" width="16.19921875" style="458" customWidth="1"/>
    <col min="3" max="4" width="8.8984375" style="458"/>
    <col min="5" max="6" width="8.8984375" style="469"/>
    <col min="7" max="7" width="8.8984375" style="458"/>
    <col min="8" max="8" width="27" style="466" bestFit="1" customWidth="1"/>
    <col min="9" max="16384" width="8.8984375"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3" tint="-0.249977111117893"/>
    <pageSetUpPr autoPageBreaks="0"/>
  </sheetPr>
  <dimension ref="A1:CX108"/>
  <sheetViews>
    <sheetView zoomScale="80" zoomScaleNormal="80" workbookViewId="0">
      <selection activeCell="AO91" sqref="AO91"/>
    </sheetView>
  </sheetViews>
  <sheetFormatPr defaultColWidth="8.19921875" defaultRowHeight="13.8" outlineLevelCol="2" x14ac:dyDescent="0.25"/>
  <cols>
    <col min="1" max="1" width="8" style="24" bestFit="1" customWidth="1"/>
    <col min="2" max="2" width="14.19921875" style="24" bestFit="1" customWidth="1"/>
    <col min="3" max="3" width="21.8984375" style="24" hidden="1" customWidth="1"/>
    <col min="4" max="4" width="2.39843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3984375" style="23" hidden="1" customWidth="1" outlineLevel="1"/>
    <col min="17" max="18" width="2.09765625" style="23" hidden="1" customWidth="1" outlineLevel="1"/>
    <col min="19" max="19" width="3.19921875" style="23" hidden="1" customWidth="1" outlineLevel="1"/>
    <col min="20" max="20" width="3.3984375" style="23" hidden="1" customWidth="1" outlineLevel="1"/>
    <col min="21" max="21" width="2.8984375" style="23" hidden="1" customWidth="1" outlineLevel="1"/>
    <col min="22" max="22" width="4.5" style="23" hidden="1" customWidth="1" outlineLevel="1"/>
    <col min="23" max="23" width="13.5" style="23" hidden="1" customWidth="1" outlineLevel="1"/>
    <col min="24" max="24" width="3.8984375" style="23" hidden="1" customWidth="1" outlineLevel="1"/>
    <col min="25" max="25" width="2.8984375" style="23" bestFit="1" customWidth="1" collapsed="1"/>
    <col min="26" max="26" width="17" style="23" bestFit="1" customWidth="1"/>
    <col min="27" max="33" width="5.3984375" style="23" bestFit="1" customWidth="1"/>
    <col min="34" max="34" width="5.3984375" style="23" customWidth="1"/>
    <col min="35" max="35" width="5.3984375" style="23" hidden="1" customWidth="1" outlineLevel="1"/>
    <col min="36" max="37" width="8.19921875" style="23" hidden="1" customWidth="1" outlineLevel="1"/>
    <col min="38" max="38" width="11.5976562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 style="23" customWidth="1"/>
    <col min="43" max="43" width="14" style="23" hidden="1" customWidth="1" outlineLevel="2"/>
    <col min="44" max="44" width="8.19921875" style="23" hidden="1" customWidth="1" outlineLevel="2"/>
    <col min="45" max="46" width="5.59765625" style="23" hidden="1" customWidth="1" outlineLevel="2"/>
    <col min="47" max="47" width="13.7968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 style="23" customWidth="1"/>
    <col min="100" max="100" width="12.09765625" style="23" customWidth="1"/>
    <col min="101" max="101" width="16.19921875" style="24" customWidth="1"/>
    <col min="102" max="102" width="12.09765625" style="24" customWidth="1"/>
    <col min="103" max="16384" width="8.19921875" style="23"/>
  </cols>
  <sheetData>
    <row r="1" spans="1:102" x14ac:dyDescent="0.25">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Draw - Select</v>
      </c>
      <c r="CX2" s="37" t="s">
        <v>116</v>
      </c>
    </row>
    <row r="3" spans="1:102" x14ac:dyDescent="0.25">
      <c r="A3" s="38" t="s">
        <v>117</v>
      </c>
      <c r="B3" s="39">
        <v>46184</v>
      </c>
      <c r="C3" s="40"/>
      <c r="D3" s="41"/>
      <c r="E3" s="42" t="s">
        <v>62</v>
      </c>
      <c r="F3" s="43">
        <v>1</v>
      </c>
      <c r="G3" s="43">
        <v>1</v>
      </c>
      <c r="H3" s="44" t="s">
        <v>82</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1</v>
      </c>
      <c r="Q3" s="24">
        <f>+COUNTIF(K3:L8,"="&amp;$O3)</f>
        <v>1</v>
      </c>
      <c r="R3" s="24">
        <f>+COUNTIF(M3:M8,"="&amp;$O3)</f>
        <v>1</v>
      </c>
      <c r="S3" s="24">
        <f>+T3-U3</f>
        <v>-1</v>
      </c>
      <c r="T3" s="24">
        <f>+SUMIF(E3:E8,$O3,F3:F8)+SUMIF(H3:H8,$O3,G3:G8)</f>
        <v>4</v>
      </c>
      <c r="U3" s="24">
        <f>+SUMIF(E3:E8,$O3,G3:G8)+SUMIF(H3:H8,$O3,F3:F8)</f>
        <v>5</v>
      </c>
      <c r="V3" s="45">
        <f>+P3*3+Q3*1+BT3+CN3+S3/1000+T3/10000+AV3/1000000+ROW()/10000000</f>
        <v>3.9994003</v>
      </c>
      <c r="W3" s="26" t="str">
        <f>+O3</f>
        <v>Mexico</v>
      </c>
      <c r="Y3" s="46" t="str">
        <f>+CONCATENATE("1",RIGHT(E2,1))</f>
        <v>1A</v>
      </c>
      <c r="Z3" s="47" t="str">
        <f>+VLOOKUP(AL3,V3:W6,2,FALSE)</f>
        <v>Corea del Sur</v>
      </c>
      <c r="AA3" s="48">
        <f>+SUM(AB3:AD3)</f>
        <v>3</v>
      </c>
      <c r="AB3" s="49">
        <f t="shared" ref="AB3:AG6" si="0">+VLOOKUP($Z3,$O$3:$U$6,COLUMN()-26,FALSE)</f>
        <v>3</v>
      </c>
      <c r="AC3" s="49">
        <f t="shared" si="0"/>
        <v>0</v>
      </c>
      <c r="AD3" s="49">
        <f t="shared" si="0"/>
        <v>0</v>
      </c>
      <c r="AE3" s="49">
        <f t="shared" si="0"/>
        <v>6</v>
      </c>
      <c r="AF3" s="49">
        <f t="shared" si="0"/>
        <v>8</v>
      </c>
      <c r="AG3" s="49">
        <f t="shared" si="0"/>
        <v>2</v>
      </c>
      <c r="AH3" s="50">
        <f>+VLOOKUP($Z3,$O$3:$V$6,COLUMN()-26,FALSE)</f>
        <v>9.0068005000000007</v>
      </c>
      <c r="AI3" s="51"/>
      <c r="AL3" s="45">
        <f>+LARGE(V3:V6,1)</f>
        <v>9.0068005000000007</v>
      </c>
      <c r="AM3" s="52">
        <f>+(AH3-AL3)*100000000000000000000</f>
        <v>0</v>
      </c>
      <c r="AP3" s="53" t="str">
        <f>+O3</f>
        <v>Mexico</v>
      </c>
      <c r="AQ3" s="23">
        <f>+P3*3+Q3*1+BT3+CN3+S3/1000+T3/10000</f>
        <v>3.9994000000000001</v>
      </c>
      <c r="AR3" s="23" t="b">
        <f>+IF(OR(AQ3=AQ4,AQ3=AQ5,AQ3=AQ6),1)</f>
        <v>0</v>
      </c>
      <c r="AS3" s="54">
        <f>+AV3</f>
        <v>0</v>
      </c>
      <c r="AT3" s="54">
        <f>+IF(AND(AM7="si",OR(AR3=1,AR4=1,AR5=1)),1,0)</f>
        <v>0</v>
      </c>
      <c r="AU3" s="55" t="str">
        <f>+O3</f>
        <v>Mexico</v>
      </c>
      <c r="AV3" s="56"/>
      <c r="AX3" s="23" t="str">
        <f>+Y2</f>
        <v>Grupo A</v>
      </c>
      <c r="AY3" s="24" t="str">
        <f>+O3</f>
        <v>Mexico</v>
      </c>
      <c r="AZ3" s="29">
        <f>+P3*3+Q3</f>
        <v>4</v>
      </c>
      <c r="BA3" s="29">
        <f>+COUNTIFS($AX$1:AX3,AX3,$AZ$1:AZ3,AZ3)</f>
        <v>1</v>
      </c>
      <c r="BB3" s="29">
        <f>+IF(AZ3=BF1,ROW()*0.001,AZ3)</f>
        <v>4</v>
      </c>
      <c r="BC3" s="29">
        <f>+COUNTIFS($AX$1:AZ3,AZ3,$AZ$1:BB3,BB3)</f>
        <v>1</v>
      </c>
      <c r="BD3" s="29"/>
      <c r="BE3" s="25" t="str">
        <f>+IF(OR(BF3="-",BI3="-",BF1=0),"-","OK")</f>
        <v>-</v>
      </c>
      <c r="BF3" s="57" t="str">
        <f>+IF(_xlfn.XLOOKUP($E3,$AY:$AY,$AZ:$AZ,"-",0)=BF1,$E3,"-")</f>
        <v>-</v>
      </c>
      <c r="BG3" s="58">
        <f t="shared" ref="BG3:BG8" si="1">+$F3</f>
        <v>1</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5">
      <c r="A4" s="38" t="s">
        <v>118</v>
      </c>
      <c r="B4" s="39">
        <v>46184</v>
      </c>
      <c r="C4" s="40"/>
      <c r="D4" s="41"/>
      <c r="E4" s="42" t="s">
        <v>68</v>
      </c>
      <c r="F4" s="43">
        <v>2</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1</v>
      </c>
      <c r="R4" s="24">
        <f>+COUNTIF(M3:M8,"="&amp;$O4)</f>
        <v>2</v>
      </c>
      <c r="S4" s="24">
        <f t="shared" ref="S4:S6" si="9">+T4-U4</f>
        <v>-5</v>
      </c>
      <c r="T4" s="24">
        <f>+SUMIF(E3:E8,$O4,F3:F8)+SUMIF(H3:H8,$O4,G3:G8)</f>
        <v>1</v>
      </c>
      <c r="U4" s="24">
        <f>+SUMIF(E3:E8,$O4,G3:G8)+SUMIF(H3:H8,$O4,F3:F8)</f>
        <v>6</v>
      </c>
      <c r="V4" s="45">
        <f t="shared" ref="V4:V6" si="10">+P4*3+Q4*1+BT4+CN4+S4/1000+T4/10000+AV4/1000000+ROW()/10000000</f>
        <v>0.9951004</v>
      </c>
      <c r="W4" s="26" t="str">
        <f t="shared" ref="W4:W6" si="11">+O4</f>
        <v>Sudafrica</v>
      </c>
      <c r="Y4" s="61" t="str">
        <f>+CONCATENATE("2",RIGHT(E2,1))</f>
        <v>2A</v>
      </c>
      <c r="Z4" s="62" t="str">
        <f>+VLOOKUP(AL4,V3:W6,2,FALSE)</f>
        <v>Mexico</v>
      </c>
      <c r="AA4" s="63">
        <f t="shared" ref="AA4:AA6" si="12">+SUM(AB4:AD4)</f>
        <v>3</v>
      </c>
      <c r="AB4" s="64">
        <f t="shared" si="0"/>
        <v>1</v>
      </c>
      <c r="AC4" s="64">
        <f t="shared" si="0"/>
        <v>1</v>
      </c>
      <c r="AD4" s="64">
        <f t="shared" si="0"/>
        <v>1</v>
      </c>
      <c r="AE4" s="64">
        <f t="shared" si="0"/>
        <v>-1</v>
      </c>
      <c r="AF4" s="64">
        <f t="shared" si="0"/>
        <v>4</v>
      </c>
      <c r="AG4" s="64">
        <f t="shared" si="0"/>
        <v>5</v>
      </c>
      <c r="AH4" s="65">
        <f>+VLOOKUP($Z4,$O$3:$V$6,COLUMN()-26,FALSE)</f>
        <v>3.9994003</v>
      </c>
      <c r="AI4" s="51"/>
      <c r="AL4" s="45">
        <f>+LARGE(V3:V6,2)</f>
        <v>3.9994003</v>
      </c>
      <c r="AM4" s="52">
        <f t="shared" ref="AM4:AM6" si="13">+(AH4-AL4)*100000000000000000000</f>
        <v>0</v>
      </c>
      <c r="AP4" s="53" t="str">
        <f>+O4</f>
        <v>Sudafrica</v>
      </c>
      <c r="AQ4" s="23">
        <f>+P4*3+Q4*1+BT4+CN4+S4/1000+T4/10000</f>
        <v>0.99509999999999998</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v>
      </c>
      <c r="BG4" s="58">
        <f t="shared" si="1"/>
        <v>2</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2</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2</v>
      </c>
      <c r="G5" s="43">
        <v>0</v>
      </c>
      <c r="H5" s="44" t="s">
        <v>82</v>
      </c>
      <c r="J5" s="24" t="str">
        <f t="shared" si="5"/>
        <v>Repubilca Checa</v>
      </c>
      <c r="K5" s="24" t="str">
        <f t="shared" si="6"/>
        <v/>
      </c>
      <c r="L5" s="24" t="str">
        <f t="shared" si="7"/>
        <v/>
      </c>
      <c r="M5" s="24" t="str">
        <f t="shared" si="8"/>
        <v>Sudafrica</v>
      </c>
      <c r="O5" s="26" t="str">
        <f>+E4</f>
        <v>Corea del Sur</v>
      </c>
      <c r="P5" s="24">
        <f>+COUNTIF(J3:J8,"="&amp;$O5)</f>
        <v>3</v>
      </c>
      <c r="Q5" s="24">
        <f>+COUNTIF(K3:L8,"="&amp;$O5)</f>
        <v>0</v>
      </c>
      <c r="R5" s="24">
        <f>+COUNTIF(M3:M8,"="&amp;$O5)</f>
        <v>0</v>
      </c>
      <c r="S5" s="24">
        <f t="shared" si="9"/>
        <v>6</v>
      </c>
      <c r="T5" s="24">
        <f>+SUMIF(E3:E8,$O5,F3:F8)+SUMIF(H3:H8,$O5,G3:G8)</f>
        <v>8</v>
      </c>
      <c r="U5" s="24">
        <f>+SUMIF(E3:E8,$O5,G3:G8)+SUMIF(H3:H8,$O5,F3:F8)</f>
        <v>2</v>
      </c>
      <c r="V5" s="45">
        <f t="shared" si="10"/>
        <v>9.0068005000000007</v>
      </c>
      <c r="W5" s="26" t="str">
        <f t="shared" si="11"/>
        <v>Corea del Sur</v>
      </c>
      <c r="Y5" s="68" t="str">
        <f>+CONCATENATE("3",RIGHT(E2,1))</f>
        <v>3A</v>
      </c>
      <c r="Z5" s="69" t="str">
        <f>+VLOOKUP(AL5,V3:W6,2,FALSE)</f>
        <v>Repubilca Checa</v>
      </c>
      <c r="AA5" s="70">
        <f t="shared" si="12"/>
        <v>3</v>
      </c>
      <c r="AB5" s="71">
        <f t="shared" si="0"/>
        <v>1</v>
      </c>
      <c r="AC5" s="71">
        <f t="shared" si="0"/>
        <v>0</v>
      </c>
      <c r="AD5" s="71">
        <f t="shared" si="0"/>
        <v>2</v>
      </c>
      <c r="AE5" s="71">
        <f t="shared" si="0"/>
        <v>0</v>
      </c>
      <c r="AF5" s="71">
        <f t="shared" si="0"/>
        <v>4</v>
      </c>
      <c r="AG5" s="71">
        <f t="shared" si="0"/>
        <v>4</v>
      </c>
      <c r="AH5" s="72">
        <f>+VLOOKUP($Z5,$O$3:$V$6,COLUMN()-26,FALSE)</f>
        <v>3.0004005999999999</v>
      </c>
      <c r="AI5" s="73">
        <f>+(COUNTIFS($CV$2:$CV$13,Z5,$CX$2:$CX$13,"IN")+COUNTIFS($CV$2:$CV$13,Z5,$CW$2:$CW$13,"IN"))*IF(SUM(AA3:AA6)=12,1,0)</f>
        <v>0</v>
      </c>
      <c r="AL5" s="45">
        <f>+LARGE(V3:V6,3)</f>
        <v>3.0004005999999999</v>
      </c>
      <c r="AM5" s="52">
        <f t="shared" si="13"/>
        <v>0</v>
      </c>
      <c r="AP5" s="53" t="str">
        <f>+O5</f>
        <v>Corea del Sur</v>
      </c>
      <c r="AQ5" s="23">
        <f>+P5*3+Q5*1+BT5+CN5+S5/1000+T5/10000</f>
        <v>9.0068000000000001</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9</v>
      </c>
      <c r="BA5" s="29">
        <f>+COUNTIFS($AX$1:AX5,AX5,$AZ$1:AZ5,AZ5)</f>
        <v>1</v>
      </c>
      <c r="BB5" s="29">
        <f>+IF(AZ5=BF1,ROW()*0.001,AZ5)</f>
        <v>9</v>
      </c>
      <c r="BC5" s="29">
        <f>+COUNTIFS($AX$1:AZ5,AZ5,$AZ$1:BB5,BB5)</f>
        <v>1</v>
      </c>
      <c r="BD5" s="29"/>
      <c r="BE5" s="25" t="str">
        <f>+IF(OR(BF5="-",BI5="-",BF1=0),"-","OK")</f>
        <v>-</v>
      </c>
      <c r="BF5" s="57" t="str">
        <f>+IF(_xlfn.XLOOKUP($E5,$AY:$AY,$AZ:$AZ,"-",0)=BF1,$E5,"-")</f>
        <v>-</v>
      </c>
      <c r="BG5" s="58">
        <f t="shared" si="1"/>
        <v>2</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2</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116</v>
      </c>
    </row>
    <row r="6" spans="1:102" x14ac:dyDescent="0.25">
      <c r="A6" s="38" t="s">
        <v>120</v>
      </c>
      <c r="B6" s="39">
        <v>46191</v>
      </c>
      <c r="C6" s="40"/>
      <c r="D6" s="41"/>
      <c r="E6" s="42" t="s">
        <v>62</v>
      </c>
      <c r="F6" s="43">
        <v>1</v>
      </c>
      <c r="G6" s="43">
        <v>3</v>
      </c>
      <c r="H6" s="44" t="s">
        <v>68</v>
      </c>
      <c r="J6" s="24" t="str">
        <f t="shared" si="5"/>
        <v>Corea del Sur</v>
      </c>
      <c r="K6" s="24" t="str">
        <f t="shared" si="6"/>
        <v/>
      </c>
      <c r="L6" s="24" t="str">
        <f t="shared" si="7"/>
        <v/>
      </c>
      <c r="M6" s="24" t="str">
        <f t="shared" si="8"/>
        <v>Mexico</v>
      </c>
      <c r="O6" s="26" t="str">
        <f>+H4</f>
        <v>Repubilca Checa</v>
      </c>
      <c r="P6" s="24">
        <f>+COUNTIF(J3:J8,"="&amp;$O6)</f>
        <v>1</v>
      </c>
      <c r="Q6" s="24">
        <f>+COUNTIF(K3:L8,"="&amp;$O6)</f>
        <v>0</v>
      </c>
      <c r="R6" s="24">
        <f>+COUNTIF(M3:M8,"="&amp;$O6)</f>
        <v>2</v>
      </c>
      <c r="S6" s="24">
        <f t="shared" si="9"/>
        <v>0</v>
      </c>
      <c r="T6" s="24">
        <f>+SUMIF(E3:E8,$O6,F3:F8)+SUMIF(H3:H8,$O6,G3:G8)</f>
        <v>4</v>
      </c>
      <c r="U6" s="24">
        <f>+SUMIF(E3:E8,$O6,G3:G8)+SUMIF(H3:H8,$O6,F3:F8)</f>
        <v>4</v>
      </c>
      <c r="V6" s="45">
        <f t="shared" si="10"/>
        <v>3.0004005999999999</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-5</v>
      </c>
      <c r="AF6" s="77">
        <f t="shared" si="0"/>
        <v>1</v>
      </c>
      <c r="AG6" s="77">
        <f t="shared" si="0"/>
        <v>6</v>
      </c>
      <c r="AH6" s="78">
        <f>+VLOOKUP($Z6,$O$3:$V$6,COLUMN()-26,FALSE)</f>
        <v>0.9951004</v>
      </c>
      <c r="AI6" s="73"/>
      <c r="AL6" s="45">
        <f>+LARGE(V3:V6,4)</f>
        <v>0.9951004</v>
      </c>
      <c r="AM6" s="52">
        <f t="shared" si="13"/>
        <v>0</v>
      </c>
      <c r="AP6" s="53" t="str">
        <f>+O6</f>
        <v>Repubilca Checa</v>
      </c>
      <c r="AQ6" s="23">
        <f>+P6*3+Q6*1+BT6+CN6+S6/1000+T6/10000</f>
        <v>3.0004</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v>
      </c>
      <c r="BF6" s="57" t="str">
        <f>+IF(_xlfn.XLOOKUP($E6,$AY:$AY,$AZ:$AZ,"-",0)=BF1,$E6,"-")</f>
        <v>-</v>
      </c>
      <c r="BG6" s="58">
        <f t="shared" si="1"/>
        <v>1</v>
      </c>
      <c r="BH6" s="59">
        <f t="shared" si="2"/>
        <v>3</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3</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5">
      <c r="A7" s="38" t="s">
        <v>121</v>
      </c>
      <c r="B7" s="39">
        <v>46197</v>
      </c>
      <c r="C7" s="40"/>
      <c r="D7" s="41"/>
      <c r="E7" s="42" t="s">
        <v>79</v>
      </c>
      <c r="F7" s="43">
        <v>1</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1</v>
      </c>
      <c r="BH7" s="59">
        <f t="shared" si="2"/>
        <v>2</v>
      </c>
      <c r="BI7" s="57" t="str">
        <f>+IF(_xlfn.XLOOKUP($H7,$AY:$AY,$AZ:$AZ,"-",0)=BF1,$H7,"-")</f>
        <v>-</v>
      </c>
      <c r="BY7" s="25" t="str">
        <f t="shared" si="26"/>
        <v>-</v>
      </c>
      <c r="BZ7" s="57" t="str">
        <f>+IF(_xlfn.XLOOKUP($E7,$AY:$AY,$AZ:$AZ,"-",0)=BZ1,$E7,"-")</f>
        <v>-</v>
      </c>
      <c r="CA7" s="58">
        <f t="shared" si="3"/>
        <v>1</v>
      </c>
      <c r="CB7" s="59">
        <f t="shared" si="4"/>
        <v>2</v>
      </c>
      <c r="CC7" s="57" t="str">
        <f>+IF(_xlfn.XLOOKUP($H7,$AY:$AY,$AZ:$AZ,"-",0)=BZ1,$H7,"-")</f>
        <v>-</v>
      </c>
      <c r="CV7" s="35" t="str">
        <f>+'Mejores 3eros'!AP7</f>
        <v>Suecia</v>
      </c>
      <c r="CW7" s="36" t="str">
        <f>+_xlfn.XLOOKUP(CV7,'Mejores 3eros'!$BD$2:$BD$13,'Mejores 3eros'!$BG$2:$BG$13,"-",0)</f>
        <v>OUT</v>
      </c>
      <c r="CX7" s="37" t="s">
        <v>116</v>
      </c>
    </row>
    <row r="8" spans="1:102" x14ac:dyDescent="0.25">
      <c r="A8" s="38" t="s">
        <v>123</v>
      </c>
      <c r="B8" s="39">
        <v>46197</v>
      </c>
      <c r="C8" s="40"/>
      <c r="D8" s="41"/>
      <c r="E8" s="42" t="s">
        <v>82</v>
      </c>
      <c r="F8" s="43">
        <v>0</v>
      </c>
      <c r="G8" s="43">
        <v>3</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3</v>
      </c>
      <c r="BI8" s="57" t="str">
        <f>+IF(_xlfn.XLOOKUP($H8,$AY:$AY,$AZ:$AZ,"-",0)=BF1,$H8,"-")</f>
        <v>-</v>
      </c>
      <c r="BY8" s="25" t="str">
        <f t="shared" si="26"/>
        <v>-</v>
      </c>
      <c r="BZ8" s="57" t="str">
        <f>+IF(_xlfn.XLOOKUP($E8,$AY:$AY,$AZ:$AZ,"-",0)=BZ1,$E8,"-")</f>
        <v>-</v>
      </c>
      <c r="CA8" s="58">
        <f t="shared" si="3"/>
        <v>0</v>
      </c>
      <c r="CB8" s="59">
        <f t="shared" si="4"/>
        <v>3</v>
      </c>
      <c r="CC8" s="57" t="str">
        <f>+IF(_xlfn.XLOOKUP($H8,$AY:$AY,$AZ:$AZ,"-",0)=BZ1,$H8,"-")</f>
        <v>-</v>
      </c>
      <c r="CV8" s="35" t="str">
        <f>+'Mejores 3eros'!AP8</f>
        <v>Iran</v>
      </c>
      <c r="CW8" s="36" t="str">
        <f>+_xlfn.XLOOKUP(CV8,'Mejores 3eros'!$BD$2:$BD$13,'Mejores 3eros'!$BG$2:$BG$13,"-",0)</f>
        <v>IN</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Draw - Select</v>
      </c>
      <c r="CX9" s="37" t="s">
        <v>116</v>
      </c>
    </row>
    <row r="10" spans="1:102" x14ac:dyDescent="0.25">
      <c r="A10" s="23"/>
      <c r="BF10" s="28" t="str">
        <f>+IF(BA12&gt;1,AZ12,IF(BA13&gt;1,AZ13,IF(BA14&gt;1,AZ14,IF(BA15&gt;1,AZ15,"-"))))</f>
        <v>-</v>
      </c>
      <c r="BW10" s="23">
        <v>10</v>
      </c>
      <c r="BZ10" s="29">
        <f>+IF(BC12&gt;1,BB12,IF(BC13&gt;1,BB13,IF(BC14&gt;1,BB14,IF(BC15&gt;1,BB15,"-"))))</f>
        <v>4</v>
      </c>
      <c r="CQ10" s="23">
        <v>10</v>
      </c>
      <c r="CV10" s="35" t="str">
        <f>+'Mejores 3eros'!AP10</f>
        <v>Senegal</v>
      </c>
      <c r="CW10" s="36" t="str">
        <f>+_xlfn.XLOOKUP(CV10,'Mejores 3eros'!$BD$2:$BD$13,'Mejores 3eros'!$BG$2:$BG$13,"-",0)</f>
        <v>OUT</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Austria</v>
      </c>
      <c r="CW11" s="36" t="str">
        <f>+_xlfn.XLOOKUP(CV11,'Mejores 3eros'!$BD$2:$BD$13,'Mejores 3eros'!$BG$2:$BG$13,"-",0)</f>
        <v>IN</v>
      </c>
      <c r="CX11" s="37" t="s">
        <v>116</v>
      </c>
    </row>
    <row r="12" spans="1:102" x14ac:dyDescent="0.25">
      <c r="A12" s="38" t="s">
        <v>126</v>
      </c>
      <c r="B12" s="39">
        <v>46185</v>
      </c>
      <c r="C12" s="40"/>
      <c r="D12" s="41"/>
      <c r="E12" s="42" t="s">
        <v>76</v>
      </c>
      <c r="F12" s="43">
        <v>2</v>
      </c>
      <c r="G12" s="43">
        <v>2</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2</v>
      </c>
      <c r="R12" s="24">
        <f>+COUNTIF(M12:M17,"="&amp;$O12)</f>
        <v>0</v>
      </c>
      <c r="S12" s="24">
        <f>+T12-U12</f>
        <v>2</v>
      </c>
      <c r="T12" s="24">
        <f t="shared" ref="T12" si="36">+SUMIF(E12:E17,$O12,F12:F17)+SUMIF(H12:H17,$O12,G12:G17)</f>
        <v>5</v>
      </c>
      <c r="U12" s="24">
        <f t="shared" ref="U12" si="37">+SUMIF(E12:E17,$O12,G12:G17)+SUMIF(H12:H17,$O12,F12:F17)</f>
        <v>3</v>
      </c>
      <c r="V12" s="45">
        <f>+P12*3+Q12*1+BT12+CN12+S12/1000+T12/10000+AV12/1000000+ROW()/10000000</f>
        <v>5.0025011999999993</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4</v>
      </c>
      <c r="AF12" s="49">
        <f t="shared" si="38"/>
        <v>6</v>
      </c>
      <c r="AG12" s="49">
        <f t="shared" si="38"/>
        <v>2</v>
      </c>
      <c r="AH12" s="50">
        <f>+VLOOKUP($Z12,$O$12:$V$15,COLUMN()-26,FALSE)</f>
        <v>7.0046014999999997</v>
      </c>
      <c r="AI12" s="51"/>
      <c r="AL12" s="45">
        <f>+LARGE(V12:V15,1)</f>
        <v>7.0046014999999997</v>
      </c>
      <c r="AM12" s="52">
        <f>+(AH12-AL12)*100000000000000000000</f>
        <v>0</v>
      </c>
      <c r="AP12" s="53" t="str">
        <f>+O12</f>
        <v>Canada</v>
      </c>
      <c r="AQ12" s="23">
        <f>+P12*3+Q12*1+BT12+CN12+S12/1000+T12/10000</f>
        <v>5.0024999999999995</v>
      </c>
      <c r="AR12" s="23" t="b">
        <f>+IF(OR(AQ12=AQ13,AQ12=AQ14,AQ12=AQ15),1)</f>
        <v>0</v>
      </c>
      <c r="AS12" s="54">
        <f>+AV12</f>
        <v>0</v>
      </c>
      <c r="AT12" s="54">
        <f>+IF(AND(AM16="si",OR(AR12=1,AR13=1,AR14=1)),1,0)</f>
        <v>0</v>
      </c>
      <c r="AU12" s="55" t="str">
        <f>+O12</f>
        <v>Canada</v>
      </c>
      <c r="AV12" s="56"/>
      <c r="AX12" s="23" t="str">
        <f>+Y11</f>
        <v>Grupo B</v>
      </c>
      <c r="AY12" s="24" t="str">
        <f>+O12</f>
        <v>Canada</v>
      </c>
      <c r="AZ12" s="29">
        <f>+P12*3+Q12</f>
        <v>5</v>
      </c>
      <c r="BA12" s="29">
        <f>+COUNTIFS($AX$1:AX12,AX12,$AZ$1:AZ12,AZ12)</f>
        <v>1</v>
      </c>
      <c r="BB12" s="29">
        <f>+IF(AZ12=BF10,ROW()*0.001,AZ12)</f>
        <v>5</v>
      </c>
      <c r="BC12" s="29">
        <f>+COUNTIFS($AX$1:AZ12,AZ12,$AZ$1:BB12,BB12)</f>
        <v>1</v>
      </c>
      <c r="BD12" s="29"/>
      <c r="BE12" s="25" t="str">
        <f>+IF(OR(BF12="-",BI12="-",BF10=0),"-","OK")</f>
        <v>-</v>
      </c>
      <c r="BF12" s="57" t="str">
        <f>+IF(_xlfn.XLOOKUP($E12,$AY:$AY,$AZ:$AZ,"-",0)=BF10,$E12,"-")</f>
        <v>-</v>
      </c>
      <c r="BG12" s="58">
        <f t="shared" ref="BG12:BG17" si="39">+$F12</f>
        <v>2</v>
      </c>
      <c r="BH12" s="59">
        <f t="shared" ref="BH12:BH17" si="40">+$G12</f>
        <v>2</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v>
      </c>
      <c r="CA12" s="58">
        <f t="shared" ref="CA12:CA17" si="41">+$F12</f>
        <v>2</v>
      </c>
      <c r="CB12" s="59">
        <f t="shared" ref="CB12:CB17" si="42">+$G12</f>
        <v>2</v>
      </c>
      <c r="CC12" s="57" t="str">
        <f>+IF(_xlfn.XLOOKUP($H12,$AY:$AY,$AZ:$AZ,"-",0)=BZ10,$H12,"-")</f>
        <v>Bosnia</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4.4" thickBot="1" x14ac:dyDescent="0.3">
      <c r="A13" s="38" t="s">
        <v>127</v>
      </c>
      <c r="B13" s="39">
        <v>46186</v>
      </c>
      <c r="C13" s="40"/>
      <c r="D13" s="41"/>
      <c r="E13" s="42" t="s">
        <v>89</v>
      </c>
      <c r="F13" s="43">
        <v>0</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1</v>
      </c>
      <c r="R13" s="24">
        <f>+COUNTIF(M12:M17,"="&amp;$O13)</f>
        <v>1</v>
      </c>
      <c r="S13" s="24">
        <f t="shared" ref="S13:S15" si="47">+T13-U13</f>
        <v>1</v>
      </c>
      <c r="T13" s="24">
        <f t="shared" ref="T13" si="48">+SUMIF(E12:E17,$O13,F12:F17)+SUMIF(H12:H17,$O13,G12:G17)</f>
        <v>5</v>
      </c>
      <c r="U13" s="24">
        <f t="shared" ref="U13" si="49">+SUMIF(E12:E17,$O13,G12:G17)+SUMIF(H12:H17,$O13,F12:F17)</f>
        <v>4</v>
      </c>
      <c r="V13" s="45">
        <f t="shared" ref="V13:V15" si="50">+P13*3+Q13*1+BT13+CN13+S13/1000+T13/10000+AV13/1000000+ROW()/10000000</f>
        <v>4.0015013000000001</v>
      </c>
      <c r="W13" s="26" t="str">
        <f t="shared" ref="W13:W15" si="51">+O13</f>
        <v>Bosnia</v>
      </c>
      <c r="Y13" s="61" t="str">
        <f>+CONCATENATE("2",RIGHT(E11,1))</f>
        <v>2B</v>
      </c>
      <c r="Z13" s="62" t="str">
        <f>+VLOOKUP(AL13,V12:W15,2,FALSE)</f>
        <v>Canada</v>
      </c>
      <c r="AA13" s="63">
        <f t="shared" ref="AA13:AA15" si="52">+SUM(AB13:AD13)</f>
        <v>3</v>
      </c>
      <c r="AB13" s="64">
        <f t="shared" si="38"/>
        <v>1</v>
      </c>
      <c r="AC13" s="64">
        <f t="shared" si="38"/>
        <v>2</v>
      </c>
      <c r="AD13" s="64">
        <f t="shared" si="38"/>
        <v>0</v>
      </c>
      <c r="AE13" s="64">
        <f t="shared" si="38"/>
        <v>2</v>
      </c>
      <c r="AF13" s="64">
        <f t="shared" si="38"/>
        <v>5</v>
      </c>
      <c r="AG13" s="64">
        <f t="shared" si="38"/>
        <v>3</v>
      </c>
      <c r="AH13" s="65">
        <f>+VLOOKUP($Z13,$O$12:$V$15,COLUMN()-26,FALSE)</f>
        <v>5.0025011999999993</v>
      </c>
      <c r="AI13" s="51"/>
      <c r="AL13" s="45">
        <f>+LARGE(V12:V15,2)</f>
        <v>5.0025011999999993</v>
      </c>
      <c r="AM13" s="52">
        <f t="shared" ref="AM13:AM15" si="53">+(AH13-AL13)*100000000000000000000</f>
        <v>0</v>
      </c>
      <c r="AP13" s="53" t="str">
        <f>+O13</f>
        <v>Bosnia</v>
      </c>
      <c r="AQ13" s="23">
        <f>+P13*3+Q13*1+BT13+CN13+S13/1000+T13/10000</f>
        <v>4.0015000000000001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4</v>
      </c>
      <c r="BA13" s="29">
        <f>+COUNTIFS($AX$1:AX13,AX13,$AZ$1:AZ13,AZ13)</f>
        <v>1</v>
      </c>
      <c r="BB13" s="29">
        <f>+IF(AZ13=BF10,ROW()*0.001,AZ13)</f>
        <v>4</v>
      </c>
      <c r="BC13" s="29">
        <f>+COUNTIFS($AX$1:AZ13,AZ13,$AZ$1:BB13,BB13)</f>
        <v>2</v>
      </c>
      <c r="BD13" s="29"/>
      <c r="BE13" s="25" t="str">
        <f>+IF(OR(BF13="-",BI13="-",BF10=0),"-","OK")</f>
        <v>-</v>
      </c>
      <c r="BF13" s="57" t="str">
        <f>+IF(_xlfn.XLOOKUP($E13,$AY:$AY,$AZ:$AZ,"-",0)=BF10,$E13,"-")</f>
        <v>-</v>
      </c>
      <c r="BG13" s="58">
        <f t="shared" si="39"/>
        <v>0</v>
      </c>
      <c r="BH13" s="59">
        <f t="shared" si="40"/>
        <v>3</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3</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Croacia</v>
      </c>
      <c r="CW13" s="89" t="str">
        <f>+_xlfn.XLOOKUP(CV13,'Mejores 3eros'!$BD$2:$BD$13,'Mejores 3eros'!$BG$2:$BG$13,"-",0)</f>
        <v>IN</v>
      </c>
      <c r="CX13" s="90" t="s">
        <v>116</v>
      </c>
    </row>
    <row r="14" spans="1:102" x14ac:dyDescent="0.25">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0</v>
      </c>
      <c r="R14" s="24">
        <f>+COUNTIF(M12:M17,"="&amp;$O14)</f>
        <v>3</v>
      </c>
      <c r="S14" s="24">
        <f t="shared" si="47"/>
        <v>-7</v>
      </c>
      <c r="T14" s="24">
        <f t="shared" ref="T14" si="76">+SUMIF(E12:E17,$O14,F12:F17)+SUMIF(H12:H17,$O14,G12:G17)</f>
        <v>0</v>
      </c>
      <c r="U14" s="24">
        <f t="shared" ref="U14" si="77">+SUMIF(E12:E17,$O14,G12:G17)+SUMIF(H12:H17,$O14,F12:F17)</f>
        <v>7</v>
      </c>
      <c r="V14" s="45">
        <f t="shared" si="50"/>
        <v>-6.9985999999999998E-3</v>
      </c>
      <c r="W14" s="26" t="str">
        <f t="shared" si="51"/>
        <v>Qatar</v>
      </c>
      <c r="Y14" s="68" t="str">
        <f>+CONCATENATE("3",RIGHT(E11,1))</f>
        <v>3B</v>
      </c>
      <c r="Z14" s="69" t="str">
        <f>+VLOOKUP(AL14,V12:W15,2,FALSE)</f>
        <v>Bosnia</v>
      </c>
      <c r="AA14" s="70">
        <f t="shared" si="52"/>
        <v>3</v>
      </c>
      <c r="AB14" s="71">
        <f t="shared" si="38"/>
        <v>1</v>
      </c>
      <c r="AC14" s="71">
        <f t="shared" si="38"/>
        <v>1</v>
      </c>
      <c r="AD14" s="71">
        <f t="shared" si="38"/>
        <v>1</v>
      </c>
      <c r="AE14" s="71">
        <f t="shared" si="38"/>
        <v>1</v>
      </c>
      <c r="AF14" s="71">
        <f t="shared" si="38"/>
        <v>5</v>
      </c>
      <c r="AG14" s="71">
        <f t="shared" si="38"/>
        <v>4</v>
      </c>
      <c r="AH14" s="72">
        <f>+VLOOKUP($Z14,$O$12:$V$15,COLUMN()-26,FALSE)</f>
        <v>4.0015013000000001</v>
      </c>
      <c r="AI14" s="73">
        <f>+(COUNTIFS($CV$2:$CV$13,Z14,$CX$2:$CX$13,"IN")+COUNTIFS($CV$2:$CV$13,Z14,$CW$2:$CW$13,"IN"))*IF(SUM(AA12:AA15)=12,1,0)</f>
        <v>1</v>
      </c>
      <c r="AL14" s="45">
        <f>+LARGE(V12:V15,3)</f>
        <v>4.0015013000000001</v>
      </c>
      <c r="AM14" s="52">
        <f t="shared" si="53"/>
        <v>0</v>
      </c>
      <c r="AP14" s="53" t="str">
        <f>+O14</f>
        <v>Qatar</v>
      </c>
      <c r="AQ14" s="23">
        <f>+P14*3+Q14*1+BT14+CN14+S14/1000+T14/10000</f>
        <v>-7.0000000000000001E-3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1</v>
      </c>
      <c r="BD14" s="29"/>
      <c r="BE14" s="25" t="str">
        <f>+IF(OR(BF14="-",BI14="-",BF10=0),"-","OK")</f>
        <v>-</v>
      </c>
      <c r="BF14" s="57" t="str">
        <f>+IF(_xlfn.XLOOKUP($E14,$AY:$AY,$AZ:$AZ,"-",0)=BF10,$E14,"-")</f>
        <v>-</v>
      </c>
      <c r="BG14" s="58">
        <f t="shared" si="39"/>
        <v>2</v>
      </c>
      <c r="BH14" s="59">
        <f t="shared" si="40"/>
        <v>1</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1</v>
      </c>
      <c r="CC14" s="57" t="str">
        <f>+IF(_xlfn.XLOOKUP($H14,$AY:$AY,$AZ:$AZ,"-",0)=BZ10,$H14,"-")</f>
        <v>Bosnia</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Missing INPUTS for BEST 3rd Places</v>
      </c>
      <c r="CW14" s="23"/>
    </row>
    <row r="15" spans="1:102" x14ac:dyDescent="0.25">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6</v>
      </c>
      <c r="U15" s="24">
        <f t="shared" ref="U15" si="79">+SUMIF(E12:E17,$O15,G12:G17)+SUMIF(H12:H17,$O15,F12:F17)</f>
        <v>2</v>
      </c>
      <c r="V15" s="45">
        <f t="shared" si="50"/>
        <v>7.0046014999999997</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-7</v>
      </c>
      <c r="AF15" s="77">
        <f t="shared" si="38"/>
        <v>0</v>
      </c>
      <c r="AG15" s="77">
        <f t="shared" si="38"/>
        <v>7</v>
      </c>
      <c r="AH15" s="78">
        <f>+VLOOKUP($Z15,$O$12:$V$15,COLUMN()-26,FALSE)</f>
        <v>-6.9985999999999998E-3</v>
      </c>
      <c r="AI15" s="73"/>
      <c r="AL15" s="45">
        <f>+LARGE(V12:V15,4)</f>
        <v>-6.9985999999999998E-3</v>
      </c>
      <c r="AM15" s="52">
        <f t="shared" si="53"/>
        <v>0</v>
      </c>
      <c r="AP15" s="53" t="str">
        <f>+O15</f>
        <v>Suiza</v>
      </c>
      <c r="AQ15" s="23">
        <f>+P15*3+Q15*1+BT15+CN15+S15/1000+T15/10000</f>
        <v>7.0045999999999999</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1</v>
      </c>
      <c r="BB15" s="29">
        <f>+IF(AZ15=BF10,ROW()*0.001,AZ15)</f>
        <v>7</v>
      </c>
      <c r="BC15" s="29">
        <f>+COUNTIFS($AX$1:AZ15,AZ15,$AZ$1:BB15,BB15)</f>
        <v>1</v>
      </c>
      <c r="BD15" s="29"/>
      <c r="BE15" s="25" t="str">
        <f>+IF(OR(BF15="-",BI15="-",BF10=0),"-","OK")</f>
        <v>-</v>
      </c>
      <c r="BF15" s="57" t="str">
        <f>+IF(_xlfn.XLOOKUP($E15,$AY:$AY,$AZ:$AZ,"-",0)=BF10,$E15,"-")</f>
        <v>-</v>
      </c>
      <c r="BG15" s="58">
        <f t="shared" si="39"/>
        <v>2</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3</v>
      </c>
    </row>
    <row r="16" spans="1:102" x14ac:dyDescent="0.25">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v>
      </c>
      <c r="BZ16" s="57" t="str">
        <f>+IF(_xlfn.XLOOKUP($E16,$AY:$AY,$AZ:$AZ,"-",0)=BZ10,$E16,"-")</f>
        <v>-</v>
      </c>
      <c r="CA16" s="58">
        <f t="shared" si="41"/>
        <v>1</v>
      </c>
      <c r="CB16" s="59">
        <f t="shared" si="42"/>
        <v>1</v>
      </c>
      <c r="CC16" s="57" t="str">
        <f>+IF(_xlfn.XLOOKUP($H16,$AY:$AY,$AZ:$AZ,"-",0)=BZ10,$H16,"-")</f>
        <v>-</v>
      </c>
      <c r="CW16" s="23"/>
    </row>
    <row r="17" spans="1:102" x14ac:dyDescent="0.25">
      <c r="A17" s="38" t="s">
        <v>131</v>
      </c>
      <c r="B17" s="39">
        <v>46197</v>
      </c>
      <c r="C17" s="40"/>
      <c r="D17" s="41"/>
      <c r="E17" s="42" t="s">
        <v>84</v>
      </c>
      <c r="F17" s="43">
        <v>2</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v>
      </c>
      <c r="BG17" s="58">
        <f t="shared" si="39"/>
        <v>2</v>
      </c>
      <c r="BH17" s="59">
        <f t="shared" si="40"/>
        <v>0</v>
      </c>
      <c r="BI17" s="57" t="str">
        <f>+IF(_xlfn.XLOOKUP($H17,$AY:$AY,$AZ:$AZ,"-",0)=BF10,$H17,"-")</f>
        <v>-</v>
      </c>
      <c r="BY17" s="25" t="str">
        <f t="shared" si="66"/>
        <v>-</v>
      </c>
      <c r="BZ17" s="57" t="str">
        <f>+IF(_xlfn.XLOOKUP($E17,$AY:$AY,$AZ:$AZ,"-",0)=BZ10,$E17,"-")</f>
        <v>Bosnia</v>
      </c>
      <c r="CA17" s="58">
        <f t="shared" si="41"/>
        <v>2</v>
      </c>
      <c r="CB17" s="59">
        <f t="shared" si="42"/>
        <v>0</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f>+IF(BA21&gt;1,AZ21,IF(BA22&gt;1,AZ22,IF(BA23&gt;1,AZ23,IF(BA24&gt;1,AZ24,"-"))))</f>
        <v>7</v>
      </c>
      <c r="BW19" s="23">
        <v>10</v>
      </c>
      <c r="BZ19" s="29">
        <f>+IF(BC21&gt;1,BB21,IF(BC22&gt;1,BB22,IF(BC23&gt;1,BB23,IF(BC24&gt;1,BB24,"-"))))</f>
        <v>0</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3</v>
      </c>
      <c r="G21" s="43">
        <v>3</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2</v>
      </c>
      <c r="Q21" s="24">
        <f>+COUNTIF(K21:L26,"="&amp;$O21)</f>
        <v>1</v>
      </c>
      <c r="R21" s="24">
        <f>+COUNTIF(M21:M26,"="&amp;$O21)</f>
        <v>0</v>
      </c>
      <c r="S21" s="24">
        <f>+T21-U21</f>
        <v>8</v>
      </c>
      <c r="T21" s="24">
        <f t="shared" ref="T21" si="80">+SUMIF(E21:E26,$O21,F21:F26)+SUMIF(H21:H26,$O21,G21:G26)</f>
        <v>12</v>
      </c>
      <c r="U21" s="24">
        <f t="shared" ref="U21" si="81">+SUMIF(E21:E26,$O21,G21:G26)+SUMIF(H21:H26,$O21,F21:F26)</f>
        <v>4</v>
      </c>
      <c r="V21" s="45">
        <f>+P21*3+Q21*1+BT21+CN21+S21/1000+T21/10000+AV21/1000000+ROW()/10000000</f>
        <v>7.3092020999999994</v>
      </c>
      <c r="W21" s="26" t="str">
        <f>+O21</f>
        <v>Brasil</v>
      </c>
      <c r="Y21" s="46" t="str">
        <f>+CONCATENATE("1",RIGHT(E20,1))</f>
        <v>1C</v>
      </c>
      <c r="Z21" s="47" t="str">
        <f>+VLOOKUP(AL21,V21:W24,2,FALSE)</f>
        <v>Brasil</v>
      </c>
      <c r="AA21" s="48">
        <f>+SUM(AB21:AD21)</f>
        <v>3</v>
      </c>
      <c r="AB21" s="49">
        <f t="shared" ref="AB21:AG24" si="82">+VLOOKUP($Z21,$O$21:$U$24,COLUMN()-26,FALSE)</f>
        <v>2</v>
      </c>
      <c r="AC21" s="49">
        <f t="shared" si="82"/>
        <v>1</v>
      </c>
      <c r="AD21" s="49">
        <f t="shared" si="82"/>
        <v>0</v>
      </c>
      <c r="AE21" s="49">
        <f t="shared" si="82"/>
        <v>8</v>
      </c>
      <c r="AF21" s="49">
        <f t="shared" si="82"/>
        <v>12</v>
      </c>
      <c r="AG21" s="49">
        <f t="shared" si="82"/>
        <v>4</v>
      </c>
      <c r="AH21" s="50">
        <f>+VLOOKUP($Z21,$O$21:$V$24,COLUMN()-26,FALSE)</f>
        <v>7.3092020999999994</v>
      </c>
      <c r="AI21" s="51"/>
      <c r="AL21" s="45">
        <f>+LARGE(V21:V24,1)</f>
        <v>7.3092020999999994</v>
      </c>
      <c r="AM21" s="52">
        <f>+(AH21-AL21)*100000000000000000000</f>
        <v>0</v>
      </c>
      <c r="AP21" s="53" t="str">
        <f>+O21</f>
        <v>Brasil</v>
      </c>
      <c r="AQ21" s="23">
        <f>+P21*3+Q21*1+BT21+CN21+S21/1000+T21/10000</f>
        <v>7.3091999999999997</v>
      </c>
      <c r="AR21" s="23" t="b">
        <f>+IF(OR(AQ21=AQ22,AQ21=AQ23,AQ21=AQ24),1)</f>
        <v>0</v>
      </c>
      <c r="AS21" s="54">
        <f>+AV21</f>
        <v>0</v>
      </c>
      <c r="AT21" s="54">
        <f>+IF(AND(AM25="si",OR(AR21=1,AR22=1,AR23=1)),1,0)</f>
        <v>0</v>
      </c>
      <c r="AU21" s="55" t="str">
        <f>+O21</f>
        <v>Brasil</v>
      </c>
      <c r="AV21" s="56"/>
      <c r="AX21" s="23" t="str">
        <f>+Y20</f>
        <v>Grupo C</v>
      </c>
      <c r="AY21" s="24" t="str">
        <f>+O21</f>
        <v>Brasil</v>
      </c>
      <c r="AZ21" s="29">
        <f>+P21*3+Q21</f>
        <v>7</v>
      </c>
      <c r="BA21" s="29">
        <f>+COUNTIFS($AX$1:AX21,AX21,$AZ$1:AZ21,AZ21)</f>
        <v>1</v>
      </c>
      <c r="BB21" s="29">
        <f>+IF(AZ21=BF19,ROW()*0.001,AZ21)</f>
        <v>2.1000000000000001E-2</v>
      </c>
      <c r="BC21" s="29">
        <f>+COUNTIFS($AX$1:AZ21,AZ21,$AZ$1:BB21,BB21)</f>
        <v>1</v>
      </c>
      <c r="BD21" s="29"/>
      <c r="BE21" s="25" t="str">
        <f>+IF(OR(BF21="-",BI21="-",BF19=0),"-","OK")</f>
        <v>OK</v>
      </c>
      <c r="BF21" s="57" t="str">
        <f>+IF(_xlfn.XLOOKUP($E21,$AY:$AY,$AZ:$AZ,"-",0)=BF19,$E21,"-")</f>
        <v>Brasil</v>
      </c>
      <c r="BG21" s="58">
        <f t="shared" ref="BG21:BG26" si="83">+$F21</f>
        <v>3</v>
      </c>
      <c r="BH21" s="59">
        <f t="shared" ref="BH21:BH26" si="84">+$G21</f>
        <v>3</v>
      </c>
      <c r="BI21" s="57" t="str">
        <f>+IF(_xlfn.XLOOKUP($H21,$AY:$AY,$AZ:$AZ,"-",0)=BF19,$H21,"-")</f>
        <v>Marruecos</v>
      </c>
      <c r="BK21" s="26" t="str">
        <f>+O21</f>
        <v>Brasil</v>
      </c>
      <c r="BL21" s="26">
        <f>+COUNTIFS($BE:$BE,"OK",$BI:$BI,BK21)+COUNTIFS($BE:$BE,"OK",$BF:$BF,BK21)</f>
        <v>1</v>
      </c>
      <c r="BM21" s="24">
        <f>+COUNTIFS(J:J,$BK21,$BE:$BE,"OK")</f>
        <v>0</v>
      </c>
      <c r="BN21" s="24">
        <f>+COUNTIFS(K:K,$BK21,$BE:$BE,"OK")+COUNTIFS(L:L,$BK21,$BE:$BE,"OK")</f>
        <v>1</v>
      </c>
      <c r="BO21" s="24">
        <f>+COUNTIFS(M:M,$BK21,$BE:$BE,"OK")</f>
        <v>0</v>
      </c>
      <c r="BP21" s="24">
        <f>+BQ21-BR21</f>
        <v>0</v>
      </c>
      <c r="BQ21" s="24">
        <f>+SUMIFS(BG:BG,$BE:$BE,"OK",BF:BF,$BK21)+SUMIFS(BH:BH,$BE:$BE,"OK",BI:BI,$BK21)</f>
        <v>3</v>
      </c>
      <c r="BR21" s="24">
        <f>+SUMIFS(BH:BH,$BE:$BE,"OK",BF:BF,$BK21)+SUMIFS(BG:BG,$BE:$BE,"OK",BI:BI,$BK21)</f>
        <v>3</v>
      </c>
      <c r="BS21" s="60">
        <f>+BM21*3+BN21*1+BP21/100+BQ21/10000</f>
        <v>1.0003</v>
      </c>
      <c r="BT21" s="29">
        <f>+IF(BL21=0,0,_xlfn.XLOOKUP(BS21,BV21:BV24,BW21:BW24))</f>
        <v>0.3</v>
      </c>
      <c r="BU21" s="45"/>
      <c r="BV21" s="24">
        <f>+LARGE(BS21:BS24,1)</f>
        <v>1.0003</v>
      </c>
      <c r="BW21" s="24">
        <f>+BX21/$BW$1</f>
        <v>0.3</v>
      </c>
      <c r="BX21" s="23">
        <v>3</v>
      </c>
      <c r="BY21" s="25" t="str">
        <f>+IF(OR(BZ21="-",CC21="-"),"-","OK")</f>
        <v>-</v>
      </c>
      <c r="BZ21" s="57" t="str">
        <f>+IF(_xlfn.XLOOKUP($E21,$AY:$AY,$AZ:$AZ,"-",0)=BZ19,$E21,"-")</f>
        <v>-</v>
      </c>
      <c r="CA21" s="58">
        <f t="shared" ref="CA21:CA26" si="85">+$F21</f>
        <v>3</v>
      </c>
      <c r="CB21" s="59">
        <f t="shared" ref="CB21:CB26" si="86">+$G21</f>
        <v>3</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4</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4</v>
      </c>
      <c r="T22" s="24">
        <f t="shared" ref="T22" si="92">+SUMIF(E21:E26,$O22,F21:F26)+SUMIF(H21:H26,$O22,G21:G26)</f>
        <v>8</v>
      </c>
      <c r="U22" s="24">
        <f t="shared" ref="U22" si="93">+SUMIF(E21:E26,$O22,G21:G26)+SUMIF(H21:H26,$O22,F21:F26)</f>
        <v>4</v>
      </c>
      <c r="V22" s="45">
        <f t="shared" ref="V22:V24" si="94">+P22*3+Q22*1+BT22+CN22+S22/1000+T22/10000+AV22/1000000+ROW()/10000000</f>
        <v>7.3048021999999992</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1</v>
      </c>
      <c r="AD22" s="64">
        <f t="shared" si="82"/>
        <v>0</v>
      </c>
      <c r="AE22" s="64">
        <f t="shared" si="82"/>
        <v>4</v>
      </c>
      <c r="AF22" s="64">
        <f t="shared" si="82"/>
        <v>8</v>
      </c>
      <c r="AG22" s="64">
        <f t="shared" si="82"/>
        <v>4</v>
      </c>
      <c r="AH22" s="65">
        <f>+VLOOKUP($Z22,$O$21:$V$24,COLUMN()-26,FALSE)</f>
        <v>7.3048021999999992</v>
      </c>
      <c r="AI22" s="51"/>
      <c r="AL22" s="45">
        <f>+LARGE(V21:V24,2)</f>
        <v>7.3048021999999992</v>
      </c>
      <c r="AM22" s="52">
        <f t="shared" ref="AM22:AM24" si="97">+(AH22-AL22)*100000000000000000000</f>
        <v>0</v>
      </c>
      <c r="AP22" s="53" t="str">
        <f>+O22</f>
        <v>Marruecos</v>
      </c>
      <c r="AQ22" s="23">
        <f>+P22*3+Q22*1+BT22+CN22+S22/1000+T22/10000</f>
        <v>7.3047999999999993</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2</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4</v>
      </c>
      <c r="BI22" s="57" t="str">
        <f>+IF(_xlfn.XLOOKUP($H22,$AY:$AY,$AZ:$AZ,"-",0)=BF19,$H22,"-")</f>
        <v>-</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3</v>
      </c>
      <c r="BR22" s="24">
        <f t="shared" ref="BR22:BR24" si="108">+SUMIFS(BH:BH,$BE:$BE,"OK",BF:BF,$BK22)+SUMIFS(BG:BG,$BE:$BE,"OK",BI:BI,$BK22)</f>
        <v>3</v>
      </c>
      <c r="BS22" s="60">
        <f t="shared" ref="BS22:BS24" si="109">+BM22*3+BN22*1+BP22/100+BQ22/10000</f>
        <v>1.0003</v>
      </c>
      <c r="BT22" s="29">
        <f>+IF(BL22=0,0,_xlfn.XLOOKUP(BS22,BV21:BV24,BW21:BW24))</f>
        <v>0.3</v>
      </c>
      <c r="BU22" s="45"/>
      <c r="BV22" s="24">
        <f>+LARGE(BS21:BS24,2)</f>
        <v>1.0003</v>
      </c>
      <c r="BW22" s="24">
        <f>+BX22/$BW$1</f>
        <v>0.2</v>
      </c>
      <c r="BX22" s="23">
        <v>2</v>
      </c>
      <c r="BY22" s="25" t="str">
        <f t="shared" ref="BY22:BY26" si="110">+IF(OR(BZ22="-",CC22="-"),"-","OK")</f>
        <v>-</v>
      </c>
      <c r="BZ22" s="57" t="str">
        <f>+IF(_xlfn.XLOOKUP($E22,$AY:$AY,$AZ:$AZ,"-",0)=BZ19,$E22,"-")</f>
        <v>Haiti</v>
      </c>
      <c r="CA22" s="58">
        <f t="shared" si="85"/>
        <v>0</v>
      </c>
      <c r="CB22" s="59">
        <f t="shared" si="86"/>
        <v>4</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6</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-13</v>
      </c>
      <c r="T23" s="24">
        <f t="shared" ref="T23" si="120">+SUMIF(E21:E26,$O23,F21:F26)+SUMIF(H21:H26,$O23,G21:G26)</f>
        <v>0</v>
      </c>
      <c r="U23" s="24">
        <f t="shared" ref="U23" si="121">+SUMIF(E21:E26,$O23,G21:G26)+SUMIF(H21:H26,$O23,F21:F26)</f>
        <v>13</v>
      </c>
      <c r="V23" s="45">
        <f t="shared" si="94"/>
        <v>-1.2997699999999999E-2</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6</v>
      </c>
      <c r="AG23" s="71">
        <f t="shared" si="82"/>
        <v>5</v>
      </c>
      <c r="AH23" s="72">
        <f>+VLOOKUP($Z23,$O$21:$V$24,COLUMN()-26,FALSE)</f>
        <v>3.0016023999999999</v>
      </c>
      <c r="AI23" s="73">
        <f>+(COUNTIFS($CV$2:$CV$13,Z23,$CX$2:$CX$13,"IN")+COUNTIFS($CV$2:$CV$13,Z23,$CW$2:$CW$13,"IN"))*IF(SUM(AA21:AA24)=12,1,0)</f>
        <v>1</v>
      </c>
      <c r="AL23" s="45">
        <f>+LARGE(V21:V24,3)</f>
        <v>3.0016023999999999</v>
      </c>
      <c r="AM23" s="52">
        <f t="shared" si="97"/>
        <v>0</v>
      </c>
      <c r="AP23" s="53" t="str">
        <f>+O23</f>
        <v>Haiti</v>
      </c>
      <c r="AQ23" s="23">
        <f>+P23*3+Q23*1+BT23+CN23+S23/1000+T23/10000</f>
        <v>-1.2999999999999999E-2</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Brasil</v>
      </c>
      <c r="BG23" s="58">
        <f t="shared" si="83"/>
        <v>6</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6</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1</v>
      </c>
      <c r="G24" s="43">
        <v>2</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6</v>
      </c>
      <c r="U24" s="24">
        <f t="shared" ref="U24" si="123">+SUMIF(E21:E26,$O24,G21:G26)+SUMIF(H21:H26,$O24,F21:F26)</f>
        <v>5</v>
      </c>
      <c r="V24" s="45">
        <f t="shared" si="94"/>
        <v>3.0016023999999999</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-13</v>
      </c>
      <c r="AF24" s="77">
        <f t="shared" si="82"/>
        <v>0</v>
      </c>
      <c r="AG24" s="77">
        <f t="shared" si="82"/>
        <v>13</v>
      </c>
      <c r="AH24" s="78">
        <f>+VLOOKUP($Z24,$O$21:$V$24,COLUMN()-26,FALSE)</f>
        <v>-1.2997699999999999E-2</v>
      </c>
      <c r="AI24" s="73"/>
      <c r="AL24" s="45">
        <f>+LARGE(V21:V24,4)</f>
        <v>-1.2997699999999999E-2</v>
      </c>
      <c r="AM24" s="52">
        <f t="shared" si="97"/>
        <v>0</v>
      </c>
      <c r="AP24" s="53" t="str">
        <f>+O24</f>
        <v>Escocia</v>
      </c>
      <c r="AQ24" s="23">
        <f>+P24*3+Q24*1+BT24+CN24+S24/1000+T24/10000</f>
        <v>3.0015999999999998</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2</v>
      </c>
      <c r="BD24" s="29"/>
      <c r="BE24" s="25" t="str">
        <f>+IF(OR(BF24="-",BI24="-",BF19=0),"-","OK")</f>
        <v>-</v>
      </c>
      <c r="BF24" s="57" t="str">
        <f>+IF(_xlfn.XLOOKUP($E24,$AY:$AY,$AZ:$AZ,"-",0)=BF19,$E24,"-")</f>
        <v>-</v>
      </c>
      <c r="BG24" s="58">
        <f t="shared" si="83"/>
        <v>1</v>
      </c>
      <c r="BH24" s="59">
        <f t="shared" si="84"/>
        <v>2</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1</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3</v>
      </c>
      <c r="BI25" s="57" t="str">
        <f>+IF(_xlfn.XLOOKUP($H25,$AY:$AY,$AZ:$AZ,"-",0)=BF19,$H25,"-")</f>
        <v>Brasil</v>
      </c>
      <c r="BY25" s="25" t="str">
        <f t="shared" si="110"/>
        <v>-</v>
      </c>
      <c r="BZ25" s="57" t="str">
        <f>+IF(_xlfn.XLOOKUP($E25,$AY:$AY,$AZ:$AZ,"-",0)=BZ19,$E25,"-")</f>
        <v>-</v>
      </c>
      <c r="CA25" s="58">
        <f t="shared" si="85"/>
        <v>1</v>
      </c>
      <c r="CB25" s="59">
        <f t="shared" si="86"/>
        <v>3</v>
      </c>
      <c r="CC25" s="57" t="str">
        <f>+IF(_xlfn.XLOOKUP($H25,$AY:$AY,$AZ:$AZ,"-",0)=BZ19,$H25,"-")</f>
        <v>-</v>
      </c>
    </row>
    <row r="26" spans="1:102" x14ac:dyDescent="0.25">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3</v>
      </c>
      <c r="BH26" s="59">
        <f t="shared" si="84"/>
        <v>0</v>
      </c>
      <c r="BI26" s="57" t="str">
        <f>+IF(_xlfn.XLOOKUP($H26,$AY:$AY,$AZ:$AZ,"-",0)=BF19,$H26,"-")</f>
        <v>-</v>
      </c>
      <c r="BY26" s="25" t="str">
        <f t="shared" si="110"/>
        <v>-</v>
      </c>
      <c r="BZ26" s="57" t="str">
        <f>+IF(_xlfn.XLOOKUP($E26,$AY:$AY,$AZ:$AZ,"-",0)=BZ19,$E26,"-")</f>
        <v>-</v>
      </c>
      <c r="CA26" s="58">
        <f t="shared" si="85"/>
        <v>3</v>
      </c>
      <c r="CB26" s="59">
        <f t="shared" si="86"/>
        <v>0</v>
      </c>
      <c r="CC26" s="57" t="str">
        <f>+IF(_xlfn.XLOOKUP($H26,$AY:$AY,$AZ:$AZ,"-",0)=BZ19,$H26,"-")</f>
        <v>Haiti</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f>+IF(BA30&gt;1,AZ30,IF(BA31&gt;1,AZ31,IF(BA32&gt;1,AZ32,IF(BA33&gt;1,AZ33,"-"))))</f>
        <v>4</v>
      </c>
      <c r="BW28" s="23">
        <v>10</v>
      </c>
      <c r="BZ28" s="29">
        <f>+IF(BC30&gt;1,BB30,IF(BC31&gt;1,BB31,IF(BC32&gt;1,BB32,IF(BC33&gt;1,BB33,"-"))))</f>
        <v>3</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1</v>
      </c>
      <c r="G30" s="43">
        <v>2</v>
      </c>
      <c r="H30" s="44" t="s">
        <v>71</v>
      </c>
      <c r="J30" s="24" t="str">
        <f>IF(OR(ISBLANK(F30),ISBLANK(G30)),"",IF(F30&gt;G30,E30,IF(G30&gt;F30,H30,"")))</f>
        <v>Paraguay</v>
      </c>
      <c r="K30" s="24" t="str">
        <f>IF(OR(ISBLANK(F30),ISBLANK(G30)),"",IF(F30=G30,E30,""))</f>
        <v/>
      </c>
      <c r="L30" s="24" t="str">
        <f>IF(OR(ISBLANK(F30),ISBLANK(G30)),"",IF(F30=G30,H30,""))</f>
        <v/>
      </c>
      <c r="M30" s="24" t="str">
        <f>IF(OR(ISBLANK(F30),ISBLANK(G30)),"",IF(F30&lt;G30,E30,IF(G30&lt;F30,H30,"")))</f>
        <v>Estados Unidos</v>
      </c>
      <c r="O30" s="26" t="str">
        <f>+E30</f>
        <v>Estados Unidos</v>
      </c>
      <c r="P30" s="24">
        <f>+COUNTIF(J30:J35,"="&amp;$O30)</f>
        <v>1</v>
      </c>
      <c r="Q30" s="24">
        <f>+COUNTIF(K30:L35,"="&amp;$O30)</f>
        <v>0</v>
      </c>
      <c r="R30" s="24">
        <f>+COUNTIF(M30:M35,"="&amp;$O30)</f>
        <v>2</v>
      </c>
      <c r="S30" s="24">
        <f>+T30-U30</f>
        <v>-2</v>
      </c>
      <c r="T30" s="24">
        <f t="shared" ref="T30" si="124">+SUMIF(E30:E35,$O30,F30:F35)+SUMIF(H30:H35,$O30,G30:G35)</f>
        <v>2</v>
      </c>
      <c r="U30" s="24">
        <f t="shared" ref="U30" si="125">+SUMIF(E30:E35,$O30,G30:G35)+SUMIF(H30:H35,$O30,F30:F35)</f>
        <v>4</v>
      </c>
      <c r="V30" s="45">
        <f>+P30*3+Q30*1+BT30+CN30+S30/1000+T30/10000+AV30/1000000+ROW()/10000000</f>
        <v>2.9982030000000002</v>
      </c>
      <c r="W30" s="26" t="str">
        <f>+O30</f>
        <v>Estados Unidos</v>
      </c>
      <c r="Y30" s="46" t="str">
        <f>+CONCATENATE("1",RIGHT(E29,1))</f>
        <v>1D</v>
      </c>
      <c r="Z30" s="47" t="str">
        <f>+VLOOKUP(AL30,V30:W33,2,FALSE)</f>
        <v>Paraguay</v>
      </c>
      <c r="AA30" s="48">
        <f>+SUM(AB30:AD30)</f>
        <v>3</v>
      </c>
      <c r="AB30" s="49">
        <f t="shared" ref="AB30:AG33" si="126">+VLOOKUP($Z30,$O$30:$U$33,COLUMN()-26,FALSE)</f>
        <v>1</v>
      </c>
      <c r="AC30" s="49">
        <f t="shared" si="126"/>
        <v>2</v>
      </c>
      <c r="AD30" s="49">
        <f t="shared" si="126"/>
        <v>0</v>
      </c>
      <c r="AE30" s="49">
        <f t="shared" si="126"/>
        <v>1</v>
      </c>
      <c r="AF30" s="49">
        <f t="shared" si="126"/>
        <v>5</v>
      </c>
      <c r="AG30" s="49">
        <f t="shared" si="126"/>
        <v>4</v>
      </c>
      <c r="AH30" s="50">
        <f>+VLOOKUP($Z30,$O$30:$V$33,COLUMN()-26,FALSE)</f>
        <v>5.0015030999999999</v>
      </c>
      <c r="AI30" s="51"/>
      <c r="AL30" s="45">
        <f>+LARGE(V30:V33,1)</f>
        <v>5.0015030999999999</v>
      </c>
      <c r="AM30" s="52">
        <f>+(AH30-AL30)*100000000000000000000</f>
        <v>0</v>
      </c>
      <c r="AP30" s="53" t="str">
        <f>+O30</f>
        <v>Estados Unidos</v>
      </c>
      <c r="AQ30" s="23">
        <f>+P30*3+Q30*1+BT30+CN30+S30/1000+T30/10000</f>
        <v>2.9982000000000002</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3</v>
      </c>
      <c r="BA30" s="29">
        <f>+COUNTIFS($AX$1:AX30,AX30,$AZ$1:AZ30,AZ30)</f>
        <v>1</v>
      </c>
      <c r="BB30" s="29">
        <f>+IF(AZ30=BF28,ROW()*0.001,AZ30)</f>
        <v>3</v>
      </c>
      <c r="BC30" s="29">
        <f>+COUNTIFS($AX$1:AZ30,AZ30,$AZ$1:BB30,BB30)</f>
        <v>3</v>
      </c>
      <c r="BD30" s="29"/>
      <c r="BE30" s="25" t="str">
        <f>+IF(OR(BF30="-",BI30="-",BF28=0),"-","OK")</f>
        <v>-</v>
      </c>
      <c r="BF30" s="57" t="str">
        <f>+IF(_xlfn.XLOOKUP($E30,$AY:$AY,$AZ:$AZ,"-",0)=BF28,$E30,"-")</f>
        <v>-</v>
      </c>
      <c r="BG30" s="58">
        <f t="shared" ref="BG30:BG35" si="127">+$F30</f>
        <v>1</v>
      </c>
      <c r="BH30" s="59">
        <f t="shared" ref="BH30:BH35" si="128">+$G30</f>
        <v>2</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3.0203000000000002</v>
      </c>
      <c r="BW30" s="24">
        <f>+BX30/$BW$1</f>
        <v>0.3</v>
      </c>
      <c r="BX30" s="23">
        <v>3</v>
      </c>
      <c r="BY30" s="25" t="str">
        <f>+IF(OR(BZ30="-",CC30="-"),"-","OK")</f>
        <v>-</v>
      </c>
      <c r="BZ30" s="57" t="str">
        <f>+IF(_xlfn.XLOOKUP($E30,$AY:$AY,$AZ:$AZ,"-",0)=BZ28,$E30,"-")</f>
        <v>Estados Unidos</v>
      </c>
      <c r="CA30" s="58">
        <f t="shared" ref="CA30:CA35" si="129">+$F30</f>
        <v>1</v>
      </c>
      <c r="CB30" s="59">
        <f t="shared" ref="CB30:CB35" si="130">+$G30</f>
        <v>2</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1</v>
      </c>
      <c r="G31" s="43">
        <v>3</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2</v>
      </c>
      <c r="R31" s="24">
        <f>+COUNTIF(M30:M35,"="&amp;$O31)</f>
        <v>0</v>
      </c>
      <c r="S31" s="24">
        <f t="shared" ref="S31:S33" si="135">+T31-U31</f>
        <v>1</v>
      </c>
      <c r="T31" s="24">
        <f t="shared" ref="T31" si="136">+SUMIF(E30:E35,$O31,F30:F35)+SUMIF(H30:H35,$O31,G30:G35)</f>
        <v>5</v>
      </c>
      <c r="U31" s="24">
        <f t="shared" ref="U31" si="137">+SUMIF(E30:E35,$O31,G30:G35)+SUMIF(H30:H35,$O31,F30:F35)</f>
        <v>4</v>
      </c>
      <c r="V31" s="45">
        <f t="shared" ref="V31:V33" si="138">+P31*3+Q31*1+BT31+CN31+S31/1000+T31/10000+AV31/1000000+ROW()/10000000</f>
        <v>5.0015030999999999</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1</v>
      </c>
      <c r="AD31" s="64">
        <f t="shared" si="126"/>
        <v>1</v>
      </c>
      <c r="AE31" s="64">
        <f t="shared" si="126"/>
        <v>1</v>
      </c>
      <c r="AF31" s="64">
        <f t="shared" si="126"/>
        <v>5</v>
      </c>
      <c r="AG31" s="64">
        <f t="shared" si="126"/>
        <v>4</v>
      </c>
      <c r="AH31" s="65">
        <f>+VLOOKUP($Z31,$O$30:$V$33,COLUMN()-26,FALSE)</f>
        <v>4.3015033000000003</v>
      </c>
      <c r="AI31" s="51"/>
      <c r="AL31" s="45">
        <f>+LARGE(V30:V33,2)</f>
        <v>4.3015033000000003</v>
      </c>
      <c r="AM31" s="52">
        <f t="shared" ref="AM31:AM33" si="141">+(AH31-AL31)*100000000000000000000</f>
        <v>0</v>
      </c>
      <c r="AP31" s="53" t="str">
        <f>+O31</f>
        <v>Paraguay</v>
      </c>
      <c r="AQ31" s="23">
        <f>+P31*3+Q31*1+BT31+CN31+S31/1000+T31/10000</f>
        <v>5.0015000000000001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5</v>
      </c>
      <c r="BA31" s="29">
        <f>+COUNTIFS($AX$1:AX31,AX31,$AZ$1:AZ31,AZ31)</f>
        <v>1</v>
      </c>
      <c r="BB31" s="29">
        <f>+IF(AZ31=BF28,ROW()*0.001,AZ31)</f>
        <v>5</v>
      </c>
      <c r="BC31" s="29">
        <f>+COUNTIFS($AX$1:AZ31,AZ31,$AZ$1:BB31,BB31)</f>
        <v>2</v>
      </c>
      <c r="BD31" s="29"/>
      <c r="BE31" s="25" t="str">
        <f>+IF(OR(BF31="-",BI31="-",BF28=0),"-","OK")</f>
        <v>OK</v>
      </c>
      <c r="BF31" s="57" t="str">
        <f>+IF(_xlfn.XLOOKUP($E31,$AY:$AY,$AZ:$AZ,"-",0)=BF28,$E31,"-")</f>
        <v>Australia</v>
      </c>
      <c r="BG31" s="58">
        <f t="shared" si="127"/>
        <v>1</v>
      </c>
      <c r="BH31" s="59">
        <f t="shared" si="128"/>
        <v>3</v>
      </c>
      <c r="BI31" s="57" t="str">
        <f>+IF(_xlfn.XLOOKUP($H31,$AY:$AY,$AZ:$AZ,"-",0)=BF28,$H31,"-")</f>
        <v>Turquia</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3</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2</v>
      </c>
      <c r="G32" s="43">
        <v>2</v>
      </c>
      <c r="H32" s="44" t="s">
        <v>71</v>
      </c>
      <c r="J32" s="24" t="str">
        <f t="shared" si="131"/>
        <v/>
      </c>
      <c r="K32" s="24" t="str">
        <f t="shared" si="132"/>
        <v>Turquia</v>
      </c>
      <c r="L32" s="24" t="str">
        <f t="shared" si="133"/>
        <v>Paraguay</v>
      </c>
      <c r="M32" s="24" t="str">
        <f t="shared" si="134"/>
        <v/>
      </c>
      <c r="O32" s="26" t="str">
        <f>+E31</f>
        <v>Australia</v>
      </c>
      <c r="P32" s="24">
        <f>+COUNTIF(J30:J35,"="&amp;$O32)</f>
        <v>1</v>
      </c>
      <c r="Q32" s="24">
        <f>+COUNTIF(K30:L35,"="&amp;$O32)</f>
        <v>1</v>
      </c>
      <c r="R32" s="24">
        <f>+COUNTIF(M30:M35,"="&amp;$O32)</f>
        <v>1</v>
      </c>
      <c r="S32" s="24">
        <f t="shared" si="135"/>
        <v>0</v>
      </c>
      <c r="T32" s="24">
        <f t="shared" ref="T32" si="164">+SUMIF(E30:E35,$O32,F30:F35)+SUMIF(H30:H35,$O32,G30:G35)</f>
        <v>4</v>
      </c>
      <c r="U32" s="24">
        <f t="shared" ref="U32" si="165">+SUMIF(E30:E35,$O32,G30:G35)+SUMIF(H30:H35,$O32,F30:F35)</f>
        <v>4</v>
      </c>
      <c r="V32" s="45">
        <f t="shared" si="138"/>
        <v>4.0004032</v>
      </c>
      <c r="W32" s="26" t="str">
        <f t="shared" si="139"/>
        <v>Australia</v>
      </c>
      <c r="Y32" s="68" t="str">
        <f>+CONCATENATE("3",RIGHT(E29,1))</f>
        <v>3D</v>
      </c>
      <c r="Z32" s="69" t="str">
        <f>+VLOOKUP(AL32,V30:W33,2,FALSE)</f>
        <v>Australia</v>
      </c>
      <c r="AA32" s="70">
        <f t="shared" si="140"/>
        <v>3</v>
      </c>
      <c r="AB32" s="71">
        <f t="shared" si="126"/>
        <v>1</v>
      </c>
      <c r="AC32" s="71">
        <f t="shared" si="126"/>
        <v>1</v>
      </c>
      <c r="AD32" s="71">
        <f t="shared" si="126"/>
        <v>1</v>
      </c>
      <c r="AE32" s="71">
        <f t="shared" si="126"/>
        <v>0</v>
      </c>
      <c r="AF32" s="71">
        <f t="shared" si="126"/>
        <v>4</v>
      </c>
      <c r="AG32" s="71">
        <f t="shared" si="126"/>
        <v>4</v>
      </c>
      <c r="AH32" s="72">
        <f>+VLOOKUP($Z32,$O$30:$V$33,COLUMN()-26,FALSE)</f>
        <v>4.0004032</v>
      </c>
      <c r="AI32" s="73">
        <f>+(COUNTIFS($CV$2:$CV$13,Z32,$CX$2:$CX$13,"IN")+COUNTIFS($CV$2:$CV$13,Z32,$CW$2:$CW$13,"IN"))*IF(SUM(AA30:AA33)=12,1,0)</f>
        <v>1</v>
      </c>
      <c r="AL32" s="45">
        <f>+LARGE(V30:V33,3)</f>
        <v>4.0004032</v>
      </c>
      <c r="AM32" s="52">
        <f t="shared" si="141"/>
        <v>0</v>
      </c>
      <c r="AP32" s="53" t="str">
        <f>+O32</f>
        <v>Australia</v>
      </c>
      <c r="AQ32" s="23">
        <f>+P32*3+Q32*1+BT32+CN32+S32/1000+T32/10000</f>
        <v>4.0004</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4</v>
      </c>
      <c r="BA32" s="29">
        <f>+COUNTIFS($AX$1:AX32,AX32,$AZ$1:AZ32,AZ32)</f>
        <v>1</v>
      </c>
      <c r="BB32" s="29">
        <f>+IF(AZ32=BF28,ROW()*0.001,AZ32)</f>
        <v>3.2000000000000001E-2</v>
      </c>
      <c r="BC32" s="29">
        <f>+COUNTIFS($AX$1:AZ32,AZ32,$AZ$1:BB32,BB32)</f>
        <v>1</v>
      </c>
      <c r="BD32" s="29"/>
      <c r="BE32" s="25" t="str">
        <f>+IF(OR(BF32="-",BI32="-",BF28=0),"-","OK")</f>
        <v>-</v>
      </c>
      <c r="BF32" s="57" t="str">
        <f>+IF(_xlfn.XLOOKUP($E32,$AY:$AY,$AZ:$AZ,"-",0)=BF28,$E32,"-")</f>
        <v>Turquia</v>
      </c>
      <c r="BG32" s="58">
        <f t="shared" si="127"/>
        <v>2</v>
      </c>
      <c r="BH32" s="59">
        <f t="shared" si="128"/>
        <v>2</v>
      </c>
      <c r="BI32" s="57" t="str">
        <f>+IF(_xlfn.XLOOKUP($H32,$AY:$AY,$AZ:$AZ,"-",0)=BF28,$H32,"-")</f>
        <v>-</v>
      </c>
      <c r="BK32" s="26" t="str">
        <f t="shared" si="146"/>
        <v>Australia</v>
      </c>
      <c r="BL32" s="26">
        <f t="shared" si="147"/>
        <v>1</v>
      </c>
      <c r="BM32" s="24">
        <f t="shared" si="148"/>
        <v>0</v>
      </c>
      <c r="BN32" s="24">
        <f t="shared" si="149"/>
        <v>0</v>
      </c>
      <c r="BO32" s="24">
        <f t="shared" si="150"/>
        <v>1</v>
      </c>
      <c r="BP32" s="24">
        <f t="shared" si="151"/>
        <v>-2</v>
      </c>
      <c r="BQ32" s="24">
        <f>+SUMIFS(BG:BG,$BE:$BE,"OK",BF:BF,$BK32)+SUMIFS(BH:BH,$BE:$BE,"OK",BI:BI,$BK32)</f>
        <v>1</v>
      </c>
      <c r="BR32" s="24">
        <f t="shared" si="152"/>
        <v>3</v>
      </c>
      <c r="BS32" s="60">
        <f t="shared" si="153"/>
        <v>-1.9900000000000001E-2</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2</v>
      </c>
      <c r="CB32" s="59">
        <f t="shared" si="130"/>
        <v>2</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0</v>
      </c>
      <c r="G33" s="43">
        <v>2</v>
      </c>
      <c r="H33" s="44" t="s">
        <v>73</v>
      </c>
      <c r="J33" s="24" t="str">
        <f t="shared" si="131"/>
        <v>Australia</v>
      </c>
      <c r="K33" s="24" t="str">
        <f t="shared" si="132"/>
        <v/>
      </c>
      <c r="L33" s="24" t="str">
        <f t="shared" si="133"/>
        <v/>
      </c>
      <c r="M33" s="24" t="str">
        <f t="shared" si="134"/>
        <v>Estados Unidos</v>
      </c>
      <c r="O33" s="26" t="str">
        <f>+H31</f>
        <v>Turquia</v>
      </c>
      <c r="P33" s="24">
        <f>+COUNTIF(J30:J35,"="&amp;$O33)</f>
        <v>1</v>
      </c>
      <c r="Q33" s="24">
        <f>+COUNTIF(K30:L35,"="&amp;$O33)</f>
        <v>1</v>
      </c>
      <c r="R33" s="24">
        <f>+COUNTIF(M30:M35,"="&amp;$O33)</f>
        <v>1</v>
      </c>
      <c r="S33" s="24">
        <f t="shared" si="135"/>
        <v>1</v>
      </c>
      <c r="T33" s="24">
        <f t="shared" ref="T33" si="166">+SUMIF(E30:E35,$O33,F30:F35)+SUMIF(H30:H35,$O33,G30:G35)</f>
        <v>5</v>
      </c>
      <c r="U33" s="24">
        <f t="shared" ref="U33" si="167">+SUMIF(E30:E35,$O33,G30:G35)+SUMIF(H30:H35,$O33,F30:F35)</f>
        <v>4</v>
      </c>
      <c r="V33" s="45">
        <f t="shared" si="138"/>
        <v>4.3015033000000003</v>
      </c>
      <c r="W33" s="26" t="str">
        <f t="shared" si="139"/>
        <v>Turquia</v>
      </c>
      <c r="Y33" s="74" t="str">
        <f>+CONCATENATE("4",RIGHT(E29,1))</f>
        <v>4D</v>
      </c>
      <c r="Z33" s="75" t="str">
        <f>+VLOOKUP(AL33,V30:W33,2,FALSE)</f>
        <v>Estados Unidos</v>
      </c>
      <c r="AA33" s="76">
        <f t="shared" si="140"/>
        <v>3</v>
      </c>
      <c r="AB33" s="77">
        <f t="shared" si="126"/>
        <v>1</v>
      </c>
      <c r="AC33" s="77">
        <f t="shared" si="126"/>
        <v>0</v>
      </c>
      <c r="AD33" s="77">
        <f t="shared" si="126"/>
        <v>2</v>
      </c>
      <c r="AE33" s="77">
        <f t="shared" si="126"/>
        <v>-2</v>
      </c>
      <c r="AF33" s="77">
        <f t="shared" si="126"/>
        <v>2</v>
      </c>
      <c r="AG33" s="77">
        <f t="shared" si="126"/>
        <v>4</v>
      </c>
      <c r="AH33" s="78">
        <f>+VLOOKUP($Z33,$O$30:$V$33,COLUMN()-26,FALSE)</f>
        <v>2.9982030000000002</v>
      </c>
      <c r="AI33" s="73"/>
      <c r="AL33" s="45">
        <f>+LARGE(V30:V33,4)</f>
        <v>2.9982030000000002</v>
      </c>
      <c r="AM33" s="52">
        <f t="shared" si="141"/>
        <v>0</v>
      </c>
      <c r="AP33" s="53" t="str">
        <f>+O33</f>
        <v>Turquia</v>
      </c>
      <c r="AQ33" s="23">
        <f>+P33*3+Q33*1+BT33+CN33+S33/1000+T33/10000</f>
        <v>4.3014999999999999</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2</v>
      </c>
      <c r="BB33" s="29">
        <f>+IF(AZ33=BF28,ROW()*0.001,AZ33)</f>
        <v>3.3000000000000002E-2</v>
      </c>
      <c r="BC33" s="29">
        <f>+COUNTIFS($AX$1:AZ33,AZ33,$AZ$1:BB33,BB33)</f>
        <v>1</v>
      </c>
      <c r="BD33" s="29"/>
      <c r="BE33" s="25" t="str">
        <f>+IF(OR(BF33="-",BI33="-",BF28=0),"-","OK")</f>
        <v>-</v>
      </c>
      <c r="BF33" s="57" t="str">
        <f>+IF(_xlfn.XLOOKUP($E33,$AY:$AY,$AZ:$AZ,"-",0)=BF28,$E33,"-")</f>
        <v>-</v>
      </c>
      <c r="BG33" s="58">
        <f t="shared" si="127"/>
        <v>0</v>
      </c>
      <c r="BH33" s="59">
        <f t="shared" si="128"/>
        <v>2</v>
      </c>
      <c r="BI33" s="57" t="str">
        <f>+IF(_xlfn.XLOOKUP($H33,$AY:$AY,$AZ:$AZ,"-",0)=BF28,$H33,"-")</f>
        <v>Australia</v>
      </c>
      <c r="BK33" s="26" t="str">
        <f t="shared" si="146"/>
        <v>Turquia</v>
      </c>
      <c r="BL33" s="26">
        <f t="shared" si="147"/>
        <v>1</v>
      </c>
      <c r="BM33" s="24">
        <f t="shared" si="148"/>
        <v>1</v>
      </c>
      <c r="BN33" s="24">
        <f t="shared" si="149"/>
        <v>0</v>
      </c>
      <c r="BO33" s="24">
        <f t="shared" si="150"/>
        <v>0</v>
      </c>
      <c r="BP33" s="24">
        <f t="shared" si="151"/>
        <v>2</v>
      </c>
      <c r="BQ33" s="24">
        <f>+SUMIFS(BG:BG,$BE:$BE,"OK",BF:BF,$BK33)+SUMIFS(BH:BH,$BE:$BE,"OK",BI:BI,$BK33)</f>
        <v>3</v>
      </c>
      <c r="BR33" s="24">
        <f t="shared" si="152"/>
        <v>1</v>
      </c>
      <c r="BS33" s="60">
        <f t="shared" si="153"/>
        <v>3.0203000000000002</v>
      </c>
      <c r="BT33" s="29">
        <f>+IF(BL33=0,0,_xlfn.XLOOKUP(BS33,BV30:BV33,BW30:BW33))</f>
        <v>0.3</v>
      </c>
      <c r="BU33" s="45"/>
      <c r="BV33" s="24">
        <f>+LARGE(BS30:BS33,4)</f>
        <v>-1.9900000000000001E-2</v>
      </c>
      <c r="BW33" s="24">
        <f>+BX33/$BW$1</f>
        <v>0</v>
      </c>
      <c r="BX33" s="23">
        <v>0</v>
      </c>
      <c r="BY33" s="25" t="str">
        <f t="shared" si="154"/>
        <v>-</v>
      </c>
      <c r="BZ33" s="57" t="str">
        <f>+IF(_xlfn.XLOOKUP($E33,$AY:$AY,$AZ:$AZ,"-",0)=BZ28,$E33,"-")</f>
        <v>Estados Unidos</v>
      </c>
      <c r="CA33" s="58">
        <f t="shared" si="129"/>
        <v>0</v>
      </c>
      <c r="CB33" s="59">
        <f t="shared" si="130"/>
        <v>2</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0</v>
      </c>
      <c r="G34" s="43">
        <v>1</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Turquia</v>
      </c>
      <c r="BG34" s="58">
        <f t="shared" si="127"/>
        <v>0</v>
      </c>
      <c r="BH34" s="59">
        <f t="shared" si="128"/>
        <v>1</v>
      </c>
      <c r="BI34" s="57" t="str">
        <f>+IF(_xlfn.XLOOKUP($H34,$AY:$AY,$AZ:$AZ,"-",0)=BF28,$H34,"-")</f>
        <v>-</v>
      </c>
      <c r="BY34" s="25" t="str">
        <f t="shared" si="154"/>
        <v>-</v>
      </c>
      <c r="BZ34" s="57" t="str">
        <f>+IF(_xlfn.XLOOKUP($E34,$AY:$AY,$AZ:$AZ,"-",0)=BZ28,$E34,"-")</f>
        <v>-</v>
      </c>
      <c r="CA34" s="58">
        <f t="shared" si="129"/>
        <v>0</v>
      </c>
      <c r="CB34" s="59">
        <f t="shared" si="130"/>
        <v>1</v>
      </c>
      <c r="CC34" s="57" t="str">
        <f>+IF(_xlfn.XLOOKUP($H34,$AY:$AY,$AZ:$AZ,"-",0)=BZ28,$H34,"-")</f>
        <v>Estados Unidos</v>
      </c>
    </row>
    <row r="35" spans="1:102" x14ac:dyDescent="0.25">
      <c r="A35" s="38" t="s">
        <v>145</v>
      </c>
      <c r="B35" s="39">
        <v>46198</v>
      </c>
      <c r="C35" s="40"/>
      <c r="D35" s="41"/>
      <c r="E35" s="42" t="s">
        <v>71</v>
      </c>
      <c r="F35" s="43">
        <v>1</v>
      </c>
      <c r="G35" s="43">
        <v>1</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v>
      </c>
      <c r="BF35" s="57" t="str">
        <f>+IF(_xlfn.XLOOKUP($E35,$AY:$AY,$AZ:$AZ,"-",0)=BF28,$E35,"-")</f>
        <v>-</v>
      </c>
      <c r="BG35" s="58">
        <f t="shared" si="127"/>
        <v>1</v>
      </c>
      <c r="BH35" s="59">
        <f t="shared" si="128"/>
        <v>1</v>
      </c>
      <c r="BI35" s="57" t="str">
        <f>+IF(_xlfn.XLOOKUP($H35,$AY:$AY,$AZ:$AZ,"-",0)=BF28,$H35,"-")</f>
        <v>Australia</v>
      </c>
      <c r="BY35" s="25" t="str">
        <f t="shared" si="154"/>
        <v>-</v>
      </c>
      <c r="BZ35" s="57" t="str">
        <f>+IF(_xlfn.XLOOKUP($E35,$AY:$AY,$AZ:$AZ,"-",0)=BZ28,$E35,"-")</f>
        <v>-</v>
      </c>
      <c r="CA35" s="58">
        <f t="shared" si="129"/>
        <v>1</v>
      </c>
      <c r="CB35" s="59">
        <f t="shared" si="130"/>
        <v>1</v>
      </c>
      <c r="CC35" s="57" t="str">
        <f>+IF(_xlfn.XLOOKUP($H35,$AY:$AY,$AZ:$AZ,"-",0)=BZ28,$H35,"-")</f>
        <v>-</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t="str">
        <f>+IF(BA39&gt;1,AZ39,IF(BA40&gt;1,AZ40,IF(BA41&gt;1,AZ41,IF(BA42&gt;1,AZ42,"-"))))</f>
        <v>-</v>
      </c>
      <c r="BW37" s="23">
        <v>10</v>
      </c>
      <c r="BZ37" s="29">
        <f>+IF(BC39&gt;1,BB39,IF(BC40&gt;1,BB40,IF(BC41&gt;1,BB41,IF(BC42&gt;1,BB42,"-"))))</f>
        <v>0</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7</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2</v>
      </c>
      <c r="Q39" s="24">
        <f>+COUNTIF(K39:L44,"="&amp;$O39)</f>
        <v>0</v>
      </c>
      <c r="R39" s="24">
        <f>+COUNTIF(M39:M44,"="&amp;$O39)</f>
        <v>1</v>
      </c>
      <c r="S39" s="24">
        <f>+T39-U39</f>
        <v>7</v>
      </c>
      <c r="T39" s="24">
        <f t="shared" ref="T39" si="168">+SUMIF(E39:E44,$O39,F39:F44)+SUMIF(H39:H44,$O39,G39:G44)</f>
        <v>10</v>
      </c>
      <c r="U39" s="24">
        <f t="shared" ref="U39" si="169">+SUMIF(E39:E44,$O39,G39:G44)+SUMIF(H39:H44,$O39,F39:F44)</f>
        <v>3</v>
      </c>
      <c r="V39" s="45">
        <f>+P39*3+Q39*1+BT39+CN39+S39/1000+T39/10000+AV39/1000000+ROW()/10000000</f>
        <v>6.0080039000000003</v>
      </c>
      <c r="W39" s="26" t="str">
        <f>+O39</f>
        <v>Alemania</v>
      </c>
      <c r="Y39" s="46" t="str">
        <f>+CONCATENATE("1",RIGHT(E38,1))</f>
        <v>1E</v>
      </c>
      <c r="Z39" s="47" t="str">
        <f>+VLOOKUP(AL39,V39:W42,2,FALSE)</f>
        <v>Ecuador</v>
      </c>
      <c r="AA39" s="48">
        <f>+SUM(AB39:AD39)</f>
        <v>3</v>
      </c>
      <c r="AB39" s="49">
        <f t="shared" ref="AB39:AG42" si="170">+VLOOKUP($Z39,$O$39:$U$42,COLUMN()-26,FALSE)</f>
        <v>3</v>
      </c>
      <c r="AC39" s="49">
        <f t="shared" si="170"/>
        <v>0</v>
      </c>
      <c r="AD39" s="49">
        <f t="shared" si="170"/>
        <v>0</v>
      </c>
      <c r="AE39" s="49">
        <f t="shared" si="170"/>
        <v>4</v>
      </c>
      <c r="AF39" s="49">
        <f t="shared" si="170"/>
        <v>7</v>
      </c>
      <c r="AG39" s="49">
        <f t="shared" si="170"/>
        <v>3</v>
      </c>
      <c r="AH39" s="50">
        <f>+VLOOKUP($Z39,$O$39:$V$42,COLUMN()-26,FALSE)</f>
        <v>9.004704199999999</v>
      </c>
      <c r="AI39" s="51"/>
      <c r="AL39" s="45">
        <f>+LARGE(V39:V42,1)</f>
        <v>9.004704199999999</v>
      </c>
      <c r="AM39" s="52">
        <f>+(AH39-AL39)*100000000000000000000</f>
        <v>0</v>
      </c>
      <c r="AP39" s="53" t="str">
        <f>+O39</f>
        <v>Alemania</v>
      </c>
      <c r="AQ39" s="23">
        <f>+P39*3+Q39*1+BT39+CN39+S39/1000+T39/10000</f>
        <v>6.008</v>
      </c>
      <c r="AR39" s="23" t="b">
        <f>+IF(OR(AQ39=AQ40,AQ39=AQ41,AQ39=AQ42),1)</f>
        <v>0</v>
      </c>
      <c r="AS39" s="54">
        <f>+AV39</f>
        <v>0</v>
      </c>
      <c r="AT39" s="54">
        <f>+IF(AND(AM43="si",OR(AR39=1,AR40=1,AR41=1)),1,0)</f>
        <v>0</v>
      </c>
      <c r="AU39" s="55" t="str">
        <f>+O39</f>
        <v>Alemania</v>
      </c>
      <c r="AV39" s="56"/>
      <c r="AX39" s="23" t="str">
        <f>+Y38</f>
        <v>Grupo E</v>
      </c>
      <c r="AY39" s="24" t="str">
        <f>+O39</f>
        <v>Alemania</v>
      </c>
      <c r="AZ39" s="29">
        <f>+P39*3+Q39</f>
        <v>6</v>
      </c>
      <c r="BA39" s="29">
        <f>+COUNTIFS($AX$1:AX39,AX39,$AZ$1:AZ39,AZ39)</f>
        <v>1</v>
      </c>
      <c r="BB39" s="29">
        <f>+IF(AZ39=BF37,ROW()*0.001,AZ39)</f>
        <v>6</v>
      </c>
      <c r="BC39" s="29">
        <f>+COUNTIFS($AX$1:AZ39,AZ39,$AZ$1:BB39,BB39)</f>
        <v>1</v>
      </c>
      <c r="BD39" s="29"/>
      <c r="BE39" s="25" t="str">
        <f>+IF(OR(BF39="-",BI39="-",BF37=0),"-","OK")</f>
        <v>-</v>
      </c>
      <c r="BF39" s="57" t="str">
        <f>+IF(_xlfn.XLOOKUP($E39,$AY:$AY,$AZ:$AZ,"-",0)=BF37,$E39,"-")</f>
        <v>-</v>
      </c>
      <c r="BG39" s="58">
        <f t="shared" ref="BG39:BG44" si="171">+$F39</f>
        <v>7</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v>
      </c>
      <c r="CA39" s="58">
        <f t="shared" ref="CA39:CA44" si="173">+$F39</f>
        <v>7</v>
      </c>
      <c r="CB39" s="59">
        <f t="shared" ref="CB39:CB44" si="174">+$G39</f>
        <v>0</v>
      </c>
      <c r="CC39" s="57" t="str">
        <f>+IF(_xlfn.XLOOKUP($H39,$AY:$AY,$AZ:$AZ,"-",0)=BZ37,$H39,"-")</f>
        <v>Curazao</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-12</v>
      </c>
      <c r="T40" s="24">
        <f t="shared" ref="T40" si="180">+SUMIF(E39:E44,$O40,F39:F44)+SUMIF(H39:H44,$O40,G39:G44)</f>
        <v>1</v>
      </c>
      <c r="U40" s="24">
        <f t="shared" ref="U40" si="181">+SUMIF(E39:E44,$O40,G39:G44)+SUMIF(H39:H44,$O40,F39:F44)</f>
        <v>13</v>
      </c>
      <c r="V40" s="45">
        <f t="shared" ref="V40:V42" si="182">+P40*3+Q40*1+BT40+CN40+S40/1000+T40/10000+AV40/1000000+ROW()/10000000</f>
        <v>-1.1896E-2</v>
      </c>
      <c r="W40" s="26" t="str">
        <f t="shared" ref="W40:W42" si="183">+O40</f>
        <v>Curazao</v>
      </c>
      <c r="Y40" s="61" t="str">
        <f>+CONCATENATE("2",RIGHT(E38,1))</f>
        <v>2E</v>
      </c>
      <c r="Z40" s="62" t="str">
        <f>+VLOOKUP(AL40,V39:W42,2,FALSE)</f>
        <v>Alemania</v>
      </c>
      <c r="AA40" s="63">
        <f t="shared" ref="AA40:AA42" si="184">+SUM(AB40:AD40)</f>
        <v>3</v>
      </c>
      <c r="AB40" s="64">
        <f t="shared" si="170"/>
        <v>2</v>
      </c>
      <c r="AC40" s="64">
        <f t="shared" si="170"/>
        <v>0</v>
      </c>
      <c r="AD40" s="64">
        <f t="shared" si="170"/>
        <v>1</v>
      </c>
      <c r="AE40" s="64">
        <f t="shared" si="170"/>
        <v>7</v>
      </c>
      <c r="AF40" s="64">
        <f t="shared" si="170"/>
        <v>10</v>
      </c>
      <c r="AG40" s="64">
        <f t="shared" si="170"/>
        <v>3</v>
      </c>
      <c r="AH40" s="65">
        <f>+VLOOKUP($Z40,$O$39:$V$42,COLUMN()-26,FALSE)</f>
        <v>6.0080039000000003</v>
      </c>
      <c r="AI40" s="51"/>
      <c r="AL40" s="45">
        <f>+LARGE(V39:V42,2)</f>
        <v>6.0080039000000003</v>
      </c>
      <c r="AM40" s="52">
        <f t="shared" ref="AM40:AM42" si="185">+(AH40-AL40)*100000000000000000000</f>
        <v>0</v>
      </c>
      <c r="AP40" s="53" t="str">
        <f>+O40</f>
        <v>Curazao</v>
      </c>
      <c r="AQ40" s="23">
        <f>+P40*3+Q40*1+BT40+CN40+S40/1000+T40/10000</f>
        <v>-1.1900000000000001E-2</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3</v>
      </c>
      <c r="BD40" s="29"/>
      <c r="BE40" s="25" t="str">
        <f>+IF(OR(BF40="-",BI40="-",BF37=0),"-","OK")</f>
        <v>-</v>
      </c>
      <c r="BF40" s="57" t="str">
        <f>+IF(_xlfn.XLOOKUP($E40,$AY:$AY,$AZ:$AZ,"-",0)=BF37,$E40,"-")</f>
        <v>-</v>
      </c>
      <c r="BG40" s="58">
        <f t="shared" si="171"/>
        <v>1</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1</v>
      </c>
      <c r="T41" s="24">
        <f t="shared" ref="T41" si="208">+SUMIF(E39:E44,$O41,F39:F44)+SUMIF(H39:H44,$O41,G39:G44)</f>
        <v>5</v>
      </c>
      <c r="U41" s="24">
        <f t="shared" ref="U41" si="209">+SUMIF(E39:E44,$O41,G39:G44)+SUMIF(H39:H44,$O41,F39:F44)</f>
        <v>4</v>
      </c>
      <c r="V41" s="45">
        <f t="shared" si="182"/>
        <v>3.0015041</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1</v>
      </c>
      <c r="AF41" s="71">
        <f t="shared" si="170"/>
        <v>5</v>
      </c>
      <c r="AG41" s="71">
        <f t="shared" si="170"/>
        <v>4</v>
      </c>
      <c r="AH41" s="72">
        <f>+VLOOKUP($Z41,$O$39:$V$42,COLUMN()-26,FALSE)</f>
        <v>3.0015041</v>
      </c>
      <c r="AI41" s="73">
        <f>+(COUNTIFS($CV$2:$CV$13,Z41,$CX$2:$CX$13,"IN")+COUNTIFS($CV$2:$CV$13,Z41,$CW$2:$CW$13,"IN"))*IF(SUM(AA39:AA42)=12,1,0)</f>
        <v>1</v>
      </c>
      <c r="AL41" s="45">
        <f>+LARGE(V39:V42,3)</f>
        <v>3.0015041</v>
      </c>
      <c r="AM41" s="52">
        <f t="shared" si="185"/>
        <v>0</v>
      </c>
      <c r="AP41" s="53" t="str">
        <f>+O41</f>
        <v>Costa de Marfil</v>
      </c>
      <c r="AQ41" s="23">
        <f>+P41*3+Q41*1+BT41+CN41+S41/1000+T41/10000</f>
        <v>3.0015000000000001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4</v>
      </c>
      <c r="BD41" s="29"/>
      <c r="BE41" s="25" t="str">
        <f>+IF(OR(BF41="-",BI41="-",BF37=0),"-","OK")</f>
        <v>-</v>
      </c>
      <c r="BF41" s="57" t="str">
        <f>+IF(_xlfn.XLOOKUP($E41,$AY:$AY,$AZ:$AZ,"-",0)=BF37,$E41,"-")</f>
        <v>-</v>
      </c>
      <c r="BG41" s="58">
        <f t="shared" si="171"/>
        <v>2</v>
      </c>
      <c r="BH41" s="59">
        <f t="shared" si="172"/>
        <v>1</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3</v>
      </c>
      <c r="G42" s="43">
        <v>1</v>
      </c>
      <c r="H42" s="44" t="s">
        <v>93</v>
      </c>
      <c r="J42" s="24" t="str">
        <f t="shared" si="175"/>
        <v>Ecuador</v>
      </c>
      <c r="K42" s="24" t="str">
        <f t="shared" si="176"/>
        <v/>
      </c>
      <c r="L42" s="24" t="str">
        <f t="shared" si="177"/>
        <v/>
      </c>
      <c r="M42" s="24" t="str">
        <f t="shared" si="178"/>
        <v>Curazao</v>
      </c>
      <c r="O42" s="26" t="str">
        <f>+H40</f>
        <v>Ecuador</v>
      </c>
      <c r="P42" s="24">
        <f>+COUNTIF(J39:J44,"="&amp;$O42)</f>
        <v>3</v>
      </c>
      <c r="Q42" s="24">
        <f>+COUNTIF(K39:L44,"="&amp;$O42)</f>
        <v>0</v>
      </c>
      <c r="R42" s="24">
        <f>+COUNTIF(M39:M44,"="&amp;$O42)</f>
        <v>0</v>
      </c>
      <c r="S42" s="24">
        <f t="shared" si="179"/>
        <v>4</v>
      </c>
      <c r="T42" s="24">
        <f t="shared" ref="T42" si="210">+SUMIF(E39:E44,$O42,F39:F44)+SUMIF(H39:H44,$O42,G39:G44)</f>
        <v>7</v>
      </c>
      <c r="U42" s="24">
        <f t="shared" ref="U42" si="211">+SUMIF(E39:E44,$O42,G39:G44)+SUMIF(H39:H44,$O42,F39:F44)</f>
        <v>3</v>
      </c>
      <c r="V42" s="45">
        <f t="shared" si="182"/>
        <v>9.004704199999999</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-12</v>
      </c>
      <c r="AF42" s="77">
        <f t="shared" si="170"/>
        <v>1</v>
      </c>
      <c r="AG42" s="77">
        <f t="shared" si="170"/>
        <v>13</v>
      </c>
      <c r="AH42" s="78">
        <f>+VLOOKUP($Z42,$O$39:$V$42,COLUMN()-26,FALSE)</f>
        <v>-1.1896E-2</v>
      </c>
      <c r="AI42" s="73"/>
      <c r="AL42" s="45">
        <f>+LARGE(V39:V42,4)</f>
        <v>-1.1896E-2</v>
      </c>
      <c r="AM42" s="52">
        <f t="shared" si="185"/>
        <v>0</v>
      </c>
      <c r="AP42" s="53" t="str">
        <f>+O42</f>
        <v>Ecuador</v>
      </c>
      <c r="AQ42" s="23">
        <f>+P42*3+Q42*1+BT42+CN42+S42/1000+T42/10000</f>
        <v>9.0046999999999997</v>
      </c>
      <c r="AS42" s="54">
        <f t="shared" si="186"/>
        <v>0</v>
      </c>
      <c r="AT42" s="54">
        <f>+IF(AND(AM43="si",OR(AR39=1,AR40=1,AR41=1)),1,0)</f>
        <v>0</v>
      </c>
      <c r="AU42" s="79" t="str">
        <f t="shared" si="187"/>
        <v>Ecuador</v>
      </c>
      <c r="AV42" s="80"/>
      <c r="AX42" s="23" t="str">
        <f>+Y38</f>
        <v>Grupo E</v>
      </c>
      <c r="AY42" s="24" t="str">
        <f t="shared" si="188"/>
        <v>Ecuador</v>
      </c>
      <c r="AZ42" s="29">
        <f t="shared" si="189"/>
        <v>9</v>
      </c>
      <c r="BA42" s="29">
        <f>+COUNTIFS($AX$1:AX42,AX42,$AZ$1:AZ42,AZ42)</f>
        <v>1</v>
      </c>
      <c r="BB42" s="29">
        <f>+IF(AZ42=BF37,ROW()*0.001,AZ42)</f>
        <v>9</v>
      </c>
      <c r="BC42" s="29">
        <f>+COUNTIFS($AX$1:AZ42,AZ42,$AZ$1:BB42,BB42)</f>
        <v>2</v>
      </c>
      <c r="BD42" s="29"/>
      <c r="BE42" s="25" t="str">
        <f>+IF(OR(BF42="-",BI42="-",BF37=0),"-","OK")</f>
        <v>-</v>
      </c>
      <c r="BF42" s="57" t="str">
        <f>+IF(_xlfn.XLOOKUP($E42,$AY:$AY,$AZ:$AZ,"-",0)=BF37,$E42,"-")</f>
        <v>-</v>
      </c>
      <c r="BG42" s="58">
        <f t="shared" si="171"/>
        <v>3</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1</v>
      </c>
      <c r="CC42" s="57" t="str">
        <f>+IF(_xlfn.XLOOKUP($H42,$AY:$AY,$AZ:$AZ,"-",0)=BZ37,$H42,"-")</f>
        <v>Curazao</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2</v>
      </c>
      <c r="G43" s="43">
        <v>1</v>
      </c>
      <c r="H43" s="44" t="s">
        <v>56</v>
      </c>
      <c r="J43" s="24" t="str">
        <f t="shared" si="175"/>
        <v>Ecuador</v>
      </c>
      <c r="K43" s="24" t="str">
        <f t="shared" si="176"/>
        <v/>
      </c>
      <c r="L43" s="24" t="str">
        <f t="shared" si="177"/>
        <v/>
      </c>
      <c r="M43" s="24" t="str">
        <f t="shared" si="178"/>
        <v>Alemania</v>
      </c>
      <c r="AL43" s="25" t="s">
        <v>122</v>
      </c>
      <c r="AM43" s="52" t="str">
        <f>+IF(SUM(AA39:AA42)=12,"si","no")</f>
        <v>si</v>
      </c>
      <c r="BE43" s="25" t="str">
        <f>+IF(OR(BF43="-",BI43="-",BF37=0),"-","OK")</f>
        <v>-</v>
      </c>
      <c r="BF43" s="57" t="str">
        <f>+IF(_xlfn.XLOOKUP($E43,$AY:$AY,$AZ:$AZ,"-",0)=BF37,$E43,"-")</f>
        <v>-</v>
      </c>
      <c r="BG43" s="58">
        <f t="shared" si="171"/>
        <v>2</v>
      </c>
      <c r="BH43" s="59">
        <f t="shared" si="172"/>
        <v>1</v>
      </c>
      <c r="BI43" s="57" t="str">
        <f>+IF(_xlfn.XLOOKUP($H43,$AY:$AY,$AZ:$AZ,"-",0)=BF37,$H43,"-")</f>
        <v>-</v>
      </c>
      <c r="BY43" s="25" t="str">
        <f t="shared" si="198"/>
        <v>-</v>
      </c>
      <c r="BZ43" s="57" t="str">
        <f>+IF(_xlfn.XLOOKUP($E43,$AY:$AY,$AZ:$AZ,"-",0)=BZ37,$E43,"-")</f>
        <v>-</v>
      </c>
      <c r="CA43" s="58">
        <f t="shared" si="173"/>
        <v>2</v>
      </c>
      <c r="CB43" s="59">
        <f t="shared" si="174"/>
        <v>1</v>
      </c>
      <c r="CC43" s="57" t="str">
        <f>+IF(_xlfn.XLOOKUP($H43,$AY:$AY,$AZ:$AZ,"-",0)=BZ37,$H43,"-")</f>
        <v>-</v>
      </c>
    </row>
    <row r="44" spans="1:102" x14ac:dyDescent="0.25">
      <c r="A44" s="38" t="s">
        <v>152</v>
      </c>
      <c r="B44" s="39">
        <v>46198</v>
      </c>
      <c r="C44" s="40"/>
      <c r="D44" s="41"/>
      <c r="E44" s="42" t="s">
        <v>93</v>
      </c>
      <c r="F44" s="43">
        <v>0</v>
      </c>
      <c r="G44" s="43">
        <v>3</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3</v>
      </c>
      <c r="BI44" s="57" t="str">
        <f>+IF(_xlfn.XLOOKUP($H44,$AY:$AY,$AZ:$AZ,"-",0)=BF37,$H44,"-")</f>
        <v>-</v>
      </c>
      <c r="BY44" s="25" t="str">
        <f t="shared" si="198"/>
        <v>-</v>
      </c>
      <c r="BZ44" s="57" t="str">
        <f>+IF(_xlfn.XLOOKUP($E44,$AY:$AY,$AZ:$AZ,"-",0)=BZ37,$E44,"-")</f>
        <v>Curazao</v>
      </c>
      <c r="CA44" s="58">
        <f t="shared" si="173"/>
        <v>0</v>
      </c>
      <c r="CB44" s="59">
        <f t="shared" si="174"/>
        <v>3</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t="str">
        <f>+IF(BA48&gt;1,AZ48,IF(BA49&gt;1,AZ49,IF(BA50&gt;1,AZ50,IF(BA51&gt;1,AZ51,"-"))))</f>
        <v>-</v>
      </c>
      <c r="BW46" s="23">
        <v>10</v>
      </c>
      <c r="BZ46" s="29">
        <f>+IF(BC48&gt;1,BB48,IF(BC49&gt;1,BB49,IF(BC50&gt;1,BB50,IF(BC51&gt;1,BB51,"-"))))</f>
        <v>6</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1</v>
      </c>
      <c r="G48" s="43">
        <v>2</v>
      </c>
      <c r="H48" s="44" t="s">
        <v>64</v>
      </c>
      <c r="J48" s="24" t="str">
        <f>IF(OR(ISBLANK(F48),ISBLANK(G48)),"",IF(F48&gt;G48,E48,IF(G48&gt;F48,H48,"")))</f>
        <v>Japon</v>
      </c>
      <c r="K48" s="24" t="str">
        <f>IF(OR(ISBLANK(F48),ISBLANK(G48)),"",IF(F48=G48,E48,""))</f>
        <v/>
      </c>
      <c r="L48" s="24" t="str">
        <f>IF(OR(ISBLANK(F48),ISBLANK(G48)),"",IF(F48=G48,H48,""))</f>
        <v/>
      </c>
      <c r="M48" s="24" t="str">
        <f>IF(OR(ISBLANK(F48),ISBLANK(G48)),"",IF(F48&lt;G48,E48,IF(G48&lt;F48,H48,"")))</f>
        <v>Paises Bajos</v>
      </c>
      <c r="O48" s="26" t="str">
        <f>+E48</f>
        <v>Paises Bajos</v>
      </c>
      <c r="P48" s="24">
        <f>+COUNTIF(J48:J53,"="&amp;$O48)</f>
        <v>2</v>
      </c>
      <c r="Q48" s="24">
        <f>+COUNTIF(K48:L53,"="&amp;$O48)</f>
        <v>0</v>
      </c>
      <c r="R48" s="24">
        <f>+COUNTIF(M48:M53,"="&amp;$O48)</f>
        <v>1</v>
      </c>
      <c r="S48" s="24">
        <f>+T48-U48</f>
        <v>5</v>
      </c>
      <c r="T48" s="24">
        <f t="shared" ref="T48" si="212">+SUMIF(E48:E53,$O48,F48:F53)+SUMIF(H48:H53,$O48,G48:G53)</f>
        <v>8</v>
      </c>
      <c r="U48" s="24">
        <f t="shared" ref="U48" si="213">+SUMIF(E48:E53,$O48,G48:G53)+SUMIF(H48:H53,$O48,F48:F53)</f>
        <v>3</v>
      </c>
      <c r="V48" s="45">
        <f>+P48*3+Q48*1+BT48+CN48+S48/1000+T48/10000+AV48/1000000+ROW()/10000000</f>
        <v>6.0058047999999999</v>
      </c>
      <c r="W48" s="26" t="str">
        <f>+O48</f>
        <v>Paises Bajos</v>
      </c>
      <c r="Y48" s="46" t="str">
        <f>+CONCATENATE("1",RIGHT(E47,1))</f>
        <v>1F</v>
      </c>
      <c r="Z48" s="47" t="str">
        <f>+VLOOKUP(AL48,V48:W51,2,FALSE)</f>
        <v>Japon</v>
      </c>
      <c r="AA48" s="48">
        <f>+SUM(AB48:AD48)</f>
        <v>3</v>
      </c>
      <c r="AB48" s="49">
        <f t="shared" ref="AB48:AG51" si="214">+VLOOKUP($Z48,$O$48:$U$51,COLUMN()-26,FALSE)</f>
        <v>2</v>
      </c>
      <c r="AC48" s="49">
        <f t="shared" si="214"/>
        <v>1</v>
      </c>
      <c r="AD48" s="49">
        <f t="shared" si="214"/>
        <v>0</v>
      </c>
      <c r="AE48" s="49">
        <f t="shared" si="214"/>
        <v>3</v>
      </c>
      <c r="AF48" s="49">
        <f t="shared" si="214"/>
        <v>5</v>
      </c>
      <c r="AG48" s="49">
        <f t="shared" si="214"/>
        <v>2</v>
      </c>
      <c r="AH48" s="50">
        <f>+VLOOKUP($Z48,$O$48:$V$51,COLUMN()-26,FALSE)</f>
        <v>7.0035049000000003</v>
      </c>
      <c r="AI48" s="51"/>
      <c r="AL48" s="45">
        <f>+LARGE(V48:V51,1)</f>
        <v>7.0035049000000003</v>
      </c>
      <c r="AM48" s="52">
        <f>+(AH48-AL48)*100000000000000000000</f>
        <v>0</v>
      </c>
      <c r="AP48" s="53" t="str">
        <f>+O48</f>
        <v>Paises Bajos</v>
      </c>
      <c r="AQ48" s="23">
        <f>+P48*3+Q48*1+BT48+CN48+S48/1000+T48/10000</f>
        <v>6.0057999999999998</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6</v>
      </c>
      <c r="BA48" s="29">
        <f>+COUNTIFS($AX$1:AX48,AX48,$AZ$1:AZ48,AZ48)</f>
        <v>1</v>
      </c>
      <c r="BB48" s="29">
        <f>+IF(AZ48=BF46,ROW()*0.001,AZ48)</f>
        <v>6</v>
      </c>
      <c r="BC48" s="29">
        <f>+COUNTIFS($AX$1:AZ48,AZ48,$AZ$1:BB48,BB48)</f>
        <v>2</v>
      </c>
      <c r="BD48" s="29"/>
      <c r="BE48" s="25" t="str">
        <f>+IF(OR(BF48="-",BI48="-",BF46=0),"-","OK")</f>
        <v>-</v>
      </c>
      <c r="BF48" s="57" t="str">
        <f>+IF(_xlfn.XLOOKUP($E48,$AY:$AY,$AZ:$AZ,"-",0)=BF46,$E48,"-")</f>
        <v>-</v>
      </c>
      <c r="BG48" s="58">
        <f t="shared" ref="BG48:BG53" si="215">+$F48</f>
        <v>1</v>
      </c>
      <c r="BH48" s="59">
        <f t="shared" ref="BH48:BH53" si="216">+$G48</f>
        <v>2</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1</v>
      </c>
      <c r="G49" s="43">
        <v>1</v>
      </c>
      <c r="H49" s="44" t="s">
        <v>81</v>
      </c>
      <c r="J49" s="24" t="str">
        <f t="shared" ref="J49:J53" si="219">IF(OR(ISBLANK(F49),ISBLANK(G49)),"",IF(F49&gt;G49,E49,IF(G49&gt;F49,H49,"")))</f>
        <v/>
      </c>
      <c r="K49" s="24" t="str">
        <f t="shared" ref="K49:K53" si="220">IF(OR(ISBLANK(F49),ISBLANK(G49)),"",IF(F49=G49,E49,""))</f>
        <v>Suecia</v>
      </c>
      <c r="L49" s="24" t="str">
        <f t="shared" ref="L49:L53" si="221">IF(OR(ISBLANK(F49),ISBLANK(G49)),"",IF(F49=G49,H49,""))</f>
        <v>Tunez</v>
      </c>
      <c r="M49" s="24" t="str">
        <f t="shared" ref="M49:M53" si="222">IF(OR(ISBLANK(F49),ISBLANK(G49)),"",IF(F49&lt;G49,E49,IF(G49&lt;F49,H49,"")))</f>
        <v/>
      </c>
      <c r="O49" s="26" t="str">
        <f>+H48</f>
        <v>Japon</v>
      </c>
      <c r="P49" s="24">
        <f>+COUNTIF(J48:J53,"="&amp;$O49)</f>
        <v>2</v>
      </c>
      <c r="Q49" s="24">
        <f>+COUNTIF(K48:L53,"="&amp;$O49)</f>
        <v>1</v>
      </c>
      <c r="R49" s="24">
        <f>+COUNTIF(M48:M53,"="&amp;$O49)</f>
        <v>0</v>
      </c>
      <c r="S49" s="24">
        <f t="shared" ref="S49:S51" si="223">+T49-U49</f>
        <v>3</v>
      </c>
      <c r="T49" s="24">
        <f t="shared" ref="T49" si="224">+SUMIF(E48:E53,$O49,F48:F53)+SUMIF(H48:H53,$O49,G48:G53)</f>
        <v>5</v>
      </c>
      <c r="U49" s="24">
        <f t="shared" ref="U49" si="225">+SUMIF(E48:E53,$O49,G48:G53)+SUMIF(H48:H53,$O49,F48:F53)</f>
        <v>2</v>
      </c>
      <c r="V49" s="45">
        <f t="shared" ref="V49:V51" si="226">+P49*3+Q49*1+BT49+CN49+S49/1000+T49/10000+AV49/1000000+ROW()/10000000</f>
        <v>7.0035049000000003</v>
      </c>
      <c r="W49" s="26" t="str">
        <f t="shared" ref="W49:W51" si="227">+O49</f>
        <v>Japon</v>
      </c>
      <c r="Y49" s="61" t="str">
        <f>+CONCATENATE("2",RIGHT(E47,1))</f>
        <v>2F</v>
      </c>
      <c r="Z49" s="62" t="str">
        <f>+VLOOKUP(AL49,V48:W51,2,FALSE)</f>
        <v>Paises Bajos</v>
      </c>
      <c r="AA49" s="63">
        <f t="shared" ref="AA49:AA51" si="228">+SUM(AB49:AD49)</f>
        <v>3</v>
      </c>
      <c r="AB49" s="64">
        <f t="shared" si="214"/>
        <v>2</v>
      </c>
      <c r="AC49" s="64">
        <f t="shared" si="214"/>
        <v>0</v>
      </c>
      <c r="AD49" s="64">
        <f t="shared" si="214"/>
        <v>1</v>
      </c>
      <c r="AE49" s="64">
        <f t="shared" si="214"/>
        <v>5</v>
      </c>
      <c r="AF49" s="64">
        <f t="shared" si="214"/>
        <v>8</v>
      </c>
      <c r="AG49" s="64">
        <f t="shared" si="214"/>
        <v>3</v>
      </c>
      <c r="AH49" s="65">
        <f>+VLOOKUP($Z49,$O$48:$V$51,COLUMN()-26,FALSE)</f>
        <v>6.0058047999999999</v>
      </c>
      <c r="AI49" s="51"/>
      <c r="AL49" s="45">
        <f>+LARGE(V48:V51,2)</f>
        <v>6.0058047999999999</v>
      </c>
      <c r="AM49" s="52">
        <f t="shared" ref="AM49:AM51" si="229">+(AH49-AL49)*100000000000000000000</f>
        <v>0</v>
      </c>
      <c r="AP49" s="53" t="str">
        <f>+O49</f>
        <v>Japon</v>
      </c>
      <c r="AQ49" s="23">
        <f>+P49*3+Q49*1+BT49+CN49+S49/1000+T49/10000</f>
        <v>7.0034999999999998</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7</v>
      </c>
      <c r="BA49" s="29">
        <f>+COUNTIFS($AX$1:AX49,AX49,$AZ$1:AZ49,AZ49)</f>
        <v>1</v>
      </c>
      <c r="BB49" s="29">
        <f>+IF(AZ49=BF46,ROW()*0.001,AZ49)</f>
        <v>7</v>
      </c>
      <c r="BC49" s="29">
        <f>+COUNTIFS($AX$1:AZ49,AZ49,$AZ$1:BB49,BB49)</f>
        <v>2</v>
      </c>
      <c r="BD49" s="29"/>
      <c r="BE49" s="25" t="str">
        <f>+IF(OR(BF49="-",BI49="-",BF46=0),"-","OK")</f>
        <v>-</v>
      </c>
      <c r="BF49" s="57" t="str">
        <f>+IF(_xlfn.XLOOKUP($E49,$AY:$AY,$AZ:$AZ,"-",0)=BF46,$E49,"-")</f>
        <v>-</v>
      </c>
      <c r="BG49" s="58">
        <f t="shared" si="215"/>
        <v>1</v>
      </c>
      <c r="BH49" s="59">
        <f t="shared" si="216"/>
        <v>1</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4</v>
      </c>
      <c r="G50" s="43">
        <v>1</v>
      </c>
      <c r="H50" s="44" t="s">
        <v>70</v>
      </c>
      <c r="J50" s="24" t="str">
        <f t="shared" si="219"/>
        <v>Paises Bajos</v>
      </c>
      <c r="K50" s="24" t="str">
        <f t="shared" si="220"/>
        <v/>
      </c>
      <c r="L50" s="24" t="str">
        <f t="shared" si="221"/>
        <v/>
      </c>
      <c r="M50" s="24" t="str">
        <f t="shared" si="222"/>
        <v>Suecia</v>
      </c>
      <c r="O50" s="26" t="str">
        <f>+E49</f>
        <v>Suecia</v>
      </c>
      <c r="P50" s="24">
        <f>+COUNTIF(J48:J53,"="&amp;$O50)</f>
        <v>0</v>
      </c>
      <c r="Q50" s="24">
        <f>+COUNTIF(K48:L53,"="&amp;$O50)</f>
        <v>2</v>
      </c>
      <c r="R50" s="24">
        <f>+COUNTIF(M48:M53,"="&amp;$O50)</f>
        <v>1</v>
      </c>
      <c r="S50" s="24">
        <f t="shared" si="223"/>
        <v>-3</v>
      </c>
      <c r="T50" s="24">
        <f t="shared" ref="T50" si="252">+SUMIF(E48:E53,$O50,F48:F53)+SUMIF(H48:H53,$O50,G48:G53)</f>
        <v>3</v>
      </c>
      <c r="U50" s="24">
        <f t="shared" ref="U50" si="253">+SUMIF(E48:E53,$O50,G48:G53)+SUMIF(H48:H53,$O50,F48:F53)</f>
        <v>6</v>
      </c>
      <c r="V50" s="45">
        <f t="shared" si="226"/>
        <v>1.9973050000000001</v>
      </c>
      <c r="W50" s="26" t="str">
        <f t="shared" si="227"/>
        <v>Suecia</v>
      </c>
      <c r="Y50" s="68" t="str">
        <f>+CONCATENATE("3",RIGHT(E47,1))</f>
        <v>3F</v>
      </c>
      <c r="Z50" s="69" t="str">
        <f>+VLOOKUP(AL50,V48:W51,2,FALSE)</f>
        <v>Suecia</v>
      </c>
      <c r="AA50" s="70">
        <f t="shared" si="228"/>
        <v>3</v>
      </c>
      <c r="AB50" s="71">
        <f t="shared" si="214"/>
        <v>0</v>
      </c>
      <c r="AC50" s="71">
        <f t="shared" si="214"/>
        <v>2</v>
      </c>
      <c r="AD50" s="71">
        <f t="shared" si="214"/>
        <v>1</v>
      </c>
      <c r="AE50" s="71">
        <f t="shared" si="214"/>
        <v>-3</v>
      </c>
      <c r="AF50" s="71">
        <f t="shared" si="214"/>
        <v>3</v>
      </c>
      <c r="AG50" s="71">
        <f t="shared" si="214"/>
        <v>6</v>
      </c>
      <c r="AH50" s="72">
        <f>+VLOOKUP($Z50,$O$48:$V$51,COLUMN()-26,FALSE)</f>
        <v>1.9973050000000001</v>
      </c>
      <c r="AI50" s="73">
        <f>+(COUNTIFS($CV$2:$CV$13,Z50,$CX$2:$CX$13,"IN")+COUNTIFS($CV$2:$CV$13,Z50,$CW$2:$CW$13,"IN"))*IF(SUM(AA48:AA51)=12,1,0)</f>
        <v>0</v>
      </c>
      <c r="AL50" s="45">
        <f>+LARGE(V48:V51,3)</f>
        <v>1.9973050000000001</v>
      </c>
      <c r="AM50" s="52">
        <f t="shared" si="229"/>
        <v>0</v>
      </c>
      <c r="AP50" s="53" t="str">
        <f>+O50</f>
        <v>Suecia</v>
      </c>
      <c r="AQ50" s="23">
        <f>+P50*3+Q50*1+BT50+CN50+S50/1000+T50/10000</f>
        <v>1.9973000000000001</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2</v>
      </c>
      <c r="BA50" s="29">
        <f>+COUNTIFS($AX$1:AX50,AX50,$AZ$1:AZ50,AZ50)</f>
        <v>1</v>
      </c>
      <c r="BB50" s="29">
        <f>+IF(AZ50=BF46,ROW()*0.001,AZ50)</f>
        <v>2</v>
      </c>
      <c r="BC50" s="29">
        <f>+COUNTIFS($AX$1:AZ50,AZ50,$AZ$1:BB50,BB50)</f>
        <v>1</v>
      </c>
      <c r="BD50" s="29"/>
      <c r="BE50" s="25" t="str">
        <f>+IF(OR(BF50="-",BI50="-",BF46=0),"-","OK")</f>
        <v>-</v>
      </c>
      <c r="BF50" s="57" t="str">
        <f>+IF(_xlfn.XLOOKUP($E50,$AY:$AY,$AZ:$AZ,"-",0)=BF46,$E50,"-")</f>
        <v>-</v>
      </c>
      <c r="BG50" s="58">
        <f t="shared" si="215"/>
        <v>4</v>
      </c>
      <c r="BH50" s="59">
        <f t="shared" si="216"/>
        <v>1</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4</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0</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1</v>
      </c>
      <c r="R51" s="24">
        <f>+COUNTIF(M48:M53,"="&amp;$O51)</f>
        <v>2</v>
      </c>
      <c r="S51" s="24">
        <f t="shared" si="223"/>
        <v>-5</v>
      </c>
      <c r="T51" s="24">
        <f t="shared" ref="T51" si="254">+SUMIF(E48:E53,$O51,F48:F53)+SUMIF(H48:H53,$O51,G48:G53)</f>
        <v>1</v>
      </c>
      <c r="U51" s="24">
        <f t="shared" ref="U51" si="255">+SUMIF(E48:E53,$O51,G48:G53)+SUMIF(H48:H53,$O51,F48:F53)</f>
        <v>6</v>
      </c>
      <c r="V51" s="45">
        <f t="shared" si="226"/>
        <v>0.99510509999999996</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-5</v>
      </c>
      <c r="AF51" s="77">
        <f t="shared" si="214"/>
        <v>1</v>
      </c>
      <c r="AG51" s="77">
        <f t="shared" si="214"/>
        <v>6</v>
      </c>
      <c r="AH51" s="78">
        <f>+VLOOKUP($Z51,$O$48:$V$51,COLUMN()-26,FALSE)</f>
        <v>0.99510509999999996</v>
      </c>
      <c r="AI51" s="73"/>
      <c r="AL51" s="45">
        <f>+LARGE(V48:V51,4)</f>
        <v>0.99510509999999996</v>
      </c>
      <c r="AM51" s="52">
        <f t="shared" si="229"/>
        <v>0</v>
      </c>
      <c r="AP51" s="53" t="str">
        <f>+O51</f>
        <v>Tunez</v>
      </c>
      <c r="AQ51" s="23">
        <f>+P51*3+Q51*1+BT51+CN51+S51/1000+T51/10000</f>
        <v>0.99509999999999998</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1</v>
      </c>
      <c r="BB51" s="29">
        <f>+IF(AZ51=BF46,ROW()*0.001,AZ51)</f>
        <v>1</v>
      </c>
      <c r="BC51" s="29">
        <f>+COUNTIFS($AX$1:AZ51,AZ51,$AZ$1:BB51,BB51)</f>
        <v>2</v>
      </c>
      <c r="BD51" s="29"/>
      <c r="BE51" s="25" t="str">
        <f>+IF(OR(BF51="-",BI51="-",BF46=0),"-","OK")</f>
        <v>-</v>
      </c>
      <c r="BF51" s="57" t="str">
        <f>+IF(_xlfn.XLOOKUP($E51,$AY:$AY,$AZ:$AZ,"-",0)=BF46,$E51,"-")</f>
        <v>-</v>
      </c>
      <c r="BG51" s="58">
        <f t="shared" si="215"/>
        <v>0</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v>
      </c>
      <c r="BF52" s="57" t="str">
        <f>+IF(_xlfn.XLOOKUP($E52,$AY:$AY,$AZ:$AZ,"-",0)=BF46,$E52,"-")</f>
        <v>-</v>
      </c>
      <c r="BG52" s="58">
        <f t="shared" si="215"/>
        <v>1</v>
      </c>
      <c r="BH52" s="59">
        <f t="shared" si="216"/>
        <v>1</v>
      </c>
      <c r="BI52" s="57" t="str">
        <f>+IF(_xlfn.XLOOKUP($H52,$AY:$AY,$AZ:$AZ,"-",0)=BF46,$H52,"-")</f>
        <v>-</v>
      </c>
      <c r="BY52" s="25" t="str">
        <f t="shared" si="242"/>
        <v>-</v>
      </c>
      <c r="BZ52" s="57" t="str">
        <f>+IF(_xlfn.XLOOKUP($E52,$AY:$AY,$AZ:$AZ,"-",0)=BZ46,$E52,"-")</f>
        <v>-</v>
      </c>
      <c r="CA52" s="58">
        <f t="shared" si="217"/>
        <v>1</v>
      </c>
      <c r="CB52" s="59">
        <f t="shared" si="218"/>
        <v>1</v>
      </c>
      <c r="CC52" s="57" t="str">
        <f>+IF(_xlfn.XLOOKUP($H52,$AY:$AY,$AZ:$AZ,"-",0)=BZ46,$H52,"-")</f>
        <v>-</v>
      </c>
    </row>
    <row r="53" spans="1:102" x14ac:dyDescent="0.25">
      <c r="A53" s="38" t="s">
        <v>159</v>
      </c>
      <c r="B53" s="39">
        <v>46198</v>
      </c>
      <c r="C53" s="40"/>
      <c r="D53" s="41"/>
      <c r="E53" s="42" t="s">
        <v>81</v>
      </c>
      <c r="F53" s="43">
        <v>0</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3</v>
      </c>
      <c r="BI53" s="57" t="str">
        <f>+IF(_xlfn.XLOOKUP($H53,$AY:$AY,$AZ:$AZ,"-",0)=BF46,$H53,"-")</f>
        <v>-</v>
      </c>
      <c r="BY53" s="25" t="str">
        <f t="shared" si="242"/>
        <v>-</v>
      </c>
      <c r="BZ53" s="57" t="str">
        <f>+IF(_xlfn.XLOOKUP($E53,$AY:$AY,$AZ:$AZ,"-",0)=BZ46,$E53,"-")</f>
        <v>-</v>
      </c>
      <c r="CA53" s="58">
        <f t="shared" si="217"/>
        <v>0</v>
      </c>
      <c r="CB53" s="59">
        <f t="shared" si="218"/>
        <v>3</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t="str">
        <f>+IF(BA57&gt;1,AZ57,IF(BA58&gt;1,AZ58,IF(BA59&gt;1,AZ59,IF(BA60&gt;1,AZ60,"-"))))</f>
        <v>-</v>
      </c>
      <c r="BW55" s="23">
        <v>10</v>
      </c>
      <c r="BZ55" s="29">
        <f>+IF(BC57&gt;1,BB57,IF(BC58&gt;1,BB58,IF(BC59&gt;1,BB59,IF(BC60&gt;1,BB60,"-"))))</f>
        <v>4</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3</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2</v>
      </c>
      <c r="T57" s="24">
        <f t="shared" ref="T57" si="256">+SUMIF(E57:E62,$O57,F57:F62)+SUMIF(H57:H62,$O57,G57:G62)</f>
        <v>6</v>
      </c>
      <c r="U57" s="24">
        <f t="shared" ref="U57" si="257">+SUMIF(E57:E62,$O57,G57:G62)+SUMIF(H57:H62,$O57,F57:F62)</f>
        <v>4</v>
      </c>
      <c r="V57" s="45">
        <f>+P57*3+Q57*1+BT57+CN57+S57/1000+T57/10000+AV57/1000000+ROW()/10000000</f>
        <v>4.0026057000000002</v>
      </c>
      <c r="W57" s="26" t="str">
        <f>+O57</f>
        <v>Iran</v>
      </c>
      <c r="Y57" s="46" t="str">
        <f>+CONCATENATE("1",RIGHT(E56,1))</f>
        <v>1G</v>
      </c>
      <c r="Z57" s="47" t="str">
        <f>+VLOOKUP(AL57,V57:W60,2,FALSE)</f>
        <v>Belgica</v>
      </c>
      <c r="AA57" s="48">
        <f>+SUM(AB57:AD57)</f>
        <v>3</v>
      </c>
      <c r="AB57" s="49">
        <f t="shared" ref="AB57:AG60" si="258">+VLOOKUP($Z57,$O$57:$U$60,COLUMN()-26,FALSE)</f>
        <v>2</v>
      </c>
      <c r="AC57" s="49">
        <f t="shared" si="258"/>
        <v>1</v>
      </c>
      <c r="AD57" s="49">
        <f t="shared" si="258"/>
        <v>0</v>
      </c>
      <c r="AE57" s="49">
        <f t="shared" si="258"/>
        <v>3</v>
      </c>
      <c r="AF57" s="49">
        <f t="shared" si="258"/>
        <v>8</v>
      </c>
      <c r="AG57" s="49">
        <f t="shared" si="258"/>
        <v>5</v>
      </c>
      <c r="AH57" s="50">
        <f>+VLOOKUP($Z57,$O$57:$V$60,COLUMN()-26,FALSE)</f>
        <v>7.0038058999999997</v>
      </c>
      <c r="AI57" s="51"/>
      <c r="AL57" s="45">
        <f>+LARGE(V57:V60,1)</f>
        <v>7.0038058999999997</v>
      </c>
      <c r="AM57" s="52">
        <f>+(AH57-AL57)*100000000000000000000</f>
        <v>0</v>
      </c>
      <c r="AP57" s="53" t="str">
        <f>+O57</f>
        <v>Iran</v>
      </c>
      <c r="AQ57" s="23">
        <f>+P57*3+Q57*1+BT57+CN57+S57/1000+T57/10000</f>
        <v>4.0026000000000002</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4</v>
      </c>
      <c r="BC57" s="29">
        <f>+COUNTIFS($AX$1:AZ57,AZ57,$AZ$1:BB57,BB57)</f>
        <v>3</v>
      </c>
      <c r="BD57" s="29"/>
      <c r="BE57" s="25" t="str">
        <f>+IF(OR(BF57="-",BI57="-",BF55=0),"-","OK")</f>
        <v>-</v>
      </c>
      <c r="BF57" s="57" t="str">
        <f>+IF(_xlfn.XLOOKUP($E57,$AY:$AY,$AZ:$AZ,"-",0)=BF55,$E57,"-")</f>
        <v>-</v>
      </c>
      <c r="BG57" s="58">
        <f t="shared" ref="BG57:BG62" si="259">+$F57</f>
        <v>3</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3</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2</v>
      </c>
      <c r="H58" s="44" t="s">
        <v>75</v>
      </c>
      <c r="J58" s="24" t="str">
        <f t="shared" ref="J58:J62" si="263">IF(OR(ISBLANK(F58),ISBLANK(G58)),"",IF(F58&gt;G58,E58,IF(G58&gt;F58,H58,"")))</f>
        <v/>
      </c>
      <c r="K58" s="24" t="str">
        <f t="shared" ref="K58:K62" si="264">IF(OR(ISBLANK(F58),ISBLANK(G58)),"",IF(F58=G58,E58,""))</f>
        <v>Belgica</v>
      </c>
      <c r="L58" s="24" t="str">
        <f t="shared" ref="L58:L62" si="265">IF(OR(ISBLANK(F58),ISBLANK(G58)),"",IF(F58=G58,H58,""))</f>
        <v>Egipto</v>
      </c>
      <c r="M58" s="24" t="str">
        <f t="shared" ref="M58:M62" si="266">IF(OR(ISBLANK(F58),ISBLANK(G58)),"",IF(F58&lt;G58,E58,IF(G58&lt;F58,H58,"")))</f>
        <v/>
      </c>
      <c r="O58" s="26" t="str">
        <f>+H57</f>
        <v>Nueva Zelanda</v>
      </c>
      <c r="P58" s="24">
        <f>+COUNTIF(J57:J62,"="&amp;$O58)</f>
        <v>0</v>
      </c>
      <c r="Q58" s="24">
        <f>+COUNTIF(K57:L62,"="&amp;$O58)</f>
        <v>0</v>
      </c>
      <c r="R58" s="24">
        <f>+COUNTIF(M57:M62,"="&amp;$O58)</f>
        <v>3</v>
      </c>
      <c r="S58" s="24">
        <f t="shared" ref="S58:S60" si="267">+T58-U58</f>
        <v>-8</v>
      </c>
      <c r="T58" s="24">
        <f t="shared" ref="T58" si="268">+SUMIF(E57:E62,$O58,F57:F62)+SUMIF(H57:H62,$O58,G57:G62)</f>
        <v>1</v>
      </c>
      <c r="U58" s="24">
        <f t="shared" ref="U58" si="269">+SUMIF(E57:E62,$O58,G57:G62)+SUMIF(H57:H62,$O58,F57:F62)</f>
        <v>9</v>
      </c>
      <c r="V58" s="45">
        <f t="shared" ref="V58:V60" si="270">+P58*3+Q58*1+BT58+CN58+S58/1000+T58/10000+AV58/1000000+ROW()/10000000</f>
        <v>-7.8942000000000005E-3</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2</v>
      </c>
      <c r="AD58" s="64">
        <f t="shared" si="258"/>
        <v>0</v>
      </c>
      <c r="AE58" s="64">
        <f t="shared" si="258"/>
        <v>3</v>
      </c>
      <c r="AF58" s="64">
        <f t="shared" si="258"/>
        <v>6</v>
      </c>
      <c r="AG58" s="64">
        <f t="shared" si="258"/>
        <v>3</v>
      </c>
      <c r="AH58" s="65">
        <f>+VLOOKUP($Z58,$O$57:$V$60,COLUMN()-26,FALSE)</f>
        <v>5.0036060000000004</v>
      </c>
      <c r="AI58" s="51"/>
      <c r="AL58" s="45">
        <f>+LARGE(V57:V60,2)</f>
        <v>5.0036060000000004</v>
      </c>
      <c r="AM58" s="52">
        <f t="shared" ref="AM58:AM60" si="273">+(AH58-AL58)*100000000000000000000</f>
        <v>0</v>
      </c>
      <c r="AP58" s="53" t="str">
        <f>+O58</f>
        <v>Nueva Zelanda</v>
      </c>
      <c r="AQ58" s="23">
        <f>+P58*3+Q58*1+BT58+CN58+S58/1000+T58/10000</f>
        <v>-7.9000000000000008E-3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4</v>
      </c>
      <c r="BD58" s="29"/>
      <c r="BE58" s="25" t="str">
        <f>+IF(OR(BF58="-",BI58="-",BF55=0),"-","OK")</f>
        <v>-</v>
      </c>
      <c r="BF58" s="57" t="str">
        <f>+IF(_xlfn.XLOOKUP($E58,$AY:$AY,$AZ:$AZ,"-",0)=BF55,$E58,"-")</f>
        <v>-</v>
      </c>
      <c r="BG58" s="58">
        <f t="shared" si="259"/>
        <v>2</v>
      </c>
      <c r="BH58" s="59">
        <f t="shared" si="260"/>
        <v>2</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2</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3</v>
      </c>
      <c r="G59" s="43">
        <v>2</v>
      </c>
      <c r="H59" s="44" t="s">
        <v>86</v>
      </c>
      <c r="J59" s="24" t="str">
        <f t="shared" si="263"/>
        <v>Belgica</v>
      </c>
      <c r="K59" s="24" t="str">
        <f t="shared" si="264"/>
        <v/>
      </c>
      <c r="L59" s="24" t="str">
        <f t="shared" si="265"/>
        <v/>
      </c>
      <c r="M59" s="24" t="str">
        <f t="shared" si="266"/>
        <v>Iran</v>
      </c>
      <c r="O59" s="26" t="str">
        <f>+E58</f>
        <v>Belgica</v>
      </c>
      <c r="P59" s="24">
        <f>+COUNTIF(J57:J62,"="&amp;$O59)</f>
        <v>2</v>
      </c>
      <c r="Q59" s="24">
        <f>+COUNTIF(K57:L62,"="&amp;$O59)</f>
        <v>1</v>
      </c>
      <c r="R59" s="24">
        <f>+COUNTIF(M57:M62,"="&amp;$O59)</f>
        <v>0</v>
      </c>
      <c r="S59" s="24">
        <f t="shared" si="267"/>
        <v>3</v>
      </c>
      <c r="T59" s="24">
        <f t="shared" ref="T59" si="296">+SUMIF(E57:E62,$O59,F57:F62)+SUMIF(H57:H62,$O59,G57:G62)</f>
        <v>8</v>
      </c>
      <c r="U59" s="24">
        <f t="shared" ref="U59" si="297">+SUMIF(E57:E62,$O59,G57:G62)+SUMIF(H57:H62,$O59,F57:F62)</f>
        <v>5</v>
      </c>
      <c r="V59" s="45">
        <f t="shared" si="270"/>
        <v>7.0038058999999997</v>
      </c>
      <c r="W59" s="26" t="str">
        <f t="shared" si="271"/>
        <v>Belgica</v>
      </c>
      <c r="Y59" s="68" t="str">
        <f>+CONCATENATE("3",RIGHT(E56,1))</f>
        <v>3G</v>
      </c>
      <c r="Z59" s="69" t="str">
        <f>+VLOOKUP(AL59,V57:W60,2,FALSE)</f>
        <v>Iran</v>
      </c>
      <c r="AA59" s="70">
        <f t="shared" si="272"/>
        <v>3</v>
      </c>
      <c r="AB59" s="71">
        <f t="shared" si="258"/>
        <v>1</v>
      </c>
      <c r="AC59" s="71">
        <f t="shared" si="258"/>
        <v>1</v>
      </c>
      <c r="AD59" s="71">
        <f t="shared" si="258"/>
        <v>1</v>
      </c>
      <c r="AE59" s="71">
        <f t="shared" si="258"/>
        <v>2</v>
      </c>
      <c r="AF59" s="71">
        <f t="shared" si="258"/>
        <v>6</v>
      </c>
      <c r="AG59" s="71">
        <f t="shared" si="258"/>
        <v>4</v>
      </c>
      <c r="AH59" s="72">
        <f>+VLOOKUP($Z59,$O$57:$V$60,COLUMN()-26,FALSE)</f>
        <v>4.0026057000000002</v>
      </c>
      <c r="AI59" s="73">
        <f>+(COUNTIFS($CV$2:$CV$13,Z59,$CX$2:$CX$13,"IN")+COUNTIFS($CV$2:$CV$13,Z59,$CW$2:$CW$13,"IN"))*IF(SUM(AA57:AA60)=12,1,0)</f>
        <v>1</v>
      </c>
      <c r="AL59" s="45">
        <f>+LARGE(V57:V60,3)</f>
        <v>4.0026057000000002</v>
      </c>
      <c r="AM59" s="52">
        <f t="shared" si="273"/>
        <v>0</v>
      </c>
      <c r="AP59" s="53" t="str">
        <f>+O59</f>
        <v>Belgica</v>
      </c>
      <c r="AQ59" s="23">
        <f>+P59*3+Q59*1+BT59+CN59+S59/1000+T59/10000</f>
        <v>7.0038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7</v>
      </c>
      <c r="BA59" s="29">
        <f>+COUNTIFS($AX$1:AX59,AX59,$AZ$1:AZ59,AZ59)</f>
        <v>1</v>
      </c>
      <c r="BB59" s="29">
        <f>+IF(AZ59=BF55,ROW()*0.001,AZ59)</f>
        <v>7</v>
      </c>
      <c r="BC59" s="29">
        <f>+COUNTIFS($AX$1:AZ59,AZ59,$AZ$1:BB59,BB59)</f>
        <v>3</v>
      </c>
      <c r="BD59" s="29"/>
      <c r="BE59" s="25" t="str">
        <f>+IF(OR(BF59="-",BI59="-",BF55=0),"-","OK")</f>
        <v>-</v>
      </c>
      <c r="BF59" s="57" t="str">
        <f>+IF(_xlfn.XLOOKUP($E59,$AY:$AY,$AZ:$AZ,"-",0)=BF55,$E59,"-")</f>
        <v>-</v>
      </c>
      <c r="BG59" s="58">
        <f t="shared" si="259"/>
        <v>3</v>
      </c>
      <c r="BH59" s="59">
        <f t="shared" si="260"/>
        <v>2</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3</v>
      </c>
      <c r="CB59" s="59">
        <f t="shared" si="262"/>
        <v>2</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0</v>
      </c>
      <c r="G60" s="43">
        <v>3</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2</v>
      </c>
      <c r="R60" s="24">
        <f>+COUNTIF(M57:M62,"="&amp;$O60)</f>
        <v>0</v>
      </c>
      <c r="S60" s="24">
        <f t="shared" si="267"/>
        <v>3</v>
      </c>
      <c r="T60" s="24">
        <f t="shared" ref="T60" si="298">+SUMIF(E57:E62,$O60,F57:F62)+SUMIF(H57:H62,$O60,G57:G62)</f>
        <v>6</v>
      </c>
      <c r="U60" s="24">
        <f t="shared" ref="U60" si="299">+SUMIF(E57:E62,$O60,G57:G62)+SUMIF(H57:H62,$O60,F57:F62)</f>
        <v>3</v>
      </c>
      <c r="V60" s="45">
        <f t="shared" si="270"/>
        <v>5.0036060000000004</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-8</v>
      </c>
      <c r="AF60" s="77">
        <f t="shared" si="258"/>
        <v>1</v>
      </c>
      <c r="AG60" s="77">
        <f t="shared" si="258"/>
        <v>9</v>
      </c>
      <c r="AH60" s="78">
        <f>+VLOOKUP($Z60,$O$57:$V$60,COLUMN()-26,FALSE)</f>
        <v>-7.8942000000000005E-3</v>
      </c>
      <c r="AI60" s="73"/>
      <c r="AL60" s="45">
        <f>+LARGE(V57:V60,4)</f>
        <v>-7.8942000000000005E-3</v>
      </c>
      <c r="AM60" s="52">
        <f t="shared" si="273"/>
        <v>0</v>
      </c>
      <c r="AP60" s="53" t="str">
        <f>+O60</f>
        <v>Egipto</v>
      </c>
      <c r="AQ60" s="23">
        <f>+P60*3+Q60*1+BT60+CN60+S60/1000+T60/10000</f>
        <v>5.0036000000000005</v>
      </c>
      <c r="AS60" s="54">
        <f t="shared" si="274"/>
        <v>0</v>
      </c>
      <c r="AT60" s="54">
        <f>+IF(AND(AM61="si",OR(AR57=1,AR58=1,AR59=1)),1,0)</f>
        <v>0</v>
      </c>
      <c r="AU60" s="79" t="str">
        <f t="shared" si="275"/>
        <v>Egipto</v>
      </c>
      <c r="AV60" s="80"/>
      <c r="AX60" s="23" t="str">
        <f>+Y56</f>
        <v>Grupo G</v>
      </c>
      <c r="AY60" s="24" t="str">
        <f t="shared" si="276"/>
        <v>Egipto</v>
      </c>
      <c r="AZ60" s="29">
        <f t="shared" si="277"/>
        <v>5</v>
      </c>
      <c r="BA60" s="29">
        <f>+COUNTIFS($AX$1:AX60,AX60,$AZ$1:AZ60,AZ60)</f>
        <v>1</v>
      </c>
      <c r="BB60" s="29">
        <f>+IF(AZ60=BF55,ROW()*0.001,AZ60)</f>
        <v>5</v>
      </c>
      <c r="BC60" s="29">
        <f>+COUNTIFS($AX$1:AZ60,AZ60,$AZ$1:BB60,BB60)</f>
        <v>3</v>
      </c>
      <c r="BD60" s="29"/>
      <c r="BE60" s="25" t="str">
        <f>+IF(OR(BF60="-",BI60="-",BF55=0),"-","OK")</f>
        <v>-</v>
      </c>
      <c r="BF60" s="57" t="str">
        <f>+IF(_xlfn.XLOOKUP($E60,$AY:$AY,$AZ:$AZ,"-",0)=BF55,$E60,"-")</f>
        <v>-</v>
      </c>
      <c r="BG60" s="58">
        <f t="shared" si="259"/>
        <v>0</v>
      </c>
      <c r="BH60" s="59">
        <f t="shared" si="260"/>
        <v>3</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3</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1</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1</v>
      </c>
      <c r="BH61" s="59">
        <f t="shared" si="260"/>
        <v>3</v>
      </c>
      <c r="BI61" s="57" t="str">
        <f>+IF(_xlfn.XLOOKUP($H61,$AY:$AY,$AZ:$AZ,"-",0)=BF55,$H61,"-")</f>
        <v>-</v>
      </c>
      <c r="BY61" s="25" t="str">
        <f t="shared" si="286"/>
        <v>-</v>
      </c>
      <c r="BZ61" s="57" t="str">
        <f>+IF(_xlfn.XLOOKUP($E61,$AY:$AY,$AZ:$AZ,"-",0)=BZ55,$E61,"-")</f>
        <v>-</v>
      </c>
      <c r="CA61" s="58">
        <f t="shared" si="261"/>
        <v>1</v>
      </c>
      <c r="CB61" s="59">
        <f t="shared" si="262"/>
        <v>3</v>
      </c>
      <c r="CC61" s="57" t="str">
        <f>+IF(_xlfn.XLOOKUP($H61,$AY:$AY,$AZ:$AZ,"-",0)=BZ55,$H61,"-")</f>
        <v>-</v>
      </c>
    </row>
    <row r="62" spans="1:102" x14ac:dyDescent="0.25">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1</v>
      </c>
      <c r="BH62" s="59">
        <f t="shared" si="260"/>
        <v>1</v>
      </c>
      <c r="BI62" s="57" t="str">
        <f>+IF(_xlfn.XLOOKUP($H62,$AY:$AY,$AZ:$AZ,"-",0)=BF55,$H62,"-")</f>
        <v>-</v>
      </c>
      <c r="BY62" s="25" t="str">
        <f t="shared" si="286"/>
        <v>-</v>
      </c>
      <c r="BZ62" s="57" t="str">
        <f>+IF(_xlfn.XLOOKUP($E62,$AY:$AY,$AZ:$AZ,"-",0)=BZ55,$E62,"-")</f>
        <v>-</v>
      </c>
      <c r="CA62" s="58">
        <f t="shared" si="261"/>
        <v>1</v>
      </c>
      <c r="CB62" s="59">
        <f t="shared" si="262"/>
        <v>1</v>
      </c>
      <c r="CC62" s="57" t="str">
        <f>+IF(_xlfn.XLOOKUP($H62,$AY:$AY,$AZ:$AZ,"-",0)=BZ55,$H62,"-")</f>
        <v>Iran</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t="str">
        <f>+IF(BA66&gt;1,AZ66,IF(BA67&gt;1,AZ67,IF(BA68&gt;1,AZ68,IF(BA69&gt;1,AZ69,"-"))))</f>
        <v>-</v>
      </c>
      <c r="BW64" s="23">
        <v>10</v>
      </c>
      <c r="BZ64" s="29">
        <f>+IF(BC66&gt;1,BB66,IF(BC67&gt;1,BB67,IF(BC68&gt;1,BB68,IF(BC69&gt;1,BB69,"-"))))</f>
        <v>9</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6</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9</v>
      </c>
      <c r="T66" s="24">
        <f t="shared" ref="T66" si="300">+SUMIF(E66:E71,$O66,F66:F71)+SUMIF(H66:H71,$O66,G66:G71)</f>
        <v>11</v>
      </c>
      <c r="U66" s="24">
        <f t="shared" ref="U66" si="301">+SUMIF(E66:E71,$O66,G66:G71)+SUMIF(H66:H71,$O66,F66:F71)</f>
        <v>2</v>
      </c>
      <c r="V66" s="45">
        <f>+P66*3+Q66*1+BT66+CN66+S66/1000+T66/10000+AV66/1000000+ROW()/10000000</f>
        <v>9.0101066000000003</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9</v>
      </c>
      <c r="AF66" s="49">
        <f t="shared" si="302"/>
        <v>11</v>
      </c>
      <c r="AG66" s="49">
        <f t="shared" si="302"/>
        <v>2</v>
      </c>
      <c r="AH66" s="50">
        <f>+VLOOKUP($Z66,$O$66:$V$69,COLUMN()-26,FALSE)</f>
        <v>9.0101066000000003</v>
      </c>
      <c r="AI66" s="51"/>
      <c r="AL66" s="45">
        <f>+LARGE(V66:V69,1)</f>
        <v>9.0101066000000003</v>
      </c>
      <c r="AM66" s="52">
        <f>+(AH66-AL66)*100000000000000000000</f>
        <v>0</v>
      </c>
      <c r="AP66" s="53" t="str">
        <f>+O66</f>
        <v>España</v>
      </c>
      <c r="AQ66" s="23">
        <f>+P66*3+Q66*1+BT66+CN66+S66/1000+T66/10000</f>
        <v>9.0100999999999996</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3</v>
      </c>
      <c r="BD66" s="29"/>
      <c r="BE66" s="25" t="str">
        <f>+IF(OR(BF66="-",BI66="-",BF64=0),"-","OK")</f>
        <v>-</v>
      </c>
      <c r="BF66" s="57" t="str">
        <f>+IF(_xlfn.XLOOKUP($E66,$AY:$AY,$AZ:$AZ,"-",0)=BF64,$E66,"-")</f>
        <v>-</v>
      </c>
      <c r="BG66" s="58">
        <f t="shared" ref="BG66:BG71" si="303">+$F66</f>
        <v>6</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6</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0</v>
      </c>
      <c r="G67" s="43">
        <v>1</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-13</v>
      </c>
      <c r="T67" s="24">
        <f t="shared" ref="T67" si="312">+SUMIF(E66:E71,$O67,F66:F71)+SUMIF(H66:H71,$O67,G66:G71)</f>
        <v>0</v>
      </c>
      <c r="U67" s="24">
        <f t="shared" ref="U67" si="313">+SUMIF(E66:E71,$O67,G66:G71)+SUMIF(H66:H71,$O67,F66:F71)</f>
        <v>13</v>
      </c>
      <c r="V67" s="45">
        <f t="shared" ref="V67:V69" si="314">+P67*3+Q67*1+BT67+CN67+S67/1000+T67/10000+AV67/1000000+ROW()/10000000</f>
        <v>-1.2993299999999999E-2</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4</v>
      </c>
      <c r="AF67" s="64">
        <f t="shared" si="302"/>
        <v>6</v>
      </c>
      <c r="AG67" s="64">
        <f t="shared" si="302"/>
        <v>2</v>
      </c>
      <c r="AH67" s="65">
        <f>+VLOOKUP($Z67,$O$66:$V$69,COLUMN()-26,FALSE)</f>
        <v>6.0046068999999997</v>
      </c>
      <c r="AI67" s="51"/>
      <c r="AL67" s="45">
        <f>+LARGE(V66:V69,2)</f>
        <v>6.0046068999999997</v>
      </c>
      <c r="AM67" s="52">
        <f t="shared" ref="AM67:AM69" si="317">+(AH67-AL67)*100000000000000000000</f>
        <v>0</v>
      </c>
      <c r="AP67" s="53" t="str">
        <f>+O67</f>
        <v>Cabo Verde</v>
      </c>
      <c r="AQ67" s="23">
        <f>+P67*3+Q67*1+BT67+CN67+S67/1000+T67/10000</f>
        <v>-1.2999999999999999E-2</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5</v>
      </c>
      <c r="BD67" s="29"/>
      <c r="BE67" s="25" t="str">
        <f>+IF(OR(BF67="-",BI67="-",BF64=0),"-","OK")</f>
        <v>-</v>
      </c>
      <c r="BF67" s="57" t="str">
        <f>+IF(_xlfn.XLOOKUP($E67,$AY:$AY,$AZ:$AZ,"-",0)=BF64,$E67,"-")</f>
        <v>-</v>
      </c>
      <c r="BG67" s="58">
        <f t="shared" si="303"/>
        <v>0</v>
      </c>
      <c r="BH67" s="59">
        <f t="shared" si="304"/>
        <v>1</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0</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3</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0</v>
      </c>
      <c r="T68" s="24">
        <f t="shared" ref="T68" si="340">+SUMIF(E66:E71,$O68,F66:F71)+SUMIF(H66:H71,$O68,G66:G71)</f>
        <v>4</v>
      </c>
      <c r="U68" s="24">
        <f t="shared" ref="U68" si="341">+SUMIF(E66:E71,$O68,G66:G71)+SUMIF(H66:H71,$O68,F66:F71)</f>
        <v>4</v>
      </c>
      <c r="V68" s="45">
        <f t="shared" si="314"/>
        <v>3.0004067999999999</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0</v>
      </c>
      <c r="AF68" s="71">
        <f t="shared" si="302"/>
        <v>4</v>
      </c>
      <c r="AG68" s="71">
        <f t="shared" si="302"/>
        <v>4</v>
      </c>
      <c r="AH68" s="72">
        <f>+VLOOKUP($Z68,$O$66:$V$69,COLUMN()-26,FALSE)</f>
        <v>3.0004067999999999</v>
      </c>
      <c r="AI68" s="73">
        <f>+(COUNTIFS($CV$2:$CV$13,Z68,$CX$2:$CX$13,"IN")+COUNTIFS($CV$2:$CV$13,Z68,$CW$2:$CW$13,"IN"))*IF(SUM(AA66:AA69)=12,1,0)</f>
        <v>0</v>
      </c>
      <c r="AL68" s="45">
        <f>+LARGE(V66:V69,3)</f>
        <v>3.0004067999999999</v>
      </c>
      <c r="AM68" s="52">
        <f t="shared" si="317"/>
        <v>0</v>
      </c>
      <c r="AP68" s="53" t="str">
        <f>+O68</f>
        <v>Arabia Saudita</v>
      </c>
      <c r="AQ68" s="23">
        <f>+P68*3+Q68*1+BT68+CN68+S68/1000+T68/10000</f>
        <v>3.0004</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5</v>
      </c>
      <c r="BD68" s="29"/>
      <c r="BE68" s="25" t="str">
        <f>+IF(OR(BF68="-",BI68="-",BF64=0),"-","OK")</f>
        <v>-</v>
      </c>
      <c r="BF68" s="57" t="str">
        <f>+IF(_xlfn.XLOOKUP($E68,$AY:$AY,$AZ:$AZ,"-",0)=BF64,$E68,"-")</f>
        <v>-</v>
      </c>
      <c r="BG68" s="58">
        <f t="shared" si="303"/>
        <v>3</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3</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4</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4</v>
      </c>
      <c r="T69" s="24">
        <f t="shared" ref="T69" si="342">+SUMIF(E66:E71,$O69,F66:F71)+SUMIF(H66:H71,$O69,G66:G71)</f>
        <v>6</v>
      </c>
      <c r="U69" s="24">
        <f t="shared" ref="U69" si="343">+SUMIF(E66:E71,$O69,G66:G71)+SUMIF(H66:H71,$O69,F66:F71)</f>
        <v>2</v>
      </c>
      <c r="V69" s="45">
        <f t="shared" si="314"/>
        <v>6.0046068999999997</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-13</v>
      </c>
      <c r="AF69" s="77">
        <f t="shared" si="302"/>
        <v>0</v>
      </c>
      <c r="AG69" s="77">
        <f t="shared" si="302"/>
        <v>13</v>
      </c>
      <c r="AH69" s="78">
        <f>+VLOOKUP($Z69,$O$66:$V$69,COLUMN()-26,FALSE)</f>
        <v>-1.2993299999999999E-2</v>
      </c>
      <c r="AI69" s="73"/>
      <c r="AL69" s="45">
        <f>+LARGE(V66:V69,4)</f>
        <v>-1.2993299999999999E-2</v>
      </c>
      <c r="AM69" s="52">
        <f t="shared" si="317"/>
        <v>0</v>
      </c>
      <c r="AP69" s="53" t="str">
        <f>+O69</f>
        <v>Uruguay</v>
      </c>
      <c r="AQ69" s="23">
        <f>+P69*3+Q69*1+BT69+CN69+S69/1000+T69/10000</f>
        <v>6.0045999999999999</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3</v>
      </c>
      <c r="BD69" s="29"/>
      <c r="BE69" s="25" t="str">
        <f>+IF(OR(BF69="-",BI69="-",BF64=0),"-","OK")</f>
        <v>-</v>
      </c>
      <c r="BF69" s="57" t="str">
        <f>+IF(_xlfn.XLOOKUP($E69,$AY:$AY,$AZ:$AZ,"-",0)=BF64,$E69,"-")</f>
        <v>-</v>
      </c>
      <c r="BG69" s="58">
        <f t="shared" si="303"/>
        <v>4</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4</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2</v>
      </c>
      <c r="H70" s="44" t="s">
        <v>49</v>
      </c>
      <c r="J70" s="24" t="str">
        <f t="shared" si="307"/>
        <v>España</v>
      </c>
      <c r="K70" s="24" t="str">
        <f t="shared" si="308"/>
        <v/>
      </c>
      <c r="L70" s="24" t="str">
        <f t="shared" si="309"/>
        <v/>
      </c>
      <c r="M70" s="24" t="str">
        <f t="shared" si="310"/>
        <v>Uruguay</v>
      </c>
      <c r="AL70" s="25" t="s">
        <v>122</v>
      </c>
      <c r="AM70" s="52" t="str">
        <f>+IF(SUM(AA66:AA69)=12,"si","no")</f>
        <v>si</v>
      </c>
      <c r="BE70" s="25" t="str">
        <f>+IF(OR(BF70="-",BI70="-",BF64=0),"-","OK")</f>
        <v>-</v>
      </c>
      <c r="BF70" s="57" t="str">
        <f>+IF(_xlfn.XLOOKUP($E70,$AY:$AY,$AZ:$AZ,"-",0)=BF64,$E70,"-")</f>
        <v>-</v>
      </c>
      <c r="BG70" s="58">
        <f t="shared" si="303"/>
        <v>1</v>
      </c>
      <c r="BH70" s="59">
        <f t="shared" si="304"/>
        <v>2</v>
      </c>
      <c r="BI70" s="57" t="str">
        <f>+IF(_xlfn.XLOOKUP($H70,$AY:$AY,$AZ:$AZ,"-",0)=BF64,$H70,"-")</f>
        <v>-</v>
      </c>
      <c r="BY70" s="25" t="str">
        <f t="shared" si="330"/>
        <v>-</v>
      </c>
      <c r="BZ70" s="57" t="str">
        <f>+IF(_xlfn.XLOOKUP($E70,$AY:$AY,$AZ:$AZ,"-",0)=BZ64,$E70,"-")</f>
        <v>-</v>
      </c>
      <c r="CA70" s="58">
        <f t="shared" si="305"/>
        <v>1</v>
      </c>
      <c r="CB70" s="59">
        <f t="shared" si="306"/>
        <v>2</v>
      </c>
      <c r="CC70" s="57" t="str">
        <f>+IF(_xlfn.XLOOKUP($H70,$AY:$AY,$AZ:$AZ,"-",0)=BZ64,$H70,"-")</f>
        <v>España</v>
      </c>
    </row>
    <row r="71" spans="1:102" x14ac:dyDescent="0.25">
      <c r="A71" s="38" t="s">
        <v>173</v>
      </c>
      <c r="B71" s="39">
        <v>46199</v>
      </c>
      <c r="C71" s="40"/>
      <c r="D71" s="41"/>
      <c r="E71" s="42" t="s">
        <v>92</v>
      </c>
      <c r="F71" s="43">
        <v>0</v>
      </c>
      <c r="G71" s="43">
        <v>3</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3</v>
      </c>
      <c r="BI71" s="57" t="str">
        <f>+IF(_xlfn.XLOOKUP($H71,$AY:$AY,$AZ:$AZ,"-",0)=BF64,$H71,"-")</f>
        <v>-</v>
      </c>
      <c r="BY71" s="25" t="str">
        <f t="shared" si="330"/>
        <v>-</v>
      </c>
      <c r="BZ71" s="57" t="str">
        <f>+IF(_xlfn.XLOOKUP($E71,$AY:$AY,$AZ:$AZ,"-",0)=BZ64,$E71,"-")</f>
        <v>-</v>
      </c>
      <c r="CA71" s="58">
        <f t="shared" si="305"/>
        <v>0</v>
      </c>
      <c r="CB71" s="59">
        <f t="shared" si="306"/>
        <v>3</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f>+IF(BA75&gt;1,AZ75,IF(BA76&gt;1,AZ76,IF(BA77&gt;1,AZ77,IF(BA78&gt;1,AZ78,"-"))))</f>
        <v>7</v>
      </c>
      <c r="BW73" s="23">
        <v>10</v>
      </c>
      <c r="BZ73" s="29">
        <f>+IF(BC75&gt;1,BB75,IF(BC76&gt;1,BB76,IF(BC77&gt;1,BB77,IF(BC78&gt;1,BB78,"-"))))</f>
        <v>3</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3</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1</v>
      </c>
      <c r="R75" s="24">
        <f>+COUNTIF(M75:M80,"="&amp;$O75)</f>
        <v>0</v>
      </c>
      <c r="S75" s="24">
        <f>+T75-U75</f>
        <v>5</v>
      </c>
      <c r="T75" s="24">
        <f t="shared" ref="T75" si="344">+SUMIF(E75:E80,$O75,F75:F80)+SUMIF(H75:H80,$O75,G75:G80)</f>
        <v>11</v>
      </c>
      <c r="U75" s="24">
        <f t="shared" ref="U75" si="345">+SUMIF(E75:E80,$O75,G75:G80)+SUMIF(H75:H80,$O75,F75:F80)</f>
        <v>6</v>
      </c>
      <c r="V75" s="45">
        <f>+P75*3+Q75*1+BT75+CN75+S75/1000+T75/10000+AV75/1000000+ROW()/10000000</f>
        <v>7.3061074999999995</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5</v>
      </c>
      <c r="AF75" s="49">
        <f t="shared" ref="AF75:AF78" si="349">+_xlfn.XLOOKUP($Z75,$O:$O,T:T,"Error",0)</f>
        <v>11</v>
      </c>
      <c r="AG75" s="49">
        <f t="shared" ref="AG75:AG78" si="350">+_xlfn.XLOOKUP($Z75,$O:$O,U:U,"Error",0)</f>
        <v>6</v>
      </c>
      <c r="AH75" s="50">
        <f t="shared" ref="AH75:AH78" si="351">+_xlfn.XLOOKUP($Z75,$O:$O,V:V,"Error",0)</f>
        <v>7.3061074999999995</v>
      </c>
      <c r="AI75" s="51"/>
      <c r="AL75" s="45">
        <f>+LARGE(V75:V78,1)</f>
        <v>7.3061074999999995</v>
      </c>
      <c r="AM75" s="52">
        <f>+(AH75-AL75)*100000000000000000000</f>
        <v>0</v>
      </c>
      <c r="AP75" s="53" t="str">
        <f>+O75</f>
        <v>Francia</v>
      </c>
      <c r="AQ75" s="23">
        <f>+P75*3+Q75*1+BT75+CN75+S75/1000+T75/10000</f>
        <v>7.3060999999999998</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7.4999999999999997E-2</v>
      </c>
      <c r="BC75" s="29">
        <f>+COUNTIFS($AX$1:AZ75,AZ75,$AZ$1:BB75,BB75)</f>
        <v>1</v>
      </c>
      <c r="BD75" s="29"/>
      <c r="BE75" s="25" t="str">
        <f>+IF(OR(BF75="-",BI75="-",BF73=0),"-","OK")</f>
        <v>-</v>
      </c>
      <c r="BF75" s="57" t="str">
        <f>+IF(_xlfn.XLOOKUP($E75,$AY:$AY,$AZ:$AZ,"-",0)=BF73,$E75,"-")</f>
        <v>Francia</v>
      </c>
      <c r="BG75" s="58">
        <f t="shared" ref="BG75:BG80" si="352">+$F75</f>
        <v>3</v>
      </c>
      <c r="BH75" s="59">
        <f t="shared" ref="BH75:BH80" si="353">+$G75</f>
        <v>1</v>
      </c>
      <c r="BI75" s="57" t="str">
        <f>+IF(_xlfn.XLOOKUP($H75,$AY:$AY,$AZ:$AZ,"-",0)=BF73,$H75,"-")</f>
        <v>-</v>
      </c>
      <c r="BK75" s="26" t="str">
        <f>+O75</f>
        <v>Francia</v>
      </c>
      <c r="BL75" s="26">
        <f>+COUNTIFS($BE:$BE,"OK",$BI:$BI,BK75)+COUNTIFS($BE:$BE,"OK",$BF:$BF,BK75)</f>
        <v>1</v>
      </c>
      <c r="BM75" s="24">
        <f>+COUNTIFS(J:J,$BK75,$BE:$BE,"OK")</f>
        <v>0</v>
      </c>
      <c r="BN75" s="24">
        <f>+COUNTIFS(K:K,$BK75,$BE:$BE,"OK")+COUNTIFS(L:L,$BK75,$BE:$BE,"OK")</f>
        <v>1</v>
      </c>
      <c r="BO75" s="24">
        <f>+COUNTIFS(M:M,$BK75,$BE:$BE,"OK")</f>
        <v>0</v>
      </c>
      <c r="BP75" s="24">
        <f>+BQ75-BR75</f>
        <v>0</v>
      </c>
      <c r="BQ75" s="24">
        <f>+SUMIFS(BG:BG,$BE:$BE,"OK",BF:BF,$BK75)+SUMIFS(BH:BH,$BE:$BE,"OK",BI:BI,$BK75)</f>
        <v>4</v>
      </c>
      <c r="BR75" s="24">
        <f>+SUMIFS(BH:BH,$BE:$BE,"OK",BF:BF,$BK75)+SUMIFS(BG:BG,$BE:$BE,"OK",BI:BI,$BK75)</f>
        <v>4</v>
      </c>
      <c r="BS75" s="60">
        <f>+BM75*3+BN75*1+BP75/100+BQ75/10000</f>
        <v>1.0004</v>
      </c>
      <c r="BT75" s="29">
        <f>+IF(BL75=0,0,_xlfn.XLOOKUP(BS75,BV75:BV78,BW75:BW78))</f>
        <v>0.3</v>
      </c>
      <c r="BU75" s="45"/>
      <c r="BV75" s="24">
        <f>+LARGE(BS75:BS78,1)</f>
        <v>1.0004</v>
      </c>
      <c r="BW75" s="24">
        <f>+BX75/$BW$1</f>
        <v>0.3</v>
      </c>
      <c r="BX75" s="23">
        <v>3</v>
      </c>
      <c r="BY75" s="25" t="str">
        <f>+IF(OR(BZ75="-",CC75="-"),"-","OK")</f>
        <v>-</v>
      </c>
      <c r="BZ75" s="57" t="str">
        <f>+IF(_xlfn.XLOOKUP($E75,$AY:$AY,$AZ:$AZ,"-",0)=BZ73,$E75,"-")</f>
        <v>-</v>
      </c>
      <c r="CA75" s="58">
        <f t="shared" ref="CA75:CA80" si="354">+$F75</f>
        <v>3</v>
      </c>
      <c r="CB75" s="59">
        <f t="shared" ref="CB75:CB80" si="355">+$G75</f>
        <v>1</v>
      </c>
      <c r="CC75" s="57" t="str">
        <f>+IF(_xlfn.XLOOKUP($H75,$AY:$AY,$AZ:$AZ,"-",0)=BZ73,$H75,"-")</f>
        <v>Senegal</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0</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-1</v>
      </c>
      <c r="T76" s="24">
        <f t="shared" ref="T76" si="361">+SUMIF(E75:E80,$O76,F75:F80)+SUMIF(H75:H80,$O76,G75:G80)</f>
        <v>4</v>
      </c>
      <c r="U76" s="24">
        <f t="shared" ref="U76" si="362">+SUMIF(E75:E80,$O76,G75:G80)+SUMIF(H75:H80,$O76,F75:F80)</f>
        <v>5</v>
      </c>
      <c r="V76" s="45">
        <f t="shared" ref="V76:V78" si="363">+P76*3+Q76*1+BT76+CN76+S76/1000+T76/10000+AV76/1000000+ROW()/10000000</f>
        <v>2.9994076000000001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1</v>
      </c>
      <c r="AD76" s="64">
        <f t="shared" si="347"/>
        <v>0</v>
      </c>
      <c r="AE76" s="64">
        <f t="shared" si="348"/>
        <v>3</v>
      </c>
      <c r="AF76" s="64">
        <f t="shared" si="349"/>
        <v>8</v>
      </c>
      <c r="AG76" s="64">
        <f t="shared" si="350"/>
        <v>5</v>
      </c>
      <c r="AH76" s="65">
        <f t="shared" si="351"/>
        <v>7.3038077999999995</v>
      </c>
      <c r="AI76" s="51"/>
      <c r="AL76" s="45">
        <f>+LARGE(V75:V78,2)</f>
        <v>7.3038077999999995</v>
      </c>
      <c r="AM76" s="52">
        <f t="shared" ref="AM76:AM78" si="367">+(AH76-AL76)*100000000000000000000</f>
        <v>0</v>
      </c>
      <c r="AP76" s="53" t="str">
        <f>+O76</f>
        <v>Senegal</v>
      </c>
      <c r="AQ76" s="23">
        <f>+P76*3+Q76*1+BT76+CN76+S76/1000+T76/10000</f>
        <v>2.9994000000000001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6</v>
      </c>
      <c r="BD76" s="29"/>
      <c r="BE76" s="25" t="str">
        <f>+IF(OR(BF76="-",BI76="-",BF73=0),"-","OK")</f>
        <v>-</v>
      </c>
      <c r="BF76" s="57" t="str">
        <f>+IF(_xlfn.XLOOKUP($E76,$AY:$AY,$AZ:$AZ,"-",0)=BF73,$E76,"-")</f>
        <v>-</v>
      </c>
      <c r="BG76" s="58">
        <f t="shared" si="352"/>
        <v>0</v>
      </c>
      <c r="BH76" s="59">
        <f t="shared" si="353"/>
        <v>2</v>
      </c>
      <c r="BI76" s="57" t="str">
        <f>+IF(_xlfn.XLOOKUP($H76,$AY:$AY,$AZ:$AZ,"-",0)=BF73,$H76,"-")</f>
        <v>Noruega</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1.0004</v>
      </c>
      <c r="BW76" s="24">
        <f>+BX76/$BW$1</f>
        <v>0.2</v>
      </c>
      <c r="BX76" s="23">
        <v>2</v>
      </c>
      <c r="BY76" s="25" t="str">
        <f t="shared" ref="BY76:BY80" si="380">+IF(OR(BZ76="-",CC76="-"),"-","OK")</f>
        <v>-</v>
      </c>
      <c r="BZ76" s="57" t="str">
        <f>+IF(_xlfn.XLOOKUP($E76,$AY:$AY,$AZ:$AZ,"-",0)=BZ73,$E76,"-")</f>
        <v>-</v>
      </c>
      <c r="CA76" s="58">
        <f t="shared" si="354"/>
        <v>0</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4</v>
      </c>
      <c r="G77" s="43">
        <v>1</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-7</v>
      </c>
      <c r="T77" s="24">
        <f t="shared" ref="T77" si="390">+SUMIF(E75:E80,$O77,F75:F80)+SUMIF(H75:H80,$O77,G75:G80)</f>
        <v>1</v>
      </c>
      <c r="U77" s="24">
        <f t="shared" ref="U77" si="391">+SUMIF(E75:E80,$O77,G75:G80)+SUMIF(H75:H80,$O77,F75:F80)</f>
        <v>8</v>
      </c>
      <c r="V77" s="45">
        <f t="shared" si="363"/>
        <v>-6.8922999999999996E-3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-1</v>
      </c>
      <c r="AF77" s="71">
        <f t="shared" si="349"/>
        <v>4</v>
      </c>
      <c r="AG77" s="71">
        <f t="shared" si="350"/>
        <v>5</v>
      </c>
      <c r="AH77" s="72">
        <f t="shared" si="351"/>
        <v>2.9994076000000001</v>
      </c>
      <c r="AI77" s="73">
        <f>+(COUNTIFS($CV$2:$CV$13,Z77,$CX$2:$CX$13,"IN")+COUNTIFS($CV$2:$CV$13,Z77,$CW$2:$CW$13,"IN"))*IF(SUM(AA75:AA78)=12,1,0)</f>
        <v>0</v>
      </c>
      <c r="AL77" s="45">
        <f>+LARGE(V75:V78,3)</f>
        <v>2.9994076000000001</v>
      </c>
      <c r="AM77" s="52">
        <f t="shared" si="367"/>
        <v>0</v>
      </c>
      <c r="AP77" s="53" t="str">
        <f>+O77</f>
        <v>Irak</v>
      </c>
      <c r="AQ77" s="23">
        <f>+P77*3+Q77*1+BT77+CN77+S77/1000+T77/10000</f>
        <v>-6.8999999999999999E-3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6</v>
      </c>
      <c r="BD77" s="29"/>
      <c r="BE77" s="25" t="str">
        <f>+IF(OR(BF77="-",BI77="-",BF73=0),"-","OK")</f>
        <v>-</v>
      </c>
      <c r="BF77" s="57" t="str">
        <f>+IF(_xlfn.XLOOKUP($E77,$AY:$AY,$AZ:$AZ,"-",0)=BF73,$E77,"-")</f>
        <v>Francia</v>
      </c>
      <c r="BG77" s="58">
        <f t="shared" si="352"/>
        <v>4</v>
      </c>
      <c r="BH77" s="59">
        <f t="shared" si="353"/>
        <v>1</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v>
      </c>
      <c r="CA77" s="58">
        <f t="shared" si="354"/>
        <v>4</v>
      </c>
      <c r="CB77" s="59">
        <f t="shared" si="355"/>
        <v>1</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2</v>
      </c>
      <c r="G78" s="43">
        <v>1</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1</v>
      </c>
      <c r="R78" s="24">
        <f>+COUNTIF(M75:M80,"="&amp;$O78)</f>
        <v>0</v>
      </c>
      <c r="S78" s="24">
        <f t="shared" si="360"/>
        <v>3</v>
      </c>
      <c r="T78" s="24">
        <f t="shared" ref="T78" si="392">+SUMIF(E75:E80,$O78,F75:F80)+SUMIF(H75:H80,$O78,G75:G80)</f>
        <v>8</v>
      </c>
      <c r="U78" s="24">
        <f t="shared" ref="U78" si="393">+SUMIF(E75:E80,$O78,G75:G80)+SUMIF(H75:H80,$O78,F75:F80)</f>
        <v>5</v>
      </c>
      <c r="V78" s="45">
        <f t="shared" si="363"/>
        <v>7.3038077999999995</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-7</v>
      </c>
      <c r="AF78" s="77">
        <f t="shared" si="349"/>
        <v>1</v>
      </c>
      <c r="AG78" s="77">
        <f t="shared" si="350"/>
        <v>8</v>
      </c>
      <c r="AH78" s="78">
        <f t="shared" si="351"/>
        <v>-6.8922999999999996E-3</v>
      </c>
      <c r="AI78" s="73"/>
      <c r="AL78" s="45">
        <f>+LARGE(V75:V78,4)</f>
        <v>-6.8922999999999996E-3</v>
      </c>
      <c r="AM78" s="52">
        <f t="shared" si="367"/>
        <v>0</v>
      </c>
      <c r="AP78" s="53" t="str">
        <f>+O78</f>
        <v>Noruega</v>
      </c>
      <c r="AQ78" s="23">
        <f>+P78*3+Q78*1+BT78+CN78+S78/1000+T78/10000</f>
        <v>7.3037999999999998</v>
      </c>
      <c r="AS78" s="54">
        <f t="shared" si="368"/>
        <v>0</v>
      </c>
      <c r="AT78" s="54">
        <f>+IF(AND(AM79="si",OR(AR75=1,AR76=1,AR77=1)),1,0)</f>
        <v>0</v>
      </c>
      <c r="AU78" s="79" t="str">
        <f t="shared" si="369"/>
        <v>Noruega</v>
      </c>
      <c r="AV78" s="80"/>
      <c r="AX78" s="23" t="str">
        <f>+Y74</f>
        <v>Grupo I</v>
      </c>
      <c r="AY78" s="24" t="str">
        <f t="shared" si="370"/>
        <v>Noruega</v>
      </c>
      <c r="AZ78" s="29">
        <f t="shared" si="371"/>
        <v>7</v>
      </c>
      <c r="BA78" s="29">
        <f>+COUNTIFS($AX$1:AX78,AX78,$AZ$1:AZ78,AZ78)</f>
        <v>2</v>
      </c>
      <c r="BB78" s="29">
        <f>+IF(AZ78=BF73,ROW()*0.001,AZ78)</f>
        <v>7.8E-2</v>
      </c>
      <c r="BC78" s="29">
        <f>+COUNTIFS($AX$1:AZ78,AZ78,$AZ$1:BB78,BB78)</f>
        <v>1</v>
      </c>
      <c r="BD78" s="29"/>
      <c r="BE78" s="25" t="str">
        <f>+IF(OR(BF78="-",BI78="-",BF73=0),"-","OK")</f>
        <v>-</v>
      </c>
      <c r="BF78" s="57" t="str">
        <f>+IF(_xlfn.XLOOKUP($E78,$AY:$AY,$AZ:$AZ,"-",0)=BF73,$E78,"-")</f>
        <v>Noruega</v>
      </c>
      <c r="BG78" s="58">
        <f t="shared" si="352"/>
        <v>2</v>
      </c>
      <c r="BH78" s="59">
        <f t="shared" si="353"/>
        <v>1</v>
      </c>
      <c r="BI78" s="57" t="str">
        <f>+IF(_xlfn.XLOOKUP($H78,$AY:$AY,$AZ:$AZ,"-",0)=BF73,$H78,"-")</f>
        <v>-</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4</v>
      </c>
      <c r="BR78" s="24">
        <f t="shared" si="378"/>
        <v>4</v>
      </c>
      <c r="BS78" s="60">
        <f t="shared" si="379"/>
        <v>1.0004</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2</v>
      </c>
      <c r="CB78" s="59">
        <f t="shared" si="355"/>
        <v>1</v>
      </c>
      <c r="CC78" s="57" t="str">
        <f>+IF(_xlfn.XLOOKUP($H78,$AY:$AY,$AZ:$AZ,"-",0)=BZ73,$H78,"-")</f>
        <v>Senegal</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4</v>
      </c>
      <c r="G79" s="43">
        <v>4</v>
      </c>
      <c r="H79" s="44" t="s">
        <v>48</v>
      </c>
      <c r="J79" s="24" t="str">
        <f t="shared" si="356"/>
        <v/>
      </c>
      <c r="K79" s="24" t="str">
        <f t="shared" si="357"/>
        <v>Noruega</v>
      </c>
      <c r="L79" s="24" t="str">
        <f t="shared" si="358"/>
        <v>Francia</v>
      </c>
      <c r="M79" s="24" t="str">
        <f t="shared" si="359"/>
        <v/>
      </c>
      <c r="AL79" s="25" t="s">
        <v>122</v>
      </c>
      <c r="AM79" s="52" t="str">
        <f>+IF(SUM(AA75:AA78)=12,"si","no")</f>
        <v>si</v>
      </c>
      <c r="BE79" s="25" t="str">
        <f>+IF(OR(BF79="-",BI79="-",BF73=0),"-","OK")</f>
        <v>OK</v>
      </c>
      <c r="BF79" s="57" t="str">
        <f>+IF(_xlfn.XLOOKUP($E79,$AY:$AY,$AZ:$AZ,"-",0)=BF73,$E79,"-")</f>
        <v>Noruega</v>
      </c>
      <c r="BG79" s="58">
        <f t="shared" si="352"/>
        <v>4</v>
      </c>
      <c r="BH79" s="59">
        <f t="shared" si="353"/>
        <v>4</v>
      </c>
      <c r="BI79" s="57" t="str">
        <f>+IF(_xlfn.XLOOKUP($H79,$AY:$AY,$AZ:$AZ,"-",0)=BF73,$H79,"-")</f>
        <v>Francia</v>
      </c>
      <c r="BY79" s="25" t="str">
        <f t="shared" si="380"/>
        <v>-</v>
      </c>
      <c r="BZ79" s="57" t="str">
        <f>+IF(_xlfn.XLOOKUP($E79,$AY:$AY,$AZ:$AZ,"-",0)=BZ73,$E79,"-")</f>
        <v>-</v>
      </c>
      <c r="CA79" s="58">
        <f t="shared" si="354"/>
        <v>4</v>
      </c>
      <c r="CB79" s="59">
        <f t="shared" si="355"/>
        <v>4</v>
      </c>
      <c r="CC79" s="57" t="str">
        <f>+IF(_xlfn.XLOOKUP($H79,$AY:$AY,$AZ:$AZ,"-",0)=BZ73,$H79,"-")</f>
        <v>-</v>
      </c>
    </row>
    <row r="80" spans="1:102" x14ac:dyDescent="0.25">
      <c r="A80" s="38" t="s">
        <v>180</v>
      </c>
      <c r="B80" s="39">
        <v>46199</v>
      </c>
      <c r="C80" s="40"/>
      <c r="D80" s="41"/>
      <c r="E80" s="42" t="s">
        <v>61</v>
      </c>
      <c r="F80" s="43">
        <v>2</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0</v>
      </c>
      <c r="BI80" s="57" t="str">
        <f>+IF(_xlfn.XLOOKUP($H80,$AY:$AY,$AZ:$AZ,"-",0)=BF73,$H80,"-")</f>
        <v>-</v>
      </c>
      <c r="BY80" s="25" t="str">
        <f t="shared" si="380"/>
        <v>-</v>
      </c>
      <c r="BZ80" s="57" t="str">
        <f>+IF(_xlfn.XLOOKUP($E80,$AY:$AY,$AZ:$AZ,"-",0)=BZ73,$E80,"-")</f>
        <v>Senegal</v>
      </c>
      <c r="CA80" s="58">
        <f t="shared" si="354"/>
        <v>2</v>
      </c>
      <c r="CB80" s="59">
        <f t="shared" si="355"/>
        <v>0</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4</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2</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5</v>
      </c>
      <c r="T84" s="24">
        <f t="shared" ref="T84" si="394">+SUMIF(E84:E89,$O84,F84:F89)+SUMIF(H84:H89,$O84,G84:G89)</f>
        <v>7</v>
      </c>
      <c r="U84" s="24">
        <f t="shared" ref="U84" si="395">+SUMIF(E84:E89,$O84,G84:G89)+SUMIF(H84:H89,$O84,F84:F89)</f>
        <v>2</v>
      </c>
      <c r="V84" s="45">
        <f>+P84*3+Q84*1+BT84+CN84+S84/1000+T84/10000+AV84/1000000+ROW()/10000000</f>
        <v>9.0057084000000014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5</v>
      </c>
      <c r="AF84" s="49">
        <f t="shared" ref="AF84:AF87" si="399">+_xlfn.XLOOKUP($Z84,$O:$O,T:T,"Error",0)</f>
        <v>7</v>
      </c>
      <c r="AG84" s="49">
        <f t="shared" ref="AG84:AH87" si="400">+_xlfn.XLOOKUP($Z84,$O:$O,U:U,"Error",0)</f>
        <v>2</v>
      </c>
      <c r="AH84" s="50">
        <f t="shared" si="400"/>
        <v>9.0057084000000014</v>
      </c>
      <c r="AI84" s="51"/>
      <c r="AL84" s="45">
        <f>+LARGE(V84:V87,1)</f>
        <v>9.0057084000000014</v>
      </c>
      <c r="AM84" s="52">
        <f>+(AH84-AL84)*100000000000000000000</f>
        <v>0</v>
      </c>
      <c r="AP84" s="53" t="str">
        <f>+O84</f>
        <v>Argentina</v>
      </c>
      <c r="AQ84" s="23">
        <f>+P84*3+Q84*1+BT84+CN84+S84/1000+T84/10000</f>
        <v>9.0057000000000009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4</v>
      </c>
      <c r="BD84" s="29"/>
      <c r="BE84" s="25" t="str">
        <f>+IF(OR(BF84="-",BI84="-",BF82=0),"-","OK")</f>
        <v>-</v>
      </c>
      <c r="BF84" s="57" t="str">
        <f>+IF(_xlfn.XLOOKUP($E84,$AY:$AY,$AZ:$AZ,"-",0)=BF82,$E84,"-")</f>
        <v>-</v>
      </c>
      <c r="BG84" s="58">
        <f t="shared" ref="BG84:BG89" si="401">+$F84</f>
        <v>2</v>
      </c>
      <c r="BH84" s="59">
        <f t="shared" ref="BH84:BH89" si="402">+$G84</f>
        <v>1</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1.0002</v>
      </c>
      <c r="BW84" s="24">
        <f>+BX84/$BW$1</f>
        <v>0.3</v>
      </c>
      <c r="BX84" s="23">
        <v>3</v>
      </c>
      <c r="BY84" s="25" t="str">
        <f t="shared" ref="BY84:BY89" si="403">+IF(OR(BZ84="-",CC84="-"),"-","OK")</f>
        <v>-</v>
      </c>
      <c r="BZ84" s="57" t="str">
        <f>+IF(_xlfn.XLOOKUP($E84,$AY:$AY,$AZ:$AZ,"-",0)=BZ82,$E84,"-")</f>
        <v>Argentina</v>
      </c>
      <c r="CA84" s="58">
        <f t="shared" ref="CA84:CA89" si="404">+$F84</f>
        <v>2</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1</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1</v>
      </c>
      <c r="R85" s="24">
        <f>+COUNTIF(M84:M89,"="&amp;$O85)</f>
        <v>1</v>
      </c>
      <c r="S85" s="24">
        <f t="shared" ref="S85:S87" si="410">+T85-U85</f>
        <v>1</v>
      </c>
      <c r="T85" s="24">
        <f t="shared" ref="T85" si="411">+SUMIF(E84:E89,$O85,F84:F89)+SUMIF(H84:H89,$O85,G84:G89)</f>
        <v>5</v>
      </c>
      <c r="U85" s="24">
        <f t="shared" ref="U85" si="412">+SUMIF(E84:E89,$O85,G84:G89)+SUMIF(H84:H89,$O85,F84:F89)</f>
        <v>4</v>
      </c>
      <c r="V85" s="45">
        <f>+P85*3+Q85*1+BT85+CN85+S85/1000+T85/10000+AV85/1000000+ROW()/10000000</f>
        <v>4.3015084999999997</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1</v>
      </c>
      <c r="AC85" s="49">
        <f t="shared" si="396"/>
        <v>1</v>
      </c>
      <c r="AD85" s="49">
        <f t="shared" si="397"/>
        <v>1</v>
      </c>
      <c r="AE85" s="49">
        <f t="shared" si="398"/>
        <v>1</v>
      </c>
      <c r="AF85" s="49">
        <f t="shared" si="399"/>
        <v>5</v>
      </c>
      <c r="AG85" s="49">
        <f t="shared" si="400"/>
        <v>4</v>
      </c>
      <c r="AH85" s="65">
        <f t="shared" si="400"/>
        <v>4.3015084999999997</v>
      </c>
      <c r="AI85" s="51"/>
      <c r="AL85" s="45">
        <f>+LARGE(V84:V87,2)</f>
        <v>4.3015084999999997</v>
      </c>
      <c r="AM85" s="52">
        <f>+(AH85-AL85)*100000000000000000000</f>
        <v>0</v>
      </c>
      <c r="AP85" s="53" t="str">
        <f>+O85</f>
        <v>Argelia</v>
      </c>
      <c r="AQ85" s="23">
        <f>+P85*3+Q85*1+BT85+CN85+S85/1000+T85/10000</f>
        <v>4.3014999999999999</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401"/>
        <v>1</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2</v>
      </c>
      <c r="BR85" s="24">
        <f>+SUMIFS(BH:BH,$BE:$BE,"OK",BF:BF,$BK85)+SUMIFS(BG:BG,$BE:$BE,"OK",BI:BI,$BK85)</f>
        <v>2</v>
      </c>
      <c r="BS85" s="60">
        <f>+BM85*3+BN85*1+BP85/100+BQ85/10000</f>
        <v>1.0002</v>
      </c>
      <c r="BT85" s="29">
        <f>+IF(BL85=0,0,_xlfn.XLOOKUP(BS85,BV84:BV87,BW84:BW87))</f>
        <v>0.3</v>
      </c>
      <c r="BU85" s="45"/>
      <c r="BV85" s="24">
        <f>+LARGE(BS84:BS87,2)</f>
        <v>1.0002</v>
      </c>
      <c r="BW85" s="24">
        <f>+BX85/$BW$1</f>
        <v>0.2</v>
      </c>
      <c r="BX85" s="23">
        <v>2</v>
      </c>
      <c r="BY85" s="25" t="str">
        <f t="shared" si="403"/>
        <v>-</v>
      </c>
      <c r="BZ85" s="57" t="str">
        <f>+IF(_xlfn.XLOOKUP($E85,$AY:$AY,$AZ:$AZ,"-",0)=BZ82,$E85,"-")</f>
        <v>-</v>
      </c>
      <c r="CA85" s="58">
        <f t="shared" si="404"/>
        <v>1</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3</v>
      </c>
      <c r="G86" s="43">
        <v>1</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-1</v>
      </c>
      <c r="T86" s="24">
        <f t="shared" ref="T86" si="419">+SUMIF(E84:E89,$O86,F84:F89)+SUMIF(H84:H89,$O86,G84:G89)</f>
        <v>4</v>
      </c>
      <c r="U86" s="24">
        <f t="shared" ref="U86" si="420">+SUMIF(E84:E89,$O86,G84:G89)+SUMIF(H84:H89,$O86,F84:F89)</f>
        <v>5</v>
      </c>
      <c r="V86" s="45">
        <f>+P86*3+Q86*1+BT86+CN86+S86/1000+T86/10000+AV86/1000000+ROW()/10000000</f>
        <v>4.2994085999999996</v>
      </c>
      <c r="W86" s="26" t="str">
        <f t="shared" si="413"/>
        <v>Austria</v>
      </c>
      <c r="Y86" s="68" t="str">
        <f>+CONCATENATE("3",RIGHT(E83,1))</f>
        <v>3J</v>
      </c>
      <c r="Z86" s="69" t="str">
        <f>+VLOOKUP(AL86,V84:W87,2,FALSE)</f>
        <v>Austria</v>
      </c>
      <c r="AA86" s="70">
        <f t="shared" si="414"/>
        <v>3</v>
      </c>
      <c r="AB86" s="71">
        <f t="shared" si="415"/>
        <v>1</v>
      </c>
      <c r="AC86" s="71">
        <f t="shared" si="396"/>
        <v>1</v>
      </c>
      <c r="AD86" s="71">
        <f t="shared" si="397"/>
        <v>1</v>
      </c>
      <c r="AE86" s="71">
        <f t="shared" si="398"/>
        <v>-1</v>
      </c>
      <c r="AF86" s="71">
        <f t="shared" si="399"/>
        <v>4</v>
      </c>
      <c r="AG86" s="71">
        <f t="shared" si="400"/>
        <v>5</v>
      </c>
      <c r="AH86" s="72">
        <f t="shared" si="400"/>
        <v>4.2994085999999996</v>
      </c>
      <c r="AI86" s="73">
        <f>+(COUNTIFS($CV$2:$CV$13,Z86,$CX$2:$CX$13,"IN")+COUNTIFS($CV$2:$CV$13,Z86,$CW$2:$CW$13,"IN"))*IF(SUM(AA84:AA87)=12,1,0)</f>
        <v>1</v>
      </c>
      <c r="AL86" s="45">
        <f>+LARGE(V84:V87,3)</f>
        <v>4.2994085999999996</v>
      </c>
      <c r="AM86" s="52">
        <f>+(AH86-AL86)*100000000000000000000</f>
        <v>0</v>
      </c>
      <c r="AP86" s="53" t="str">
        <f>+O86</f>
        <v>Austria</v>
      </c>
      <c r="AQ86" s="23">
        <f>+P86*3+Q86*1+BT86+CN86+S86/1000+T86/10000</f>
        <v>4.2993999999999994</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3</v>
      </c>
      <c r="BH86" s="59">
        <f t="shared" si="402"/>
        <v>1</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2</v>
      </c>
      <c r="BR86" s="24">
        <f>+SUMIFS(BH:BH,$BE:$BE,"OK",BF:BF,$BK86)+SUMIFS(BG:BG,$BE:$BE,"OK",BI:BI,$BK86)</f>
        <v>2</v>
      </c>
      <c r="BS86" s="60">
        <f>+BM86*3+BN86*1+BP86/100+BQ86/10000</f>
        <v>1.0002</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3</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0</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-5</v>
      </c>
      <c r="T87" s="24">
        <f t="shared" ref="T87" si="421">+SUMIF(E84:E89,$O87,F84:F89)+SUMIF(H84:H89,$O87,G84:G89)</f>
        <v>0</v>
      </c>
      <c r="U87" s="24">
        <f t="shared" ref="U87" si="422">+SUMIF(E84:E89,$O87,G84:G89)+SUMIF(H84:H89,$O87,F84:F89)</f>
        <v>5</v>
      </c>
      <c r="V87" s="45">
        <f>+P87*3+Q87*1+BT87+CN87+S87/1000+T87/10000+AV87/1000000+ROW()/10000000</f>
        <v>-4.9912999999999997E-3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-5</v>
      </c>
      <c r="AF87" s="77">
        <f t="shared" si="399"/>
        <v>0</v>
      </c>
      <c r="AG87" s="77">
        <f t="shared" si="400"/>
        <v>5</v>
      </c>
      <c r="AH87" s="78">
        <f t="shared" si="400"/>
        <v>-4.9912999999999997E-3</v>
      </c>
      <c r="AI87" s="73"/>
      <c r="AL87" s="45">
        <f>+LARGE(V84:V87,4)</f>
        <v>-4.9912999999999997E-3</v>
      </c>
      <c r="AM87" s="52">
        <f>+(AH87-AL87)*100000000000000000000</f>
        <v>0</v>
      </c>
      <c r="AP87" s="53" t="str">
        <f>+O87</f>
        <v>Jordania</v>
      </c>
      <c r="AQ87" s="23">
        <f>+P87*3+Q87*1+BT87+CN87+S87/1000+T87/10000</f>
        <v>-5.0000000000000001E-3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7</v>
      </c>
      <c r="BD87" s="29"/>
      <c r="BE87" s="25" t="str">
        <f>+IF(OR(BF87="-",BI87="-",BF82=0),"-","OK")</f>
        <v>-</v>
      </c>
      <c r="BF87" s="57" t="str">
        <f>+IF(_xlfn.XLOOKUP($E87,$AY:$AY,$AZ:$AZ,"-",0)=BF82,$E87,"-")</f>
        <v>-</v>
      </c>
      <c r="BG87" s="58">
        <f t="shared" si="401"/>
        <v>0</v>
      </c>
      <c r="BH87" s="59">
        <f t="shared" si="402"/>
        <v>2</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2</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2</v>
      </c>
      <c r="BI88" s="57" t="str">
        <f>+IF(_xlfn.XLOOKUP($H88,$AY:$AY,$AZ:$AZ,"-",0)=BF82,$H88,"-")</f>
        <v>-</v>
      </c>
      <c r="BY88" s="25" t="str">
        <f t="shared" si="403"/>
        <v>-</v>
      </c>
      <c r="BZ88" s="57" t="str">
        <f>+IF(_xlfn.XLOOKUP($E88,$AY:$AY,$AZ:$AZ,"-",0)=BZ82,$E88,"-")</f>
        <v>-</v>
      </c>
      <c r="CA88" s="58">
        <f t="shared" si="404"/>
        <v>0</v>
      </c>
      <c r="CB88" s="59">
        <f t="shared" si="405"/>
        <v>2</v>
      </c>
      <c r="CC88" s="57" t="str">
        <f>+IF(_xlfn.XLOOKUP($H88,$AY:$AY,$AZ:$AZ,"-",0)=BZ82,$H88,"-")</f>
        <v>Argentina</v>
      </c>
    </row>
    <row r="89" spans="1:102" x14ac:dyDescent="0.25">
      <c r="A89" s="38" t="s">
        <v>187</v>
      </c>
      <c r="B89" s="39">
        <v>46200</v>
      </c>
      <c r="C89" s="40"/>
      <c r="D89" s="41"/>
      <c r="E89" s="42" t="s">
        <v>74</v>
      </c>
      <c r="F89" s="43">
        <v>2</v>
      </c>
      <c r="G89" s="43">
        <v>2</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2</v>
      </c>
      <c r="BH89" s="59">
        <f t="shared" si="402"/>
        <v>2</v>
      </c>
      <c r="BI89" s="57" t="str">
        <f>+IF(_xlfn.XLOOKUP($H89,$AY:$AY,$AZ:$AZ,"-",0)=BF82,$H89,"-")</f>
        <v>Austria</v>
      </c>
      <c r="BY89" s="25" t="str">
        <f t="shared" si="403"/>
        <v>-</v>
      </c>
      <c r="BZ89" s="57" t="str">
        <f>+IF(_xlfn.XLOOKUP($E89,$AY:$AY,$AZ:$AZ,"-",0)=BZ82,$E89,"-")</f>
        <v>-</v>
      </c>
      <c r="CA89" s="58">
        <f t="shared" si="404"/>
        <v>2</v>
      </c>
      <c r="CB89" s="59">
        <f t="shared" si="405"/>
        <v>2</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1</v>
      </c>
      <c r="BW91" s="23">
        <v>10</v>
      </c>
      <c r="BZ91" s="29">
        <f>+IF(BC93&gt;1,BB93,IF(BC94&gt;1,BB94,IF(BC95&gt;1,BB95,IF(BC96&gt;1,BB96,"-"))))</f>
        <v>7</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4</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5</v>
      </c>
      <c r="T93" s="24">
        <f t="shared" ref="T93" si="423">+SUMIF(E93:E98,$O93,F93:F98)+SUMIF(H93:H98,$O93,G93:G98)</f>
        <v>7</v>
      </c>
      <c r="U93" s="24">
        <f t="shared" ref="U93" si="424">+SUMIF(E93:E98,$O93,G93:G98)+SUMIF(H93:H98,$O93,F93:F98)</f>
        <v>2</v>
      </c>
      <c r="V93" s="45">
        <f>+P93*3+Q93*1+BT93+CN93+S93/1000+T93/10000+AV93/1000000+ROW()/10000000</f>
        <v>7.3057093000000002</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5</v>
      </c>
      <c r="AF93" s="49">
        <f t="shared" ref="AF93:AF96" si="428">+_xlfn.XLOOKUP($Z93,$O:$O,T:T,"Error",0)</f>
        <v>7</v>
      </c>
      <c r="AG93" s="49">
        <f t="shared" ref="AG93:AH96" si="429">+_xlfn.XLOOKUP($Z93,$O:$O,U:U,"Error",0)</f>
        <v>2</v>
      </c>
      <c r="AH93" s="50">
        <f t="shared" si="429"/>
        <v>7.3057093000000002</v>
      </c>
      <c r="AI93" s="51"/>
      <c r="AL93" s="45">
        <f>+LARGE(V93:V96,1)</f>
        <v>7.3057093000000002</v>
      </c>
      <c r="AM93" s="52">
        <f>+(AH93-AL93)*100000000000000000000</f>
        <v>0</v>
      </c>
      <c r="AP93" s="53" t="str">
        <f>+O93</f>
        <v>Portugal</v>
      </c>
      <c r="AQ93" s="23">
        <f>+P93*3+Q93*1+BT93+CN93+S93/1000+T93/10000</f>
        <v>7.3056999999999999</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4</v>
      </c>
      <c r="BD93" s="29"/>
      <c r="BE93" s="25" t="str">
        <f>+IF(OR(BF93="-",BI93="-",BF91=0),"-","OK")</f>
        <v>-</v>
      </c>
      <c r="BF93" s="57" t="str">
        <f>+IF(_xlfn.XLOOKUP($E93,$AY:$AY,$AZ:$AZ,"-",0)=BF91,$E93,"-")</f>
        <v>-</v>
      </c>
      <c r="BG93" s="58">
        <f t="shared" ref="BG93:BG98" si="430">+$F93</f>
        <v>4</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4</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1</v>
      </c>
      <c r="CL93" s="24">
        <f>+SUMIFS(CB:CB,$BY:$BY,"OK",BZ:BZ,$BK93)+SUMIFS(CA:CA,$BY:$BY,"OK",CC:CC,$BK93)</f>
        <v>1</v>
      </c>
      <c r="CM93" s="60">
        <f>+CG93*3+CH93*1+CJ93/100+CK93/10000</f>
        <v>1.0001</v>
      </c>
      <c r="CN93" s="29">
        <f>+IF(CF93=0,0,_xlfn.XLOOKUP(CM93,CP93:CP96,CQ93:CQ96))</f>
        <v>0.3</v>
      </c>
      <c r="CO93" s="45"/>
      <c r="CP93" s="24">
        <f>+LARGE(CM93:CM96,1)</f>
        <v>1.0001</v>
      </c>
      <c r="CQ93" s="24">
        <f>+CR93/$BW$1</f>
        <v>0.3</v>
      </c>
      <c r="CR93" s="23">
        <v>3</v>
      </c>
    </row>
    <row r="94" spans="1:102" x14ac:dyDescent="0.25">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-7</v>
      </c>
      <c r="T94" s="24">
        <f t="shared" ref="T94" si="440">+SUMIF(E93:E98,$O94,F93:F98)+SUMIF(H93:H98,$O94,G93:G98)</f>
        <v>1</v>
      </c>
      <c r="U94" s="24">
        <f t="shared" ref="U94" si="441">+SUMIF(E93:E98,$O94,G93:G98)+SUMIF(H93:H98,$O94,F93:F98)</f>
        <v>8</v>
      </c>
      <c r="V94" s="45">
        <f t="shared" ref="V94:V96" si="442">+P94*3+Q94*1+BT94+CN94+S94/1000+T94/10000+AV94/1000000+ROW()/10000000</f>
        <v>1.2931094000000001</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5</v>
      </c>
      <c r="AF94" s="49">
        <f t="shared" si="428"/>
        <v>6</v>
      </c>
      <c r="AG94" s="49">
        <f t="shared" si="429"/>
        <v>1</v>
      </c>
      <c r="AH94" s="65">
        <f t="shared" si="429"/>
        <v>7.3056096000000004</v>
      </c>
      <c r="AI94" s="51"/>
      <c r="AL94" s="45">
        <f>+LARGE(V93:V96,2)</f>
        <v>7.3056096000000004</v>
      </c>
      <c r="AM94" s="52">
        <f>+(AH94-AL94)*100000000000000000000</f>
        <v>0</v>
      </c>
      <c r="AP94" s="53" t="str">
        <f>+O94</f>
        <v>Congo</v>
      </c>
      <c r="AQ94" s="23">
        <f>+P94*3+Q94*1+BT94+CN94+S94/1000+T94/10000</f>
        <v>1.2931000000000001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1.0001</v>
      </c>
      <c r="CQ94" s="24">
        <f>+CR94/$BW$1</f>
        <v>0.2</v>
      </c>
      <c r="CR94" s="23">
        <v>2</v>
      </c>
    </row>
    <row r="95" spans="1:102" x14ac:dyDescent="0.25">
      <c r="A95" s="38" t="s">
        <v>191</v>
      </c>
      <c r="B95" s="39">
        <v>46196</v>
      </c>
      <c r="C95" s="40"/>
      <c r="D95" s="41"/>
      <c r="E95" s="42" t="s">
        <v>52</v>
      </c>
      <c r="F95" s="43">
        <v>2</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-3</v>
      </c>
      <c r="T95" s="24">
        <f t="shared" ref="T95" si="449">+SUMIF(E93:E98,$O95,F93:F98)+SUMIF(H93:H98,$O95,G93:G98)</f>
        <v>2</v>
      </c>
      <c r="U95" s="24">
        <f t="shared" ref="U95" si="450">+SUMIF(E93:E98,$O95,G93:G98)+SUMIF(H93:H98,$O95,F93:F98)</f>
        <v>5</v>
      </c>
      <c r="V95" s="45">
        <f t="shared" si="442"/>
        <v>1.2972095000000001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-3</v>
      </c>
      <c r="AF95" s="71">
        <f t="shared" si="428"/>
        <v>2</v>
      </c>
      <c r="AG95" s="71">
        <f t="shared" si="429"/>
        <v>5</v>
      </c>
      <c r="AH95" s="72">
        <f t="shared" si="429"/>
        <v>1.2972095000000001</v>
      </c>
      <c r="AI95" s="73">
        <f>+(COUNTIFS($CV$2:$CV$13,Z95,$CX$2:$CX$13,"IN")+COUNTIFS($CV$2:$CV$13,Z95,$CW$2:$CW$13,"IN"))*IF(SUM(AA93:AA96)=12,1,0)</f>
        <v>0</v>
      </c>
      <c r="AL95" s="45">
        <f>+LARGE(V93:V96,3)</f>
        <v>1.2972095000000001</v>
      </c>
      <c r="AM95" s="52">
        <f>+(AH95-AL95)*100000000000000000000</f>
        <v>0</v>
      </c>
      <c r="AP95" s="53" t="str">
        <f>+O95</f>
        <v>Uzbekistan</v>
      </c>
      <c r="AQ95" s="23">
        <f>+P95*3+Q95*1+BT95+CN95+S95/1000+T95/10000</f>
        <v>1.2972000000000001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2</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2</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3</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5</v>
      </c>
      <c r="T96" s="24">
        <f t="shared" ref="T96" si="451">+SUMIF(E93:E98,$O96,F93:F98)+SUMIF(H93:H98,$O96,G93:G98)</f>
        <v>6</v>
      </c>
      <c r="U96" s="24">
        <f t="shared" ref="U96" si="452">+SUMIF(E93:E98,$O96,G93:G98)+SUMIF(H93:H98,$O96,F93:F98)</f>
        <v>1</v>
      </c>
      <c r="V96" s="45">
        <f t="shared" si="442"/>
        <v>7.3056096000000004</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-7</v>
      </c>
      <c r="AF96" s="77">
        <f t="shared" si="428"/>
        <v>1</v>
      </c>
      <c r="AG96" s="77">
        <f t="shared" si="429"/>
        <v>8</v>
      </c>
      <c r="AH96" s="78">
        <f t="shared" si="429"/>
        <v>1.2931094000000001</v>
      </c>
      <c r="AI96" s="73"/>
      <c r="AL96" s="45">
        <f>+LARGE(V93:V96,4)</f>
        <v>1.2931094000000001</v>
      </c>
      <c r="AM96" s="52">
        <f>+(AH96-AL96)*100000000000000000000</f>
        <v>0</v>
      </c>
      <c r="AP96" s="53" t="str">
        <f>+O96</f>
        <v>Colombia</v>
      </c>
      <c r="AQ96" s="23">
        <f>+P96*3+Q96*1+BT96+CN96+S96/1000+T96/10000</f>
        <v>7.3056000000000001</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5</v>
      </c>
      <c r="BD96" s="29"/>
      <c r="BE96" s="25" t="str">
        <f>+IF(OR(BF96="-",BI96="-",BF91=0),"-","OK")</f>
        <v>-</v>
      </c>
      <c r="BF96" s="57" t="str">
        <f>+IF(_xlfn.XLOOKUP($E96,$AY:$AY,$AZ:$AZ,"-",0)=BF91,$E96,"-")</f>
        <v>-</v>
      </c>
      <c r="BG96" s="58">
        <f t="shared" si="430"/>
        <v>3</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3</v>
      </c>
      <c r="CB96" s="59">
        <f t="shared" si="434"/>
        <v>0</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1</v>
      </c>
      <c r="CL96" s="24">
        <f>+SUMIFS(CB:CB,$BY:$BY,"OK",BZ:BZ,$BK96)+SUMIFS(CA:CA,$BY:$BY,"OK",CC:CC,$BK96)</f>
        <v>1</v>
      </c>
      <c r="CM96" s="60">
        <f>+CG96*3+CH96*1+CJ96/100+CK96/10000</f>
        <v>1.0001</v>
      </c>
      <c r="CN96" s="29">
        <f>+IF(CF96=0,0,_xlfn.XLOOKUP(CM96,CP93:CP96,CQ93:CQ96))</f>
        <v>0.3</v>
      </c>
      <c r="CO96" s="45"/>
      <c r="CP96" s="24">
        <f>+LARGE(CM93:CM96,4)</f>
        <v>0</v>
      </c>
      <c r="CQ96" s="24">
        <f>+CR96/$BW$1</f>
        <v>0</v>
      </c>
      <c r="CR96" s="23">
        <v>0</v>
      </c>
    </row>
    <row r="97" spans="1:102" x14ac:dyDescent="0.25">
      <c r="A97" s="38" t="s">
        <v>193</v>
      </c>
      <c r="B97" s="39">
        <v>46200</v>
      </c>
      <c r="C97" s="40"/>
      <c r="D97" s="41"/>
      <c r="E97" s="42" t="s">
        <v>60</v>
      </c>
      <c r="F97" s="43">
        <v>1</v>
      </c>
      <c r="G97" s="43">
        <v>1</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1</v>
      </c>
      <c r="BH97" s="59">
        <f t="shared" si="431"/>
        <v>1</v>
      </c>
      <c r="BI97" s="57" t="str">
        <f>+IF(_xlfn.XLOOKUP($H97,$AY:$AY,$AZ:$AZ,"-",0)=BF91,$H97,"-")</f>
        <v>-</v>
      </c>
      <c r="BY97" s="25" t="str">
        <f t="shared" si="432"/>
        <v>OK</v>
      </c>
      <c r="BZ97" s="57" t="str">
        <f>+IF(_xlfn.XLOOKUP($E97,$AY:$AY,$AZ:$AZ,"-",0)=BZ91,$E97,"-")</f>
        <v>Colombia</v>
      </c>
      <c r="CA97" s="58">
        <f t="shared" si="433"/>
        <v>1</v>
      </c>
      <c r="CB97" s="59">
        <f t="shared" si="434"/>
        <v>1</v>
      </c>
      <c r="CC97" s="57" t="str">
        <f>+IF(_xlfn.XLOOKUP($H97,$AY:$AY,$AZ:$AZ,"-",0)=BZ91,$H97,"-")</f>
        <v>Portugal</v>
      </c>
    </row>
    <row r="98" spans="1:102" x14ac:dyDescent="0.25">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7</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2</v>
      </c>
      <c r="H102" s="44"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2</v>
      </c>
      <c r="Q102" s="24">
        <f>+COUNTIF(K102:L107,"="&amp;$O102)</f>
        <v>1</v>
      </c>
      <c r="R102" s="24">
        <f>+COUNTIF(M102:M107,"="&amp;$O102)</f>
        <v>0</v>
      </c>
      <c r="S102" s="24">
        <f>+T102-U102</f>
        <v>3</v>
      </c>
      <c r="T102" s="24">
        <f t="shared" ref="T102" si="453">+SUMIF(E102:E107,$O102,F102:F107)+SUMIF(H102:H107,$O102,G102:G107)</f>
        <v>7</v>
      </c>
      <c r="U102" s="24">
        <f t="shared" ref="U102" si="454">+SUMIF(E102:E107,$O102,G102:G107)+SUMIF(H102:H107,$O102,F102:F107)</f>
        <v>4</v>
      </c>
      <c r="V102" s="45">
        <f>+P102*3+Q102*1+BT102+CN102+S102/1000+T102/10000+AV102/1000000+ROW()/10000000</f>
        <v>7.0037132000000009</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3</v>
      </c>
      <c r="AF102" s="49">
        <f t="shared" ref="AF102:AF105" si="458">+_xlfn.XLOOKUP($Z102,$O:$O,T:T,"Error",0)</f>
        <v>7</v>
      </c>
      <c r="AG102" s="49">
        <f t="shared" ref="AG102:AH105" si="459">+_xlfn.XLOOKUP($Z102,$O:$O,U:U,"Error",0)</f>
        <v>4</v>
      </c>
      <c r="AH102" s="50">
        <f t="shared" si="459"/>
        <v>7.0037132000000009</v>
      </c>
      <c r="AI102" s="51"/>
      <c r="AL102" s="45">
        <f>+LARGE(V102:V105,1)</f>
        <v>7.0037132000000009</v>
      </c>
      <c r="AM102" s="52">
        <f>+(AH102-AL102)*100000000000000000000</f>
        <v>0</v>
      </c>
      <c r="AP102" s="53" t="str">
        <f>+O102</f>
        <v>Inglaterra</v>
      </c>
      <c r="AQ102" s="23">
        <f>+P102*3+Q102*1+BT102+CN102+S102/1000+T102/10000</f>
        <v>7.0037000000000003</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7</v>
      </c>
      <c r="BC102" s="29">
        <f>+COUNTIFS($AX$1:AZ102,AZ102,$AZ$1:BB102,BB102)</f>
        <v>6</v>
      </c>
      <c r="BD102" s="29"/>
      <c r="BE102" s="25" t="str">
        <f>+IF(OR(BF102="-",BI102="-",BF100=0),"-","OK")</f>
        <v>-</v>
      </c>
      <c r="BF102" s="57" t="str">
        <f>+IF(_xlfn.XLOOKUP($E102,$AY:$AY,$AZ:$AZ,"-",0)=BF100,$E102,"-")</f>
        <v>-</v>
      </c>
      <c r="BG102" s="58">
        <f t="shared" ref="BG102:BG107" si="460">+$F102</f>
        <v>2</v>
      </c>
      <c r="BH102" s="59">
        <f t="shared" ref="BH102:BH107" si="461">+$G102</f>
        <v>2</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2</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1</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1</v>
      </c>
      <c r="Q103" s="24">
        <f>+COUNTIF(K102:L107,"="&amp;$O103)</f>
        <v>1</v>
      </c>
      <c r="R103" s="24">
        <f>+COUNTIF(M102:M107,"="&amp;$O103)</f>
        <v>1</v>
      </c>
      <c r="S103" s="24">
        <f t="shared" ref="S103:S105" si="469">+T103-U103</f>
        <v>1</v>
      </c>
      <c r="T103" s="24">
        <f t="shared" ref="T103" si="470">+SUMIF(E102:E107,$O103,F102:F107)+SUMIF(H102:H107,$O103,G102:G107)</f>
        <v>6</v>
      </c>
      <c r="U103" s="24">
        <f t="shared" ref="U103" si="471">+SUMIF(E102:E107,$O103,G102:G107)+SUMIF(H102:H107,$O103,F102:F107)</f>
        <v>5</v>
      </c>
      <c r="V103" s="45">
        <f t="shared" ref="V103:V105" si="472">+P103*3+Q103*1+BT103+CN103+S103/1000+T103/10000+AV103/1000000+ROW()/10000000</f>
        <v>4.0016103000000003</v>
      </c>
      <c r="W103" s="26" t="str">
        <f t="shared" ref="W103:W105" si="473">+O103</f>
        <v>Croacia</v>
      </c>
      <c r="Y103" s="61" t="str">
        <f>+CONCATENATE("2",RIGHT(E101,1))</f>
        <v>2L</v>
      </c>
      <c r="Z103" s="62" t="str">
        <f>+VLOOKUP(AL103,V102:W105,2,FALSE)</f>
        <v>Ghana</v>
      </c>
      <c r="AA103" s="63">
        <f t="shared" ref="AA103:AA105" si="474">+SUM(AB103:AD103)</f>
        <v>3</v>
      </c>
      <c r="AB103" s="49">
        <f t="shared" ref="AB103:AB105" si="475">+_xlfn.XLOOKUP($Z103,$O:$O,P:P,"Error",0)</f>
        <v>2</v>
      </c>
      <c r="AC103" s="49">
        <f t="shared" si="455"/>
        <v>0</v>
      </c>
      <c r="AD103" s="49">
        <f t="shared" si="456"/>
        <v>1</v>
      </c>
      <c r="AE103" s="49">
        <f t="shared" si="457"/>
        <v>1</v>
      </c>
      <c r="AF103" s="49">
        <f t="shared" si="458"/>
        <v>6</v>
      </c>
      <c r="AG103" s="49">
        <f t="shared" si="459"/>
        <v>5</v>
      </c>
      <c r="AH103" s="65">
        <f t="shared" si="459"/>
        <v>6.0016104000000006</v>
      </c>
      <c r="AI103" s="51"/>
      <c r="AL103" s="45">
        <f>+LARGE(V102:V105,2)</f>
        <v>6.0016104000000006</v>
      </c>
      <c r="AM103" s="52">
        <f>+(AH103-AL103)*100000000000000000000</f>
        <v>0</v>
      </c>
      <c r="AP103" s="53" t="str">
        <f>+O103</f>
        <v>Croacia</v>
      </c>
      <c r="AQ103" s="23">
        <f>+P103*3+Q103*1+BT103+CN103+S103/1000+T103/10000</f>
        <v>4.0016000000000007</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4</v>
      </c>
      <c r="BC103" s="29">
        <f>+COUNTIFS($AX$1:AZ103,AZ103,$AZ$1:BB103,BB103)</f>
        <v>4</v>
      </c>
      <c r="BD103" s="29"/>
      <c r="BE103" s="25" t="str">
        <f>+IF(OR(BF103="-",BI103="-",BF100=0),"-","OK")</f>
        <v>-</v>
      </c>
      <c r="BF103" s="57" t="str">
        <f>+IF(_xlfn.XLOOKUP($E103,$AY:$AY,$AZ:$AZ,"-",0)=BF100,$E103,"-")</f>
        <v>-</v>
      </c>
      <c r="BG103" s="58">
        <f t="shared" si="460"/>
        <v>2</v>
      </c>
      <c r="BH103" s="59">
        <f t="shared" si="461"/>
        <v>1</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3</v>
      </c>
      <c r="G104" s="43">
        <v>2</v>
      </c>
      <c r="H104" s="44" t="s">
        <v>85</v>
      </c>
      <c r="J104" s="24" t="str">
        <f t="shared" si="465"/>
        <v>Inglaterra</v>
      </c>
      <c r="K104" s="24" t="str">
        <f t="shared" si="466"/>
        <v/>
      </c>
      <c r="L104" s="24" t="str">
        <f t="shared" si="467"/>
        <v/>
      </c>
      <c r="M104" s="24" t="str">
        <f t="shared" si="468"/>
        <v>Ghana</v>
      </c>
      <c r="O104" s="26" t="str">
        <f>+E103</f>
        <v>Ghana</v>
      </c>
      <c r="P104" s="24">
        <f>+COUNTIF(J102:J107,"="&amp;$O104)</f>
        <v>2</v>
      </c>
      <c r="Q104" s="24">
        <f>+COUNTIF(K102:L107,"="&amp;$O104)</f>
        <v>0</v>
      </c>
      <c r="R104" s="24">
        <f>+COUNTIF(M102:M107,"="&amp;$O104)</f>
        <v>1</v>
      </c>
      <c r="S104" s="24">
        <f t="shared" si="469"/>
        <v>1</v>
      </c>
      <c r="T104" s="24">
        <f t="shared" ref="T104" si="479">+SUMIF(E102:E107,$O104,F102:F107)+SUMIF(H102:H107,$O104,G102:G107)</f>
        <v>6</v>
      </c>
      <c r="U104" s="24">
        <f t="shared" ref="U104" si="480">+SUMIF(E102:E107,$O104,G102:G107)+SUMIF(H102:H107,$O104,F102:F107)</f>
        <v>5</v>
      </c>
      <c r="V104" s="45">
        <f t="shared" si="472"/>
        <v>6.0016104000000006</v>
      </c>
      <c r="W104" s="26" t="str">
        <f t="shared" si="473"/>
        <v>Ghana</v>
      </c>
      <c r="Y104" s="68" t="str">
        <f>+CONCATENATE("3",RIGHT(E101,1))</f>
        <v>3L</v>
      </c>
      <c r="Z104" s="69" t="str">
        <f>+VLOOKUP(AL104,V102:W105,2,FALSE)</f>
        <v>Croacia</v>
      </c>
      <c r="AA104" s="70">
        <f t="shared" si="474"/>
        <v>3</v>
      </c>
      <c r="AB104" s="71">
        <f t="shared" si="475"/>
        <v>1</v>
      </c>
      <c r="AC104" s="71">
        <f t="shared" si="455"/>
        <v>1</v>
      </c>
      <c r="AD104" s="71">
        <f t="shared" si="456"/>
        <v>1</v>
      </c>
      <c r="AE104" s="71">
        <f t="shared" si="457"/>
        <v>1</v>
      </c>
      <c r="AF104" s="71">
        <f t="shared" si="458"/>
        <v>6</v>
      </c>
      <c r="AG104" s="71">
        <f t="shared" si="459"/>
        <v>5</v>
      </c>
      <c r="AH104" s="72">
        <f t="shared" si="459"/>
        <v>4.0016103000000003</v>
      </c>
      <c r="AI104" s="73">
        <f>+(COUNTIFS($CV$2:$CV$13,Z104,$CX$2:$CX$13,"IN")+COUNTIFS($CV$2:$CV$13,Z104,$CW$2:$CW$13,"IN"))*IF(SUM(AA102:AA105)=12,1,0)</f>
        <v>1</v>
      </c>
      <c r="AL104" s="45">
        <f>+LARGE(V102:V105,3)</f>
        <v>4.0016103000000003</v>
      </c>
      <c r="AM104" s="52">
        <f>+(AH104-AL104)*100000000000000000000</f>
        <v>0</v>
      </c>
      <c r="AP104" s="53" t="str">
        <f>+O104</f>
        <v>Ghana</v>
      </c>
      <c r="AQ104" s="23">
        <f>+P104*3+Q104*1+BT104+CN104+S104/1000+T104/10000</f>
        <v>6.0016000000000007</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6</v>
      </c>
      <c r="BA104" s="29">
        <f>+COUNTIFS($AX$1:AX104,AX104,$AZ$1:AZ104,AZ104)</f>
        <v>1</v>
      </c>
      <c r="BB104" s="29">
        <f>+IF(AZ104=BF100,ROW()*0.001,AZ104)</f>
        <v>6</v>
      </c>
      <c r="BC104" s="29">
        <f>+COUNTIFS($AX$1:AZ104,AZ104,$AZ$1:BB104,BB104)</f>
        <v>4</v>
      </c>
      <c r="BD104" s="29"/>
      <c r="BE104" s="25" t="str">
        <f>+IF(OR(BF104="-",BI104="-",BF100=0),"-","OK")</f>
        <v>-</v>
      </c>
      <c r="BF104" s="57" t="str">
        <f>+IF(_xlfn.XLOOKUP($E104,$AY:$AY,$AZ:$AZ,"-",0)=BF100,$E104,"-")</f>
        <v>-</v>
      </c>
      <c r="BG104" s="58">
        <f t="shared" si="460"/>
        <v>3</v>
      </c>
      <c r="BH104" s="59">
        <f t="shared" si="461"/>
        <v>2</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3</v>
      </c>
      <c r="CB104" s="59">
        <f t="shared" si="464"/>
        <v>2</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1</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-5</v>
      </c>
      <c r="T105" s="24">
        <f t="shared" ref="T105" si="481">+SUMIF(E102:E107,$O105,F102:F107)+SUMIF(H102:H107,$O105,G102:G107)</f>
        <v>2</v>
      </c>
      <c r="U105" s="24">
        <f t="shared" ref="U105" si="482">+SUMIF(E102:E107,$O105,G102:G107)+SUMIF(H102:H107,$O105,F102:F107)</f>
        <v>7</v>
      </c>
      <c r="V105" s="45">
        <f t="shared" si="472"/>
        <v>-4.7895000000000004E-3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-5</v>
      </c>
      <c r="AF105" s="77">
        <f t="shared" si="458"/>
        <v>2</v>
      </c>
      <c r="AG105" s="77">
        <f t="shared" si="459"/>
        <v>7</v>
      </c>
      <c r="AH105" s="78">
        <f t="shared" si="459"/>
        <v>-4.7895000000000004E-3</v>
      </c>
      <c r="AI105" s="73"/>
      <c r="AL105" s="45">
        <f>+LARGE(V102:V105,4)</f>
        <v>-4.7895000000000004E-3</v>
      </c>
      <c r="AM105" s="52">
        <f>+(AH105-AL105)*100000000000000000000</f>
        <v>0</v>
      </c>
      <c r="AP105" s="53" t="str">
        <f>+O105</f>
        <v>Panama</v>
      </c>
      <c r="AQ105" s="23">
        <f>+P105*3+Q105*1+BT105+CN105+S105/1000+T105/10000</f>
        <v>-4.8000000000000004E-3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8</v>
      </c>
      <c r="BD105" s="29"/>
      <c r="BE105" s="25" t="str">
        <f>+IF(OR(BF105="-",BI105="-",BF100=0),"-","OK")</f>
        <v>-</v>
      </c>
      <c r="BF105" s="57" t="str">
        <f>+IF(_xlfn.XLOOKUP($E105,$AY:$AY,$AZ:$AZ,"-",0)=BF100,$E105,"-")</f>
        <v>-</v>
      </c>
      <c r="BG105" s="58">
        <f t="shared" si="460"/>
        <v>1</v>
      </c>
      <c r="BH105" s="59">
        <f t="shared" si="461"/>
        <v>3</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0</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2</v>
      </c>
      <c r="BI106" s="57" t="str">
        <f>+IF(_xlfn.XLOOKUP($H106,$AY:$AY,$AZ:$AZ,"-",0)=BF100,$H106,"-")</f>
        <v>-</v>
      </c>
      <c r="BY106" s="25" t="str">
        <f t="shared" si="462"/>
        <v>-</v>
      </c>
      <c r="BZ106" s="57" t="str">
        <f>+IF(_xlfn.XLOOKUP($E106,$AY:$AY,$AZ:$AZ,"-",0)=BZ100,$E106,"-")</f>
        <v>-</v>
      </c>
      <c r="CA106" s="58">
        <f t="shared" si="463"/>
        <v>0</v>
      </c>
      <c r="CB106" s="59">
        <f t="shared" si="464"/>
        <v>2</v>
      </c>
      <c r="CC106" s="57" t="str">
        <f>+IF(_xlfn.XLOOKUP($H106,$AY:$AY,$AZ:$AZ,"-",0)=BZ100,$H106,"-")</f>
        <v>Inglaterra</v>
      </c>
    </row>
    <row r="107" spans="1:102" x14ac:dyDescent="0.25">
      <c r="A107" s="38" t="s">
        <v>201</v>
      </c>
      <c r="B107" s="39">
        <v>46200</v>
      </c>
      <c r="C107" s="40"/>
      <c r="D107" s="41"/>
      <c r="E107" s="42" t="s">
        <v>57</v>
      </c>
      <c r="F107" s="43">
        <v>1</v>
      </c>
      <c r="G107" s="43">
        <v>2</v>
      </c>
      <c r="H107" s="44" t="s">
        <v>85</v>
      </c>
      <c r="J107" s="24" t="str">
        <f t="shared" si="465"/>
        <v>Ghana</v>
      </c>
      <c r="K107" s="24" t="str">
        <f t="shared" si="466"/>
        <v/>
      </c>
      <c r="L107" s="24" t="str">
        <f t="shared" si="467"/>
        <v/>
      </c>
      <c r="M107" s="24" t="str">
        <f t="shared" si="468"/>
        <v>Croacia</v>
      </c>
      <c r="Y107" s="53" t="s">
        <v>124</v>
      </c>
      <c r="AR107" s="23">
        <f>+IF(AND(AM106="si",OR(AR102=1,AR103=1,AR104=1)),1,0)</f>
        <v>0</v>
      </c>
      <c r="BE107" s="25" t="str">
        <f>+IF(OR(BF107="-",BI107="-",BF100=0),"-","OK")</f>
        <v>-</v>
      </c>
      <c r="BF107" s="57" t="str">
        <f>+IF(_xlfn.XLOOKUP($E107,$AY:$AY,$AZ:$AZ,"-",0)=BF100,$E107,"-")</f>
        <v>-</v>
      </c>
      <c r="BG107" s="58">
        <f t="shared" si="460"/>
        <v>1</v>
      </c>
      <c r="BH107" s="59">
        <f t="shared" si="461"/>
        <v>2</v>
      </c>
      <c r="BI107" s="57" t="str">
        <f>+IF(_xlfn.XLOOKUP($H107,$AY:$AY,$AZ:$AZ,"-",0)=BF100,$H107,"-")</f>
        <v>-</v>
      </c>
      <c r="BY107" s="25" t="str">
        <f t="shared" si="462"/>
        <v>-</v>
      </c>
      <c r="BZ107" s="57" t="str">
        <f>+IF(_xlfn.XLOOKUP($E107,$AY:$AY,$AZ:$AZ,"-",0)=BZ100,$E107,"-")</f>
        <v>-</v>
      </c>
      <c r="CA107" s="58">
        <f t="shared" si="463"/>
        <v>1</v>
      </c>
      <c r="CB107" s="59">
        <f t="shared" si="464"/>
        <v>2</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100-000000000000}">
          <x14:formula1>
            <xm:f>Aux!$A$3:$A$6</xm:f>
          </x14:formula1>
          <xm:sqref>AV93:AV96 AV12:AV15 AV30:AV33 AV3:AV6 AV39:AV42 AV48:AV51 AV66:AV69 AV57:AV60 AV75:AV78 AV102:AV105 AV21:AV24 AV84:AV87</xm:sqref>
        </x14:dataValidation>
        <x14:dataValidation type="list" allowBlank="1" showInputMessage="1" showErrorMessage="1" xr:uid="{00000000-0002-0000-0100-000001000000}">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sheetPr>
  <dimension ref="A1:AD100"/>
  <sheetViews>
    <sheetView zoomScale="90" zoomScaleNormal="90" workbookViewId="0">
      <selection activeCell="Q38" sqref="Q38:S42"/>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796875" style="106" customWidth="1"/>
    <col min="14" max="14" width="1.7968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Mexico</v>
      </c>
      <c r="C5" s="112">
        <v>1</v>
      </c>
      <c r="D5" s="113">
        <v>2</v>
      </c>
      <c r="E5" s="428" t="str">
        <f>+_xlfn.XLOOKUP(D4,'Groups Stage'!$Y:$Y,'Groups Stage'!$Z:$Z,"-",0)</f>
        <v>Canada</v>
      </c>
      <c r="F5" s="110"/>
      <c r="G5" s="437" t="s">
        <v>214</v>
      </c>
      <c r="H5" s="111" t="str">
        <f>+_xlfn.XLOOKUP(I4,'Groups Stage'!$Y:$Y,'Groups Stage'!$Z:$Z,"-",0)</f>
        <v>Paraguay</v>
      </c>
      <c r="I5" s="112">
        <v>3</v>
      </c>
      <c r="J5" s="113">
        <v>1</v>
      </c>
      <c r="K5" s="438" t="str">
        <f>+_xlfn.XLOOKUP(J4,'Groups Stage'!$Y:$Y,'Groups Stage'!$Z:$Z,"-",0)</f>
        <v>Bosnia</v>
      </c>
      <c r="O5" s="427" t="s">
        <v>215</v>
      </c>
      <c r="P5" s="111" t="str">
        <f>+_xlfn.XLOOKUP(Q4,$C:$C,$B:$B,_xlfn.XLOOKUP(Q4,$I:$I,$H:$H,"-",0),0)</f>
        <v>Ecuador</v>
      </c>
      <c r="Q5" s="112">
        <v>2</v>
      </c>
      <c r="R5" s="113">
        <v>3</v>
      </c>
      <c r="S5" s="428" t="str">
        <f>+_xlfn.XLOOKUP(R4,$C:$C,$B:$B,_xlfn.XLOOKUP(R4,$I:$I,$H:$H,"-",0),0)</f>
        <v>Francia</v>
      </c>
      <c r="T5" s="108"/>
      <c r="U5" s="437" t="s">
        <v>216</v>
      </c>
      <c r="V5" s="111" t="str">
        <f>+_xlfn.XLOOKUP(W4,$C:$C,$B:$B,_xlfn.XLOOKUP(W4,$I:$I,$H:$H,"-",0),0)</f>
        <v>Colombia</v>
      </c>
      <c r="W5" s="112">
        <v>1</v>
      </c>
      <c r="X5" s="113">
        <v>2</v>
      </c>
      <c r="Y5" s="438" t="str">
        <f>+_xlfn.XLOOKUP(X4,$C:$C,$B:$B,_xlfn.XLOOKUP(X4,$I:$I,$H:$H,"-",0),0)</f>
        <v>España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Canada</v>
      </c>
      <c r="C7" s="117" t="str">
        <f>+E4</f>
        <v>W73</v>
      </c>
      <c r="D7" s="117"/>
      <c r="E7" s="117"/>
      <c r="F7" s="110"/>
      <c r="H7" s="117" t="str">
        <f>+IF(AND(ISNUMBER(I5),ISNUMBER(J5)),IF((I5+I6)&gt;(J5+J6),H5,K5),"-")</f>
        <v>Paraguay</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3C</v>
      </c>
      <c r="E8" s="426" t="s">
        <v>207</v>
      </c>
      <c r="F8" s="110"/>
      <c r="G8" s="433"/>
      <c r="H8" s="434"/>
      <c r="I8" s="435" t="s">
        <v>219</v>
      </c>
      <c r="J8" s="435" t="str">
        <f>+_xlfn.XLOOKUP(I8,'Mejores 3eros'!$AD$1:$AK$1,'Mejores 3eros'!$AD$3:$AK$3,"-",0)</f>
        <v>3J</v>
      </c>
      <c r="K8" s="436" t="s">
        <v>220</v>
      </c>
      <c r="P8" s="108"/>
      <c r="Q8" s="108"/>
      <c r="R8" s="108"/>
      <c r="S8" s="108"/>
      <c r="T8" s="108"/>
      <c r="U8" s="108"/>
      <c r="V8" s="108"/>
      <c r="W8" s="108"/>
      <c r="X8" s="108"/>
      <c r="Y8" s="108"/>
    </row>
    <row r="9" spans="1:25" x14ac:dyDescent="0.25">
      <c r="A9" s="427" t="s">
        <v>221</v>
      </c>
      <c r="B9" s="111" t="str">
        <f>+_xlfn.XLOOKUP(C8,'Groups Stage'!$Y:$Y,'Groups Stage'!$Z:$Z,"-",0)</f>
        <v>Ecuador</v>
      </c>
      <c r="C9" s="112">
        <v>2</v>
      </c>
      <c r="D9" s="113">
        <v>0</v>
      </c>
      <c r="E9" s="428" t="str">
        <f>+_xlfn.XLOOKUP(D8,'Groups Stage'!$Y:$Y,'Groups Stage'!$Z:$Z,"-",0)</f>
        <v>Escocia</v>
      </c>
      <c r="F9" s="110"/>
      <c r="G9" s="437" t="s">
        <v>222</v>
      </c>
      <c r="H9" s="111" t="str">
        <f>+_xlfn.XLOOKUP(I8,'Groups Stage'!$Y:$Y,'Groups Stage'!$Z:$Z,"-",0)</f>
        <v>Belgica</v>
      </c>
      <c r="I9" s="112">
        <v>1</v>
      </c>
      <c r="J9" s="113">
        <v>0</v>
      </c>
      <c r="K9" s="438" t="str">
        <f>+_xlfn.XLOOKUP(J8,'Groups Stage'!$Y:$Y,'Groups Stage'!$Z:$Z,"-",0)</f>
        <v>Austria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Ecuador</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Japon</v>
      </c>
      <c r="C13" s="112">
        <v>1</v>
      </c>
      <c r="D13" s="113">
        <v>1</v>
      </c>
      <c r="E13" s="428" t="str">
        <f>+_xlfn.XLOOKUP(D12,'Groups Stage'!$Y:$Y,'Groups Stage'!$Z:$Z,"-",0)</f>
        <v>Marruecos</v>
      </c>
      <c r="F13" s="110"/>
      <c r="G13" s="437" t="s">
        <v>231</v>
      </c>
      <c r="H13" s="111" t="str">
        <f>+_xlfn.XLOOKUP(I12,'Groups Stage'!$Y:$Y,'Groups Stage'!$Z:$Z,"-",0)</f>
        <v>Colombia</v>
      </c>
      <c r="I13" s="112">
        <v>3</v>
      </c>
      <c r="J13" s="113">
        <v>2</v>
      </c>
      <c r="K13" s="438" t="str">
        <f>+_xlfn.XLOOKUP(J12,'Groups Stage'!$Y:$Y,'Groups Stage'!$Z:$Z,"-",0)</f>
        <v>Ghana</v>
      </c>
      <c r="O13" s="427" t="s">
        <v>232</v>
      </c>
      <c r="P13" s="111" t="str">
        <f>+_xlfn.XLOOKUP(Q12,$C:$C,$B:$B,_xlfn.XLOOKUP(Q12,$I:$I,$H:$H,"-",0),0)</f>
        <v>Canada</v>
      </c>
      <c r="Q13" s="112">
        <v>0</v>
      </c>
      <c r="R13" s="113">
        <v>2</v>
      </c>
      <c r="S13" s="428" t="str">
        <f>+_xlfn.XLOOKUP(R12,$C:$C,$B:$B,_xlfn.XLOOKUP(R12,$I:$I,$H:$H,"-",0),0)</f>
        <v>Marruecos</v>
      </c>
      <c r="T13" s="108"/>
      <c r="U13" s="437" t="s">
        <v>233</v>
      </c>
      <c r="V13" s="111" t="str">
        <f>+_xlfn.XLOOKUP(W12,$C:$C,$B:$B,_xlfn.XLOOKUP(W12,$I:$I,$H:$H,"-",0),0)</f>
        <v>Paraguay</v>
      </c>
      <c r="W13" s="112">
        <v>0</v>
      </c>
      <c r="X13" s="113">
        <v>1</v>
      </c>
      <c r="Y13" s="438" t="str">
        <f>+_xlfn.XLOOKUP(X12,$C:$C,$B:$B,_xlfn.XLOOKUP(X12,$I:$I,$H:$H,"-",0),0)</f>
        <v>Belgica</v>
      </c>
    </row>
    <row r="14" spans="1:25" ht="14.4" thickBot="1" x14ac:dyDescent="0.3">
      <c r="A14" s="429"/>
      <c r="B14" s="430" t="s">
        <v>217</v>
      </c>
      <c r="C14" s="431">
        <v>2</v>
      </c>
      <c r="D14" s="431">
        <v>4</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 thickTop="1" thickBot="1" x14ac:dyDescent="0.3">
      <c r="B15" s="117" t="str">
        <f>+IF(AND(ISNUMBER(C13),ISNUMBER(D13)),IF((C13+C14)&gt;(D13+D14),B13,E13),"-")</f>
        <v>Marruecos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Marruecos</v>
      </c>
      <c r="Q15" s="118" t="str">
        <f>+S12</f>
        <v>W90</v>
      </c>
      <c r="R15" s="118"/>
      <c r="S15" s="118"/>
      <c r="T15" s="119"/>
      <c r="U15" s="108"/>
      <c r="V15" s="118" t="str">
        <f>+IF(AND(ISNUMBER(W13),ISNUMBER(X13)),IF((W13+W14)&gt;(X13+X14),V13,Y13),"-")</f>
        <v>Belgica</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4</v>
      </c>
      <c r="D17" s="113">
        <v>3</v>
      </c>
      <c r="E17" s="448" t="str">
        <f>+_xlfn.XLOOKUP(D16,'Groups Stage'!$Y:$Y,'Groups Stage'!$Z:$Z,"-",0)</f>
        <v>Paises Bajos</v>
      </c>
      <c r="F17" s="110"/>
      <c r="G17" s="437" t="s">
        <v>240</v>
      </c>
      <c r="H17" s="111" t="str">
        <f>+_xlfn.XLOOKUP(I16,'Groups Stage'!$Y:$Y,'Groups Stage'!$Z:$Z,"-",0)</f>
        <v>España</v>
      </c>
      <c r="I17" s="112">
        <v>3</v>
      </c>
      <c r="J17" s="113">
        <v>0</v>
      </c>
      <c r="K17" s="438" t="str">
        <f>+_xlfn.XLOOKUP(J16,'Groups Stage'!$Y:$Y,'Groups Stage'!$Z:$Z,"-",0)</f>
        <v>Argelia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3</v>
      </c>
      <c r="D21" s="113">
        <v>1</v>
      </c>
      <c r="E21" s="428" t="str">
        <f>+_xlfn.XLOOKUP(D20,'Groups Stage'!$Y:$Y,'Groups Stage'!$Z:$Z,"-",0)</f>
        <v>Australia</v>
      </c>
      <c r="F21" s="110"/>
      <c r="G21" s="417" t="s">
        <v>250</v>
      </c>
      <c r="H21" s="111" t="str">
        <f>+_xlfn.XLOOKUP(I20,'Groups Stage'!$Y:$Y,'Groups Stage'!$Z:$Z,"-",0)</f>
        <v>Suiza</v>
      </c>
      <c r="I21" s="112">
        <v>1</v>
      </c>
      <c r="J21" s="113">
        <v>0</v>
      </c>
      <c r="K21" s="418" t="str">
        <f>+_xlfn.XLOOKUP(J20,'Groups Stage'!$Y:$Y,'Groups Stage'!$Z:$Z,"-",0)</f>
        <v>Iran</v>
      </c>
      <c r="O21" s="447" t="s">
        <v>251</v>
      </c>
      <c r="P21" s="111" t="str">
        <f>+_xlfn.XLOOKUP(Q20,$C:$C,$B:$B,_xlfn.XLOOKUP(Q20,$I:$I,$H:$H,"-",0),0)</f>
        <v>Brasil</v>
      </c>
      <c r="Q21" s="112">
        <v>2</v>
      </c>
      <c r="R21" s="113">
        <v>2</v>
      </c>
      <c r="S21" s="448" t="str">
        <f>+_xlfn.XLOOKUP(R20,$C:$C,$B:$B,_xlfn.XLOOKUP(R20,$I:$I,$H:$H,"-",0),0)</f>
        <v>Noruega</v>
      </c>
      <c r="T21" s="108"/>
      <c r="U21" s="417" t="s">
        <v>252</v>
      </c>
      <c r="V21" s="111" t="str">
        <f>+_xlfn.XLOOKUP(W20,$C:$C,$B:$B,_xlfn.XLOOKUP(W20,$I:$I,$H:$H,"-",0),0)</f>
        <v>Argentina</v>
      </c>
      <c r="W21" s="112">
        <v>1</v>
      </c>
      <c r="X21" s="113">
        <v>0</v>
      </c>
      <c r="Y21" s="418" t="str">
        <f>+_xlfn.XLOOKUP(X20,$C:$C,$B:$B,_xlfn.XLOOKUP(X20,$I:$I,$H:$H,"-",0),0)</f>
        <v>Egipto</v>
      </c>
    </row>
    <row r="22" spans="1:25" ht="14.4" thickBot="1" x14ac:dyDescent="0.3">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v>3</v>
      </c>
      <c r="R22" s="451">
        <v>2</v>
      </c>
      <c r="S22" s="452" t="str">
        <f>+IF(AND(ISNUMBER(Q21),ISNUMBER(R21),Q21=R21),"Y","N")</f>
        <v>Y</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Alemania</v>
      </c>
      <c r="C25" s="112">
        <v>1</v>
      </c>
      <c r="D25" s="113">
        <v>2</v>
      </c>
      <c r="E25" s="448" t="str">
        <f>+_xlfn.XLOOKUP(D24,'Groups Stage'!$Y:$Y,'Groups Stage'!$Z:$Z,"-",0)</f>
        <v>Noruega</v>
      </c>
      <c r="F25" s="110"/>
      <c r="G25" s="417" t="s">
        <v>258</v>
      </c>
      <c r="H25" s="111" t="str">
        <f>+_xlfn.XLOOKUP(I24,'Groups Stage'!$Y:$Y,'Groups Stage'!$Z:$Z,"-",0)</f>
        <v>Argentina</v>
      </c>
      <c r="I25" s="112">
        <v>2</v>
      </c>
      <c r="J25" s="113">
        <v>0</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 thickTop="1" thickBot="1" x14ac:dyDescent="0.3">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Corea del Sur</v>
      </c>
      <c r="C29" s="112">
        <v>2</v>
      </c>
      <c r="D29" s="113">
        <v>0</v>
      </c>
      <c r="E29" s="448" t="str">
        <f>+_xlfn.XLOOKUP(D28,'Groups Stage'!$Y:$Y,'Groups Stage'!$Z:$Z,"-",0)</f>
        <v>Arabia Saudita</v>
      </c>
      <c r="F29" s="110"/>
      <c r="G29" s="417" t="s">
        <v>267</v>
      </c>
      <c r="H29" s="111" t="str">
        <f>+_xlfn.XLOOKUP(I28,'Groups Stage'!$Y:$Y,'Groups Stage'!$Z:$Z,"-",0)</f>
        <v>Portugal</v>
      </c>
      <c r="I29" s="112">
        <v>1</v>
      </c>
      <c r="J29" s="113">
        <v>2</v>
      </c>
      <c r="K29" s="418" t="str">
        <f>+_xlfn.XLOOKUP(J28,'Groups Stage'!$Y:$Y,'Groups Stage'!$Z:$Z,"-",0)</f>
        <v>Croacia</v>
      </c>
      <c r="O29" s="447" t="s">
        <v>268</v>
      </c>
      <c r="P29" s="111" t="str">
        <f>+_xlfn.XLOOKUP(Q28,$C:$C,$B:$B,_xlfn.XLOOKUP(Q28,$I:$I,$H:$H,"-",0),0)</f>
        <v>Corea del Sur</v>
      </c>
      <c r="Q29" s="112">
        <v>1</v>
      </c>
      <c r="R29" s="113">
        <v>2</v>
      </c>
      <c r="S29" s="448" t="str">
        <f>+_xlfn.XLOOKUP(R28,$C:$C,$B:$B,_xlfn.XLOOKUP(R28,$I:$I,$H:$H,"-",0),0)</f>
        <v>Costa de Marfil</v>
      </c>
      <c r="T29" s="108"/>
      <c r="U29" s="417" t="s">
        <v>269</v>
      </c>
      <c r="V29" s="111" t="str">
        <f>+_xlfn.XLOOKUP(W28,$C:$C,$B:$B,_xlfn.XLOOKUP(W28,$I:$I,$H:$H,"-",0),0)</f>
        <v>Suiza</v>
      </c>
      <c r="W29" s="112">
        <v>1</v>
      </c>
      <c r="X29" s="113">
        <v>1</v>
      </c>
      <c r="Y29" s="418" t="str">
        <f>+_xlfn.XLOOKUP(X28,$C:$C,$B:$B,_xlfn.XLOOKUP(X28,$I:$I,$H:$H,"-",0),0)</f>
        <v>Croacia</v>
      </c>
    </row>
    <row r="30" spans="1:25" ht="14.4" thickBot="1" x14ac:dyDescent="0.3">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v>2</v>
      </c>
      <c r="X30" s="421">
        <v>4</v>
      </c>
      <c r="Y30" s="422" t="str">
        <f>+IF(AND(ISNUMBER(W29),ISNUMBER(X29),W29=X29),"Y","N")</f>
        <v>Y</v>
      </c>
    </row>
    <row r="31" spans="1:25" ht="15" thickTop="1" thickBot="1" x14ac:dyDescent="0.3">
      <c r="B31" s="117" t="str">
        <f>+IF(AND(ISNUMBER(C29),ISNUMBER(D29)),IF((C29+C30)&gt;(D29+D30),B29,E29),"-")</f>
        <v>Corea del Sur</v>
      </c>
      <c r="C31" s="117" t="str">
        <f>+E28</f>
        <v>W79</v>
      </c>
      <c r="D31" s="117"/>
      <c r="E31" s="117"/>
      <c r="F31" s="110"/>
      <c r="H31" s="117" t="str">
        <f>+IF(AND(ISNUMBER(I29),ISNUMBER(J29)),IF((I29+I30)&gt;(J29+J30),H29,K29),"-")</f>
        <v>Croacia</v>
      </c>
      <c r="I31" s="117" t="str">
        <f>+K28</f>
        <v>W87</v>
      </c>
      <c r="J31" s="117"/>
      <c r="K31" s="117"/>
      <c r="P31" s="118" t="str">
        <f>+IF(AND(ISNUMBER(Q29),ISNUMBER(R29)),IF((Q29+Q30)&gt;(R29+R30),P29,S29),"-")</f>
        <v>Costa de Marfil</v>
      </c>
      <c r="Q31" s="118" t="str">
        <f>+S28</f>
        <v>W92</v>
      </c>
      <c r="R31" s="118"/>
      <c r="S31" s="118"/>
      <c r="T31" s="119"/>
      <c r="U31" s="119"/>
      <c r="V31" s="118" t="str">
        <f>+IF(AND(ISNUMBER(W29),ISNUMBER(X29)),IF((W29+W30)&gt;(X29+X30),V29,Y29),"-")</f>
        <v>Croacia</v>
      </c>
      <c r="W31" s="118" t="str">
        <f>+Y28</f>
        <v>W96</v>
      </c>
      <c r="X31" s="118"/>
      <c r="Y31" s="118"/>
    </row>
    <row r="32" spans="1:25" ht="14.4" thickTop="1" x14ac:dyDescent="0.25">
      <c r="A32" s="443"/>
      <c r="B32" s="444"/>
      <c r="C32" s="445" t="s">
        <v>270</v>
      </c>
      <c r="D32" s="445" t="str">
        <f>+_xlfn.XLOOKUP(C32,'Mejores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v>1</v>
      </c>
      <c r="X32" s="108"/>
      <c r="Y32" s="108"/>
    </row>
    <row r="33" spans="1:25" x14ac:dyDescent="0.25">
      <c r="A33" s="447" t="s">
        <v>273</v>
      </c>
      <c r="B33" s="111" t="str">
        <f>+_xlfn.XLOOKUP(C32,'Groups Stage'!$Y:$Y,'Groups Stage'!$Z:$Z,"-",0)</f>
        <v>Inglaterra</v>
      </c>
      <c r="C33" s="112">
        <v>2</v>
      </c>
      <c r="D33" s="113">
        <v>2</v>
      </c>
      <c r="E33" s="448" t="str">
        <f>+_xlfn.XLOOKUP(D32,'Groups Stage'!$Y:$Y,'Groups Stage'!$Z:$Z,"-",0)</f>
        <v>Costa de Marfil</v>
      </c>
      <c r="F33" s="110"/>
      <c r="G33" s="417" t="s">
        <v>274</v>
      </c>
      <c r="H33" s="111" t="str">
        <f>+_xlfn.XLOOKUP(I32,'Groups Stage'!$Y:$Y,'Groups Stage'!$Z:$Z,"-",0)</f>
        <v>Turquia</v>
      </c>
      <c r="I33" s="112">
        <v>0</v>
      </c>
      <c r="J33" s="113">
        <v>1</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v>3</v>
      </c>
      <c r="D34" s="451">
        <v>4</v>
      </c>
      <c r="E34" s="452" t="str">
        <f>+IF(AND(ISNUMBER(C33),ISNUMBER(D33),C33=D33),"Y","N")</f>
        <v>Y</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Costa de Marfil</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sheetPr>
  <dimension ref="A1:AD100"/>
  <sheetViews>
    <sheetView zoomScale="90" zoomScaleNormal="90" workbookViewId="0">
      <selection activeCell="S20" sqref="S20"/>
    </sheetView>
  </sheetViews>
  <sheetFormatPr defaultColWidth="8.69921875" defaultRowHeight="13.8" x14ac:dyDescent="0.25"/>
  <cols>
    <col min="1" max="1" width="5.59765625" style="105" bestFit="1" customWidth="1"/>
    <col min="2" max="2" width="16.09765625" style="109" customWidth="1"/>
    <col min="3" max="4" width="3.19921875" style="109" customWidth="1"/>
    <col min="5" max="5" width="16.09765625" style="109" customWidth="1"/>
    <col min="6" max="6" width="1.69921875" style="105" customWidth="1"/>
    <col min="7" max="7" width="5.59765625" style="105" bestFit="1" customWidth="1"/>
    <col min="8" max="8" width="16.09765625" style="109" customWidth="1"/>
    <col min="9" max="10" width="3.69921875" style="109" customWidth="1"/>
    <col min="11" max="11" width="16.09765625" style="109" customWidth="1"/>
    <col min="12" max="12" width="1.69921875" style="105" customWidth="1"/>
    <col min="13" max="13" width="1.796875" style="106" customWidth="1"/>
    <col min="14" max="14" width="5.3984375" style="122" customWidth="1"/>
    <col min="15" max="15" width="5.59765625" style="109" bestFit="1" customWidth="1"/>
    <col min="16" max="16" width="24.09765625" style="109" customWidth="1"/>
    <col min="17" max="18" width="4.5" style="109" customWidth="1"/>
    <col min="19" max="19" width="21.69921875" style="109" customWidth="1"/>
    <col min="20" max="21" width="1.796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España</v>
      </c>
      <c r="Q4" s="520">
        <v>2</v>
      </c>
      <c r="R4" s="523">
        <v>1</v>
      </c>
      <c r="S4" s="517" t="str">
        <f>+H21</f>
        <v>Argentina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2</v>
      </c>
      <c r="D5" s="113">
        <v>0</v>
      </c>
      <c r="E5" s="114" t="str">
        <f>+_xlfn.XLOOKUP(D4,'Round of 32 &amp; Round of 16'!$Q:$Q,'Round of 32 &amp; Round of 16'!$P:$P,_xlfn.XLOOKUP(D4,'Round of 32 &amp; Round of 16'!$W:$W,'Round of 32 &amp; Round of 16'!$V:$V,"-",0),0)</f>
        <v>Marruecos</v>
      </c>
      <c r="F5" s="110"/>
      <c r="G5" s="180" t="s">
        <v>278</v>
      </c>
      <c r="H5" s="111" t="str">
        <f>+_xlfn.XLOOKUP(I4,'Round of 32 &amp; Round of 16'!$Q:$Q,'Round of 32 &amp; Round of 16'!$P:$P,_xlfn.XLOOKUP(I4,'Round of 32 &amp; Round of 16'!$W:$W,'Round of 32 &amp; Round of 16'!$V:$V,"-",0),0)</f>
        <v>Brasil</v>
      </c>
      <c r="I5" s="112">
        <v>1</v>
      </c>
      <c r="J5" s="113">
        <v>0</v>
      </c>
      <c r="K5" s="114" t="str">
        <f>+_xlfn.XLOOKUP(J4,'Round of 32 &amp; Round of 16'!$Q:$Q,'Round of 32 &amp; Round of 16'!$P:$P,_xlfn.XLOOKUP(J4,'Round of 32 &amp; Round of 16'!$W:$W,'Round of 32 &amp; Round of 16'!$V:$V,"-",0),0)</f>
        <v>Costa de Marfil</v>
      </c>
      <c r="L5" s="105"/>
      <c r="M5" s="106"/>
      <c r="N5" s="122"/>
      <c r="O5" s="183" t="s">
        <v>279</v>
      </c>
      <c r="P5" s="515"/>
      <c r="Q5" s="521"/>
      <c r="R5" s="524"/>
      <c r="S5" s="518"/>
      <c r="T5" s="109"/>
      <c r="U5" s="109"/>
      <c r="V5" s="109"/>
      <c r="W5" s="109"/>
      <c r="X5" s="109"/>
      <c r="Y5" s="109"/>
    </row>
    <row r="6" spans="1:25" s="108" customFormat="1" ht="14.4" customHeight="1" thickBot="1" x14ac:dyDescent="0.3">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 customHeight="1" x14ac:dyDescent="0.25">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España</v>
      </c>
      <c r="Q8" s="140">
        <f>+S5</f>
        <v>0</v>
      </c>
      <c r="R8" s="140"/>
      <c r="S8" s="140" t="str">
        <f>+IF(AND(ISNUMBER(Q4),ISNUMBER(R4)),IF((Q4+Q7)&gt;(R4+R7),S4,P4),"-")</f>
        <v>Argentina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3</v>
      </c>
      <c r="D9" s="113">
        <v>1</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3</v>
      </c>
      <c r="J9" s="113">
        <v>2</v>
      </c>
      <c r="K9" s="114" t="str">
        <f>+_xlfn.XLOOKUP(J8,'Round of 32 &amp; Round of 16'!$Q:$Q,'Round of 32 &amp; Round of 16'!$P:$P,_xlfn.XLOOKUP(J8,'Round of 32 &amp; Round of 16'!$W:$W,'Round of 32 &amp; Round of 16'!$V:$V,"-",0),0)</f>
        <v>Croacia</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Francia</v>
      </c>
      <c r="Q13" s="112">
        <v>2</v>
      </c>
      <c r="R13" s="113">
        <v>3</v>
      </c>
      <c r="S13" s="130" t="str">
        <f>+K21</f>
        <v>Brasil</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Brasil</v>
      </c>
      <c r="Q15" s="140">
        <f>+S12</f>
        <v>0</v>
      </c>
      <c r="R15" s="140"/>
      <c r="S15" s="140" t="str">
        <f>+IF(AND(ISNUMBER(Q13),ISNUMBER(R13)),IF((Q13+Q14)&gt;(R13+R14),S13,P13),"-")</f>
        <v>Francia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5">
      <c r="A19" s="180" t="s">
        <v>287</v>
      </c>
      <c r="B19" s="111" t="str">
        <f>+B7</f>
        <v>Francia</v>
      </c>
      <c r="C19" s="112">
        <v>0</v>
      </c>
      <c r="D19" s="113">
        <v>0</v>
      </c>
      <c r="E19" s="114" t="str">
        <f>+B11</f>
        <v>España</v>
      </c>
      <c r="F19" s="121"/>
      <c r="G19" s="180" t="s">
        <v>288</v>
      </c>
      <c r="H19" s="111" t="str">
        <f>+H7</f>
        <v>Brasil</v>
      </c>
      <c r="I19" s="112">
        <v>1</v>
      </c>
      <c r="J19" s="113">
        <v>2</v>
      </c>
      <c r="K19" s="114" t="str">
        <f>+H11</f>
        <v>Argentina</v>
      </c>
      <c r="M19" s="106"/>
      <c r="N19" s="122"/>
      <c r="O19" s="109"/>
      <c r="P19" s="133"/>
      <c r="Q19" s="134"/>
      <c r="R19" s="135" t="s">
        <v>25</v>
      </c>
      <c r="S19" s="136" t="s">
        <v>865</v>
      </c>
      <c r="T19" s="109"/>
      <c r="U19" s="109"/>
      <c r="V19" s="109"/>
      <c r="W19" s="109"/>
      <c r="X19" s="109"/>
      <c r="Y19" s="109"/>
    </row>
    <row r="20" spans="1:25" s="108" customFormat="1" x14ac:dyDescent="0.25">
      <c r="A20" s="181"/>
      <c r="B20" s="115" t="s">
        <v>217</v>
      </c>
      <c r="C20" s="137"/>
      <c r="D20" s="137"/>
      <c r="E20" s="116" t="str">
        <f>+IF(AND(ISNUMBER(C19),ISNUMBER(D19),C19=D19),"Y","N")</f>
        <v>Y</v>
      </c>
      <c r="F20" s="121"/>
      <c r="G20" s="181"/>
      <c r="H20" s="115" t="s">
        <v>217</v>
      </c>
      <c r="I20" s="137"/>
      <c r="J20" s="137"/>
      <c r="K20" s="116" t="str">
        <f>+IF(AND(ISNUMBER(I19),ISNUMBER(J19),I19=J19),"Y","N")</f>
        <v>N</v>
      </c>
      <c r="M20" s="106"/>
      <c r="N20" s="122"/>
      <c r="O20" s="109"/>
      <c r="P20" s="133"/>
      <c r="Q20" s="134"/>
      <c r="R20" s="135" t="s">
        <v>27</v>
      </c>
      <c r="S20" s="242" t="str">
        <f>IF(P8="-","-",Aux!BD7)</f>
        <v>Costa de Marfil</v>
      </c>
      <c r="T20" s="109"/>
      <c r="U20" s="109"/>
      <c r="V20" s="109"/>
      <c r="W20" s="109"/>
      <c r="X20" s="109"/>
      <c r="Y20" s="109"/>
    </row>
    <row r="21" spans="1:25" s="108" customFormat="1" x14ac:dyDescent="0.25">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Paises Bajos</v>
      </c>
      <c r="T21" s="109"/>
      <c r="U21" s="109"/>
      <c r="V21" s="109"/>
      <c r="W21" s="109"/>
      <c r="X21" s="109"/>
      <c r="Y21" s="109"/>
    </row>
    <row r="22" spans="1:25" s="108" customFormat="1" x14ac:dyDescent="0.25">
      <c r="M22" s="106"/>
      <c r="N22" s="122"/>
      <c r="O22" s="109"/>
      <c r="P22" s="109"/>
      <c r="Q22" s="134"/>
      <c r="R22" s="135" t="s">
        <v>30</v>
      </c>
      <c r="S22" s="242" t="str">
        <f>IF(SUM('Groups Stage'!AA:AA)=3*4*12,Aux!BS4,"-")</f>
        <v>España</v>
      </c>
      <c r="T22" s="109"/>
      <c r="U22" s="109"/>
      <c r="V22" s="109"/>
      <c r="W22" s="109"/>
      <c r="X22" s="109"/>
      <c r="Y22" s="109"/>
    </row>
    <row r="23" spans="1:25" s="108" customFormat="1" x14ac:dyDescent="0.25">
      <c r="M23" s="106"/>
      <c r="N23" s="122"/>
      <c r="O23" s="109"/>
      <c r="P23" s="109"/>
      <c r="Q23" s="134"/>
      <c r="R23" s="135" t="s">
        <v>32</v>
      </c>
      <c r="S23" s="242" t="str">
        <f>IF(SUM('Groups Stage'!AA:AA)=3*4*12,Aux!AX22,"-")</f>
        <v>Haiti</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ColWidth="8.796875" defaultRowHeight="13.8" x14ac:dyDescent="0.25"/>
  <cols>
    <col min="1" max="1" width="2.59765625" style="399" customWidth="1"/>
    <col min="2" max="2" width="15.69921875" style="19" bestFit="1" customWidth="1"/>
    <col min="3" max="3" width="5.59765625" hidden="1" customWidth="1"/>
    <col min="4" max="4" width="15.8984375" style="142" bestFit="1" customWidth="1"/>
    <col min="5" max="10" width="11.59765625" customWidth="1"/>
    <col min="11" max="11" width="11.59765625" style="161" customWidth="1"/>
    <col min="12" max="31" width="8.8984375"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822.16210000499996</v>
      </c>
      <c r="D2" s="189" t="str">
        <f>+_xlfn.XLOOKUP($C2,Aux!$W:$W,Aux!H:H,"-",0)</f>
        <v>España</v>
      </c>
      <c r="E2" s="191">
        <f>+F2*3+G2</f>
        <v>22</v>
      </c>
      <c r="F2" s="191">
        <f>+_xlfn.XLOOKUP($C2,Aux!$W:$W,Aux!Q:Q,"-",0)</f>
        <v>7</v>
      </c>
      <c r="G2" s="191">
        <f>+_xlfn.XLOOKUP($C2,Aux!$W:$W,Aux!R:R,"-",0)</f>
        <v>1</v>
      </c>
      <c r="H2" s="191">
        <f>+_xlfn.XLOOKUP($C2,Aux!$W:$W,Aux!S:S,"-",0)</f>
        <v>0</v>
      </c>
      <c r="I2" s="191">
        <f>+_xlfn.XLOOKUP($C2,Aux!$W:$W,Aux!T:T,"-",0)</f>
        <v>16</v>
      </c>
      <c r="J2" s="191">
        <f>+_xlfn.XLOOKUP($C2,Aux!$W:$W,Aux!U:U,"-",0)</f>
        <v>21</v>
      </c>
      <c r="K2" s="192">
        <f>+_xlfn.XLOOKUP($C2,Aux!$W:$W,Aux!V:V,"-",0)</f>
        <v>5</v>
      </c>
    </row>
    <row r="3" spans="1:31" ht="17.399999999999999" x14ac:dyDescent="0.3">
      <c r="A3" s="401">
        <v>2</v>
      </c>
      <c r="B3" s="386" t="s">
        <v>292</v>
      </c>
      <c r="C3" s="194">
        <f>+LARGE(Aux!$W$4:$W$51,A3)</f>
        <v>621.09160000333338</v>
      </c>
      <c r="D3" s="193" t="str">
        <f>+_xlfn.XLOOKUP($C3,Aux!$W:$W,Aux!H:H,"-",0)</f>
        <v>Argentina</v>
      </c>
      <c r="E3" s="195">
        <f t="shared" ref="E3:E49" si="0">+F3*3+G3</f>
        <v>21</v>
      </c>
      <c r="F3" s="195">
        <f>+_xlfn.XLOOKUP($C3,Aux!$W:$W,Aux!Q:Q,"-",0)</f>
        <v>7</v>
      </c>
      <c r="G3" s="195">
        <f>+_xlfn.XLOOKUP($C3,Aux!$W:$W,Aux!R:R,"-",0)</f>
        <v>0</v>
      </c>
      <c r="H3" s="195">
        <f>+_xlfn.XLOOKUP($C3,Aux!$W:$W,Aux!S:S,"-",0)</f>
        <v>1</v>
      </c>
      <c r="I3" s="195">
        <f>+_xlfn.XLOOKUP($C3,Aux!$W:$W,Aux!T:T,"-",0)</f>
        <v>9</v>
      </c>
      <c r="J3" s="195">
        <f>+_xlfn.XLOOKUP($C3,Aux!$W:$W,Aux!U:U,"-",0)</f>
        <v>16</v>
      </c>
      <c r="K3" s="196">
        <f>+_xlfn.XLOOKUP($C3,Aux!$W:$W,Aux!V:V,"-",0)</f>
        <v>7</v>
      </c>
    </row>
    <row r="4" spans="1:31" x14ac:dyDescent="0.25">
      <c r="A4" s="402">
        <v>3</v>
      </c>
      <c r="B4" s="387" t="s">
        <v>293</v>
      </c>
      <c r="C4" s="199">
        <f>+LARGE(Aux!$W$4:$W$51,A4)</f>
        <v>517.10230000166666</v>
      </c>
      <c r="D4" s="198" t="str">
        <f>+_xlfn.XLOOKUP($C4,Aux!$W:$W,Aux!H:H,"-",0)</f>
        <v>Brasil</v>
      </c>
      <c r="E4" s="200">
        <f t="shared" si="0"/>
        <v>17</v>
      </c>
      <c r="F4" s="200">
        <f>+_xlfn.XLOOKUP($C4,Aux!$W:$W,Aux!Q:Q,"-",0)</f>
        <v>5</v>
      </c>
      <c r="G4" s="200">
        <f>+_xlfn.XLOOKUP($C4,Aux!$W:$W,Aux!R:R,"-",0)</f>
        <v>2</v>
      </c>
      <c r="H4" s="200">
        <f>+_xlfn.XLOOKUP($C4,Aux!$W:$W,Aux!S:S,"-",0)</f>
        <v>1</v>
      </c>
      <c r="I4" s="200">
        <f>+_xlfn.XLOOKUP($C4,Aux!$W:$W,Aux!T:T,"-",0)</f>
        <v>10</v>
      </c>
      <c r="J4" s="200">
        <f>+_xlfn.XLOOKUP($C4,Aux!$W:$W,Aux!U:U,"-",0)</f>
        <v>23</v>
      </c>
      <c r="K4" s="201">
        <f>+_xlfn.XLOOKUP($C4,Aux!$W:$W,Aux!V:V,"-",0)</f>
        <v>13</v>
      </c>
    </row>
    <row r="5" spans="1:31" x14ac:dyDescent="0.25">
      <c r="A5" s="403">
        <v>4</v>
      </c>
      <c r="B5" s="388" t="s">
        <v>294</v>
      </c>
      <c r="C5" s="203">
        <f>+LARGE(Aux!$W$4:$W$51,A5)</f>
        <v>417.09210000999997</v>
      </c>
      <c r="D5" s="202" t="str">
        <f>+_xlfn.XLOOKUP($C5,Aux!$W:$W,Aux!H:H,"-",0)</f>
        <v>Francia</v>
      </c>
      <c r="E5" s="204">
        <f t="shared" si="0"/>
        <v>17</v>
      </c>
      <c r="F5" s="204">
        <f>+_xlfn.XLOOKUP($C5,Aux!$W:$W,Aux!Q:Q,"-",0)</f>
        <v>5</v>
      </c>
      <c r="G5" s="204">
        <f>+_xlfn.XLOOKUP($C5,Aux!$W:$W,Aux!R:R,"-",0)</f>
        <v>2</v>
      </c>
      <c r="H5" s="204">
        <f>+_xlfn.XLOOKUP($C5,Aux!$W:$W,Aux!S:S,"-",0)</f>
        <v>1</v>
      </c>
      <c r="I5" s="204">
        <f>+_xlfn.XLOOKUP($C5,Aux!$W:$W,Aux!T:T,"-",0)</f>
        <v>9</v>
      </c>
      <c r="J5" s="204">
        <f>+_xlfn.XLOOKUP($C5,Aux!$W:$W,Aux!U:U,"-",0)</f>
        <v>21</v>
      </c>
      <c r="K5" s="205">
        <f>+_xlfn.XLOOKUP($C5,Aux!$W:$W,Aux!V:V,"-",0)</f>
        <v>12</v>
      </c>
    </row>
    <row r="6" spans="1:31" x14ac:dyDescent="0.25">
      <c r="A6" s="404">
        <v>5</v>
      </c>
      <c r="B6" s="390" t="s">
        <v>295</v>
      </c>
      <c r="C6" s="207">
        <f>+LARGE(Aux!$W$4:$W$51,A6)</f>
        <v>313.0311000011111</v>
      </c>
      <c r="D6" s="206" t="str">
        <f>+_xlfn.XLOOKUP($C6,Aux!$W:$W,Aux!H:H,"-",0)</f>
        <v>Belgica</v>
      </c>
      <c r="E6" s="208">
        <f t="shared" si="0"/>
        <v>13</v>
      </c>
      <c r="F6" s="208">
        <f>+_xlfn.XLOOKUP($C6,Aux!$W:$W,Aux!Q:Q,"-",0)</f>
        <v>4</v>
      </c>
      <c r="G6" s="208">
        <f>+_xlfn.XLOOKUP($C6,Aux!$W:$W,Aux!R:R,"-",0)</f>
        <v>1</v>
      </c>
      <c r="H6" s="208">
        <f>+_xlfn.XLOOKUP($C6,Aux!$W:$W,Aux!S:S,"-",0)</f>
        <v>1</v>
      </c>
      <c r="I6" s="208">
        <f>+_xlfn.XLOOKUP($C6,Aux!$W:$W,Aux!T:T,"-",0)</f>
        <v>3</v>
      </c>
      <c r="J6" s="208">
        <f>+_xlfn.XLOOKUP($C6,Aux!$W:$W,Aux!U:U,"-",0)</f>
        <v>11</v>
      </c>
      <c r="K6" s="209">
        <f>+_xlfn.XLOOKUP($C6,Aux!$W:$W,Aux!V:V,"-",0)</f>
        <v>8</v>
      </c>
    </row>
    <row r="7" spans="1:31" x14ac:dyDescent="0.25">
      <c r="A7" s="404">
        <v>6</v>
      </c>
      <c r="B7" s="390" t="s">
        <v>295</v>
      </c>
      <c r="C7" s="207">
        <f>+LARGE(Aux!$W$4:$W$51,A7)</f>
        <v>311.04110000125002</v>
      </c>
      <c r="D7" s="206" t="str">
        <f>+_xlfn.XLOOKUP($C7,Aux!$W:$W,Aux!H:H,"-",0)</f>
        <v>Marruecos</v>
      </c>
      <c r="E7" s="208">
        <f t="shared" si="0"/>
        <v>11</v>
      </c>
      <c r="F7" s="208">
        <f>+_xlfn.XLOOKUP($C7,Aux!$W:$W,Aux!Q:Q,"-",0)</f>
        <v>3</v>
      </c>
      <c r="G7" s="208">
        <f>+_xlfn.XLOOKUP($C7,Aux!$W:$W,Aux!R:R,"-",0)</f>
        <v>2</v>
      </c>
      <c r="H7" s="208">
        <f>+_xlfn.XLOOKUP($C7,Aux!$W:$W,Aux!S:S,"-",0)</f>
        <v>1</v>
      </c>
      <c r="I7" s="208">
        <f>+_xlfn.XLOOKUP($C7,Aux!$W:$W,Aux!T:T,"-",0)</f>
        <v>4</v>
      </c>
      <c r="J7" s="208">
        <f>+_xlfn.XLOOKUP($C7,Aux!$W:$W,Aux!U:U,"-",0)</f>
        <v>11</v>
      </c>
      <c r="K7" s="209">
        <f>+_xlfn.XLOOKUP($C7,Aux!$W:$W,Aux!V:V,"-",0)</f>
        <v>7</v>
      </c>
    </row>
    <row r="8" spans="1:31" x14ac:dyDescent="0.25">
      <c r="A8" s="404">
        <v>7</v>
      </c>
      <c r="B8" s="390" t="s">
        <v>295</v>
      </c>
      <c r="C8" s="207">
        <f>+LARGE(Aux!$W$4:$W$51,A8)</f>
        <v>308.0111000009091</v>
      </c>
      <c r="D8" s="206" t="str">
        <f>+_xlfn.XLOOKUP($C8,Aux!$W:$W,Aux!H:H,"-",0)</f>
        <v>Croacia</v>
      </c>
      <c r="E8" s="208">
        <f t="shared" si="0"/>
        <v>8</v>
      </c>
      <c r="F8" s="208">
        <f>+_xlfn.XLOOKUP($C8,Aux!$W:$W,Aux!Q:Q,"-",0)</f>
        <v>2</v>
      </c>
      <c r="G8" s="208">
        <f>+_xlfn.XLOOKUP($C8,Aux!$W:$W,Aux!R:R,"-",0)</f>
        <v>2</v>
      </c>
      <c r="H8" s="208">
        <f>+_xlfn.XLOOKUP($C8,Aux!$W:$W,Aux!S:S,"-",0)</f>
        <v>2</v>
      </c>
      <c r="I8" s="208">
        <f>+_xlfn.XLOOKUP($C8,Aux!$W:$W,Aux!T:T,"-",0)</f>
        <v>1</v>
      </c>
      <c r="J8" s="208">
        <f>+_xlfn.XLOOKUP($C8,Aux!$W:$W,Aux!U:U,"-",0)</f>
        <v>11</v>
      </c>
      <c r="K8" s="209">
        <f>+_xlfn.XLOOKUP($C8,Aux!$W:$W,Aux!V:V,"-",0)</f>
        <v>10</v>
      </c>
    </row>
    <row r="9" spans="1:31" x14ac:dyDescent="0.25">
      <c r="A9" s="405">
        <v>8</v>
      </c>
      <c r="B9" s="391" t="s">
        <v>295</v>
      </c>
      <c r="C9" s="227">
        <f>+LARGE(Aux!$W$4:$W$51,A9)</f>
        <v>307.0109000002941</v>
      </c>
      <c r="D9" s="226" t="str">
        <f>+_xlfn.XLOOKUP($C9,Aux!$W:$W,Aux!H:H,"-",0)</f>
        <v>Costa de Marfil</v>
      </c>
      <c r="E9" s="228">
        <f t="shared" si="0"/>
        <v>7</v>
      </c>
      <c r="F9" s="228">
        <f>+_xlfn.XLOOKUP($C9,Aux!$W:$W,Aux!Q:Q,"-",0)</f>
        <v>2</v>
      </c>
      <c r="G9" s="228">
        <f>+_xlfn.XLOOKUP($C9,Aux!$W:$W,Aux!R:R,"-",0)</f>
        <v>1</v>
      </c>
      <c r="H9" s="228">
        <f>+_xlfn.XLOOKUP($C9,Aux!$W:$W,Aux!S:S,"-",0)</f>
        <v>3</v>
      </c>
      <c r="I9" s="228">
        <f>+_xlfn.XLOOKUP($C9,Aux!$W:$W,Aux!T:T,"-",0)</f>
        <v>1</v>
      </c>
      <c r="J9" s="228">
        <f>+_xlfn.XLOOKUP($C9,Aux!$W:$W,Aux!U:U,"-",0)</f>
        <v>9</v>
      </c>
      <c r="K9" s="229">
        <f>+_xlfn.XLOOKUP($C9,Aux!$W:$W,Aux!V:V,"-",0)</f>
        <v>8</v>
      </c>
    </row>
    <row r="10" spans="1:31" x14ac:dyDescent="0.25">
      <c r="A10" s="406">
        <v>9</v>
      </c>
      <c r="B10" s="392" t="s">
        <v>296</v>
      </c>
      <c r="C10" s="231">
        <f>+LARGE(Aux!$W$4:$W$51,A10)</f>
        <v>212.07110000040001</v>
      </c>
      <c r="D10" s="230" t="str">
        <f>+_xlfn.XLOOKUP($C10,Aux!$W:$W,Aux!H:H,"-",0)</f>
        <v>Corea del Sur</v>
      </c>
      <c r="E10" s="232">
        <f t="shared" si="0"/>
        <v>12</v>
      </c>
      <c r="F10" s="232">
        <f>+_xlfn.XLOOKUP($C10,Aux!$W:$W,Aux!Q:Q,"-",0)</f>
        <v>4</v>
      </c>
      <c r="G10" s="232">
        <f>+_xlfn.XLOOKUP($C10,Aux!$W:$W,Aux!R:R,"-",0)</f>
        <v>0</v>
      </c>
      <c r="H10" s="232">
        <f>+_xlfn.XLOOKUP($C10,Aux!$W:$W,Aux!S:S,"-",0)</f>
        <v>1</v>
      </c>
      <c r="I10" s="232">
        <f>+_xlfn.XLOOKUP($C10,Aux!$W:$W,Aux!T:T,"-",0)</f>
        <v>7</v>
      </c>
      <c r="J10" s="232">
        <f>+_xlfn.XLOOKUP($C10,Aux!$W:$W,Aux!U:U,"-",0)</f>
        <v>11</v>
      </c>
      <c r="K10" s="233">
        <f>+_xlfn.XLOOKUP($C10,Aux!$W:$W,Aux!V:V,"-",0)</f>
        <v>4</v>
      </c>
    </row>
    <row r="11" spans="1:31" x14ac:dyDescent="0.25">
      <c r="A11" s="406">
        <v>10</v>
      </c>
      <c r="B11" s="392" t="s">
        <v>296</v>
      </c>
      <c r="C11" s="231">
        <f>+LARGE(Aux!$W$4:$W$51,A11)</f>
        <v>212.05110000043481</v>
      </c>
      <c r="D11" s="230" t="str">
        <f>+_xlfn.XLOOKUP($C11,Aux!$W:$W,Aux!H:H,"-",0)</f>
        <v>Ecuador</v>
      </c>
      <c r="E11" s="232">
        <f t="shared" si="0"/>
        <v>12</v>
      </c>
      <c r="F11" s="232">
        <f>+_xlfn.XLOOKUP($C11,Aux!$W:$W,Aux!Q:Q,"-",0)</f>
        <v>4</v>
      </c>
      <c r="G11" s="232">
        <f>+_xlfn.XLOOKUP($C11,Aux!$W:$W,Aux!R:R,"-",0)</f>
        <v>0</v>
      </c>
      <c r="H11" s="232">
        <f>+_xlfn.XLOOKUP($C11,Aux!$W:$W,Aux!S:S,"-",0)</f>
        <v>1</v>
      </c>
      <c r="I11" s="232">
        <f>+_xlfn.XLOOKUP($C11,Aux!$W:$W,Aux!T:T,"-",0)</f>
        <v>5</v>
      </c>
      <c r="J11" s="232">
        <f>+_xlfn.XLOOKUP($C11,Aux!$W:$W,Aux!U:U,"-",0)</f>
        <v>11</v>
      </c>
      <c r="K11" s="233">
        <f>+_xlfn.XLOOKUP($C11,Aux!$W:$W,Aux!V:V,"-",0)</f>
        <v>6</v>
      </c>
    </row>
    <row r="12" spans="1:31" x14ac:dyDescent="0.25">
      <c r="A12" s="406">
        <v>11</v>
      </c>
      <c r="B12" s="392" t="s">
        <v>296</v>
      </c>
      <c r="C12" s="231">
        <f>+LARGE(Aux!$W$4:$W$51,A12)</f>
        <v>211.05080000052632</v>
      </c>
      <c r="D12" s="230" t="str">
        <f>+_xlfn.XLOOKUP($C12,Aux!$W:$W,Aux!H:H,"-",0)</f>
        <v>Suiza</v>
      </c>
      <c r="E12" s="232">
        <f t="shared" si="0"/>
        <v>11</v>
      </c>
      <c r="F12" s="232">
        <f>+_xlfn.XLOOKUP($C12,Aux!$W:$W,Aux!Q:Q,"-",0)</f>
        <v>3</v>
      </c>
      <c r="G12" s="232">
        <f>+_xlfn.XLOOKUP($C12,Aux!$W:$W,Aux!R:R,"-",0)</f>
        <v>2</v>
      </c>
      <c r="H12" s="232">
        <f>+_xlfn.XLOOKUP($C12,Aux!$W:$W,Aux!S:S,"-",0)</f>
        <v>0</v>
      </c>
      <c r="I12" s="232">
        <f>+_xlfn.XLOOKUP($C12,Aux!$W:$W,Aux!T:T,"-",0)</f>
        <v>5</v>
      </c>
      <c r="J12" s="232">
        <f>+_xlfn.XLOOKUP($C12,Aux!$W:$W,Aux!U:U,"-",0)</f>
        <v>8</v>
      </c>
      <c r="K12" s="233">
        <f>+_xlfn.XLOOKUP($C12,Aux!$W:$W,Aux!V:V,"-",0)</f>
        <v>3</v>
      </c>
    </row>
    <row r="13" spans="1:31" x14ac:dyDescent="0.25">
      <c r="A13" s="406">
        <v>12</v>
      </c>
      <c r="B13" s="392" t="s">
        <v>296</v>
      </c>
      <c r="C13" s="231">
        <f>+LARGE(Aux!$W$4:$W$51,A13)</f>
        <v>211.04120000032259</v>
      </c>
      <c r="D13" s="230" t="str">
        <f>+_xlfn.XLOOKUP($C13,Aux!$W:$W,Aux!H:H,"-",0)</f>
        <v>Noruega</v>
      </c>
      <c r="E13" s="232">
        <f t="shared" si="0"/>
        <v>11</v>
      </c>
      <c r="F13" s="232">
        <f>+_xlfn.XLOOKUP($C13,Aux!$W:$W,Aux!Q:Q,"-",0)</f>
        <v>3</v>
      </c>
      <c r="G13" s="232">
        <f>+_xlfn.XLOOKUP($C13,Aux!$W:$W,Aux!R:R,"-",0)</f>
        <v>2</v>
      </c>
      <c r="H13" s="232">
        <f>+_xlfn.XLOOKUP($C13,Aux!$W:$W,Aux!S:S,"-",0)</f>
        <v>0</v>
      </c>
      <c r="I13" s="232">
        <f>+_xlfn.XLOOKUP($C13,Aux!$W:$W,Aux!T:T,"-",0)</f>
        <v>4</v>
      </c>
      <c r="J13" s="232">
        <f>+_xlfn.XLOOKUP($C13,Aux!$W:$W,Aux!U:U,"-",0)</f>
        <v>12</v>
      </c>
      <c r="K13" s="233">
        <f>+_xlfn.XLOOKUP($C13,Aux!$W:$W,Aux!V:V,"-",0)</f>
        <v>8</v>
      </c>
    </row>
    <row r="14" spans="1:31" x14ac:dyDescent="0.25">
      <c r="A14" s="406">
        <v>13</v>
      </c>
      <c r="B14" s="392" t="s">
        <v>296</v>
      </c>
      <c r="C14" s="231">
        <f>+LARGE(Aux!$W$4:$W$51,A14)</f>
        <v>210.05100000076925</v>
      </c>
      <c r="D14" s="230" t="str">
        <f>+_xlfn.XLOOKUP($C14,Aux!$W:$W,Aux!H:H,"-",0)</f>
        <v>Colombia</v>
      </c>
      <c r="E14" s="232">
        <f t="shared" si="0"/>
        <v>10</v>
      </c>
      <c r="F14" s="232">
        <f>+_xlfn.XLOOKUP($C14,Aux!$W:$W,Aux!Q:Q,"-",0)</f>
        <v>3</v>
      </c>
      <c r="G14" s="232">
        <f>+_xlfn.XLOOKUP($C14,Aux!$W:$W,Aux!R:R,"-",0)</f>
        <v>1</v>
      </c>
      <c r="H14" s="232">
        <f>+_xlfn.XLOOKUP($C14,Aux!$W:$W,Aux!S:S,"-",0)</f>
        <v>1</v>
      </c>
      <c r="I14" s="232">
        <f>+_xlfn.XLOOKUP($C14,Aux!$W:$W,Aux!T:T,"-",0)</f>
        <v>5</v>
      </c>
      <c r="J14" s="232">
        <f>+_xlfn.XLOOKUP($C14,Aux!$W:$W,Aux!U:U,"-",0)</f>
        <v>10</v>
      </c>
      <c r="K14" s="233">
        <f>+_xlfn.XLOOKUP($C14,Aux!$W:$W,Aux!V:V,"-",0)</f>
        <v>5</v>
      </c>
    </row>
    <row r="15" spans="1:31" x14ac:dyDescent="0.25">
      <c r="A15" s="406">
        <v>14</v>
      </c>
      <c r="B15" s="392" t="s">
        <v>296</v>
      </c>
      <c r="C15" s="231">
        <f>+LARGE(Aux!$W$4:$W$51,A15)</f>
        <v>208.03070000034484</v>
      </c>
      <c r="D15" s="230" t="str">
        <f>+_xlfn.XLOOKUP($C15,Aux!$W:$W,Aux!H:H,"-",0)</f>
        <v>Egipto</v>
      </c>
      <c r="E15" s="232">
        <f t="shared" si="0"/>
        <v>8</v>
      </c>
      <c r="F15" s="232">
        <f>+_xlfn.XLOOKUP($C15,Aux!$W:$W,Aux!Q:Q,"-",0)</f>
        <v>2</v>
      </c>
      <c r="G15" s="232">
        <f>+_xlfn.XLOOKUP($C15,Aux!$W:$W,Aux!R:R,"-",0)</f>
        <v>2</v>
      </c>
      <c r="H15" s="232">
        <f>+_xlfn.XLOOKUP($C15,Aux!$W:$W,Aux!S:S,"-",0)</f>
        <v>1</v>
      </c>
      <c r="I15" s="232">
        <f>+_xlfn.XLOOKUP($C15,Aux!$W:$W,Aux!T:T,"-",0)</f>
        <v>3</v>
      </c>
      <c r="J15" s="232">
        <f>+_xlfn.XLOOKUP($C15,Aux!$W:$W,Aux!U:U,"-",0)</f>
        <v>7</v>
      </c>
      <c r="K15" s="233">
        <f>+_xlfn.XLOOKUP($C15,Aux!$W:$W,Aux!V:V,"-",0)</f>
        <v>4</v>
      </c>
    </row>
    <row r="16" spans="1:31" x14ac:dyDescent="0.25">
      <c r="A16" s="406">
        <v>15</v>
      </c>
      <c r="B16" s="392" t="s">
        <v>296</v>
      </c>
      <c r="C16" s="231">
        <f>+LARGE(Aux!$W$4:$W$51,A16)</f>
        <v>208.02080000025001</v>
      </c>
      <c r="D16" s="230" t="str">
        <f>+_xlfn.XLOOKUP($C16,Aux!$W:$W,Aux!H:H,"-",0)</f>
        <v>Paraguay</v>
      </c>
      <c r="E16" s="232">
        <f t="shared" si="0"/>
        <v>8</v>
      </c>
      <c r="F16" s="232">
        <f>+_xlfn.XLOOKUP($C16,Aux!$W:$W,Aux!Q:Q,"-",0)</f>
        <v>2</v>
      </c>
      <c r="G16" s="232">
        <f>+_xlfn.XLOOKUP($C16,Aux!$W:$W,Aux!R:R,"-",0)</f>
        <v>2</v>
      </c>
      <c r="H16" s="232">
        <f>+_xlfn.XLOOKUP($C16,Aux!$W:$W,Aux!S:S,"-",0)</f>
        <v>1</v>
      </c>
      <c r="I16" s="232">
        <f>+_xlfn.XLOOKUP($C16,Aux!$W:$W,Aux!T:T,"-",0)</f>
        <v>2</v>
      </c>
      <c r="J16" s="232">
        <f>+_xlfn.XLOOKUP($C16,Aux!$W:$W,Aux!U:U,"-",0)</f>
        <v>8</v>
      </c>
      <c r="K16" s="233">
        <f>+_xlfn.XLOOKUP($C16,Aux!$W:$W,Aux!V:V,"-",0)</f>
        <v>6</v>
      </c>
    </row>
    <row r="17" spans="1:11" x14ac:dyDescent="0.25">
      <c r="A17" s="407">
        <v>16</v>
      </c>
      <c r="B17" s="393" t="s">
        <v>296</v>
      </c>
      <c r="C17" s="235">
        <f>+LARGE(Aux!$W$4:$W$51,A17)</f>
        <v>208.01070000033332</v>
      </c>
      <c r="D17" s="234" t="str">
        <f>+_xlfn.XLOOKUP($C17,Aux!$W:$W,Aux!H:H,"-",0)</f>
        <v>Canada</v>
      </c>
      <c r="E17" s="236">
        <f t="shared" si="0"/>
        <v>8</v>
      </c>
      <c r="F17" s="236">
        <f>+_xlfn.XLOOKUP($C17,Aux!$W:$W,Aux!Q:Q,"-",0)</f>
        <v>2</v>
      </c>
      <c r="G17" s="236">
        <f>+_xlfn.XLOOKUP($C17,Aux!$W:$W,Aux!R:R,"-",0)</f>
        <v>2</v>
      </c>
      <c r="H17" s="236">
        <f>+_xlfn.XLOOKUP($C17,Aux!$W:$W,Aux!S:S,"-",0)</f>
        <v>1</v>
      </c>
      <c r="I17" s="236">
        <f>+_xlfn.XLOOKUP($C17,Aux!$W:$W,Aux!T:T,"-",0)</f>
        <v>1</v>
      </c>
      <c r="J17" s="236">
        <f>+_xlfn.XLOOKUP($C17,Aux!$W:$W,Aux!U:U,"-",0)</f>
        <v>7</v>
      </c>
      <c r="K17" s="237">
        <f>+_xlfn.XLOOKUP($C17,Aux!$W:$W,Aux!V:V,"-",0)</f>
        <v>6</v>
      </c>
    </row>
    <row r="18" spans="1:11" x14ac:dyDescent="0.25">
      <c r="A18" s="408">
        <v>17</v>
      </c>
      <c r="B18" s="394" t="s">
        <v>297</v>
      </c>
      <c r="C18" s="212">
        <f>+LARGE(Aux!$W$4:$W$51,A18)</f>
        <v>108.0309000025</v>
      </c>
      <c r="D18" s="210" t="str">
        <f>+_xlfn.XLOOKUP($C18,Aux!$W:$W,Aux!H:H,"-",0)</f>
        <v>Inglaterra</v>
      </c>
      <c r="E18" s="213">
        <f t="shared" si="0"/>
        <v>8</v>
      </c>
      <c r="F18" s="213">
        <f>+_xlfn.XLOOKUP($C18,Aux!$W:$W,Aux!Q:Q,"-",0)</f>
        <v>2</v>
      </c>
      <c r="G18" s="213">
        <f>+_xlfn.XLOOKUP($C18,Aux!$W:$W,Aux!R:R,"-",0)</f>
        <v>2</v>
      </c>
      <c r="H18" s="213">
        <f>+_xlfn.XLOOKUP($C18,Aux!$W:$W,Aux!S:S,"-",0)</f>
        <v>0</v>
      </c>
      <c r="I18" s="213">
        <f>+_xlfn.XLOOKUP($C18,Aux!$W:$W,Aux!T:T,"-",0)</f>
        <v>3</v>
      </c>
      <c r="J18" s="213">
        <f>+_xlfn.XLOOKUP($C18,Aux!$W:$W,Aux!U:U,"-",0)</f>
        <v>9</v>
      </c>
      <c r="K18" s="197">
        <f>+_xlfn.XLOOKUP($C18,Aux!$W:$W,Aux!V:V,"-",0)</f>
        <v>6</v>
      </c>
    </row>
    <row r="19" spans="1:11" x14ac:dyDescent="0.25">
      <c r="A19" s="408">
        <v>18</v>
      </c>
      <c r="B19" s="394" t="s">
        <v>297</v>
      </c>
      <c r="C19" s="212">
        <f>+LARGE(Aux!$W$4:$W$51,A19)</f>
        <v>108.03060000055557</v>
      </c>
      <c r="D19" s="210" t="str">
        <f>+_xlfn.XLOOKUP($C19,Aux!$W:$W,Aux!H:H,"-",0)</f>
        <v>Japon</v>
      </c>
      <c r="E19" s="213">
        <f t="shared" si="0"/>
        <v>8</v>
      </c>
      <c r="F19" s="213">
        <f>+_xlfn.XLOOKUP($C19,Aux!$W:$W,Aux!Q:Q,"-",0)</f>
        <v>2</v>
      </c>
      <c r="G19" s="213">
        <f>+_xlfn.XLOOKUP($C19,Aux!$W:$W,Aux!R:R,"-",0)</f>
        <v>2</v>
      </c>
      <c r="H19" s="213">
        <f>+_xlfn.XLOOKUP($C19,Aux!$W:$W,Aux!S:S,"-",0)</f>
        <v>0</v>
      </c>
      <c r="I19" s="213">
        <f>+_xlfn.XLOOKUP($C19,Aux!$W:$W,Aux!T:T,"-",0)</f>
        <v>3</v>
      </c>
      <c r="J19" s="213">
        <f>+_xlfn.XLOOKUP($C19,Aux!$W:$W,Aux!U:U,"-",0)</f>
        <v>6</v>
      </c>
      <c r="K19" s="197">
        <f>+_xlfn.XLOOKUP($C19,Aux!$W:$W,Aux!V:V,"-",0)</f>
        <v>3</v>
      </c>
    </row>
    <row r="20" spans="1:11" x14ac:dyDescent="0.25">
      <c r="A20" s="408">
        <v>19</v>
      </c>
      <c r="B20" s="394" t="s">
        <v>297</v>
      </c>
      <c r="C20" s="212">
        <f>+LARGE(Aux!$W$4:$W$51,A20)</f>
        <v>107.040800002</v>
      </c>
      <c r="D20" s="210" t="str">
        <f>+_xlfn.XLOOKUP($C20,Aux!$W:$W,Aux!H:H,"-",0)</f>
        <v>Portugal</v>
      </c>
      <c r="E20" s="213">
        <f t="shared" si="0"/>
        <v>7</v>
      </c>
      <c r="F20" s="213">
        <f>+_xlfn.XLOOKUP($C20,Aux!$W:$W,Aux!Q:Q,"-",0)</f>
        <v>2</v>
      </c>
      <c r="G20" s="213">
        <f>+_xlfn.XLOOKUP($C20,Aux!$W:$W,Aux!R:R,"-",0)</f>
        <v>1</v>
      </c>
      <c r="H20" s="213">
        <f>+_xlfn.XLOOKUP($C20,Aux!$W:$W,Aux!S:S,"-",0)</f>
        <v>1</v>
      </c>
      <c r="I20" s="213">
        <f>+_xlfn.XLOOKUP($C20,Aux!$W:$W,Aux!T:T,"-",0)</f>
        <v>4</v>
      </c>
      <c r="J20" s="213">
        <f>+_xlfn.XLOOKUP($C20,Aux!$W:$W,Aux!U:U,"-",0)</f>
        <v>8</v>
      </c>
      <c r="K20" s="197">
        <f>+_xlfn.XLOOKUP($C20,Aux!$W:$W,Aux!V:V,"-",0)</f>
        <v>4</v>
      </c>
    </row>
    <row r="21" spans="1:11" x14ac:dyDescent="0.25">
      <c r="A21" s="408">
        <v>20</v>
      </c>
      <c r="B21" s="394" t="s">
        <v>297</v>
      </c>
      <c r="C21" s="212">
        <f>+LARGE(Aux!$W$4:$W$51,A21)</f>
        <v>106.061100001</v>
      </c>
      <c r="D21" s="210" t="str">
        <f>+_xlfn.XLOOKUP($C21,Aux!$W:$W,Aux!H:H,"-",0)</f>
        <v>Alemania</v>
      </c>
      <c r="E21" s="213">
        <f t="shared" si="0"/>
        <v>6</v>
      </c>
      <c r="F21" s="213">
        <f>+_xlfn.XLOOKUP($C21,Aux!$W:$W,Aux!Q:Q,"-",0)</f>
        <v>2</v>
      </c>
      <c r="G21" s="213">
        <f>+_xlfn.XLOOKUP($C21,Aux!$W:$W,Aux!R:R,"-",0)</f>
        <v>0</v>
      </c>
      <c r="H21" s="213">
        <f>+_xlfn.XLOOKUP($C21,Aux!$W:$W,Aux!S:S,"-",0)</f>
        <v>2</v>
      </c>
      <c r="I21" s="213">
        <f>+_xlfn.XLOOKUP($C21,Aux!$W:$W,Aux!T:T,"-",0)</f>
        <v>6</v>
      </c>
      <c r="J21" s="213">
        <f>+_xlfn.XLOOKUP($C21,Aux!$W:$W,Aux!U:U,"-",0)</f>
        <v>11</v>
      </c>
      <c r="K21" s="197">
        <f>+_xlfn.XLOOKUP($C21,Aux!$W:$W,Aux!V:V,"-",0)</f>
        <v>5</v>
      </c>
    </row>
    <row r="22" spans="1:11" x14ac:dyDescent="0.25">
      <c r="A22" s="408">
        <v>21</v>
      </c>
      <c r="B22" s="394" t="s">
        <v>297</v>
      </c>
      <c r="C22" s="212">
        <f>+LARGE(Aux!$W$4:$W$51,A22)</f>
        <v>106.04110000142857</v>
      </c>
      <c r="D22" s="210" t="str">
        <f>+_xlfn.XLOOKUP($C22,Aux!$W:$W,Aux!H:H,"-",0)</f>
        <v>Paises Bajos</v>
      </c>
      <c r="E22" s="213">
        <f t="shared" si="0"/>
        <v>6</v>
      </c>
      <c r="F22" s="213">
        <f>+_xlfn.XLOOKUP($C22,Aux!$W:$W,Aux!Q:Q,"-",0)</f>
        <v>2</v>
      </c>
      <c r="G22" s="213">
        <f>+_xlfn.XLOOKUP($C22,Aux!$W:$W,Aux!R:R,"-",0)</f>
        <v>0</v>
      </c>
      <c r="H22" s="213">
        <f>+_xlfn.XLOOKUP($C22,Aux!$W:$W,Aux!S:S,"-",0)</f>
        <v>2</v>
      </c>
      <c r="I22" s="213">
        <f>+_xlfn.XLOOKUP($C22,Aux!$W:$W,Aux!T:T,"-",0)</f>
        <v>4</v>
      </c>
      <c r="J22" s="213">
        <f>+_xlfn.XLOOKUP($C22,Aux!$W:$W,Aux!U:U,"-",0)</f>
        <v>11</v>
      </c>
      <c r="K22" s="197">
        <f>+_xlfn.XLOOKUP($C22,Aux!$W:$W,Aux!V:V,"-",0)</f>
        <v>7</v>
      </c>
    </row>
    <row r="23" spans="1:11" x14ac:dyDescent="0.25">
      <c r="A23" s="408">
        <v>22</v>
      </c>
      <c r="B23" s="394" t="s">
        <v>297</v>
      </c>
      <c r="C23" s="212">
        <f>+LARGE(Aux!$W$4:$W$51,A23)</f>
        <v>106.02060000058823</v>
      </c>
      <c r="D23" s="210" t="str">
        <f>+_xlfn.XLOOKUP($C23,Aux!$W:$W,Aux!H:H,"-",0)</f>
        <v>Uruguay</v>
      </c>
      <c r="E23" s="213">
        <f t="shared" si="0"/>
        <v>6</v>
      </c>
      <c r="F23" s="213">
        <f>+_xlfn.XLOOKUP($C23,Aux!$W:$W,Aux!Q:Q,"-",0)</f>
        <v>2</v>
      </c>
      <c r="G23" s="213">
        <f>+_xlfn.XLOOKUP($C23,Aux!$W:$W,Aux!R:R,"-",0)</f>
        <v>0</v>
      </c>
      <c r="H23" s="213">
        <f>+_xlfn.XLOOKUP($C23,Aux!$W:$W,Aux!S:S,"-",0)</f>
        <v>2</v>
      </c>
      <c r="I23" s="213">
        <f>+_xlfn.XLOOKUP($C23,Aux!$W:$W,Aux!T:T,"-",0)</f>
        <v>2</v>
      </c>
      <c r="J23" s="213">
        <f>+_xlfn.XLOOKUP($C23,Aux!$W:$W,Aux!U:U,"-",0)</f>
        <v>6</v>
      </c>
      <c r="K23" s="197">
        <f>+_xlfn.XLOOKUP($C23,Aux!$W:$W,Aux!V:V,"-",0)</f>
        <v>4</v>
      </c>
    </row>
    <row r="24" spans="1:11" x14ac:dyDescent="0.25">
      <c r="A24" s="408">
        <v>23</v>
      </c>
      <c r="B24" s="394" t="s">
        <v>297</v>
      </c>
      <c r="C24" s="212">
        <f>+LARGE(Aux!$W$4:$W$51,A24)</f>
        <v>106.00080000013513</v>
      </c>
      <c r="D24" s="210" t="str">
        <f>+_xlfn.XLOOKUP($C24,Aux!$W:$W,Aux!H:H,"-",0)</f>
        <v>Ghana</v>
      </c>
      <c r="E24" s="213">
        <f t="shared" si="0"/>
        <v>6</v>
      </c>
      <c r="F24" s="213">
        <f>+_xlfn.XLOOKUP($C24,Aux!$W:$W,Aux!Q:Q,"-",0)</f>
        <v>2</v>
      </c>
      <c r="G24" s="213">
        <f>+_xlfn.XLOOKUP($C24,Aux!$W:$W,Aux!R:R,"-",0)</f>
        <v>0</v>
      </c>
      <c r="H24" s="213">
        <f>+_xlfn.XLOOKUP($C24,Aux!$W:$W,Aux!S:S,"-",0)</f>
        <v>2</v>
      </c>
      <c r="I24" s="213">
        <f>+_xlfn.XLOOKUP($C24,Aux!$W:$W,Aux!T:T,"-",0)</f>
        <v>0</v>
      </c>
      <c r="J24" s="213">
        <f>+_xlfn.XLOOKUP($C24,Aux!$W:$W,Aux!U:U,"-",0)</f>
        <v>8</v>
      </c>
      <c r="K24" s="197">
        <f>+_xlfn.XLOOKUP($C24,Aux!$W:$W,Aux!V:V,"-",0)</f>
        <v>8</v>
      </c>
    </row>
    <row r="25" spans="1:11" x14ac:dyDescent="0.25">
      <c r="A25" s="408">
        <v>24</v>
      </c>
      <c r="B25" s="394" t="s">
        <v>297</v>
      </c>
      <c r="C25" s="212">
        <f>+LARGE(Aux!$W$4:$W$51,A25)</f>
        <v>104.0106000004762</v>
      </c>
      <c r="D25" s="210" t="str">
        <f>+_xlfn.XLOOKUP($C25,Aux!$W:$W,Aux!H:H,"-",0)</f>
        <v>Iran</v>
      </c>
      <c r="E25" s="213">
        <f t="shared" si="0"/>
        <v>4</v>
      </c>
      <c r="F25" s="213">
        <f>+_xlfn.XLOOKUP($C25,Aux!$W:$W,Aux!Q:Q,"-",0)</f>
        <v>1</v>
      </c>
      <c r="G25" s="213">
        <f>+_xlfn.XLOOKUP($C25,Aux!$W:$W,Aux!R:R,"-",0)</f>
        <v>1</v>
      </c>
      <c r="H25" s="213">
        <f>+_xlfn.XLOOKUP($C25,Aux!$W:$W,Aux!S:S,"-",0)</f>
        <v>2</v>
      </c>
      <c r="I25" s="213">
        <f>+_xlfn.XLOOKUP($C25,Aux!$W:$W,Aux!T:T,"-",0)</f>
        <v>1</v>
      </c>
      <c r="J25" s="213">
        <f>+_xlfn.XLOOKUP($C25,Aux!$W:$W,Aux!U:U,"-",0)</f>
        <v>6</v>
      </c>
      <c r="K25" s="197">
        <f>+_xlfn.XLOOKUP($C25,Aux!$W:$W,Aux!V:V,"-",0)</f>
        <v>5</v>
      </c>
    </row>
    <row r="26" spans="1:11" x14ac:dyDescent="0.25">
      <c r="A26" s="408">
        <v>25</v>
      </c>
      <c r="B26" s="394" t="s">
        <v>297</v>
      </c>
      <c r="C26" s="212">
        <f>+LARGE(Aux!$W$4:$W$51,A26)</f>
        <v>104.00050000045455</v>
      </c>
      <c r="D26" s="210" t="str">
        <f>+_xlfn.XLOOKUP($C26,Aux!$W:$W,Aux!H:H,"-",0)</f>
        <v>Turquia</v>
      </c>
      <c r="E26" s="213">
        <f t="shared" si="0"/>
        <v>4</v>
      </c>
      <c r="F26" s="213">
        <f>+_xlfn.XLOOKUP($C26,Aux!$W:$W,Aux!Q:Q,"-",0)</f>
        <v>1</v>
      </c>
      <c r="G26" s="213">
        <f>+_xlfn.XLOOKUP($C26,Aux!$W:$W,Aux!R:R,"-",0)</f>
        <v>1</v>
      </c>
      <c r="H26" s="213">
        <f>+_xlfn.XLOOKUP($C26,Aux!$W:$W,Aux!S:S,"-",0)</f>
        <v>2</v>
      </c>
      <c r="I26" s="213">
        <f>+_xlfn.XLOOKUP($C26,Aux!$W:$W,Aux!T:T,"-",0)</f>
        <v>0</v>
      </c>
      <c r="J26" s="213">
        <f>+_xlfn.XLOOKUP($C26,Aux!$W:$W,Aux!U:U,"-",0)</f>
        <v>5</v>
      </c>
      <c r="K26" s="197">
        <f>+_xlfn.XLOOKUP($C26,Aux!$W:$W,Aux!V:V,"-",0)</f>
        <v>5</v>
      </c>
    </row>
    <row r="27" spans="1:11" x14ac:dyDescent="0.25">
      <c r="A27" s="408">
        <v>26</v>
      </c>
      <c r="B27" s="394" t="s">
        <v>297</v>
      </c>
      <c r="C27" s="212">
        <f>+LARGE(Aux!$W$4:$W$51,A27)</f>
        <v>103.99060000015385</v>
      </c>
      <c r="D27" s="210" t="str">
        <f>+_xlfn.XLOOKUP($C27,Aux!$W:$W,Aux!H:H,"-",0)</f>
        <v>Bosnia</v>
      </c>
      <c r="E27" s="213">
        <f t="shared" si="0"/>
        <v>4</v>
      </c>
      <c r="F27" s="213">
        <f>+_xlfn.XLOOKUP($C27,Aux!$W:$W,Aux!Q:Q,"-",0)</f>
        <v>1</v>
      </c>
      <c r="G27" s="213">
        <f>+_xlfn.XLOOKUP($C27,Aux!$W:$W,Aux!R:R,"-",0)</f>
        <v>1</v>
      </c>
      <c r="H27" s="213">
        <f>+_xlfn.XLOOKUP($C27,Aux!$W:$W,Aux!S:S,"-",0)</f>
        <v>2</v>
      </c>
      <c r="I27" s="213">
        <f>+_xlfn.XLOOKUP($C27,Aux!$W:$W,Aux!T:T,"-",0)</f>
        <v>-1</v>
      </c>
      <c r="J27" s="213">
        <f>+_xlfn.XLOOKUP($C27,Aux!$W:$W,Aux!U:U,"-",0)</f>
        <v>6</v>
      </c>
      <c r="K27" s="197">
        <f>+_xlfn.XLOOKUP($C27,Aux!$W:$W,Aux!V:V,"-",0)</f>
        <v>7</v>
      </c>
    </row>
    <row r="28" spans="1:11" x14ac:dyDescent="0.25">
      <c r="A28" s="408">
        <v>27</v>
      </c>
      <c r="B28" s="394" t="s">
        <v>297</v>
      </c>
      <c r="C28" s="212">
        <f>+LARGE(Aux!$W$4:$W$51,A28)</f>
        <v>103.98050000066667</v>
      </c>
      <c r="D28" s="210" t="str">
        <f>+_xlfn.XLOOKUP($C28,Aux!$W:$W,Aux!H:H,"-",0)</f>
        <v>Mexico</v>
      </c>
      <c r="E28" s="213">
        <f t="shared" si="0"/>
        <v>4</v>
      </c>
      <c r="F28" s="213">
        <f>+_xlfn.XLOOKUP($C28,Aux!$W:$W,Aux!Q:Q,"-",0)</f>
        <v>1</v>
      </c>
      <c r="G28" s="213">
        <f>+_xlfn.XLOOKUP($C28,Aux!$W:$W,Aux!R:R,"-",0)</f>
        <v>1</v>
      </c>
      <c r="H28" s="213">
        <f>+_xlfn.XLOOKUP($C28,Aux!$W:$W,Aux!S:S,"-",0)</f>
        <v>2</v>
      </c>
      <c r="I28" s="213">
        <f>+_xlfn.XLOOKUP($C28,Aux!$W:$W,Aux!T:T,"-",0)</f>
        <v>-2</v>
      </c>
      <c r="J28" s="213">
        <f>+_xlfn.XLOOKUP($C28,Aux!$W:$W,Aux!U:U,"-",0)</f>
        <v>5</v>
      </c>
      <c r="K28" s="197">
        <f>+_xlfn.XLOOKUP($C28,Aux!$W:$W,Aux!V:V,"-",0)</f>
        <v>7</v>
      </c>
    </row>
    <row r="29" spans="1:11" x14ac:dyDescent="0.25">
      <c r="A29" s="408">
        <v>28</v>
      </c>
      <c r="B29" s="394" t="s">
        <v>297</v>
      </c>
      <c r="C29" s="212">
        <f>+LARGE(Aux!$W$4:$W$51,A29)</f>
        <v>103.98050000037037</v>
      </c>
      <c r="D29" s="210" t="str">
        <f>+_xlfn.XLOOKUP($C29,Aux!$W:$W,Aux!H:H,"-",0)</f>
        <v>Australia</v>
      </c>
      <c r="E29" s="213">
        <f t="shared" si="0"/>
        <v>4</v>
      </c>
      <c r="F29" s="213">
        <f>+_xlfn.XLOOKUP($C29,Aux!$W:$W,Aux!Q:Q,"-",0)</f>
        <v>1</v>
      </c>
      <c r="G29" s="213">
        <f>+_xlfn.XLOOKUP($C29,Aux!$W:$W,Aux!R:R,"-",0)</f>
        <v>1</v>
      </c>
      <c r="H29" s="213">
        <f>+_xlfn.XLOOKUP($C29,Aux!$W:$W,Aux!S:S,"-",0)</f>
        <v>2</v>
      </c>
      <c r="I29" s="213">
        <f>+_xlfn.XLOOKUP($C29,Aux!$W:$W,Aux!T:T,"-",0)</f>
        <v>-2</v>
      </c>
      <c r="J29" s="213">
        <f>+_xlfn.XLOOKUP($C29,Aux!$W:$W,Aux!U:U,"-",0)</f>
        <v>5</v>
      </c>
      <c r="K29" s="197">
        <f>+_xlfn.XLOOKUP($C29,Aux!$W:$W,Aux!V:V,"-",0)</f>
        <v>7</v>
      </c>
    </row>
    <row r="30" spans="1:11" x14ac:dyDescent="0.25">
      <c r="A30" s="408">
        <v>29</v>
      </c>
      <c r="B30" s="394" t="s">
        <v>297</v>
      </c>
      <c r="C30" s="212">
        <f>+LARGE(Aux!$W$4:$W$51,A30)</f>
        <v>103.98050000035715</v>
      </c>
      <c r="D30" s="210" t="str">
        <f>+_xlfn.XLOOKUP($C30,Aux!$W:$W,Aux!H:H,"-",0)</f>
        <v>Argelia</v>
      </c>
      <c r="E30" s="213">
        <f t="shared" si="0"/>
        <v>4</v>
      </c>
      <c r="F30" s="213">
        <f>+_xlfn.XLOOKUP($C30,Aux!$W:$W,Aux!Q:Q,"-",0)</f>
        <v>1</v>
      </c>
      <c r="G30" s="213">
        <f>+_xlfn.XLOOKUP($C30,Aux!$W:$W,Aux!R:R,"-",0)</f>
        <v>1</v>
      </c>
      <c r="H30" s="213">
        <f>+_xlfn.XLOOKUP($C30,Aux!$W:$W,Aux!S:S,"-",0)</f>
        <v>2</v>
      </c>
      <c r="I30" s="213">
        <f>+_xlfn.XLOOKUP($C30,Aux!$W:$W,Aux!T:T,"-",0)</f>
        <v>-2</v>
      </c>
      <c r="J30" s="213">
        <f>+_xlfn.XLOOKUP($C30,Aux!$W:$W,Aux!U:U,"-",0)</f>
        <v>5</v>
      </c>
      <c r="K30" s="197">
        <f>+_xlfn.XLOOKUP($C30,Aux!$W:$W,Aux!V:V,"-",0)</f>
        <v>7</v>
      </c>
    </row>
    <row r="31" spans="1:11" x14ac:dyDescent="0.25">
      <c r="A31" s="408">
        <v>30</v>
      </c>
      <c r="B31" s="394" t="s">
        <v>297</v>
      </c>
      <c r="C31" s="212">
        <f>+LARGE(Aux!$W$4:$W$51,A31)</f>
        <v>103.98040000041667</v>
      </c>
      <c r="D31" s="210" t="str">
        <f>+_xlfn.XLOOKUP($C31,Aux!$W:$W,Aux!H:H,"-",0)</f>
        <v>Austria</v>
      </c>
      <c r="E31" s="213">
        <f t="shared" si="0"/>
        <v>4</v>
      </c>
      <c r="F31" s="213">
        <f>+_xlfn.XLOOKUP($C31,Aux!$W:$W,Aux!Q:Q,"-",0)</f>
        <v>1</v>
      </c>
      <c r="G31" s="213">
        <f>+_xlfn.XLOOKUP($C31,Aux!$W:$W,Aux!R:R,"-",0)</f>
        <v>1</v>
      </c>
      <c r="H31" s="213">
        <f>+_xlfn.XLOOKUP($C31,Aux!$W:$W,Aux!S:S,"-",0)</f>
        <v>2</v>
      </c>
      <c r="I31" s="213">
        <f>+_xlfn.XLOOKUP($C31,Aux!$W:$W,Aux!T:T,"-",0)</f>
        <v>-2</v>
      </c>
      <c r="J31" s="213">
        <f>+_xlfn.XLOOKUP($C31,Aux!$W:$W,Aux!U:U,"-",0)</f>
        <v>4</v>
      </c>
      <c r="K31" s="197">
        <f>+_xlfn.XLOOKUP($C31,Aux!$W:$W,Aux!V:V,"-",0)</f>
        <v>6</v>
      </c>
    </row>
    <row r="32" spans="1:11" x14ac:dyDescent="0.25">
      <c r="A32" s="408">
        <v>31</v>
      </c>
      <c r="B32" s="394" t="s">
        <v>297</v>
      </c>
      <c r="C32" s="212">
        <f>+LARGE(Aux!$W$4:$W$51,A32)</f>
        <v>102.99060000023256</v>
      </c>
      <c r="D32" s="210" t="str">
        <f>+_xlfn.XLOOKUP($C32,Aux!$W:$W,Aux!H:H,"-",0)</f>
        <v>Escocia</v>
      </c>
      <c r="E32" s="213">
        <f t="shared" si="0"/>
        <v>3</v>
      </c>
      <c r="F32" s="213">
        <f>+_xlfn.XLOOKUP($C32,Aux!$W:$W,Aux!Q:Q,"-",0)</f>
        <v>1</v>
      </c>
      <c r="G32" s="213">
        <f>+_xlfn.XLOOKUP($C32,Aux!$W:$W,Aux!R:R,"-",0)</f>
        <v>0</v>
      </c>
      <c r="H32" s="213">
        <f>+_xlfn.XLOOKUP($C32,Aux!$W:$W,Aux!S:S,"-",0)</f>
        <v>3</v>
      </c>
      <c r="I32" s="213">
        <f>+_xlfn.XLOOKUP($C32,Aux!$W:$W,Aux!T:T,"-",0)</f>
        <v>-1</v>
      </c>
      <c r="J32" s="213">
        <f>+_xlfn.XLOOKUP($C32,Aux!$W:$W,Aux!U:U,"-",0)</f>
        <v>6</v>
      </c>
      <c r="K32" s="197">
        <f>+_xlfn.XLOOKUP($C32,Aux!$W:$W,Aux!V:V,"-",0)</f>
        <v>7</v>
      </c>
    </row>
    <row r="33" spans="1:11" x14ac:dyDescent="0.25">
      <c r="A33" s="409">
        <v>32</v>
      </c>
      <c r="B33" s="395" t="s">
        <v>297</v>
      </c>
      <c r="C33" s="215">
        <f>+LARGE(Aux!$W$4:$W$51,A33)</f>
        <v>102.98040000016394</v>
      </c>
      <c r="D33" s="214" t="str">
        <f>+_xlfn.XLOOKUP($C33,Aux!$W:$W,Aux!H:H,"-",0)</f>
        <v>Arabia Saudita</v>
      </c>
      <c r="E33" s="216">
        <f t="shared" si="0"/>
        <v>3</v>
      </c>
      <c r="F33" s="216">
        <f>+_xlfn.XLOOKUP($C33,Aux!$W:$W,Aux!Q:Q,"-",0)</f>
        <v>1</v>
      </c>
      <c r="G33" s="216">
        <f>+_xlfn.XLOOKUP($C33,Aux!$W:$W,Aux!R:R,"-",0)</f>
        <v>0</v>
      </c>
      <c r="H33" s="216">
        <f>+_xlfn.XLOOKUP($C33,Aux!$W:$W,Aux!S:S,"-",0)</f>
        <v>3</v>
      </c>
      <c r="I33" s="216">
        <f>+_xlfn.XLOOKUP($C33,Aux!$W:$W,Aux!T:T,"-",0)</f>
        <v>-2</v>
      </c>
      <c r="J33" s="216">
        <f>+_xlfn.XLOOKUP($C33,Aux!$W:$W,Aux!U:U,"-",0)</f>
        <v>4</v>
      </c>
      <c r="K33" s="217">
        <f>+_xlfn.XLOOKUP($C33,Aux!$W:$W,Aux!V:V,"-",0)</f>
        <v>6</v>
      </c>
    </row>
    <row r="34" spans="1:11" x14ac:dyDescent="0.25">
      <c r="A34" s="410">
        <v>33</v>
      </c>
      <c r="B34" s="396" t="s">
        <v>298</v>
      </c>
      <c r="C34" s="219">
        <f>+LARGE(Aux!$W$4:$W$51,A34)</f>
        <v>3.0004000002439022</v>
      </c>
      <c r="D34" s="218" t="str">
        <f>+_xlfn.XLOOKUP($C34,Aux!$W:$W,Aux!H:H,"-",0)</f>
        <v>Repubilca Checa</v>
      </c>
      <c r="E34" s="220">
        <f t="shared" si="0"/>
        <v>3</v>
      </c>
      <c r="F34" s="220">
        <f>+_xlfn.XLOOKUP($C34,Aux!$W:$W,Aux!Q:Q,"-",0)</f>
        <v>1</v>
      </c>
      <c r="G34" s="220">
        <f>+_xlfn.XLOOKUP($C34,Aux!$W:$W,Aux!R:R,"-",0)</f>
        <v>0</v>
      </c>
      <c r="H34" s="220">
        <f>+_xlfn.XLOOKUP($C34,Aux!$W:$W,Aux!S:S,"-",0)</f>
        <v>2</v>
      </c>
      <c r="I34" s="220">
        <f>+_xlfn.XLOOKUP($C34,Aux!$W:$W,Aux!T:T,"-",0)</f>
        <v>0</v>
      </c>
      <c r="J34" s="220">
        <f>+_xlfn.XLOOKUP($C34,Aux!$W:$W,Aux!U:U,"-",0)</f>
        <v>4</v>
      </c>
      <c r="K34" s="221">
        <f>+_xlfn.XLOOKUP($C34,Aux!$W:$W,Aux!V:V,"-",0)</f>
        <v>4</v>
      </c>
    </row>
    <row r="35" spans="1:11" x14ac:dyDescent="0.25">
      <c r="A35" s="410">
        <v>34</v>
      </c>
      <c r="B35" s="396" t="s">
        <v>298</v>
      </c>
      <c r="C35" s="219">
        <f>+LARGE(Aux!$W$4:$W$51,A35)</f>
        <v>2.9904000007142857</v>
      </c>
      <c r="D35" s="218" t="str">
        <f>+_xlfn.XLOOKUP($C35,Aux!$W:$W,Aux!H:H,"-",0)</f>
        <v>Senegal</v>
      </c>
      <c r="E35" s="220">
        <f t="shared" si="0"/>
        <v>3</v>
      </c>
      <c r="F35" s="220">
        <f>+_xlfn.XLOOKUP($C35,Aux!$W:$W,Aux!Q:Q,"-",0)</f>
        <v>1</v>
      </c>
      <c r="G35" s="220">
        <f>+_xlfn.XLOOKUP($C35,Aux!$W:$W,Aux!R:R,"-",0)</f>
        <v>0</v>
      </c>
      <c r="H35" s="220">
        <f>+_xlfn.XLOOKUP($C35,Aux!$W:$W,Aux!S:S,"-",0)</f>
        <v>2</v>
      </c>
      <c r="I35" s="220">
        <f>+_xlfn.XLOOKUP($C35,Aux!$W:$W,Aux!T:T,"-",0)</f>
        <v>-1</v>
      </c>
      <c r="J35" s="220">
        <f>+_xlfn.XLOOKUP($C35,Aux!$W:$W,Aux!U:U,"-",0)</f>
        <v>4</v>
      </c>
      <c r="K35" s="221">
        <f>+_xlfn.XLOOKUP($C35,Aux!$W:$W,Aux!V:V,"-",0)</f>
        <v>5</v>
      </c>
    </row>
    <row r="36" spans="1:11" x14ac:dyDescent="0.25">
      <c r="A36" s="410">
        <v>35</v>
      </c>
      <c r="B36" s="396" t="s">
        <v>298</v>
      </c>
      <c r="C36" s="219">
        <f>+LARGE(Aux!$W$4:$W$51,A36)</f>
        <v>2.980200000625</v>
      </c>
      <c r="D36" s="218" t="str">
        <f>+_xlfn.XLOOKUP($C36,Aux!$W:$W,Aux!H:H,"-",0)</f>
        <v>Estados Unidos</v>
      </c>
      <c r="E36" s="220">
        <f t="shared" si="0"/>
        <v>3</v>
      </c>
      <c r="F36" s="220">
        <f>+_xlfn.XLOOKUP($C36,Aux!$W:$W,Aux!Q:Q,"-",0)</f>
        <v>1</v>
      </c>
      <c r="G36" s="220">
        <f>+_xlfn.XLOOKUP($C36,Aux!$W:$W,Aux!R:R,"-",0)</f>
        <v>0</v>
      </c>
      <c r="H36" s="220">
        <f>+_xlfn.XLOOKUP($C36,Aux!$W:$W,Aux!S:S,"-",0)</f>
        <v>2</v>
      </c>
      <c r="I36" s="220">
        <f>+_xlfn.XLOOKUP($C36,Aux!$W:$W,Aux!T:T,"-",0)</f>
        <v>-2</v>
      </c>
      <c r="J36" s="220">
        <f>+_xlfn.XLOOKUP($C36,Aux!$W:$W,Aux!U:U,"-",0)</f>
        <v>2</v>
      </c>
      <c r="K36" s="221">
        <f>+_xlfn.XLOOKUP($C36,Aux!$W:$W,Aux!V:V,"-",0)</f>
        <v>4</v>
      </c>
    </row>
    <row r="37" spans="1:11" x14ac:dyDescent="0.25">
      <c r="A37" s="410">
        <v>36</v>
      </c>
      <c r="B37" s="396" t="s">
        <v>298</v>
      </c>
      <c r="C37" s="219">
        <f>+LARGE(Aux!$W$4:$W$51,A37)</f>
        <v>1.9703000002631579</v>
      </c>
      <c r="D37" s="218" t="str">
        <f>+_xlfn.XLOOKUP($C37,Aux!$W:$W,Aux!H:H,"-",0)</f>
        <v>Suecia</v>
      </c>
      <c r="E37" s="220">
        <f t="shared" si="0"/>
        <v>2</v>
      </c>
      <c r="F37" s="220">
        <f>+_xlfn.XLOOKUP($C37,Aux!$W:$W,Aux!Q:Q,"-",0)</f>
        <v>0</v>
      </c>
      <c r="G37" s="220">
        <f>+_xlfn.XLOOKUP($C37,Aux!$W:$W,Aux!R:R,"-",0)</f>
        <v>2</v>
      </c>
      <c r="H37" s="220">
        <f>+_xlfn.XLOOKUP($C37,Aux!$W:$W,Aux!S:S,"-",0)</f>
        <v>1</v>
      </c>
      <c r="I37" s="220">
        <f>+_xlfn.XLOOKUP($C37,Aux!$W:$W,Aux!T:T,"-",0)</f>
        <v>-3</v>
      </c>
      <c r="J37" s="220">
        <f>+_xlfn.XLOOKUP($C37,Aux!$W:$W,Aux!U:U,"-",0)</f>
        <v>3</v>
      </c>
      <c r="K37" s="221">
        <f>+_xlfn.XLOOKUP($C37,Aux!$W:$W,Aux!V:V,"-",0)</f>
        <v>6</v>
      </c>
    </row>
    <row r="38" spans="1:11" x14ac:dyDescent="0.25">
      <c r="A38" s="410">
        <v>37</v>
      </c>
      <c r="B38" s="396" t="s">
        <v>298</v>
      </c>
      <c r="C38" s="219">
        <f>+LARGE(Aux!$W$4:$W$51,A38)</f>
        <v>0.97020000019999997</v>
      </c>
      <c r="D38" s="218" t="str">
        <f>+_xlfn.XLOOKUP($C38,Aux!$W:$W,Aux!H:H,"-",0)</f>
        <v>Uzbekistan</v>
      </c>
      <c r="E38" s="220">
        <f t="shared" si="0"/>
        <v>1</v>
      </c>
      <c r="F38" s="220">
        <f>+_xlfn.XLOOKUP($C38,Aux!$W:$W,Aux!Q:Q,"-",0)</f>
        <v>0</v>
      </c>
      <c r="G38" s="220">
        <f>+_xlfn.XLOOKUP($C38,Aux!$W:$W,Aux!R:R,"-",0)</f>
        <v>1</v>
      </c>
      <c r="H38" s="220">
        <f>+_xlfn.XLOOKUP($C38,Aux!$W:$W,Aux!S:S,"-",0)</f>
        <v>2</v>
      </c>
      <c r="I38" s="220">
        <f>+_xlfn.XLOOKUP($C38,Aux!$W:$W,Aux!T:T,"-",0)</f>
        <v>-3</v>
      </c>
      <c r="J38" s="220">
        <f>+_xlfn.XLOOKUP($C38,Aux!$W:$W,Aux!U:U,"-",0)</f>
        <v>2</v>
      </c>
      <c r="K38" s="221">
        <f>+_xlfn.XLOOKUP($C38,Aux!$W:$W,Aux!V:V,"-",0)</f>
        <v>5</v>
      </c>
    </row>
    <row r="39" spans="1:11" x14ac:dyDescent="0.25">
      <c r="A39" s="410">
        <v>38</v>
      </c>
      <c r="B39" s="396" t="s">
        <v>298</v>
      </c>
      <c r="C39" s="219">
        <f>+LARGE(Aux!$W$4:$W$51,A39)</f>
        <v>0.9501000002272727</v>
      </c>
      <c r="D39" s="218" t="str">
        <f>+_xlfn.XLOOKUP($C39,Aux!$W:$W,Aux!H:H,"-",0)</f>
        <v>Tunez</v>
      </c>
      <c r="E39" s="220">
        <f t="shared" si="0"/>
        <v>1</v>
      </c>
      <c r="F39" s="220">
        <f>+_xlfn.XLOOKUP($C39,Aux!$W:$W,Aux!Q:Q,"-",0)</f>
        <v>0</v>
      </c>
      <c r="G39" s="220">
        <f>+_xlfn.XLOOKUP($C39,Aux!$W:$W,Aux!R:R,"-",0)</f>
        <v>1</v>
      </c>
      <c r="H39" s="220">
        <f>+_xlfn.XLOOKUP($C39,Aux!$W:$W,Aux!S:S,"-",0)</f>
        <v>2</v>
      </c>
      <c r="I39" s="220">
        <f>+_xlfn.XLOOKUP($C39,Aux!$W:$W,Aux!T:T,"-",0)</f>
        <v>-5</v>
      </c>
      <c r="J39" s="220">
        <f>+_xlfn.XLOOKUP($C39,Aux!$W:$W,Aux!U:U,"-",0)</f>
        <v>1</v>
      </c>
      <c r="K39" s="221">
        <f>+_xlfn.XLOOKUP($C39,Aux!$W:$W,Aux!V:V,"-",0)</f>
        <v>6</v>
      </c>
    </row>
    <row r="40" spans="1:11" x14ac:dyDescent="0.25">
      <c r="A40" s="410">
        <v>39</v>
      </c>
      <c r="B40" s="396" t="s">
        <v>298</v>
      </c>
      <c r="C40" s="219">
        <f>+LARGE(Aux!$W$4:$W$51,A40)</f>
        <v>0.95010000016666663</v>
      </c>
      <c r="D40" s="218" t="str">
        <f>+_xlfn.XLOOKUP($C40,Aux!$W:$W,Aux!H:H,"-",0)</f>
        <v>Sudafrica</v>
      </c>
      <c r="E40" s="220">
        <f t="shared" si="0"/>
        <v>1</v>
      </c>
      <c r="F40" s="220">
        <f>+_xlfn.XLOOKUP($C40,Aux!$W:$W,Aux!Q:Q,"-",0)</f>
        <v>0</v>
      </c>
      <c r="G40" s="220">
        <f>+_xlfn.XLOOKUP($C40,Aux!$W:$W,Aux!R:R,"-",0)</f>
        <v>1</v>
      </c>
      <c r="H40" s="220">
        <f>+_xlfn.XLOOKUP($C40,Aux!$W:$W,Aux!S:S,"-",0)</f>
        <v>2</v>
      </c>
      <c r="I40" s="220">
        <f>+_xlfn.XLOOKUP($C40,Aux!$W:$W,Aux!T:T,"-",0)</f>
        <v>-5</v>
      </c>
      <c r="J40" s="220">
        <f>+_xlfn.XLOOKUP($C40,Aux!$W:$W,Aux!U:U,"-",0)</f>
        <v>1</v>
      </c>
      <c r="K40" s="221">
        <f>+_xlfn.XLOOKUP($C40,Aux!$W:$W,Aux!V:V,"-",0)</f>
        <v>6</v>
      </c>
    </row>
    <row r="41" spans="1:11" x14ac:dyDescent="0.25">
      <c r="A41" s="410">
        <v>40</v>
      </c>
      <c r="B41" s="396" t="s">
        <v>298</v>
      </c>
      <c r="C41" s="219">
        <f>+LARGE(Aux!$W$4:$W$51,A41)</f>
        <v>0.93010000021739125</v>
      </c>
      <c r="D41" s="218" t="str">
        <f>+_xlfn.XLOOKUP($C41,Aux!$W:$W,Aux!H:H,"-",0)</f>
        <v>Congo</v>
      </c>
      <c r="E41" s="220">
        <f t="shared" si="0"/>
        <v>1</v>
      </c>
      <c r="F41" s="220">
        <f>+_xlfn.XLOOKUP($C41,Aux!$W:$W,Aux!Q:Q,"-",0)</f>
        <v>0</v>
      </c>
      <c r="G41" s="220">
        <f>+_xlfn.XLOOKUP($C41,Aux!$W:$W,Aux!R:R,"-",0)</f>
        <v>1</v>
      </c>
      <c r="H41" s="220">
        <f>+_xlfn.XLOOKUP($C41,Aux!$W:$W,Aux!S:S,"-",0)</f>
        <v>2</v>
      </c>
      <c r="I41" s="220">
        <f>+_xlfn.XLOOKUP($C41,Aux!$W:$W,Aux!T:T,"-",0)</f>
        <v>-7</v>
      </c>
      <c r="J41" s="220">
        <f>+_xlfn.XLOOKUP($C41,Aux!$W:$W,Aux!U:U,"-",0)</f>
        <v>1</v>
      </c>
      <c r="K41" s="221">
        <f>+_xlfn.XLOOKUP($C41,Aux!$W:$W,Aux!V:V,"-",0)</f>
        <v>8</v>
      </c>
    </row>
    <row r="42" spans="1:11" x14ac:dyDescent="0.25">
      <c r="A42" s="410">
        <v>41</v>
      </c>
      <c r="B42" s="396" t="s">
        <v>298</v>
      </c>
      <c r="C42" s="219">
        <f>+LARGE(Aux!$W$4:$W$51,A42)</f>
        <v>-4.9799999696969702E-2</v>
      </c>
      <c r="D42" s="218" t="str">
        <f>+_xlfn.XLOOKUP($C42,Aux!$W:$W,Aux!H:H,"-",0)</f>
        <v>Panama</v>
      </c>
      <c r="E42" s="220">
        <f t="shared" si="0"/>
        <v>0</v>
      </c>
      <c r="F42" s="220">
        <f>+_xlfn.XLOOKUP($C42,Aux!$W:$W,Aux!Q:Q,"-",0)</f>
        <v>0</v>
      </c>
      <c r="G42" s="220">
        <f>+_xlfn.XLOOKUP($C42,Aux!$W:$W,Aux!R:R,"-",0)</f>
        <v>0</v>
      </c>
      <c r="H42" s="220">
        <f>+_xlfn.XLOOKUP($C42,Aux!$W:$W,Aux!S:S,"-",0)</f>
        <v>3</v>
      </c>
      <c r="I42" s="220">
        <f>+_xlfn.XLOOKUP($C42,Aux!$W:$W,Aux!T:T,"-",0)</f>
        <v>-5</v>
      </c>
      <c r="J42" s="220">
        <f>+_xlfn.XLOOKUP($C42,Aux!$W:$W,Aux!U:U,"-",0)</f>
        <v>2</v>
      </c>
      <c r="K42" s="221">
        <f>+_xlfn.XLOOKUP($C42,Aux!$W:$W,Aux!V:V,"-",0)</f>
        <v>7</v>
      </c>
    </row>
    <row r="43" spans="1:11" x14ac:dyDescent="0.25">
      <c r="A43" s="410">
        <v>42</v>
      </c>
      <c r="B43" s="396" t="s">
        <v>298</v>
      </c>
      <c r="C43" s="219">
        <f>+LARGE(Aux!$W$4:$W$51,A43)</f>
        <v>-4.9999999841269842E-2</v>
      </c>
      <c r="D43" s="218" t="str">
        <f>+_xlfn.XLOOKUP($C43,Aux!$W:$W,Aux!H:H,"-",0)</f>
        <v>Jordania</v>
      </c>
      <c r="E43" s="220">
        <f t="shared" si="0"/>
        <v>0</v>
      </c>
      <c r="F43" s="220">
        <f>+_xlfn.XLOOKUP($C43,Aux!$W:$W,Aux!Q:Q,"-",0)</f>
        <v>0</v>
      </c>
      <c r="G43" s="220">
        <f>+_xlfn.XLOOKUP($C43,Aux!$W:$W,Aux!R:R,"-",0)</f>
        <v>0</v>
      </c>
      <c r="H43" s="220">
        <f>+_xlfn.XLOOKUP($C43,Aux!$W:$W,Aux!S:S,"-",0)</f>
        <v>3</v>
      </c>
      <c r="I43" s="220">
        <f>+_xlfn.XLOOKUP($C43,Aux!$W:$W,Aux!T:T,"-",0)</f>
        <v>-5</v>
      </c>
      <c r="J43" s="220">
        <f>+_xlfn.XLOOKUP($C43,Aux!$W:$W,Aux!U:U,"-",0)</f>
        <v>0</v>
      </c>
      <c r="K43" s="221">
        <f>+_xlfn.XLOOKUP($C43,Aux!$W:$W,Aux!V:V,"-",0)</f>
        <v>5</v>
      </c>
    </row>
    <row r="44" spans="1:11" x14ac:dyDescent="0.25">
      <c r="A44" s="410">
        <v>43</v>
      </c>
      <c r="B44" s="396" t="s">
        <v>298</v>
      </c>
      <c r="C44" s="219">
        <f>+LARGE(Aux!$W$4:$W$51,A44)</f>
        <v>-6.989999982456141E-2</v>
      </c>
      <c r="D44" s="218" t="str">
        <f>+_xlfn.XLOOKUP($C44,Aux!$W:$W,Aux!H:H,"-",0)</f>
        <v>Irak</v>
      </c>
      <c r="E44" s="220">
        <f t="shared" si="0"/>
        <v>0</v>
      </c>
      <c r="F44" s="220">
        <f>+_xlfn.XLOOKUP($C44,Aux!$W:$W,Aux!Q:Q,"-",0)</f>
        <v>0</v>
      </c>
      <c r="G44" s="220">
        <f>+_xlfn.XLOOKUP($C44,Aux!$W:$W,Aux!R:R,"-",0)</f>
        <v>0</v>
      </c>
      <c r="H44" s="220">
        <f>+_xlfn.XLOOKUP($C44,Aux!$W:$W,Aux!S:S,"-",0)</f>
        <v>3</v>
      </c>
      <c r="I44" s="220">
        <f>+_xlfn.XLOOKUP($C44,Aux!$W:$W,Aux!T:T,"-",0)</f>
        <v>-7</v>
      </c>
      <c r="J44" s="220">
        <f>+_xlfn.XLOOKUP($C44,Aux!$W:$W,Aux!U:U,"-",0)</f>
        <v>1</v>
      </c>
      <c r="K44" s="221">
        <f>+_xlfn.XLOOKUP($C44,Aux!$W:$W,Aux!V:V,"-",0)</f>
        <v>8</v>
      </c>
    </row>
    <row r="45" spans="1:11" x14ac:dyDescent="0.25">
      <c r="A45" s="410">
        <v>44</v>
      </c>
      <c r="B45" s="396" t="s">
        <v>298</v>
      </c>
      <c r="C45" s="219">
        <f>+LARGE(Aux!$W$4:$W$51,A45)</f>
        <v>-6.9999999818181821E-2</v>
      </c>
      <c r="D45" s="218" t="str">
        <f>+_xlfn.XLOOKUP($C45,Aux!$W:$W,Aux!H:H,"-",0)</f>
        <v>Qatar</v>
      </c>
      <c r="E45" s="220">
        <f t="shared" si="0"/>
        <v>0</v>
      </c>
      <c r="F45" s="220">
        <f>+_xlfn.XLOOKUP($C45,Aux!$W:$W,Aux!Q:Q,"-",0)</f>
        <v>0</v>
      </c>
      <c r="G45" s="220">
        <f>+_xlfn.XLOOKUP($C45,Aux!$W:$W,Aux!R:R,"-",0)</f>
        <v>0</v>
      </c>
      <c r="H45" s="220">
        <f>+_xlfn.XLOOKUP($C45,Aux!$W:$W,Aux!S:S,"-",0)</f>
        <v>3</v>
      </c>
      <c r="I45" s="220">
        <f>+_xlfn.XLOOKUP($C45,Aux!$W:$W,Aux!T:T,"-",0)</f>
        <v>-7</v>
      </c>
      <c r="J45" s="220">
        <f>+_xlfn.XLOOKUP($C45,Aux!$W:$W,Aux!U:U,"-",0)</f>
        <v>0</v>
      </c>
      <c r="K45" s="221">
        <f>+_xlfn.XLOOKUP($C45,Aux!$W:$W,Aux!V:V,"-",0)</f>
        <v>7</v>
      </c>
    </row>
    <row r="46" spans="1:11" x14ac:dyDescent="0.25">
      <c r="A46" s="410">
        <v>45</v>
      </c>
      <c r="B46" s="396" t="s">
        <v>298</v>
      </c>
      <c r="C46" s="219">
        <f>+LARGE(Aux!$W$4:$W$51,A46)</f>
        <v>-7.989999988235294E-2</v>
      </c>
      <c r="D46" s="218" t="str">
        <f>+_xlfn.XLOOKUP($C46,Aux!$W:$W,Aux!H:H,"-",0)</f>
        <v>Nueva Zelanda</v>
      </c>
      <c r="E46" s="220">
        <f t="shared" si="0"/>
        <v>0</v>
      </c>
      <c r="F46" s="220">
        <f>+_xlfn.XLOOKUP($C46,Aux!$W:$W,Aux!Q:Q,"-",0)</f>
        <v>0</v>
      </c>
      <c r="G46" s="220">
        <f>+_xlfn.XLOOKUP($C46,Aux!$W:$W,Aux!R:R,"-",0)</f>
        <v>0</v>
      </c>
      <c r="H46" s="220">
        <f>+_xlfn.XLOOKUP($C46,Aux!$W:$W,Aux!S:S,"-",0)</f>
        <v>3</v>
      </c>
      <c r="I46" s="220">
        <f>+_xlfn.XLOOKUP($C46,Aux!$W:$W,Aux!T:T,"-",0)</f>
        <v>-8</v>
      </c>
      <c r="J46" s="220">
        <f>+_xlfn.XLOOKUP($C46,Aux!$W:$W,Aux!U:U,"-",0)</f>
        <v>1</v>
      </c>
      <c r="K46" s="221">
        <f>+_xlfn.XLOOKUP($C46,Aux!$W:$W,Aux!V:V,"-",0)</f>
        <v>9</v>
      </c>
    </row>
    <row r="47" spans="1:11" x14ac:dyDescent="0.25">
      <c r="A47" s="410">
        <v>46</v>
      </c>
      <c r="B47" s="396" t="s">
        <v>298</v>
      </c>
      <c r="C47" s="219">
        <f>+LARGE(Aux!$W$4:$W$51,A47)</f>
        <v>-0.11989999987804878</v>
      </c>
      <c r="D47" s="218" t="str">
        <f>+_xlfn.XLOOKUP($C47,Aux!$W:$W,Aux!H:H,"-",0)</f>
        <v>Curazao</v>
      </c>
      <c r="E47" s="220">
        <f t="shared" si="0"/>
        <v>0</v>
      </c>
      <c r="F47" s="220">
        <f>+_xlfn.XLOOKUP($C47,Aux!$W:$W,Aux!Q:Q,"-",0)</f>
        <v>0</v>
      </c>
      <c r="G47" s="220">
        <f>+_xlfn.XLOOKUP($C47,Aux!$W:$W,Aux!R:R,"-",0)</f>
        <v>0</v>
      </c>
      <c r="H47" s="220">
        <f>+_xlfn.XLOOKUP($C47,Aux!$W:$W,Aux!S:S,"-",0)</f>
        <v>3</v>
      </c>
      <c r="I47" s="220">
        <f>+_xlfn.XLOOKUP($C47,Aux!$W:$W,Aux!T:T,"-",0)</f>
        <v>-12</v>
      </c>
      <c r="J47" s="220">
        <f>+_xlfn.XLOOKUP($C47,Aux!$W:$W,Aux!U:U,"-",0)</f>
        <v>1</v>
      </c>
      <c r="K47" s="221">
        <f>+_xlfn.XLOOKUP($C47,Aux!$W:$W,Aux!V:V,"-",0)</f>
        <v>13</v>
      </c>
    </row>
    <row r="48" spans="1:11" x14ac:dyDescent="0.25">
      <c r="A48" s="410">
        <v>47</v>
      </c>
      <c r="B48" s="396" t="s">
        <v>298</v>
      </c>
      <c r="C48" s="219">
        <f>+LARGE(Aux!$W$4:$W$51,A48)</f>
        <v>-0.12999999985507246</v>
      </c>
      <c r="D48" s="218" t="str">
        <f>+_xlfn.XLOOKUP($C48,Aux!$W:$W,Aux!H:H,"-",0)</f>
        <v>Cabo Verde</v>
      </c>
      <c r="E48" s="220">
        <f t="shared" si="0"/>
        <v>0</v>
      </c>
      <c r="F48" s="220">
        <f>+_xlfn.XLOOKUP($C48,Aux!$W:$W,Aux!Q:Q,"-",0)</f>
        <v>0</v>
      </c>
      <c r="G48" s="220">
        <f>+_xlfn.XLOOKUP($C48,Aux!$W:$W,Aux!R:R,"-",0)</f>
        <v>0</v>
      </c>
      <c r="H48" s="220">
        <f>+_xlfn.XLOOKUP($C48,Aux!$W:$W,Aux!S:S,"-",0)</f>
        <v>3</v>
      </c>
      <c r="I48" s="220">
        <f>+_xlfn.XLOOKUP($C48,Aux!$W:$W,Aux!T:T,"-",0)</f>
        <v>-13</v>
      </c>
      <c r="J48" s="220">
        <f>+_xlfn.XLOOKUP($C48,Aux!$W:$W,Aux!U:U,"-",0)</f>
        <v>0</v>
      </c>
      <c r="K48" s="221">
        <f>+_xlfn.XLOOKUP($C48,Aux!$W:$W,Aux!V:V,"-",0)</f>
        <v>13</v>
      </c>
    </row>
    <row r="49" spans="1:11" x14ac:dyDescent="0.25">
      <c r="A49" s="411">
        <v>48</v>
      </c>
      <c r="B49" s="397" t="s">
        <v>298</v>
      </c>
      <c r="C49" s="223">
        <f>+LARGE(Aux!$W$4:$W$51,A49)</f>
        <v>-0.12999999987951807</v>
      </c>
      <c r="D49" s="222" t="str">
        <f>+_xlfn.XLOOKUP($C49,Aux!$W:$W,Aux!H:H,"-",0)</f>
        <v>Haiti</v>
      </c>
      <c r="E49" s="224">
        <f t="shared" si="0"/>
        <v>0</v>
      </c>
      <c r="F49" s="224">
        <f>+_xlfn.XLOOKUP($C49,Aux!$W:$W,Aux!Q:Q,"-",0)</f>
        <v>0</v>
      </c>
      <c r="G49" s="224">
        <f>+_xlfn.XLOOKUP($C49,Aux!$W:$W,Aux!R:R,"-",0)</f>
        <v>0</v>
      </c>
      <c r="H49" s="224">
        <f>+_xlfn.XLOOKUP($C49,Aux!$W:$W,Aux!S:S,"-",0)</f>
        <v>3</v>
      </c>
      <c r="I49" s="224">
        <f>+_xlfn.XLOOKUP($C49,Aux!$W:$W,Aux!T:T,"-",0)</f>
        <v>-13</v>
      </c>
      <c r="J49" s="224">
        <f>+_xlfn.XLOOKUP($C49,Aux!$W:$W,Aux!U:U,"-",0)</f>
        <v>0</v>
      </c>
      <c r="K49" s="225">
        <f>+_xlfn.XLOOKUP($C49,Aux!$W:$W,Aux!V:V,"-",0)</f>
        <v>13</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234"/>
  <sheetViews>
    <sheetView tabSelected="1" zoomScale="85" zoomScaleNormal="85" workbookViewId="0">
      <selection sqref="A1:L1048576"/>
    </sheetView>
  </sheetViews>
  <sheetFormatPr defaultColWidth="8.796875" defaultRowHeight="13.8" x14ac:dyDescent="0.25"/>
  <cols>
    <col min="2" max="2" width="15.3984375" style="141" customWidth="1"/>
    <col min="3" max="3" width="5.59765625" customWidth="1"/>
    <col min="4" max="4" width="5.59765625" style="142" customWidth="1"/>
    <col min="5" max="5" width="20.296875" style="142" customWidth="1"/>
    <col min="6" max="6" width="14.09765625" style="276" bestFit="1" customWidth="1"/>
    <col min="7" max="7" width="9.3984375" bestFit="1" customWidth="1"/>
    <col min="8" max="8" width="2.59765625" style="275" customWidth="1"/>
    <col min="9" max="9" width="13.796875" style="278" bestFit="1" customWidth="1"/>
    <col min="10" max="10" width="13.09765625" style="278" bestFit="1" customWidth="1"/>
    <col min="11" max="11" width="12.09765625" style="278" bestFit="1" customWidth="1"/>
    <col min="12" max="12" width="13.7968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Lamine</v>
      </c>
      <c r="I1" s="278" t="s">
        <v>104</v>
      </c>
      <c r="J1" s="278" t="s">
        <v>105</v>
      </c>
      <c r="K1" s="278" t="s">
        <v>105</v>
      </c>
      <c r="L1" s="278" t="s">
        <v>106</v>
      </c>
    </row>
    <row r="2" spans="1:12" x14ac:dyDescent="0.25">
      <c r="A2" s="145" t="str">
        <f>+'Groups Stage'!A3</f>
        <v>GA1</v>
      </c>
      <c r="B2" s="146" t="str">
        <f>+'Groups Stage'!E3</f>
        <v>Mexico</v>
      </c>
      <c r="C2" s="145">
        <f>+'Groups Stage'!F3</f>
        <v>1</v>
      </c>
      <c r="D2" s="147">
        <f>+'Groups Stage'!G3</f>
        <v>1</v>
      </c>
      <c r="E2" s="147" t="str">
        <f>+'Groups Stage'!H3</f>
        <v>Sudafrica</v>
      </c>
      <c r="F2" s="277" t="str">
        <f>+'Quarter, Semis &amp; Final'!R19</f>
        <v>Goleador</v>
      </c>
      <c r="G2" s="136" t="str">
        <f>+'Quarter, Semis &amp; Final'!S19</f>
        <v>Julian</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5">
      <c r="A3" t="str">
        <f>+'Groups Stage'!A4</f>
        <v>GA2</v>
      </c>
      <c r="B3" s="141" t="str">
        <f>+'Groups Stage'!E4</f>
        <v>Corea del Sur</v>
      </c>
      <c r="C3">
        <f>+'Groups Stage'!F4</f>
        <v>2</v>
      </c>
      <c r="D3" s="142">
        <f>+'Groups Stage'!G4</f>
        <v>1</v>
      </c>
      <c r="E3" s="142" t="str">
        <f>+'Groups Stage'!H4</f>
        <v>Repubilca Checa</v>
      </c>
      <c r="F3" s="277" t="str">
        <f>+'Quarter, Semis &amp; Final'!R20</f>
        <v>Revelación</v>
      </c>
      <c r="G3" s="242" t="str">
        <f>+'Quarter, Semis &amp; Final'!S20</f>
        <v>Costa de Marfil</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5">
      <c r="A4" t="str">
        <f>+'Groups Stage'!A5</f>
        <v>GA3</v>
      </c>
      <c r="B4" s="141" t="str">
        <f>+'Groups Stage'!E5</f>
        <v>Repubilca Checa</v>
      </c>
      <c r="C4">
        <f>+'Groups Stage'!F5</f>
        <v>2</v>
      </c>
      <c r="D4" s="142">
        <f>+'Groups Stage'!G5</f>
        <v>0</v>
      </c>
      <c r="E4" s="142" t="str">
        <f>+'Groups Stage'!H5</f>
        <v>Sudafrica</v>
      </c>
      <c r="F4" s="277" t="str">
        <f>+'Quarter, Semis &amp; Final'!R21</f>
        <v>Decepción</v>
      </c>
      <c r="G4" s="242" t="str">
        <f>+'Quarter, Semis &amp; Final'!S21</f>
        <v>Paises Bajos</v>
      </c>
      <c r="I4" s="278" t="str">
        <f t="shared" si="0"/>
        <v>Repubilca Checa</v>
      </c>
      <c r="J4" s="278" t="str">
        <f t="shared" si="1"/>
        <v/>
      </c>
      <c r="K4" s="278" t="str">
        <f t="shared" si="2"/>
        <v/>
      </c>
      <c r="L4" s="278" t="str">
        <f t="shared" si="3"/>
        <v>Sudafrica</v>
      </c>
    </row>
    <row r="5" spans="1:12" x14ac:dyDescent="0.25">
      <c r="A5" t="str">
        <f>+'Groups Stage'!A6</f>
        <v>GA4</v>
      </c>
      <c r="B5" s="141" t="str">
        <f>+'Groups Stage'!E6</f>
        <v>Mexico</v>
      </c>
      <c r="C5">
        <f>+'Groups Stage'!F6</f>
        <v>1</v>
      </c>
      <c r="D5" s="142">
        <f>+'Groups Stage'!G6</f>
        <v>3</v>
      </c>
      <c r="E5" s="142" t="str">
        <f>+'Groups Stage'!H6</f>
        <v>Corea del Sur</v>
      </c>
      <c r="F5" s="277" t="str">
        <f>+'Quarter, Semis &amp; Final'!R22</f>
        <v>Mejor 1era Fase</v>
      </c>
      <c r="G5" s="242" t="str">
        <f>+'Quarter, Semis &amp; Final'!S22</f>
        <v>España</v>
      </c>
      <c r="I5" s="278" t="str">
        <f t="shared" si="0"/>
        <v>Corea del Sur</v>
      </c>
      <c r="J5" s="278" t="str">
        <f t="shared" si="1"/>
        <v/>
      </c>
      <c r="K5" s="278" t="str">
        <f t="shared" si="2"/>
        <v/>
      </c>
      <c r="L5" s="278" t="str">
        <f t="shared" si="3"/>
        <v>Mexico</v>
      </c>
    </row>
    <row r="6" spans="1:12" x14ac:dyDescent="0.25">
      <c r="A6" t="str">
        <f>+'Groups Stage'!A7</f>
        <v>GA5</v>
      </c>
      <c r="B6" s="141" t="str">
        <f>+'Groups Stage'!E7</f>
        <v>Repubilca Checa</v>
      </c>
      <c r="C6">
        <f>+'Groups Stage'!F7</f>
        <v>1</v>
      </c>
      <c r="D6" s="142">
        <f>+'Groups Stage'!G7</f>
        <v>2</v>
      </c>
      <c r="E6" s="142" t="str">
        <f>+'Groups Stage'!H7</f>
        <v>Mexico</v>
      </c>
      <c r="F6" s="277" t="str">
        <f>+'Quarter, Semis &amp; Final'!R23</f>
        <v>Peor Equipo</v>
      </c>
      <c r="G6" s="242" t="str">
        <f>+'Quarter, Semis &amp; Final'!S23</f>
        <v>Haiti</v>
      </c>
      <c r="I6" s="278" t="str">
        <f t="shared" si="0"/>
        <v>Mexico</v>
      </c>
      <c r="J6" s="278" t="str">
        <f t="shared" si="1"/>
        <v/>
      </c>
      <c r="K6" s="278" t="str">
        <f t="shared" si="2"/>
        <v/>
      </c>
      <c r="L6" s="278" t="str">
        <f t="shared" si="3"/>
        <v>Repubilca Checa</v>
      </c>
    </row>
    <row r="7" spans="1:12" x14ac:dyDescent="0.25">
      <c r="A7" s="7" t="str">
        <f>+'Groups Stage'!A8</f>
        <v>GA6</v>
      </c>
      <c r="B7" s="143" t="str">
        <f>+'Groups Stage'!E8</f>
        <v>Sudafrica</v>
      </c>
      <c r="C7" s="7">
        <f>+'Groups Stage'!F8</f>
        <v>0</v>
      </c>
      <c r="D7" s="144">
        <f>+'Groups Stage'!G8</f>
        <v>3</v>
      </c>
      <c r="E7" s="144" t="str">
        <f>+'Groups Stage'!H8</f>
        <v>Corea del Sur</v>
      </c>
      <c r="F7" s="276" t="s">
        <v>18</v>
      </c>
      <c r="G7" t="str">
        <f>+'Total Results'!D4</f>
        <v>Brasil</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303</v>
      </c>
      <c r="G8" t="str">
        <f>+'Total Results'!D2</f>
        <v>España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Argentina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Francia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2</v>
      </c>
      <c r="D11" s="147">
        <f>+'Groups Stage'!G12</f>
        <v>2</v>
      </c>
      <c r="E11" s="147" t="str">
        <f>+'Groups Stage'!H12</f>
        <v>Bosnia</v>
      </c>
      <c r="I11" s="280" t="str">
        <f t="shared" si="0"/>
        <v/>
      </c>
      <c r="J11" s="280" t="str">
        <f t="shared" si="1"/>
        <v>Canada</v>
      </c>
      <c r="K11" s="280" t="str">
        <f t="shared" si="2"/>
        <v>Bosnia</v>
      </c>
      <c r="L11" s="280" t="str">
        <f t="shared" si="3"/>
        <v/>
      </c>
    </row>
    <row r="12" spans="1:12" x14ac:dyDescent="0.25">
      <c r="A12" t="str">
        <f>+'Groups Stage'!A13</f>
        <v>GB2</v>
      </c>
      <c r="B12" s="141" t="str">
        <f>+'Groups Stage'!E13</f>
        <v>Qatar</v>
      </c>
      <c r="C12">
        <f>+'Groups Stage'!F13</f>
        <v>0</v>
      </c>
      <c r="D12" s="142">
        <f>+'Groups Stage'!G13</f>
        <v>3</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5">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5">
      <c r="A16" s="7" t="str">
        <f>+'Groups Stage'!A17</f>
        <v>GB6</v>
      </c>
      <c r="B16" s="143" t="str">
        <f>+'Groups Stage'!E17</f>
        <v>Bosnia</v>
      </c>
      <c r="C16" s="7">
        <f>+'Groups Stage'!F17</f>
        <v>2</v>
      </c>
      <c r="D16" s="144">
        <f>+'Groups Stage'!G17</f>
        <v>0</v>
      </c>
      <c r="E16" s="144" t="str">
        <f>+'Groups Stage'!H17</f>
        <v>Qatar</v>
      </c>
      <c r="I16" s="281" t="str">
        <f t="shared" si="0"/>
        <v>Bosnia</v>
      </c>
      <c r="J16" s="281" t="str">
        <f t="shared" si="1"/>
        <v/>
      </c>
      <c r="K16" s="281" t="str">
        <f t="shared" si="2"/>
        <v/>
      </c>
      <c r="L16" s="281" t="str">
        <f t="shared" si="3"/>
        <v>Qatar</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3</v>
      </c>
      <c r="D20" s="147">
        <f>+'Groups Stage'!G21</f>
        <v>3</v>
      </c>
      <c r="E20" s="147" t="str">
        <f>+'Groups Stage'!H21</f>
        <v>Marruecos</v>
      </c>
      <c r="I20" s="280" t="str">
        <f t="shared" si="0"/>
        <v/>
      </c>
      <c r="J20" s="280" t="str">
        <f t="shared" si="1"/>
        <v>Brasil</v>
      </c>
      <c r="K20" s="280" t="str">
        <f t="shared" si="2"/>
        <v>Marruecos</v>
      </c>
      <c r="L20" s="280" t="str">
        <f t="shared" si="3"/>
        <v/>
      </c>
    </row>
    <row r="21" spans="1:12" x14ac:dyDescent="0.25">
      <c r="A21" t="str">
        <f>+'Groups Stage'!A22</f>
        <v>GC2</v>
      </c>
      <c r="B21" s="141" t="str">
        <f>+'Groups Stage'!E22</f>
        <v>Haiti</v>
      </c>
      <c r="C21">
        <f>+'Groups Stage'!F22</f>
        <v>0</v>
      </c>
      <c r="D21" s="142">
        <f>+'Groups Stage'!G22</f>
        <v>4</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6</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1</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1</v>
      </c>
      <c r="D24" s="142">
        <f>+'Groups Stage'!G25</f>
        <v>3</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1</v>
      </c>
      <c r="D29" s="147">
        <f>+'Groups Stage'!G30</f>
        <v>2</v>
      </c>
      <c r="E29" s="147" t="str">
        <f>+'Groups Stage'!H30</f>
        <v>Paraguay</v>
      </c>
      <c r="I29" s="280" t="str">
        <f t="shared" si="0"/>
        <v>Paraguay</v>
      </c>
      <c r="J29" s="280" t="str">
        <f t="shared" si="1"/>
        <v/>
      </c>
      <c r="K29" s="280" t="str">
        <f t="shared" si="2"/>
        <v/>
      </c>
      <c r="L29" s="280" t="str">
        <f t="shared" si="3"/>
        <v>Estados Unidos</v>
      </c>
    </row>
    <row r="30" spans="1:12" x14ac:dyDescent="0.25">
      <c r="A30" t="str">
        <f>+'Groups Stage'!A31</f>
        <v>GD2</v>
      </c>
      <c r="B30" s="141" t="str">
        <f>+'Groups Stage'!E31</f>
        <v>Australia</v>
      </c>
      <c r="C30">
        <f>+'Groups Stage'!F31</f>
        <v>1</v>
      </c>
      <c r="D30" s="142">
        <f>+'Groups Stage'!G31</f>
        <v>3</v>
      </c>
      <c r="E30" s="142" t="str">
        <f>+'Groups Stage'!H31</f>
        <v>Turquia</v>
      </c>
      <c r="I30" s="278" t="str">
        <f t="shared" si="0"/>
        <v>Turquia</v>
      </c>
      <c r="J30" s="278" t="str">
        <f t="shared" si="1"/>
        <v/>
      </c>
      <c r="K30" s="278" t="str">
        <f t="shared" si="2"/>
        <v/>
      </c>
      <c r="L30" s="278" t="str">
        <f t="shared" si="3"/>
        <v>Australia</v>
      </c>
    </row>
    <row r="31" spans="1:12" x14ac:dyDescent="0.25">
      <c r="A31" t="str">
        <f>+'Groups Stage'!A32</f>
        <v>GD3</v>
      </c>
      <c r="B31" s="141" t="str">
        <f>+'Groups Stage'!E32</f>
        <v>Turquia</v>
      </c>
      <c r="C31">
        <f>+'Groups Stage'!F32</f>
        <v>2</v>
      </c>
      <c r="D31" s="142">
        <f>+'Groups Stage'!G32</f>
        <v>2</v>
      </c>
      <c r="E31" s="142" t="str">
        <f>+'Groups Stage'!H32</f>
        <v>Paraguay</v>
      </c>
      <c r="I31" s="278" t="str">
        <f t="shared" si="0"/>
        <v/>
      </c>
      <c r="J31" s="278" t="str">
        <f t="shared" si="1"/>
        <v>Turquia</v>
      </c>
      <c r="K31" s="278" t="str">
        <f t="shared" si="2"/>
        <v>Paraguay</v>
      </c>
      <c r="L31" s="278" t="str">
        <f t="shared" si="3"/>
        <v/>
      </c>
    </row>
    <row r="32" spans="1:12" x14ac:dyDescent="0.25">
      <c r="A32" t="str">
        <f>+'Groups Stage'!A33</f>
        <v>GD4</v>
      </c>
      <c r="B32" s="141" t="str">
        <f>+'Groups Stage'!E33</f>
        <v>Estados Unidos</v>
      </c>
      <c r="C32">
        <f>+'Groups Stage'!F33</f>
        <v>0</v>
      </c>
      <c r="D32" s="142">
        <f>+'Groups Stage'!G33</f>
        <v>2</v>
      </c>
      <c r="E32" s="142" t="str">
        <f>+'Groups Stage'!H33</f>
        <v>Australia</v>
      </c>
      <c r="I32" s="278" t="str">
        <f t="shared" si="0"/>
        <v>Australia</v>
      </c>
      <c r="J32" s="278" t="str">
        <f t="shared" si="1"/>
        <v/>
      </c>
      <c r="K32" s="278" t="str">
        <f t="shared" si="2"/>
        <v/>
      </c>
      <c r="L32" s="278" t="str">
        <f t="shared" si="3"/>
        <v>Estados Unidos</v>
      </c>
    </row>
    <row r="33" spans="1:12" x14ac:dyDescent="0.25">
      <c r="A33" t="str">
        <f>+'Groups Stage'!A34</f>
        <v>GD5</v>
      </c>
      <c r="B33" s="141" t="str">
        <f>+'Groups Stage'!E34</f>
        <v>Turquia</v>
      </c>
      <c r="C33">
        <f>+'Groups Stage'!F34</f>
        <v>0</v>
      </c>
      <c r="D33" s="142">
        <f>+'Groups Stage'!G34</f>
        <v>1</v>
      </c>
      <c r="E33" s="142" t="str">
        <f>+'Groups Stage'!H34</f>
        <v>Estados Unidos</v>
      </c>
      <c r="I33" s="278" t="str">
        <f t="shared" si="0"/>
        <v>Estados Unidos</v>
      </c>
      <c r="J33" s="278" t="str">
        <f t="shared" si="1"/>
        <v/>
      </c>
      <c r="K33" s="278" t="str">
        <f t="shared" si="2"/>
        <v/>
      </c>
      <c r="L33" s="278" t="str">
        <f t="shared" si="3"/>
        <v>Turquia</v>
      </c>
    </row>
    <row r="34" spans="1:12" x14ac:dyDescent="0.25">
      <c r="A34" s="7" t="str">
        <f>+'Groups Stage'!A35</f>
        <v>GD6</v>
      </c>
      <c r="B34" s="143" t="str">
        <f>+'Groups Stage'!E35</f>
        <v>Paraguay</v>
      </c>
      <c r="C34" s="7">
        <f>+'Groups Stage'!F35</f>
        <v>1</v>
      </c>
      <c r="D34" s="144">
        <f>+'Groups Stage'!G35</f>
        <v>1</v>
      </c>
      <c r="E34" s="144" t="str">
        <f>+'Groups Stage'!H35</f>
        <v>Australia</v>
      </c>
      <c r="I34" s="281" t="str">
        <f t="shared" si="0"/>
        <v/>
      </c>
      <c r="J34" s="281" t="str">
        <f t="shared" si="1"/>
        <v>Paraguay</v>
      </c>
      <c r="K34" s="281" t="str">
        <f t="shared" si="2"/>
        <v>Australia</v>
      </c>
      <c r="L34" s="281" t="str">
        <f t="shared" si="3"/>
        <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7</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5">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3</v>
      </c>
      <c r="D41" s="142">
        <f>+'Groups Stage'!G42</f>
        <v>1</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2</v>
      </c>
      <c r="D42" s="142">
        <f>+'Groups Stage'!G43</f>
        <v>1</v>
      </c>
      <c r="E42" s="142" t="str">
        <f>+'Groups Stage'!H43</f>
        <v>Alemania</v>
      </c>
      <c r="I42" s="278" t="str">
        <f t="shared" si="0"/>
        <v>Ecuador</v>
      </c>
      <c r="J42" s="278" t="str">
        <f t="shared" si="1"/>
        <v/>
      </c>
      <c r="K42" s="278" t="str">
        <f t="shared" si="2"/>
        <v/>
      </c>
      <c r="L42" s="278" t="str">
        <f t="shared" si="3"/>
        <v>Alemania</v>
      </c>
    </row>
    <row r="43" spans="1:12" x14ac:dyDescent="0.25">
      <c r="A43" s="7" t="str">
        <f>+'Groups Stage'!A44</f>
        <v>GE6</v>
      </c>
      <c r="B43" s="143" t="str">
        <f>+'Groups Stage'!E44</f>
        <v>Curazao</v>
      </c>
      <c r="C43" s="7">
        <f>+'Groups Stage'!F44</f>
        <v>0</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1</v>
      </c>
      <c r="D47" s="147">
        <f>+'Groups Stage'!G48</f>
        <v>2</v>
      </c>
      <c r="E47" s="147" t="str">
        <f>+'Groups Stage'!H48</f>
        <v>Japon</v>
      </c>
      <c r="I47" s="280" t="str">
        <f t="shared" si="0"/>
        <v>Japon</v>
      </c>
      <c r="J47" s="280" t="str">
        <f t="shared" si="1"/>
        <v/>
      </c>
      <c r="K47" s="280" t="str">
        <f t="shared" si="2"/>
        <v/>
      </c>
      <c r="L47" s="280" t="str">
        <f t="shared" si="3"/>
        <v>Paises Bajos</v>
      </c>
    </row>
    <row r="48" spans="1:12" x14ac:dyDescent="0.25">
      <c r="A48" t="str">
        <f>+'Groups Stage'!A49</f>
        <v>GF2</v>
      </c>
      <c r="B48" s="141" t="str">
        <f>+'Groups Stage'!E49</f>
        <v>Suecia</v>
      </c>
      <c r="C48">
        <f>+'Groups Stage'!F49</f>
        <v>1</v>
      </c>
      <c r="D48" s="142">
        <f>+'Groups Stage'!G49</f>
        <v>1</v>
      </c>
      <c r="E48" s="142" t="str">
        <f>+'Groups Stage'!H49</f>
        <v>Tunez</v>
      </c>
      <c r="I48" s="278" t="str">
        <f t="shared" si="0"/>
        <v/>
      </c>
      <c r="J48" s="278" t="str">
        <f t="shared" si="1"/>
        <v>Suecia</v>
      </c>
      <c r="K48" s="278" t="str">
        <f t="shared" si="2"/>
        <v>Tunez</v>
      </c>
      <c r="L48" s="278" t="str">
        <f t="shared" si="3"/>
        <v/>
      </c>
    </row>
    <row r="49" spans="1:12" x14ac:dyDescent="0.25">
      <c r="A49" t="str">
        <f>+'Groups Stage'!A50</f>
        <v>GF3</v>
      </c>
      <c r="B49" s="141" t="str">
        <f>+'Groups Stage'!E50</f>
        <v>Paises Bajos</v>
      </c>
      <c r="C49">
        <f>+'Groups Stage'!F50</f>
        <v>4</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5">
      <c r="A50" t="str">
        <f>+'Groups Stage'!A51</f>
        <v>GF4</v>
      </c>
      <c r="B50" s="141" t="str">
        <f>+'Groups Stage'!E51</f>
        <v>Tunez</v>
      </c>
      <c r="C50">
        <f>+'Groups Stage'!F51</f>
        <v>0</v>
      </c>
      <c r="D50" s="142">
        <f>+'Groups Stage'!G51</f>
        <v>2</v>
      </c>
      <c r="E50" s="142" t="str">
        <f>+'Groups Stage'!H51</f>
        <v>Japon</v>
      </c>
      <c r="I50" s="278" t="str">
        <f t="shared" si="0"/>
        <v>Japon</v>
      </c>
      <c r="J50" s="278" t="str">
        <f t="shared" si="1"/>
        <v/>
      </c>
      <c r="K50" s="278" t="str">
        <f t="shared" si="2"/>
        <v/>
      </c>
      <c r="L50" s="278" t="str">
        <f t="shared" si="3"/>
        <v>Tunez</v>
      </c>
    </row>
    <row r="51" spans="1:12" x14ac:dyDescent="0.25">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5">
      <c r="A52" s="7" t="str">
        <f>+'Groups Stage'!A53</f>
        <v>GF6</v>
      </c>
      <c r="B52" s="143" t="str">
        <f>+'Groups Stage'!E53</f>
        <v>Tunez</v>
      </c>
      <c r="C52" s="7">
        <f>+'Groups Stage'!F53</f>
        <v>0</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3</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5">
      <c r="A57" t="str">
        <f>+'Groups Stage'!A58</f>
        <v>GG2</v>
      </c>
      <c r="B57" s="141" t="str">
        <f>+'Groups Stage'!E58</f>
        <v>Belgica</v>
      </c>
      <c r="C57">
        <f>+'Groups Stage'!F58</f>
        <v>2</v>
      </c>
      <c r="D57" s="142">
        <f>+'Groups Stage'!G58</f>
        <v>2</v>
      </c>
      <c r="E57" s="142" t="str">
        <f>+'Groups Stage'!H58</f>
        <v>Egipto</v>
      </c>
      <c r="I57" s="278" t="str">
        <f t="shared" si="0"/>
        <v/>
      </c>
      <c r="J57" s="278" t="str">
        <f t="shared" si="1"/>
        <v>Belgica</v>
      </c>
      <c r="K57" s="278" t="str">
        <f t="shared" si="2"/>
        <v>Egipto</v>
      </c>
      <c r="L57" s="278" t="str">
        <f t="shared" si="3"/>
        <v/>
      </c>
    </row>
    <row r="58" spans="1:12" x14ac:dyDescent="0.25">
      <c r="A58" t="str">
        <f>+'Groups Stage'!A59</f>
        <v>GG3</v>
      </c>
      <c r="B58" s="141" t="str">
        <f>+'Groups Stage'!E59</f>
        <v>Belgica</v>
      </c>
      <c r="C58">
        <f>+'Groups Stage'!F59</f>
        <v>3</v>
      </c>
      <c r="D58" s="142">
        <f>+'Groups Stage'!G59</f>
        <v>2</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0</v>
      </c>
      <c r="D59" s="142">
        <f>+'Groups Stage'!G60</f>
        <v>3</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1</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6</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0</v>
      </c>
      <c r="D66" s="142">
        <f>+'Groups Stage'!G67</f>
        <v>1</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3</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4</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2</v>
      </c>
      <c r="E69" s="142" t="str">
        <f>+'Groups Stage'!H70</f>
        <v>España</v>
      </c>
      <c r="I69" s="278" t="str">
        <f t="shared" si="4"/>
        <v>España</v>
      </c>
      <c r="J69" s="278" t="str">
        <f t="shared" si="5"/>
        <v/>
      </c>
      <c r="K69" s="278" t="str">
        <f t="shared" si="6"/>
        <v/>
      </c>
      <c r="L69" s="278" t="str">
        <f t="shared" si="7"/>
        <v>Uruguay</v>
      </c>
    </row>
    <row r="70" spans="1:12" x14ac:dyDescent="0.25">
      <c r="A70" s="7" t="str">
        <f>+'Groups Stage'!A71</f>
        <v>GH6</v>
      </c>
      <c r="B70" s="143" t="str">
        <f>+'Groups Stage'!E71</f>
        <v>Cabo Verde</v>
      </c>
      <c r="C70" s="7">
        <f>+'Groups Stage'!F71</f>
        <v>0</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3</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0</v>
      </c>
      <c r="D75" s="142">
        <f>+'Groups Stage'!G76</f>
        <v>2</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4</v>
      </c>
      <c r="D76" s="142">
        <f>+'Groups Stage'!G77</f>
        <v>1</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2</v>
      </c>
      <c r="D77" s="142">
        <f>+'Groups Stage'!G78</f>
        <v>1</v>
      </c>
      <c r="E77" s="142" t="str">
        <f>+'Groups Stage'!H78</f>
        <v>Senegal</v>
      </c>
      <c r="I77" s="278" t="str">
        <f t="shared" si="4"/>
        <v>Noruega</v>
      </c>
      <c r="J77" s="278" t="str">
        <f t="shared" si="5"/>
        <v/>
      </c>
      <c r="K77" s="278" t="str">
        <f t="shared" si="6"/>
        <v/>
      </c>
      <c r="L77" s="278" t="str">
        <f t="shared" si="7"/>
        <v>Senegal</v>
      </c>
    </row>
    <row r="78" spans="1:12" x14ac:dyDescent="0.25">
      <c r="A78" t="str">
        <f>+'Groups Stage'!A79</f>
        <v>GI5</v>
      </c>
      <c r="B78" s="141" t="str">
        <f>+'Groups Stage'!E79</f>
        <v>Noruega</v>
      </c>
      <c r="C78">
        <f>+'Groups Stage'!F79</f>
        <v>4</v>
      </c>
      <c r="D78" s="142">
        <f>+'Groups Stage'!G79</f>
        <v>4</v>
      </c>
      <c r="E78" s="142" t="str">
        <f>+'Groups Stage'!H79</f>
        <v>Francia</v>
      </c>
      <c r="I78" s="278" t="str">
        <f t="shared" si="4"/>
        <v/>
      </c>
      <c r="J78" s="278" t="str">
        <f t="shared" si="5"/>
        <v>Noruega</v>
      </c>
      <c r="K78" s="278" t="str">
        <f t="shared" si="6"/>
        <v>Francia</v>
      </c>
      <c r="L78" s="278" t="str">
        <f t="shared" si="7"/>
        <v/>
      </c>
    </row>
    <row r="79" spans="1:12" x14ac:dyDescent="0.25">
      <c r="A79" s="7" t="str">
        <f>+'Groups Stage'!A80</f>
        <v>GI6</v>
      </c>
      <c r="B79" s="143" t="str">
        <f>+'Groups Stage'!E80</f>
        <v>Senegal</v>
      </c>
      <c r="C79" s="7">
        <f>+'Groups Stage'!F80</f>
        <v>2</v>
      </c>
      <c r="D79" s="144">
        <f>+'Groups Stage'!G80</f>
        <v>0</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2</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1</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3</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0</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2</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2</v>
      </c>
      <c r="D88" s="144">
        <f>+'Groups Stage'!G89</f>
        <v>2</v>
      </c>
      <c r="E88" s="144" t="str">
        <f>+'Groups Stage'!H89</f>
        <v>Austria</v>
      </c>
      <c r="I88" s="281" t="str">
        <f t="shared" si="4"/>
        <v/>
      </c>
      <c r="J88" s="281" t="str">
        <f t="shared" si="5"/>
        <v>Argelia</v>
      </c>
      <c r="K88" s="281" t="str">
        <f t="shared" si="6"/>
        <v>Austria</v>
      </c>
      <c r="L88" s="281" t="str">
        <f t="shared" si="7"/>
        <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4</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2</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3</v>
      </c>
      <c r="D95" s="142">
        <f>+'Groups Stage'!G96</f>
        <v>0</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1</v>
      </c>
      <c r="D96" s="142">
        <f>+'Groups Stage'!G97</f>
        <v>1</v>
      </c>
      <c r="E96" s="142" t="str">
        <f>+'Groups Stage'!H97</f>
        <v>Portugal</v>
      </c>
      <c r="I96" s="278" t="str">
        <f t="shared" si="4"/>
        <v/>
      </c>
      <c r="J96" s="278" t="str">
        <f t="shared" si="5"/>
        <v>Colombia</v>
      </c>
      <c r="K96" s="278" t="str">
        <f t="shared" si="6"/>
        <v>Portugal</v>
      </c>
      <c r="L96" s="278" t="str">
        <f t="shared" si="7"/>
        <v/>
      </c>
    </row>
    <row r="97" spans="1:13" x14ac:dyDescent="0.25">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2</v>
      </c>
      <c r="E101" s="142" t="str">
        <f>+'Groups Stage'!H102</f>
        <v>Croacia</v>
      </c>
      <c r="I101" s="278" t="str">
        <f t="shared" si="4"/>
        <v/>
      </c>
      <c r="J101" s="278" t="str">
        <f t="shared" si="5"/>
        <v>Inglaterra</v>
      </c>
      <c r="K101" s="278" t="str">
        <f t="shared" si="6"/>
        <v>Croacia</v>
      </c>
      <c r="L101" s="278" t="str">
        <f t="shared" si="7"/>
        <v/>
      </c>
    </row>
    <row r="102" spans="1:13" x14ac:dyDescent="0.25">
      <c r="A102" t="str">
        <f>+'Groups Stage'!A103</f>
        <v>GL2</v>
      </c>
      <c r="B102" s="141" t="str">
        <f>+'Groups Stage'!E103</f>
        <v>Ghana</v>
      </c>
      <c r="C102">
        <f>+'Groups Stage'!F103</f>
        <v>2</v>
      </c>
      <c r="D102" s="142">
        <f>+'Groups Stage'!G103</f>
        <v>1</v>
      </c>
      <c r="E102" s="142" t="str">
        <f>+'Groups Stage'!H103</f>
        <v>Panama</v>
      </c>
      <c r="I102" s="278" t="str">
        <f t="shared" si="4"/>
        <v>Ghana</v>
      </c>
      <c r="J102" s="278" t="str">
        <f t="shared" si="5"/>
        <v/>
      </c>
      <c r="K102" s="278" t="str">
        <f t="shared" si="6"/>
        <v/>
      </c>
      <c r="L102" s="278" t="str">
        <f t="shared" si="7"/>
        <v>Panama</v>
      </c>
    </row>
    <row r="103" spans="1:13" x14ac:dyDescent="0.25">
      <c r="A103" t="str">
        <f>+'Groups Stage'!A104</f>
        <v>GL3</v>
      </c>
      <c r="B103" s="141" t="str">
        <f>+'Groups Stage'!E104</f>
        <v>Inglaterra</v>
      </c>
      <c r="C103">
        <f>+'Groups Stage'!F104</f>
        <v>3</v>
      </c>
      <c r="D103" s="142">
        <f>+'Groups Stage'!G104</f>
        <v>2</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1</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0</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1</v>
      </c>
      <c r="D106" s="142">
        <f>+'Groups Stage'!G107</f>
        <v>2</v>
      </c>
      <c r="E106" s="142" t="str">
        <f>+'Groups Stage'!H107</f>
        <v>Ghana</v>
      </c>
      <c r="I106" s="281" t="str">
        <f t="shared" si="4"/>
        <v>Ghana</v>
      </c>
      <c r="J106" s="281" t="str">
        <f t="shared" si="5"/>
        <v/>
      </c>
      <c r="K106" s="281" t="str">
        <f t="shared" si="6"/>
        <v/>
      </c>
      <c r="L106" s="281" t="str">
        <f t="shared" si="7"/>
        <v>Croacia</v>
      </c>
    </row>
    <row r="107" spans="1:13" x14ac:dyDescent="0.25">
      <c r="A107" s="245" t="s">
        <v>213</v>
      </c>
      <c r="B107" s="246" t="str">
        <f>+_xlfn.XLOOKUP($A107,'Round of 32 &amp; Round of 16'!$A:$A,'Round of 32 &amp; Round of 16'!B:B,"-",0)</f>
        <v>Mexico</v>
      </c>
      <c r="C107" s="245">
        <f>+_xlfn.XLOOKUP($A107,'Round of 32 &amp; Round of 16'!$A:$A,'Round of 32 &amp; Round of 16'!C:C,"-",0)</f>
        <v>1</v>
      </c>
      <c r="D107" s="247">
        <f>+_xlfn.XLOOKUP($A107,'Round of 32 &amp; Round of 16'!$A:$A,'Round of 32 &amp; Round of 16'!D:D,"-",0)</f>
        <v>2</v>
      </c>
      <c r="E107" s="247" t="str">
        <f>+_xlfn.XLOOKUP($A107,'Round of 32 &amp; Round of 16'!$A:$A,'Round of 32 &amp; Round of 16'!E:E,"-",0)</f>
        <v>Canada</v>
      </c>
      <c r="I107" s="282" t="str">
        <f t="shared" ref="I107:I138" si="8">IF(OR(ISBLANK(C107),ISBLANK(D107)),"",IF(C107&gt;D107,B107,IF(D107&gt;C107,E107,"")))</f>
        <v>Canada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Mexico</v>
      </c>
      <c r="M107" s="282"/>
    </row>
    <row r="108" spans="1:13" x14ac:dyDescent="0.25">
      <c r="A108" s="248" t="s">
        <v>221</v>
      </c>
      <c r="B108" s="249" t="str">
        <f>+_xlfn.XLOOKUP($A108,'Round of 32 &amp; Round of 16'!$A:$A,'Round of 32 &amp; Round of 16'!B:B,"-",0)</f>
        <v>Ecuador</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Escocia</v>
      </c>
      <c r="I108" s="283" t="str">
        <f t="shared" si="8"/>
        <v>Ecuador</v>
      </c>
      <c r="J108" s="283" t="str">
        <f t="shared" si="9"/>
        <v/>
      </c>
      <c r="K108" s="283" t="str">
        <f t="shared" si="10"/>
        <v/>
      </c>
      <c r="L108" s="283" t="str">
        <f t="shared" si="11"/>
        <v>Escocia</v>
      </c>
      <c r="M108" s="283"/>
    </row>
    <row r="109" spans="1:13" x14ac:dyDescent="0.25">
      <c r="A109" s="248" t="s">
        <v>230</v>
      </c>
      <c r="B109" s="249" t="str">
        <f>+_xlfn.XLOOKUP($A109,'Round of 32 &amp; Round of 16'!$A:$A,'Round of 32 &amp; Round of 16'!B:B,"-",0)</f>
        <v>Japon</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Marruecos</v>
      </c>
      <c r="I109" s="283" t="str">
        <f t="shared" si="8"/>
        <v/>
      </c>
      <c r="J109" s="283" t="str">
        <f t="shared" si="9"/>
        <v>Japon</v>
      </c>
      <c r="K109" s="283" t="str">
        <f t="shared" si="10"/>
        <v>Marruecos</v>
      </c>
      <c r="L109" s="283" t="str">
        <f t="shared" si="11"/>
        <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4</v>
      </c>
      <c r="D110" s="250">
        <f>+_xlfn.XLOOKUP($A110,'Round of 32 &amp; Round of 16'!$A:$A,'Round of 32 &amp; Round of 16'!D:D,"-",0)</f>
        <v>3</v>
      </c>
      <c r="E110" s="250" t="str">
        <f>+_xlfn.XLOOKUP($A110,'Round of 32 &amp; Round of 16'!$A:$A,'Round of 32 &amp; Round of 16'!E:E,"-",0)</f>
        <v>Paises Bajos</v>
      </c>
      <c r="I110" s="283" t="str">
        <f t="shared" si="8"/>
        <v>Brasil</v>
      </c>
      <c r="J110" s="283" t="str">
        <f t="shared" si="9"/>
        <v/>
      </c>
      <c r="K110" s="283" t="str">
        <f t="shared" si="10"/>
        <v/>
      </c>
      <c r="L110" s="283" t="str">
        <f t="shared" si="11"/>
        <v>Paises Bajos</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Australia</v>
      </c>
      <c r="I111" s="283" t="str">
        <f t="shared" si="8"/>
        <v>Francia</v>
      </c>
      <c r="J111" s="283" t="str">
        <f t="shared" si="9"/>
        <v/>
      </c>
      <c r="K111" s="283" t="str">
        <f t="shared" si="10"/>
        <v/>
      </c>
      <c r="L111" s="283" t="str">
        <f t="shared" si="11"/>
        <v>Australia</v>
      </c>
      <c r="M111" s="283"/>
    </row>
    <row r="112" spans="1:13" x14ac:dyDescent="0.25">
      <c r="A112" s="248" t="s">
        <v>257</v>
      </c>
      <c r="B112" s="249" t="str">
        <f>+_xlfn.XLOOKUP($A112,'Round of 32 &amp; Round of 16'!$A:$A,'Round of 32 &amp; Round of 16'!B:B,"-",0)</f>
        <v>Alemania</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Alemania</v>
      </c>
      <c r="M112" s="283"/>
    </row>
    <row r="113" spans="1:13" x14ac:dyDescent="0.25">
      <c r="A113" s="248" t="s">
        <v>266</v>
      </c>
      <c r="B113" s="249" t="str">
        <f>+_xlfn.XLOOKUP($A113,'Round of 32 &amp; Round of 16'!$A:$A,'Round of 32 &amp; Round of 16'!B:B,"-",0)</f>
        <v>Corea del Sur</v>
      </c>
      <c r="C113" s="248">
        <f>+_xlfn.XLOOKUP($A113,'Round of 32 &amp; Round of 16'!$A:$A,'Round of 32 &amp; Round of 16'!C:C,"-",0)</f>
        <v>2</v>
      </c>
      <c r="D113" s="250">
        <f>+_xlfn.XLOOKUP($A113,'Round of 32 &amp; Round of 16'!$A:$A,'Round of 32 &amp; Round of 16'!D:D,"-",0)</f>
        <v>0</v>
      </c>
      <c r="E113" s="250" t="str">
        <f>+_xlfn.XLOOKUP($A113,'Round of 32 &amp; Round of 16'!$A:$A,'Round of 32 &amp; Round of 16'!E:E,"-",0)</f>
        <v>Arabia Saudita</v>
      </c>
      <c r="I113" s="283" t="str">
        <f t="shared" si="8"/>
        <v>Corea del Sur</v>
      </c>
      <c r="J113" s="283" t="str">
        <f t="shared" si="9"/>
        <v/>
      </c>
      <c r="K113" s="283" t="str">
        <f t="shared" si="10"/>
        <v/>
      </c>
      <c r="L113" s="283" t="str">
        <f t="shared" si="11"/>
        <v>Arabia Saudita</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2</v>
      </c>
      <c r="E114" s="253" t="str">
        <f>+_xlfn.XLOOKUP($A114,'Round of 32 &amp; Round of 16'!$A:$A,'Round of 32 &amp; Round of 16'!E:E,"-",0)</f>
        <v>Costa de Marfil</v>
      </c>
      <c r="I114" s="284" t="str">
        <f t="shared" si="8"/>
        <v/>
      </c>
      <c r="J114" s="284" t="str">
        <f t="shared" si="9"/>
        <v>Inglaterra</v>
      </c>
      <c r="K114" s="284" t="str">
        <f t="shared" si="10"/>
        <v>Costa de Marfil</v>
      </c>
      <c r="L114" s="284" t="str">
        <f t="shared" si="11"/>
        <v/>
      </c>
      <c r="M114" s="284"/>
    </row>
    <row r="115" spans="1:13" x14ac:dyDescent="0.25">
      <c r="A115" s="248" t="s">
        <v>214</v>
      </c>
      <c r="B115" s="249" t="str">
        <f>+_xlfn.XLOOKUP($A115,'Round of 32 &amp; Round of 16'!$G:$G,'Round of 32 &amp; Round of 16'!H:H,"-",0)</f>
        <v>Paraguay</v>
      </c>
      <c r="C115" s="248">
        <f>+_xlfn.XLOOKUP($A115,'Round of 32 &amp; Round of 16'!$G:$G,'Round of 32 &amp; Round of 16'!I:I,"-",0)</f>
        <v>3</v>
      </c>
      <c r="D115" s="250">
        <f>+_xlfn.XLOOKUP($A115,'Round of 32 &amp; Round of 16'!$G:$G,'Round of 32 &amp; Round of 16'!J:J,"-",0)</f>
        <v>1</v>
      </c>
      <c r="E115" s="250" t="str">
        <f>+_xlfn.XLOOKUP($A115,'Round of 32 &amp; Round of 16'!$G:$G,'Round of 32 &amp; Round of 16'!K:K,"-",0)</f>
        <v>Bosnia</v>
      </c>
      <c r="I115" s="283" t="str">
        <f t="shared" si="8"/>
        <v>Paraguay</v>
      </c>
      <c r="J115" s="283" t="str">
        <f t="shared" si="9"/>
        <v/>
      </c>
      <c r="K115" s="283" t="str">
        <f t="shared" si="10"/>
        <v/>
      </c>
      <c r="L115" s="283" t="str">
        <f t="shared" si="11"/>
        <v>Bosnia</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Austria</v>
      </c>
      <c r="I116" s="283" t="str">
        <f t="shared" si="8"/>
        <v>Belgica</v>
      </c>
      <c r="J116" s="283" t="str">
        <f t="shared" si="9"/>
        <v/>
      </c>
      <c r="K116" s="283" t="str">
        <f t="shared" si="10"/>
        <v/>
      </c>
      <c r="L116" s="283" t="str">
        <f t="shared" si="11"/>
        <v>Austria</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3</v>
      </c>
      <c r="D117" s="250">
        <f>+_xlfn.XLOOKUP($A117,'Round of 32 &amp; Round of 16'!$G:$G,'Round of 32 &amp; Round of 16'!J:J,"-",0)</f>
        <v>2</v>
      </c>
      <c r="E117" s="250" t="str">
        <f>+_xlfn.XLOOKUP($A117,'Round of 32 &amp; Round of 16'!$G:$G,'Round of 32 &amp; Round of 16'!K:K,"-",0)</f>
        <v>Ghana</v>
      </c>
      <c r="I117" s="283" t="str">
        <f t="shared" si="8"/>
        <v>Colombia</v>
      </c>
      <c r="J117" s="283" t="str">
        <f t="shared" si="9"/>
        <v/>
      </c>
      <c r="K117" s="283" t="str">
        <f t="shared" si="10"/>
        <v/>
      </c>
      <c r="L117" s="283" t="str">
        <f t="shared" si="11"/>
        <v>Ghana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Argelia</v>
      </c>
      <c r="I118" s="283" t="str">
        <f t="shared" si="8"/>
        <v>España</v>
      </c>
      <c r="J118" s="283" t="str">
        <f t="shared" si="9"/>
        <v/>
      </c>
      <c r="K118" s="283" t="str">
        <f t="shared" si="10"/>
        <v/>
      </c>
      <c r="L118" s="283" t="str">
        <f t="shared" si="11"/>
        <v>Argelia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Iran</v>
      </c>
      <c r="I119" s="283" t="str">
        <f t="shared" si="8"/>
        <v>Suiza</v>
      </c>
      <c r="J119" s="283" t="str">
        <f t="shared" si="9"/>
        <v/>
      </c>
      <c r="K119" s="283" t="str">
        <f t="shared" si="10"/>
        <v/>
      </c>
      <c r="L119" s="283" t="str">
        <f t="shared" si="11"/>
        <v>Iran</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1</v>
      </c>
      <c r="D121" s="250">
        <f>+_xlfn.XLOOKUP($A121,'Round of 32 &amp; Round of 16'!$G:$G,'Round of 32 &amp; Round of 16'!J:J,"-",0)</f>
        <v>2</v>
      </c>
      <c r="E121" s="250" t="str">
        <f>+_xlfn.XLOOKUP($A121,'Round of 32 &amp; Round of 16'!$G:$G,'Round of 32 &amp; Round of 16'!K:K,"-",0)</f>
        <v>Croacia</v>
      </c>
      <c r="I121" s="283" t="str">
        <f t="shared" si="8"/>
        <v>Croacia</v>
      </c>
      <c r="J121" s="283" t="str">
        <f t="shared" si="9"/>
        <v/>
      </c>
      <c r="K121" s="283" t="str">
        <f t="shared" si="10"/>
        <v/>
      </c>
      <c r="L121" s="283" t="str">
        <f t="shared" si="11"/>
        <v>Portugal</v>
      </c>
      <c r="M121" s="283"/>
    </row>
    <row r="122" spans="1:13" x14ac:dyDescent="0.25">
      <c r="A122" s="251" t="s">
        <v>274</v>
      </c>
      <c r="B122" s="252" t="str">
        <f>+_xlfn.XLOOKUP($A122,'Round of 32 &amp; Round of 16'!$G:$G,'Round of 32 &amp; Round of 16'!H:H,"-",0)</f>
        <v>Turquia</v>
      </c>
      <c r="C122" s="251">
        <f>+_xlfn.XLOOKUP($A122,'Round of 32 &amp; Round of 16'!$G:$G,'Round of 32 &amp; Round of 16'!I:I,"-",0)</f>
        <v>0</v>
      </c>
      <c r="D122" s="253">
        <f>+_xlfn.XLOOKUP($A122,'Round of 32 &amp; Round of 16'!$G:$G,'Round of 32 &amp; Round of 16'!J:J,"-",0)</f>
        <v>1</v>
      </c>
      <c r="E122" s="253" t="str">
        <f>+_xlfn.XLOOKUP($A122,'Round of 32 &amp; Round of 16'!$G:$G,'Round of 32 &amp; Round of 16'!K:K,"-",0)</f>
        <v>Egipto</v>
      </c>
      <c r="I122" s="284" t="str">
        <f t="shared" si="8"/>
        <v>Egipto</v>
      </c>
      <c r="J122" s="284" t="str">
        <f t="shared" si="9"/>
        <v/>
      </c>
      <c r="K122" s="284" t="str">
        <f t="shared" si="10"/>
        <v/>
      </c>
      <c r="L122" s="284" t="str">
        <f t="shared" si="11"/>
        <v>Turquia</v>
      </c>
      <c r="M122" s="284"/>
    </row>
    <row r="123" spans="1:13" x14ac:dyDescent="0.25">
      <c r="A123" s="254" t="s">
        <v>215</v>
      </c>
      <c r="B123" s="255" t="str">
        <f>+_xlfn.XLOOKUP($A123,'Round of 32 &amp; Round of 16'!$O:$O,'Round of 32 &amp; Round of 16'!P:P,"-",0)</f>
        <v>Ecuador</v>
      </c>
      <c r="C123" s="254">
        <f>+_xlfn.XLOOKUP($A123,'Round of 32 &amp; Round of 16'!$O:$O,'Round of 32 &amp; Round of 16'!Q:Q,"-",0)</f>
        <v>2</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Ecuador</v>
      </c>
      <c r="M123" s="282"/>
    </row>
    <row r="124" spans="1:13" x14ac:dyDescent="0.25">
      <c r="A124" s="257" t="s">
        <v>232</v>
      </c>
      <c r="B124" s="258" t="str">
        <f>+_xlfn.XLOOKUP($A124,'Round of 32 &amp; Round of 16'!$O:$O,'Round of 32 &amp; Round of 16'!P:P,"-",0)</f>
        <v>Canada</v>
      </c>
      <c r="C124" s="257">
        <f>+_xlfn.XLOOKUP($A124,'Round of 32 &amp; Round of 16'!$O:$O,'Round of 32 &amp; Round of 16'!Q:Q,"-",0)</f>
        <v>0</v>
      </c>
      <c r="D124" s="259">
        <f>+_xlfn.XLOOKUP($A124,'Round of 32 &amp; Round of 16'!$O:$O,'Round of 32 &amp; Round of 16'!R:R,"-",0)</f>
        <v>2</v>
      </c>
      <c r="E124" s="259" t="str">
        <f>+_xlfn.XLOOKUP($A124,'Round of 32 &amp; Round of 16'!$O:$O,'Round of 32 &amp; Round of 16'!S:S,"-",0)</f>
        <v>Marruecos</v>
      </c>
      <c r="I124" s="283" t="str">
        <f t="shared" si="8"/>
        <v>Marruecos</v>
      </c>
      <c r="J124" s="283" t="str">
        <f t="shared" si="9"/>
        <v/>
      </c>
      <c r="K124" s="283" t="str">
        <f t="shared" si="10"/>
        <v/>
      </c>
      <c r="L124" s="283" t="str">
        <f t="shared" si="11"/>
        <v>Canada</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2</v>
      </c>
      <c r="E125" s="259" t="str">
        <f>+_xlfn.XLOOKUP($A125,'Round of 32 &amp; Round of 16'!$O:$O,'Round of 32 &amp; Round of 16'!S:S,"-",0)</f>
        <v>Noruega</v>
      </c>
      <c r="I125" s="283" t="str">
        <f t="shared" si="8"/>
        <v/>
      </c>
      <c r="J125" s="283" t="str">
        <f t="shared" si="9"/>
        <v>Brasil</v>
      </c>
      <c r="K125" s="283" t="str">
        <f t="shared" si="10"/>
        <v>Noruega</v>
      </c>
      <c r="L125" s="283" t="str">
        <f t="shared" si="11"/>
        <v/>
      </c>
      <c r="M125" s="283"/>
    </row>
    <row r="126" spans="1:13" x14ac:dyDescent="0.25">
      <c r="A126" s="260" t="s">
        <v>268</v>
      </c>
      <c r="B126" s="261" t="str">
        <f>+_xlfn.XLOOKUP($A126,'Round of 32 &amp; Round of 16'!$O:$O,'Round of 32 &amp; Round of 16'!P:P,"-",0)</f>
        <v>Corea del Sur</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Costa de Marfil</v>
      </c>
      <c r="I126" s="284" t="str">
        <f t="shared" si="8"/>
        <v>Costa de Marfil</v>
      </c>
      <c r="J126" s="284" t="str">
        <f t="shared" si="9"/>
        <v/>
      </c>
      <c r="K126" s="284" t="str">
        <f t="shared" si="10"/>
        <v/>
      </c>
      <c r="L126" s="284" t="str">
        <f t="shared" si="11"/>
        <v>Corea del Sur</v>
      </c>
      <c r="M126" s="284"/>
    </row>
    <row r="127" spans="1:13" x14ac:dyDescent="0.25">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2</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5">
      <c r="A128" s="257" t="s">
        <v>233</v>
      </c>
      <c r="B128" s="258" t="str">
        <f>+_xlfn.XLOOKUP($A128,'Round of 32 &amp; Round of 16'!$U:$U,'Round of 32 &amp; Round of 16'!V:V,"-",0)</f>
        <v>Paraguay</v>
      </c>
      <c r="C128" s="257">
        <f>+_xlfn.XLOOKUP($A128,'Round of 32 &amp; Round of 16'!$U:$U,'Round of 32 &amp; Round of 16'!W:W,"-",0)</f>
        <v>0</v>
      </c>
      <c r="D128" s="259">
        <f>+_xlfn.XLOOKUP($A128,'Round of 32 &amp; Round of 16'!$U:$U,'Round of 32 &amp; Round of 16'!X:X,"-",0)</f>
        <v>1</v>
      </c>
      <c r="E128" s="259" t="str">
        <f>+_xlfn.XLOOKUP($A128,'Round of 32 &amp; Round of 16'!$U:$U,'Round of 32 &amp; Round of 16'!Y:Y,"-",0)</f>
        <v>Belgica</v>
      </c>
      <c r="I128" s="283" t="str">
        <f t="shared" si="8"/>
        <v>Belgica</v>
      </c>
      <c r="J128" s="283" t="str">
        <f t="shared" si="9"/>
        <v/>
      </c>
      <c r="K128" s="283" t="str">
        <f t="shared" si="10"/>
        <v/>
      </c>
      <c r="L128" s="283" t="str">
        <f t="shared" si="11"/>
        <v>Paraguay</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1</v>
      </c>
      <c r="D129" s="259">
        <f>+_xlfn.XLOOKUP($A129,'Round of 32 &amp; Round of 16'!$U:$U,'Round of 32 &amp; Round of 16'!X:X,"-",0)</f>
        <v>0</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5">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1</v>
      </c>
      <c r="E130" s="262" t="str">
        <f>+_xlfn.XLOOKUP($A130,'Round of 32 &amp; Round of 16'!$U:$U,'Round of 32 &amp; Round of 16'!Y:Y,"-",0)</f>
        <v>Croacia</v>
      </c>
      <c r="I130" s="284" t="str">
        <f t="shared" si="8"/>
        <v/>
      </c>
      <c r="J130" s="284" t="str">
        <f t="shared" si="9"/>
        <v>Suiza</v>
      </c>
      <c r="K130" s="284" t="str">
        <f t="shared" si="10"/>
        <v>Croacia</v>
      </c>
      <c r="L130" s="284" t="str">
        <f t="shared" si="11"/>
        <v/>
      </c>
      <c r="M130" s="284"/>
    </row>
    <row r="131" spans="1:13" x14ac:dyDescent="0.25">
      <c r="A131" s="263" t="s">
        <v>277</v>
      </c>
      <c r="B131" s="264" t="str" cm="1">
        <f t="array" ref="B131:E131">+_xlfn.XLOOKUP($A131,'Quarter, Semis &amp; Final'!$A:$A,'Quarter, Semis &amp; Final'!B:E,"-",0)</f>
        <v>Francia</v>
      </c>
      <c r="C131" s="263">
        <v>2</v>
      </c>
      <c r="D131" s="198">
        <v>0</v>
      </c>
      <c r="E131" s="198" t="str">
        <v>Marruecos</v>
      </c>
      <c r="I131" s="283" t="str">
        <f t="shared" si="8"/>
        <v>Francia</v>
      </c>
      <c r="J131" s="282" t="str">
        <f t="shared" si="9"/>
        <v/>
      </c>
      <c r="K131" s="283" t="str">
        <f t="shared" si="10"/>
        <v/>
      </c>
      <c r="L131" s="283" t="str">
        <f t="shared" si="11"/>
        <v>Marruecos</v>
      </c>
      <c r="M131" s="283"/>
    </row>
    <row r="132" spans="1:13" x14ac:dyDescent="0.25">
      <c r="A132" s="263" t="s">
        <v>282</v>
      </c>
      <c r="B132" s="265" t="str" cm="1">
        <f t="array" ref="B132:E132">+_xlfn.XLOOKUP($A132,'Quarter, Semis &amp; Final'!$A:$A,'Quarter, Semis &amp; Final'!B:E,"-",0)</f>
        <v>España</v>
      </c>
      <c r="C132" s="263">
        <v>3</v>
      </c>
      <c r="D132" s="198">
        <v>1</v>
      </c>
      <c r="E132" s="198" t="str">
        <v>Belgica</v>
      </c>
      <c r="I132" s="283" t="str">
        <f t="shared" si="8"/>
        <v>España</v>
      </c>
      <c r="J132" s="283" t="str">
        <f t="shared" si="9"/>
        <v/>
      </c>
      <c r="K132" s="283" t="str">
        <f t="shared" si="10"/>
        <v/>
      </c>
      <c r="L132" s="283" t="str">
        <f t="shared" si="11"/>
        <v>Belgica</v>
      </c>
      <c r="M132" s="283"/>
    </row>
    <row r="133" spans="1:13" x14ac:dyDescent="0.25">
      <c r="A133" s="263" t="s">
        <v>278</v>
      </c>
      <c r="B133" s="265" t="str" cm="1">
        <f t="array" ref="B133:E133">+_xlfn.XLOOKUP($A133,'Quarter, Semis &amp; Final'!$G:$G,'Quarter, Semis &amp; Final'!H:K,"-",0)</f>
        <v>Brasil</v>
      </c>
      <c r="C133" s="263">
        <v>1</v>
      </c>
      <c r="D133" s="198">
        <v>0</v>
      </c>
      <c r="E133" s="198" t="str">
        <v>Costa de Marfil</v>
      </c>
      <c r="I133" s="283" t="str">
        <f t="shared" si="8"/>
        <v>Brasil</v>
      </c>
      <c r="J133" s="283" t="str">
        <f t="shared" si="9"/>
        <v/>
      </c>
      <c r="K133" s="283" t="str">
        <f t="shared" si="10"/>
        <v/>
      </c>
      <c r="L133" s="283" t="str">
        <f t="shared" si="11"/>
        <v>Costa de Marfil</v>
      </c>
      <c r="M133" s="283"/>
    </row>
    <row r="134" spans="1:13" x14ac:dyDescent="0.25">
      <c r="A134" s="263" t="s">
        <v>283</v>
      </c>
      <c r="B134" s="265" t="str" cm="1">
        <f t="array" ref="B134:E134">+_xlfn.XLOOKUP($A134,'Quarter, Semis &amp; Final'!$G:$G,'Quarter, Semis &amp; Final'!H:K,"-",0)</f>
        <v>Argentina</v>
      </c>
      <c r="C134" s="263">
        <v>3</v>
      </c>
      <c r="D134" s="198">
        <v>2</v>
      </c>
      <c r="E134" s="198" t="str">
        <v>Croacia</v>
      </c>
      <c r="I134" s="283" t="str">
        <f t="shared" si="8"/>
        <v>Argentina</v>
      </c>
      <c r="J134" s="283" t="str">
        <f t="shared" si="9"/>
        <v/>
      </c>
      <c r="K134" s="283" t="str">
        <f t="shared" si="10"/>
        <v/>
      </c>
      <c r="L134" s="283" t="str">
        <f t="shared" si="11"/>
        <v>Croacia</v>
      </c>
      <c r="M134" s="283"/>
    </row>
    <row r="135" spans="1:13" x14ac:dyDescent="0.25">
      <c r="A135" s="211" t="s">
        <v>287</v>
      </c>
      <c r="B135" s="266" t="str" cm="1">
        <f t="array" ref="B135:E135">+_xlfn.XLOOKUP($A135,'Quarter, Semis &amp; Final'!$A:$A,'Quarter, Semis &amp; Final'!B:E,"-",0)</f>
        <v>Francia</v>
      </c>
      <c r="C135" s="211">
        <v>0</v>
      </c>
      <c r="D135" s="210">
        <v>0</v>
      </c>
      <c r="E135" s="210" t="str">
        <v>España</v>
      </c>
      <c r="I135" s="283" t="str">
        <f t="shared" si="8"/>
        <v/>
      </c>
      <c r="J135" s="283" t="str">
        <f t="shared" si="9"/>
        <v>Francia</v>
      </c>
      <c r="K135" s="283" t="str">
        <f t="shared" si="10"/>
        <v>España</v>
      </c>
      <c r="L135" s="283" t="str">
        <f t="shared" si="11"/>
        <v/>
      </c>
      <c r="M135" s="283"/>
    </row>
    <row r="136" spans="1:13" x14ac:dyDescent="0.25">
      <c r="A136" s="211" t="s">
        <v>288</v>
      </c>
      <c r="B136" s="266" t="str" cm="1">
        <f t="array" ref="B136:E136">+_xlfn.XLOOKUP($A136,'Quarter, Semis &amp; Final'!$G:$G,'Quarter, Semis &amp; Final'!H:K,"-",0)</f>
        <v>Brasil</v>
      </c>
      <c r="C136" s="211">
        <v>1</v>
      </c>
      <c r="D136" s="210">
        <v>2</v>
      </c>
      <c r="E136" s="210" t="str">
        <v>Argentina</v>
      </c>
      <c r="I136" s="283" t="str">
        <f t="shared" si="8"/>
        <v>Argentina</v>
      </c>
      <c r="J136" s="283" t="str">
        <f t="shared" si="9"/>
        <v/>
      </c>
      <c r="K136" s="283" t="str">
        <f t="shared" si="10"/>
        <v/>
      </c>
      <c r="L136" s="283" t="str">
        <f t="shared" si="11"/>
        <v>Brasil</v>
      </c>
      <c r="M136" s="283"/>
    </row>
    <row r="137" spans="1:13" x14ac:dyDescent="0.25">
      <c r="A137" s="267" t="s">
        <v>286</v>
      </c>
      <c r="B137" s="268" t="str">
        <f>+'Quarter, Semis &amp; Final'!P13</f>
        <v>Francia</v>
      </c>
      <c r="C137" s="267">
        <f>+'Quarter, Semis &amp; Final'!Q13</f>
        <v>2</v>
      </c>
      <c r="D137" s="272">
        <f>+'Quarter, Semis &amp; Final'!R13</f>
        <v>3</v>
      </c>
      <c r="E137" s="272" t="str">
        <f>+'Quarter, Semis &amp; Final'!S13</f>
        <v>Brasil</v>
      </c>
      <c r="I137" s="283" t="str">
        <f t="shared" si="8"/>
        <v>Brasil</v>
      </c>
      <c r="J137" s="283" t="str">
        <f t="shared" si="9"/>
        <v/>
      </c>
      <c r="K137" s="283" t="str">
        <f t="shared" si="10"/>
        <v/>
      </c>
      <c r="L137" s="283" t="str">
        <f t="shared" si="11"/>
        <v>Francia</v>
      </c>
      <c r="M137" s="283"/>
    </row>
    <row r="138" spans="1:13" x14ac:dyDescent="0.25">
      <c r="A138" s="269" t="s">
        <v>279</v>
      </c>
      <c r="B138" s="270" t="str">
        <f>+'Quarter, Semis &amp; Final'!P4</f>
        <v>España</v>
      </c>
      <c r="C138" s="270">
        <f>+'Quarter, Semis &amp; Final'!Q4</f>
        <v>2</v>
      </c>
      <c r="D138" s="271">
        <f>+'Quarter, Semis &amp; Final'!R4</f>
        <v>1</v>
      </c>
      <c r="E138" s="271" t="str">
        <f>+'Quarter, Semis &amp; Final'!S4</f>
        <v>Argentina</v>
      </c>
      <c r="I138" s="284" t="str">
        <f t="shared" si="8"/>
        <v>España</v>
      </c>
      <c r="J138" s="284" t="str">
        <f t="shared" si="9"/>
        <v/>
      </c>
      <c r="K138" s="284" t="str">
        <f t="shared" si="10"/>
        <v/>
      </c>
      <c r="L138" s="284" t="str">
        <f t="shared" si="11"/>
        <v>Argentina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N47"/>
  <sheetViews>
    <sheetView topLeftCell="I1" zoomScale="80" zoomScaleNormal="80" workbookViewId="0">
      <selection activeCell="B12" sqref="B12"/>
    </sheetView>
  </sheetViews>
  <sheetFormatPr defaultColWidth="8.796875" defaultRowHeight="13.8" x14ac:dyDescent="0.25"/>
  <cols>
    <col min="1" max="1" width="11.3984375" customWidth="1"/>
    <col min="2" max="4" width="6.19921875" customWidth="1"/>
    <col min="20" max="20" width="9.39843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3D</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3J</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ColWidth="8.796875" defaultRowHeight="13.8" x14ac:dyDescent="0.25"/>
  <cols>
    <col min="17" max="17" width="8.69921875" style="5"/>
    <col min="18" max="24" width="8.69921875" style="6"/>
    <col min="27" max="27" width="12.0976562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g</v>
      </c>
      <c r="AC2" s="6" t="s">
        <v>332</v>
      </c>
      <c r="AD2" s="6" t="str">
        <f>+_xlfn.XLOOKUP(8,$Y:$Y,Q:Q,"Error",0)</f>
        <v>H</v>
      </c>
      <c r="AE2" s="6" t="str">
        <f t="shared" ref="AE2:AK2" si="10">+_xlfn.XLOOKUP(8,$Y:$Y,R:R,"Error",0)</f>
        <v>G</v>
      </c>
      <c r="AF2" s="6" t="str">
        <f t="shared" si="10"/>
        <v>B</v>
      </c>
      <c r="AG2" s="6" t="str">
        <f t="shared" si="10"/>
        <v>C</v>
      </c>
      <c r="AH2" s="6" t="str">
        <f t="shared" si="10"/>
        <v>J</v>
      </c>
      <c r="AI2" s="6" t="str">
        <f t="shared" si="10"/>
        <v>D</v>
      </c>
      <c r="AJ2" s="6" t="str">
        <f t="shared" si="10"/>
        <v>L</v>
      </c>
      <c r="AK2" s="6" t="str">
        <f t="shared" si="10"/>
        <v>E</v>
      </c>
      <c r="AO2" t="s">
        <v>333</v>
      </c>
      <c r="AP2" t="str">
        <f>+_xlfn.XLOOKUP($AO2,'Groups Stage'!$Y:$Y,'Groups Stage'!Z:Z,"-",0)</f>
        <v>Repubilca Checa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0</v>
      </c>
      <c r="AV2" s="6">
        <f>+_xlfn.XLOOKUP($AO2,'Groups Stage'!$Y:$Y,'Groups Stage'!AF:AF,"-",0)</f>
        <v>4</v>
      </c>
      <c r="AW2" s="6">
        <f>+_xlfn.XLOOKUP($AO2,'Groups Stage'!$Y:$Y,'Groups Stage'!AG:AG,"-",0)</f>
        <v>4</v>
      </c>
      <c r="AX2" s="6">
        <f>+AR2*3+AS2+AU2/100+AV2/10000</f>
        <v>3.0004</v>
      </c>
      <c r="AY2" s="19">
        <f>+AX2+ROW()/10000000000</f>
        <v>3.0004000002</v>
      </c>
      <c r="AZ2" s="22" t="str">
        <f>+'Groups Stage'!CX2</f>
        <v xml:space="preserve"> - </v>
      </c>
      <c r="BA2" s="19">
        <f>+AY2+IF(AZ2="IN",1/100000000,0)</f>
        <v>3.0004000002</v>
      </c>
      <c r="BB2" s="19"/>
      <c r="BC2" s="19">
        <f>+LARGE($AY$2:$AY$13,ROW()-1)</f>
        <v>4.0206000008</v>
      </c>
      <c r="BD2" s="20" t="str">
        <f>IF($AQ$15="DONE",_xlfn.XLOOKUP(BC2,$AY$2:$AY$13,$AP$2:$AP$13,"-",0),"--")</f>
        <v>Iran</v>
      </c>
      <c r="BE2">
        <f>+_xlfn.XLOOKUP(BD2,$AP$2:$AP$13,$AX$2:$AX$13,"-",0)</f>
        <v>4.0206</v>
      </c>
      <c r="BF2" s="6" t="str">
        <f t="shared" ref="BF2:BF9" si="11">+IF(COUNTIF($BE$10:$BE$13,BE2)=0,"-","x")</f>
        <v>-</v>
      </c>
      <c r="BG2" t="str">
        <f>+IF(BF2="x","Draw - Select","IN")</f>
        <v>IN</v>
      </c>
      <c r="BI2" s="19">
        <f>+LARGE($BA$2:$BA$13,ROW()-1)</f>
        <v>4.0206000008</v>
      </c>
      <c r="BJ2" s="20" t="str">
        <f>IF($AQ$15="DONE",_xlfn.XLOOKUP(BI2,$BA$2:$BA$13,$AP$2:$AP$13,"-",0),"--")</f>
        <v>Iran</v>
      </c>
      <c r="BK2" s="20" t="str">
        <f>IF($AQ$15="DONE",_xlfn.XLOOKUP(BI2,$BA$2:$BA$13,$AO$2:$AO$13,"-",0),"--")</f>
        <v>3G</v>
      </c>
      <c r="BL2" t="str">
        <f>+LOWER(RIGHT(BK2,1))</f>
        <v>g</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l</v>
      </c>
      <c r="AC3" s="6"/>
      <c r="AD3" s="6" t="str">
        <f>+"3"&amp;AD2</f>
        <v>3H</v>
      </c>
      <c r="AE3" s="6" t="str">
        <f t="shared" ref="AE3:AK3" si="15">+"3"&amp;AE2</f>
        <v>3G</v>
      </c>
      <c r="AF3" s="6" t="str">
        <f t="shared" si="15"/>
        <v>3B</v>
      </c>
      <c r="AG3" s="6" t="str">
        <f t="shared" si="15"/>
        <v>3C</v>
      </c>
      <c r="AH3" s="6" t="str">
        <f t="shared" si="15"/>
        <v>3J</v>
      </c>
      <c r="AI3" s="6" t="str">
        <f t="shared" si="15"/>
        <v>3D</v>
      </c>
      <c r="AJ3" s="6" t="str">
        <f t="shared" si="15"/>
        <v>3L</v>
      </c>
      <c r="AK3" s="6" t="str">
        <f t="shared" si="15"/>
        <v>3E</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1</v>
      </c>
      <c r="AT3" s="6">
        <f>+_xlfn.XLOOKUP($AO3,'Groups Stage'!$Y:$Y,'Groups Stage'!AD:AD,"-",0)</f>
        <v>1</v>
      </c>
      <c r="AU3" s="6">
        <f>+_xlfn.XLOOKUP($AO3,'Groups Stage'!$Y:$Y,'Groups Stage'!AE:AE,"-",0)</f>
        <v>1</v>
      </c>
      <c r="AV3" s="6">
        <f>+_xlfn.XLOOKUP($AO3,'Groups Stage'!$Y:$Y,'Groups Stage'!AF:AF,"-",0)</f>
        <v>5</v>
      </c>
      <c r="AW3" s="6">
        <f>+_xlfn.XLOOKUP($AO3,'Groups Stage'!$Y:$Y,'Groups Stage'!AG:AG,"-",0)</f>
        <v>4</v>
      </c>
      <c r="AX3" s="6">
        <f t="shared" ref="AX3:AX13" si="16">+AR3*3+AS3+AU3/100+AV3/10000</f>
        <v>4.0104999999999995</v>
      </c>
      <c r="AY3" s="19">
        <f t="shared" ref="AY3:AY13" si="17">+AX3+ROW()/10000000000</f>
        <v>4.0105000002999995</v>
      </c>
      <c r="AZ3" s="22" t="str">
        <f>+'Groups Stage'!CX3</f>
        <v xml:space="preserve"> - </v>
      </c>
      <c r="BA3" s="19">
        <f t="shared" ref="BA3:BA13" si="18">+AY3+IF(AZ3="IN",1/100000000,0)</f>
        <v>4.0105000002999995</v>
      </c>
      <c r="BB3" s="19"/>
      <c r="BC3" s="19">
        <f t="shared" ref="BC3:BC13" si="19">+LARGE($AY$2:$AY$13,ROW()-1)</f>
        <v>4.0106000013000003</v>
      </c>
      <c r="BD3" s="20" t="str">
        <f t="shared" ref="BD3:BD13" si="20">IF($AQ$15="DONE",_xlfn.XLOOKUP(BC3,$AY$2:$AY$13,$AP$2:$AP$13,"-",0),"--")</f>
        <v>Croacia</v>
      </c>
      <c r="BE3">
        <f t="shared" ref="BE3:BE13" si="21">+_xlfn.XLOOKUP(BD3,$AP$2:$AP$13,$AX$2:$AX$13,"-",0)</f>
        <v>4.0106000000000002</v>
      </c>
      <c r="BF3" s="6" t="str">
        <f t="shared" si="11"/>
        <v>-</v>
      </c>
      <c r="BG3" t="str">
        <f t="shared" ref="BG3:BG9" si="22">+IF(BF3="x","Draw - Select","IN")</f>
        <v>IN</v>
      </c>
      <c r="BI3" s="19">
        <f t="shared" ref="BI3:BI9" si="23">+LARGE($BA$2:$BA$13,ROW()-1)</f>
        <v>4.0106000013000003</v>
      </c>
      <c r="BJ3" s="20" t="str">
        <f t="shared" ref="BJ3:BJ9" si="24">IF($AQ$15="DONE",_xlfn.XLOOKUP(BI3,$BA$2:$BA$13,$AP$2:$AP$13,"-",0),"--")</f>
        <v>Croacia</v>
      </c>
      <c r="BK3" s="20" t="str">
        <f t="shared" ref="BK3:BK9" si="25">IF($AQ$15="DONE",_xlfn.XLOOKUP(BI3,$BA$2:$BA$13,$AO$2:$AO$13,"-",0),"--")</f>
        <v>3L</v>
      </c>
      <c r="BL3" t="str">
        <f t="shared" ref="BL3:BL9" si="26">+LOWER(RIGHT(BK3,1))</f>
        <v>l</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b</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6</v>
      </c>
      <c r="AW4" s="6">
        <f>+_xlfn.XLOOKUP($AO4,'Groups Stage'!$Y:$Y,'Groups Stage'!AG:AG,"-",0)</f>
        <v>5</v>
      </c>
      <c r="AX4" s="6">
        <f t="shared" si="16"/>
        <v>3.0105999999999997</v>
      </c>
      <c r="AY4" s="19">
        <f t="shared" si="17"/>
        <v>3.0106000003999998</v>
      </c>
      <c r="AZ4" s="22">
        <f>+'Groups Stage'!CX4</f>
        <v>0</v>
      </c>
      <c r="BA4" s="19">
        <f t="shared" si="18"/>
        <v>3.0106000003999998</v>
      </c>
      <c r="BB4" s="19"/>
      <c r="BC4" s="19">
        <f t="shared" si="19"/>
        <v>4.0105000002999995</v>
      </c>
      <c r="BD4" s="20" t="str">
        <f t="shared" si="20"/>
        <v>Bosnia</v>
      </c>
      <c r="BE4">
        <f t="shared" si="21"/>
        <v>4.0104999999999995</v>
      </c>
      <c r="BF4" s="6" t="str">
        <f t="shared" si="11"/>
        <v>-</v>
      </c>
      <c r="BG4" t="str">
        <f t="shared" si="22"/>
        <v>IN</v>
      </c>
      <c r="BI4" s="19">
        <f t="shared" si="23"/>
        <v>4.0105000002999995</v>
      </c>
      <c r="BJ4" s="20" t="str">
        <f t="shared" si="24"/>
        <v>Bosnia</v>
      </c>
      <c r="BK4" s="20" t="str">
        <f t="shared" si="25"/>
        <v>3B</v>
      </c>
      <c r="BL4" t="str">
        <f t="shared" si="26"/>
        <v>b</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d</v>
      </c>
      <c r="AC5" s="6"/>
      <c r="AO5" t="s">
        <v>335</v>
      </c>
      <c r="AP5" t="str">
        <f>+_xlfn.XLOOKUP($AO5,'Groups Stage'!$Y:$Y,'Groups Stage'!Z:Z,"-",0)</f>
        <v>Australia</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4</v>
      </c>
      <c r="AW5" s="6">
        <f>+_xlfn.XLOOKUP($AO5,'Groups Stage'!$Y:$Y,'Groups Stage'!AG:AG,"-",0)</f>
        <v>4</v>
      </c>
      <c r="AX5" s="6">
        <f t="shared" si="16"/>
        <v>4.0004</v>
      </c>
      <c r="AY5" s="19">
        <f t="shared" si="17"/>
        <v>4.0004000005</v>
      </c>
      <c r="AZ5" s="22" t="str">
        <f>+'Groups Stage'!CX5</f>
        <v xml:space="preserve"> - </v>
      </c>
      <c r="BA5" s="19">
        <f t="shared" si="18"/>
        <v>4.0004000005</v>
      </c>
      <c r="BB5" s="19"/>
      <c r="BC5" s="19">
        <f t="shared" si="19"/>
        <v>4.0004000005</v>
      </c>
      <c r="BD5" s="20" t="str">
        <f t="shared" si="20"/>
        <v>Australia</v>
      </c>
      <c r="BE5">
        <f t="shared" si="21"/>
        <v>4.0004</v>
      </c>
      <c r="BF5" s="6" t="str">
        <f t="shared" si="11"/>
        <v>-</v>
      </c>
      <c r="BG5" t="str">
        <f t="shared" si="22"/>
        <v>IN</v>
      </c>
      <c r="BI5" s="19">
        <f t="shared" si="23"/>
        <v>4.0004000005</v>
      </c>
      <c r="BJ5" s="20" t="str">
        <f t="shared" si="24"/>
        <v>Australia</v>
      </c>
      <c r="BK5" s="20" t="str">
        <f t="shared" si="25"/>
        <v>3D</v>
      </c>
      <c r="BL5" t="str">
        <f t="shared" si="26"/>
        <v>d</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j</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1</v>
      </c>
      <c r="AV6" s="6">
        <f>+_xlfn.XLOOKUP($AO6,'Groups Stage'!$Y:$Y,'Groups Stage'!AF:AF,"-",0)</f>
        <v>5</v>
      </c>
      <c r="AW6" s="6">
        <f>+_xlfn.XLOOKUP($AO6,'Groups Stage'!$Y:$Y,'Groups Stage'!AG:AG,"-",0)</f>
        <v>4</v>
      </c>
      <c r="AX6" s="6">
        <f t="shared" ref="AX6" si="27">+AR6*3+AS6+AU6/100+AV6/10000</f>
        <v>3.0105</v>
      </c>
      <c r="AY6" s="19">
        <f t="shared" si="17"/>
        <v>3.0105000006</v>
      </c>
      <c r="AZ6" s="22" t="str">
        <f>+'Groups Stage'!CX6</f>
        <v xml:space="preserve"> - </v>
      </c>
      <c r="BA6" s="19">
        <f t="shared" si="18"/>
        <v>3.0105000006</v>
      </c>
      <c r="BB6" s="19"/>
      <c r="BC6" s="19">
        <f t="shared" si="19"/>
        <v>3.9904000011000003</v>
      </c>
      <c r="BD6" s="20" t="str">
        <f t="shared" si="20"/>
        <v>Austria</v>
      </c>
      <c r="BE6">
        <f t="shared" si="21"/>
        <v>3.9904000000000002</v>
      </c>
      <c r="BF6" s="6" t="str">
        <f t="shared" si="11"/>
        <v>-</v>
      </c>
      <c r="BG6" t="str">
        <f t="shared" si="22"/>
        <v>IN</v>
      </c>
      <c r="BI6" s="19">
        <f t="shared" si="23"/>
        <v>3.9904000011000003</v>
      </c>
      <c r="BJ6" s="20" t="str">
        <f t="shared" si="24"/>
        <v>Austria</v>
      </c>
      <c r="BK6" s="20" t="str">
        <f t="shared" si="25"/>
        <v>3J</v>
      </c>
      <c r="BL6" t="str">
        <f t="shared" si="26"/>
        <v>j</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c</v>
      </c>
      <c r="AC7" s="6"/>
      <c r="AO7" t="s">
        <v>327</v>
      </c>
      <c r="AP7" t="str">
        <f>+_xlfn.XLOOKUP($AO7,'Groups Stage'!$Y:$Y,'Groups Stage'!Z:Z,"-",0)</f>
        <v>Suecia</v>
      </c>
      <c r="AQ7" s="6">
        <f>+_xlfn.XLOOKUP($AO7,'Groups Stage'!$Y:$Y,'Groups Stage'!AA:AA,"-",0)</f>
        <v>3</v>
      </c>
      <c r="AR7" s="6">
        <f>+_xlfn.XLOOKUP($AO7,'Groups Stage'!$Y:$Y,'Groups Stage'!AB:AB,"-",0)</f>
        <v>0</v>
      </c>
      <c r="AS7" s="6">
        <f>+_xlfn.XLOOKUP($AO7,'Groups Stage'!$Y:$Y,'Groups Stage'!AC:AC,"-",0)</f>
        <v>2</v>
      </c>
      <c r="AT7" s="6">
        <f>+_xlfn.XLOOKUP($AO7,'Groups Stage'!$Y:$Y,'Groups Stage'!AD:AD,"-",0)</f>
        <v>1</v>
      </c>
      <c r="AU7" s="6">
        <f>+_xlfn.XLOOKUP($AO7,'Groups Stage'!$Y:$Y,'Groups Stage'!AE:AE,"-",0)</f>
        <v>-3</v>
      </c>
      <c r="AV7" s="6">
        <f>+_xlfn.XLOOKUP($AO7,'Groups Stage'!$Y:$Y,'Groups Stage'!AF:AF,"-",0)</f>
        <v>3</v>
      </c>
      <c r="AW7" s="6">
        <f>+_xlfn.XLOOKUP($AO7,'Groups Stage'!$Y:$Y,'Groups Stage'!AG:AG,"-",0)</f>
        <v>6</v>
      </c>
      <c r="AX7" s="6">
        <f t="shared" si="16"/>
        <v>1.9702999999999999</v>
      </c>
      <c r="AY7" s="19">
        <f t="shared" si="17"/>
        <v>1.9703000007</v>
      </c>
      <c r="AZ7" s="22" t="str">
        <f>+'Groups Stage'!CX7</f>
        <v xml:space="preserve"> - </v>
      </c>
      <c r="BA7" s="19">
        <f t="shared" si="18"/>
        <v>1.9703000007</v>
      </c>
      <c r="BB7" s="19"/>
      <c r="BC7" s="19">
        <f t="shared" si="19"/>
        <v>3.0106000003999998</v>
      </c>
      <c r="BD7" s="20" t="str">
        <f t="shared" si="20"/>
        <v>Escocia</v>
      </c>
      <c r="BE7">
        <f t="shared" si="21"/>
        <v>3.0105999999999997</v>
      </c>
      <c r="BF7" s="6" t="str">
        <f t="shared" si="11"/>
        <v>-</v>
      </c>
      <c r="BG7" t="str">
        <f t="shared" si="22"/>
        <v>IN</v>
      </c>
      <c r="BI7" s="19">
        <f t="shared" si="23"/>
        <v>3.0106000003999998</v>
      </c>
      <c r="BJ7" s="20" t="str">
        <f t="shared" si="24"/>
        <v>Escocia</v>
      </c>
      <c r="BK7" s="20" t="str">
        <f t="shared" si="25"/>
        <v>3C</v>
      </c>
      <c r="BL7" t="str">
        <f t="shared" si="26"/>
        <v>c</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e</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2</v>
      </c>
      <c r="AV8" s="6">
        <f>+_xlfn.XLOOKUP($AO8,'Groups Stage'!$Y:$Y,'Groups Stage'!AF:AF,"-",0)</f>
        <v>6</v>
      </c>
      <c r="AW8" s="6">
        <f>+_xlfn.XLOOKUP($AO8,'Groups Stage'!$Y:$Y,'Groups Stage'!AG:AG,"-",0)</f>
        <v>4</v>
      </c>
      <c r="AX8" s="6">
        <f t="shared" si="16"/>
        <v>4.0206</v>
      </c>
      <c r="AY8" s="19">
        <f t="shared" si="17"/>
        <v>4.0206000008</v>
      </c>
      <c r="AZ8" s="22" t="str">
        <f>+'Groups Stage'!CX8</f>
        <v xml:space="preserve"> - </v>
      </c>
      <c r="BA8" s="19">
        <f t="shared" si="18"/>
        <v>4.0206000008</v>
      </c>
      <c r="BB8" s="19"/>
      <c r="BC8" s="19">
        <f t="shared" si="19"/>
        <v>3.0105000006</v>
      </c>
      <c r="BD8" s="20" t="str">
        <f t="shared" si="20"/>
        <v>Costa de Marfil</v>
      </c>
      <c r="BE8">
        <f t="shared" si="21"/>
        <v>3.0105</v>
      </c>
      <c r="BF8" s="6" t="str">
        <f t="shared" si="11"/>
        <v>-</v>
      </c>
      <c r="BG8" t="str">
        <f t="shared" si="22"/>
        <v>IN</v>
      </c>
      <c r="BI8" s="19">
        <f t="shared" si="23"/>
        <v>3.0105000006</v>
      </c>
      <c r="BJ8" s="20" t="str">
        <f t="shared" si="24"/>
        <v>Costa de Marfil</v>
      </c>
      <c r="BK8" s="20" t="str">
        <f t="shared" si="25"/>
        <v>3E</v>
      </c>
      <c r="BL8" t="str">
        <f t="shared" si="26"/>
        <v>e</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h</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0</v>
      </c>
      <c r="AV9" s="6">
        <f>+_xlfn.XLOOKUP($AO9,'Groups Stage'!$Y:$Y,'Groups Stage'!AF:AF,"-",0)</f>
        <v>4</v>
      </c>
      <c r="AW9" s="6">
        <f>+_xlfn.XLOOKUP($AO9,'Groups Stage'!$Y:$Y,'Groups Stage'!AG:AG,"-",0)</f>
        <v>4</v>
      </c>
      <c r="AX9" s="6">
        <f t="shared" si="16"/>
        <v>3.0004</v>
      </c>
      <c r="AY9" s="19">
        <f t="shared" si="17"/>
        <v>3.0004000009</v>
      </c>
      <c r="AZ9" s="22" t="str">
        <f>+'Groups Stage'!CX9</f>
        <v xml:space="preserve"> - </v>
      </c>
      <c r="BA9" s="19">
        <f t="shared" si="18"/>
        <v>3.0004000009</v>
      </c>
      <c r="BB9" s="19"/>
      <c r="BC9" s="19">
        <f t="shared" si="19"/>
        <v>3.0004000009</v>
      </c>
      <c r="BD9" s="20" t="str">
        <f t="shared" si="20"/>
        <v>Arabia Saudita</v>
      </c>
      <c r="BE9">
        <f t="shared" si="21"/>
        <v>3.0004</v>
      </c>
      <c r="BF9" s="6" t="str">
        <f t="shared" si="11"/>
        <v>x</v>
      </c>
      <c r="BG9" t="str">
        <f t="shared" si="22"/>
        <v>Draw - Select</v>
      </c>
      <c r="BI9" s="19">
        <f t="shared" si="23"/>
        <v>3.0004000009</v>
      </c>
      <c r="BJ9" s="20" t="str">
        <f t="shared" si="24"/>
        <v>Arabia Saudita</v>
      </c>
      <c r="BK9" s="20" t="str">
        <f t="shared" si="25"/>
        <v>3H</v>
      </c>
      <c r="BL9" t="str">
        <f t="shared" si="26"/>
        <v>h</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4</v>
      </c>
      <c r="AW10" s="6">
        <f>+_xlfn.XLOOKUP($AO10,'Groups Stage'!$Y:$Y,'Groups Stage'!AG:AG,"-",0)</f>
        <v>5</v>
      </c>
      <c r="AX10" s="6">
        <f t="shared" si="16"/>
        <v>2.9904000000000002</v>
      </c>
      <c r="AY10" s="19">
        <f t="shared" si="17"/>
        <v>2.9904000010000003</v>
      </c>
      <c r="AZ10" s="22">
        <f>+'Groups Stage'!CX10</f>
        <v>0</v>
      </c>
      <c r="BA10" s="19">
        <f t="shared" si="18"/>
        <v>2.9904000010000003</v>
      </c>
      <c r="BB10" s="19"/>
      <c r="BC10" s="19">
        <f t="shared" si="19"/>
        <v>3.0004000002</v>
      </c>
      <c r="BD10" s="20" t="str">
        <f t="shared" si="20"/>
        <v>Repubilca Checa</v>
      </c>
      <c r="BE10">
        <f t="shared" si="21"/>
        <v>3.0004</v>
      </c>
      <c r="BF10" s="6" t="str">
        <f>+IF(COUNTIF($BE$2:$BE$9,BE10)=0,"-","x")</f>
        <v>x</v>
      </c>
      <c r="BG10" t="str">
        <f>+IF(BF10="x","Draw - Select","OUT")</f>
        <v>Draw - Select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Austria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-1</v>
      </c>
      <c r="AV11" s="6">
        <f>+_xlfn.XLOOKUP($AO11,'Groups Stage'!$Y:$Y,'Groups Stage'!AF:AF,"-",0)</f>
        <v>4</v>
      </c>
      <c r="AW11" s="6">
        <f>+_xlfn.XLOOKUP($AO11,'Groups Stage'!$Y:$Y,'Groups Stage'!AG:AG,"-",0)</f>
        <v>5</v>
      </c>
      <c r="AX11" s="6">
        <f t="shared" si="16"/>
        <v>3.9904000000000002</v>
      </c>
      <c r="AY11" s="19">
        <f t="shared" si="17"/>
        <v>3.9904000011000003</v>
      </c>
      <c r="AZ11" s="22" t="str">
        <f>+'Groups Stage'!CX11</f>
        <v xml:space="preserve"> - </v>
      </c>
      <c r="BA11" s="19">
        <f t="shared" si="18"/>
        <v>3.9904000011000003</v>
      </c>
      <c r="BB11" s="19"/>
      <c r="BC11" s="19">
        <f t="shared" si="19"/>
        <v>2.9904000010000003</v>
      </c>
      <c r="BD11" s="20" t="str">
        <f t="shared" si="20"/>
        <v>Senegal</v>
      </c>
      <c r="BE11">
        <f t="shared" si="21"/>
        <v>2.9904000000000002</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-3</v>
      </c>
      <c r="AV12" s="6">
        <f>+_xlfn.XLOOKUP($AO12,'Groups Stage'!$Y:$Y,'Groups Stage'!AF:AF,"-",0)</f>
        <v>2</v>
      </c>
      <c r="AW12" s="6">
        <f>+_xlfn.XLOOKUP($AO12,'Groups Stage'!$Y:$Y,'Groups Stage'!AG:AG,"-",0)</f>
        <v>5</v>
      </c>
      <c r="AX12" s="6">
        <f t="shared" si="16"/>
        <v>0.97019999999999995</v>
      </c>
      <c r="AY12" s="19">
        <f t="shared" si="17"/>
        <v>0.97020000119999994</v>
      </c>
      <c r="AZ12" s="22" t="str">
        <f>+'Groups Stage'!CX12</f>
        <v xml:space="preserve"> - </v>
      </c>
      <c r="BA12" s="19">
        <f t="shared" si="18"/>
        <v>0.97020000119999994</v>
      </c>
      <c r="BB12" s="19"/>
      <c r="BC12" s="19">
        <f t="shared" si="19"/>
        <v>1.9703000007</v>
      </c>
      <c r="BD12" s="20" t="str">
        <f t="shared" si="20"/>
        <v>Suecia</v>
      </c>
      <c r="BE12">
        <f t="shared" si="21"/>
        <v>1.9702999999999999</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Croacia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1</v>
      </c>
      <c r="AV13" s="6">
        <f>+_xlfn.XLOOKUP($AO13,'Groups Stage'!$Y:$Y,'Groups Stage'!AF:AF,"-",0)</f>
        <v>6</v>
      </c>
      <c r="AW13" s="6">
        <f>+_xlfn.XLOOKUP($AO13,'Groups Stage'!$Y:$Y,'Groups Stage'!AG:AG,"-",0)</f>
        <v>5</v>
      </c>
      <c r="AX13" s="6">
        <f t="shared" si="16"/>
        <v>4.0106000000000002</v>
      </c>
      <c r="AY13" s="19">
        <f t="shared" si="17"/>
        <v>4.0106000013000003</v>
      </c>
      <c r="AZ13" s="22" t="str">
        <f>+'Groups Stage'!CX13</f>
        <v xml:space="preserve"> - </v>
      </c>
      <c r="BA13" s="19">
        <f t="shared" si="18"/>
        <v>4.0106000013000003</v>
      </c>
      <c r="BB13" s="19"/>
      <c r="BC13" s="19">
        <f t="shared" si="19"/>
        <v>0.97020000119999994</v>
      </c>
      <c r="BD13" s="20" t="str">
        <f t="shared" si="20"/>
        <v>Uzbekistan</v>
      </c>
      <c r="BE13">
        <f t="shared" si="21"/>
        <v>0.97019999999999995</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6</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6</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6</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7</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7</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7</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6</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7</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7</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7</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6</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7</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7</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6</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6</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7</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6</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7</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6</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7</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6</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6</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7</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7</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7</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7</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6</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7</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7</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8</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7</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7</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7</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7</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7</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7</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7</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4</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4</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4</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4</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4</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4</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4</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4</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4</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4</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4</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4</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4</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5</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4</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4</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4</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4</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4</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7</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4</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4</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4</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4</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4</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4</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4</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4</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6</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4</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4</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4</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4</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4</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6</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6</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7</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4</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4</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4</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4</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4</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7</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4</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4</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4</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6</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6</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6</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7</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4</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4</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4</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6</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7</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7</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7</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4</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ColWidth="8.796875" defaultRowHeight="13.8" x14ac:dyDescent="0.25"/>
  <cols>
    <col min="7" max="7" width="2.8984375" bestFit="1" customWidth="1"/>
    <col min="8" max="8" width="13.59765625" bestFit="1" customWidth="1"/>
    <col min="9" max="15" width="10.19921875" customWidth="1"/>
    <col min="16" max="16" width="12.09765625" customWidth="1"/>
    <col min="24" max="24" width="12.59765625" bestFit="1" customWidth="1"/>
    <col min="25" max="26" width="12.59765625" customWidth="1"/>
    <col min="27" max="27" width="13.796875" customWidth="1"/>
    <col min="42" max="42" width="11.8984375" style="457" bestFit="1" customWidth="1"/>
    <col min="43" max="43" width="13.796875" bestFit="1" customWidth="1"/>
    <col min="44" max="45" width="8.8984375" style="6"/>
    <col min="46" max="46" width="10.3984375" style="169" bestFit="1" customWidth="1"/>
    <col min="49" max="49" width="11.59765625" customWidth="1"/>
    <col min="50" max="50" width="9.8984375" customWidth="1"/>
    <col min="51" max="51" width="13.796875" bestFit="1" customWidth="1"/>
    <col min="52" max="52" width="11.09765625" customWidth="1"/>
    <col min="53" max="53" width="13.796875" bestFit="1" customWidth="1"/>
    <col min="54" max="54" width="9.09765625" customWidth="1"/>
    <col min="55" max="55" width="13.796875" bestFit="1" customWidth="1"/>
    <col min="56" max="56" width="14.19921875" customWidth="1"/>
    <col min="57" max="57" width="13.5" bestFit="1" customWidth="1"/>
    <col min="58" max="58" width="12.3984375" customWidth="1"/>
    <col min="59" max="59" width="13.796875" bestFit="1" customWidth="1"/>
    <col min="61" max="61" width="13.7968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1</v>
      </c>
      <c r="R4" s="6">
        <f>+COUNTIFS('Inputs summary'!J:K,$H4)</f>
        <v>1</v>
      </c>
      <c r="S4" s="6">
        <f>+COUNTIFS('Inputs summary'!L:L,$H4)</f>
        <v>2</v>
      </c>
      <c r="T4" s="6">
        <f>+U4-V4</f>
        <v>-2</v>
      </c>
      <c r="U4" s="6">
        <f>+SUMIF('Inputs summary'!B:B,H4,'Inputs summary'!C:C)+SUMIF('Inputs summary'!E:E,H4,'Inputs summary'!D:D)</f>
        <v>5</v>
      </c>
      <c r="V4" s="6">
        <f>+SUMIF('Inputs summary'!B:B,H4,'Inputs summary'!D:D)+SUMIF('Inputs summary'!E:E,H4,'Inputs summary'!C:C)</f>
        <v>7</v>
      </c>
      <c r="W4" s="159">
        <f>+P4*100+Q4*3+R4+T4/100+U4/10000+(1/AA4)/100000000</f>
        <v>103.98050000066667</v>
      </c>
      <c r="X4" s="173">
        <f>+SUMPRODUCT(I4:O4,$I$1:$O$1)</f>
        <v>1</v>
      </c>
      <c r="Y4" s="167">
        <f t="shared" ref="Y4:Y51" si="7">+_xlfn.XLOOKUP(H4,AQ:AQ,AR:AR,"-",0)</f>
        <v>2</v>
      </c>
      <c r="Z4" s="173">
        <f>+W4+(1/Y4)*0.000001</f>
        <v>103.98050050066666</v>
      </c>
      <c r="AA4" s="173">
        <f>+_xlfn.XLOOKUP(H4,'Ranking FIFA'!B:B,'Ranking FIFA'!A:A,"--",0)</f>
        <v>15</v>
      </c>
      <c r="AC4" t="str">
        <f>+'Quarter, Semis &amp; Final'!P8</f>
        <v>España</v>
      </c>
      <c r="AD4" t="str">
        <f>+'Quarter, Semis &amp; Final'!P4</f>
        <v>España</v>
      </c>
      <c r="AE4" t="str">
        <f>+'Quarter, Semis &amp; Final'!P15</f>
        <v>Brasil</v>
      </c>
      <c r="AF4" t="str">
        <f>+'Quarter, Semis &amp; Final'!B19</f>
        <v>Francia</v>
      </c>
      <c r="AG4" t="str">
        <f>+'Quarter, Semis &amp; Final'!B5</f>
        <v>Francia</v>
      </c>
      <c r="AH4" t="str">
        <f>+'Round of 32 &amp; Round of 16'!P5</f>
        <v>Ecuador</v>
      </c>
      <c r="AI4" t="str">
        <f>+'Round of 32 &amp; Round of 16'!B5</f>
        <v>Mexico</v>
      </c>
      <c r="AP4" s="457">
        <f>+_xlfn.XLOOKUP(AQ4,'Ranking FIFA'!B:B,'Ranking FIFA'!A:A,"--",0)</f>
        <v>1</v>
      </c>
      <c r="AQ4" t="s">
        <v>48</v>
      </c>
      <c r="AR4" s="6">
        <v>1</v>
      </c>
      <c r="AS4" s="6">
        <v>1</v>
      </c>
      <c r="AT4" s="169">
        <f t="shared" ref="AT4:AT51" si="8">+SUMIF($H$4:$H$51,AQ4,$X$4:$X$51)</f>
        <v>1111</v>
      </c>
      <c r="AU4" s="166">
        <f t="shared" ref="AU4:AU51" si="9">+SUMIF($H$4:$H$51,AQ4,$W$4:$W$51)</f>
        <v>417.09210000999997</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Marruecos</v>
      </c>
      <c r="BE4" s="166">
        <f>+_xlfn.MAXIFS(W:W,Y:Y,AW4)</f>
        <v>311.04110000125002</v>
      </c>
      <c r="BF4" s="168">
        <f>+IF(AZ4&gt;0,AX4,0)</f>
        <v>0</v>
      </c>
      <c r="BH4">
        <v>1</v>
      </c>
      <c r="BI4" t="str">
        <f t="shared" ref="BI4:BI51" si="11">+H4</f>
        <v>Mexico</v>
      </c>
      <c r="BJ4" s="6">
        <f>+COUNTIFS('Inputs summary'!I$2:I$106,BI4)</f>
        <v>1</v>
      </c>
      <c r="BK4" s="6">
        <f>+COUNTIFS('Inputs summary'!J$2:K$106,BI4)</f>
        <v>1</v>
      </c>
      <c r="BL4" s="6">
        <f>+COUNTIFS('Inputs summary'!L$2:L$106,BI4)</f>
        <v>1</v>
      </c>
      <c r="BM4" s="6">
        <f>+BN4-BO4</f>
        <v>-1</v>
      </c>
      <c r="BN4" s="6">
        <f>+SUMIF('Inputs summary'!$B$1:$B$106,$BI4,'Inputs summary'!$C$1:$C$106)+SUMIF('Inputs summary'!$E$1:$E$106,$BI4,'Inputs summary'!$D$1:$D$106)</f>
        <v>4</v>
      </c>
      <c r="BO4" s="6">
        <f>+SUMIF('Inputs summary'!$B$1:$B$106,$BI4,'Inputs summary'!$D$1:$D$106)+SUMIF('Inputs summary'!$E$1:$E$106,$BI4,'Inputs summary'!$C$1:$C$106)</f>
        <v>5</v>
      </c>
      <c r="BP4" s="166">
        <f t="shared" ref="BP4:BP51" si="12">+BJ4*3+BK4*2+BM4/100+BN4/1000+Y4/100000+AA4/10000000</f>
        <v>4.9940214999999997</v>
      </c>
      <c r="BR4">
        <f>+LARGE(BP4:BP51,1)</f>
        <v>9.1010101999999993</v>
      </c>
      <c r="BS4" s="175" t="str">
        <f>+_xlfn.XLOOKUP(BR4,$BP$4:$BP$51,$BI$4:$BI$51,"-",0)</f>
        <v>España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-5</v>
      </c>
      <c r="U5" s="6">
        <f>+SUMIF('Inputs summary'!B:B,H5,'Inputs summary'!C:C)+SUMIF('Inputs summary'!E:E,H5,'Inputs summary'!D:D)</f>
        <v>1</v>
      </c>
      <c r="V5" s="6">
        <f>+SUMIF('Inputs summary'!B:B,H5,'Inputs summary'!D:D)+SUMIF('Inputs summary'!E:E,H5,'Inputs summary'!C:C)</f>
        <v>6</v>
      </c>
      <c r="W5" s="159">
        <f t="shared" ref="W5:W51" si="15">+P5*100+Q5*3+R5+T5/100+U5/10000+(1/AA5)/100000000</f>
        <v>0.95010000016666663</v>
      </c>
      <c r="X5" s="173">
        <f t="shared" ref="X5:X51" si="16">+SUMPRODUCT(I5:O5,$I$1:$O$1)</f>
        <v>0</v>
      </c>
      <c r="Y5" s="167">
        <f t="shared" si="7"/>
        <v>3</v>
      </c>
      <c r="Z5" s="173">
        <f t="shared" ref="Z5:Z51" si="17">+W5+(1/Y5)*0.000001</f>
        <v>0.9501003335</v>
      </c>
      <c r="AA5" s="173">
        <f>+_xlfn.XLOOKUP(H5,'Ranking FIFA'!B:B,'Ranking FIFA'!A:A,"--",0)</f>
        <v>60</v>
      </c>
      <c r="AD5" t="str">
        <f>+'Quarter, Semis &amp; Final'!S4</f>
        <v>Argentina</v>
      </c>
      <c r="AF5" t="str">
        <f>+'Quarter, Semis &amp; Final'!E19</f>
        <v>España</v>
      </c>
      <c r="AG5" t="str">
        <f>+'Quarter, Semis &amp; Final'!E5</f>
        <v>Marruecos</v>
      </c>
      <c r="AH5" t="str">
        <f>+'Round of 32 &amp; Round of 16'!S5</f>
        <v>Francia</v>
      </c>
      <c r="AI5" t="str">
        <f>+'Round of 32 &amp; Round of 16'!E5</f>
        <v>Canada</v>
      </c>
      <c r="AP5" s="457">
        <f>+_xlfn.XLOOKUP(AQ5,'Ranking FIFA'!B:B,'Ranking FIFA'!A:A,"--",0)</f>
        <v>2</v>
      </c>
      <c r="AQ5" t="s">
        <v>49</v>
      </c>
      <c r="AR5" s="6">
        <v>1</v>
      </c>
      <c r="AS5" s="6">
        <v>1</v>
      </c>
      <c r="AT5" s="169">
        <f t="shared" si="8"/>
        <v>2201111</v>
      </c>
      <c r="AU5" s="166">
        <f t="shared" si="9"/>
        <v>822.16210000499996</v>
      </c>
      <c r="AW5" s="6">
        <v>3</v>
      </c>
      <c r="AX5" s="169">
        <f>+_xlfn.MAXIFS(AT:AT,AR:AR,AW5)</f>
        <v>111</v>
      </c>
      <c r="AY5" s="6">
        <f t="shared" ref="AY5:AY6" si="18">+IF($AX5&gt;AY$2,1,0)</f>
        <v>1</v>
      </c>
      <c r="AZ5" s="6">
        <f t="shared" si="10"/>
        <v>0</v>
      </c>
      <c r="BA5" s="6">
        <f t="shared" si="10"/>
        <v>0</v>
      </c>
      <c r="BB5" s="6">
        <f t="shared" si="10"/>
        <v>0</v>
      </c>
      <c r="BC5" s="6">
        <f t="shared" si="10"/>
        <v>0</v>
      </c>
      <c r="BD5" s="6" t="str">
        <f>+_xlfn.XLOOKUP(BE5,W:W,H:H)</f>
        <v>Costa de Marfil</v>
      </c>
      <c r="BE5" s="166">
        <f>+_xlfn.MAXIFS(W:W,Y:Y,AW5)</f>
        <v>307.0109000002941</v>
      </c>
      <c r="BF5" s="168">
        <f>+IF(AY5&gt;0,AX5,0)*1</f>
        <v>111</v>
      </c>
      <c r="BH5">
        <v>2</v>
      </c>
      <c r="BI5" t="str">
        <f t="shared" si="11"/>
        <v>Sudafrica</v>
      </c>
      <c r="BJ5" s="6">
        <f>+COUNTIFS('Inputs summary'!I$2:I$106,BI5)</f>
        <v>0</v>
      </c>
      <c r="BK5" s="6">
        <f>+COUNTIFS('Inputs summary'!J$2:K$106,BI5)</f>
        <v>1</v>
      </c>
      <c r="BL5" s="6">
        <f>+COUNTIFS('Inputs summary'!L$2:L$106,BI5)</f>
        <v>2</v>
      </c>
      <c r="BM5" s="6">
        <f t="shared" ref="BM5:BM51" si="19">+BN5-BO5</f>
        <v>-5</v>
      </c>
      <c r="BN5" s="6">
        <f>+SUMIF('Inputs summary'!$B$1:$B$106,$BI5,'Inputs summary'!$C$1:$C$106)+SUMIF('Inputs summary'!$E$1:$E$106,$BI5,'Inputs summary'!$D$1:$D$106)</f>
        <v>1</v>
      </c>
      <c r="BO5" s="6">
        <f>+SUMIF('Inputs summary'!$B$1:$B$106,$BI5,'Inputs summary'!$D$1:$D$106)+SUMIF('Inputs summary'!$E$1:$E$106,$BI5,'Inputs summary'!$C$1:$C$106)</f>
        <v>6</v>
      </c>
      <c r="BP5" s="166">
        <f t="shared" si="12"/>
        <v>1.9510359999999998</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4</v>
      </c>
      <c r="R6" s="6">
        <f>+COUNTIFS('Inputs summary'!J:K,$H6)</f>
        <v>0</v>
      </c>
      <c r="S6" s="6">
        <f>+COUNTIFS('Inputs summary'!L:L,$H6)</f>
        <v>1</v>
      </c>
      <c r="T6" s="6">
        <f t="shared" si="14"/>
        <v>7</v>
      </c>
      <c r="U6" s="6">
        <f>+SUMIF('Inputs summary'!B:B,H6,'Inputs summary'!C:C)+SUMIF('Inputs summary'!E:E,H6,'Inputs summary'!D:D)</f>
        <v>11</v>
      </c>
      <c r="V6" s="6">
        <f>+SUMIF('Inputs summary'!B:B,H6,'Inputs summary'!D:D)+SUMIF('Inputs summary'!E:E,H6,'Inputs summary'!C:C)</f>
        <v>4</v>
      </c>
      <c r="W6" s="159">
        <f t="shared" si="15"/>
        <v>212.07110000040001</v>
      </c>
      <c r="X6" s="173">
        <f t="shared" si="16"/>
        <v>11</v>
      </c>
      <c r="Y6" s="167">
        <f t="shared" si="7"/>
        <v>2</v>
      </c>
      <c r="Z6" s="173">
        <f t="shared" si="17"/>
        <v>212.07110050040001</v>
      </c>
      <c r="AA6" s="173">
        <f>+_xlfn.XLOOKUP(H6,'Ranking FIFA'!B:B,'Ranking FIFA'!A:A,"--",0)</f>
        <v>25</v>
      </c>
      <c r="AF6" t="str">
        <f>+'Quarter, Semis &amp; Final'!H19</f>
        <v>Brasil</v>
      </c>
      <c r="AG6" t="str">
        <f>+'Quarter, Semis &amp; Final'!B9</f>
        <v>España</v>
      </c>
      <c r="AH6" t="str">
        <f>+'Round of 32 &amp; Round of 16'!P13</f>
        <v>Canada</v>
      </c>
      <c r="AI6" t="str">
        <f>+'Round of 32 &amp; Round of 16'!B9</f>
        <v>Ecuador</v>
      </c>
      <c r="AP6" s="457">
        <f>+_xlfn.XLOOKUP(AQ6,'Ranking FIFA'!B:B,'Ranking FIFA'!A:A,"--",0)</f>
        <v>3</v>
      </c>
      <c r="AQ6" t="s">
        <v>50</v>
      </c>
      <c r="AR6" s="6">
        <v>1</v>
      </c>
      <c r="AS6" s="6">
        <v>1</v>
      </c>
      <c r="AT6" s="169">
        <f t="shared" si="8"/>
        <v>201111</v>
      </c>
      <c r="AU6" s="166">
        <f t="shared" si="9"/>
        <v>621.09160000333338</v>
      </c>
      <c r="AW6" s="154">
        <v>4</v>
      </c>
      <c r="AX6" s="170">
        <f>+_xlfn.MAXIFS(AT:AT,AR:AR,AW6)</f>
        <v>0</v>
      </c>
      <c r="AY6" s="154">
        <f t="shared" si="18"/>
        <v>0</v>
      </c>
      <c r="AZ6" s="154">
        <f t="shared" si="10"/>
        <v>0</v>
      </c>
      <c r="BA6" s="154">
        <f t="shared" si="10"/>
        <v>0</v>
      </c>
      <c r="BB6" s="154">
        <f t="shared" si="10"/>
        <v>0</v>
      </c>
      <c r="BC6" s="154">
        <f t="shared" si="10"/>
        <v>0</v>
      </c>
      <c r="BD6" s="154" t="str">
        <f>+_xlfn.XLOOKUP(BE6,W:W,H:H)</f>
        <v>Uzbekistan</v>
      </c>
      <c r="BE6" s="171">
        <f>+_xlfn.MAXIFS(W:W,Y:Y,AW6)</f>
        <v>0.97020000019999997</v>
      </c>
      <c r="BF6" s="172">
        <f>+IF(AY6&gt;0,AX6,0)*2</f>
        <v>0</v>
      </c>
      <c r="BH6">
        <v>3</v>
      </c>
      <c r="BI6" t="str">
        <f t="shared" si="11"/>
        <v>Corea del Sur</v>
      </c>
      <c r="BJ6" s="6">
        <f>+COUNTIFS('Inputs summary'!I$2:I$106,BI6)</f>
        <v>3</v>
      </c>
      <c r="BK6" s="6">
        <f>+COUNTIFS('Inputs summary'!J$2:K$106,BI6)</f>
        <v>0</v>
      </c>
      <c r="BL6" s="6">
        <f>+COUNTIFS('Inputs summary'!L$2:L$106,BI6)</f>
        <v>0</v>
      </c>
      <c r="BM6" s="6">
        <f t="shared" si="19"/>
        <v>6</v>
      </c>
      <c r="BN6" s="6">
        <f>+SUMIF('Inputs summary'!$B$1:$B$106,$BI6,'Inputs summary'!$C$1:$C$106)+SUMIF('Inputs summary'!$E$1:$E$106,$BI6,'Inputs summary'!$D$1:$D$106)</f>
        <v>8</v>
      </c>
      <c r="BO6" s="6">
        <f>+SUMIF('Inputs summary'!$B$1:$B$106,$BI6,'Inputs summary'!$D$1:$D$106)+SUMIF('Inputs summary'!$E$1:$E$106,$BI6,'Inputs summary'!$C$1:$C$106)</f>
        <v>2</v>
      </c>
      <c r="BP6" s="166">
        <f t="shared" si="12"/>
        <v>9.0680224999999997</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1</v>
      </c>
      <c r="R7" s="6">
        <f>+COUNTIFS('Inputs summary'!J:K,$H7)</f>
        <v>0</v>
      </c>
      <c r="S7" s="6">
        <f>+COUNTIFS('Inputs summary'!L:L,$H7)</f>
        <v>2</v>
      </c>
      <c r="T7" s="6">
        <f t="shared" si="14"/>
        <v>0</v>
      </c>
      <c r="U7" s="6">
        <f>+SUMIF('Inputs summary'!B:B,H7,'Inputs summary'!C:C)+SUMIF('Inputs summary'!E:E,H7,'Inputs summary'!D:D)</f>
        <v>4</v>
      </c>
      <c r="V7" s="6">
        <f>+SUMIF('Inputs summary'!B:B,H7,'Inputs summary'!D:D)+SUMIF('Inputs summary'!E:E,H7,'Inputs summary'!C:C)</f>
        <v>4</v>
      </c>
      <c r="W7" s="159">
        <f t="shared" si="15"/>
        <v>3.0004000002439022</v>
      </c>
      <c r="X7" s="173">
        <f t="shared" si="16"/>
        <v>0</v>
      </c>
      <c r="Y7" s="167">
        <f t="shared" si="7"/>
        <v>3</v>
      </c>
      <c r="Z7" s="173">
        <f t="shared" si="17"/>
        <v>3.0004003335772356</v>
      </c>
      <c r="AA7" s="173">
        <f>+_xlfn.XLOOKUP(H7,'Ranking FIFA'!B:B,'Ranking FIFA'!A:A,"--",0)</f>
        <v>41</v>
      </c>
      <c r="AF7" t="str">
        <f>+'Quarter, Semis &amp; Final'!K19</f>
        <v>Argentina</v>
      </c>
      <c r="AG7" t="str">
        <f>+'Quarter, Semis &amp; Final'!E9</f>
        <v>Belgica</v>
      </c>
      <c r="AH7" t="str">
        <f>+'Round of 32 &amp; Round of 16'!S13</f>
        <v>Marruecos</v>
      </c>
      <c r="AI7" t="str">
        <f>+'Round of 32 &amp; Round of 16'!E9</f>
        <v>Escocia</v>
      </c>
      <c r="AP7" s="457">
        <f>+_xlfn.XLOOKUP(AQ7,'Ranking FIFA'!B:B,'Ranking FIFA'!A:A,"--",0)</f>
        <v>4</v>
      </c>
      <c r="AQ7" t="s">
        <v>51</v>
      </c>
      <c r="AR7" s="6">
        <v>1</v>
      </c>
      <c r="AS7" s="6">
        <v>1</v>
      </c>
      <c r="AT7" s="169">
        <f t="shared" si="8"/>
        <v>1</v>
      </c>
      <c r="AU7" s="166">
        <f t="shared" si="9"/>
        <v>108.0309000025</v>
      </c>
      <c r="BC7" t="s">
        <v>849</v>
      </c>
      <c r="BD7" s="175" t="str">
        <f>+IF(BF7=0,IF(AX6&lt;1,"No hay Revelación",BD6),_xlfn.XLOOKUP(BF7,BF4:BF6,BD4:BD6,"-",0))</f>
        <v>Costa de Marfil</v>
      </c>
      <c r="BF7" s="168">
        <f>+MAX(BF4:BF6)</f>
        <v>111</v>
      </c>
      <c r="BH7">
        <v>4</v>
      </c>
      <c r="BI7" t="str">
        <f t="shared" si="11"/>
        <v>Repubilca Checa</v>
      </c>
      <c r="BJ7" s="6">
        <f>+COUNTIFS('Inputs summary'!I$2:I$106,BI7)</f>
        <v>1</v>
      </c>
      <c r="BK7" s="6">
        <f>+COUNTIFS('Inputs summary'!J$2:K$106,BI7)</f>
        <v>0</v>
      </c>
      <c r="BL7" s="6">
        <f>+COUNTIFS('Inputs summary'!L$2:L$106,BI7)</f>
        <v>2</v>
      </c>
      <c r="BM7" s="6">
        <f t="shared" si="19"/>
        <v>0</v>
      </c>
      <c r="BN7" s="6">
        <f>+SUMIF('Inputs summary'!$B$1:$B$106,$BI7,'Inputs summary'!$C$1:$C$106)+SUMIF('Inputs summary'!$E$1:$E$106,$BI7,'Inputs summary'!$D$1:$D$106)</f>
        <v>4</v>
      </c>
      <c r="BO7" s="6">
        <f>+SUMIF('Inputs summary'!$B$1:$B$106,$BI7,'Inputs summary'!$D$1:$D$106)+SUMIF('Inputs summary'!$E$1:$E$106,$BI7,'Inputs summary'!$C$1:$C$106)</f>
        <v>4</v>
      </c>
      <c r="BP7" s="166">
        <f t="shared" si="12"/>
        <v>3.0040341000000002</v>
      </c>
    </row>
    <row r="8" spans="1:71" x14ac:dyDescent="0.25">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2</v>
      </c>
      <c r="R8" s="6">
        <f>+COUNTIFS('Inputs summary'!J:K,$H8)</f>
        <v>2</v>
      </c>
      <c r="S8" s="6">
        <f>+COUNTIFS('Inputs summary'!L:L,$H8)</f>
        <v>1</v>
      </c>
      <c r="T8" s="6">
        <f t="shared" si="14"/>
        <v>1</v>
      </c>
      <c r="U8" s="6">
        <f>+SUMIF('Inputs summary'!B:B,H8,'Inputs summary'!C:C)+SUMIF('Inputs summary'!E:E,H8,'Inputs summary'!D:D)</f>
        <v>7</v>
      </c>
      <c r="V8" s="6">
        <f>+SUMIF('Inputs summary'!B:B,H8,'Inputs summary'!D:D)+SUMIF('Inputs summary'!E:E,H8,'Inputs summary'!C:C)</f>
        <v>6</v>
      </c>
      <c r="W8" s="159">
        <f t="shared" si="15"/>
        <v>208.01070000033332</v>
      </c>
      <c r="X8" s="173">
        <f t="shared" si="16"/>
        <v>11</v>
      </c>
      <c r="Y8" s="167">
        <f t="shared" si="7"/>
        <v>3</v>
      </c>
      <c r="Z8" s="173">
        <f t="shared" si="17"/>
        <v>208.01070033366665</v>
      </c>
      <c r="AA8" s="173">
        <f>+_xlfn.XLOOKUP(H8,'Ranking FIFA'!B:B,'Ranking FIFA'!A:A,"--",0)</f>
        <v>30</v>
      </c>
      <c r="AG8" t="str">
        <f>+'Quarter, Semis &amp; Final'!H5</f>
        <v>Brasil</v>
      </c>
      <c r="AH8" t="str">
        <f>+'Round of 32 &amp; Round of 16'!P21</f>
        <v>Brasil</v>
      </c>
      <c r="AI8" t="str">
        <f>+'Round of 32 &amp; Round of 16'!B13</f>
        <v>Japon</v>
      </c>
      <c r="AP8" s="457">
        <f>+_xlfn.XLOOKUP(AQ8,'Ranking FIFA'!B:B,'Ranking FIFA'!A:A,"--",0)</f>
        <v>5</v>
      </c>
      <c r="AQ8" t="s">
        <v>52</v>
      </c>
      <c r="AR8" s="6">
        <v>1</v>
      </c>
      <c r="AS8" s="6">
        <v>1</v>
      </c>
      <c r="AT8" s="169">
        <f t="shared" si="8"/>
        <v>1</v>
      </c>
      <c r="AU8" s="166">
        <f t="shared" si="9"/>
        <v>107.040800002</v>
      </c>
      <c r="BH8">
        <v>5</v>
      </c>
      <c r="BI8" t="str">
        <f t="shared" si="11"/>
        <v>Canada</v>
      </c>
      <c r="BJ8" s="6">
        <f>+COUNTIFS('Inputs summary'!I$2:I$106,BI8)</f>
        <v>1</v>
      </c>
      <c r="BK8" s="6">
        <f>+COUNTIFS('Inputs summary'!J$2:K$106,BI8)</f>
        <v>2</v>
      </c>
      <c r="BL8" s="6">
        <f>+COUNTIFS('Inputs summary'!L$2:L$106,BI8)</f>
        <v>0</v>
      </c>
      <c r="BM8" s="6">
        <f t="shared" si="19"/>
        <v>2</v>
      </c>
      <c r="BN8" s="6">
        <f>+SUMIF('Inputs summary'!$B$1:$B$106,$BI8,'Inputs summary'!$C$1:$C$106)+SUMIF('Inputs summary'!$E$1:$E$106,$BI8,'Inputs summary'!$D$1:$D$106)</f>
        <v>5</v>
      </c>
      <c r="BO8" s="6">
        <f>+SUMIF('Inputs summary'!$B$1:$B$106,$BI8,'Inputs summary'!$D$1:$D$106)+SUMIF('Inputs summary'!$E$1:$E$106,$BI8,'Inputs summary'!$C$1:$C$106)</f>
        <v>3</v>
      </c>
      <c r="BP8" s="166">
        <f t="shared" si="12"/>
        <v>7.0250329999999996</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1</v>
      </c>
      <c r="S9" s="6">
        <f>+COUNTIFS('Inputs summary'!L:L,$H9)</f>
        <v>2</v>
      </c>
      <c r="T9" s="6">
        <f t="shared" si="14"/>
        <v>-1</v>
      </c>
      <c r="U9" s="6">
        <f>+SUMIF('Inputs summary'!B:B,H9,'Inputs summary'!C:C)+SUMIF('Inputs summary'!E:E,H9,'Inputs summary'!D:D)</f>
        <v>6</v>
      </c>
      <c r="V9" s="6">
        <f>+SUMIF('Inputs summary'!B:B,H9,'Inputs summary'!D:D)+SUMIF('Inputs summary'!E:E,H9,'Inputs summary'!C:C)</f>
        <v>7</v>
      </c>
      <c r="W9" s="159">
        <f t="shared" si="15"/>
        <v>103.99060000015385</v>
      </c>
      <c r="X9" s="173">
        <f t="shared" si="16"/>
        <v>1</v>
      </c>
      <c r="Y9" s="167">
        <f t="shared" si="7"/>
        <v>3</v>
      </c>
      <c r="Z9" s="173">
        <f t="shared" si="17"/>
        <v>103.99060033348718</v>
      </c>
      <c r="AA9" s="173">
        <f>+_xlfn.XLOOKUP(H9,'Ranking FIFA'!B:B,'Ranking FIFA'!A:A,"--",0)</f>
        <v>65</v>
      </c>
      <c r="AG9" t="str">
        <f>+'Quarter, Semis &amp; Final'!K5</f>
        <v>Costa de Marfil</v>
      </c>
      <c r="AH9" t="str">
        <f>+'Round of 32 &amp; Round of 16'!S21</f>
        <v>Noruega</v>
      </c>
      <c r="AI9" t="str">
        <f>+'Round of 32 &amp; Round of 16'!E13</f>
        <v>Marruecos</v>
      </c>
      <c r="AP9" s="457">
        <f>+_xlfn.XLOOKUP(AQ9,'Ranking FIFA'!B:B,'Ranking FIFA'!A:A,"--",0)</f>
        <v>6</v>
      </c>
      <c r="AQ9" t="s">
        <v>53</v>
      </c>
      <c r="AR9" s="6">
        <v>1</v>
      </c>
      <c r="AS9" s="6">
        <v>1</v>
      </c>
      <c r="AT9" s="169">
        <f t="shared" si="8"/>
        <v>11111</v>
      </c>
      <c r="AU9" s="166">
        <f t="shared" si="9"/>
        <v>517.10230000166666</v>
      </c>
      <c r="AW9" t="s">
        <v>850</v>
      </c>
      <c r="AX9" t="str">
        <f>+_xlfn.XLOOKUP(AX10,AU:AU,AQ:AQ,"-",0)</f>
        <v>Paises Bajos</v>
      </c>
      <c r="BH9">
        <v>6</v>
      </c>
      <c r="BI9" t="str">
        <f t="shared" si="11"/>
        <v>Bosnia</v>
      </c>
      <c r="BJ9" s="6">
        <f>+COUNTIFS('Inputs summary'!I$2:I$106,BI9)</f>
        <v>1</v>
      </c>
      <c r="BK9" s="6">
        <f>+COUNTIFS('Inputs summary'!J$2:K$106,BI9)</f>
        <v>1</v>
      </c>
      <c r="BL9" s="6">
        <f>+COUNTIFS('Inputs summary'!L$2:L$106,BI9)</f>
        <v>1</v>
      </c>
      <c r="BM9" s="6">
        <f t="shared" si="19"/>
        <v>1</v>
      </c>
      <c r="BN9" s="6">
        <f>+SUMIF('Inputs summary'!$B$1:$B$106,$BI9,'Inputs summary'!$C$1:$C$106)+SUMIF('Inputs summary'!$E$1:$E$106,$BI9,'Inputs summary'!$D$1:$D$106)</f>
        <v>5</v>
      </c>
      <c r="BO9" s="6">
        <f>+SUMIF('Inputs summary'!$B$1:$B$106,$BI9,'Inputs summary'!$D$1:$D$106)+SUMIF('Inputs summary'!$E$1:$E$106,$BI9,'Inputs summary'!$C$1:$C$106)</f>
        <v>4</v>
      </c>
      <c r="BP9" s="166">
        <f t="shared" si="12"/>
        <v>5.015036499999999</v>
      </c>
    </row>
    <row r="10" spans="1:71" x14ac:dyDescent="0.25">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-7</v>
      </c>
      <c r="U10" s="6">
        <f>+SUMIF('Inputs summary'!B:B,H10,'Inputs summary'!C:C)+SUMIF('Inputs summary'!E:E,H10,'Inputs summary'!D:D)</f>
        <v>0</v>
      </c>
      <c r="V10" s="6">
        <f>+SUMIF('Inputs summary'!B:B,H10,'Inputs summary'!D:D)+SUMIF('Inputs summary'!E:E,H10,'Inputs summary'!C:C)</f>
        <v>7</v>
      </c>
      <c r="W10" s="159">
        <f t="shared" si="15"/>
        <v>-6.9999999818181821E-2</v>
      </c>
      <c r="X10" s="173">
        <f t="shared" si="16"/>
        <v>0</v>
      </c>
      <c r="Y10" s="167">
        <f t="shared" si="7"/>
        <v>4</v>
      </c>
      <c r="Z10" s="173">
        <f t="shared" si="17"/>
        <v>-6.9999749818181828E-2</v>
      </c>
      <c r="AA10" s="173">
        <f>+_xlfn.XLOOKUP(H10,'Ranking FIFA'!B:B,'Ranking FIFA'!A:A,"--",0)</f>
        <v>55</v>
      </c>
      <c r="AG10" t="str">
        <f>+'Quarter, Semis &amp; Final'!H9</f>
        <v>Argentina</v>
      </c>
      <c r="AH10" t="str">
        <f>+'Round of 32 &amp; Round of 16'!P29</f>
        <v>Corea del Sur</v>
      </c>
      <c r="AI10" t="str">
        <f>+'Round of 32 &amp; Round of 16'!B17</f>
        <v>Brasil</v>
      </c>
      <c r="AP10" s="457">
        <f>+_xlfn.XLOOKUP(AQ10,'Ranking FIFA'!B:B,'Ranking FIFA'!A:A,"--",0)</f>
        <v>7</v>
      </c>
      <c r="AQ10" t="s">
        <v>54</v>
      </c>
      <c r="AR10" s="6">
        <v>1</v>
      </c>
      <c r="AS10" s="6">
        <v>1</v>
      </c>
      <c r="AT10" s="169">
        <f t="shared" si="8"/>
        <v>1</v>
      </c>
      <c r="AU10" s="166">
        <f t="shared" si="9"/>
        <v>106.04110000142857</v>
      </c>
      <c r="AW10" t="s">
        <v>291</v>
      </c>
      <c r="AX10" s="174">
        <f>+_xlfn.MINIFS(AU:AU,AS:AS,1)</f>
        <v>106.04110000142857</v>
      </c>
      <c r="BH10">
        <v>7</v>
      </c>
      <c r="BI10" t="str">
        <f t="shared" si="11"/>
        <v>Qatar</v>
      </c>
      <c r="BJ10" s="6">
        <f>+COUNTIFS('Inputs summary'!I$2:I$106,BI10)</f>
        <v>0</v>
      </c>
      <c r="BK10" s="6">
        <f>+COUNTIFS('Inputs summary'!J$2:K$106,BI10)</f>
        <v>0</v>
      </c>
      <c r="BL10" s="6">
        <f>+COUNTIFS('Inputs summary'!L$2:L$106,BI10)</f>
        <v>3</v>
      </c>
      <c r="BM10" s="6">
        <f t="shared" si="19"/>
        <v>-7</v>
      </c>
      <c r="BN10" s="6">
        <f>+SUMIF('Inputs summary'!$B$1:$B$106,$BI10,'Inputs summary'!$C$1:$C$106)+SUMIF('Inputs summary'!$E$1:$E$106,$BI10,'Inputs summary'!$D$1:$D$106)</f>
        <v>0</v>
      </c>
      <c r="BO10" s="6">
        <f>+SUMIF('Inputs summary'!$B$1:$B$106,$BI10,'Inputs summary'!$D$1:$D$106)+SUMIF('Inputs summary'!$E$1:$E$106,$BI10,'Inputs summary'!$C$1:$C$106)</f>
        <v>7</v>
      </c>
      <c r="BP10" s="166">
        <f t="shared" si="12"/>
        <v>-6.9954500000000003E-2</v>
      </c>
    </row>
    <row r="11" spans="1:71" x14ac:dyDescent="0.25">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2</v>
      </c>
      <c r="S11" s="6">
        <f>+COUNTIFS('Inputs summary'!L:L,$H11)</f>
        <v>0</v>
      </c>
      <c r="T11" s="6">
        <f t="shared" si="14"/>
        <v>5</v>
      </c>
      <c r="U11" s="6">
        <f>+SUMIF('Inputs summary'!B:B,H11,'Inputs summary'!C:C)+SUMIF('Inputs summary'!E:E,H11,'Inputs summary'!D:D)</f>
        <v>8</v>
      </c>
      <c r="V11" s="6">
        <f>+SUMIF('Inputs summary'!B:B,H11,'Inputs summary'!D:D)+SUMIF('Inputs summary'!E:E,H11,'Inputs summary'!C:C)</f>
        <v>3</v>
      </c>
      <c r="W11" s="159">
        <f t="shared" si="15"/>
        <v>211.05080000052632</v>
      </c>
      <c r="X11" s="173">
        <f t="shared" si="16"/>
        <v>11</v>
      </c>
      <c r="Y11" s="167">
        <f t="shared" si="7"/>
        <v>2</v>
      </c>
      <c r="Z11" s="173">
        <f t="shared" si="17"/>
        <v>211.05080050052632</v>
      </c>
      <c r="AA11" s="173">
        <f>+_xlfn.XLOOKUP(H11,'Ranking FIFA'!B:B,'Ranking FIFA'!A:A,"--",0)</f>
        <v>19</v>
      </c>
      <c r="AG11" t="str">
        <f>+'Quarter, Semis &amp; Final'!K9</f>
        <v>Croacia</v>
      </c>
      <c r="AH11" t="str">
        <f>+'Round of 32 &amp; Round of 16'!S29</f>
        <v>Costa de Marfil</v>
      </c>
      <c r="AI11" t="str">
        <f>+'Round of 32 &amp; Round of 16'!E17</f>
        <v>Paises Bajos</v>
      </c>
      <c r="AP11" s="457">
        <f>+_xlfn.XLOOKUP(AQ11,'Ranking FIFA'!B:B,'Ranking FIFA'!A:A,"--",0)</f>
        <v>9</v>
      </c>
      <c r="AQ11" t="s">
        <v>55</v>
      </c>
      <c r="AR11" s="6">
        <v>1</v>
      </c>
      <c r="AS11" s="6">
        <v>2</v>
      </c>
      <c r="AT11" s="169">
        <f t="shared" si="8"/>
        <v>111</v>
      </c>
      <c r="AU11" s="166">
        <f t="shared" si="9"/>
        <v>313.0311000011111</v>
      </c>
      <c r="AW11" t="s">
        <v>851</v>
      </c>
      <c r="AX11" s="174">
        <f>+_xlfn.XLOOKUP(AX10,AU:AU,AT:AT,"-",0)</f>
        <v>1</v>
      </c>
      <c r="AY11" s="175" t="str">
        <f>+IF(AX11&gt;=AY2,"-",AX9)</f>
        <v>Paises Bajos</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6</v>
      </c>
      <c r="BO11" s="6">
        <f>+SUMIF('Inputs summary'!$B$1:$B$106,$BI11,'Inputs summary'!$D$1:$D$106)+SUMIF('Inputs summary'!$E$1:$E$106,$BI11,'Inputs summary'!$C$1:$C$106)</f>
        <v>2</v>
      </c>
      <c r="BP11" s="166">
        <f t="shared" si="12"/>
        <v>8.0460218999999995</v>
      </c>
    </row>
    <row r="12" spans="1:71" x14ac:dyDescent="0.25">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5</v>
      </c>
      <c r="R12" s="6">
        <f>+COUNTIFS('Inputs summary'!J:K,$H12)</f>
        <v>2</v>
      </c>
      <c r="S12" s="6">
        <f>+COUNTIFS('Inputs summary'!L:L,$H12)</f>
        <v>1</v>
      </c>
      <c r="T12" s="6">
        <f t="shared" si="14"/>
        <v>10</v>
      </c>
      <c r="U12" s="6">
        <f>+SUMIF('Inputs summary'!B:B,H12,'Inputs summary'!C:C)+SUMIF('Inputs summary'!E:E,H12,'Inputs summary'!D:D)</f>
        <v>23</v>
      </c>
      <c r="V12" s="6">
        <f>+SUMIF('Inputs summary'!B:B,H12,'Inputs summary'!D:D)+SUMIF('Inputs summary'!E:E,H12,'Inputs summary'!C:C)</f>
        <v>13</v>
      </c>
      <c r="W12" s="159">
        <f t="shared" si="15"/>
        <v>517.10230000166666</v>
      </c>
      <c r="X12" s="173">
        <f t="shared" si="16"/>
        <v>11111</v>
      </c>
      <c r="Y12" s="167">
        <f t="shared" si="7"/>
        <v>1</v>
      </c>
      <c r="Z12" s="173">
        <f t="shared" si="17"/>
        <v>517.10230100166666</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v>
      </c>
      <c r="AU12" s="166">
        <f t="shared" si="9"/>
        <v>106.061100001</v>
      </c>
      <c r="BH12">
        <v>9</v>
      </c>
      <c r="BI12" t="str">
        <f t="shared" si="11"/>
        <v>Brasil</v>
      </c>
      <c r="BJ12" s="6">
        <f>+COUNTIFS('Inputs summary'!I$2:I$106,BI12)</f>
        <v>2</v>
      </c>
      <c r="BK12" s="6">
        <f>+COUNTIFS('Inputs summary'!J$2:K$106,BI12)</f>
        <v>1</v>
      </c>
      <c r="BL12" s="6">
        <f>+COUNTIFS('Inputs summary'!L$2:L$106,BI12)</f>
        <v>0</v>
      </c>
      <c r="BM12" s="6">
        <f t="shared" si="19"/>
        <v>8</v>
      </c>
      <c r="BN12" s="6">
        <f>+SUMIF('Inputs summary'!$B$1:$B$106,$BI12,'Inputs summary'!$C$1:$C$106)+SUMIF('Inputs summary'!$E$1:$E$106,$BI12,'Inputs summary'!$D$1:$D$106)</f>
        <v>12</v>
      </c>
      <c r="BO12" s="6">
        <f>+SUMIF('Inputs summary'!$B$1:$B$106,$BI12,'Inputs summary'!$D$1:$D$106)+SUMIF('Inputs summary'!$E$1:$E$106,$BI12,'Inputs summary'!$C$1:$C$106)</f>
        <v>4</v>
      </c>
      <c r="BP12" s="166">
        <f t="shared" si="12"/>
        <v>8.0920106000000001</v>
      </c>
    </row>
    <row r="13" spans="1:71" x14ac:dyDescent="0.25">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3</v>
      </c>
      <c r="R13" s="6">
        <f>+COUNTIFS('Inputs summary'!J:K,$H13)</f>
        <v>2</v>
      </c>
      <c r="S13" s="6">
        <f>+COUNTIFS('Inputs summary'!L:L,$H13)</f>
        <v>1</v>
      </c>
      <c r="T13" s="6">
        <f t="shared" si="14"/>
        <v>4</v>
      </c>
      <c r="U13" s="6">
        <f>+SUMIF('Inputs summary'!B:B,H13,'Inputs summary'!C:C)+SUMIF('Inputs summary'!E:E,H13,'Inputs summary'!D:D)</f>
        <v>11</v>
      </c>
      <c r="V13" s="6">
        <f>+SUMIF('Inputs summary'!B:B,H13,'Inputs summary'!D:D)+SUMIF('Inputs summary'!E:E,H13,'Inputs summary'!C:C)</f>
        <v>7</v>
      </c>
      <c r="W13" s="159">
        <f t="shared" si="15"/>
        <v>311.04110000125002</v>
      </c>
      <c r="X13" s="173">
        <f t="shared" si="16"/>
        <v>111</v>
      </c>
      <c r="Y13" s="167">
        <f t="shared" si="7"/>
        <v>2</v>
      </c>
      <c r="Z13" s="173">
        <f t="shared" si="17"/>
        <v>311.04110050125001</v>
      </c>
      <c r="AA13" s="173">
        <f>+_xlfn.XLOOKUP(H13,'Ranking FIFA'!B:B,'Ranking FIFA'!A:A,"--",0)</f>
        <v>8</v>
      </c>
      <c r="AH13" t="str">
        <f>+'Round of 32 &amp; Round of 16'!Y5</f>
        <v>España</v>
      </c>
      <c r="AI13" t="str">
        <f>+'Round of 32 &amp; Round of 16'!E21</f>
        <v>Australia</v>
      </c>
      <c r="AP13" s="457">
        <f>+_xlfn.XLOOKUP(AQ13,'Ranking FIFA'!B:B,'Ranking FIFA'!A:A,"--",0)</f>
        <v>11</v>
      </c>
      <c r="AQ13" t="s">
        <v>57</v>
      </c>
      <c r="AR13" s="6">
        <v>1</v>
      </c>
      <c r="AS13" s="6">
        <v>2</v>
      </c>
      <c r="AT13" s="169">
        <f t="shared" si="8"/>
        <v>111</v>
      </c>
      <c r="AU13" s="166">
        <f t="shared" si="9"/>
        <v>308.0111000009091</v>
      </c>
      <c r="AW13" t="s">
        <v>852</v>
      </c>
      <c r="AX13" t="str">
        <f>+_xlfn.XLOOKUP(AX14,AU:AU,AQ:AQ,"-",0)</f>
        <v>Uruguay</v>
      </c>
      <c r="BH13">
        <v>10</v>
      </c>
      <c r="BI13" t="str">
        <f t="shared" si="11"/>
        <v>Marruecos</v>
      </c>
      <c r="BJ13" s="6">
        <f>+COUNTIFS('Inputs summary'!I$2:I$106,BI13)</f>
        <v>2</v>
      </c>
      <c r="BK13" s="6">
        <f>+COUNTIFS('Inputs summary'!J$2:K$106,BI13)</f>
        <v>1</v>
      </c>
      <c r="BL13" s="6">
        <f>+COUNTIFS('Inputs summary'!L$2:L$106,BI13)</f>
        <v>0</v>
      </c>
      <c r="BM13" s="6">
        <f t="shared" si="19"/>
        <v>4</v>
      </c>
      <c r="BN13" s="6">
        <f>+SUMIF('Inputs summary'!$B$1:$B$106,$BI13,'Inputs summary'!$C$1:$C$106)+SUMIF('Inputs summary'!$E$1:$E$106,$BI13,'Inputs summary'!$D$1:$D$106)</f>
        <v>8</v>
      </c>
      <c r="BO13" s="6">
        <f>+SUMIF('Inputs summary'!$B$1:$B$106,$BI13,'Inputs summary'!$D$1:$D$106)+SUMIF('Inputs summary'!$E$1:$E$106,$BI13,'Inputs summary'!$C$1:$C$106)</f>
        <v>4</v>
      </c>
      <c r="BP13" s="166">
        <f t="shared" si="12"/>
        <v>8.048020799999998</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-13</v>
      </c>
      <c r="U14" s="6">
        <f>+SUMIF('Inputs summary'!B:B,H14,'Inputs summary'!C:C)+SUMIF('Inputs summary'!E:E,H14,'Inputs summary'!D:D)</f>
        <v>0</v>
      </c>
      <c r="V14" s="6">
        <f>+SUMIF('Inputs summary'!B:B,H14,'Inputs summary'!D:D)+SUMIF('Inputs summary'!E:E,H14,'Inputs summary'!C:C)</f>
        <v>13</v>
      </c>
      <c r="W14" s="159">
        <f t="shared" si="15"/>
        <v>-0.12999999987951807</v>
      </c>
      <c r="X14" s="173">
        <f t="shared" si="16"/>
        <v>0</v>
      </c>
      <c r="Y14" s="167">
        <f t="shared" si="7"/>
        <v>4</v>
      </c>
      <c r="Z14" s="173">
        <f t="shared" si="17"/>
        <v>-0.12999974987951807</v>
      </c>
      <c r="AA14" s="173">
        <f>+_xlfn.XLOOKUP(H14,'Ranking FIFA'!B:B,'Ranking FIFA'!A:A,"--",0)</f>
        <v>83</v>
      </c>
      <c r="AH14" t="str">
        <f>+'Round of 32 &amp; Round of 16'!V13</f>
        <v>Paraguay</v>
      </c>
      <c r="AI14" t="str">
        <f>+'Round of 32 &amp; Round of 16'!B25</f>
        <v>Alemania</v>
      </c>
      <c r="AP14" s="457">
        <f>+_xlfn.XLOOKUP(AQ14,'Ranking FIFA'!B:B,'Ranking FIFA'!A:A,"--",0)</f>
        <v>17</v>
      </c>
      <c r="AQ14" t="s">
        <v>58</v>
      </c>
      <c r="AR14" s="6">
        <v>1</v>
      </c>
      <c r="AS14" s="6">
        <v>2</v>
      </c>
      <c r="AT14" s="169">
        <f t="shared" si="8"/>
        <v>1</v>
      </c>
      <c r="AU14" s="166">
        <f t="shared" si="9"/>
        <v>106.02060000058823</v>
      </c>
      <c r="AW14" t="s">
        <v>291</v>
      </c>
      <c r="AX14" s="174">
        <f>+_xlfn.MINIFS(AU:AU,AS:AS,2)</f>
        <v>106.02060000058823</v>
      </c>
      <c r="BH14">
        <v>11</v>
      </c>
      <c r="BI14" t="str">
        <f t="shared" si="11"/>
        <v>Haiti</v>
      </c>
      <c r="BJ14" s="6">
        <f>+COUNTIFS('Inputs summary'!I$2:I$106,BI14)</f>
        <v>0</v>
      </c>
      <c r="BK14" s="6">
        <f>+COUNTIFS('Inputs summary'!J$2:K$106,BI14)</f>
        <v>0</v>
      </c>
      <c r="BL14" s="6">
        <f>+COUNTIFS('Inputs summary'!L$2:L$106,BI14)</f>
        <v>3</v>
      </c>
      <c r="BM14" s="6">
        <f t="shared" si="19"/>
        <v>-13</v>
      </c>
      <c r="BN14" s="6">
        <f>+SUMIF('Inputs summary'!$B$1:$B$106,$BI14,'Inputs summary'!$C$1:$C$106)+SUMIF('Inputs summary'!$E$1:$E$106,$BI14,'Inputs summary'!$D$1:$D$106)</f>
        <v>0</v>
      </c>
      <c r="BO14" s="6">
        <f>+SUMIF('Inputs summary'!$B$1:$B$106,$BI14,'Inputs summary'!$D$1:$D$106)+SUMIF('Inputs summary'!$E$1:$E$106,$BI14,'Inputs summary'!$C$1:$C$106)</f>
        <v>13</v>
      </c>
      <c r="BP14" s="166">
        <f t="shared" si="12"/>
        <v>-0.1299517</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-1</v>
      </c>
      <c r="U15" s="6">
        <f>+SUMIF('Inputs summary'!B:B,H15,'Inputs summary'!C:C)+SUMIF('Inputs summary'!E:E,H15,'Inputs summary'!D:D)</f>
        <v>6</v>
      </c>
      <c r="V15" s="6">
        <f>+SUMIF('Inputs summary'!B:B,H15,'Inputs summary'!D:D)+SUMIF('Inputs summary'!E:E,H15,'Inputs summary'!C:C)</f>
        <v>7</v>
      </c>
      <c r="W15" s="159">
        <f t="shared" si="15"/>
        <v>102.99060000023256</v>
      </c>
      <c r="X15" s="173">
        <f t="shared" si="16"/>
        <v>1</v>
      </c>
      <c r="Y15" s="167">
        <f t="shared" si="7"/>
        <v>3</v>
      </c>
      <c r="Z15" s="173">
        <f t="shared" si="17"/>
        <v>102.99060033356589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111</v>
      </c>
      <c r="AU15" s="166">
        <f t="shared" si="9"/>
        <v>311.04110000125002</v>
      </c>
      <c r="AW15" t="s">
        <v>851</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6</v>
      </c>
      <c r="BO15" s="6">
        <f>+SUMIF('Inputs summary'!$B$1:$B$106,$BI15,'Inputs summary'!$D$1:$D$106)+SUMIF('Inputs summary'!$E$1:$E$106,$BI15,'Inputs summary'!$C$1:$C$106)</f>
        <v>5</v>
      </c>
      <c r="BP15" s="166">
        <f t="shared" si="12"/>
        <v>3.0160342999999998</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0</v>
      </c>
      <c r="O16" s="6">
        <f t="shared" si="6"/>
        <v>0</v>
      </c>
      <c r="P16" s="6">
        <f t="shared" si="13"/>
        <v>0</v>
      </c>
      <c r="Q16" s="6">
        <f>+COUNTIFS('Inputs summary'!I:I,$H16)</f>
        <v>1</v>
      </c>
      <c r="R16" s="6">
        <f>+COUNTIFS('Inputs summary'!J:K,$H16)</f>
        <v>0</v>
      </c>
      <c r="S16" s="6">
        <f>+COUNTIFS('Inputs summary'!L:L,$H16)</f>
        <v>2</v>
      </c>
      <c r="T16" s="6">
        <f t="shared" si="14"/>
        <v>-2</v>
      </c>
      <c r="U16" s="6">
        <f>+SUMIF('Inputs summary'!B:B,H16,'Inputs summary'!C:C)+SUMIF('Inputs summary'!E:E,H16,'Inputs summary'!D:D)</f>
        <v>2</v>
      </c>
      <c r="V16" s="6">
        <f>+SUMIF('Inputs summary'!B:B,H16,'Inputs summary'!D:D)+SUMIF('Inputs summary'!E:E,H16,'Inputs summary'!C:C)</f>
        <v>4</v>
      </c>
      <c r="W16" s="159">
        <f t="shared" si="15"/>
        <v>2.980200000625</v>
      </c>
      <c r="X16" s="173">
        <f t="shared" si="16"/>
        <v>0</v>
      </c>
      <c r="Y16" s="167">
        <f t="shared" si="7"/>
        <v>2</v>
      </c>
      <c r="Z16" s="173">
        <f t="shared" si="17"/>
        <v>2.9802005006250001</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11</v>
      </c>
      <c r="AU16" s="166">
        <f t="shared" si="9"/>
        <v>210.05100000076925</v>
      </c>
      <c r="BH16">
        <v>13</v>
      </c>
      <c r="BI16" t="str">
        <f t="shared" si="11"/>
        <v>Estados Unidos</v>
      </c>
      <c r="BJ16" s="6">
        <f>+COUNTIFS('Inputs summary'!I$2:I$106,BI16)</f>
        <v>1</v>
      </c>
      <c r="BK16" s="6">
        <f>+COUNTIFS('Inputs summary'!J$2:K$106,BI16)</f>
        <v>0</v>
      </c>
      <c r="BL16" s="6">
        <f>+COUNTIFS('Inputs summary'!L$2:L$106,BI16)</f>
        <v>2</v>
      </c>
      <c r="BM16" s="6">
        <f t="shared" si="19"/>
        <v>-2</v>
      </c>
      <c r="BN16" s="6">
        <f>+SUMIF('Inputs summary'!$B$1:$B$106,$BI16,'Inputs summary'!$C$1:$C$106)+SUMIF('Inputs summary'!$E$1:$E$106,$BI16,'Inputs summary'!$D$1:$D$106)</f>
        <v>2</v>
      </c>
      <c r="BO16" s="6">
        <f>+SUMIF('Inputs summary'!$B$1:$B$106,$BI16,'Inputs summary'!$D$1:$D$106)+SUMIF('Inputs summary'!$E$1:$E$106,$BI16,'Inputs summary'!$C$1:$C$106)</f>
        <v>4</v>
      </c>
      <c r="BP16" s="166">
        <f t="shared" si="12"/>
        <v>2.9820215999999999</v>
      </c>
    </row>
    <row r="17" spans="7:68" x14ac:dyDescent="0.25">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2</v>
      </c>
      <c r="R17" s="6">
        <f>+COUNTIFS('Inputs summary'!J:K,$H17)</f>
        <v>2</v>
      </c>
      <c r="S17" s="6">
        <f>+COUNTIFS('Inputs summary'!L:L,$H17)</f>
        <v>1</v>
      </c>
      <c r="T17" s="6">
        <f t="shared" si="14"/>
        <v>2</v>
      </c>
      <c r="U17" s="6">
        <f>+SUMIF('Inputs summary'!B:B,H17,'Inputs summary'!C:C)+SUMIF('Inputs summary'!E:E,H17,'Inputs summary'!D:D)</f>
        <v>8</v>
      </c>
      <c r="V17" s="6">
        <f>+SUMIF('Inputs summary'!B:B,H17,'Inputs summary'!D:D)+SUMIF('Inputs summary'!E:E,H17,'Inputs summary'!C:C)</f>
        <v>6</v>
      </c>
      <c r="W17" s="159">
        <f t="shared" si="15"/>
        <v>208.02080000025001</v>
      </c>
      <c r="X17" s="173">
        <f t="shared" si="16"/>
        <v>11</v>
      </c>
      <c r="Y17" s="167">
        <f t="shared" si="7"/>
        <v>2</v>
      </c>
      <c r="Z17" s="173">
        <f t="shared" si="17"/>
        <v>208.02080050025</v>
      </c>
      <c r="AA17" s="173">
        <f>+_xlfn.XLOOKUP(H17,'Ranking FIFA'!B:B,'Ranking FIFA'!A:A,"--",0)</f>
        <v>40</v>
      </c>
      <c r="AH17" t="str">
        <f>+'Round of 32 &amp; Round of 16'!Y21</f>
        <v>Egipto</v>
      </c>
      <c r="AI17" t="str">
        <f>+'Round of 32 &amp; Round of 16'!E29</f>
        <v>Arabia Saudita</v>
      </c>
      <c r="AP17" s="457">
        <f>+_xlfn.XLOOKUP(AQ17,'Ranking FIFA'!B:B,'Ranking FIFA'!A:A,"--",0)</f>
        <v>14</v>
      </c>
      <c r="AQ17" t="s">
        <v>61</v>
      </c>
      <c r="AR17" s="6">
        <v>2</v>
      </c>
      <c r="AT17" s="169">
        <f t="shared" si="8"/>
        <v>0</v>
      </c>
      <c r="AU17" s="166">
        <f t="shared" si="9"/>
        <v>2.9904000007142857</v>
      </c>
      <c r="AY17" s="175" t="str">
        <f>+IF(AY11="-",IF(AY15="-","-",AY15),IF(AY15="-",AY11,IF(AX11&lt;=AX15,AY11,AY15)))</f>
        <v>Paises Bajos</v>
      </c>
      <c r="BH17">
        <v>14</v>
      </c>
      <c r="BI17" t="str">
        <f t="shared" si="11"/>
        <v>Paraguay</v>
      </c>
      <c r="BJ17" s="6">
        <f>+COUNTIFS('Inputs summary'!I$2:I$106,BI17)</f>
        <v>1</v>
      </c>
      <c r="BK17" s="6">
        <f>+COUNTIFS('Inputs summary'!J$2:K$106,BI17)</f>
        <v>2</v>
      </c>
      <c r="BL17" s="6">
        <f>+COUNTIFS('Inputs summary'!L$2:L$106,BI17)</f>
        <v>0</v>
      </c>
      <c r="BM17" s="6">
        <f t="shared" si="19"/>
        <v>1</v>
      </c>
      <c r="BN17" s="6">
        <f>+SUMIF('Inputs summary'!$B$1:$B$106,$BI17,'Inputs summary'!$C$1:$C$106)+SUMIF('Inputs summary'!$E$1:$E$106,$BI17,'Inputs summary'!$D$1:$D$106)</f>
        <v>5</v>
      </c>
      <c r="BO17" s="6">
        <f>+SUMIF('Inputs summary'!$B$1:$B$106,$BI17,'Inputs summary'!$D$1:$D$106)+SUMIF('Inputs summary'!$E$1:$E$106,$BI17,'Inputs summary'!$C$1:$C$106)</f>
        <v>4</v>
      </c>
      <c r="BP17" s="166">
        <f t="shared" si="12"/>
        <v>7.0150239999999995</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1</v>
      </c>
      <c r="S18" s="6">
        <f>+COUNTIFS('Inputs summary'!L:L,$H18)</f>
        <v>2</v>
      </c>
      <c r="T18" s="6">
        <f t="shared" si="14"/>
        <v>-2</v>
      </c>
      <c r="U18" s="6">
        <f>+SUMIF('Inputs summary'!B:B,H18,'Inputs summary'!C:C)+SUMIF('Inputs summary'!E:E,H18,'Inputs summary'!D:D)</f>
        <v>5</v>
      </c>
      <c r="V18" s="6">
        <f>+SUMIF('Inputs summary'!B:B,H18,'Inputs summary'!D:D)+SUMIF('Inputs summary'!E:E,H18,'Inputs summary'!C:C)</f>
        <v>7</v>
      </c>
      <c r="W18" s="159">
        <f t="shared" si="15"/>
        <v>103.98050000037037</v>
      </c>
      <c r="X18" s="173">
        <f t="shared" si="16"/>
        <v>1</v>
      </c>
      <c r="Y18" s="167">
        <f t="shared" si="7"/>
        <v>3</v>
      </c>
      <c r="Z18" s="173">
        <f t="shared" si="17"/>
        <v>103.9805003337037</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v>
      </c>
      <c r="AU18" s="166">
        <f t="shared" si="9"/>
        <v>103.98050000066667</v>
      </c>
      <c r="BH18">
        <v>15</v>
      </c>
      <c r="BI18" t="str">
        <f t="shared" si="11"/>
        <v>Australia</v>
      </c>
      <c r="BJ18" s="6">
        <f>+COUNTIFS('Inputs summary'!I$2:I$106,BI18)</f>
        <v>1</v>
      </c>
      <c r="BK18" s="6">
        <f>+COUNTIFS('Inputs summary'!J$2:K$106,BI18)</f>
        <v>1</v>
      </c>
      <c r="BL18" s="6">
        <f>+COUNTIFS('Inputs summary'!L$2:L$106,BI18)</f>
        <v>1</v>
      </c>
      <c r="BM18" s="6">
        <f t="shared" si="19"/>
        <v>0</v>
      </c>
      <c r="BN18" s="6">
        <f>+SUMIF('Inputs summary'!$B$1:$B$106,$BI18,'Inputs summary'!$C$1:$C$106)+SUMIF('Inputs summary'!$E$1:$E$106,$BI18,'Inputs summary'!$D$1:$D$106)</f>
        <v>4</v>
      </c>
      <c r="BO18" s="6">
        <f>+SUMIF('Inputs summary'!$B$1:$B$106,$BI18,'Inputs summary'!$D$1:$D$106)+SUMIF('Inputs summary'!$E$1:$E$106,$BI18,'Inputs summary'!$C$1:$C$106)</f>
        <v>4</v>
      </c>
      <c r="BP18" s="166">
        <f t="shared" si="12"/>
        <v>5.0040326999999989</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0</v>
      </c>
      <c r="U19" s="6">
        <f>+SUMIF('Inputs summary'!B:B,H19,'Inputs summary'!C:C)+SUMIF('Inputs summary'!E:E,H19,'Inputs summary'!D:D)</f>
        <v>5</v>
      </c>
      <c r="V19" s="6">
        <f>+SUMIF('Inputs summary'!B:B,H19,'Inputs summary'!D:D)+SUMIF('Inputs summary'!E:E,H19,'Inputs summary'!C:C)</f>
        <v>5</v>
      </c>
      <c r="W19" s="159">
        <f t="shared" si="15"/>
        <v>104.00050000045455</v>
      </c>
      <c r="X19" s="173">
        <f t="shared" si="16"/>
        <v>1</v>
      </c>
      <c r="Y19" s="167">
        <f t="shared" si="7"/>
        <v>2</v>
      </c>
      <c r="Z19" s="173">
        <f t="shared" si="17"/>
        <v>104.00050050045455</v>
      </c>
      <c r="AA19" s="173">
        <f>+_xlfn.XLOOKUP(H19,'Ranking FIFA'!B:B,'Ranking FIFA'!A:A,"--",0)</f>
        <v>22</v>
      </c>
      <c r="AH19" t="str">
        <f>+'Round of 32 &amp; Round of 16'!Y29</f>
        <v>Croacia</v>
      </c>
      <c r="AI19" t="str">
        <f>+'Round of 32 &amp; Round of 16'!E33</f>
        <v>Costa de Marfil</v>
      </c>
      <c r="AP19" s="457">
        <f>+_xlfn.XLOOKUP(AQ19,'Ranking FIFA'!B:B,'Ranking FIFA'!A:A,"--",0)</f>
        <v>16</v>
      </c>
      <c r="AQ19" t="s">
        <v>63</v>
      </c>
      <c r="AR19" s="6">
        <v>2</v>
      </c>
      <c r="AT19" s="169">
        <f t="shared" si="8"/>
        <v>0</v>
      </c>
      <c r="AU19" s="166">
        <f t="shared" si="9"/>
        <v>2.980200000625</v>
      </c>
      <c r="BH19">
        <v>16</v>
      </c>
      <c r="BI19" t="str">
        <f t="shared" si="11"/>
        <v>Turquia</v>
      </c>
      <c r="BJ19" s="6">
        <f>+COUNTIFS('Inputs summary'!I$2:I$106,BI19)</f>
        <v>1</v>
      </c>
      <c r="BK19" s="6">
        <f>+COUNTIFS('Inputs summary'!J$2:K$106,BI19)</f>
        <v>1</v>
      </c>
      <c r="BL19" s="6">
        <f>+COUNTIFS('Inputs summary'!L$2:L$106,BI19)</f>
        <v>1</v>
      </c>
      <c r="BM19" s="6">
        <f t="shared" si="19"/>
        <v>1</v>
      </c>
      <c r="BN19" s="6">
        <f>+SUMIF('Inputs summary'!$B$1:$B$106,$BI19,'Inputs summary'!$C$1:$C$106)+SUMIF('Inputs summary'!$E$1:$E$106,$BI19,'Inputs summary'!$D$1:$D$106)</f>
        <v>5</v>
      </c>
      <c r="BO19" s="6">
        <f>+SUMIF('Inputs summary'!$B$1:$B$106,$BI19,'Inputs summary'!$D$1:$D$106)+SUMIF('Inputs summary'!$E$1:$E$106,$BI19,'Inputs summary'!$C$1:$C$106)</f>
        <v>4</v>
      </c>
      <c r="BP19" s="166">
        <f t="shared" si="12"/>
        <v>5.0150221999999998</v>
      </c>
    </row>
    <row r="20" spans="7:68" x14ac:dyDescent="0.25">
      <c r="G20">
        <v>17</v>
      </c>
      <c r="H20" t="str">
        <f>+'Groups Stage'!O39</f>
        <v>Alemania</v>
      </c>
      <c r="I20" s="6">
        <f t="shared" si="0"/>
        <v>0</v>
      </c>
      <c r="J20" s="6">
        <f t="shared" si="1"/>
        <v>0</v>
      </c>
      <c r="K20" s="6">
        <f t="shared" si="2"/>
        <v>0</v>
      </c>
      <c r="L20" s="6">
        <f t="shared" si="3"/>
        <v>0</v>
      </c>
      <c r="M20" s="6">
        <f t="shared" si="4"/>
        <v>0</v>
      </c>
      <c r="N20" s="6">
        <f t="shared" si="5"/>
        <v>0</v>
      </c>
      <c r="O20" s="6">
        <f t="shared" si="6"/>
        <v>1</v>
      </c>
      <c r="P20" s="6">
        <f t="shared" si="13"/>
        <v>1</v>
      </c>
      <c r="Q20" s="6">
        <f>+COUNTIFS('Inputs summary'!I:I,$H20)</f>
        <v>2</v>
      </c>
      <c r="R20" s="6">
        <f>+COUNTIFS('Inputs summary'!J:K,$H20)</f>
        <v>0</v>
      </c>
      <c r="S20" s="6">
        <f>+COUNTIFS('Inputs summary'!L:L,$H20)</f>
        <v>2</v>
      </c>
      <c r="T20" s="6">
        <f t="shared" si="14"/>
        <v>6</v>
      </c>
      <c r="U20" s="6">
        <f>+SUMIF('Inputs summary'!B:B,H20,'Inputs summary'!C:C)+SUMIF('Inputs summary'!E:E,H20,'Inputs summary'!D:D)</f>
        <v>11</v>
      </c>
      <c r="V20" s="6">
        <f>+SUMIF('Inputs summary'!B:B,H20,'Inputs summary'!D:D)+SUMIF('Inputs summary'!E:E,H20,'Inputs summary'!C:C)</f>
        <v>5</v>
      </c>
      <c r="W20" s="159">
        <f t="shared" si="15"/>
        <v>106.061100001</v>
      </c>
      <c r="X20" s="173">
        <f t="shared" si="16"/>
        <v>1</v>
      </c>
      <c r="Y20" s="167">
        <f t="shared" si="7"/>
        <v>1</v>
      </c>
      <c r="Z20" s="173">
        <f t="shared" si="17"/>
        <v>106.061101001</v>
      </c>
      <c r="AA20" s="173">
        <f>+_xlfn.XLOOKUP(H20,'Ranking FIFA'!B:B,'Ranking FIFA'!A:A,"--",0)</f>
        <v>10</v>
      </c>
      <c r="AI20" t="str">
        <f>+'Round of 32 &amp; Round of 16'!H5</f>
        <v>Paraguay</v>
      </c>
      <c r="AP20" s="457">
        <f>+_xlfn.XLOOKUP(AQ20,'Ranking FIFA'!B:B,'Ranking FIFA'!A:A,"--",0)</f>
        <v>18</v>
      </c>
      <c r="AQ20" t="s">
        <v>64</v>
      </c>
      <c r="AR20" s="6">
        <v>2</v>
      </c>
      <c r="AT20" s="169">
        <f t="shared" si="8"/>
        <v>1</v>
      </c>
      <c r="AU20" s="166">
        <f t="shared" si="9"/>
        <v>108.03060000055557</v>
      </c>
      <c r="BH20">
        <v>17</v>
      </c>
      <c r="BI20" t="str">
        <f t="shared" si="11"/>
        <v>Alemania</v>
      </c>
      <c r="BJ20" s="6">
        <f>+COUNTIFS('Inputs summary'!I$2:I$106,BI20)</f>
        <v>2</v>
      </c>
      <c r="BK20" s="6">
        <f>+COUNTIFS('Inputs summary'!J$2:K$106,BI20)</f>
        <v>0</v>
      </c>
      <c r="BL20" s="6">
        <f>+COUNTIFS('Inputs summary'!L$2:L$106,BI20)</f>
        <v>1</v>
      </c>
      <c r="BM20" s="6">
        <f t="shared" si="19"/>
        <v>7</v>
      </c>
      <c r="BN20" s="6">
        <f>+SUMIF('Inputs summary'!$B$1:$B$106,$BI20,'Inputs summary'!$C$1:$C$106)+SUMIF('Inputs summary'!$E$1:$E$106,$BI20,'Inputs summary'!$D$1:$D$106)</f>
        <v>10</v>
      </c>
      <c r="BO20" s="6">
        <f>+SUMIF('Inputs summary'!$B$1:$B$106,$BI20,'Inputs summary'!$D$1:$D$106)+SUMIF('Inputs summary'!$E$1:$E$106,$BI20,'Inputs summary'!$C$1:$C$106)</f>
        <v>3</v>
      </c>
      <c r="BP20" s="166">
        <f t="shared" si="12"/>
        <v>6.0800109999999998</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-12</v>
      </c>
      <c r="U21" s="6">
        <f>+SUMIF('Inputs summary'!B:B,H21,'Inputs summary'!C:C)+SUMIF('Inputs summary'!E:E,H21,'Inputs summary'!D:D)</f>
        <v>1</v>
      </c>
      <c r="V21" s="6">
        <f>+SUMIF('Inputs summary'!B:B,H21,'Inputs summary'!D:D)+SUMIF('Inputs summary'!E:E,H21,'Inputs summary'!C:C)</f>
        <v>13</v>
      </c>
      <c r="W21" s="159">
        <f t="shared" si="15"/>
        <v>-0.11989999987804878</v>
      </c>
      <c r="X21" s="173">
        <f t="shared" si="16"/>
        <v>0</v>
      </c>
      <c r="Y21" s="167">
        <f t="shared" si="7"/>
        <v>4</v>
      </c>
      <c r="Z21" s="173">
        <f t="shared" si="17"/>
        <v>-0.11989974987804879</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211.05080000052632</v>
      </c>
      <c r="AW21" t="s">
        <v>32</v>
      </c>
      <c r="BH21">
        <v>18</v>
      </c>
      <c r="BI21" t="str">
        <f t="shared" si="11"/>
        <v>Curazao</v>
      </c>
      <c r="BJ21" s="6">
        <f>+COUNTIFS('Inputs summary'!I$2:I$106,BI21)</f>
        <v>0</v>
      </c>
      <c r="BK21" s="6">
        <f>+COUNTIFS('Inputs summary'!J$2:K$106,BI21)</f>
        <v>0</v>
      </c>
      <c r="BL21" s="6">
        <f>+COUNTIFS('Inputs summary'!L$2:L$106,BI21)</f>
        <v>3</v>
      </c>
      <c r="BM21" s="6">
        <f t="shared" si="19"/>
        <v>-12</v>
      </c>
      <c r="BN21" s="6">
        <f>+SUMIF('Inputs summary'!$B$1:$B$106,$BI21,'Inputs summary'!$C$1:$C$106)+SUMIF('Inputs summary'!$E$1:$E$106,$BI21,'Inputs summary'!$D$1:$D$106)</f>
        <v>1</v>
      </c>
      <c r="BO21" s="6">
        <f>+SUMIF('Inputs summary'!$B$1:$B$106,$BI21,'Inputs summary'!$D$1:$D$106)+SUMIF('Inputs summary'!$E$1:$E$106,$BI21,'Inputs summary'!$C$1:$C$106)</f>
        <v>13</v>
      </c>
      <c r="BP21" s="166">
        <f t="shared" si="12"/>
        <v>-0.1189518</v>
      </c>
    </row>
    <row r="22" spans="7:68" x14ac:dyDescent="0.25">
      <c r="G22">
        <v>19</v>
      </c>
      <c r="H22" t="str">
        <f>+'Groups Stage'!O41</f>
        <v>Costa de Marfil</v>
      </c>
      <c r="I22" s="6">
        <f t="shared" si="0"/>
        <v>0</v>
      </c>
      <c r="J22" s="6">
        <f t="shared" si="1"/>
        <v>0</v>
      </c>
      <c r="K22" s="6">
        <f t="shared" si="2"/>
        <v>0</v>
      </c>
      <c r="L22" s="6">
        <f t="shared" si="3"/>
        <v>0</v>
      </c>
      <c r="M22" s="6">
        <f t="shared" si="4"/>
        <v>1</v>
      </c>
      <c r="N22" s="6">
        <f t="shared" si="5"/>
        <v>1</v>
      </c>
      <c r="O22" s="6">
        <f t="shared" si="6"/>
        <v>1</v>
      </c>
      <c r="P22" s="6">
        <f t="shared" si="13"/>
        <v>3</v>
      </c>
      <c r="Q22" s="6">
        <f>+COUNTIFS('Inputs summary'!I:I,$H22)</f>
        <v>2</v>
      </c>
      <c r="R22" s="6">
        <f>+COUNTIFS('Inputs summary'!J:K,$H22)</f>
        <v>1</v>
      </c>
      <c r="S22" s="6">
        <f>+COUNTIFS('Inputs summary'!L:L,$H22)</f>
        <v>3</v>
      </c>
      <c r="T22" s="6">
        <f t="shared" si="14"/>
        <v>1</v>
      </c>
      <c r="U22" s="6">
        <f>+SUMIF('Inputs summary'!B:B,H22,'Inputs summary'!C:C)+SUMIF('Inputs summary'!E:E,H22,'Inputs summary'!D:D)</f>
        <v>9</v>
      </c>
      <c r="V22" s="6">
        <f>+SUMIF('Inputs summary'!B:B,H22,'Inputs summary'!D:D)+SUMIF('Inputs summary'!E:E,H22,'Inputs summary'!C:C)</f>
        <v>8</v>
      </c>
      <c r="W22" s="159">
        <f t="shared" si="15"/>
        <v>307.0109000002941</v>
      </c>
      <c r="X22" s="173">
        <f t="shared" si="16"/>
        <v>111</v>
      </c>
      <c r="Y22" s="167">
        <f t="shared" si="7"/>
        <v>3</v>
      </c>
      <c r="Z22" s="173">
        <f t="shared" si="17"/>
        <v>307.01090033362743</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104.00050000045455</v>
      </c>
      <c r="AW22">
        <f>+SMALL($Z$3:$Z$51,1)</f>
        <v>-0.12999974987951807</v>
      </c>
      <c r="AX22" t="str">
        <f>+_xlfn.XLOOKUP(AW22,Z:Z,H:H,"-",0)</f>
        <v>Haiti</v>
      </c>
      <c r="BH22">
        <v>19</v>
      </c>
      <c r="BI22" t="str">
        <f t="shared" si="11"/>
        <v>Costa de Marfil</v>
      </c>
      <c r="BJ22" s="6">
        <f>+COUNTIFS('Inputs summary'!I$2:I$106,BI22)</f>
        <v>1</v>
      </c>
      <c r="BK22" s="6">
        <f>+COUNTIFS('Inputs summary'!J$2:K$106,BI22)</f>
        <v>0</v>
      </c>
      <c r="BL22" s="6">
        <f>+COUNTIFS('Inputs summary'!L$2:L$106,BI22)</f>
        <v>2</v>
      </c>
      <c r="BM22" s="6">
        <f t="shared" si="19"/>
        <v>1</v>
      </c>
      <c r="BN22" s="6">
        <f>+SUMIF('Inputs summary'!$B$1:$B$106,$BI22,'Inputs summary'!$C$1:$C$106)+SUMIF('Inputs summary'!$E$1:$E$106,$BI22,'Inputs summary'!$D$1:$D$106)</f>
        <v>5</v>
      </c>
      <c r="BO22" s="6">
        <f>+SUMIF('Inputs summary'!$B$1:$B$106,$BI22,'Inputs summary'!$D$1:$D$106)+SUMIF('Inputs summary'!$E$1:$E$106,$BI22,'Inputs summary'!$C$1:$C$106)</f>
        <v>4</v>
      </c>
      <c r="BP22" s="166">
        <f t="shared" si="12"/>
        <v>3.0150334000000001</v>
      </c>
    </row>
    <row r="23" spans="7:68" x14ac:dyDescent="0.25">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4</v>
      </c>
      <c r="R23" s="6">
        <f>+COUNTIFS('Inputs summary'!J:K,$H23)</f>
        <v>0</v>
      </c>
      <c r="S23" s="6">
        <f>+COUNTIFS('Inputs summary'!L:L,$H23)</f>
        <v>1</v>
      </c>
      <c r="T23" s="6">
        <f t="shared" si="14"/>
        <v>5</v>
      </c>
      <c r="U23" s="6">
        <f>+SUMIF('Inputs summary'!B:B,H23,'Inputs summary'!C:C)+SUMIF('Inputs summary'!E:E,H23,'Inputs summary'!D:D)</f>
        <v>11</v>
      </c>
      <c r="V23" s="6">
        <f>+SUMIF('Inputs summary'!B:B,H23,'Inputs summary'!D:D)+SUMIF('Inputs summary'!E:E,H23,'Inputs summary'!C:C)</f>
        <v>6</v>
      </c>
      <c r="W23" s="159">
        <f t="shared" si="15"/>
        <v>212.05110000043481</v>
      </c>
      <c r="X23" s="173">
        <f t="shared" si="16"/>
        <v>11</v>
      </c>
      <c r="Y23" s="167">
        <f t="shared" si="7"/>
        <v>2</v>
      </c>
      <c r="Z23" s="173">
        <f t="shared" si="17"/>
        <v>212.05110050043481</v>
      </c>
      <c r="AA23" s="173">
        <f>+_xlfn.XLOOKUP(H23,'Ranking FIFA'!B:B,'Ranking FIFA'!A:A,"--",0)</f>
        <v>23</v>
      </c>
      <c r="AI23" t="str">
        <f>+'Round of 32 &amp; Round of 16'!K9</f>
        <v>Austria</v>
      </c>
      <c r="AP23" s="457">
        <f>+_xlfn.XLOOKUP(AQ23,'Ranking FIFA'!B:B,'Ranking FIFA'!A:A,"--",0)</f>
        <v>23</v>
      </c>
      <c r="AQ23" t="s">
        <v>67</v>
      </c>
      <c r="AR23" s="6">
        <v>2</v>
      </c>
      <c r="AT23" s="169">
        <f t="shared" si="8"/>
        <v>11</v>
      </c>
      <c r="AU23" s="166">
        <f t="shared" si="9"/>
        <v>212.05110000043481</v>
      </c>
      <c r="BH23">
        <v>20</v>
      </c>
      <c r="BI23" t="str">
        <f t="shared" si="11"/>
        <v>Ecuador</v>
      </c>
      <c r="BJ23" s="6">
        <f>+COUNTIFS('Inputs summary'!I$2:I$106,BI23)</f>
        <v>3</v>
      </c>
      <c r="BK23" s="6">
        <f>+COUNTIFS('Inputs summary'!J$2:K$106,BI23)</f>
        <v>0</v>
      </c>
      <c r="BL23" s="6">
        <f>+COUNTIFS('Inputs summary'!L$2:L$106,BI23)</f>
        <v>0</v>
      </c>
      <c r="BM23" s="6">
        <f t="shared" si="19"/>
        <v>4</v>
      </c>
      <c r="BN23" s="6">
        <f>+SUMIF('Inputs summary'!$B$1:$B$106,$BI23,'Inputs summary'!$C$1:$C$106)+SUMIF('Inputs summary'!$E$1:$E$106,$BI23,'Inputs summary'!$D$1:$D$106)</f>
        <v>7</v>
      </c>
      <c r="BO23" s="6">
        <f>+SUMIF('Inputs summary'!$B$1:$B$106,$BI23,'Inputs summary'!$D$1:$D$106)+SUMIF('Inputs summary'!$E$1:$E$106,$BI23,'Inputs summary'!$C$1:$C$106)</f>
        <v>3</v>
      </c>
      <c r="BP23" s="166">
        <f t="shared" si="12"/>
        <v>9.0470222999999983</v>
      </c>
    </row>
    <row r="24" spans="7:68" x14ac:dyDescent="0.25">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0</v>
      </c>
      <c r="S24" s="6">
        <f>+COUNTIFS('Inputs summary'!L:L,$H24)</f>
        <v>2</v>
      </c>
      <c r="T24" s="6">
        <f t="shared" si="14"/>
        <v>4</v>
      </c>
      <c r="U24" s="6">
        <f>+SUMIF('Inputs summary'!B:B,H24,'Inputs summary'!C:C)+SUMIF('Inputs summary'!E:E,H24,'Inputs summary'!D:D)</f>
        <v>11</v>
      </c>
      <c r="V24" s="6">
        <f>+SUMIF('Inputs summary'!B:B,H24,'Inputs summary'!D:D)+SUMIF('Inputs summary'!E:E,H24,'Inputs summary'!C:C)</f>
        <v>7</v>
      </c>
      <c r="W24" s="159">
        <f t="shared" si="15"/>
        <v>106.04110000142857</v>
      </c>
      <c r="X24" s="173">
        <f t="shared" si="16"/>
        <v>1</v>
      </c>
      <c r="Y24" s="167">
        <f t="shared" si="7"/>
        <v>1</v>
      </c>
      <c r="Z24" s="173">
        <f t="shared" si="17"/>
        <v>106.04110100142857</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212.07110000040001</v>
      </c>
      <c r="BH24">
        <v>21</v>
      </c>
      <c r="BI24" t="str">
        <f t="shared" si="11"/>
        <v>Paises Bajos</v>
      </c>
      <c r="BJ24" s="6">
        <f>+COUNTIFS('Inputs summary'!I$2:I$106,BI24)</f>
        <v>2</v>
      </c>
      <c r="BK24" s="6">
        <f>+COUNTIFS('Inputs summary'!J$2:K$106,BI24)</f>
        <v>0</v>
      </c>
      <c r="BL24" s="6">
        <f>+COUNTIFS('Inputs summary'!L$2:L$106,BI24)</f>
        <v>1</v>
      </c>
      <c r="BM24" s="6">
        <f t="shared" si="19"/>
        <v>5</v>
      </c>
      <c r="BN24" s="6">
        <f>+SUMIF('Inputs summary'!$B$1:$B$106,$BI24,'Inputs summary'!$C$1:$C$106)+SUMIF('Inputs summary'!$E$1:$E$106,$BI24,'Inputs summary'!$D$1:$D$106)</f>
        <v>8</v>
      </c>
      <c r="BO24" s="6">
        <f>+SUMIF('Inputs summary'!$B$1:$B$106,$BI24,'Inputs summary'!$D$1:$D$106)+SUMIF('Inputs summary'!$E$1:$E$106,$BI24,'Inputs summary'!$C$1:$C$106)</f>
        <v>3</v>
      </c>
      <c r="BP24" s="166">
        <f t="shared" si="12"/>
        <v>6.0580106999999996</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2</v>
      </c>
      <c r="S25" s="6">
        <f>+COUNTIFS('Inputs summary'!L:L,$H25)</f>
        <v>0</v>
      </c>
      <c r="T25" s="6">
        <f t="shared" si="14"/>
        <v>3</v>
      </c>
      <c r="U25" s="6">
        <f>+SUMIF('Inputs summary'!B:B,H25,'Inputs summary'!C:C)+SUMIF('Inputs summary'!E:E,H25,'Inputs summary'!D:D)</f>
        <v>6</v>
      </c>
      <c r="V25" s="6">
        <f>+SUMIF('Inputs summary'!B:B,H25,'Inputs summary'!D:D)+SUMIF('Inputs summary'!E:E,H25,'Inputs summary'!C:C)</f>
        <v>3</v>
      </c>
      <c r="W25" s="159">
        <f t="shared" si="15"/>
        <v>108.03060000055557</v>
      </c>
      <c r="X25" s="173">
        <f t="shared" si="16"/>
        <v>1</v>
      </c>
      <c r="Y25" s="167">
        <f t="shared" si="7"/>
        <v>2</v>
      </c>
      <c r="Z25" s="173">
        <f t="shared" si="17"/>
        <v>108.03060050055556</v>
      </c>
      <c r="AA25" s="173">
        <f>+_xlfn.XLOOKUP(H25,'Ranking FIFA'!B:B,'Ranking FIFA'!A:A,"--",0)</f>
        <v>18</v>
      </c>
      <c r="AI25" t="str">
        <f>+'Round of 32 &amp; Round of 16'!K13</f>
        <v>Ghana</v>
      </c>
      <c r="AP25" s="457">
        <f>+_xlfn.XLOOKUP(AQ25,'Ranking FIFA'!B:B,'Ranking FIFA'!A:A,"--",0)</f>
        <v>31</v>
      </c>
      <c r="AQ25" t="s">
        <v>69</v>
      </c>
      <c r="AR25" s="6">
        <v>2</v>
      </c>
      <c r="AT25" s="169">
        <f t="shared" si="8"/>
        <v>11</v>
      </c>
      <c r="AU25" s="166">
        <f t="shared" si="9"/>
        <v>211.04120000032259</v>
      </c>
      <c r="BH25">
        <v>22</v>
      </c>
      <c r="BI25" t="str">
        <f t="shared" si="11"/>
        <v>Japon</v>
      </c>
      <c r="BJ25" s="6">
        <f>+COUNTIFS('Inputs summary'!I$2:I$106,BI25)</f>
        <v>2</v>
      </c>
      <c r="BK25" s="6">
        <f>+COUNTIFS('Inputs summary'!J$2:K$106,BI25)</f>
        <v>1</v>
      </c>
      <c r="BL25" s="6">
        <f>+COUNTIFS('Inputs summary'!L$2:L$106,BI25)</f>
        <v>0</v>
      </c>
      <c r="BM25" s="6">
        <f t="shared" si="19"/>
        <v>3</v>
      </c>
      <c r="BN25" s="6">
        <f>+SUMIF('Inputs summary'!$B$1:$B$106,$BI25,'Inputs summary'!$C$1:$C$106)+SUMIF('Inputs summary'!$E$1:$E$106,$BI25,'Inputs summary'!$D$1:$D$106)</f>
        <v>5</v>
      </c>
      <c r="BO25" s="6">
        <f>+SUMIF('Inputs summary'!$B$1:$B$106,$BI25,'Inputs summary'!$D$1:$D$106)+SUMIF('Inputs summary'!$E$1:$E$106,$BI25,'Inputs summary'!$C$1:$C$106)</f>
        <v>2</v>
      </c>
      <c r="BP25" s="166">
        <f t="shared" si="12"/>
        <v>8.0350217999999991</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0</v>
      </c>
      <c r="R26" s="6">
        <f>+COUNTIFS('Inputs summary'!J:K,$H26)</f>
        <v>2</v>
      </c>
      <c r="S26" s="6">
        <f>+COUNTIFS('Inputs summary'!L:L,$H26)</f>
        <v>1</v>
      </c>
      <c r="T26" s="6">
        <f t="shared" si="14"/>
        <v>-3</v>
      </c>
      <c r="U26" s="6">
        <f>+SUMIF('Inputs summary'!B:B,H26,'Inputs summary'!C:C)+SUMIF('Inputs summary'!E:E,H26,'Inputs summary'!D:D)</f>
        <v>3</v>
      </c>
      <c r="V26" s="6">
        <f>+SUMIF('Inputs summary'!B:B,H26,'Inputs summary'!D:D)+SUMIF('Inputs summary'!E:E,H26,'Inputs summary'!C:C)</f>
        <v>6</v>
      </c>
      <c r="W26" s="159">
        <f t="shared" si="15"/>
        <v>1.9703000002631579</v>
      </c>
      <c r="X26" s="173">
        <f t="shared" si="16"/>
        <v>0</v>
      </c>
      <c r="Y26" s="167">
        <f t="shared" si="7"/>
        <v>2</v>
      </c>
      <c r="Z26" s="173">
        <f t="shared" si="17"/>
        <v>1.970300500263158</v>
      </c>
      <c r="AA26" s="173">
        <f>+_xlfn.XLOOKUP(H26,'Ranking FIFA'!B:B,'Ranking FIFA'!A:A,"--",0)</f>
        <v>38</v>
      </c>
      <c r="AI26" t="str">
        <f>+'Round of 32 &amp; Round of 16'!H17</f>
        <v>España</v>
      </c>
      <c r="AP26" s="457">
        <f>+_xlfn.XLOOKUP(AQ26,'Ranking FIFA'!B:B,'Ranking FIFA'!A:A,"--",0)</f>
        <v>38</v>
      </c>
      <c r="AQ26" s="456" t="s">
        <v>70</v>
      </c>
      <c r="AR26" s="6">
        <v>2</v>
      </c>
      <c r="AT26" s="169">
        <f t="shared" si="8"/>
        <v>0</v>
      </c>
      <c r="AU26" s="166">
        <f t="shared" si="9"/>
        <v>1.9703000002631579</v>
      </c>
      <c r="BH26">
        <v>23</v>
      </c>
      <c r="BI26" t="str">
        <f t="shared" si="11"/>
        <v>Suecia</v>
      </c>
      <c r="BJ26" s="6">
        <f>+COUNTIFS('Inputs summary'!I$2:I$106,BI26)</f>
        <v>0</v>
      </c>
      <c r="BK26" s="6">
        <f>+COUNTIFS('Inputs summary'!J$2:K$106,BI26)</f>
        <v>2</v>
      </c>
      <c r="BL26" s="6">
        <f>+COUNTIFS('Inputs summary'!L$2:L$106,BI26)</f>
        <v>1</v>
      </c>
      <c r="BM26" s="6">
        <f t="shared" si="19"/>
        <v>-3</v>
      </c>
      <c r="BN26" s="6">
        <f>+SUMIF('Inputs summary'!$B$1:$B$106,$BI26,'Inputs summary'!$C$1:$C$106)+SUMIF('Inputs summary'!$E$1:$E$106,$BI26,'Inputs summary'!$D$1:$D$106)</f>
        <v>3</v>
      </c>
      <c r="BO26" s="6">
        <f>+SUMIF('Inputs summary'!$B$1:$B$106,$BI26,'Inputs summary'!$D$1:$D$106)+SUMIF('Inputs summary'!$E$1:$E$106,$BI26,'Inputs summary'!$C$1:$C$106)</f>
        <v>6</v>
      </c>
      <c r="BP26" s="166">
        <f t="shared" si="12"/>
        <v>3.9730238000000004</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-5</v>
      </c>
      <c r="U27" s="6">
        <f>+SUMIF('Inputs summary'!B:B,H27,'Inputs summary'!C:C)+SUMIF('Inputs summary'!E:E,H27,'Inputs summary'!D:D)</f>
        <v>1</v>
      </c>
      <c r="V27" s="6">
        <f>+SUMIF('Inputs summary'!B:B,H27,'Inputs summary'!D:D)+SUMIF('Inputs summary'!E:E,H27,'Inputs summary'!C:C)</f>
        <v>6</v>
      </c>
      <c r="W27" s="159">
        <f t="shared" si="15"/>
        <v>0.9501000002272727</v>
      </c>
      <c r="X27" s="173">
        <f t="shared" si="16"/>
        <v>0</v>
      </c>
      <c r="Y27" s="167">
        <f t="shared" si="7"/>
        <v>3</v>
      </c>
      <c r="Z27" s="173">
        <f t="shared" si="17"/>
        <v>0.95010033356060608</v>
      </c>
      <c r="AA27" s="173">
        <f>+_xlfn.XLOOKUP(H27,'Ranking FIFA'!B:B,'Ranking FIFA'!A:A,"--",0)</f>
        <v>44</v>
      </c>
      <c r="AI27" t="str">
        <f>+'Round of 32 &amp; Round of 16'!K17</f>
        <v>Argelia</v>
      </c>
      <c r="AP27" s="457">
        <f>+_xlfn.XLOOKUP(AQ27,'Ranking FIFA'!B:B,'Ranking FIFA'!A:A,"--",0)</f>
        <v>40</v>
      </c>
      <c r="AQ27" t="s">
        <v>71</v>
      </c>
      <c r="AR27" s="6">
        <v>2</v>
      </c>
      <c r="AT27" s="169">
        <f t="shared" si="8"/>
        <v>11</v>
      </c>
      <c r="AU27" s="166">
        <f t="shared" si="9"/>
        <v>208.02080000025001</v>
      </c>
      <c r="BH27">
        <v>24</v>
      </c>
      <c r="BI27" t="str">
        <f t="shared" si="11"/>
        <v>Tunez</v>
      </c>
      <c r="BJ27" s="6">
        <f>+COUNTIFS('Inputs summary'!I$2:I$106,BI27)</f>
        <v>0</v>
      </c>
      <c r="BK27" s="6">
        <f>+COUNTIFS('Inputs summary'!J$2:K$106,BI27)</f>
        <v>1</v>
      </c>
      <c r="BL27" s="6">
        <f>+COUNTIFS('Inputs summary'!L$2:L$106,BI27)</f>
        <v>2</v>
      </c>
      <c r="BM27" s="6">
        <f t="shared" si="19"/>
        <v>-5</v>
      </c>
      <c r="BN27" s="6">
        <f>+SUMIF('Inputs summary'!$B$1:$B$106,$BI27,'Inputs summary'!$C$1:$C$106)+SUMIF('Inputs summary'!$E$1:$E$106,$BI27,'Inputs summary'!$D$1:$D$106)</f>
        <v>1</v>
      </c>
      <c r="BO27" s="6">
        <f>+SUMIF('Inputs summary'!$B$1:$B$106,$BI27,'Inputs summary'!$D$1:$D$106)+SUMIF('Inputs summary'!$E$1:$E$106,$BI27,'Inputs summary'!$C$1:$C$106)</f>
        <v>6</v>
      </c>
      <c r="BP27" s="166">
        <f t="shared" si="12"/>
        <v>1.9510343999999997</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1</v>
      </c>
      <c r="S28" s="6">
        <f>+COUNTIFS('Inputs summary'!L:L,$H28)</f>
        <v>2</v>
      </c>
      <c r="T28" s="6">
        <f t="shared" si="14"/>
        <v>1</v>
      </c>
      <c r="U28" s="6">
        <f>+SUMIF('Inputs summary'!B:B,H28,'Inputs summary'!C:C)+SUMIF('Inputs summary'!E:E,H28,'Inputs summary'!D:D)</f>
        <v>6</v>
      </c>
      <c r="V28" s="6">
        <f>+SUMIF('Inputs summary'!B:B,H28,'Inputs summary'!D:D)+SUMIF('Inputs summary'!E:E,H28,'Inputs summary'!C:C)</f>
        <v>5</v>
      </c>
      <c r="W28" s="159">
        <f t="shared" si="15"/>
        <v>104.0106000004762</v>
      </c>
      <c r="X28" s="173">
        <f t="shared" si="16"/>
        <v>1</v>
      </c>
      <c r="Y28" s="167">
        <f t="shared" si="7"/>
        <v>3</v>
      </c>
      <c r="Z28" s="173">
        <f t="shared" si="17"/>
        <v>104.01060033380953</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103.98040000041667</v>
      </c>
      <c r="BH28">
        <v>25</v>
      </c>
      <c r="BI28" t="str">
        <f t="shared" si="11"/>
        <v>Iran</v>
      </c>
      <c r="BJ28" s="6">
        <f>+COUNTIFS('Inputs summary'!I$2:I$106,BI28)</f>
        <v>1</v>
      </c>
      <c r="BK28" s="6">
        <f>+COUNTIFS('Inputs summary'!J$2:K$106,BI28)</f>
        <v>1</v>
      </c>
      <c r="BL28" s="6">
        <f>+COUNTIFS('Inputs summary'!L$2:L$106,BI28)</f>
        <v>1</v>
      </c>
      <c r="BM28" s="6">
        <f t="shared" si="19"/>
        <v>2</v>
      </c>
      <c r="BN28" s="6">
        <f>+SUMIF('Inputs summary'!$B$1:$B$106,$BI28,'Inputs summary'!$C$1:$C$106)+SUMIF('Inputs summary'!$E$1:$E$106,$BI28,'Inputs summary'!$D$1:$D$106)</f>
        <v>6</v>
      </c>
      <c r="BO28" s="6">
        <f>+SUMIF('Inputs summary'!$B$1:$B$106,$BI28,'Inputs summary'!$D$1:$D$106)+SUMIF('Inputs summary'!$E$1:$E$106,$BI28,'Inputs summary'!$C$1:$C$106)</f>
        <v>4</v>
      </c>
      <c r="BP28" s="166">
        <f t="shared" si="12"/>
        <v>5.0260320999999992</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-8</v>
      </c>
      <c r="U29" s="6">
        <f>+SUMIF('Inputs summary'!B:B,H29,'Inputs summary'!C:C)+SUMIF('Inputs summary'!E:E,H29,'Inputs summary'!D:D)</f>
        <v>1</v>
      </c>
      <c r="V29" s="6">
        <f>+SUMIF('Inputs summary'!B:B,H29,'Inputs summary'!D:D)+SUMIF('Inputs summary'!E:E,H29,'Inputs summary'!C:C)</f>
        <v>9</v>
      </c>
      <c r="W29" s="159">
        <f t="shared" si="15"/>
        <v>-7.989999988235294E-2</v>
      </c>
      <c r="X29" s="173">
        <f t="shared" si="16"/>
        <v>0</v>
      </c>
      <c r="Y29" s="167">
        <f t="shared" si="7"/>
        <v>4</v>
      </c>
      <c r="Z29" s="173">
        <f t="shared" si="17"/>
        <v>-7.9899749882352947E-2</v>
      </c>
      <c r="AA29" s="173">
        <f>+_xlfn.XLOOKUP(H29,'Ranking FIFA'!B:B,'Ranking FIFA'!A:A,"--",0)</f>
        <v>85</v>
      </c>
      <c r="AI29" t="str">
        <f>+'Round of 32 &amp; Round of 16'!K21</f>
        <v>Iran</v>
      </c>
      <c r="AP29" s="457">
        <f>+_xlfn.XLOOKUP(AQ29,'Ranking FIFA'!B:B,'Ranking FIFA'!A:A,"--",0)</f>
        <v>27</v>
      </c>
      <c r="AQ29" t="s">
        <v>73</v>
      </c>
      <c r="AR29" s="6">
        <v>3</v>
      </c>
      <c r="AT29" s="169">
        <f t="shared" si="8"/>
        <v>1</v>
      </c>
      <c r="AU29" s="166">
        <f t="shared" si="9"/>
        <v>103.98050000037037</v>
      </c>
      <c r="BH29">
        <v>26</v>
      </c>
      <c r="BI29" t="str">
        <f t="shared" si="11"/>
        <v>Nueva Zelanda</v>
      </c>
      <c r="BJ29" s="6">
        <f>+COUNTIFS('Inputs summary'!I$2:I$106,BI29)</f>
        <v>0</v>
      </c>
      <c r="BK29" s="6">
        <f>+COUNTIFS('Inputs summary'!J$2:K$106,BI29)</f>
        <v>0</v>
      </c>
      <c r="BL29" s="6">
        <f>+COUNTIFS('Inputs summary'!L$2:L$106,BI29)</f>
        <v>3</v>
      </c>
      <c r="BM29" s="6">
        <f t="shared" si="19"/>
        <v>-8</v>
      </c>
      <c r="BN29" s="6">
        <f>+SUMIF('Inputs summary'!$B$1:$B$106,$BI29,'Inputs summary'!$C$1:$C$106)+SUMIF('Inputs summary'!$E$1:$E$106,$BI29,'Inputs summary'!$D$1:$D$106)</f>
        <v>1</v>
      </c>
      <c r="BO29" s="6">
        <f>+SUMIF('Inputs summary'!$B$1:$B$106,$BI29,'Inputs summary'!$D$1:$D$106)+SUMIF('Inputs summary'!$E$1:$E$106,$BI29,'Inputs summary'!$C$1:$C$106)</f>
        <v>9</v>
      </c>
      <c r="BP29" s="166">
        <f t="shared" si="12"/>
        <v>-7.8951500000000008E-2</v>
      </c>
    </row>
    <row r="30" spans="7:68" x14ac:dyDescent="0.25">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3</v>
      </c>
      <c r="U30" s="6">
        <f>+SUMIF('Inputs summary'!B:B,H30,'Inputs summary'!C:C)+SUMIF('Inputs summary'!E:E,H30,'Inputs summary'!D:D)</f>
        <v>11</v>
      </c>
      <c r="V30" s="6">
        <f>+SUMIF('Inputs summary'!B:B,H30,'Inputs summary'!D:D)+SUMIF('Inputs summary'!E:E,H30,'Inputs summary'!C:C)</f>
        <v>8</v>
      </c>
      <c r="W30" s="159">
        <f t="shared" si="15"/>
        <v>313.0311000011111</v>
      </c>
      <c r="X30" s="173">
        <f t="shared" si="16"/>
        <v>111</v>
      </c>
      <c r="Y30" s="167">
        <f t="shared" si="7"/>
        <v>1</v>
      </c>
      <c r="Z30" s="173">
        <f t="shared" si="17"/>
        <v>313.0311010011111</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103.98050000035715</v>
      </c>
      <c r="BH30">
        <v>27</v>
      </c>
      <c r="BI30" t="str">
        <f t="shared" si="11"/>
        <v>Belgica</v>
      </c>
      <c r="BJ30" s="6">
        <f>+COUNTIFS('Inputs summary'!I$2:I$106,BI30)</f>
        <v>2</v>
      </c>
      <c r="BK30" s="6">
        <f>+COUNTIFS('Inputs summary'!J$2:K$106,BI30)</f>
        <v>1</v>
      </c>
      <c r="BL30" s="6">
        <f>+COUNTIFS('Inputs summary'!L$2:L$106,BI30)</f>
        <v>0</v>
      </c>
      <c r="BM30" s="6">
        <f t="shared" si="19"/>
        <v>3</v>
      </c>
      <c r="BN30" s="6">
        <f>+SUMIF('Inputs summary'!$B$1:$B$106,$BI30,'Inputs summary'!$C$1:$C$106)+SUMIF('Inputs summary'!$E$1:$E$106,$BI30,'Inputs summary'!$D$1:$D$106)</f>
        <v>8</v>
      </c>
      <c r="BO30" s="6">
        <f>+SUMIF('Inputs summary'!$B$1:$B$106,$BI30,'Inputs summary'!$D$1:$D$106)+SUMIF('Inputs summary'!$E$1:$E$106,$BI30,'Inputs summary'!$C$1:$C$106)</f>
        <v>5</v>
      </c>
      <c r="BP30" s="166">
        <f t="shared" si="12"/>
        <v>8.038010899999998</v>
      </c>
    </row>
    <row r="31" spans="7:68" x14ac:dyDescent="0.25">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2</v>
      </c>
      <c r="R31" s="6">
        <f>+COUNTIFS('Inputs summary'!J:K,$H31)</f>
        <v>2</v>
      </c>
      <c r="S31" s="6">
        <f>+COUNTIFS('Inputs summary'!L:L,$H31)</f>
        <v>1</v>
      </c>
      <c r="T31" s="6">
        <f t="shared" si="14"/>
        <v>3</v>
      </c>
      <c r="U31" s="6">
        <f>+SUMIF('Inputs summary'!B:B,H31,'Inputs summary'!C:C)+SUMIF('Inputs summary'!E:E,H31,'Inputs summary'!D:D)</f>
        <v>7</v>
      </c>
      <c r="V31" s="6">
        <f>+SUMIF('Inputs summary'!B:B,H31,'Inputs summary'!D:D)+SUMIF('Inputs summary'!E:E,H31,'Inputs summary'!C:C)</f>
        <v>4</v>
      </c>
      <c r="W31" s="159">
        <f t="shared" si="15"/>
        <v>208.03070000034484</v>
      </c>
      <c r="X31" s="173">
        <f t="shared" si="16"/>
        <v>11</v>
      </c>
      <c r="Y31" s="167">
        <f t="shared" si="7"/>
        <v>3</v>
      </c>
      <c r="Z31" s="173">
        <f t="shared" si="17"/>
        <v>208.03070033367817</v>
      </c>
      <c r="AA31" s="173">
        <f>+_xlfn.XLOOKUP(H31,'Ranking FIFA'!B:B,'Ranking FIFA'!A:A,"--",0)</f>
        <v>29</v>
      </c>
      <c r="AI31" t="str">
        <f>+'Round of 32 &amp; Round of 16'!K25</f>
        <v>Uruguay</v>
      </c>
      <c r="AP31" s="457">
        <f>+_xlfn.XLOOKUP(AQ31,'Ranking FIFA'!B:B,'Ranking FIFA'!A:A,"--",0)</f>
        <v>29</v>
      </c>
      <c r="AQ31" t="s">
        <v>75</v>
      </c>
      <c r="AR31" s="6">
        <v>3</v>
      </c>
      <c r="AT31" s="169">
        <f t="shared" si="8"/>
        <v>11</v>
      </c>
      <c r="AU31" s="166">
        <f t="shared" si="9"/>
        <v>208.03070000034484</v>
      </c>
      <c r="BH31">
        <v>28</v>
      </c>
      <c r="BI31" t="str">
        <f t="shared" si="11"/>
        <v>Egipto</v>
      </c>
      <c r="BJ31" s="6">
        <f>+COUNTIFS('Inputs summary'!I$2:I$106,BI31)</f>
        <v>1</v>
      </c>
      <c r="BK31" s="6">
        <f>+COUNTIFS('Inputs summary'!J$2:K$106,BI31)</f>
        <v>2</v>
      </c>
      <c r="BL31" s="6">
        <f>+COUNTIFS('Inputs summary'!L$2:L$106,BI31)</f>
        <v>0</v>
      </c>
      <c r="BM31" s="6">
        <f t="shared" si="19"/>
        <v>3</v>
      </c>
      <c r="BN31" s="6">
        <f>+SUMIF('Inputs summary'!$B$1:$B$106,$BI31,'Inputs summary'!$C$1:$C$106)+SUMIF('Inputs summary'!$E$1:$E$106,$BI31,'Inputs summary'!$D$1:$D$106)</f>
        <v>6</v>
      </c>
      <c r="BO31" s="6">
        <f>+SUMIF('Inputs summary'!$B$1:$B$106,$BI31,'Inputs summary'!$D$1:$D$106)+SUMIF('Inputs summary'!$E$1:$E$106,$BI31,'Inputs summary'!$C$1:$C$106)</f>
        <v>3</v>
      </c>
      <c r="BP31" s="166">
        <f t="shared" si="12"/>
        <v>7.0360329000000004</v>
      </c>
    </row>
    <row r="32" spans="7:68" x14ac:dyDescent="0.25">
      <c r="G32">
        <v>29</v>
      </c>
      <c r="H32" t="str">
        <f>+'Groups Stage'!O66</f>
        <v>España</v>
      </c>
      <c r="I32" s="6">
        <f t="shared" si="0"/>
        <v>2</v>
      </c>
      <c r="J32" s="6">
        <f t="shared" si="1"/>
        <v>2</v>
      </c>
      <c r="K32" s="6">
        <f t="shared" si="2"/>
        <v>0</v>
      </c>
      <c r="L32" s="6">
        <f t="shared" si="3"/>
        <v>1</v>
      </c>
      <c r="M32" s="6">
        <f t="shared" si="4"/>
        <v>1</v>
      </c>
      <c r="N32" s="6">
        <f t="shared" si="5"/>
        <v>1</v>
      </c>
      <c r="O32" s="6">
        <f t="shared" si="6"/>
        <v>1</v>
      </c>
      <c r="P32" s="6">
        <f t="shared" si="13"/>
        <v>8</v>
      </c>
      <c r="Q32" s="6">
        <f>+COUNTIFS('Inputs summary'!I:I,$H32)</f>
        <v>7</v>
      </c>
      <c r="R32" s="6">
        <f>+COUNTIFS('Inputs summary'!J:K,$H32)</f>
        <v>1</v>
      </c>
      <c r="S32" s="6">
        <f>+COUNTIFS('Inputs summary'!L:L,$H32)</f>
        <v>0</v>
      </c>
      <c r="T32" s="6">
        <f t="shared" si="14"/>
        <v>16</v>
      </c>
      <c r="U32" s="6">
        <f>+SUMIF('Inputs summary'!B:B,H32,'Inputs summary'!C:C)+SUMIF('Inputs summary'!E:E,H32,'Inputs summary'!D:D)</f>
        <v>21</v>
      </c>
      <c r="V32" s="6">
        <f>+SUMIF('Inputs summary'!B:B,H32,'Inputs summary'!D:D)+SUMIF('Inputs summary'!E:E,H32,'Inputs summary'!C:C)</f>
        <v>5</v>
      </c>
      <c r="W32" s="159">
        <f t="shared" si="15"/>
        <v>822.16210000499996</v>
      </c>
      <c r="X32" s="173">
        <f t="shared" si="16"/>
        <v>2201111</v>
      </c>
      <c r="Y32" s="167">
        <f t="shared" si="7"/>
        <v>1</v>
      </c>
      <c r="Z32" s="173">
        <f t="shared" si="17"/>
        <v>822.16210100499995</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208.01070000033332</v>
      </c>
      <c r="BH32">
        <v>29</v>
      </c>
      <c r="BI32" t="str">
        <f t="shared" si="11"/>
        <v>España</v>
      </c>
      <c r="BJ32" s="6">
        <f>+COUNTIFS('Inputs summary'!I$2:I$106,BI32)</f>
        <v>3</v>
      </c>
      <c r="BK32" s="6">
        <f>+COUNTIFS('Inputs summary'!J$2:K$106,BI32)</f>
        <v>0</v>
      </c>
      <c r="BL32" s="6">
        <f>+COUNTIFS('Inputs summary'!L$2:L$106,BI32)</f>
        <v>0</v>
      </c>
      <c r="BM32" s="6">
        <f t="shared" si="19"/>
        <v>9</v>
      </c>
      <c r="BN32" s="6">
        <f>+SUMIF('Inputs summary'!$B$1:$B$106,$BI32,'Inputs summary'!$C$1:$C$106)+SUMIF('Inputs summary'!$E$1:$E$106,$BI32,'Inputs summary'!$D$1:$D$106)</f>
        <v>11</v>
      </c>
      <c r="BO32" s="6">
        <f>+SUMIF('Inputs summary'!$B$1:$B$106,$BI32,'Inputs summary'!$D$1:$D$106)+SUMIF('Inputs summary'!$E$1:$E$106,$BI32,'Inputs summary'!$C$1:$C$106)</f>
        <v>2</v>
      </c>
      <c r="BP32" s="166">
        <f t="shared" si="12"/>
        <v>9.1010101999999993</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-13</v>
      </c>
      <c r="U33" s="6">
        <f>+SUMIF('Inputs summary'!B:B,H33,'Inputs summary'!C:C)+SUMIF('Inputs summary'!E:E,H33,'Inputs summary'!D:D)</f>
        <v>0</v>
      </c>
      <c r="V33" s="6">
        <f>+SUMIF('Inputs summary'!B:B,H33,'Inputs summary'!D:D)+SUMIF('Inputs summary'!E:E,H33,'Inputs summary'!C:C)</f>
        <v>13</v>
      </c>
      <c r="W33" s="159">
        <f t="shared" si="15"/>
        <v>-0.12999999985507246</v>
      </c>
      <c r="X33" s="173">
        <f t="shared" si="16"/>
        <v>0</v>
      </c>
      <c r="Y33" s="167">
        <f t="shared" si="7"/>
        <v>4</v>
      </c>
      <c r="Z33" s="173">
        <f t="shared" si="17"/>
        <v>-0.12999974985507246</v>
      </c>
      <c r="AA33" s="173">
        <f>+_xlfn.XLOOKUP(H33,'Ranking FIFA'!B:B,'Ranking FIFA'!A:A,"--",0)</f>
        <v>69</v>
      </c>
      <c r="AI33" t="str">
        <f>+'Round of 32 &amp; Round of 16'!K29</f>
        <v>Croacia</v>
      </c>
      <c r="AP33" s="457">
        <f>+_xlfn.XLOOKUP(AQ33,'Ranking FIFA'!B:B,'Ranking FIFA'!A:A,"--",0)</f>
        <v>33</v>
      </c>
      <c r="AQ33" t="s">
        <v>77</v>
      </c>
      <c r="AR33" s="6">
        <v>3</v>
      </c>
      <c r="AT33" s="169">
        <f t="shared" si="8"/>
        <v>0</v>
      </c>
      <c r="AU33" s="166">
        <f t="shared" si="9"/>
        <v>-4.9799999696969702E-2</v>
      </c>
      <c r="BH33">
        <v>30</v>
      </c>
      <c r="BI33" t="str">
        <f t="shared" si="11"/>
        <v>Cabo Verde</v>
      </c>
      <c r="BJ33" s="6">
        <f>+COUNTIFS('Inputs summary'!I$2:I$106,BI33)</f>
        <v>0</v>
      </c>
      <c r="BK33" s="6">
        <f>+COUNTIFS('Inputs summary'!J$2:K$106,BI33)</f>
        <v>0</v>
      </c>
      <c r="BL33" s="6">
        <f>+COUNTIFS('Inputs summary'!L$2:L$106,BI33)</f>
        <v>3</v>
      </c>
      <c r="BM33" s="6">
        <f t="shared" si="19"/>
        <v>-13</v>
      </c>
      <c r="BN33" s="6">
        <f>+SUMIF('Inputs summary'!$B$1:$B$106,$BI33,'Inputs summary'!$C$1:$C$106)+SUMIF('Inputs summary'!$E$1:$E$106,$BI33,'Inputs summary'!$D$1:$D$106)</f>
        <v>0</v>
      </c>
      <c r="BO33" s="6">
        <f>+SUMIF('Inputs summary'!$B$1:$B$106,$BI33,'Inputs summary'!$D$1:$D$106)+SUMIF('Inputs summary'!$E$1:$E$106,$BI33,'Inputs summary'!$C$1:$C$106)</f>
        <v>13</v>
      </c>
      <c r="BP33" s="166">
        <f t="shared" si="12"/>
        <v>-0.12995309999999999</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-2</v>
      </c>
      <c r="U34" s="6">
        <f>+SUMIF('Inputs summary'!B:B,H34,'Inputs summary'!C:C)+SUMIF('Inputs summary'!E:E,H34,'Inputs summary'!D:D)</f>
        <v>4</v>
      </c>
      <c r="V34" s="6">
        <f>+SUMIF('Inputs summary'!B:B,H34,'Inputs summary'!D:D)+SUMIF('Inputs summary'!E:E,H34,'Inputs summary'!C:C)</f>
        <v>6</v>
      </c>
      <c r="W34" s="159">
        <f t="shared" si="15"/>
        <v>102.98040000016394</v>
      </c>
      <c r="X34" s="173">
        <f t="shared" si="16"/>
        <v>1</v>
      </c>
      <c r="Y34" s="167">
        <f t="shared" si="7"/>
        <v>3</v>
      </c>
      <c r="Z34" s="173">
        <f t="shared" si="17"/>
        <v>102.98040033349727</v>
      </c>
      <c r="AA34" s="173">
        <f>+_xlfn.XLOOKUP(H34,'Ranking FIFA'!B:B,'Ranking FIFA'!A:A,"--",0)</f>
        <v>61</v>
      </c>
      <c r="AI34" t="str">
        <f>+'Round of 32 &amp; Round of 16'!H33</f>
        <v>Turquia</v>
      </c>
      <c r="AP34" s="457">
        <f>+_xlfn.XLOOKUP(AQ34,'Ranking FIFA'!B:B,'Ranking FIFA'!A:A,"--",0)</f>
        <v>34</v>
      </c>
      <c r="AQ34" t="s">
        <v>78</v>
      </c>
      <c r="AR34" s="6">
        <v>3</v>
      </c>
      <c r="AT34" s="169">
        <f t="shared" si="8"/>
        <v>111</v>
      </c>
      <c r="AU34" s="166">
        <f t="shared" si="9"/>
        <v>307.0109000002941</v>
      </c>
      <c r="BH34">
        <v>31</v>
      </c>
      <c r="BI34" t="str">
        <f t="shared" si="11"/>
        <v>Arabia Saudita</v>
      </c>
      <c r="BJ34" s="6">
        <f>+COUNTIFS('Inputs summary'!I$2:I$106,BI34)</f>
        <v>1</v>
      </c>
      <c r="BK34" s="6">
        <f>+COUNTIFS('Inputs summary'!J$2:K$106,BI34)</f>
        <v>0</v>
      </c>
      <c r="BL34" s="6">
        <f>+COUNTIFS('Inputs summary'!L$2:L$106,BI34)</f>
        <v>2</v>
      </c>
      <c r="BM34" s="6">
        <f t="shared" si="19"/>
        <v>0</v>
      </c>
      <c r="BN34" s="6">
        <f>+SUMIF('Inputs summary'!$B$1:$B$106,$BI34,'Inputs summary'!$C$1:$C$106)+SUMIF('Inputs summary'!$E$1:$E$106,$BI34,'Inputs summary'!$D$1:$D$106)</f>
        <v>4</v>
      </c>
      <c r="BO34" s="6">
        <f>+SUMIF('Inputs summary'!$B$1:$B$106,$BI34,'Inputs summary'!$D$1:$D$106)+SUMIF('Inputs summary'!$E$1:$E$106,$BI34,'Inputs summary'!$C$1:$C$106)</f>
        <v>4</v>
      </c>
      <c r="BP34" s="166">
        <f t="shared" si="12"/>
        <v>3.0040361</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2</v>
      </c>
      <c r="U35" s="6">
        <f>+SUMIF('Inputs summary'!B:B,H35,'Inputs summary'!C:C)+SUMIF('Inputs summary'!E:E,H35,'Inputs summary'!D:D)</f>
        <v>6</v>
      </c>
      <c r="V35" s="6">
        <f>+SUMIF('Inputs summary'!B:B,H35,'Inputs summary'!D:D)+SUMIF('Inputs summary'!E:E,H35,'Inputs summary'!C:C)</f>
        <v>4</v>
      </c>
      <c r="W35" s="159">
        <f t="shared" si="15"/>
        <v>106.02060000058823</v>
      </c>
      <c r="X35" s="173">
        <f t="shared" si="16"/>
        <v>1</v>
      </c>
      <c r="Y35" s="167">
        <f t="shared" si="7"/>
        <v>1</v>
      </c>
      <c r="Z35" s="173">
        <f t="shared" si="17"/>
        <v>106.02060100058823</v>
      </c>
      <c r="AA35" s="173">
        <f>+_xlfn.XLOOKUP(H35,'Ranking FIFA'!B:B,'Ranking FIFA'!A:A,"--",0)</f>
        <v>17</v>
      </c>
      <c r="AI35" t="str">
        <f>+'Round of 32 &amp; Round of 16'!K33</f>
        <v>Egipto</v>
      </c>
      <c r="AP35" s="457">
        <f>+_xlfn.XLOOKUP(AQ35,'Ranking FIFA'!B:B,'Ranking FIFA'!A:A,"--",0)</f>
        <v>41</v>
      </c>
      <c r="AQ35" s="456" t="s">
        <v>79</v>
      </c>
      <c r="AR35" s="6">
        <v>3</v>
      </c>
      <c r="AT35" s="169">
        <f t="shared" si="8"/>
        <v>0</v>
      </c>
      <c r="AU35" s="166">
        <f t="shared" si="9"/>
        <v>3.0004000002439022</v>
      </c>
      <c r="BH35">
        <v>32</v>
      </c>
      <c r="BI35" t="str">
        <f t="shared" si="11"/>
        <v>Uruguay</v>
      </c>
      <c r="BJ35" s="6">
        <f>+COUNTIFS('Inputs summary'!I$2:I$106,BI35)</f>
        <v>2</v>
      </c>
      <c r="BK35" s="6">
        <f>+COUNTIFS('Inputs summary'!J$2:K$106,BI35)</f>
        <v>0</v>
      </c>
      <c r="BL35" s="6">
        <f>+COUNTIFS('Inputs summary'!L$2:L$106,BI35)</f>
        <v>1</v>
      </c>
      <c r="BM35" s="6">
        <f t="shared" si="19"/>
        <v>4</v>
      </c>
      <c r="BN35" s="6">
        <f>+SUMIF('Inputs summary'!$B$1:$B$106,$BI35,'Inputs summary'!$C$1:$C$106)+SUMIF('Inputs summary'!$E$1:$E$106,$BI35,'Inputs summary'!$D$1:$D$106)</f>
        <v>6</v>
      </c>
      <c r="BO35" s="6">
        <f>+SUMIF('Inputs summary'!$B$1:$B$106,$BI35,'Inputs summary'!$D$1:$D$106)+SUMIF('Inputs summary'!$E$1:$E$106,$BI35,'Inputs summary'!$C$1:$C$106)</f>
        <v>2</v>
      </c>
      <c r="BP35" s="166">
        <f t="shared" si="12"/>
        <v>6.0460117000000002</v>
      </c>
    </row>
    <row r="36" spans="7:68" x14ac:dyDescent="0.25">
      <c r="G36">
        <v>33</v>
      </c>
      <c r="H36" t="str">
        <f>+'Groups Stage'!O75</f>
        <v>Francia</v>
      </c>
      <c r="I36" s="6">
        <f t="shared" si="0"/>
        <v>0</v>
      </c>
      <c r="J36" s="6">
        <f t="shared" si="1"/>
        <v>0</v>
      </c>
      <c r="K36" s="6">
        <f t="shared" si="2"/>
        <v>0</v>
      </c>
      <c r="L36" s="6">
        <f t="shared" si="3"/>
        <v>1</v>
      </c>
      <c r="M36" s="6">
        <f t="shared" si="4"/>
        <v>1</v>
      </c>
      <c r="N36" s="6">
        <f t="shared" si="5"/>
        <v>1</v>
      </c>
      <c r="O36" s="6">
        <f t="shared" si="6"/>
        <v>1</v>
      </c>
      <c r="P36" s="6">
        <f t="shared" si="13"/>
        <v>4</v>
      </c>
      <c r="Q36" s="6">
        <f>+COUNTIFS('Inputs summary'!I:I,$H36)</f>
        <v>5</v>
      </c>
      <c r="R36" s="6">
        <f>+COUNTIFS('Inputs summary'!J:K,$H36)</f>
        <v>2</v>
      </c>
      <c r="S36" s="6">
        <f>+COUNTIFS('Inputs summary'!L:L,$H36)</f>
        <v>1</v>
      </c>
      <c r="T36" s="6">
        <f t="shared" si="14"/>
        <v>9</v>
      </c>
      <c r="U36" s="6">
        <f>+SUMIF('Inputs summary'!B:B,H36,'Inputs summary'!C:C)+SUMIF('Inputs summary'!E:E,H36,'Inputs summary'!D:D)</f>
        <v>21</v>
      </c>
      <c r="V36" s="6">
        <f>+SUMIF('Inputs summary'!B:B,H36,'Inputs summary'!D:D)+SUMIF('Inputs summary'!E:E,H36,'Inputs summary'!C:C)</f>
        <v>12</v>
      </c>
      <c r="W36" s="159">
        <f t="shared" si="15"/>
        <v>417.09210000999997</v>
      </c>
      <c r="X36" s="173">
        <f t="shared" si="16"/>
        <v>1111</v>
      </c>
      <c r="Y36" s="167">
        <f t="shared" si="7"/>
        <v>1</v>
      </c>
      <c r="Z36" s="173">
        <f t="shared" si="17"/>
        <v>417.09210100999996</v>
      </c>
      <c r="AA36" s="173">
        <f>+_xlfn.XLOOKUP(H36,'Ranking FIFA'!B:B,'Ranking FIFA'!A:A,"--",0)</f>
        <v>1</v>
      </c>
      <c r="AP36" s="457">
        <f>+_xlfn.XLOOKUP(AQ36,'Ranking FIFA'!B:B,'Ranking FIFA'!A:A,"--",0)</f>
        <v>43</v>
      </c>
      <c r="AQ36" t="s">
        <v>80</v>
      </c>
      <c r="AR36" s="6">
        <v>3</v>
      </c>
      <c r="AT36" s="169">
        <f t="shared" si="8"/>
        <v>1</v>
      </c>
      <c r="AU36" s="166">
        <f t="shared" si="9"/>
        <v>102.99060000023256</v>
      </c>
      <c r="BH36">
        <v>33</v>
      </c>
      <c r="BI36" t="str">
        <f t="shared" si="11"/>
        <v>Francia</v>
      </c>
      <c r="BJ36" s="6">
        <f>+COUNTIFS('Inputs summary'!I$2:I$106,BI36)</f>
        <v>2</v>
      </c>
      <c r="BK36" s="6">
        <f>+COUNTIFS('Inputs summary'!J$2:K$106,BI36)</f>
        <v>1</v>
      </c>
      <c r="BL36" s="6">
        <f>+COUNTIFS('Inputs summary'!L$2:L$106,BI36)</f>
        <v>0</v>
      </c>
      <c r="BM36" s="6">
        <f t="shared" si="19"/>
        <v>5</v>
      </c>
      <c r="BN36" s="6">
        <f>+SUMIF('Inputs summary'!$B$1:$B$106,$BI36,'Inputs summary'!$C$1:$C$106)+SUMIF('Inputs summary'!$E$1:$E$106,$BI36,'Inputs summary'!$D$1:$D$106)</f>
        <v>11</v>
      </c>
      <c r="BO36" s="6">
        <f>+SUMIF('Inputs summary'!$B$1:$B$106,$BI36,'Inputs summary'!$D$1:$D$106)+SUMIF('Inputs summary'!$E$1:$E$106,$BI36,'Inputs summary'!$C$1:$C$106)</f>
        <v>6</v>
      </c>
      <c r="BP36" s="166">
        <f t="shared" si="12"/>
        <v>8.061010099999999</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1</v>
      </c>
      <c r="R37" s="6">
        <f>+COUNTIFS('Inputs summary'!J:K,$H37)</f>
        <v>0</v>
      </c>
      <c r="S37" s="6">
        <f>+COUNTIFS('Inputs summary'!L:L,$H37)</f>
        <v>2</v>
      </c>
      <c r="T37" s="6">
        <f t="shared" si="14"/>
        <v>-1</v>
      </c>
      <c r="U37" s="6">
        <f>+SUMIF('Inputs summary'!B:B,H37,'Inputs summary'!C:C)+SUMIF('Inputs summary'!E:E,H37,'Inputs summary'!D:D)</f>
        <v>4</v>
      </c>
      <c r="V37" s="6">
        <f>+SUMIF('Inputs summary'!B:B,H37,'Inputs summary'!D:D)+SUMIF('Inputs summary'!E:E,H37,'Inputs summary'!C:C)</f>
        <v>5</v>
      </c>
      <c r="W37" s="159">
        <f t="shared" si="15"/>
        <v>2.9904000007142857</v>
      </c>
      <c r="X37" s="173">
        <f t="shared" si="16"/>
        <v>0</v>
      </c>
      <c r="Y37" s="167">
        <f t="shared" si="7"/>
        <v>2</v>
      </c>
      <c r="Z37" s="173">
        <f t="shared" si="17"/>
        <v>2.9904005007142858</v>
      </c>
      <c r="AA37" s="173">
        <f>+_xlfn.XLOOKUP(H37,'Ranking FIFA'!B:B,'Ranking FIFA'!A:A,"--",0)</f>
        <v>14</v>
      </c>
      <c r="AP37" s="457">
        <f>+_xlfn.XLOOKUP(AQ37,'Ranking FIFA'!B:B,'Ranking FIFA'!A:A,"--",0)</f>
        <v>44</v>
      </c>
      <c r="AQ37" t="s">
        <v>81</v>
      </c>
      <c r="AR37" s="6">
        <v>3</v>
      </c>
      <c r="AT37" s="169">
        <f t="shared" si="8"/>
        <v>0</v>
      </c>
      <c r="AU37" s="166">
        <f t="shared" si="9"/>
        <v>0.9501000002272727</v>
      </c>
      <c r="BH37">
        <v>34</v>
      </c>
      <c r="BI37" t="str">
        <f t="shared" si="11"/>
        <v>Senegal</v>
      </c>
      <c r="BJ37" s="6">
        <f>+COUNTIFS('Inputs summary'!I$2:I$106,BI37)</f>
        <v>1</v>
      </c>
      <c r="BK37" s="6">
        <f>+COUNTIFS('Inputs summary'!J$2:K$106,BI37)</f>
        <v>0</v>
      </c>
      <c r="BL37" s="6">
        <f>+COUNTIFS('Inputs summary'!L$2:L$106,BI37)</f>
        <v>2</v>
      </c>
      <c r="BM37" s="6">
        <f t="shared" si="19"/>
        <v>-1</v>
      </c>
      <c r="BN37" s="6">
        <f>+SUMIF('Inputs summary'!$B$1:$B$106,$BI37,'Inputs summary'!$C$1:$C$106)+SUMIF('Inputs summary'!$E$1:$E$106,$BI37,'Inputs summary'!$D$1:$D$106)</f>
        <v>4</v>
      </c>
      <c r="BO37" s="6">
        <f>+SUMIF('Inputs summary'!$B$1:$B$106,$BI37,'Inputs summary'!$D$1:$D$106)+SUMIF('Inputs summary'!$E$1:$E$106,$BI37,'Inputs summary'!$C$1:$C$106)</f>
        <v>5</v>
      </c>
      <c r="BP37" s="166">
        <f t="shared" si="12"/>
        <v>2.9940214000000003</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-7</v>
      </c>
      <c r="U38" s="6">
        <f>+SUMIF('Inputs summary'!B:B,H38,'Inputs summary'!C:C)+SUMIF('Inputs summary'!E:E,H38,'Inputs summary'!D:D)</f>
        <v>1</v>
      </c>
      <c r="V38" s="6">
        <f>+SUMIF('Inputs summary'!B:B,H38,'Inputs summary'!D:D)+SUMIF('Inputs summary'!E:E,H38,'Inputs summary'!C:C)</f>
        <v>8</v>
      </c>
      <c r="W38" s="159">
        <f t="shared" si="15"/>
        <v>-6.989999982456141E-2</v>
      </c>
      <c r="X38" s="173">
        <f t="shared" si="16"/>
        <v>0</v>
      </c>
      <c r="Y38" s="167">
        <f t="shared" si="7"/>
        <v>4</v>
      </c>
      <c r="Z38" s="173">
        <f t="shared" si="17"/>
        <v>-6.9899749824561416E-2</v>
      </c>
      <c r="AA38" s="173">
        <f>+_xlfn.XLOOKUP(H38,'Ranking FIFA'!B:B,'Ranking FIFA'!A:A,"--",0)</f>
        <v>57</v>
      </c>
      <c r="AP38" s="457">
        <f>+_xlfn.XLOOKUP(AQ38,'Ranking FIFA'!B:B,'Ranking FIFA'!A:A,"--",0)</f>
        <v>60</v>
      </c>
      <c r="AQ38" t="s">
        <v>82</v>
      </c>
      <c r="AR38" s="6">
        <v>3</v>
      </c>
      <c r="AT38" s="169">
        <f t="shared" si="8"/>
        <v>0</v>
      </c>
      <c r="AU38" s="166">
        <f t="shared" si="9"/>
        <v>0.95010000016666663</v>
      </c>
      <c r="BH38">
        <v>35</v>
      </c>
      <c r="BI38" t="str">
        <f t="shared" si="11"/>
        <v>Irak</v>
      </c>
      <c r="BJ38" s="6">
        <f>+COUNTIFS('Inputs summary'!I$2:I$106,BI38)</f>
        <v>0</v>
      </c>
      <c r="BK38" s="6">
        <f>+COUNTIFS('Inputs summary'!J$2:K$106,BI38)</f>
        <v>0</v>
      </c>
      <c r="BL38" s="6">
        <f>+COUNTIFS('Inputs summary'!L$2:L$106,BI38)</f>
        <v>3</v>
      </c>
      <c r="BM38" s="6">
        <f t="shared" si="19"/>
        <v>-7</v>
      </c>
      <c r="BN38" s="6">
        <f>+SUMIF('Inputs summary'!$B$1:$B$106,$BI38,'Inputs summary'!$C$1:$C$106)+SUMIF('Inputs summary'!$E$1:$E$106,$BI38,'Inputs summary'!$D$1:$D$106)</f>
        <v>1</v>
      </c>
      <c r="BO38" s="6">
        <f>+SUMIF('Inputs summary'!$B$1:$B$106,$BI38,'Inputs summary'!$D$1:$D$106)+SUMIF('Inputs summary'!$E$1:$E$106,$BI38,'Inputs summary'!$C$1:$C$106)</f>
        <v>8</v>
      </c>
      <c r="BP38" s="166">
        <f t="shared" si="12"/>
        <v>-6.895430000000001E-2</v>
      </c>
    </row>
    <row r="39" spans="7:68" x14ac:dyDescent="0.25">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3</v>
      </c>
      <c r="R39" s="6">
        <f>+COUNTIFS('Inputs summary'!J:K,$H39)</f>
        <v>2</v>
      </c>
      <c r="S39" s="6">
        <f>+COUNTIFS('Inputs summary'!L:L,$H39)</f>
        <v>0</v>
      </c>
      <c r="T39" s="6">
        <f t="shared" si="14"/>
        <v>4</v>
      </c>
      <c r="U39" s="6">
        <f>+SUMIF('Inputs summary'!B:B,H39,'Inputs summary'!C:C)+SUMIF('Inputs summary'!E:E,H39,'Inputs summary'!D:D)</f>
        <v>12</v>
      </c>
      <c r="V39" s="6">
        <f>+SUMIF('Inputs summary'!B:B,H39,'Inputs summary'!D:D)+SUMIF('Inputs summary'!E:E,H39,'Inputs summary'!C:C)</f>
        <v>8</v>
      </c>
      <c r="W39" s="159">
        <f t="shared" si="15"/>
        <v>211.04120000032259</v>
      </c>
      <c r="X39" s="173">
        <f t="shared" si="16"/>
        <v>11</v>
      </c>
      <c r="Y39" s="167">
        <f t="shared" si="7"/>
        <v>2</v>
      </c>
      <c r="Z39" s="173">
        <f t="shared" si="17"/>
        <v>211.04120050032259</v>
      </c>
      <c r="AA39" s="173">
        <f>+_xlfn.XLOOKUP(H39,'Ranking FIFA'!B:B,'Ranking FIFA'!A:A,"--",0)</f>
        <v>31</v>
      </c>
      <c r="AP39" s="457">
        <f>+_xlfn.XLOOKUP(AQ39,'Ranking FIFA'!B:B,'Ranking FIFA'!A:A,"--",0)</f>
        <v>61</v>
      </c>
      <c r="AQ39" t="s">
        <v>83</v>
      </c>
      <c r="AR39" s="6">
        <v>3</v>
      </c>
      <c r="AT39" s="169">
        <f t="shared" si="8"/>
        <v>1</v>
      </c>
      <c r="AU39" s="166">
        <f t="shared" si="9"/>
        <v>102.98040000016394</v>
      </c>
      <c r="BH39">
        <v>36</v>
      </c>
      <c r="BI39" t="str">
        <f t="shared" si="11"/>
        <v>Noruega</v>
      </c>
      <c r="BJ39" s="6">
        <f>+COUNTIFS('Inputs summary'!I$2:I$106,BI39)</f>
        <v>2</v>
      </c>
      <c r="BK39" s="6">
        <f>+COUNTIFS('Inputs summary'!J$2:K$106,BI39)</f>
        <v>1</v>
      </c>
      <c r="BL39" s="6">
        <f>+COUNTIFS('Inputs summary'!L$2:L$106,BI39)</f>
        <v>0</v>
      </c>
      <c r="BM39" s="6">
        <f t="shared" si="19"/>
        <v>3</v>
      </c>
      <c r="BN39" s="6">
        <f>+SUMIF('Inputs summary'!$B$1:$B$106,$BI39,'Inputs summary'!$C$1:$C$106)+SUMIF('Inputs summary'!$E$1:$E$106,$BI39,'Inputs summary'!$D$1:$D$106)</f>
        <v>8</v>
      </c>
      <c r="BO39" s="6">
        <f>+SUMIF('Inputs summary'!$B$1:$B$106,$BI39,'Inputs summary'!$D$1:$D$106)+SUMIF('Inputs summary'!$E$1:$E$106,$BI39,'Inputs summary'!$C$1:$C$106)</f>
        <v>5</v>
      </c>
      <c r="BP39" s="166">
        <f t="shared" si="12"/>
        <v>8.0380230999999984</v>
      </c>
    </row>
    <row r="40" spans="7:68" x14ac:dyDescent="0.25">
      <c r="G40">
        <v>37</v>
      </c>
      <c r="H40" t="str">
        <f>+'Groups Stage'!O84</f>
        <v>Argentina</v>
      </c>
      <c r="I40" s="6">
        <f t="shared" si="0"/>
        <v>0</v>
      </c>
      <c r="J40" s="6">
        <f t="shared" si="1"/>
        <v>2</v>
      </c>
      <c r="K40" s="6">
        <f t="shared" si="2"/>
        <v>0</v>
      </c>
      <c r="L40" s="6">
        <f t="shared" si="3"/>
        <v>1</v>
      </c>
      <c r="M40" s="6">
        <f t="shared" si="4"/>
        <v>1</v>
      </c>
      <c r="N40" s="6">
        <f t="shared" si="5"/>
        <v>1</v>
      </c>
      <c r="O40" s="6">
        <f t="shared" si="6"/>
        <v>1</v>
      </c>
      <c r="P40" s="6">
        <f t="shared" si="13"/>
        <v>6</v>
      </c>
      <c r="Q40" s="6">
        <f>+COUNTIFS('Inputs summary'!I:I,$H40)</f>
        <v>7</v>
      </c>
      <c r="R40" s="6">
        <f>+COUNTIFS('Inputs summary'!J:K,$H40)</f>
        <v>0</v>
      </c>
      <c r="S40" s="6">
        <f>+COUNTIFS('Inputs summary'!L:L,$H40)</f>
        <v>1</v>
      </c>
      <c r="T40" s="6">
        <f t="shared" si="14"/>
        <v>9</v>
      </c>
      <c r="U40" s="6">
        <f>+SUMIF('Inputs summary'!B:B,H40,'Inputs summary'!C:C)+SUMIF('Inputs summary'!E:E,H40,'Inputs summary'!D:D)</f>
        <v>16</v>
      </c>
      <c r="V40" s="6">
        <f>+SUMIF('Inputs summary'!B:B,H40,'Inputs summary'!D:D)+SUMIF('Inputs summary'!E:E,H40,'Inputs summary'!C:C)</f>
        <v>7</v>
      </c>
      <c r="W40" s="159">
        <f t="shared" si="15"/>
        <v>621.09160000333338</v>
      </c>
      <c r="X40" s="173">
        <f t="shared" si="16"/>
        <v>201111</v>
      </c>
      <c r="Y40" s="167">
        <f t="shared" si="7"/>
        <v>1</v>
      </c>
      <c r="Z40" s="173">
        <f t="shared" si="17"/>
        <v>621.09160100333338</v>
      </c>
      <c r="AA40" s="173">
        <f>+_xlfn.XLOOKUP(H40,'Ranking FIFA'!B:B,'Ranking FIFA'!A:A,"--",0)</f>
        <v>3</v>
      </c>
      <c r="AP40" s="457">
        <f>+_xlfn.XLOOKUP(AQ40,'Ranking FIFA'!B:B,'Ranking FIFA'!A:A,"--",0)</f>
        <v>65</v>
      </c>
      <c r="AQ40" s="456" t="s">
        <v>84</v>
      </c>
      <c r="AR40" s="6">
        <v>3</v>
      </c>
      <c r="AT40" s="169">
        <f t="shared" si="8"/>
        <v>1</v>
      </c>
      <c r="AU40" s="166">
        <f t="shared" si="9"/>
        <v>103.99060000015385</v>
      </c>
      <c r="BH40">
        <v>37</v>
      </c>
      <c r="BI40" t="str">
        <f t="shared" si="11"/>
        <v>Argentina</v>
      </c>
      <c r="BJ40" s="6">
        <f>+COUNTIFS('Inputs summary'!I$2:I$106,BI40)</f>
        <v>3</v>
      </c>
      <c r="BK40" s="6">
        <f>+COUNTIFS('Inputs summary'!J$2:K$106,BI40)</f>
        <v>0</v>
      </c>
      <c r="BL40" s="6">
        <f>+COUNTIFS('Inputs summary'!L$2:L$106,BI40)</f>
        <v>0</v>
      </c>
      <c r="BM40" s="6">
        <f t="shared" si="19"/>
        <v>5</v>
      </c>
      <c r="BN40" s="6">
        <f>+SUMIF('Inputs summary'!$B$1:$B$106,$BI40,'Inputs summary'!$C$1:$C$106)+SUMIF('Inputs summary'!$E$1:$E$106,$BI40,'Inputs summary'!$D$1:$D$106)</f>
        <v>7</v>
      </c>
      <c r="BO40" s="6">
        <f>+SUMIF('Inputs summary'!$B$1:$B$106,$BI40,'Inputs summary'!$D$1:$D$106)+SUMIF('Inputs summary'!$E$1:$E$106,$BI40,'Inputs summary'!$C$1:$C$106)</f>
        <v>2</v>
      </c>
      <c r="BP40" s="166">
        <f t="shared" si="12"/>
        <v>9.0570103</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1</v>
      </c>
      <c r="S41" s="6">
        <f>+COUNTIFS('Inputs summary'!L:L,$H41)</f>
        <v>2</v>
      </c>
      <c r="T41" s="6">
        <f t="shared" si="14"/>
        <v>-2</v>
      </c>
      <c r="U41" s="6">
        <f>+SUMIF('Inputs summary'!B:B,H41,'Inputs summary'!C:C)+SUMIF('Inputs summary'!E:E,H41,'Inputs summary'!D:D)</f>
        <v>5</v>
      </c>
      <c r="V41" s="6">
        <f>+SUMIF('Inputs summary'!B:B,H41,'Inputs summary'!D:D)+SUMIF('Inputs summary'!E:E,H41,'Inputs summary'!C:C)</f>
        <v>7</v>
      </c>
      <c r="W41" s="159">
        <f t="shared" si="15"/>
        <v>103.98050000035715</v>
      </c>
      <c r="X41" s="173">
        <f t="shared" si="16"/>
        <v>1</v>
      </c>
      <c r="Y41" s="167">
        <f t="shared" si="7"/>
        <v>3</v>
      </c>
      <c r="Z41" s="173">
        <f t="shared" si="17"/>
        <v>103.98050033369049</v>
      </c>
      <c r="AA41" s="173">
        <f>+_xlfn.XLOOKUP(H41,'Ranking FIFA'!B:B,'Ranking FIFA'!A:A,"--",0)</f>
        <v>28</v>
      </c>
      <c r="AP41" s="457">
        <f>+_xlfn.XLOOKUP(AQ41,'Ranking FIFA'!B:B,'Ranking FIFA'!A:A,"--",0)</f>
        <v>74</v>
      </c>
      <c r="AQ41" t="s">
        <v>85</v>
      </c>
      <c r="AR41" s="6">
        <v>3</v>
      </c>
      <c r="AT41" s="169">
        <f t="shared" si="8"/>
        <v>1</v>
      </c>
      <c r="AU41" s="166">
        <f t="shared" si="9"/>
        <v>106.00080000013513</v>
      </c>
      <c r="BH41">
        <v>38</v>
      </c>
      <c r="BI41" t="str">
        <f t="shared" si="11"/>
        <v>Argelia</v>
      </c>
      <c r="BJ41" s="6">
        <f>+COUNTIFS('Inputs summary'!I$2:I$106,BI41)</f>
        <v>1</v>
      </c>
      <c r="BK41" s="6">
        <f>+COUNTIFS('Inputs summary'!J$2:K$106,BI41)</f>
        <v>1</v>
      </c>
      <c r="BL41" s="6">
        <f>+COUNTIFS('Inputs summary'!L$2:L$106,BI41)</f>
        <v>1</v>
      </c>
      <c r="BM41" s="6">
        <f t="shared" si="19"/>
        <v>1</v>
      </c>
      <c r="BN41" s="6">
        <f>+SUMIF('Inputs summary'!$B$1:$B$106,$BI41,'Inputs summary'!$C$1:$C$106)+SUMIF('Inputs summary'!$E$1:$E$106,$BI41,'Inputs summary'!$D$1:$D$106)</f>
        <v>5</v>
      </c>
      <c r="BO41" s="6">
        <f>+SUMIF('Inputs summary'!$B$1:$B$106,$BI41,'Inputs summary'!$D$1:$D$106)+SUMIF('Inputs summary'!$E$1:$E$106,$BI41,'Inputs summary'!$C$1:$C$106)</f>
        <v>4</v>
      </c>
      <c r="BP41" s="166">
        <f t="shared" si="12"/>
        <v>5.0150327999999993</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-2</v>
      </c>
      <c r="U42" s="6">
        <f>+SUMIF('Inputs summary'!B:B,H42,'Inputs summary'!C:C)+SUMIF('Inputs summary'!E:E,H42,'Inputs summary'!D:D)</f>
        <v>4</v>
      </c>
      <c r="V42" s="6">
        <f>+SUMIF('Inputs summary'!B:B,H42,'Inputs summary'!D:D)+SUMIF('Inputs summary'!E:E,H42,'Inputs summary'!C:C)</f>
        <v>6</v>
      </c>
      <c r="W42" s="159">
        <f t="shared" si="15"/>
        <v>103.98040000041667</v>
      </c>
      <c r="X42" s="173">
        <f t="shared" si="16"/>
        <v>1</v>
      </c>
      <c r="Y42" s="167">
        <f t="shared" si="7"/>
        <v>3</v>
      </c>
      <c r="Z42" s="173">
        <f t="shared" si="17"/>
        <v>103.98040033375</v>
      </c>
      <c r="AA42" s="173">
        <f>+_xlfn.XLOOKUP(H42,'Ranking FIFA'!B:B,'Ranking FIFA'!A:A,"--",0)</f>
        <v>24</v>
      </c>
      <c r="AP42" s="457">
        <f>+_xlfn.XLOOKUP(AQ42,'Ranking FIFA'!B:B,'Ranking FIFA'!A:A,"--",0)</f>
        <v>21</v>
      </c>
      <c r="AQ42" t="s">
        <v>86</v>
      </c>
      <c r="AR42" s="6">
        <v>3</v>
      </c>
      <c r="AT42" s="169">
        <f t="shared" si="8"/>
        <v>1</v>
      </c>
      <c r="AU42" s="166">
        <f t="shared" si="9"/>
        <v>104.0106000004762</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4</v>
      </c>
      <c r="BO42" s="6">
        <f>+SUMIF('Inputs summary'!$B$1:$B$106,$BI42,'Inputs summary'!$D$1:$D$106)+SUMIF('Inputs summary'!$E$1:$E$106,$BI42,'Inputs summary'!$C$1:$C$106)</f>
        <v>5</v>
      </c>
      <c r="BP42" s="166">
        <f t="shared" si="12"/>
        <v>4.9940323999999991</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-5</v>
      </c>
      <c r="U43" s="6">
        <f>+SUMIF('Inputs summary'!B:B,H43,'Inputs summary'!C:C)+SUMIF('Inputs summary'!E:E,H43,'Inputs summary'!D:D)</f>
        <v>0</v>
      </c>
      <c r="V43" s="6">
        <f>+SUMIF('Inputs summary'!B:B,H43,'Inputs summary'!D:D)+SUMIF('Inputs summary'!E:E,H43,'Inputs summary'!C:C)</f>
        <v>5</v>
      </c>
      <c r="W43" s="159">
        <f t="shared" si="15"/>
        <v>-4.9999999841269842E-2</v>
      </c>
      <c r="X43" s="173">
        <f t="shared" si="16"/>
        <v>0</v>
      </c>
      <c r="Y43" s="167">
        <f t="shared" si="7"/>
        <v>4</v>
      </c>
      <c r="Z43" s="173">
        <f t="shared" si="17"/>
        <v>-4.9999749841269842E-2</v>
      </c>
      <c r="AA43" s="173">
        <f>+_xlfn.XLOOKUP(H43,'Ranking FIFA'!B:B,'Ranking FIFA'!A:A,"--",0)</f>
        <v>63</v>
      </c>
      <c r="AP43" s="457">
        <f>+_xlfn.XLOOKUP(AQ43,'Ranking FIFA'!B:B,'Ranking FIFA'!A:A,"--",0)</f>
        <v>46</v>
      </c>
      <c r="AQ43" s="456" t="s">
        <v>87</v>
      </c>
      <c r="AR43" s="6">
        <v>4</v>
      </c>
      <c r="AT43" s="169">
        <f t="shared" si="8"/>
        <v>0</v>
      </c>
      <c r="AU43" s="166">
        <f t="shared" si="9"/>
        <v>0.93010000021739125</v>
      </c>
      <c r="BH43">
        <v>40</v>
      </c>
      <c r="BI43" t="str">
        <f t="shared" si="11"/>
        <v>Jordania</v>
      </c>
      <c r="BJ43" s="6">
        <f>+COUNTIFS('Inputs summary'!I$2:I$106,BI43)</f>
        <v>0</v>
      </c>
      <c r="BK43" s="6">
        <f>+COUNTIFS('Inputs summary'!J$2:K$106,BI43)</f>
        <v>0</v>
      </c>
      <c r="BL43" s="6">
        <f>+COUNTIFS('Inputs summary'!L$2:L$106,BI43)</f>
        <v>3</v>
      </c>
      <c r="BM43" s="6">
        <f t="shared" si="19"/>
        <v>-5</v>
      </c>
      <c r="BN43" s="6">
        <f>+SUMIF('Inputs summary'!$B$1:$B$106,$BI43,'Inputs summary'!$C$1:$C$106)+SUMIF('Inputs summary'!$E$1:$E$106,$BI43,'Inputs summary'!$D$1:$D$106)</f>
        <v>0</v>
      </c>
      <c r="BO43" s="6">
        <f>+SUMIF('Inputs summary'!$B$1:$B$106,$BI43,'Inputs summary'!$D$1:$D$106)+SUMIF('Inputs summary'!$E$1:$E$106,$BI43,'Inputs summary'!$C$1:$C$106)</f>
        <v>5</v>
      </c>
      <c r="BP43" s="166">
        <f t="shared" si="12"/>
        <v>-4.9953700000000004E-2</v>
      </c>
    </row>
    <row r="44" spans="7:68" x14ac:dyDescent="0.25">
      <c r="G44">
        <v>41</v>
      </c>
      <c r="H44" t="str">
        <f>+'Groups Stage'!O93</f>
        <v>Portugal</v>
      </c>
      <c r="I44" s="6">
        <f t="shared" si="0"/>
        <v>0</v>
      </c>
      <c r="J44" s="6">
        <f t="shared" si="1"/>
        <v>0</v>
      </c>
      <c r="K44" s="6">
        <f t="shared" si="2"/>
        <v>0</v>
      </c>
      <c r="L44" s="6">
        <f t="shared" si="3"/>
        <v>0</v>
      </c>
      <c r="M44" s="6">
        <f t="shared" si="4"/>
        <v>0</v>
      </c>
      <c r="N44" s="6">
        <f t="shared" si="5"/>
        <v>0</v>
      </c>
      <c r="O44" s="6">
        <f t="shared" si="6"/>
        <v>1</v>
      </c>
      <c r="P44" s="6">
        <f t="shared" si="13"/>
        <v>1</v>
      </c>
      <c r="Q44" s="6">
        <f>+COUNTIFS('Inputs summary'!I:I,$H44)</f>
        <v>2</v>
      </c>
      <c r="R44" s="6">
        <f>+COUNTIFS('Inputs summary'!J:K,$H44)</f>
        <v>1</v>
      </c>
      <c r="S44" s="6">
        <f>+COUNTIFS('Inputs summary'!L:L,$H44)</f>
        <v>1</v>
      </c>
      <c r="T44" s="6">
        <f t="shared" si="14"/>
        <v>4</v>
      </c>
      <c r="U44" s="6">
        <f>+SUMIF('Inputs summary'!B:B,H44,'Inputs summary'!C:C)+SUMIF('Inputs summary'!E:E,H44,'Inputs summary'!D:D)</f>
        <v>8</v>
      </c>
      <c r="V44" s="6">
        <f>+SUMIF('Inputs summary'!B:B,H44,'Inputs summary'!D:D)+SUMIF('Inputs summary'!E:E,H44,'Inputs summary'!C:C)</f>
        <v>4</v>
      </c>
      <c r="W44" s="159">
        <f t="shared" si="15"/>
        <v>107.040800002</v>
      </c>
      <c r="X44" s="173">
        <f t="shared" si="16"/>
        <v>1</v>
      </c>
      <c r="Y44" s="167">
        <f t="shared" si="7"/>
        <v>1</v>
      </c>
      <c r="Z44" s="173">
        <f t="shared" si="17"/>
        <v>107.04080100199999</v>
      </c>
      <c r="AA44" s="173">
        <f>+_xlfn.XLOOKUP(H44,'Ranking FIFA'!B:B,'Ranking FIFA'!A:A,"--",0)</f>
        <v>5</v>
      </c>
      <c r="AP44" s="457">
        <f>+_xlfn.XLOOKUP(AQ44,'Ranking FIFA'!B:B,'Ranking FIFA'!A:A,"--",0)</f>
        <v>50</v>
      </c>
      <c r="AQ44" t="s">
        <v>88</v>
      </c>
      <c r="AR44" s="6">
        <v>4</v>
      </c>
      <c r="AT44" s="169">
        <f t="shared" si="8"/>
        <v>0</v>
      </c>
      <c r="AU44" s="166">
        <f t="shared" si="9"/>
        <v>0.97020000019999997</v>
      </c>
      <c r="BH44">
        <v>41</v>
      </c>
      <c r="BI44" t="str">
        <f t="shared" si="11"/>
        <v>Portugal</v>
      </c>
      <c r="BJ44" s="6">
        <f>+COUNTIFS('Inputs summary'!I$2:I$106,BI44)</f>
        <v>2</v>
      </c>
      <c r="BK44" s="6">
        <f>+COUNTIFS('Inputs summary'!J$2:K$106,BI44)</f>
        <v>1</v>
      </c>
      <c r="BL44" s="6">
        <f>+COUNTIFS('Inputs summary'!L$2:L$106,BI44)</f>
        <v>0</v>
      </c>
      <c r="BM44" s="6">
        <f t="shared" si="19"/>
        <v>5</v>
      </c>
      <c r="BN44" s="6">
        <f>+SUMIF('Inputs summary'!$B$1:$B$106,$BI44,'Inputs summary'!$C$1:$C$106)+SUMIF('Inputs summary'!$E$1:$E$106,$BI44,'Inputs summary'!$D$1:$D$106)</f>
        <v>7</v>
      </c>
      <c r="BO44" s="6">
        <f>+SUMIF('Inputs summary'!$B$1:$B$106,$BI44,'Inputs summary'!$D$1:$D$106)+SUMIF('Inputs summary'!$E$1:$E$106,$BI44,'Inputs summary'!$C$1:$C$106)</f>
        <v>2</v>
      </c>
      <c r="BP44" s="166">
        <f t="shared" si="12"/>
        <v>8.0570105000000005</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-7</v>
      </c>
      <c r="U45" s="6">
        <f>+SUMIF('Inputs summary'!B:B,H45,'Inputs summary'!C:C)+SUMIF('Inputs summary'!E:E,H45,'Inputs summary'!D:D)</f>
        <v>1</v>
      </c>
      <c r="V45" s="6">
        <f>+SUMIF('Inputs summary'!B:B,H45,'Inputs summary'!D:D)+SUMIF('Inputs summary'!E:E,H45,'Inputs summary'!C:C)</f>
        <v>8</v>
      </c>
      <c r="W45" s="159">
        <f t="shared" si="15"/>
        <v>0.93010000021739125</v>
      </c>
      <c r="X45" s="173">
        <f t="shared" si="16"/>
        <v>0</v>
      </c>
      <c r="Y45" s="167">
        <f t="shared" si="7"/>
        <v>4</v>
      </c>
      <c r="Z45" s="173">
        <f t="shared" si="17"/>
        <v>0.93010025021739129</v>
      </c>
      <c r="AA45" s="173">
        <f>+_xlfn.XLOOKUP(H45,'Ranking FIFA'!B:B,'Ranking FIFA'!A:A,"--",0)</f>
        <v>46</v>
      </c>
      <c r="AP45" s="457">
        <f>+_xlfn.XLOOKUP(AQ45,'Ranking FIFA'!B:B,'Ranking FIFA'!A:A,"--",0)</f>
        <v>55</v>
      </c>
      <c r="AQ45" t="s">
        <v>89</v>
      </c>
      <c r="AR45" s="6">
        <v>4</v>
      </c>
      <c r="AT45" s="169">
        <f t="shared" si="8"/>
        <v>0</v>
      </c>
      <c r="AU45" s="166">
        <f t="shared" si="9"/>
        <v>-6.9999999818181821E-2</v>
      </c>
      <c r="BH45">
        <v>42</v>
      </c>
      <c r="BI45" t="str">
        <f t="shared" si="11"/>
        <v>Congo</v>
      </c>
      <c r="BJ45" s="6">
        <f>+COUNTIFS('Inputs summary'!I$2:I$106,BI45)</f>
        <v>0</v>
      </c>
      <c r="BK45" s="6">
        <f>+COUNTIFS('Inputs summary'!J$2:K$106,BI45)</f>
        <v>1</v>
      </c>
      <c r="BL45" s="6">
        <f>+COUNTIFS('Inputs summary'!L$2:L$106,BI45)</f>
        <v>2</v>
      </c>
      <c r="BM45" s="6">
        <f t="shared" si="19"/>
        <v>-7</v>
      </c>
      <c r="BN45" s="6">
        <f>+SUMIF('Inputs summary'!$B$1:$B$106,$BI45,'Inputs summary'!$C$1:$C$106)+SUMIF('Inputs summary'!$E$1:$E$106,$BI45,'Inputs summary'!$D$1:$D$106)</f>
        <v>1</v>
      </c>
      <c r="BO45" s="6">
        <f>+SUMIF('Inputs summary'!$B$1:$B$106,$BI45,'Inputs summary'!$D$1:$D$106)+SUMIF('Inputs summary'!$E$1:$E$106,$BI45,'Inputs summary'!$C$1:$C$106)</f>
        <v>8</v>
      </c>
      <c r="BP45" s="166">
        <f t="shared" si="12"/>
        <v>1.9310445999999999</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-3</v>
      </c>
      <c r="U46" s="6">
        <f>+SUMIF('Inputs summary'!B:B,H46,'Inputs summary'!C:C)+SUMIF('Inputs summary'!E:E,H46,'Inputs summary'!D:D)</f>
        <v>2</v>
      </c>
      <c r="V46" s="6">
        <f>+SUMIF('Inputs summary'!B:B,H46,'Inputs summary'!D:D)+SUMIF('Inputs summary'!E:E,H46,'Inputs summary'!C:C)</f>
        <v>5</v>
      </c>
      <c r="W46" s="159">
        <f t="shared" si="15"/>
        <v>0.97020000019999997</v>
      </c>
      <c r="X46" s="173">
        <f t="shared" si="16"/>
        <v>0</v>
      </c>
      <c r="Y46" s="167">
        <f t="shared" si="7"/>
        <v>4</v>
      </c>
      <c r="Z46" s="173">
        <f t="shared" si="17"/>
        <v>0.9702002502</v>
      </c>
      <c r="AA46" s="173">
        <f>+_xlfn.XLOOKUP(H46,'Ranking FIFA'!B:B,'Ranking FIFA'!A:A,"--",0)</f>
        <v>50</v>
      </c>
      <c r="AP46" s="457">
        <f>+_xlfn.XLOOKUP(AQ46,'Ranking FIFA'!B:B,'Ranking FIFA'!A:A,"--",0)</f>
        <v>57</v>
      </c>
      <c r="AQ46" s="456" t="s">
        <v>90</v>
      </c>
      <c r="AR46" s="6">
        <v>4</v>
      </c>
      <c r="AT46" s="169">
        <f t="shared" si="8"/>
        <v>0</v>
      </c>
      <c r="AU46" s="166">
        <f t="shared" si="9"/>
        <v>-6.989999982456141E-2</v>
      </c>
      <c r="BH46">
        <v>43</v>
      </c>
      <c r="BI46" t="str">
        <f t="shared" si="11"/>
        <v>Uzbekistan</v>
      </c>
      <c r="BJ46" s="6">
        <f>+COUNTIFS('Inputs summary'!I$2:I$106,BI46)</f>
        <v>0</v>
      </c>
      <c r="BK46" s="6">
        <f>+COUNTIFS('Inputs summary'!J$2:K$106,BI46)</f>
        <v>1</v>
      </c>
      <c r="BL46" s="6">
        <f>+COUNTIFS('Inputs summary'!L$2:L$106,BI46)</f>
        <v>2</v>
      </c>
      <c r="BM46" s="6">
        <f t="shared" si="19"/>
        <v>-3</v>
      </c>
      <c r="BN46" s="6">
        <f>+SUMIF('Inputs summary'!$B$1:$B$106,$BI46,'Inputs summary'!$C$1:$C$106)+SUMIF('Inputs summary'!$E$1:$E$106,$BI46,'Inputs summary'!$D$1:$D$106)</f>
        <v>2</v>
      </c>
      <c r="BO46" s="6">
        <f>+SUMIF('Inputs summary'!$B$1:$B$106,$BI46,'Inputs summary'!$D$1:$D$106)+SUMIF('Inputs summary'!$E$1:$E$106,$BI46,'Inputs summary'!$C$1:$C$106)</f>
        <v>5</v>
      </c>
      <c r="BP46" s="166">
        <f t="shared" si="12"/>
        <v>1.972045</v>
      </c>
    </row>
    <row r="47" spans="7:68" x14ac:dyDescent="0.25">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1</v>
      </c>
      <c r="S47" s="6">
        <f>+COUNTIFS('Inputs summary'!L:L,$H47)</f>
        <v>1</v>
      </c>
      <c r="T47" s="6">
        <f t="shared" si="14"/>
        <v>5</v>
      </c>
      <c r="U47" s="6">
        <f>+SUMIF('Inputs summary'!B:B,H47,'Inputs summary'!C:C)+SUMIF('Inputs summary'!E:E,H47,'Inputs summary'!D:D)</f>
        <v>10</v>
      </c>
      <c r="V47" s="6">
        <f>+SUMIF('Inputs summary'!B:B,H47,'Inputs summary'!D:D)+SUMIF('Inputs summary'!E:E,H47,'Inputs summary'!C:C)</f>
        <v>5</v>
      </c>
      <c r="W47" s="159">
        <f t="shared" si="15"/>
        <v>210.05100000076925</v>
      </c>
      <c r="X47" s="173">
        <f t="shared" si="16"/>
        <v>11</v>
      </c>
      <c r="Y47" s="167">
        <f t="shared" si="7"/>
        <v>2</v>
      </c>
      <c r="Z47" s="173">
        <f t="shared" si="17"/>
        <v>210.05100050076925</v>
      </c>
      <c r="AA47" s="173">
        <f>+_xlfn.XLOOKUP(H47,'Ranking FIFA'!B:B,'Ranking FIFA'!A:A,"--",0)</f>
        <v>13</v>
      </c>
      <c r="AP47" s="457">
        <f>+_xlfn.XLOOKUP(AQ47,'Ranking FIFA'!B:B,'Ranking FIFA'!A:A,"--",0)</f>
        <v>63</v>
      </c>
      <c r="AQ47" t="s">
        <v>91</v>
      </c>
      <c r="AR47" s="6">
        <v>4</v>
      </c>
      <c r="AT47" s="169">
        <f t="shared" si="8"/>
        <v>0</v>
      </c>
      <c r="AU47" s="166">
        <f t="shared" si="9"/>
        <v>-4.9999999841269842E-2</v>
      </c>
      <c r="BH47">
        <v>44</v>
      </c>
      <c r="BI47" t="str">
        <f t="shared" si="11"/>
        <v>Colombia</v>
      </c>
      <c r="BJ47" s="6">
        <f>+COUNTIFS('Inputs summary'!I$2:I$106,BI47)</f>
        <v>2</v>
      </c>
      <c r="BK47" s="6">
        <f>+COUNTIFS('Inputs summary'!J$2:K$106,BI47)</f>
        <v>1</v>
      </c>
      <c r="BL47" s="6">
        <f>+COUNTIFS('Inputs summary'!L$2:L$106,BI47)</f>
        <v>0</v>
      </c>
      <c r="BM47" s="6">
        <f t="shared" si="19"/>
        <v>5</v>
      </c>
      <c r="BN47" s="6">
        <f>+SUMIF('Inputs summary'!$B$1:$B$106,$BI47,'Inputs summary'!$C$1:$C$106)+SUMIF('Inputs summary'!$E$1:$E$106,$BI47,'Inputs summary'!$D$1:$D$106)</f>
        <v>6</v>
      </c>
      <c r="BO47" s="6">
        <f>+SUMIF('Inputs summary'!$B$1:$B$106,$BI47,'Inputs summary'!$D$1:$D$106)+SUMIF('Inputs summary'!$E$1:$E$106,$BI47,'Inputs summary'!$C$1:$C$106)</f>
        <v>1</v>
      </c>
      <c r="BP47" s="166">
        <f t="shared" si="12"/>
        <v>8.0560212999999994</v>
      </c>
    </row>
    <row r="48" spans="7:68" x14ac:dyDescent="0.25">
      <c r="G48">
        <v>45</v>
      </c>
      <c r="H48" t="str">
        <f>+'Groups Stage'!O102</f>
        <v>Inglaterra</v>
      </c>
      <c r="I48" s="6">
        <f t="shared" si="0"/>
        <v>0</v>
      </c>
      <c r="J48" s="6">
        <f t="shared" si="1"/>
        <v>0</v>
      </c>
      <c r="K48" s="6">
        <f t="shared" si="2"/>
        <v>0</v>
      </c>
      <c r="L48" s="6">
        <f t="shared" si="3"/>
        <v>0</v>
      </c>
      <c r="M48" s="6">
        <f t="shared" si="4"/>
        <v>0</v>
      </c>
      <c r="N48" s="6">
        <f t="shared" si="5"/>
        <v>0</v>
      </c>
      <c r="O48" s="6">
        <f t="shared" si="6"/>
        <v>1</v>
      </c>
      <c r="P48" s="6">
        <f t="shared" si="13"/>
        <v>1</v>
      </c>
      <c r="Q48" s="6">
        <f>+COUNTIFS('Inputs summary'!I:I,$H48)</f>
        <v>2</v>
      </c>
      <c r="R48" s="6">
        <f>+COUNTIFS('Inputs summary'!J:K,$H48)</f>
        <v>2</v>
      </c>
      <c r="S48" s="6">
        <f>+COUNTIFS('Inputs summary'!L:L,$H48)</f>
        <v>0</v>
      </c>
      <c r="T48" s="6">
        <f t="shared" si="14"/>
        <v>3</v>
      </c>
      <c r="U48" s="6">
        <f>+SUMIF('Inputs summary'!B:B,H48,'Inputs summary'!C:C)+SUMIF('Inputs summary'!E:E,H48,'Inputs summary'!D:D)</f>
        <v>9</v>
      </c>
      <c r="V48" s="6">
        <f>+SUMIF('Inputs summary'!B:B,H48,'Inputs summary'!D:D)+SUMIF('Inputs summary'!E:E,H48,'Inputs summary'!C:C)</f>
        <v>6</v>
      </c>
      <c r="W48" s="159">
        <f t="shared" si="15"/>
        <v>108.0309000025</v>
      </c>
      <c r="X48" s="173">
        <f t="shared" si="16"/>
        <v>1</v>
      </c>
      <c r="Y48" s="167">
        <f t="shared" si="7"/>
        <v>1</v>
      </c>
      <c r="Z48" s="173">
        <f t="shared" si="17"/>
        <v>108.0309010025</v>
      </c>
      <c r="AA48" s="173">
        <f>+_xlfn.XLOOKUP(H48,'Ranking FIFA'!B:B,'Ranking FIFA'!A:A,"--",0)</f>
        <v>4</v>
      </c>
      <c r="AP48" s="457">
        <f>+_xlfn.XLOOKUP(AQ48,'Ranking FIFA'!B:B,'Ranking FIFA'!A:A,"--",0)</f>
        <v>69</v>
      </c>
      <c r="AQ48" t="s">
        <v>92</v>
      </c>
      <c r="AR48" s="6">
        <v>4</v>
      </c>
      <c r="AT48" s="169">
        <f t="shared" si="8"/>
        <v>0</v>
      </c>
      <c r="AU48" s="166">
        <f t="shared" si="9"/>
        <v>-0.12999999985507246</v>
      </c>
      <c r="BH48">
        <v>45</v>
      </c>
      <c r="BI48" t="str">
        <f t="shared" si="11"/>
        <v>Inglaterra</v>
      </c>
      <c r="BJ48" s="6">
        <f>+COUNTIFS('Inputs summary'!I$2:I$106,BI48)</f>
        <v>2</v>
      </c>
      <c r="BK48" s="6">
        <f>+COUNTIFS('Inputs summary'!J$2:K$106,BI48)</f>
        <v>1</v>
      </c>
      <c r="BL48" s="6">
        <f>+COUNTIFS('Inputs summary'!L$2:L$106,BI48)</f>
        <v>0</v>
      </c>
      <c r="BM48" s="6">
        <f t="shared" si="19"/>
        <v>3</v>
      </c>
      <c r="BN48" s="6">
        <f>+SUMIF('Inputs summary'!$B$1:$B$106,$BI48,'Inputs summary'!$C$1:$C$106)+SUMIF('Inputs summary'!$E$1:$E$106,$BI48,'Inputs summary'!$D$1:$D$106)</f>
        <v>7</v>
      </c>
      <c r="BO48" s="6">
        <f>+SUMIF('Inputs summary'!$B$1:$B$106,$BI48,'Inputs summary'!$D$1:$D$106)+SUMIF('Inputs summary'!$E$1:$E$106,$BI48,'Inputs summary'!$C$1:$C$106)</f>
        <v>4</v>
      </c>
      <c r="BP48" s="166">
        <f t="shared" si="12"/>
        <v>8.037010399999998</v>
      </c>
    </row>
    <row r="49" spans="7:68" x14ac:dyDescent="0.25">
      <c r="G49">
        <v>46</v>
      </c>
      <c r="H49" t="str">
        <f>+'Groups Stage'!O103</f>
        <v>Croacia</v>
      </c>
      <c r="I49" s="6">
        <f t="shared" si="0"/>
        <v>0</v>
      </c>
      <c r="J49" s="6">
        <f t="shared" si="1"/>
        <v>0</v>
      </c>
      <c r="K49" s="6">
        <f t="shared" si="2"/>
        <v>0</v>
      </c>
      <c r="L49" s="6">
        <f t="shared" si="3"/>
        <v>0</v>
      </c>
      <c r="M49" s="6">
        <f t="shared" si="4"/>
        <v>1</v>
      </c>
      <c r="N49" s="6">
        <f t="shared" si="5"/>
        <v>1</v>
      </c>
      <c r="O49" s="6">
        <f t="shared" si="6"/>
        <v>1</v>
      </c>
      <c r="P49" s="6">
        <f t="shared" si="13"/>
        <v>3</v>
      </c>
      <c r="Q49" s="6">
        <f>+COUNTIFS('Inputs summary'!I:I,$H49)</f>
        <v>2</v>
      </c>
      <c r="R49" s="6">
        <f>+COUNTIFS('Inputs summary'!J:K,$H49)</f>
        <v>2</v>
      </c>
      <c r="S49" s="6">
        <f>+COUNTIFS('Inputs summary'!L:L,$H49)</f>
        <v>2</v>
      </c>
      <c r="T49" s="6">
        <f t="shared" si="14"/>
        <v>1</v>
      </c>
      <c r="U49" s="6">
        <f>+SUMIF('Inputs summary'!B:B,H49,'Inputs summary'!C:C)+SUMIF('Inputs summary'!E:E,H49,'Inputs summary'!D:D)</f>
        <v>11</v>
      </c>
      <c r="V49" s="6">
        <f>+SUMIF('Inputs summary'!B:B,H49,'Inputs summary'!D:D)+SUMIF('Inputs summary'!E:E,H49,'Inputs summary'!C:C)</f>
        <v>10</v>
      </c>
      <c r="W49" s="159">
        <f t="shared" si="15"/>
        <v>308.0111000009091</v>
      </c>
      <c r="X49" s="173">
        <f t="shared" si="16"/>
        <v>111</v>
      </c>
      <c r="Y49" s="167">
        <f t="shared" si="7"/>
        <v>1</v>
      </c>
      <c r="Z49" s="173">
        <f t="shared" si="17"/>
        <v>308.01110100090909</v>
      </c>
      <c r="AA49" s="173">
        <f>+_xlfn.XLOOKUP(H49,'Ranking FIFA'!B:B,'Ranking FIFA'!A:A,"--",0)</f>
        <v>11</v>
      </c>
      <c r="AP49" s="457">
        <f>+_xlfn.XLOOKUP(AQ49,'Ranking FIFA'!B:B,'Ranking FIFA'!A:A,"--",0)</f>
        <v>82</v>
      </c>
      <c r="AQ49" t="s">
        <v>93</v>
      </c>
      <c r="AR49" s="6">
        <v>4</v>
      </c>
      <c r="AT49" s="169">
        <f t="shared" si="8"/>
        <v>0</v>
      </c>
      <c r="AU49" s="166">
        <f t="shared" si="9"/>
        <v>-0.11989999987804878</v>
      </c>
      <c r="BH49">
        <v>46</v>
      </c>
      <c r="BI49" t="str">
        <f t="shared" si="11"/>
        <v>Croacia</v>
      </c>
      <c r="BJ49" s="6">
        <f>+COUNTIFS('Inputs summary'!I$2:I$106,BI49)</f>
        <v>1</v>
      </c>
      <c r="BK49" s="6">
        <f>+COUNTIFS('Inputs summary'!J$2:K$106,BI49)</f>
        <v>1</v>
      </c>
      <c r="BL49" s="6">
        <f>+COUNTIFS('Inputs summary'!L$2:L$106,BI49)</f>
        <v>1</v>
      </c>
      <c r="BM49" s="6">
        <f t="shared" si="19"/>
        <v>1</v>
      </c>
      <c r="BN49" s="6">
        <f>+SUMIF('Inputs summary'!$B$1:$B$106,$BI49,'Inputs summary'!$C$1:$C$106)+SUMIF('Inputs summary'!$E$1:$E$106,$BI49,'Inputs summary'!$D$1:$D$106)</f>
        <v>6</v>
      </c>
      <c r="BO49" s="6">
        <f>+SUMIF('Inputs summary'!$B$1:$B$106,$BI49,'Inputs summary'!$D$1:$D$106)+SUMIF('Inputs summary'!$E$1:$E$106,$BI49,'Inputs summary'!$C$1:$C$106)</f>
        <v>5</v>
      </c>
      <c r="BP49" s="166">
        <f t="shared" si="12"/>
        <v>5.0160111000000001</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2</v>
      </c>
      <c r="R50" s="6">
        <f>+COUNTIFS('Inputs summary'!J:K,$H50)</f>
        <v>0</v>
      </c>
      <c r="S50" s="6">
        <f>+COUNTIFS('Inputs summary'!L:L,$H50)</f>
        <v>2</v>
      </c>
      <c r="T50" s="6">
        <f t="shared" si="14"/>
        <v>0</v>
      </c>
      <c r="U50" s="6">
        <f>+SUMIF('Inputs summary'!B:B,H50,'Inputs summary'!C:C)+SUMIF('Inputs summary'!E:E,H50,'Inputs summary'!D:D)</f>
        <v>8</v>
      </c>
      <c r="V50" s="6">
        <f>+SUMIF('Inputs summary'!B:B,H50,'Inputs summary'!D:D)+SUMIF('Inputs summary'!E:E,H50,'Inputs summary'!C:C)</f>
        <v>8</v>
      </c>
      <c r="W50" s="159">
        <f t="shared" si="15"/>
        <v>106.00080000013513</v>
      </c>
      <c r="X50" s="173">
        <f t="shared" si="16"/>
        <v>1</v>
      </c>
      <c r="Y50" s="167">
        <f t="shared" si="7"/>
        <v>3</v>
      </c>
      <c r="Z50" s="173">
        <f t="shared" si="17"/>
        <v>106.00080033346846</v>
      </c>
      <c r="AA50" s="173">
        <f>+_xlfn.XLOOKUP(H50,'Ranking FIFA'!B:B,'Ranking FIFA'!A:A,"--",0)</f>
        <v>74</v>
      </c>
      <c r="AP50" s="457">
        <f>+_xlfn.XLOOKUP(AQ50,'Ranking FIFA'!B:B,'Ranking FIFA'!A:A,"--",0)</f>
        <v>83</v>
      </c>
      <c r="AQ50" t="s">
        <v>94</v>
      </c>
      <c r="AR50" s="6">
        <v>4</v>
      </c>
      <c r="AT50" s="169">
        <f t="shared" si="8"/>
        <v>0</v>
      </c>
      <c r="AU50" s="166">
        <f t="shared" si="9"/>
        <v>-0.12999999987951807</v>
      </c>
      <c r="BH50">
        <v>47</v>
      </c>
      <c r="BI50" t="str">
        <f t="shared" si="11"/>
        <v>Ghana</v>
      </c>
      <c r="BJ50" s="6">
        <f>+COUNTIFS('Inputs summary'!I$2:I$106,BI50)</f>
        <v>2</v>
      </c>
      <c r="BK50" s="6">
        <f>+COUNTIFS('Inputs summary'!J$2:K$106,BI50)</f>
        <v>0</v>
      </c>
      <c r="BL50" s="6">
        <f>+COUNTIFS('Inputs summary'!L$2:L$106,BI50)</f>
        <v>1</v>
      </c>
      <c r="BM50" s="6">
        <f t="shared" si="19"/>
        <v>1</v>
      </c>
      <c r="BN50" s="6">
        <f>+SUMIF('Inputs summary'!$B$1:$B$106,$BI50,'Inputs summary'!$C$1:$C$106)+SUMIF('Inputs summary'!$E$1:$E$106,$BI50,'Inputs summary'!$D$1:$D$106)</f>
        <v>6</v>
      </c>
      <c r="BO50" s="6">
        <f>+SUMIF('Inputs summary'!$B$1:$B$106,$BI50,'Inputs summary'!$D$1:$D$106)+SUMIF('Inputs summary'!$E$1:$E$106,$BI50,'Inputs summary'!$C$1:$C$106)</f>
        <v>5</v>
      </c>
      <c r="BP50" s="166">
        <f t="shared" si="12"/>
        <v>6.0160374000000001</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-5</v>
      </c>
      <c r="U51" s="6">
        <f>+SUMIF('Inputs summary'!B:B,H51,'Inputs summary'!C:C)+SUMIF('Inputs summary'!E:E,H51,'Inputs summary'!D:D)</f>
        <v>2</v>
      </c>
      <c r="V51" s="6">
        <f>+SUMIF('Inputs summary'!B:B,H51,'Inputs summary'!D:D)+SUMIF('Inputs summary'!E:E,H51,'Inputs summary'!C:C)</f>
        <v>7</v>
      </c>
      <c r="W51" s="159">
        <f t="shared" si="15"/>
        <v>-4.9799999696969702E-2</v>
      </c>
      <c r="X51" s="173">
        <f t="shared" si="16"/>
        <v>0</v>
      </c>
      <c r="Y51" s="167">
        <f t="shared" si="7"/>
        <v>3</v>
      </c>
      <c r="Z51" s="173">
        <f t="shared" si="17"/>
        <v>-4.979966636363637E-2</v>
      </c>
      <c r="AA51" s="173">
        <f>+_xlfn.XLOOKUP(H51,'Ranking FIFA'!B:B,'Ranking FIFA'!A:A,"--",0)</f>
        <v>33</v>
      </c>
      <c r="AP51" s="457">
        <f>+_xlfn.XLOOKUP(AQ51,'Ranking FIFA'!B:B,'Ranking FIFA'!A:A,"--",0)</f>
        <v>85</v>
      </c>
      <c r="AQ51" t="s">
        <v>95</v>
      </c>
      <c r="AR51" s="6">
        <v>4</v>
      </c>
      <c r="AT51" s="169">
        <f t="shared" si="8"/>
        <v>0</v>
      </c>
      <c r="AU51" s="166">
        <f t="shared" si="9"/>
        <v>-7.989999988235294E-2</v>
      </c>
      <c r="BH51">
        <v>48</v>
      </c>
      <c r="BI51" t="str">
        <f t="shared" si="11"/>
        <v>Panama</v>
      </c>
      <c r="BJ51" s="6">
        <f>+COUNTIFS('Inputs summary'!I$2:I$106,BI51)</f>
        <v>0</v>
      </c>
      <c r="BK51" s="6">
        <f>+COUNTIFS('Inputs summary'!J$2:K$106,BI51)</f>
        <v>0</v>
      </c>
      <c r="BL51" s="6">
        <f>+COUNTIFS('Inputs summary'!L$2:L$106,BI51)</f>
        <v>3</v>
      </c>
      <c r="BM51" s="6">
        <f t="shared" si="19"/>
        <v>-5</v>
      </c>
      <c r="BN51" s="6">
        <f>+SUMIF('Inputs summary'!$B$1:$B$106,$BI51,'Inputs summary'!$C$1:$C$106)+SUMIF('Inputs summary'!$E$1:$E$106,$BI51,'Inputs summary'!$D$1:$D$106)</f>
        <v>2</v>
      </c>
      <c r="BO51" s="6">
        <f>+SUMIF('Inputs summary'!$B$1:$B$106,$BI51,'Inputs summary'!$D$1:$D$106)+SUMIF('Inputs summary'!$E$1:$E$106,$BI51,'Inputs summary'!$C$1:$C$106)</f>
        <v>7</v>
      </c>
      <c r="BP51" s="166">
        <f t="shared" si="12"/>
        <v>-4.7966700000000001E-2</v>
      </c>
    </row>
  </sheetData>
  <autoFilter ref="V3:Y51" xr:uid="{00000000-0009-0000-0000-00000800000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21"/>
  <sheetViews>
    <sheetView workbookViewId="0">
      <selection activeCell="B12" sqref="B12"/>
    </sheetView>
  </sheetViews>
  <sheetFormatPr defaultColWidth="8.796875" defaultRowHeight="13.8" x14ac:dyDescent="0.25"/>
  <cols>
    <col min="1" max="1" width="13.59765625" style="453" bestFit="1" customWidth="1"/>
    <col min="2" max="2" width="88.5976562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España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02"/>
  <sheetViews>
    <sheetView zoomScale="80" zoomScaleNormal="80" workbookViewId="0">
      <selection activeCell="E1" sqref="E1:F1048576"/>
    </sheetView>
  </sheetViews>
  <sheetFormatPr defaultColWidth="8.796875" defaultRowHeight="13.8" x14ac:dyDescent="0.25"/>
  <cols>
    <col min="1" max="1" width="8.09765625" bestFit="1" customWidth="1"/>
    <col min="2" max="2" width="20.5" bestFit="1" customWidth="1"/>
    <col min="3" max="3" width="15.39843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2026-06-09T11:16:50Z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