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filterPrivacy="1" codeName="ThisWorkbook" hidePivotFieldList="1"/>
  <xr:revisionPtr revIDLastSave="368" documentId="8_{AA9194DA-4D18-477A-8579-1F48AFB10D9E}" xr6:coauthVersionLast="47" xr6:coauthVersionMax="47" xr10:uidLastSave="{9CF91141-9010-4D14-85F1-FB8C59CD52A9}"/>
  <bookViews>
    <workbookView xWindow="28680" yWindow="-3090" windowWidth="29040" windowHeight="15720" tabRatio="808" activeTab="3" xr2:uid="{00000000-000D-0000-FFFF-FFFF00000000}"/>
  </bookViews>
  <sheets>
    <sheet name="REGLAS - PUNTOS" sheetId="12" r:id="rId1"/>
    <sheet name="Groups Stage" sheetId="4" r:id="rId2"/>
    <sheet name="Round of 32 &amp; Round of 16" sheetId="6" r:id="rId3"/>
    <sheet name="Quarter, Semis &amp; Final" sheetId="7" r:id="rId4"/>
    <sheet name="Total Results" sheetId="8" r:id="rId5"/>
    <sheet name="Inputs summary" sheetId="9" state="hidden" r:id="rId6"/>
    <sheet name="Playoffs" sheetId="1" state="hidden" r:id="rId7"/>
    <sheet name="Mejores 3eros" sheetId="2" state="hidden" r:id="rId8"/>
    <sheet name="Aux" sheetId="5" state="hidden" r:id="rId9"/>
    <sheet name="Comentarios" sheetId="11" state="hidden" r:id="rId10"/>
    <sheet name="Ranking FIFA" sheetId="10" state="hidden" r:id="rId11"/>
  </sheets>
  <externalReferences>
    <externalReference r:id="rId12"/>
  </externalReferences>
  <definedNames>
    <definedName name="_xlnm._FilterDatabase" localSheetId="8" hidden="1">Aux!$V$3:$Y$51</definedName>
    <definedName name="_xleta.IF" hidden="1" xlm="1">#NAME?</definedName>
    <definedName name="_xleta.ROUND" hidden="1" xlm="1">#NAME?</definedName>
    <definedName name="_xleta.SUMIFS" hidden="1" xlm="1">#NAME?</definedName>
    <definedName name="p3ero">[1]Reglas!$B$11</definedName>
    <definedName name="p4to">[1]Reglas!$B$12</definedName>
    <definedName name="pcam">[1]Reglas!$B$9</definedName>
    <definedName name="pcu">[1]Reglas!$B$6</definedName>
    <definedName name="pfig">[1]Reglas!$B$13</definedName>
    <definedName name="pfin">[1]Reglas!$B$8</definedName>
    <definedName name="pg">[1]Reglas!$B$3</definedName>
    <definedName name="pgol">[1]Reglas!$B$14</definedName>
    <definedName name="pgr">[1]Reglas!$B$4</definedName>
    <definedName name="poct">[1]Reglas!$B$5</definedName>
    <definedName name="psem">[1]Reglas!$B$7</definedName>
    <definedName name="psub">[1]Reglas!$B$10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W15" i="4" l="1"/>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36" i="12"/>
  <c r="E17" i="12"/>
  <c r="E16" i="12"/>
  <c r="E15" i="12"/>
  <c r="E14" i="12"/>
  <c r="E13" i="12"/>
  <c r="E12" i="12"/>
  <c r="F12" i="12" s="1"/>
  <c r="E11" i="12"/>
  <c r="E10" i="12"/>
  <c r="E9" i="12"/>
  <c r="E8" i="12"/>
  <c r="E7" i="12"/>
  <c r="E6" i="12"/>
  <c r="E5" i="12"/>
  <c r="E4" i="12"/>
  <c r="E3" i="12"/>
  <c r="AP12" i="5"/>
  <c r="AP10" i="5"/>
  <c r="AP11" i="5"/>
  <c r="AP5" i="5"/>
  <c r="AP14" i="5"/>
  <c r="AP4" i="5"/>
  <c r="AP6" i="5"/>
  <c r="AP8" i="5"/>
  <c r="AP7" i="5"/>
  <c r="AP13" i="5"/>
  <c r="AP18" i="5"/>
  <c r="AP24" i="5"/>
  <c r="AP21" i="5"/>
  <c r="AP15" i="5"/>
  <c r="AP19" i="5"/>
  <c r="AP27" i="5"/>
  <c r="AP23" i="5"/>
  <c r="AP20" i="5"/>
  <c r="AP25" i="5"/>
  <c r="AP16" i="5"/>
  <c r="AP26" i="5"/>
  <c r="AP38" i="5"/>
  <c r="AP32" i="5"/>
  <c r="AP36" i="5"/>
  <c r="AP29" i="5"/>
  <c r="AP34" i="5"/>
  <c r="AP37" i="5"/>
  <c r="AP31" i="5"/>
  <c r="AP39" i="5"/>
  <c r="AP17" i="5"/>
  <c r="AP30" i="5"/>
  <c r="AP28" i="5"/>
  <c r="AP41" i="5"/>
  <c r="AP33" i="5"/>
  <c r="AP35" i="5"/>
  <c r="AP40" i="5"/>
  <c r="AP22" i="5"/>
  <c r="AP45" i="5"/>
  <c r="AP50" i="5"/>
  <c r="AP49" i="5"/>
  <c r="AP42" i="5"/>
  <c r="AP51" i="5"/>
  <c r="AP48" i="5"/>
  <c r="AP46" i="5"/>
  <c r="AP47" i="5"/>
  <c r="AP43" i="5"/>
  <c r="AP44" i="5"/>
  <c r="AP9" i="5"/>
  <c r="B2" i="10"/>
  <c r="B3" i="10"/>
  <c r="B4" i="10"/>
  <c r="B5" i="10"/>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1" i="10"/>
  <c r="AA31" i="5"/>
  <c r="AA40" i="5"/>
  <c r="D106" i="9"/>
  <c r="CA107" i="4"/>
  <c r="CB106" i="4"/>
  <c r="C105" i="9"/>
  <c r="BH104" i="4"/>
  <c r="C103" i="9"/>
  <c r="BH103" i="4"/>
  <c r="BG103" i="4"/>
  <c r="D101" i="9"/>
  <c r="C101" i="9"/>
  <c r="C97" i="9"/>
  <c r="CB97" i="4"/>
  <c r="C96" i="9"/>
  <c r="BG96" i="4"/>
  <c r="D94" i="9"/>
  <c r="CA95" i="4"/>
  <c r="BH94" i="4"/>
  <c r="CB93" i="4"/>
  <c r="C92" i="9"/>
  <c r="D88" i="9"/>
  <c r="C88" i="9"/>
  <c r="D87" i="9"/>
  <c r="C87" i="9"/>
  <c r="D86" i="9"/>
  <c r="BG87" i="4"/>
  <c r="D85" i="9"/>
  <c r="C85" i="9"/>
  <c r="BH85" i="4"/>
  <c r="C84" i="9"/>
  <c r="D83" i="9"/>
  <c r="D79" i="9"/>
  <c r="BG80" i="4"/>
  <c r="D78" i="9"/>
  <c r="C78" i="9"/>
  <c r="BG78" i="4"/>
  <c r="C76" i="9"/>
  <c r="D75" i="9"/>
  <c r="C75" i="9"/>
  <c r="D74" i="9"/>
  <c r="CA75" i="4"/>
  <c r="CB71" i="4"/>
  <c r="C70" i="9"/>
  <c r="BH70" i="4"/>
  <c r="C69" i="9"/>
  <c r="CB69" i="4"/>
  <c r="CA69" i="4"/>
  <c r="BH68" i="4"/>
  <c r="C67" i="9"/>
  <c r="CB67" i="4"/>
  <c r="D65" i="9"/>
  <c r="C65" i="9"/>
  <c r="D61" i="9"/>
  <c r="CA62" i="4"/>
  <c r="CA61" i="4"/>
  <c r="D59" i="9"/>
  <c r="CA60" i="4"/>
  <c r="BH59" i="4"/>
  <c r="C58" i="9"/>
  <c r="CB58" i="4"/>
  <c r="C57" i="9"/>
  <c r="BH57" i="4"/>
  <c r="C56" i="9"/>
  <c r="CB53" i="4"/>
  <c r="CB52" i="4"/>
  <c r="C50" i="9"/>
  <c r="C49" i="9"/>
  <c r="BH49" i="4"/>
  <c r="BG49" i="4"/>
  <c r="D47" i="9"/>
  <c r="D43" i="9"/>
  <c r="BH43" i="4"/>
  <c r="CA43" i="4"/>
  <c r="C41" i="9"/>
  <c r="D40" i="9"/>
  <c r="CB40" i="4"/>
  <c r="C39" i="9"/>
  <c r="D38" i="9"/>
  <c r="D34" i="9"/>
  <c r="C34" i="9"/>
  <c r="BH34" i="4"/>
  <c r="C33" i="9"/>
  <c r="D30" i="9"/>
  <c r="CA31" i="4"/>
  <c r="D29" i="9"/>
  <c r="C29" i="9"/>
  <c r="C25" i="9"/>
  <c r="D24" i="9"/>
  <c r="CA25" i="4"/>
  <c r="D23" i="9"/>
  <c r="C23" i="9"/>
  <c r="BH23" i="4"/>
  <c r="C22" i="9"/>
  <c r="D21" i="9"/>
  <c r="C21" i="9"/>
  <c r="CB21" i="4"/>
  <c r="CA21" i="4"/>
  <c r="CB17" i="4"/>
  <c r="C16" i="9"/>
  <c r="CB16" i="4"/>
  <c r="CA16" i="4"/>
  <c r="D12" i="9"/>
  <c r="C12" i="9"/>
  <c r="BH12" i="4"/>
  <c r="D7" i="9"/>
  <c r="C7" i="9"/>
  <c r="D6" i="9"/>
  <c r="CA7" i="4"/>
  <c r="D5" i="9"/>
  <c r="D4" i="9"/>
  <c r="D3" i="9"/>
  <c r="C3" i="9"/>
  <c r="D2" i="9"/>
  <c r="D97" i="9"/>
  <c r="BG94" i="4"/>
  <c r="F2" i="9"/>
  <c r="G2" i="9"/>
  <c r="F3" i="9"/>
  <c r="F4" i="9"/>
  <c r="F5" i="9"/>
  <c r="F6" i="9"/>
  <c r="G1" i="9"/>
  <c r="F1" i="9"/>
  <c r="D138" i="9"/>
  <c r="C138" i="9"/>
  <c r="D137" i="9"/>
  <c r="C137" i="9"/>
  <c r="BI40" i="5"/>
  <c r="BC2" i="5"/>
  <c r="BB2" i="5"/>
  <c r="BA2" i="5"/>
  <c r="AZ2" i="5"/>
  <c r="AY2" i="5"/>
  <c r="D130" i="9"/>
  <c r="C130" i="9"/>
  <c r="D129" i="9"/>
  <c r="C129" i="9"/>
  <c r="D128" i="9"/>
  <c r="C128" i="9"/>
  <c r="D127" i="9"/>
  <c r="C127" i="9"/>
  <c r="D126" i="9"/>
  <c r="C126" i="9"/>
  <c r="D125" i="9"/>
  <c r="C125" i="9"/>
  <c r="D124" i="9"/>
  <c r="C124" i="9"/>
  <c r="D123" i="9"/>
  <c r="C123" i="9"/>
  <c r="D122" i="9"/>
  <c r="C122" i="9"/>
  <c r="D121" i="9"/>
  <c r="C121" i="9"/>
  <c r="D120" i="9"/>
  <c r="C120" i="9"/>
  <c r="D119" i="9"/>
  <c r="C119" i="9"/>
  <c r="D118" i="9"/>
  <c r="C118" i="9"/>
  <c r="D117" i="9"/>
  <c r="C117" i="9"/>
  <c r="D116" i="9"/>
  <c r="C116" i="9"/>
  <c r="D115" i="9"/>
  <c r="C115" i="9"/>
  <c r="D114" i="9"/>
  <c r="C114" i="9"/>
  <c r="D113" i="9"/>
  <c r="C113" i="9"/>
  <c r="D112" i="9"/>
  <c r="C112" i="9"/>
  <c r="D111" i="9"/>
  <c r="C111" i="9"/>
  <c r="D110" i="9"/>
  <c r="C110" i="9"/>
  <c r="D109" i="9"/>
  <c r="C109" i="9"/>
  <c r="D108" i="9"/>
  <c r="C108" i="9"/>
  <c r="D107" i="9"/>
  <c r="C107" i="9"/>
  <c r="A100" i="9"/>
  <c r="B100" i="9"/>
  <c r="C100" i="9"/>
  <c r="D100" i="9"/>
  <c r="E100" i="9"/>
  <c r="A101" i="9"/>
  <c r="B101" i="9"/>
  <c r="E101" i="9"/>
  <c r="A102" i="9"/>
  <c r="B102" i="9"/>
  <c r="E102" i="9"/>
  <c r="A103" i="9"/>
  <c r="B103" i="9"/>
  <c r="E103" i="9"/>
  <c r="A104" i="9"/>
  <c r="B104" i="9"/>
  <c r="E104" i="9"/>
  <c r="A105" i="9"/>
  <c r="B105" i="9"/>
  <c r="E105" i="9"/>
  <c r="A106" i="9"/>
  <c r="B106" i="9"/>
  <c r="E106" i="9"/>
  <c r="A3" i="9"/>
  <c r="B3" i="9"/>
  <c r="E3" i="9"/>
  <c r="A4" i="9"/>
  <c r="B4" i="9"/>
  <c r="E4" i="9"/>
  <c r="A5" i="9"/>
  <c r="B5" i="9"/>
  <c r="E5" i="9"/>
  <c r="A6" i="9"/>
  <c r="B6" i="9"/>
  <c r="E6" i="9"/>
  <c r="A7" i="9"/>
  <c r="B7" i="9"/>
  <c r="E7" i="9"/>
  <c r="A8" i="9"/>
  <c r="B8" i="9"/>
  <c r="C8" i="9"/>
  <c r="D8" i="9"/>
  <c r="E8" i="9"/>
  <c r="A9" i="9"/>
  <c r="B9" i="9"/>
  <c r="C9" i="9"/>
  <c r="D9" i="9"/>
  <c r="E9" i="9"/>
  <c r="A10" i="9"/>
  <c r="B10" i="9"/>
  <c r="C10" i="9"/>
  <c r="D10" i="9"/>
  <c r="E10" i="9"/>
  <c r="A11" i="9"/>
  <c r="B11" i="9"/>
  <c r="E11" i="9"/>
  <c r="A12" i="9"/>
  <c r="B12" i="9"/>
  <c r="E12" i="9"/>
  <c r="A13" i="9"/>
  <c r="B13" i="9"/>
  <c r="E13" i="9"/>
  <c r="A14" i="9"/>
  <c r="B14" i="9"/>
  <c r="E14" i="9"/>
  <c r="A15" i="9"/>
  <c r="B15" i="9"/>
  <c r="E15" i="9"/>
  <c r="A16" i="9"/>
  <c r="B16" i="9"/>
  <c r="E16" i="9"/>
  <c r="A17" i="9"/>
  <c r="B17" i="9"/>
  <c r="C17" i="9"/>
  <c r="D17" i="9"/>
  <c r="E17" i="9"/>
  <c r="A18" i="9"/>
  <c r="B18" i="9"/>
  <c r="C18" i="9"/>
  <c r="D18" i="9"/>
  <c r="E18" i="9"/>
  <c r="A19" i="9"/>
  <c r="B19" i="9"/>
  <c r="C19" i="9"/>
  <c r="D19" i="9"/>
  <c r="E19" i="9"/>
  <c r="A20" i="9"/>
  <c r="B20" i="9"/>
  <c r="E20" i="9"/>
  <c r="A21" i="9"/>
  <c r="B21" i="9"/>
  <c r="E21" i="9"/>
  <c r="A22" i="9"/>
  <c r="B22" i="9"/>
  <c r="E22" i="9"/>
  <c r="A23" i="9"/>
  <c r="B23" i="9"/>
  <c r="E23" i="9"/>
  <c r="A24" i="9"/>
  <c r="B24" i="9"/>
  <c r="E24" i="9"/>
  <c r="A25" i="9"/>
  <c r="B25" i="9"/>
  <c r="E25" i="9"/>
  <c r="A26" i="9"/>
  <c r="B26" i="9"/>
  <c r="C26" i="9"/>
  <c r="D26" i="9"/>
  <c r="E26" i="9"/>
  <c r="A27" i="9"/>
  <c r="B27" i="9"/>
  <c r="C27" i="9"/>
  <c r="D27" i="9"/>
  <c r="E27" i="9"/>
  <c r="A28" i="9"/>
  <c r="B28" i="9"/>
  <c r="C28" i="9"/>
  <c r="D28" i="9"/>
  <c r="E28" i="9"/>
  <c r="A29" i="9"/>
  <c r="B29" i="9"/>
  <c r="E29" i="9"/>
  <c r="A30" i="9"/>
  <c r="B30" i="9"/>
  <c r="E30" i="9"/>
  <c r="A31" i="9"/>
  <c r="B31" i="9"/>
  <c r="E31" i="9"/>
  <c r="A32" i="9"/>
  <c r="B32" i="9"/>
  <c r="E32" i="9"/>
  <c r="A33" i="9"/>
  <c r="B33" i="9"/>
  <c r="E33" i="9"/>
  <c r="A34" i="9"/>
  <c r="B34" i="9"/>
  <c r="E34" i="9"/>
  <c r="A35" i="9"/>
  <c r="B35" i="9"/>
  <c r="C35" i="9"/>
  <c r="D35" i="9"/>
  <c r="E35" i="9"/>
  <c r="A36" i="9"/>
  <c r="B36" i="9"/>
  <c r="C36" i="9"/>
  <c r="D36" i="9"/>
  <c r="E36" i="9"/>
  <c r="A37" i="9"/>
  <c r="B37" i="9"/>
  <c r="C37" i="9"/>
  <c r="D37" i="9"/>
  <c r="E37" i="9"/>
  <c r="A38" i="9"/>
  <c r="B38" i="9"/>
  <c r="E38" i="9"/>
  <c r="A39" i="9"/>
  <c r="B39" i="9"/>
  <c r="E39" i="9"/>
  <c r="A40" i="9"/>
  <c r="B40" i="9"/>
  <c r="E40" i="9"/>
  <c r="A41" i="9"/>
  <c r="B41" i="9"/>
  <c r="E41" i="9"/>
  <c r="A42" i="9"/>
  <c r="B42" i="9"/>
  <c r="E42" i="9"/>
  <c r="A43" i="9"/>
  <c r="B43" i="9"/>
  <c r="E43" i="9"/>
  <c r="A44" i="9"/>
  <c r="B44" i="9"/>
  <c r="C44" i="9"/>
  <c r="D44" i="9"/>
  <c r="E44" i="9"/>
  <c r="A45" i="9"/>
  <c r="B45" i="9"/>
  <c r="C45" i="9"/>
  <c r="D45" i="9"/>
  <c r="E45" i="9"/>
  <c r="A46" i="9"/>
  <c r="B46" i="9"/>
  <c r="C46" i="9"/>
  <c r="D46" i="9"/>
  <c r="E46" i="9"/>
  <c r="A47" i="9"/>
  <c r="B47" i="9"/>
  <c r="E47" i="9"/>
  <c r="A48" i="9"/>
  <c r="B48" i="9"/>
  <c r="E48" i="9"/>
  <c r="A49" i="9"/>
  <c r="B49" i="9"/>
  <c r="E49" i="9"/>
  <c r="A50" i="9"/>
  <c r="B50" i="9"/>
  <c r="E50" i="9"/>
  <c r="A51" i="9"/>
  <c r="B51" i="9"/>
  <c r="E51" i="9"/>
  <c r="A52" i="9"/>
  <c r="B52" i="9"/>
  <c r="E52" i="9"/>
  <c r="A53" i="9"/>
  <c r="B53" i="9"/>
  <c r="C53" i="9"/>
  <c r="D53" i="9"/>
  <c r="E53" i="9"/>
  <c r="A54" i="9"/>
  <c r="B54" i="9"/>
  <c r="C54" i="9"/>
  <c r="D54" i="9"/>
  <c r="E54" i="9"/>
  <c r="A55" i="9"/>
  <c r="B55" i="9"/>
  <c r="C55" i="9"/>
  <c r="D55" i="9"/>
  <c r="E55" i="9"/>
  <c r="A56" i="9"/>
  <c r="B56" i="9"/>
  <c r="E56" i="9"/>
  <c r="A57" i="9"/>
  <c r="B57" i="9"/>
  <c r="E57" i="9"/>
  <c r="A58" i="9"/>
  <c r="B58" i="9"/>
  <c r="E58" i="9"/>
  <c r="A59" i="9"/>
  <c r="B59" i="9"/>
  <c r="E59" i="9"/>
  <c r="A60" i="9"/>
  <c r="B60" i="9"/>
  <c r="E60" i="9"/>
  <c r="A61" i="9"/>
  <c r="B61" i="9"/>
  <c r="E61" i="9"/>
  <c r="A62" i="9"/>
  <c r="B62" i="9"/>
  <c r="C62" i="9"/>
  <c r="D62" i="9"/>
  <c r="E62" i="9"/>
  <c r="A63" i="9"/>
  <c r="B63" i="9"/>
  <c r="C63" i="9"/>
  <c r="D63" i="9"/>
  <c r="E63" i="9"/>
  <c r="A64" i="9"/>
  <c r="B64" i="9"/>
  <c r="C64" i="9"/>
  <c r="D64" i="9"/>
  <c r="E64" i="9"/>
  <c r="A65" i="9"/>
  <c r="B65" i="9"/>
  <c r="E65" i="9"/>
  <c r="A66" i="9"/>
  <c r="B66" i="9"/>
  <c r="E66" i="9"/>
  <c r="A67" i="9"/>
  <c r="B67" i="9"/>
  <c r="E67" i="9"/>
  <c r="A68" i="9"/>
  <c r="B68" i="9"/>
  <c r="E68" i="9"/>
  <c r="A69" i="9"/>
  <c r="B69" i="9"/>
  <c r="E69" i="9"/>
  <c r="A70" i="9"/>
  <c r="B70" i="9"/>
  <c r="E70" i="9"/>
  <c r="A71" i="9"/>
  <c r="B71" i="9"/>
  <c r="C71" i="9"/>
  <c r="D71" i="9"/>
  <c r="E71" i="9"/>
  <c r="A72" i="9"/>
  <c r="B72" i="9"/>
  <c r="C72" i="9"/>
  <c r="D72" i="9"/>
  <c r="E72" i="9"/>
  <c r="A73" i="9"/>
  <c r="B73" i="9"/>
  <c r="C73" i="9"/>
  <c r="D73" i="9"/>
  <c r="E73" i="9"/>
  <c r="A74" i="9"/>
  <c r="B74" i="9"/>
  <c r="E74" i="9"/>
  <c r="A75" i="9"/>
  <c r="B75" i="9"/>
  <c r="E75" i="9"/>
  <c r="A76" i="9"/>
  <c r="B76" i="9"/>
  <c r="E76" i="9"/>
  <c r="A77" i="9"/>
  <c r="B77" i="9"/>
  <c r="E77" i="9"/>
  <c r="A78" i="9"/>
  <c r="B78" i="9"/>
  <c r="E78" i="9"/>
  <c r="A79" i="9"/>
  <c r="B79" i="9"/>
  <c r="E79" i="9"/>
  <c r="A80" i="9"/>
  <c r="B80" i="9"/>
  <c r="C80" i="9"/>
  <c r="D80" i="9"/>
  <c r="E80" i="9"/>
  <c r="A81" i="9"/>
  <c r="B81" i="9"/>
  <c r="C81" i="9"/>
  <c r="D81" i="9"/>
  <c r="E81" i="9"/>
  <c r="A82" i="9"/>
  <c r="B82" i="9"/>
  <c r="C82" i="9"/>
  <c r="D82" i="9"/>
  <c r="E82" i="9"/>
  <c r="A83" i="9"/>
  <c r="B83" i="9"/>
  <c r="E83" i="9"/>
  <c r="A84" i="9"/>
  <c r="B84" i="9"/>
  <c r="E84" i="9"/>
  <c r="A85" i="9"/>
  <c r="B85" i="9"/>
  <c r="E85" i="9"/>
  <c r="A86" i="9"/>
  <c r="B86" i="9"/>
  <c r="E86" i="9"/>
  <c r="A87" i="9"/>
  <c r="B87" i="9"/>
  <c r="E87" i="9"/>
  <c r="A88" i="9"/>
  <c r="B88" i="9"/>
  <c r="E88" i="9"/>
  <c r="A89" i="9"/>
  <c r="B89" i="9"/>
  <c r="C89" i="9"/>
  <c r="D89" i="9"/>
  <c r="E89" i="9"/>
  <c r="A90" i="9"/>
  <c r="B90" i="9"/>
  <c r="C90" i="9"/>
  <c r="D90" i="9"/>
  <c r="E90" i="9"/>
  <c r="A91" i="9"/>
  <c r="B91" i="9"/>
  <c r="C91" i="9"/>
  <c r="D91" i="9"/>
  <c r="E91" i="9"/>
  <c r="A92" i="9"/>
  <c r="B92" i="9"/>
  <c r="E92" i="9"/>
  <c r="A93" i="9"/>
  <c r="B93" i="9"/>
  <c r="E93" i="9"/>
  <c r="A94" i="9"/>
  <c r="B94" i="9"/>
  <c r="E94" i="9"/>
  <c r="A95" i="9"/>
  <c r="B95" i="9"/>
  <c r="E95" i="9"/>
  <c r="A96" i="9"/>
  <c r="B96" i="9"/>
  <c r="E96" i="9"/>
  <c r="A97" i="9"/>
  <c r="B97" i="9"/>
  <c r="E97" i="9"/>
  <c r="A98" i="9"/>
  <c r="B98" i="9"/>
  <c r="C98" i="9"/>
  <c r="D98" i="9"/>
  <c r="E98" i="9"/>
  <c r="A99" i="9"/>
  <c r="B99" i="9"/>
  <c r="C99" i="9"/>
  <c r="D99" i="9"/>
  <c r="E99" i="9"/>
  <c r="E2" i="9"/>
  <c r="B2" i="9"/>
  <c r="A2" i="9"/>
  <c r="Q15" i="7"/>
  <c r="Q8" i="7"/>
  <c r="H43" i="5"/>
  <c r="Y43" i="5" s="1"/>
  <c r="H40" i="5"/>
  <c r="Y40" i="5" s="1"/>
  <c r="H33" i="5"/>
  <c r="Y33" i="5" s="1"/>
  <c r="H31" i="5"/>
  <c r="Y31" i="5" s="1"/>
  <c r="H28" i="5"/>
  <c r="Y28" i="5" s="1"/>
  <c r="H18" i="5"/>
  <c r="Y18" i="5" s="1"/>
  <c r="H16" i="5"/>
  <c r="Y16" i="5" s="1"/>
  <c r="H6" i="5"/>
  <c r="Y6" i="5" s="1"/>
  <c r="H4" i="5"/>
  <c r="Y4" i="5" s="1"/>
  <c r="S7" i="7"/>
  <c r="S14" i="7"/>
  <c r="I21" i="7"/>
  <c r="C21" i="7"/>
  <c r="K20" i="7"/>
  <c r="E20" i="7"/>
  <c r="I11" i="7"/>
  <c r="C11" i="7"/>
  <c r="K10" i="7"/>
  <c r="E10" i="7"/>
  <c r="I7" i="7"/>
  <c r="C7" i="7"/>
  <c r="K6" i="7"/>
  <c r="E6" i="7"/>
  <c r="AE1" i="2"/>
  <c r="AF1" i="2"/>
  <c r="AG1" i="2"/>
  <c r="AH1" i="2"/>
  <c r="AI1" i="2"/>
  <c r="AJ1" i="2"/>
  <c r="AK1" i="2"/>
  <c r="AD1" i="2"/>
  <c r="W31" i="6"/>
  <c r="Q31" i="6"/>
  <c r="W23" i="6"/>
  <c r="Q23" i="6"/>
  <c r="W15" i="6"/>
  <c r="Q15" i="6"/>
  <c r="C35" i="6"/>
  <c r="Y30" i="6"/>
  <c r="S30" i="6"/>
  <c r="Y22" i="6"/>
  <c r="S22" i="6"/>
  <c r="Y14" i="6"/>
  <c r="S14" i="6"/>
  <c r="W7" i="6"/>
  <c r="Q7" i="6"/>
  <c r="Y6" i="6"/>
  <c r="S6" i="6"/>
  <c r="I35" i="6"/>
  <c r="I31" i="6"/>
  <c r="I27" i="6"/>
  <c r="I23" i="6"/>
  <c r="I19" i="6"/>
  <c r="I15" i="6"/>
  <c r="I11" i="6"/>
  <c r="I7" i="6"/>
  <c r="C31" i="6"/>
  <c r="C27" i="6"/>
  <c r="C23" i="6"/>
  <c r="C19" i="6"/>
  <c r="C15" i="6"/>
  <c r="C11" i="6"/>
  <c r="C7" i="6"/>
  <c r="K34" i="6"/>
  <c r="K30" i="6"/>
  <c r="K26" i="6"/>
  <c r="K22" i="6"/>
  <c r="K18" i="6"/>
  <c r="K14" i="6"/>
  <c r="K10" i="6"/>
  <c r="K6" i="6"/>
  <c r="E34" i="6"/>
  <c r="E30" i="6"/>
  <c r="E26" i="6"/>
  <c r="E22" i="6"/>
  <c r="E18" i="6"/>
  <c r="E14" i="6"/>
  <c r="E10" i="6"/>
  <c r="E6" i="6"/>
  <c r="AS105" i="4"/>
  <c r="AS104" i="4"/>
  <c r="AS103" i="4"/>
  <c r="AS102" i="4"/>
  <c r="AS96" i="4"/>
  <c r="AS95" i="4"/>
  <c r="AS94" i="4"/>
  <c r="AS93" i="4"/>
  <c r="AS87" i="4"/>
  <c r="AS86" i="4"/>
  <c r="AS85" i="4"/>
  <c r="AS84" i="4"/>
  <c r="AS78" i="4"/>
  <c r="AS77" i="4"/>
  <c r="AS76" i="4"/>
  <c r="AS75" i="4"/>
  <c r="AS69" i="4"/>
  <c r="AS68" i="4"/>
  <c r="AS67" i="4"/>
  <c r="AS66" i="4"/>
  <c r="AS60" i="4"/>
  <c r="AS59" i="4"/>
  <c r="AS58" i="4"/>
  <c r="AS57" i="4"/>
  <c r="AS51" i="4"/>
  <c r="AS50" i="4"/>
  <c r="AS49" i="4"/>
  <c r="AS48" i="4"/>
  <c r="AS42" i="4"/>
  <c r="AS41" i="4"/>
  <c r="AS40" i="4"/>
  <c r="AS39" i="4"/>
  <c r="AS6" i="4"/>
  <c r="AS5" i="4"/>
  <c r="AS4" i="4"/>
  <c r="AS3" i="4"/>
  <c r="AS15" i="4"/>
  <c r="AS14" i="4"/>
  <c r="AS13" i="4"/>
  <c r="AS12" i="4"/>
  <c r="AS24" i="4"/>
  <c r="AS23" i="4"/>
  <c r="AS22" i="4"/>
  <c r="AS21" i="4"/>
  <c r="CS3" i="4"/>
  <c r="AZ3" i="2"/>
  <c r="AZ4" i="2"/>
  <c r="AZ5" i="2"/>
  <c r="AZ6" i="2"/>
  <c r="AZ7" i="2"/>
  <c r="AZ8" i="2"/>
  <c r="AZ9" i="2"/>
  <c r="AZ10" i="2"/>
  <c r="AZ11" i="2"/>
  <c r="AZ12" i="2"/>
  <c r="AZ13" i="2"/>
  <c r="AZ2" i="2"/>
  <c r="AS33" i="4"/>
  <c r="AS32" i="4"/>
  <c r="AS31" i="4"/>
  <c r="AS30" i="4"/>
  <c r="CQ105" i="4"/>
  <c r="BW105" i="4"/>
  <c r="AX105" i="4"/>
  <c r="CQ104" i="4"/>
  <c r="BW104" i="4"/>
  <c r="AX104" i="4"/>
  <c r="CQ103" i="4"/>
  <c r="BW103" i="4"/>
  <c r="AX103" i="4"/>
  <c r="CQ102" i="4"/>
  <c r="BW102" i="4"/>
  <c r="AX102" i="4"/>
  <c r="CQ96" i="4"/>
  <c r="BW96" i="4"/>
  <c r="AX96" i="4"/>
  <c r="CQ95" i="4"/>
  <c r="BW95" i="4"/>
  <c r="AX95" i="4"/>
  <c r="CQ94" i="4"/>
  <c r="BW94" i="4"/>
  <c r="AX94" i="4"/>
  <c r="CQ93" i="4"/>
  <c r="BW93" i="4"/>
  <c r="AX93" i="4"/>
  <c r="CQ87" i="4"/>
  <c r="BW87" i="4"/>
  <c r="AX87" i="4"/>
  <c r="CQ86" i="4"/>
  <c r="BW86" i="4"/>
  <c r="AX86" i="4"/>
  <c r="CQ85" i="4"/>
  <c r="BW85" i="4"/>
  <c r="AX85" i="4"/>
  <c r="CQ84" i="4"/>
  <c r="BW84" i="4"/>
  <c r="AX84" i="4"/>
  <c r="CQ78" i="4"/>
  <c r="BW78" i="4"/>
  <c r="AX78" i="4"/>
  <c r="CQ77" i="4"/>
  <c r="BW77" i="4"/>
  <c r="AX77" i="4"/>
  <c r="CQ76" i="4"/>
  <c r="BW76" i="4"/>
  <c r="AX76" i="4"/>
  <c r="CQ75" i="4"/>
  <c r="BW75" i="4"/>
  <c r="AX75" i="4"/>
  <c r="CQ69" i="4"/>
  <c r="BW69" i="4"/>
  <c r="AX69" i="4"/>
  <c r="CQ68" i="4"/>
  <c r="BW68" i="4"/>
  <c r="AX68" i="4"/>
  <c r="CQ67" i="4"/>
  <c r="BW67" i="4"/>
  <c r="AX67" i="4"/>
  <c r="CQ66" i="4"/>
  <c r="BW66" i="4"/>
  <c r="AX66" i="4"/>
  <c r="CQ60" i="4"/>
  <c r="BW60" i="4"/>
  <c r="AX60" i="4"/>
  <c r="CQ59" i="4"/>
  <c r="BW59" i="4"/>
  <c r="AX59" i="4"/>
  <c r="CQ58" i="4"/>
  <c r="BW58" i="4"/>
  <c r="AX58" i="4"/>
  <c r="CQ57" i="4"/>
  <c r="BW57" i="4"/>
  <c r="AX57" i="4"/>
  <c r="CQ51" i="4"/>
  <c r="BW51" i="4"/>
  <c r="AX51" i="4"/>
  <c r="CQ50" i="4"/>
  <c r="BW50" i="4"/>
  <c r="AX50" i="4"/>
  <c r="CQ49" i="4"/>
  <c r="BW49" i="4"/>
  <c r="AX49" i="4"/>
  <c r="CQ48" i="4"/>
  <c r="BW48" i="4"/>
  <c r="AX48" i="4"/>
  <c r="CQ42" i="4"/>
  <c r="BW42" i="4"/>
  <c r="AX42" i="4"/>
  <c r="CQ41" i="4"/>
  <c r="BW41" i="4"/>
  <c r="AX41" i="4"/>
  <c r="CQ40" i="4"/>
  <c r="BW40" i="4"/>
  <c r="AX40" i="4"/>
  <c r="CQ39" i="4"/>
  <c r="BW39" i="4"/>
  <c r="AX39" i="4"/>
  <c r="CQ33" i="4"/>
  <c r="BW33" i="4"/>
  <c r="AX33" i="4"/>
  <c r="CQ32" i="4"/>
  <c r="BW32" i="4"/>
  <c r="AX32" i="4"/>
  <c r="CQ31" i="4"/>
  <c r="BW31" i="4"/>
  <c r="AX31" i="4"/>
  <c r="CQ30" i="4"/>
  <c r="BW30" i="4"/>
  <c r="AX30" i="4"/>
  <c r="CQ24" i="4"/>
  <c r="BW24" i="4"/>
  <c r="AX24" i="4"/>
  <c r="CQ23" i="4"/>
  <c r="BW23" i="4"/>
  <c r="AX23" i="4"/>
  <c r="CQ22" i="4"/>
  <c r="BW22" i="4"/>
  <c r="AX22" i="4"/>
  <c r="CQ21" i="4"/>
  <c r="BW21" i="4"/>
  <c r="AX21" i="4"/>
  <c r="CQ15" i="4"/>
  <c r="BW15" i="4"/>
  <c r="AX15" i="4"/>
  <c r="CQ14" i="4"/>
  <c r="BW14" i="4"/>
  <c r="AX14" i="4"/>
  <c r="CQ13" i="4"/>
  <c r="BW13" i="4"/>
  <c r="AX13" i="4"/>
  <c r="CQ12" i="4"/>
  <c r="BW12" i="4"/>
  <c r="AX12" i="4"/>
  <c r="CQ6" i="4"/>
  <c r="CQ5" i="4"/>
  <c r="CQ4" i="4"/>
  <c r="CQ3" i="4"/>
  <c r="BW6" i="4"/>
  <c r="BW5" i="4"/>
  <c r="BW4" i="4"/>
  <c r="BW3" i="4"/>
  <c r="AX6" i="4"/>
  <c r="AX5" i="4"/>
  <c r="AX4" i="4"/>
  <c r="AX3" i="4"/>
  <c r="O67" i="4"/>
  <c r="AY67" i="4" s="1"/>
  <c r="O60" i="4"/>
  <c r="AY60" i="4" s="1"/>
  <c r="O51" i="4"/>
  <c r="BK51" i="4" s="1"/>
  <c r="O49" i="4"/>
  <c r="AP49" i="4" s="1"/>
  <c r="O40" i="4"/>
  <c r="AY40" i="4" s="1"/>
  <c r="O42" i="4"/>
  <c r="AY42" i="4" s="1"/>
  <c r="O33" i="4"/>
  <c r="AP33" i="4" s="1"/>
  <c r="O31" i="4"/>
  <c r="W31" i="4" s="1"/>
  <c r="O24" i="4"/>
  <c r="BK24" i="4" s="1"/>
  <c r="O22" i="4"/>
  <c r="BK22" i="4" s="1"/>
  <c r="O15" i="4"/>
  <c r="BK15" i="4" s="1"/>
  <c r="O13" i="4"/>
  <c r="W13" i="4" s="1"/>
  <c r="O4" i="4"/>
  <c r="W4" i="4" s="1"/>
  <c r="Y105" i="4"/>
  <c r="O105" i="4"/>
  <c r="W105" i="4" s="1"/>
  <c r="Y104" i="4"/>
  <c r="O104" i="4"/>
  <c r="W104" i="4" s="1"/>
  <c r="Y103" i="4"/>
  <c r="O103" i="4"/>
  <c r="AY103" i="4" s="1"/>
  <c r="Y102" i="4"/>
  <c r="O102" i="4"/>
  <c r="W102" i="4" s="1"/>
  <c r="O101" i="4"/>
  <c r="Y96" i="4"/>
  <c r="O96" i="4"/>
  <c r="BK96" i="4" s="1"/>
  <c r="Y95" i="4"/>
  <c r="O95" i="4"/>
  <c r="W95" i="4" s="1"/>
  <c r="Y94" i="4"/>
  <c r="O94" i="4"/>
  <c r="W94" i="4" s="1"/>
  <c r="Y93" i="4"/>
  <c r="O93" i="4"/>
  <c r="AP93" i="4" s="1"/>
  <c r="O92" i="4"/>
  <c r="Y87" i="4"/>
  <c r="O87" i="4"/>
  <c r="BK87" i="4" s="1"/>
  <c r="Y86" i="4"/>
  <c r="O86" i="4"/>
  <c r="AY86" i="4" s="1"/>
  <c r="Y85" i="4"/>
  <c r="O85" i="4"/>
  <c r="BK85" i="4" s="1"/>
  <c r="Y84" i="4"/>
  <c r="O84" i="4"/>
  <c r="AP84" i="4" s="1"/>
  <c r="O83" i="4"/>
  <c r="Y78" i="4"/>
  <c r="O78" i="4"/>
  <c r="W78" i="4" s="1"/>
  <c r="Y77" i="4"/>
  <c r="O77" i="4"/>
  <c r="AP77" i="4" s="1"/>
  <c r="Y76" i="4"/>
  <c r="O76" i="4"/>
  <c r="AP76" i="4" s="1"/>
  <c r="Y75" i="4"/>
  <c r="O75" i="4"/>
  <c r="W75" i="4" s="1"/>
  <c r="O74" i="4"/>
  <c r="Y69" i="4"/>
  <c r="Y68" i="4"/>
  <c r="O68" i="4"/>
  <c r="W68" i="4" s="1"/>
  <c r="Y67" i="4"/>
  <c r="Y66" i="4"/>
  <c r="O66" i="4"/>
  <c r="W66" i="4" s="1"/>
  <c r="O65" i="4"/>
  <c r="Y60" i="4"/>
  <c r="Y59" i="4"/>
  <c r="O59" i="4"/>
  <c r="W59" i="4" s="1"/>
  <c r="Y58" i="4"/>
  <c r="Y57" i="4"/>
  <c r="O57" i="4"/>
  <c r="AY57" i="4" s="1"/>
  <c r="O56" i="4"/>
  <c r="Y51" i="4"/>
  <c r="Y50" i="4"/>
  <c r="O50" i="4"/>
  <c r="W50" i="4" s="1"/>
  <c r="Y49" i="4"/>
  <c r="Y48" i="4"/>
  <c r="O48" i="4"/>
  <c r="W48" i="4" s="1"/>
  <c r="O47" i="4"/>
  <c r="Y42" i="4"/>
  <c r="Y41" i="4"/>
  <c r="O41" i="4"/>
  <c r="BK41" i="4" s="1"/>
  <c r="Y40" i="4"/>
  <c r="Y39" i="4"/>
  <c r="O39" i="4"/>
  <c r="AY39" i="4" s="1"/>
  <c r="O38" i="4"/>
  <c r="Y33" i="4"/>
  <c r="Y32" i="4"/>
  <c r="O32" i="4"/>
  <c r="AY32" i="4" s="1"/>
  <c r="Y31" i="4"/>
  <c r="Y30" i="4"/>
  <c r="O30" i="4"/>
  <c r="W30" i="4" s="1"/>
  <c r="O29" i="4"/>
  <c r="Y24" i="4"/>
  <c r="Y23" i="4"/>
  <c r="O23" i="4"/>
  <c r="BK23" i="4" s="1"/>
  <c r="Y22" i="4"/>
  <c r="Y21" i="4"/>
  <c r="O21" i="4"/>
  <c r="AP21" i="4" s="1"/>
  <c r="O20" i="4"/>
  <c r="Y15" i="4"/>
  <c r="Y14" i="4"/>
  <c r="O14" i="4"/>
  <c r="W14" i="4" s="1"/>
  <c r="Y13" i="4"/>
  <c r="Y12" i="4"/>
  <c r="O12" i="4"/>
  <c r="W12" i="4" s="1"/>
  <c r="O11" i="4"/>
  <c r="Y6" i="4"/>
  <c r="Y5" i="4"/>
  <c r="O5" i="4"/>
  <c r="AP5" i="4" s="1"/>
  <c r="Y4" i="4"/>
  <c r="Y3" i="4"/>
  <c r="O3" i="4"/>
  <c r="W3" i="4" s="1"/>
  <c r="O2" i="4"/>
  <c r="F3" i="12" l="1"/>
  <c r="F6" i="12"/>
  <c r="E18" i="12"/>
  <c r="AA5" i="5"/>
  <c r="AA45" i="5"/>
  <c r="AA28" i="5"/>
  <c r="AA44" i="5"/>
  <c r="AA43" i="5"/>
  <c r="AA39" i="5"/>
  <c r="AA16" i="5"/>
  <c r="AA11" i="5"/>
  <c r="AA4" i="5"/>
  <c r="AA33" i="5"/>
  <c r="AA25" i="5"/>
  <c r="AA48" i="5"/>
  <c r="AA36" i="5"/>
  <c r="AA24" i="5"/>
  <c r="AA20" i="5"/>
  <c r="AA18" i="5"/>
  <c r="AA6" i="5"/>
  <c r="BI4" i="5"/>
  <c r="BI6" i="5"/>
  <c r="BN6" i="5" s="1"/>
  <c r="BI33" i="5"/>
  <c r="BI18" i="5"/>
  <c r="BI31" i="5"/>
  <c r="BI43" i="5"/>
  <c r="BO43" i="5" s="1"/>
  <c r="BI16" i="5"/>
  <c r="BI28" i="5"/>
  <c r="H19" i="5"/>
  <c r="AA19" i="5" s="1"/>
  <c r="C106" i="9"/>
  <c r="K106" i="9" s="1"/>
  <c r="T105" i="4"/>
  <c r="D39" i="9"/>
  <c r="L39" i="9" s="1"/>
  <c r="BH107" i="4"/>
  <c r="D66" i="9"/>
  <c r="D102" i="9"/>
  <c r="D84" i="9"/>
  <c r="C93" i="9"/>
  <c r="D48" i="9"/>
  <c r="BH86" i="4"/>
  <c r="BH89" i="4"/>
  <c r="CA104" i="4"/>
  <c r="U105" i="4"/>
  <c r="BG85" i="4"/>
  <c r="C102" i="9"/>
  <c r="I89" i="9"/>
  <c r="J55" i="9"/>
  <c r="I62" i="9"/>
  <c r="K91" i="9"/>
  <c r="I73" i="9"/>
  <c r="D57" i="9"/>
  <c r="J57" i="9" s="1"/>
  <c r="T77" i="4"/>
  <c r="BH80" i="4"/>
  <c r="D93" i="9"/>
  <c r="CB62" i="4"/>
  <c r="CA76" i="4"/>
  <c r="BH76" i="4"/>
  <c r="K82" i="9"/>
  <c r="BO40" i="5"/>
  <c r="J46" i="9"/>
  <c r="I27" i="9"/>
  <c r="I44" i="9"/>
  <c r="K90" i="9"/>
  <c r="I64" i="9"/>
  <c r="I54" i="9"/>
  <c r="I28" i="9"/>
  <c r="CB102" i="4"/>
  <c r="D92" i="9"/>
  <c r="CA58" i="4"/>
  <c r="L19" i="9"/>
  <c r="I26" i="9"/>
  <c r="I80" i="9"/>
  <c r="J73" i="9"/>
  <c r="J100" i="9"/>
  <c r="I98" i="9"/>
  <c r="J91" i="9"/>
  <c r="K45" i="9"/>
  <c r="J63" i="9"/>
  <c r="K19" i="9"/>
  <c r="I71" i="9"/>
  <c r="I19" i="9"/>
  <c r="J72" i="9"/>
  <c r="I8" i="9"/>
  <c r="L64" i="9"/>
  <c r="I81" i="9"/>
  <c r="I53" i="9"/>
  <c r="J10" i="9"/>
  <c r="J99" i="9"/>
  <c r="I17" i="9"/>
  <c r="U102" i="4"/>
  <c r="T104" i="4"/>
  <c r="T95" i="4"/>
  <c r="CB105" i="4"/>
  <c r="U50" i="4"/>
  <c r="CB13" i="4"/>
  <c r="C94" i="9"/>
  <c r="J94" i="9" s="1"/>
  <c r="BH22" i="4"/>
  <c r="D103" i="9"/>
  <c r="J103" i="9" s="1"/>
  <c r="D104" i="9"/>
  <c r="T94" i="4"/>
  <c r="C104" i="9"/>
  <c r="CA88" i="4"/>
  <c r="CA105" i="4"/>
  <c r="U104" i="4"/>
  <c r="CB88" i="4"/>
  <c r="D105" i="9"/>
  <c r="L105" i="9" s="1"/>
  <c r="D96" i="9"/>
  <c r="I96" i="9" s="1"/>
  <c r="U96" i="4"/>
  <c r="BG102" i="4"/>
  <c r="CB84" i="4"/>
  <c r="BH98" i="4"/>
  <c r="I87" i="9"/>
  <c r="U78" i="4"/>
  <c r="J82" i="9"/>
  <c r="J28" i="9"/>
  <c r="I35" i="9"/>
  <c r="J106" i="9"/>
  <c r="K73" i="9"/>
  <c r="K63" i="9"/>
  <c r="I18" i="9"/>
  <c r="L73" i="9"/>
  <c r="I91" i="9"/>
  <c r="J37" i="9"/>
  <c r="I72" i="9"/>
  <c r="L91" i="9"/>
  <c r="J54" i="9"/>
  <c r="I9" i="9"/>
  <c r="I90" i="9"/>
  <c r="K99" i="9"/>
  <c r="J90" i="9"/>
  <c r="K72" i="9"/>
  <c r="K64" i="9"/>
  <c r="K55" i="9"/>
  <c r="K17" i="9"/>
  <c r="K10" i="9"/>
  <c r="I63" i="9"/>
  <c r="J64" i="9"/>
  <c r="J36" i="9"/>
  <c r="J19" i="9"/>
  <c r="I100" i="9"/>
  <c r="I36" i="9"/>
  <c r="K100" i="9"/>
  <c r="K89" i="9"/>
  <c r="K80" i="9"/>
  <c r="I45" i="9"/>
  <c r="I99" i="9"/>
  <c r="K28" i="9"/>
  <c r="T93" i="4"/>
  <c r="T102" i="4"/>
  <c r="T103" i="4"/>
  <c r="BH95" i="4"/>
  <c r="BH75" i="4"/>
  <c r="CA98" i="4"/>
  <c r="U41" i="4"/>
  <c r="U94" i="4"/>
  <c r="I101" i="9"/>
  <c r="U95" i="4"/>
  <c r="C95" i="9"/>
  <c r="D77" i="9"/>
  <c r="T96" i="4"/>
  <c r="D95" i="9"/>
  <c r="C77" i="9"/>
  <c r="U77" i="4"/>
  <c r="CB79" i="4"/>
  <c r="D52" i="9"/>
  <c r="D51" i="9"/>
  <c r="C68" i="9"/>
  <c r="K78" i="9"/>
  <c r="T51" i="4"/>
  <c r="CA68" i="4"/>
  <c r="BG51" i="4"/>
  <c r="D68" i="9"/>
  <c r="C59" i="9"/>
  <c r="D20" i="9"/>
  <c r="C40" i="9"/>
  <c r="K40" i="9" s="1"/>
  <c r="CB4" i="4"/>
  <c r="CB31" i="4"/>
  <c r="BG13" i="4"/>
  <c r="I82" i="9"/>
  <c r="I46" i="9"/>
  <c r="I37" i="9"/>
  <c r="I10" i="9"/>
  <c r="L99" i="9"/>
  <c r="L90" i="9"/>
  <c r="L81" i="9"/>
  <c r="L72" i="9"/>
  <c r="L63" i="9"/>
  <c r="L54" i="9"/>
  <c r="L45" i="9"/>
  <c r="L36" i="9"/>
  <c r="L27" i="9"/>
  <c r="L18" i="9"/>
  <c r="L9" i="9"/>
  <c r="K81" i="9"/>
  <c r="K54" i="9"/>
  <c r="K36" i="9"/>
  <c r="K27" i="9"/>
  <c r="K18" i="9"/>
  <c r="K9" i="9"/>
  <c r="I55" i="9"/>
  <c r="J81" i="9"/>
  <c r="J45" i="9"/>
  <c r="J27" i="9"/>
  <c r="J18" i="9"/>
  <c r="J9" i="9"/>
  <c r="L98" i="9"/>
  <c r="L89" i="9"/>
  <c r="L80" i="9"/>
  <c r="L71" i="9"/>
  <c r="L62" i="9"/>
  <c r="L53" i="9"/>
  <c r="L44" i="9"/>
  <c r="L35" i="9"/>
  <c r="L26" i="9"/>
  <c r="L17" i="9"/>
  <c r="L8" i="9"/>
  <c r="K98" i="9"/>
  <c r="K71" i="9"/>
  <c r="K62" i="9"/>
  <c r="K53" i="9"/>
  <c r="K44" i="9"/>
  <c r="K35" i="9"/>
  <c r="K26" i="9"/>
  <c r="K8" i="9"/>
  <c r="J98" i="9"/>
  <c r="J89" i="9"/>
  <c r="J80" i="9"/>
  <c r="J71" i="9"/>
  <c r="J62" i="9"/>
  <c r="J53" i="9"/>
  <c r="J44" i="9"/>
  <c r="J35" i="9"/>
  <c r="J26" i="9"/>
  <c r="J17" i="9"/>
  <c r="J8" i="9"/>
  <c r="L100" i="9"/>
  <c r="L82" i="9"/>
  <c r="L55" i="9"/>
  <c r="L46" i="9"/>
  <c r="L37" i="9"/>
  <c r="L28" i="9"/>
  <c r="L10" i="9"/>
  <c r="K46" i="9"/>
  <c r="K37" i="9"/>
  <c r="K101" i="9"/>
  <c r="I106" i="9"/>
  <c r="I97" i="9"/>
  <c r="BH39" i="4"/>
  <c r="C86" i="9"/>
  <c r="D42" i="9"/>
  <c r="U68" i="4"/>
  <c r="U103" i="4"/>
  <c r="CA79" i="4"/>
  <c r="L101" i="9"/>
  <c r="CB96" i="4"/>
  <c r="T78" i="4"/>
  <c r="U86" i="4"/>
  <c r="J101" i="9"/>
  <c r="L106" i="9"/>
  <c r="U93" i="4"/>
  <c r="K85" i="9"/>
  <c r="L88" i="9"/>
  <c r="K88" i="9"/>
  <c r="T76" i="4"/>
  <c r="U84" i="4"/>
  <c r="CA41" i="4"/>
  <c r="T85" i="4"/>
  <c r="CB44" i="4"/>
  <c r="BH87" i="4"/>
  <c r="J75" i="9"/>
  <c r="D67" i="9"/>
  <c r="J67" i="9" s="1"/>
  <c r="D16" i="9"/>
  <c r="T86" i="4"/>
  <c r="T60" i="4"/>
  <c r="CA89" i="4"/>
  <c r="D70" i="9"/>
  <c r="BH8" i="4"/>
  <c r="L97" i="9"/>
  <c r="U85" i="4"/>
  <c r="BG50" i="4"/>
  <c r="CA93" i="4"/>
  <c r="C52" i="9"/>
  <c r="K97" i="9"/>
  <c r="L85" i="9"/>
  <c r="J97" i="9"/>
  <c r="J87" i="9"/>
  <c r="T69" i="4"/>
  <c r="T87" i="4"/>
  <c r="C74" i="9"/>
  <c r="D69" i="9"/>
  <c r="I69" i="9" s="1"/>
  <c r="J88" i="9"/>
  <c r="J85" i="9"/>
  <c r="I88" i="9"/>
  <c r="I85" i="9"/>
  <c r="T75" i="4"/>
  <c r="U87" i="4"/>
  <c r="C79" i="9"/>
  <c r="L87" i="9"/>
  <c r="U75" i="4"/>
  <c r="K87" i="9"/>
  <c r="C83" i="9"/>
  <c r="BN40" i="5" s="1"/>
  <c r="K75" i="9"/>
  <c r="T84" i="4"/>
  <c r="U76" i="4"/>
  <c r="L78" i="9"/>
  <c r="J78" i="9"/>
  <c r="CA77" i="4"/>
  <c r="D76" i="9"/>
  <c r="J76" i="9" s="1"/>
  <c r="D58" i="9"/>
  <c r="K58" i="9" s="1"/>
  <c r="I78" i="9"/>
  <c r="I75" i="9"/>
  <c r="CB77" i="4"/>
  <c r="C61" i="9"/>
  <c r="U69" i="4"/>
  <c r="BH35" i="4"/>
  <c r="U5" i="4"/>
  <c r="L75" i="9"/>
  <c r="I65" i="9"/>
  <c r="J65" i="9"/>
  <c r="K65" i="9"/>
  <c r="L65" i="9"/>
  <c r="T57" i="4"/>
  <c r="U57" i="4"/>
  <c r="BG67" i="4"/>
  <c r="C48" i="9"/>
  <c r="T66" i="4"/>
  <c r="CB66" i="4"/>
  <c r="CB48" i="4"/>
  <c r="U66" i="4"/>
  <c r="BG22" i="4"/>
  <c r="C66" i="9"/>
  <c r="T67" i="4"/>
  <c r="U67" i="4"/>
  <c r="U14" i="4"/>
  <c r="CB30" i="4"/>
  <c r="C30" i="9"/>
  <c r="L21" i="9"/>
  <c r="I3" i="9"/>
  <c r="T68" i="4"/>
  <c r="T14" i="4"/>
  <c r="U30" i="4"/>
  <c r="U42" i="4"/>
  <c r="U51" i="4"/>
  <c r="T59" i="4"/>
  <c r="D56" i="9"/>
  <c r="U60" i="4"/>
  <c r="T58" i="4"/>
  <c r="U58" i="4"/>
  <c r="C51" i="9"/>
  <c r="CA59" i="4"/>
  <c r="U59" i="4"/>
  <c r="D60" i="9"/>
  <c r="C43" i="9"/>
  <c r="D41" i="9"/>
  <c r="CB15" i="4"/>
  <c r="C6" i="9"/>
  <c r="L6" i="9" s="1"/>
  <c r="T39" i="4"/>
  <c r="C60" i="9"/>
  <c r="T48" i="4"/>
  <c r="D50" i="9"/>
  <c r="BH61" i="4"/>
  <c r="T40" i="4"/>
  <c r="U15" i="4"/>
  <c r="U33" i="4"/>
  <c r="T50" i="4"/>
  <c r="BH33" i="4"/>
  <c r="BH51" i="4"/>
  <c r="U32" i="4"/>
  <c r="T42" i="4"/>
  <c r="T49" i="4"/>
  <c r="U48" i="4"/>
  <c r="C47" i="9"/>
  <c r="U49" i="4"/>
  <c r="BG39" i="4"/>
  <c r="D49" i="9"/>
  <c r="L49" i="9" s="1"/>
  <c r="C42" i="9"/>
  <c r="D14" i="9"/>
  <c r="T15" i="4"/>
  <c r="T21" i="4"/>
  <c r="U31" i="4"/>
  <c r="C24" i="9"/>
  <c r="L24" i="9" s="1"/>
  <c r="C38" i="9"/>
  <c r="U40" i="4"/>
  <c r="T31" i="4"/>
  <c r="I29" i="9"/>
  <c r="K29" i="9"/>
  <c r="L29" i="9"/>
  <c r="D22" i="9"/>
  <c r="I22" i="9" s="1"/>
  <c r="T24" i="4"/>
  <c r="CA35" i="4"/>
  <c r="C32" i="9"/>
  <c r="BG8" i="4"/>
  <c r="CA32" i="4"/>
  <c r="BH42" i="4"/>
  <c r="CA42" i="4"/>
  <c r="J29" i="9"/>
  <c r="K21" i="9"/>
  <c r="CA44" i="4"/>
  <c r="CB32" i="4"/>
  <c r="T32" i="4"/>
  <c r="CB41" i="4"/>
  <c r="D32" i="9"/>
  <c r="BO16" i="5" s="1"/>
  <c r="BH7" i="4"/>
  <c r="CA33" i="4"/>
  <c r="L34" i="9"/>
  <c r="U39" i="4"/>
  <c r="T41" i="4"/>
  <c r="U23" i="4"/>
  <c r="T30" i="4"/>
  <c r="U24" i="4"/>
  <c r="U22" i="4"/>
  <c r="K7" i="9"/>
  <c r="CA26" i="4"/>
  <c r="D33" i="9"/>
  <c r="J33" i="9" s="1"/>
  <c r="T33" i="4"/>
  <c r="K34" i="9"/>
  <c r="D31" i="9"/>
  <c r="I34" i="9"/>
  <c r="J21" i="9"/>
  <c r="BH24" i="4"/>
  <c r="CB25" i="4"/>
  <c r="D15" i="9"/>
  <c r="T5" i="4"/>
  <c r="J34" i="9"/>
  <c r="CA23" i="4"/>
  <c r="CA17" i="4"/>
  <c r="C31" i="9"/>
  <c r="I21" i="9"/>
  <c r="C20" i="9"/>
  <c r="C15" i="9"/>
  <c r="K23" i="9"/>
  <c r="L23" i="9"/>
  <c r="I23" i="9"/>
  <c r="J23" i="9"/>
  <c r="CB14" i="4"/>
  <c r="CB26" i="4"/>
  <c r="U21" i="4"/>
  <c r="T22" i="4"/>
  <c r="CA14" i="4"/>
  <c r="T3" i="4"/>
  <c r="CB5" i="4"/>
  <c r="D25" i="9"/>
  <c r="C13" i="9"/>
  <c r="CA15" i="4"/>
  <c r="C14" i="9"/>
  <c r="U13" i="4"/>
  <c r="CB6" i="4"/>
  <c r="T23" i="4"/>
  <c r="I12" i="9"/>
  <c r="C4" i="9"/>
  <c r="I7" i="9"/>
  <c r="U4" i="4"/>
  <c r="CB3" i="4"/>
  <c r="L12" i="9"/>
  <c r="T12" i="4"/>
  <c r="K12" i="9"/>
  <c r="U12" i="4"/>
  <c r="D11" i="9"/>
  <c r="J12" i="9"/>
  <c r="T13" i="4"/>
  <c r="C11" i="9"/>
  <c r="C2" i="9"/>
  <c r="D13" i="9"/>
  <c r="C5" i="9"/>
  <c r="BO6" i="5" s="1"/>
  <c r="L7" i="9"/>
  <c r="T4" i="4"/>
  <c r="J7" i="9"/>
  <c r="CA6" i="4"/>
  <c r="U3" i="4"/>
  <c r="L3" i="9"/>
  <c r="K3" i="9"/>
  <c r="J3" i="9"/>
  <c r="H5" i="5"/>
  <c r="H17" i="5"/>
  <c r="AA17" i="5" s="1"/>
  <c r="H41" i="5"/>
  <c r="AA41" i="5" s="1"/>
  <c r="H8" i="5"/>
  <c r="AA8" i="5" s="1"/>
  <c r="H20" i="5"/>
  <c r="H32" i="5"/>
  <c r="AA32" i="5" s="1"/>
  <c r="H44" i="5"/>
  <c r="H11" i="5"/>
  <c r="H23" i="5"/>
  <c r="AA23" i="5" s="1"/>
  <c r="H47" i="5"/>
  <c r="AA47" i="5" s="1"/>
  <c r="H10" i="5"/>
  <c r="AA10" i="5" s="1"/>
  <c r="H22" i="5"/>
  <c r="AA22" i="5" s="1"/>
  <c r="H34" i="5"/>
  <c r="AA34" i="5" s="1"/>
  <c r="H46" i="5"/>
  <c r="AA46" i="5" s="1"/>
  <c r="H9" i="5"/>
  <c r="AA9" i="5" s="1"/>
  <c r="H21" i="5"/>
  <c r="AA21" i="5" s="1"/>
  <c r="H45" i="5"/>
  <c r="H12" i="5"/>
  <c r="AA12" i="5" s="1"/>
  <c r="H24" i="5"/>
  <c r="H36" i="5"/>
  <c r="H48" i="5"/>
  <c r="H42" i="5"/>
  <c r="AA42" i="5" s="1"/>
  <c r="H15" i="5"/>
  <c r="AA15" i="5" s="1"/>
  <c r="H27" i="5"/>
  <c r="AA27" i="5" s="1"/>
  <c r="H39" i="5"/>
  <c r="H51" i="5"/>
  <c r="AA51" i="5" s="1"/>
  <c r="H30" i="5"/>
  <c r="AA30" i="5" s="1"/>
  <c r="H14" i="5"/>
  <c r="AA14" i="5" s="1"/>
  <c r="H26" i="5"/>
  <c r="AA26" i="5" s="1"/>
  <c r="H38" i="5"/>
  <c r="AA38" i="5" s="1"/>
  <c r="H50" i="5"/>
  <c r="AA50" i="5" s="1"/>
  <c r="H13" i="5"/>
  <c r="AA13" i="5" s="1"/>
  <c r="H25" i="5"/>
  <c r="H37" i="5"/>
  <c r="AA37" i="5" s="1"/>
  <c r="H49" i="5"/>
  <c r="AA49" i="5" s="1"/>
  <c r="AU23" i="4"/>
  <c r="AU24" i="4"/>
  <c r="AU41" i="4"/>
  <c r="AU42" i="4"/>
  <c r="AU68" i="4"/>
  <c r="AU105" i="4"/>
  <c r="AU104" i="4"/>
  <c r="AU12" i="4"/>
  <c r="AU48" i="4"/>
  <c r="AU75" i="4"/>
  <c r="AU84" i="4"/>
  <c r="AU13" i="4"/>
  <c r="AU49" i="4"/>
  <c r="AU76" i="4"/>
  <c r="AU85" i="4"/>
  <c r="AU14" i="4"/>
  <c r="AU50" i="4"/>
  <c r="AU77" i="4"/>
  <c r="AU86" i="4"/>
  <c r="AU15" i="4"/>
  <c r="AU51" i="4"/>
  <c r="AU78" i="4"/>
  <c r="AU87" i="4"/>
  <c r="AU30" i="4"/>
  <c r="AU3" i="4"/>
  <c r="AU57" i="4"/>
  <c r="AU93" i="4"/>
  <c r="AU31" i="4"/>
  <c r="AU4" i="4"/>
  <c r="AU94" i="4"/>
  <c r="AU32" i="4"/>
  <c r="AU5" i="4"/>
  <c r="AU59" i="4"/>
  <c r="AU95" i="4"/>
  <c r="AU33" i="4"/>
  <c r="AU60" i="4"/>
  <c r="AU96" i="4"/>
  <c r="AU21" i="4"/>
  <c r="AU39" i="4"/>
  <c r="AU66" i="4"/>
  <c r="AU102" i="4"/>
  <c r="AU22" i="4"/>
  <c r="AU40" i="4"/>
  <c r="AU67" i="4"/>
  <c r="AU103" i="4"/>
  <c r="CB103" i="4"/>
  <c r="K48" i="4"/>
  <c r="CB94" i="4"/>
  <c r="J57" i="4"/>
  <c r="CB22" i="4"/>
  <c r="BG107" i="4"/>
  <c r="BH58" i="4"/>
  <c r="K66" i="4"/>
  <c r="J30" i="4"/>
  <c r="BH40" i="4"/>
  <c r="CB76" i="4"/>
  <c r="CB49" i="4"/>
  <c r="BH67" i="4"/>
  <c r="K106" i="4"/>
  <c r="K49" i="4"/>
  <c r="K67" i="4"/>
  <c r="CB107" i="4"/>
  <c r="BG104" i="4"/>
  <c r="BG95" i="4"/>
  <c r="K53" i="4"/>
  <c r="M71" i="4"/>
  <c r="K107" i="4"/>
  <c r="CB95" i="4"/>
  <c r="J95" i="4"/>
  <c r="K95" i="4"/>
  <c r="CA96" i="4"/>
  <c r="L95" i="4"/>
  <c r="L104" i="4"/>
  <c r="K104" i="4"/>
  <c r="J98" i="4"/>
  <c r="J105" i="4"/>
  <c r="BG105" i="4"/>
  <c r="K103" i="4"/>
  <c r="J107" i="4"/>
  <c r="CB85" i="4"/>
  <c r="CB98" i="4"/>
  <c r="L107" i="4"/>
  <c r="L106" i="4"/>
  <c r="M107" i="4"/>
  <c r="BH105" i="4"/>
  <c r="K94" i="4"/>
  <c r="K85" i="4"/>
  <c r="L94" i="4"/>
  <c r="L76" i="4"/>
  <c r="L85" i="4"/>
  <c r="M94" i="4"/>
  <c r="CA67" i="4"/>
  <c r="M76" i="4"/>
  <c r="J34" i="4"/>
  <c r="J52" i="4"/>
  <c r="M70" i="4"/>
  <c r="M97" i="4"/>
  <c r="M106" i="4"/>
  <c r="BG60" i="4"/>
  <c r="M85" i="4"/>
  <c r="J94" i="4"/>
  <c r="M103" i="4"/>
  <c r="M104" i="4"/>
  <c r="J96" i="4"/>
  <c r="CB86" i="4"/>
  <c r="CB75" i="4"/>
  <c r="M84" i="4"/>
  <c r="L75" i="4"/>
  <c r="K102" i="4"/>
  <c r="L49" i="4"/>
  <c r="L102" i="4"/>
  <c r="CA103" i="4"/>
  <c r="M102" i="4"/>
  <c r="BG76" i="4"/>
  <c r="BH84" i="4"/>
  <c r="CA94" i="4"/>
  <c r="J76" i="4"/>
  <c r="J93" i="4"/>
  <c r="J104" i="4"/>
  <c r="J67" i="4"/>
  <c r="K76" i="4"/>
  <c r="J85" i="4"/>
  <c r="K93" i="4"/>
  <c r="L93" i="4"/>
  <c r="J103" i="4"/>
  <c r="BH66" i="4"/>
  <c r="L103" i="4"/>
  <c r="BG93" i="4"/>
  <c r="K75" i="4"/>
  <c r="M93" i="4"/>
  <c r="BH102" i="4"/>
  <c r="CA85" i="4"/>
  <c r="BH93" i="4"/>
  <c r="J31" i="4"/>
  <c r="M75" i="4"/>
  <c r="CA102" i="4"/>
  <c r="L80" i="4"/>
  <c r="M96" i="4"/>
  <c r="L105" i="4"/>
  <c r="BH31" i="4"/>
  <c r="CB39" i="4"/>
  <c r="CB70" i="4"/>
  <c r="BH106" i="4"/>
  <c r="M40" i="4"/>
  <c r="J49" i="4"/>
  <c r="BH96" i="4"/>
  <c r="CA106" i="4"/>
  <c r="K96" i="4"/>
  <c r="K105" i="4"/>
  <c r="BG106" i="4"/>
  <c r="M105" i="4"/>
  <c r="J84" i="4"/>
  <c r="M95" i="4"/>
  <c r="BG75" i="4"/>
  <c r="CB104" i="4"/>
  <c r="M86" i="4"/>
  <c r="K84" i="4"/>
  <c r="L96" i="4"/>
  <c r="J102" i="4"/>
  <c r="J106" i="4"/>
  <c r="CB89" i="4"/>
  <c r="BG84" i="4"/>
  <c r="K52" i="4"/>
  <c r="K88" i="4"/>
  <c r="L84" i="4"/>
  <c r="M88" i="4"/>
  <c r="M59" i="4"/>
  <c r="L88" i="4"/>
  <c r="BH97" i="4"/>
  <c r="L97" i="4"/>
  <c r="BG97" i="4"/>
  <c r="K89" i="4"/>
  <c r="J89" i="4"/>
  <c r="CA78" i="4"/>
  <c r="BH88" i="4"/>
  <c r="CA97" i="4"/>
  <c r="L89" i="4"/>
  <c r="J97" i="4"/>
  <c r="J75" i="4"/>
  <c r="K97" i="4"/>
  <c r="CA80" i="4"/>
  <c r="BG89" i="4"/>
  <c r="BG98" i="4"/>
  <c r="L53" i="4"/>
  <c r="K98" i="4"/>
  <c r="M98" i="4"/>
  <c r="CB80" i="4"/>
  <c r="L60" i="4"/>
  <c r="L98" i="4"/>
  <c r="CB43" i="4"/>
  <c r="K77" i="4"/>
  <c r="K86" i="4"/>
  <c r="J86" i="4"/>
  <c r="L68" i="4"/>
  <c r="J87" i="4"/>
  <c r="BG86" i="4"/>
  <c r="J79" i="4"/>
  <c r="M89" i="4"/>
  <c r="CB59" i="4"/>
  <c r="BG69" i="4"/>
  <c r="CA84" i="4"/>
  <c r="BG88" i="4"/>
  <c r="L77" i="4"/>
  <c r="K68" i="4"/>
  <c r="BH77" i="4"/>
  <c r="CB87" i="4"/>
  <c r="M87" i="4"/>
  <c r="M79" i="4"/>
  <c r="J77" i="4"/>
  <c r="CB68" i="4"/>
  <c r="CA87" i="4"/>
  <c r="K87" i="4"/>
  <c r="L71" i="4"/>
  <c r="K80" i="4"/>
  <c r="J88" i="4"/>
  <c r="L87" i="4"/>
  <c r="CA86" i="4"/>
  <c r="L86" i="4"/>
  <c r="M60" i="4"/>
  <c r="M78" i="4"/>
  <c r="M77" i="4"/>
  <c r="J68" i="4"/>
  <c r="CA50" i="4"/>
  <c r="BG66" i="4"/>
  <c r="BG77" i="4"/>
  <c r="BH78" i="4"/>
  <c r="L61" i="4"/>
  <c r="CB78" i="4"/>
  <c r="CB51" i="4"/>
  <c r="M34" i="4"/>
  <c r="J59" i="4"/>
  <c r="J69" i="4"/>
  <c r="CB60" i="4"/>
  <c r="BH69" i="4"/>
  <c r="BG79" i="4"/>
  <c r="L43" i="4"/>
  <c r="M80" i="4"/>
  <c r="K79" i="4"/>
  <c r="BG25" i="4"/>
  <c r="M61" i="4"/>
  <c r="K59" i="4"/>
  <c r="L66" i="4"/>
  <c r="K69" i="4"/>
  <c r="L78" i="4"/>
  <c r="BG52" i="4"/>
  <c r="BH79" i="4"/>
  <c r="K61" i="4"/>
  <c r="BH60" i="4"/>
  <c r="L59" i="4"/>
  <c r="L69" i="4"/>
  <c r="J78" i="4"/>
  <c r="L79" i="4"/>
  <c r="CB34" i="4"/>
  <c r="BH52" i="4"/>
  <c r="BG59" i="4"/>
  <c r="BG61" i="4"/>
  <c r="J61" i="4"/>
  <c r="K78" i="4"/>
  <c r="J70" i="4"/>
  <c r="BG53" i="4"/>
  <c r="CB61" i="4"/>
  <c r="J80" i="4"/>
  <c r="K60" i="4"/>
  <c r="L70" i="4"/>
  <c r="L51" i="4"/>
  <c r="M69" i="4"/>
  <c r="BG68" i="4"/>
  <c r="BG70" i="4"/>
  <c r="CA66" i="4"/>
  <c r="BG44" i="4"/>
  <c r="BH53" i="4"/>
  <c r="J62" i="4"/>
  <c r="L67" i="4"/>
  <c r="K70" i="4"/>
  <c r="BH44" i="4"/>
  <c r="CA70" i="4"/>
  <c r="L44" i="4"/>
  <c r="L52" i="4"/>
  <c r="L62" i="4"/>
  <c r="M67" i="4"/>
  <c r="CA22" i="4"/>
  <c r="BG62" i="4"/>
  <c r="BG71" i="4"/>
  <c r="L25" i="4"/>
  <c r="M50" i="4"/>
  <c r="K62" i="4"/>
  <c r="J22" i="4"/>
  <c r="J33" i="4"/>
  <c r="M44" i="4"/>
  <c r="M52" i="4"/>
  <c r="J60" i="4"/>
  <c r="M62" i="4"/>
  <c r="K71" i="4"/>
  <c r="M68" i="4"/>
  <c r="BH62" i="4"/>
  <c r="BH71" i="4"/>
  <c r="K24" i="4"/>
  <c r="CA71" i="4"/>
  <c r="J66" i="4"/>
  <c r="BG35" i="4"/>
  <c r="K57" i="4"/>
  <c r="J71" i="4"/>
  <c r="L57" i="4"/>
  <c r="K22" i="4"/>
  <c r="K31" i="4"/>
  <c r="L39" i="4"/>
  <c r="BH30" i="4"/>
  <c r="L22" i="4"/>
  <c r="L31" i="4"/>
  <c r="BG40" i="4"/>
  <c r="CA49" i="4"/>
  <c r="M57" i="4"/>
  <c r="M22" i="4"/>
  <c r="M31" i="4"/>
  <c r="J58" i="4"/>
  <c r="BG58" i="4"/>
  <c r="J39" i="4"/>
  <c r="J40" i="4"/>
  <c r="J48" i="4"/>
  <c r="K58" i="4"/>
  <c r="K40" i="4"/>
  <c r="L48" i="4"/>
  <c r="L58" i="4"/>
  <c r="BG31" i="4"/>
  <c r="CA40" i="4"/>
  <c r="CA57" i="4"/>
  <c r="CB57" i="4"/>
  <c r="L40" i="4"/>
  <c r="M48" i="4"/>
  <c r="BG48" i="4"/>
  <c r="BH48" i="4"/>
  <c r="K39" i="4"/>
  <c r="BG57" i="4"/>
  <c r="K30" i="4"/>
  <c r="J50" i="4"/>
  <c r="BG26" i="4"/>
  <c r="BH17" i="4"/>
  <c r="K51" i="4"/>
  <c r="M43" i="4"/>
  <c r="M51" i="4"/>
  <c r="BH21" i="4"/>
  <c r="CA51" i="4"/>
  <c r="M53" i="4"/>
  <c r="BG17" i="4"/>
  <c r="L35" i="4"/>
  <c r="J51" i="4"/>
  <c r="CA48" i="4"/>
  <c r="BH50" i="4"/>
  <c r="J44" i="4"/>
  <c r="K33" i="4"/>
  <c r="CA52" i="4"/>
  <c r="K8" i="4"/>
  <c r="M39" i="4"/>
  <c r="K44" i="4"/>
  <c r="K34" i="4"/>
  <c r="CB50" i="4"/>
  <c r="K50" i="4"/>
  <c r="CA53" i="4"/>
  <c r="L50" i="4"/>
  <c r="J53" i="4"/>
  <c r="CA8" i="4"/>
  <c r="L41" i="4"/>
  <c r="BG16" i="4"/>
  <c r="CB35" i="4"/>
  <c r="M41" i="4"/>
  <c r="BG33" i="4"/>
  <c r="CB23" i="4"/>
  <c r="M14" i="4"/>
  <c r="BG32" i="4"/>
  <c r="J35" i="4"/>
  <c r="CB8" i="4"/>
  <c r="BH15" i="4"/>
  <c r="BH32" i="4"/>
  <c r="BG34" i="4"/>
  <c r="CA39" i="4"/>
  <c r="BH41" i="4"/>
  <c r="BG43" i="4"/>
  <c r="L42" i="4"/>
  <c r="CB33" i="4"/>
  <c r="CB42" i="4"/>
  <c r="J8" i="4"/>
  <c r="M24" i="4"/>
  <c r="J32" i="4"/>
  <c r="K35" i="4"/>
  <c r="M42" i="4"/>
  <c r="L34" i="4"/>
  <c r="BG41" i="4"/>
  <c r="K32" i="4"/>
  <c r="L26" i="4"/>
  <c r="L32" i="4"/>
  <c r="M35" i="4"/>
  <c r="J43" i="4"/>
  <c r="K16" i="4"/>
  <c r="M32" i="4"/>
  <c r="J41" i="4"/>
  <c r="K43" i="4"/>
  <c r="CA24" i="4"/>
  <c r="CA34" i="4"/>
  <c r="K41" i="4"/>
  <c r="CB24" i="4"/>
  <c r="J42" i="4"/>
  <c r="L33" i="4"/>
  <c r="BG42" i="4"/>
  <c r="K15" i="4"/>
  <c r="M33" i="4"/>
  <c r="L15" i="4"/>
  <c r="L23" i="4"/>
  <c r="BH14" i="4"/>
  <c r="M26" i="4"/>
  <c r="J16" i="4"/>
  <c r="K25" i="4"/>
  <c r="M15" i="4"/>
  <c r="K42" i="4"/>
  <c r="BG7" i="4"/>
  <c r="BH26" i="4"/>
  <c r="L30" i="4"/>
  <c r="CA30" i="4"/>
  <c r="J21" i="4"/>
  <c r="K21" i="4"/>
  <c r="BG21" i="4"/>
  <c r="M21" i="4"/>
  <c r="L21" i="4"/>
  <c r="BG30" i="4"/>
  <c r="K14" i="4"/>
  <c r="J25" i="4"/>
  <c r="CB7" i="4"/>
  <c r="K17" i="4"/>
  <c r="M25" i="4"/>
  <c r="L8" i="4"/>
  <c r="J17" i="4"/>
  <c r="BG23" i="4"/>
  <c r="L17" i="4"/>
  <c r="M17" i="4"/>
  <c r="J26" i="4"/>
  <c r="BH6" i="4"/>
  <c r="BH25" i="4"/>
  <c r="K4" i="4"/>
  <c r="J14" i="4"/>
  <c r="M16" i="4"/>
  <c r="L14" i="4"/>
  <c r="M7" i="4"/>
  <c r="J15" i="4"/>
  <c r="K23" i="4"/>
  <c r="K26" i="4"/>
  <c r="BG14" i="4"/>
  <c r="BH16" i="4"/>
  <c r="L16" i="4"/>
  <c r="M23" i="4"/>
  <c r="J24" i="4"/>
  <c r="BG24" i="4"/>
  <c r="L24" i="4"/>
  <c r="BH3" i="4"/>
  <c r="BG4" i="4"/>
  <c r="BH4" i="4"/>
  <c r="J4" i="4"/>
  <c r="J13" i="4"/>
  <c r="CA4" i="4"/>
  <c r="L13" i="4"/>
  <c r="BH13" i="4"/>
  <c r="K13" i="4"/>
  <c r="M13" i="4"/>
  <c r="L4" i="4"/>
  <c r="CA13" i="4"/>
  <c r="L12" i="4"/>
  <c r="CB12" i="4"/>
  <c r="J12" i="4"/>
  <c r="K5" i="4"/>
  <c r="CA12" i="4"/>
  <c r="K12" i="4"/>
  <c r="BG15" i="4"/>
  <c r="BG6" i="4"/>
  <c r="BG12" i="4"/>
  <c r="J6" i="4"/>
  <c r="K6" i="4"/>
  <c r="J7" i="4"/>
  <c r="BG5" i="4"/>
  <c r="CA5" i="4"/>
  <c r="K7" i="4"/>
  <c r="BH5" i="4"/>
  <c r="J5" i="4"/>
  <c r="M8" i="4"/>
  <c r="L5" i="4"/>
  <c r="M6" i="4"/>
  <c r="CA3" i="4"/>
  <c r="K3" i="4"/>
  <c r="BG3" i="4"/>
  <c r="J3" i="4"/>
  <c r="M12" i="4"/>
  <c r="J23" i="4"/>
  <c r="M30" i="4"/>
  <c r="L6" i="4"/>
  <c r="AY105" i="4"/>
  <c r="BK105" i="4"/>
  <c r="CE105" i="4" s="1"/>
  <c r="M58" i="4"/>
  <c r="AP103" i="4"/>
  <c r="M49" i="4"/>
  <c r="BK42" i="4"/>
  <c r="CE42" i="4" s="1"/>
  <c r="BK103" i="4"/>
  <c r="CE103" i="4" s="1"/>
  <c r="AP105" i="4"/>
  <c r="AY21" i="4"/>
  <c r="AP24" i="4"/>
  <c r="AY59" i="4"/>
  <c r="AP31" i="4"/>
  <c r="BK78" i="4"/>
  <c r="CE78" i="4" s="1"/>
  <c r="BK21" i="4"/>
  <c r="CE21" i="4" s="1"/>
  <c r="AP23" i="4"/>
  <c r="BK68" i="4"/>
  <c r="CE68" i="4" s="1"/>
  <c r="AY24" i="4"/>
  <c r="AY23" i="4"/>
  <c r="BK84" i="4"/>
  <c r="CE84" i="4" s="1"/>
  <c r="AP86" i="4"/>
  <c r="AY76" i="4"/>
  <c r="BK93" i="4"/>
  <c r="CE93" i="4" s="1"/>
  <c r="AP95" i="4"/>
  <c r="AP59" i="4"/>
  <c r="AY78" i="4"/>
  <c r="BK95" i="4"/>
  <c r="CE95" i="4" s="1"/>
  <c r="M66" i="4"/>
  <c r="AP15" i="4"/>
  <c r="AP40" i="4"/>
  <c r="AP66" i="4"/>
  <c r="AP94" i="4"/>
  <c r="AP96" i="4"/>
  <c r="BK104" i="4"/>
  <c r="CE104" i="4" s="1"/>
  <c r="AY22" i="4"/>
  <c r="AY66" i="4"/>
  <c r="AY94" i="4"/>
  <c r="AY95" i="4"/>
  <c r="AY96" i="4"/>
  <c r="AY14" i="4"/>
  <c r="BK33" i="4"/>
  <c r="CE33" i="4" s="1"/>
  <c r="BK76" i="4"/>
  <c r="AP78" i="4"/>
  <c r="AY93" i="4"/>
  <c r="BK57" i="4"/>
  <c r="CE57" i="4" s="1"/>
  <c r="BK31" i="4"/>
  <c r="CE31" i="4" s="1"/>
  <c r="BK102" i="4"/>
  <c r="CE102" i="4" s="1"/>
  <c r="AP39" i="4"/>
  <c r="BK59" i="4"/>
  <c r="CE59" i="4" s="1"/>
  <c r="AP68" i="4"/>
  <c r="BK86" i="4"/>
  <c r="CE86" i="4" s="1"/>
  <c r="BK14" i="4"/>
  <c r="CE14" i="4" s="1"/>
  <c r="BK94" i="4"/>
  <c r="CE94" i="4" s="1"/>
  <c r="AP102" i="4"/>
  <c r="AP104" i="4"/>
  <c r="AY102" i="4"/>
  <c r="AY104" i="4"/>
  <c r="BK48" i="4"/>
  <c r="CE48" i="4" s="1"/>
  <c r="CE96" i="4"/>
  <c r="AY12" i="4"/>
  <c r="AY33" i="4"/>
  <c r="AP42" i="4"/>
  <c r="AY48" i="4"/>
  <c r="AY49" i="4"/>
  <c r="AP57" i="4"/>
  <c r="AY84" i="4"/>
  <c r="AP85" i="4"/>
  <c r="BK32" i="4"/>
  <c r="BK60" i="4"/>
  <c r="CE60" i="4" s="1"/>
  <c r="BK67" i="4"/>
  <c r="AY77" i="4"/>
  <c r="AP14" i="4"/>
  <c r="CE23" i="4"/>
  <c r="BK39" i="4"/>
  <c r="BK40" i="4"/>
  <c r="AP41" i="4"/>
  <c r="AY68" i="4"/>
  <c r="BK13" i="4"/>
  <c r="AP22" i="4"/>
  <c r="BK75" i="4"/>
  <c r="AY85" i="4"/>
  <c r="BK12" i="4"/>
  <c r="CE12" i="4" s="1"/>
  <c r="AP30" i="4"/>
  <c r="AY41" i="4"/>
  <c r="AP51" i="4"/>
  <c r="BK77" i="4"/>
  <c r="AP87" i="4"/>
  <c r="BK49" i="4"/>
  <c r="AP50" i="4"/>
  <c r="AY30" i="4"/>
  <c r="AP32" i="4"/>
  <c r="AY51" i="4"/>
  <c r="AP60" i="4"/>
  <c r="AP67" i="4"/>
  <c r="AY87" i="4"/>
  <c r="AY15" i="4"/>
  <c r="AY50" i="4"/>
  <c r="AY31" i="4"/>
  <c r="AP13" i="4"/>
  <c r="AP75" i="4"/>
  <c r="AP12" i="4"/>
  <c r="BK30" i="4"/>
  <c r="AY13" i="4"/>
  <c r="AP48" i="4"/>
  <c r="BK50" i="4"/>
  <c r="BK66" i="4"/>
  <c r="AY75" i="4"/>
  <c r="CE87" i="4"/>
  <c r="CE85" i="4"/>
  <c r="CE51" i="4"/>
  <c r="CE41" i="4"/>
  <c r="CE22" i="4"/>
  <c r="CE24" i="4"/>
  <c r="CE15" i="4"/>
  <c r="M3" i="4"/>
  <c r="BK4" i="4"/>
  <c r="CE4" i="4" s="1"/>
  <c r="BK5" i="4"/>
  <c r="CE5" i="4" s="1"/>
  <c r="BK3" i="4"/>
  <c r="CE3" i="4" s="1"/>
  <c r="AY5" i="4"/>
  <c r="L3" i="4"/>
  <c r="O6" i="4"/>
  <c r="H7" i="5" s="1"/>
  <c r="AA7" i="5" s="1"/>
  <c r="L7" i="4"/>
  <c r="M4" i="4"/>
  <c r="M5" i="4"/>
  <c r="AY3" i="4"/>
  <c r="AY4" i="4"/>
  <c r="W96" i="4"/>
  <c r="W93" i="4"/>
  <c r="W87" i="4"/>
  <c r="W86" i="4"/>
  <c r="W84" i="4"/>
  <c r="W77" i="4"/>
  <c r="O69" i="4"/>
  <c r="O58" i="4"/>
  <c r="W51" i="4"/>
  <c r="W49" i="4"/>
  <c r="W33" i="4"/>
  <c r="W22" i="4"/>
  <c r="W23" i="4"/>
  <c r="W15" i="4"/>
  <c r="W5" i="4"/>
  <c r="W103" i="4"/>
  <c r="W85" i="4"/>
  <c r="W76" i="4"/>
  <c r="W42" i="4"/>
  <c r="W39" i="4"/>
  <c r="W40" i="4"/>
  <c r="W32" i="4"/>
  <c r="AP3" i="4"/>
  <c r="AP4" i="4"/>
  <c r="W21" i="4"/>
  <c r="W41" i="4"/>
  <c r="W24" i="4"/>
  <c r="W67" i="4"/>
  <c r="W57" i="4"/>
  <c r="W60" i="4"/>
  <c r="J39" i="9" l="1"/>
  <c r="BO18" i="5"/>
  <c r="Y8" i="5"/>
  <c r="BI8" i="5"/>
  <c r="Y30" i="5"/>
  <c r="BI30" i="5"/>
  <c r="Y17" i="5"/>
  <c r="BI17" i="5"/>
  <c r="Y39" i="5"/>
  <c r="BI39" i="5"/>
  <c r="BN39" i="5" s="1"/>
  <c r="Y10" i="5"/>
  <c r="BI10" i="5"/>
  <c r="Y13" i="5"/>
  <c r="BI13" i="5"/>
  <c r="Y11" i="5"/>
  <c r="BI11" i="5"/>
  <c r="Y50" i="5"/>
  <c r="BI50" i="5"/>
  <c r="BN50" i="5" s="1"/>
  <c r="Y24" i="5"/>
  <c r="BI24" i="5"/>
  <c r="Y44" i="5"/>
  <c r="BI44" i="5"/>
  <c r="Y14" i="5"/>
  <c r="BI14" i="5"/>
  <c r="BO14" i="5" s="1"/>
  <c r="Y51" i="5"/>
  <c r="BI51" i="5"/>
  <c r="Y5" i="5"/>
  <c r="BI5" i="5"/>
  <c r="BN5" i="5" s="1"/>
  <c r="Y22" i="5"/>
  <c r="BI22" i="5"/>
  <c r="BN22" i="5" s="1"/>
  <c r="Y49" i="5"/>
  <c r="BI49" i="5"/>
  <c r="BO49" i="5" s="1"/>
  <c r="Y36" i="5"/>
  <c r="BI36" i="5"/>
  <c r="BN36" i="5" s="1"/>
  <c r="Y12" i="5"/>
  <c r="BI12" i="5"/>
  <c r="BN12" i="5" s="1"/>
  <c r="Y32" i="5"/>
  <c r="BI32" i="5"/>
  <c r="BN32" i="5" s="1"/>
  <c r="BO44" i="5"/>
  <c r="BN13" i="5"/>
  <c r="Y41" i="5"/>
  <c r="BI41" i="5"/>
  <c r="BN41" i="5" s="1"/>
  <c r="Y42" i="5"/>
  <c r="BI42" i="5"/>
  <c r="BN42" i="5" s="1"/>
  <c r="Y20" i="5"/>
  <c r="BI20" i="5"/>
  <c r="BN20" i="5" s="1"/>
  <c r="Y21" i="5"/>
  <c r="BI21" i="5"/>
  <c r="Y46" i="5"/>
  <c r="BI46" i="5"/>
  <c r="BO46" i="5" s="1"/>
  <c r="Y34" i="5"/>
  <c r="BI34" i="5"/>
  <c r="BN34" i="5" s="1"/>
  <c r="Y27" i="5"/>
  <c r="BI27" i="5"/>
  <c r="Y37" i="5"/>
  <c r="BI37" i="5"/>
  <c r="BO37" i="5" s="1"/>
  <c r="Y47" i="5"/>
  <c r="BI47" i="5"/>
  <c r="BN47" i="5" s="1"/>
  <c r="Y25" i="5"/>
  <c r="BI25" i="5"/>
  <c r="BO25" i="5" s="1"/>
  <c r="Y48" i="5"/>
  <c r="BI48" i="5"/>
  <c r="BO48" i="5" s="1"/>
  <c r="Y23" i="5"/>
  <c r="BI23" i="5"/>
  <c r="BO10" i="5"/>
  <c r="BO39" i="5"/>
  <c r="Y45" i="5"/>
  <c r="BI45" i="5"/>
  <c r="BO45" i="5" s="1"/>
  <c r="Y38" i="5"/>
  <c r="BI38" i="5"/>
  <c r="BN38" i="5" s="1"/>
  <c r="Y26" i="5"/>
  <c r="BI26" i="5"/>
  <c r="BN26" i="5" s="1"/>
  <c r="Y19" i="5"/>
  <c r="BI19" i="5"/>
  <c r="BN19" i="5" s="1"/>
  <c r="Y15" i="5"/>
  <c r="BI15" i="5"/>
  <c r="BO15" i="5" s="1"/>
  <c r="Y9" i="5"/>
  <c r="BI9" i="5"/>
  <c r="U6" i="4"/>
  <c r="Y7" i="5"/>
  <c r="BI7" i="5"/>
  <c r="BO7" i="5" s="1"/>
  <c r="T6" i="4"/>
  <c r="BN51" i="5"/>
  <c r="I39" i="9"/>
  <c r="K39" i="9"/>
  <c r="I84" i="9"/>
  <c r="L84" i="9"/>
  <c r="J84" i="9"/>
  <c r="BN27" i="5"/>
  <c r="K84" i="9"/>
  <c r="J102" i="9"/>
  <c r="L102" i="9"/>
  <c r="K102" i="9"/>
  <c r="I102" i="9"/>
  <c r="J93" i="9"/>
  <c r="K93" i="9"/>
  <c r="L57" i="9"/>
  <c r="I57" i="9"/>
  <c r="K57" i="9"/>
  <c r="I92" i="9"/>
  <c r="I93" i="9"/>
  <c r="L92" i="9"/>
  <c r="L93" i="9"/>
  <c r="BN10" i="5"/>
  <c r="K92" i="9"/>
  <c r="K94" i="9"/>
  <c r="L94" i="9"/>
  <c r="K103" i="9"/>
  <c r="BM6" i="5"/>
  <c r="J92" i="9"/>
  <c r="BN24" i="5"/>
  <c r="BO51" i="5"/>
  <c r="BM40" i="5"/>
  <c r="BN30" i="5"/>
  <c r="BO30" i="5"/>
  <c r="BO8" i="5"/>
  <c r="BN11" i="5"/>
  <c r="BO11" i="5"/>
  <c r="BO4" i="5"/>
  <c r="BN45" i="5"/>
  <c r="BN44" i="5"/>
  <c r="I86" i="9"/>
  <c r="BN43" i="5"/>
  <c r="BM43" i="5" s="1"/>
  <c r="BO41" i="5"/>
  <c r="I79" i="9"/>
  <c r="K74" i="9"/>
  <c r="L70" i="9"/>
  <c r="BO33" i="5"/>
  <c r="BO32" i="5"/>
  <c r="BN33" i="5"/>
  <c r="I61" i="9"/>
  <c r="BN31" i="5"/>
  <c r="I59" i="9"/>
  <c r="BO31" i="5"/>
  <c r="BN28" i="5"/>
  <c r="K56" i="9"/>
  <c r="BO28" i="5"/>
  <c r="K50" i="9"/>
  <c r="BO27" i="5"/>
  <c r="BN25" i="5"/>
  <c r="J48" i="9"/>
  <c r="BO26" i="5"/>
  <c r="BO24" i="5"/>
  <c r="I43" i="9"/>
  <c r="BN21" i="5"/>
  <c r="BN23" i="5"/>
  <c r="J38" i="9"/>
  <c r="BO21" i="5"/>
  <c r="K41" i="9"/>
  <c r="BO23" i="5"/>
  <c r="K30" i="9"/>
  <c r="BN18" i="5"/>
  <c r="BM18" i="5" s="1"/>
  <c r="BN17" i="5"/>
  <c r="BN16" i="5"/>
  <c r="BM16" i="5" s="1"/>
  <c r="BO17" i="5"/>
  <c r="BO12" i="5"/>
  <c r="L25" i="9"/>
  <c r="BO13" i="5"/>
  <c r="K16" i="9"/>
  <c r="BO9" i="5"/>
  <c r="BN8" i="5"/>
  <c r="BN9" i="5"/>
  <c r="J4" i="9"/>
  <c r="BN7" i="5"/>
  <c r="K2" i="9"/>
  <c r="BN4" i="5"/>
  <c r="K104" i="9"/>
  <c r="L103" i="9"/>
  <c r="I103" i="9"/>
  <c r="I94" i="9"/>
  <c r="J95" i="9"/>
  <c r="L104" i="9"/>
  <c r="K96" i="9"/>
  <c r="J96" i="9"/>
  <c r="L96" i="9"/>
  <c r="J104" i="9"/>
  <c r="I104" i="9"/>
  <c r="K105" i="9"/>
  <c r="J105" i="9"/>
  <c r="I105" i="9"/>
  <c r="I20" i="9"/>
  <c r="J40" i="9"/>
  <c r="K95" i="9"/>
  <c r="K77" i="9"/>
  <c r="L68" i="9"/>
  <c r="I52" i="9"/>
  <c r="I95" i="9"/>
  <c r="L95" i="9"/>
  <c r="I77" i="9"/>
  <c r="L40" i="9"/>
  <c r="L77" i="9"/>
  <c r="I40" i="9"/>
  <c r="J68" i="9"/>
  <c r="L74" i="9"/>
  <c r="J77" i="9"/>
  <c r="I74" i="9"/>
  <c r="K51" i="9"/>
  <c r="I70" i="9"/>
  <c r="K68" i="9"/>
  <c r="I76" i="9"/>
  <c r="I68" i="9"/>
  <c r="L59" i="9"/>
  <c r="K70" i="9"/>
  <c r="J59" i="9"/>
  <c r="K59" i="9"/>
  <c r="J69" i="9"/>
  <c r="I67" i="9"/>
  <c r="K67" i="9"/>
  <c r="L86" i="9"/>
  <c r="K6" i="9"/>
  <c r="K86" i="9"/>
  <c r="J86" i="9"/>
  <c r="K69" i="9"/>
  <c r="J16" i="9"/>
  <c r="I16" i="9"/>
  <c r="L16" i="9"/>
  <c r="I30" i="9"/>
  <c r="L52" i="9"/>
  <c r="J52" i="9"/>
  <c r="L67" i="9"/>
  <c r="J70" i="9"/>
  <c r="L50" i="9"/>
  <c r="J61" i="9"/>
  <c r="J74" i="9"/>
  <c r="J43" i="9"/>
  <c r="K52" i="9"/>
  <c r="J79" i="9"/>
  <c r="L43" i="9"/>
  <c r="J58" i="9"/>
  <c r="L58" i="9"/>
  <c r="L79" i="9"/>
  <c r="L69" i="9"/>
  <c r="I49" i="9"/>
  <c r="J50" i="9"/>
  <c r="L48" i="9"/>
  <c r="I58" i="9"/>
  <c r="I83" i="9"/>
  <c r="J83" i="9"/>
  <c r="K83" i="9"/>
  <c r="L83" i="9"/>
  <c r="K76" i="9"/>
  <c r="K79" i="9"/>
  <c r="J30" i="9"/>
  <c r="K61" i="9"/>
  <c r="J6" i="9"/>
  <c r="K43" i="9"/>
  <c r="I56" i="9"/>
  <c r="L61" i="9"/>
  <c r="L76" i="9"/>
  <c r="L30" i="9"/>
  <c r="I51" i="9"/>
  <c r="I41" i="9"/>
  <c r="I66" i="9"/>
  <c r="J66" i="9"/>
  <c r="L66" i="9"/>
  <c r="K66" i="9"/>
  <c r="L41" i="9"/>
  <c r="I6" i="9"/>
  <c r="J41" i="9"/>
  <c r="K48" i="9"/>
  <c r="L51" i="9"/>
  <c r="L56" i="9"/>
  <c r="J56" i="9"/>
  <c r="I48" i="9"/>
  <c r="K24" i="9"/>
  <c r="I50" i="9"/>
  <c r="K38" i="9"/>
  <c r="J60" i="9"/>
  <c r="K60" i="9"/>
  <c r="L60" i="9"/>
  <c r="I60" i="9"/>
  <c r="I24" i="9"/>
  <c r="J49" i="9"/>
  <c r="L14" i="9"/>
  <c r="J51" i="9"/>
  <c r="J24" i="9"/>
  <c r="J20" i="9"/>
  <c r="J32" i="9"/>
  <c r="K25" i="9"/>
  <c r="J22" i="9"/>
  <c r="I42" i="9"/>
  <c r="J42" i="9"/>
  <c r="K42" i="9"/>
  <c r="L42" i="9"/>
  <c r="J25" i="9"/>
  <c r="L38" i="9"/>
  <c r="I14" i="9"/>
  <c r="L20" i="9"/>
  <c r="K49" i="9"/>
  <c r="J47" i="9"/>
  <c r="K47" i="9"/>
  <c r="L47" i="9"/>
  <c r="I47" i="9"/>
  <c r="I38" i="9"/>
  <c r="I32" i="9"/>
  <c r="K32" i="9"/>
  <c r="L32" i="9"/>
  <c r="K20" i="9"/>
  <c r="L15" i="9"/>
  <c r="L22" i="9"/>
  <c r="K22" i="9"/>
  <c r="L33" i="9"/>
  <c r="J15" i="9"/>
  <c r="I33" i="9"/>
  <c r="J14" i="9"/>
  <c r="I25" i="9"/>
  <c r="L2" i="9"/>
  <c r="K14" i="9"/>
  <c r="L31" i="9"/>
  <c r="I31" i="9"/>
  <c r="J31" i="9"/>
  <c r="K31" i="9"/>
  <c r="J2" i="9"/>
  <c r="I2" i="9"/>
  <c r="K33" i="9"/>
  <c r="K15" i="9"/>
  <c r="I15" i="9"/>
  <c r="L4" i="9"/>
  <c r="I4" i="9"/>
  <c r="K4" i="9"/>
  <c r="K13" i="9"/>
  <c r="J13" i="9"/>
  <c r="I13" i="9"/>
  <c r="I11" i="9"/>
  <c r="J11" i="9"/>
  <c r="K11" i="9"/>
  <c r="L11" i="9"/>
  <c r="L13" i="9"/>
  <c r="I5" i="9"/>
  <c r="J5" i="9"/>
  <c r="L5" i="9"/>
  <c r="K5" i="9"/>
  <c r="AU58" i="4"/>
  <c r="H29" i="5"/>
  <c r="AA29" i="5" s="1"/>
  <c r="AU69" i="4"/>
  <c r="H35" i="5"/>
  <c r="AA35" i="5" s="1"/>
  <c r="R40" i="4"/>
  <c r="BK6" i="4"/>
  <c r="CE6" i="4" s="1"/>
  <c r="AU6" i="4"/>
  <c r="R103" i="4"/>
  <c r="R105" i="4"/>
  <c r="R94" i="4"/>
  <c r="R76" i="4"/>
  <c r="P95" i="4"/>
  <c r="P51" i="4"/>
  <c r="Q102" i="4"/>
  <c r="R95" i="4"/>
  <c r="R93" i="4"/>
  <c r="P93" i="4"/>
  <c r="Q103" i="4"/>
  <c r="R104" i="4"/>
  <c r="R75" i="4"/>
  <c r="P57" i="4"/>
  <c r="R78" i="4"/>
  <c r="R102" i="4"/>
  <c r="R84" i="4"/>
  <c r="Q104" i="4"/>
  <c r="P96" i="4"/>
  <c r="P60" i="4"/>
  <c r="P94" i="4"/>
  <c r="R87" i="4"/>
  <c r="R86" i="4"/>
  <c r="Q59" i="4"/>
  <c r="R77" i="4"/>
  <c r="R39" i="4"/>
  <c r="R31" i="4"/>
  <c r="Q77" i="4"/>
  <c r="P49" i="4"/>
  <c r="Q76" i="4"/>
  <c r="R41" i="4"/>
  <c r="R96" i="4"/>
  <c r="R85" i="4"/>
  <c r="Q41" i="4"/>
  <c r="Q67" i="4"/>
  <c r="Q85" i="4"/>
  <c r="Q105" i="4"/>
  <c r="P42" i="4"/>
  <c r="P31" i="4"/>
  <c r="P48" i="4"/>
  <c r="P86" i="4"/>
  <c r="Q78" i="4"/>
  <c r="P78" i="4"/>
  <c r="P103" i="4"/>
  <c r="Q75" i="4"/>
  <c r="P33" i="4"/>
  <c r="P30" i="4"/>
  <c r="P84" i="4"/>
  <c r="P75" i="4"/>
  <c r="P102" i="4"/>
  <c r="P39" i="4"/>
  <c r="P87" i="4"/>
  <c r="P32" i="4"/>
  <c r="P77" i="4"/>
  <c r="P105" i="4"/>
  <c r="P76" i="4"/>
  <c r="P104" i="4"/>
  <c r="Q48" i="4"/>
  <c r="P67" i="4"/>
  <c r="Q94" i="4"/>
  <c r="P40" i="4"/>
  <c r="Q57" i="4"/>
  <c r="P85" i="4"/>
  <c r="Q87" i="4"/>
  <c r="Q86" i="4"/>
  <c r="Q84" i="4"/>
  <c r="Q50" i="4"/>
  <c r="Q96" i="4"/>
  <c r="Q68" i="4"/>
  <c r="Q66" i="4"/>
  <c r="Q95" i="4"/>
  <c r="Q93" i="4"/>
  <c r="Q51" i="4"/>
  <c r="P41" i="4"/>
  <c r="R50" i="4"/>
  <c r="R13" i="4"/>
  <c r="R42" i="4"/>
  <c r="P59" i="4"/>
  <c r="R23" i="4"/>
  <c r="Q60" i="4"/>
  <c r="P23" i="4"/>
  <c r="P15" i="4"/>
  <c r="Q49" i="4"/>
  <c r="P66" i="4"/>
  <c r="Q30" i="4"/>
  <c r="R59" i="4"/>
  <c r="R32" i="4"/>
  <c r="Q33" i="4"/>
  <c r="Q22" i="4"/>
  <c r="P68" i="4"/>
  <c r="R12" i="4"/>
  <c r="R22" i="4"/>
  <c r="R57" i="4"/>
  <c r="Q42" i="4"/>
  <c r="R48" i="4"/>
  <c r="R21" i="4"/>
  <c r="R15" i="4"/>
  <c r="R68" i="4"/>
  <c r="Q13" i="4"/>
  <c r="R14" i="4"/>
  <c r="P50" i="4"/>
  <c r="R60" i="4"/>
  <c r="R49" i="4"/>
  <c r="Q12" i="4"/>
  <c r="Q40" i="4"/>
  <c r="Q32" i="4"/>
  <c r="Q39" i="4"/>
  <c r="Q31" i="4"/>
  <c r="R30" i="4"/>
  <c r="Q23" i="4"/>
  <c r="P24" i="4"/>
  <c r="Q21" i="4"/>
  <c r="P13" i="4"/>
  <c r="P22" i="4"/>
  <c r="P12" i="4"/>
  <c r="P21" i="4"/>
  <c r="R33" i="4"/>
  <c r="Q14" i="4"/>
  <c r="R24" i="4"/>
  <c r="Q24" i="4"/>
  <c r="P14" i="4"/>
  <c r="Q15" i="4"/>
  <c r="P3" i="4"/>
  <c r="P4" i="4"/>
  <c r="P5" i="4"/>
  <c r="CE76" i="4"/>
  <c r="R66" i="4"/>
  <c r="R67" i="4"/>
  <c r="R51" i="4"/>
  <c r="CE50" i="4"/>
  <c r="CE66" i="4"/>
  <c r="CE49" i="4"/>
  <c r="CE32" i="4"/>
  <c r="CE40" i="4"/>
  <c r="CE75" i="4"/>
  <c r="CE39" i="4"/>
  <c r="CE77" i="4"/>
  <c r="P69" i="4"/>
  <c r="AP69" i="4"/>
  <c r="BK69" i="4"/>
  <c r="AY69" i="4"/>
  <c r="CE30" i="4"/>
  <c r="CE13" i="4"/>
  <c r="Q58" i="4"/>
  <c r="BK58" i="4"/>
  <c r="AY58" i="4"/>
  <c r="AP58" i="4"/>
  <c r="R3" i="4"/>
  <c r="CE67" i="4"/>
  <c r="P6" i="4"/>
  <c r="W6" i="4"/>
  <c r="S57" i="4"/>
  <c r="R4" i="4"/>
  <c r="S84" i="4"/>
  <c r="S103" i="4"/>
  <c r="S87" i="4"/>
  <c r="W69" i="4"/>
  <c r="Q6" i="4"/>
  <c r="Q3" i="4"/>
  <c r="Q4" i="4"/>
  <c r="Q5" i="4"/>
  <c r="S78" i="4"/>
  <c r="R6" i="4"/>
  <c r="S33" i="4"/>
  <c r="S75" i="4"/>
  <c r="R5" i="4"/>
  <c r="S104" i="4"/>
  <c r="S102" i="4"/>
  <c r="S14" i="4"/>
  <c r="S93" i="4"/>
  <c r="AP6" i="4"/>
  <c r="AY6" i="4"/>
  <c r="W58" i="4"/>
  <c r="S86" i="4"/>
  <c r="S77" i="4"/>
  <c r="S67" i="4"/>
  <c r="S95" i="4"/>
  <c r="S96" i="4"/>
  <c r="Q69" i="4"/>
  <c r="R69" i="4"/>
  <c r="S105" i="4"/>
  <c r="S94" i="4"/>
  <c r="S76" i="4"/>
  <c r="S68" i="4"/>
  <c r="S66" i="4"/>
  <c r="P58" i="4"/>
  <c r="R58" i="4"/>
  <c r="S51" i="4"/>
  <c r="S49" i="4"/>
  <c r="S48" i="4"/>
  <c r="S50" i="4"/>
  <c r="S41" i="4"/>
  <c r="S40" i="4"/>
  <c r="S30" i="4"/>
  <c r="S32" i="4"/>
  <c r="S24" i="4"/>
  <c r="S23" i="4"/>
  <c r="S21" i="4"/>
  <c r="S5" i="4"/>
  <c r="S4" i="4"/>
  <c r="S3" i="4"/>
  <c r="S85" i="4"/>
  <c r="S42" i="4"/>
  <c r="S31" i="4"/>
  <c r="S13" i="4"/>
  <c r="S12" i="4"/>
  <c r="S15" i="4"/>
  <c r="S60" i="4"/>
  <c r="S39" i="4"/>
  <c r="S22" i="4"/>
  <c r="S59" i="4"/>
  <c r="BM7" i="5" l="1"/>
  <c r="BO50" i="5"/>
  <c r="BM50" i="5" s="1"/>
  <c r="BN49" i="5"/>
  <c r="BM49" i="5" s="1"/>
  <c r="BN48" i="5"/>
  <c r="BM48" i="5" s="1"/>
  <c r="BO20" i="5"/>
  <c r="BN14" i="5"/>
  <c r="BM14" i="5" s="1"/>
  <c r="BN15" i="5"/>
  <c r="BM15" i="5" s="1"/>
  <c r="BO22" i="5"/>
  <c r="BM22" i="5" s="1"/>
  <c r="BO36" i="5"/>
  <c r="BM36" i="5" s="1"/>
  <c r="BO47" i="5"/>
  <c r="BM47" i="5" s="1"/>
  <c r="BN37" i="5"/>
  <c r="BM37" i="5" s="1"/>
  <c r="BO5" i="5"/>
  <c r="BM5" i="5" s="1"/>
  <c r="BO42" i="5"/>
  <c r="BM42" i="5" s="1"/>
  <c r="BM12" i="5"/>
  <c r="BO34" i="5"/>
  <c r="BM34" i="5" s="1"/>
  <c r="BO38" i="5"/>
  <c r="BM38" i="5" s="1"/>
  <c r="BM20" i="5"/>
  <c r="BM41" i="5"/>
  <c r="BM39" i="5"/>
  <c r="BM44" i="5"/>
  <c r="BM13" i="5"/>
  <c r="BM10" i="5"/>
  <c r="BN46" i="5"/>
  <c r="BM46" i="5" s="1"/>
  <c r="BO19" i="5"/>
  <c r="BM19" i="5" s="1"/>
  <c r="Y29" i="5"/>
  <c r="BI29" i="5"/>
  <c r="BL29" i="5" s="1"/>
  <c r="Y35" i="5"/>
  <c r="BI35" i="5"/>
  <c r="BL35" i="5" s="1"/>
  <c r="BM51" i="5"/>
  <c r="BM27" i="5"/>
  <c r="BM24" i="5"/>
  <c r="BM4" i="5"/>
  <c r="BM11" i="5"/>
  <c r="BM8" i="5"/>
  <c r="BM30" i="5"/>
  <c r="BM32" i="5"/>
  <c r="BM45" i="5"/>
  <c r="BM33" i="5"/>
  <c r="BM25" i="5"/>
  <c r="BM28" i="5"/>
  <c r="BM26" i="5"/>
  <c r="BM31" i="5"/>
  <c r="BM23" i="5"/>
  <c r="BM21" i="5"/>
  <c r="BM17" i="5"/>
  <c r="BM9" i="5"/>
  <c r="BL11" i="5"/>
  <c r="BL19" i="5"/>
  <c r="BL27" i="5"/>
  <c r="BL43" i="5"/>
  <c r="BL51" i="5"/>
  <c r="BL12" i="5"/>
  <c r="BL20" i="5"/>
  <c r="BL28" i="5"/>
  <c r="BL36" i="5"/>
  <c r="BL44" i="5"/>
  <c r="BL4" i="5"/>
  <c r="BL5" i="5"/>
  <c r="BL13" i="5"/>
  <c r="BL21" i="5"/>
  <c r="BL37" i="5"/>
  <c r="BL45" i="5"/>
  <c r="BL6" i="5"/>
  <c r="BL14" i="5"/>
  <c r="BL22" i="5"/>
  <c r="BL30" i="5"/>
  <c r="BL38" i="5"/>
  <c r="BL46" i="5"/>
  <c r="BL7" i="5"/>
  <c r="BL15" i="5"/>
  <c r="BL23" i="5"/>
  <c r="BL31" i="5"/>
  <c r="BL39" i="5"/>
  <c r="BL47" i="5"/>
  <c r="BL8" i="5"/>
  <c r="BL16" i="5"/>
  <c r="BL24" i="5"/>
  <c r="BL32" i="5"/>
  <c r="BL40" i="5"/>
  <c r="BL48" i="5"/>
  <c r="BL9" i="5"/>
  <c r="BL17" i="5"/>
  <c r="BL25" i="5"/>
  <c r="BL33" i="5"/>
  <c r="BL41" i="5"/>
  <c r="BL49" i="5"/>
  <c r="BL10" i="5"/>
  <c r="BL18" i="5"/>
  <c r="BL26" i="5"/>
  <c r="BL34" i="5"/>
  <c r="BL42" i="5"/>
  <c r="BL50" i="5"/>
  <c r="BJ11" i="5"/>
  <c r="BJ19" i="5"/>
  <c r="BJ27" i="5"/>
  <c r="BJ35" i="5"/>
  <c r="BJ43" i="5"/>
  <c r="BJ51" i="5"/>
  <c r="BJ12" i="5"/>
  <c r="BJ20" i="5"/>
  <c r="BJ28" i="5"/>
  <c r="BJ36" i="5"/>
  <c r="BJ44" i="5"/>
  <c r="BJ4" i="5"/>
  <c r="BJ38" i="5"/>
  <c r="BJ5" i="5"/>
  <c r="BJ13" i="5"/>
  <c r="BJ21" i="5"/>
  <c r="BJ29" i="5"/>
  <c r="BJ37" i="5"/>
  <c r="BJ45" i="5"/>
  <c r="BJ6" i="5"/>
  <c r="BJ14" i="5"/>
  <c r="BJ22" i="5"/>
  <c r="BJ46" i="5"/>
  <c r="BJ7" i="5"/>
  <c r="BJ15" i="5"/>
  <c r="BJ23" i="5"/>
  <c r="BJ31" i="5"/>
  <c r="BJ39" i="5"/>
  <c r="BJ47" i="5"/>
  <c r="BJ8" i="5"/>
  <c r="BJ16" i="5"/>
  <c r="BJ24" i="5"/>
  <c r="BJ32" i="5"/>
  <c r="BJ40" i="5"/>
  <c r="BJ48" i="5"/>
  <c r="BJ9" i="5"/>
  <c r="BJ17" i="5"/>
  <c r="BJ25" i="5"/>
  <c r="BJ33" i="5"/>
  <c r="BJ41" i="5"/>
  <c r="BJ49" i="5"/>
  <c r="BJ10" i="5"/>
  <c r="BJ18" i="5"/>
  <c r="BJ26" i="5"/>
  <c r="BJ34" i="5"/>
  <c r="BJ42" i="5"/>
  <c r="BJ50" i="5"/>
  <c r="BJ30" i="5"/>
  <c r="BK11" i="5"/>
  <c r="BK19" i="5"/>
  <c r="BK27" i="5"/>
  <c r="BK35" i="5"/>
  <c r="BK43" i="5"/>
  <c r="BK51" i="5"/>
  <c r="BK12" i="5"/>
  <c r="BK20" i="5"/>
  <c r="BK28" i="5"/>
  <c r="BK36" i="5"/>
  <c r="BK44" i="5"/>
  <c r="BK4" i="5"/>
  <c r="BK5" i="5"/>
  <c r="BK13" i="5"/>
  <c r="BK21" i="5"/>
  <c r="BK29" i="5"/>
  <c r="BK37" i="5"/>
  <c r="BK45" i="5"/>
  <c r="BK6" i="5"/>
  <c r="BK14" i="5"/>
  <c r="BK22" i="5"/>
  <c r="BK30" i="5"/>
  <c r="BK38" i="5"/>
  <c r="BK46" i="5"/>
  <c r="BK7" i="5"/>
  <c r="BK15" i="5"/>
  <c r="BK23" i="5"/>
  <c r="BK31" i="5"/>
  <c r="BK39" i="5"/>
  <c r="BK47" i="5"/>
  <c r="BK8" i="5"/>
  <c r="BK16" i="5"/>
  <c r="BK24" i="5"/>
  <c r="BK32" i="5"/>
  <c r="BK40" i="5"/>
  <c r="BK48" i="5"/>
  <c r="BK9" i="5"/>
  <c r="BK17" i="5"/>
  <c r="BK25" i="5"/>
  <c r="BK33" i="5"/>
  <c r="BK41" i="5"/>
  <c r="BK49" i="5"/>
  <c r="BK10" i="5"/>
  <c r="BK18" i="5"/>
  <c r="BK26" i="5"/>
  <c r="BK34" i="5"/>
  <c r="BK42" i="5"/>
  <c r="BK50" i="5"/>
  <c r="AZ57" i="4"/>
  <c r="BA57" i="4" s="1"/>
  <c r="AZ67" i="4"/>
  <c r="AZ60" i="4"/>
  <c r="AZ86" i="4"/>
  <c r="AZ95" i="4"/>
  <c r="AZ102" i="4"/>
  <c r="AZ51" i="4"/>
  <c r="AZ105" i="4"/>
  <c r="AZ78" i="4"/>
  <c r="AZ77" i="4"/>
  <c r="AZ93" i="4"/>
  <c r="AZ103" i="4"/>
  <c r="AZ104" i="4"/>
  <c r="AZ96" i="4"/>
  <c r="AZ76" i="4"/>
  <c r="AZ49" i="4"/>
  <c r="AZ94" i="4"/>
  <c r="AZ39" i="4"/>
  <c r="BA39" i="4" s="1"/>
  <c r="AZ59" i="4"/>
  <c r="AZ30" i="4"/>
  <c r="BA30" i="4" s="1"/>
  <c r="AZ31" i="4"/>
  <c r="AZ66" i="4"/>
  <c r="BA66" i="4" s="1"/>
  <c r="AZ33" i="4"/>
  <c r="AZ87" i="4"/>
  <c r="AZ48" i="4"/>
  <c r="BA48" i="4" s="1"/>
  <c r="AZ85" i="4"/>
  <c r="AZ41" i="4"/>
  <c r="AZ68" i="4"/>
  <c r="AZ75" i="4"/>
  <c r="AZ32" i="4"/>
  <c r="AZ42" i="4"/>
  <c r="AZ40" i="4"/>
  <c r="AZ84" i="4"/>
  <c r="AZ3" i="4"/>
  <c r="AZ23" i="4"/>
  <c r="AZ13" i="4"/>
  <c r="AZ50" i="4"/>
  <c r="AZ12" i="4"/>
  <c r="BA12" i="4" s="1"/>
  <c r="AZ24" i="4"/>
  <c r="AZ15" i="4"/>
  <c r="AZ22" i="4"/>
  <c r="AZ14" i="4"/>
  <c r="AZ21" i="4"/>
  <c r="BA21" i="4" s="1"/>
  <c r="AZ58" i="4"/>
  <c r="CG93" i="4"/>
  <c r="CG12" i="4"/>
  <c r="CG66" i="4"/>
  <c r="CG105" i="4"/>
  <c r="CG104" i="4"/>
  <c r="CG96" i="4"/>
  <c r="CG95" i="4"/>
  <c r="CG103" i="4"/>
  <c r="CG94" i="4"/>
  <c r="CG102" i="4"/>
  <c r="CG67" i="4"/>
  <c r="CG22" i="4"/>
  <c r="CE69" i="4"/>
  <c r="CG69" i="4"/>
  <c r="CG49" i="4"/>
  <c r="CG60" i="4"/>
  <c r="CG68" i="4"/>
  <c r="CG30" i="4"/>
  <c r="CG31" i="4"/>
  <c r="CG15" i="4"/>
  <c r="CG14" i="4"/>
  <c r="CG84" i="4"/>
  <c r="AZ69" i="4"/>
  <c r="CG24" i="4"/>
  <c r="CG87" i="4"/>
  <c r="CG51" i="4"/>
  <c r="CG76" i="4"/>
  <c r="CG33" i="4"/>
  <c r="CG78" i="4"/>
  <c r="CG41" i="4"/>
  <c r="CG75" i="4"/>
  <c r="CG50" i="4"/>
  <c r="CG57" i="4"/>
  <c r="CG13" i="4"/>
  <c r="CG32" i="4"/>
  <c r="CG48" i="4"/>
  <c r="CG39" i="4"/>
  <c r="CG86" i="4"/>
  <c r="CG42" i="4"/>
  <c r="CG59" i="4"/>
  <c r="CG85" i="4"/>
  <c r="CG58" i="4"/>
  <c r="CE58" i="4"/>
  <c r="CG77" i="4"/>
  <c r="CG40" i="4"/>
  <c r="CG23" i="4"/>
  <c r="CG21" i="4"/>
  <c r="CG4" i="4"/>
  <c r="CG6" i="4"/>
  <c r="CG3" i="4"/>
  <c r="CG5" i="4"/>
  <c r="AZ4" i="4"/>
  <c r="AZ6" i="4"/>
  <c r="AZ5" i="4"/>
  <c r="S58" i="4"/>
  <c r="S69" i="4"/>
  <c r="S6" i="4"/>
  <c r="BN35" i="5" l="1"/>
  <c r="BO35" i="5"/>
  <c r="BN29" i="5"/>
  <c r="BO29" i="5"/>
  <c r="BP7" i="5"/>
  <c r="BP50" i="5"/>
  <c r="BP33" i="5"/>
  <c r="BP16" i="5"/>
  <c r="BP46" i="5"/>
  <c r="BP4" i="5"/>
  <c r="BP13" i="5"/>
  <c r="BP12" i="5"/>
  <c r="BP42" i="5"/>
  <c r="BP25" i="5"/>
  <c r="BP8" i="5"/>
  <c r="BP22" i="5"/>
  <c r="BP5" i="5"/>
  <c r="BP51" i="5"/>
  <c r="BP34" i="5"/>
  <c r="BP17" i="5"/>
  <c r="BP47" i="5"/>
  <c r="BP14" i="5"/>
  <c r="BP38" i="5"/>
  <c r="BP43" i="5"/>
  <c r="BP26" i="5"/>
  <c r="BP9" i="5"/>
  <c r="BP39" i="5"/>
  <c r="BP6" i="5"/>
  <c r="BP18" i="5"/>
  <c r="BP48" i="5"/>
  <c r="BP31" i="5"/>
  <c r="BP45" i="5"/>
  <c r="BP44" i="5"/>
  <c r="BP27" i="5"/>
  <c r="BP10" i="5"/>
  <c r="BP40" i="5"/>
  <c r="BP23" i="5"/>
  <c r="BP37" i="5"/>
  <c r="BP36" i="5"/>
  <c r="BP19" i="5"/>
  <c r="BP49" i="5"/>
  <c r="BP32" i="5"/>
  <c r="BP15" i="5"/>
  <c r="BP28" i="5"/>
  <c r="BP11" i="5"/>
  <c r="BP30" i="5"/>
  <c r="BP41" i="5"/>
  <c r="BP24" i="5"/>
  <c r="BP21" i="5"/>
  <c r="BP20" i="5"/>
  <c r="BA59" i="4"/>
  <c r="BA24" i="4"/>
  <c r="BA31" i="4"/>
  <c r="BA32" i="4"/>
  <c r="BA58" i="4"/>
  <c r="BA33" i="4"/>
  <c r="BA103" i="4"/>
  <c r="BA13" i="4"/>
  <c r="BA15" i="4"/>
  <c r="BA51" i="4"/>
  <c r="BA50" i="4"/>
  <c r="BA40" i="4"/>
  <c r="BA68" i="4"/>
  <c r="BA14" i="4"/>
  <c r="BA67" i="4"/>
  <c r="BA22" i="4"/>
  <c r="BA41" i="4"/>
  <c r="BA42" i="4"/>
  <c r="BA49" i="4"/>
  <c r="BA23" i="4"/>
  <c r="BA60" i="4"/>
  <c r="BA86" i="4"/>
  <c r="BA104" i="4"/>
  <c r="BA75" i="4"/>
  <c r="BA102" i="4"/>
  <c r="BA93" i="4"/>
  <c r="BA105" i="4"/>
  <c r="BA95" i="4"/>
  <c r="BA94" i="4"/>
  <c r="BA84" i="4"/>
  <c r="BA77" i="4"/>
  <c r="BA96" i="4"/>
  <c r="BA69" i="4"/>
  <c r="BA85" i="4"/>
  <c r="BA76" i="4"/>
  <c r="BA87" i="4"/>
  <c r="BA78" i="4"/>
  <c r="BM35" i="5" l="1"/>
  <c r="BP35" i="5" s="1"/>
  <c r="BM29" i="5"/>
  <c r="BP29" i="5" s="1"/>
  <c r="BF28" i="4"/>
  <c r="BF35" i="4" s="1"/>
  <c r="BF55" i="4"/>
  <c r="BF62" i="4" s="1"/>
  <c r="BF10" i="4"/>
  <c r="BF14" i="4" s="1"/>
  <c r="BF46" i="4"/>
  <c r="BB49" i="4" s="1"/>
  <c r="BF19" i="4"/>
  <c r="BI21" i="4" s="1"/>
  <c r="BF64" i="4"/>
  <c r="BI71" i="4" s="1"/>
  <c r="BF37" i="4"/>
  <c r="BB40" i="4" s="1"/>
  <c r="BF82" i="4"/>
  <c r="BB87" i="4" s="1"/>
  <c r="BF91" i="4"/>
  <c r="BI97" i="4" s="1"/>
  <c r="BF73" i="4"/>
  <c r="BI76" i="4" s="1"/>
  <c r="BF100" i="4"/>
  <c r="BB105" i="4" s="1"/>
  <c r="BR4" i="5" l="1"/>
  <c r="BS4" i="5" s="1"/>
  <c r="BF30" i="4"/>
  <c r="BI30" i="4"/>
  <c r="BB32" i="4"/>
  <c r="BB31" i="4"/>
  <c r="BF31" i="4"/>
  <c r="BF33" i="4"/>
  <c r="BI33" i="4"/>
  <c r="BF32" i="4"/>
  <c r="BI31" i="4"/>
  <c r="BB30" i="4"/>
  <c r="BI35" i="4"/>
  <c r="BE35" i="4" s="1"/>
  <c r="BI34" i="4"/>
  <c r="BF34" i="4"/>
  <c r="BI32" i="4"/>
  <c r="BB33" i="4"/>
  <c r="BB57" i="4"/>
  <c r="BI59" i="4"/>
  <c r="BF60" i="4"/>
  <c r="BI61" i="4"/>
  <c r="BB59" i="4"/>
  <c r="BF58" i="4"/>
  <c r="BI60" i="4"/>
  <c r="BI57" i="4"/>
  <c r="BB58" i="4"/>
  <c r="BI62" i="4"/>
  <c r="BE62" i="4" s="1"/>
  <c r="BF61" i="4"/>
  <c r="BF57" i="4"/>
  <c r="BB60" i="4"/>
  <c r="BI58" i="4"/>
  <c r="BF59" i="4"/>
  <c r="BF15" i="4"/>
  <c r="BI15" i="4"/>
  <c r="BI14" i="4"/>
  <c r="BE14" i="4" s="1"/>
  <c r="BI16" i="4"/>
  <c r="BB13" i="4"/>
  <c r="BF12" i="4"/>
  <c r="BI13" i="4"/>
  <c r="BF17" i="4"/>
  <c r="BI17" i="4"/>
  <c r="BF21" i="4"/>
  <c r="BE21" i="4" s="1"/>
  <c r="BF16" i="4"/>
  <c r="BB12" i="4"/>
  <c r="BI12" i="4"/>
  <c r="BB14" i="4"/>
  <c r="BF13" i="4"/>
  <c r="BB15" i="4"/>
  <c r="BI25" i="4"/>
  <c r="BI26" i="4"/>
  <c r="BB22" i="4"/>
  <c r="BI48" i="4"/>
  <c r="BI51" i="4"/>
  <c r="BF49" i="4"/>
  <c r="BF51" i="4"/>
  <c r="BF39" i="4"/>
  <c r="BB66" i="4"/>
  <c r="BF52" i="4"/>
  <c r="BI69" i="4"/>
  <c r="BI23" i="4"/>
  <c r="BB51" i="4"/>
  <c r="BF48" i="4"/>
  <c r="BB23" i="4"/>
  <c r="BF25" i="4"/>
  <c r="BF26" i="4"/>
  <c r="BI24" i="4"/>
  <c r="BB21" i="4"/>
  <c r="BF24" i="4"/>
  <c r="BI22" i="4"/>
  <c r="BB24" i="4"/>
  <c r="BB48" i="4"/>
  <c r="BI53" i="4"/>
  <c r="BF69" i="4"/>
  <c r="BB67" i="4"/>
  <c r="BF67" i="4"/>
  <c r="BB68" i="4"/>
  <c r="BF50" i="4"/>
  <c r="BI52" i="4"/>
  <c r="BI50" i="4"/>
  <c r="BI49" i="4"/>
  <c r="BB50" i="4"/>
  <c r="BF53" i="4"/>
  <c r="BF44" i="4"/>
  <c r="BI67" i="4"/>
  <c r="BF70" i="4"/>
  <c r="BF22" i="4"/>
  <c r="BF23" i="4"/>
  <c r="BI66" i="4"/>
  <c r="BI70" i="4"/>
  <c r="BI41" i="4"/>
  <c r="BB42" i="4"/>
  <c r="BI39" i="4"/>
  <c r="BI42" i="4"/>
  <c r="BI44" i="4"/>
  <c r="BF40" i="4"/>
  <c r="BF68" i="4"/>
  <c r="BI68" i="4"/>
  <c r="BF71" i="4"/>
  <c r="BE71" i="4" s="1"/>
  <c r="BF66" i="4"/>
  <c r="BB41" i="4"/>
  <c r="BB69" i="4"/>
  <c r="BI43" i="4"/>
  <c r="BI40" i="4"/>
  <c r="BB39" i="4"/>
  <c r="BF42" i="4"/>
  <c r="BF43" i="4"/>
  <c r="BF41" i="4"/>
  <c r="BB84" i="4"/>
  <c r="BB86" i="4"/>
  <c r="BI86" i="4"/>
  <c r="BF85" i="4"/>
  <c r="BF86" i="4"/>
  <c r="BF84" i="4"/>
  <c r="BI84" i="4"/>
  <c r="BI89" i="4"/>
  <c r="BF87" i="4"/>
  <c r="BI85" i="4"/>
  <c r="BI88" i="4"/>
  <c r="BF88" i="4"/>
  <c r="BB85" i="4"/>
  <c r="BF89" i="4"/>
  <c r="BB96" i="4"/>
  <c r="BF94" i="4"/>
  <c r="BI94" i="4"/>
  <c r="BI87" i="4"/>
  <c r="BF93" i="4"/>
  <c r="BF98" i="4"/>
  <c r="BB94" i="4"/>
  <c r="BI95" i="4"/>
  <c r="BF97" i="4"/>
  <c r="BE97" i="4" s="1"/>
  <c r="BB95" i="4"/>
  <c r="BI96" i="4"/>
  <c r="BB93" i="4"/>
  <c r="BI93" i="4"/>
  <c r="BF95" i="4"/>
  <c r="BB75" i="4"/>
  <c r="BF78" i="4"/>
  <c r="BF96" i="4"/>
  <c r="BF77" i="4"/>
  <c r="BF75" i="4"/>
  <c r="BF79" i="4"/>
  <c r="BI75" i="4"/>
  <c r="BB78" i="4"/>
  <c r="BI98" i="4"/>
  <c r="BI80" i="4"/>
  <c r="BB77" i="4"/>
  <c r="BF76" i="4"/>
  <c r="BE76" i="4" s="1"/>
  <c r="BF80" i="4"/>
  <c r="BI77" i="4"/>
  <c r="BB76" i="4"/>
  <c r="BI78" i="4"/>
  <c r="BI79" i="4"/>
  <c r="BI102" i="4"/>
  <c r="BI104" i="4"/>
  <c r="BI103" i="4"/>
  <c r="BF104" i="4"/>
  <c r="BF107" i="4"/>
  <c r="BB103" i="4"/>
  <c r="BF106" i="4"/>
  <c r="BI105" i="4"/>
  <c r="BF102" i="4"/>
  <c r="BF105" i="4"/>
  <c r="BB104" i="4"/>
  <c r="BI106" i="4"/>
  <c r="BB102" i="4"/>
  <c r="BI107" i="4"/>
  <c r="BF103" i="4"/>
  <c r="S11" i="1"/>
  <c r="R11" i="1"/>
  <c r="S7" i="1"/>
  <c r="R7" i="1"/>
  <c r="S3" i="1"/>
  <c r="R3" i="1"/>
  <c r="S2" i="1"/>
  <c r="R2" i="1"/>
  <c r="K15" i="1"/>
  <c r="J15" i="1"/>
  <c r="K14" i="1"/>
  <c r="J14" i="1"/>
  <c r="K13" i="1"/>
  <c r="J13" i="1"/>
  <c r="K12" i="1"/>
  <c r="J12" i="1"/>
  <c r="J9" i="1"/>
  <c r="K9" i="1"/>
  <c r="K8" i="1"/>
  <c r="J8" i="1"/>
  <c r="K7" i="1"/>
  <c r="J7" i="1"/>
  <c r="K6" i="1"/>
  <c r="J6" i="1"/>
  <c r="K5" i="1"/>
  <c r="J5" i="1"/>
  <c r="K4" i="1"/>
  <c r="J4" i="1"/>
  <c r="K3" i="1"/>
  <c r="J3" i="1"/>
  <c r="K2" i="1"/>
  <c r="J2" i="1"/>
  <c r="Q2" i="2"/>
  <c r="R2" i="2"/>
  <c r="S2" i="2"/>
  <c r="T2" i="2"/>
  <c r="U2" i="2"/>
  <c r="V2" i="2"/>
  <c r="W2" i="2"/>
  <c r="X2" i="2"/>
  <c r="Q3" i="2"/>
  <c r="R3" i="2"/>
  <c r="S3" i="2"/>
  <c r="T3" i="2"/>
  <c r="U3" i="2"/>
  <c r="V3" i="2"/>
  <c r="W3" i="2"/>
  <c r="X3" i="2"/>
  <c r="Q4" i="2"/>
  <c r="R4" i="2"/>
  <c r="S4" i="2"/>
  <c r="T4" i="2"/>
  <c r="U4" i="2"/>
  <c r="V4" i="2"/>
  <c r="W4" i="2"/>
  <c r="X4" i="2"/>
  <c r="Q5" i="2"/>
  <c r="R5" i="2"/>
  <c r="S5" i="2"/>
  <c r="T5" i="2"/>
  <c r="U5" i="2"/>
  <c r="V5" i="2"/>
  <c r="W5" i="2"/>
  <c r="X5" i="2"/>
  <c r="Q6" i="2"/>
  <c r="R6" i="2"/>
  <c r="S6" i="2"/>
  <c r="T6" i="2"/>
  <c r="U6" i="2"/>
  <c r="V6" i="2"/>
  <c r="W6" i="2"/>
  <c r="X6" i="2"/>
  <c r="Q7" i="2"/>
  <c r="R7" i="2"/>
  <c r="S7" i="2"/>
  <c r="T7" i="2"/>
  <c r="U7" i="2"/>
  <c r="V7" i="2"/>
  <c r="W7" i="2"/>
  <c r="X7" i="2"/>
  <c r="Q8" i="2"/>
  <c r="R8" i="2"/>
  <c r="S8" i="2"/>
  <c r="T8" i="2"/>
  <c r="U8" i="2"/>
  <c r="V8" i="2"/>
  <c r="W8" i="2"/>
  <c r="X8" i="2"/>
  <c r="Q9" i="2"/>
  <c r="R9" i="2"/>
  <c r="S9" i="2"/>
  <c r="T9" i="2"/>
  <c r="U9" i="2"/>
  <c r="V9" i="2"/>
  <c r="W9" i="2"/>
  <c r="X9" i="2"/>
  <c r="Q10" i="2"/>
  <c r="R10" i="2"/>
  <c r="S10" i="2"/>
  <c r="T10" i="2"/>
  <c r="U10" i="2"/>
  <c r="V10" i="2"/>
  <c r="W10" i="2"/>
  <c r="X10" i="2"/>
  <c r="Q11" i="2"/>
  <c r="R11" i="2"/>
  <c r="S11" i="2"/>
  <c r="T11" i="2"/>
  <c r="U11" i="2"/>
  <c r="V11" i="2"/>
  <c r="W11" i="2"/>
  <c r="X11" i="2"/>
  <c r="Q12" i="2"/>
  <c r="R12" i="2"/>
  <c r="S12" i="2"/>
  <c r="T12" i="2"/>
  <c r="U12" i="2"/>
  <c r="V12" i="2"/>
  <c r="W12" i="2"/>
  <c r="X12" i="2"/>
  <c r="Q13" i="2"/>
  <c r="R13" i="2"/>
  <c r="S13" i="2"/>
  <c r="T13" i="2"/>
  <c r="U13" i="2"/>
  <c r="V13" i="2"/>
  <c r="W13" i="2"/>
  <c r="X13" i="2"/>
  <c r="Q14" i="2"/>
  <c r="R14" i="2"/>
  <c r="S14" i="2"/>
  <c r="T14" i="2"/>
  <c r="U14" i="2"/>
  <c r="V14" i="2"/>
  <c r="W14" i="2"/>
  <c r="X14" i="2"/>
  <c r="Q15" i="2"/>
  <c r="R15" i="2"/>
  <c r="S15" i="2"/>
  <c r="T15" i="2"/>
  <c r="U15" i="2"/>
  <c r="V15" i="2"/>
  <c r="W15" i="2"/>
  <c r="X15" i="2"/>
  <c r="Q16" i="2"/>
  <c r="R16" i="2"/>
  <c r="S16" i="2"/>
  <c r="T16" i="2"/>
  <c r="U16" i="2"/>
  <c r="V16" i="2"/>
  <c r="W16" i="2"/>
  <c r="X16" i="2"/>
  <c r="Q17" i="2"/>
  <c r="R17" i="2"/>
  <c r="S17" i="2"/>
  <c r="T17" i="2"/>
  <c r="U17" i="2"/>
  <c r="V17" i="2"/>
  <c r="W17" i="2"/>
  <c r="X17" i="2"/>
  <c r="Q18" i="2"/>
  <c r="R18" i="2"/>
  <c r="S18" i="2"/>
  <c r="T18" i="2"/>
  <c r="U18" i="2"/>
  <c r="V18" i="2"/>
  <c r="W18" i="2"/>
  <c r="X18" i="2"/>
  <c r="Q19" i="2"/>
  <c r="R19" i="2"/>
  <c r="S19" i="2"/>
  <c r="T19" i="2"/>
  <c r="U19" i="2"/>
  <c r="V19" i="2"/>
  <c r="W19" i="2"/>
  <c r="X19" i="2"/>
  <c r="Q20" i="2"/>
  <c r="R20" i="2"/>
  <c r="S20" i="2"/>
  <c r="T20" i="2"/>
  <c r="U20" i="2"/>
  <c r="V20" i="2"/>
  <c r="W20" i="2"/>
  <c r="X20" i="2"/>
  <c r="Q21" i="2"/>
  <c r="R21" i="2"/>
  <c r="S21" i="2"/>
  <c r="T21" i="2"/>
  <c r="U21" i="2"/>
  <c r="V21" i="2"/>
  <c r="W21" i="2"/>
  <c r="X21" i="2"/>
  <c r="Q22" i="2"/>
  <c r="R22" i="2"/>
  <c r="S22" i="2"/>
  <c r="T22" i="2"/>
  <c r="U22" i="2"/>
  <c r="V22" i="2"/>
  <c r="W22" i="2"/>
  <c r="X22" i="2"/>
  <c r="Q23" i="2"/>
  <c r="R23" i="2"/>
  <c r="S23" i="2"/>
  <c r="T23" i="2"/>
  <c r="U23" i="2"/>
  <c r="V23" i="2"/>
  <c r="W23" i="2"/>
  <c r="X23" i="2"/>
  <c r="Q24" i="2"/>
  <c r="R24" i="2"/>
  <c r="S24" i="2"/>
  <c r="T24" i="2"/>
  <c r="U24" i="2"/>
  <c r="V24" i="2"/>
  <c r="W24" i="2"/>
  <c r="X24" i="2"/>
  <c r="Q25" i="2"/>
  <c r="R25" i="2"/>
  <c r="S25" i="2"/>
  <c r="T25" i="2"/>
  <c r="U25" i="2"/>
  <c r="V25" i="2"/>
  <c r="W25" i="2"/>
  <c r="X25" i="2"/>
  <c r="Q26" i="2"/>
  <c r="R26" i="2"/>
  <c r="S26" i="2"/>
  <c r="T26" i="2"/>
  <c r="U26" i="2"/>
  <c r="V26" i="2"/>
  <c r="W26" i="2"/>
  <c r="X26" i="2"/>
  <c r="Q27" i="2"/>
  <c r="R27" i="2"/>
  <c r="S27" i="2"/>
  <c r="T27" i="2"/>
  <c r="U27" i="2"/>
  <c r="V27" i="2"/>
  <c r="W27" i="2"/>
  <c r="X27" i="2"/>
  <c r="Q28" i="2"/>
  <c r="R28" i="2"/>
  <c r="S28" i="2"/>
  <c r="T28" i="2"/>
  <c r="U28" i="2"/>
  <c r="V28" i="2"/>
  <c r="W28" i="2"/>
  <c r="X28" i="2"/>
  <c r="Q29" i="2"/>
  <c r="R29" i="2"/>
  <c r="S29" i="2"/>
  <c r="T29" i="2"/>
  <c r="U29" i="2"/>
  <c r="V29" i="2"/>
  <c r="W29" i="2"/>
  <c r="X29" i="2"/>
  <c r="Q30" i="2"/>
  <c r="R30" i="2"/>
  <c r="S30" i="2"/>
  <c r="T30" i="2"/>
  <c r="U30" i="2"/>
  <c r="V30" i="2"/>
  <c r="W30" i="2"/>
  <c r="X30" i="2"/>
  <c r="Q31" i="2"/>
  <c r="R31" i="2"/>
  <c r="S31" i="2"/>
  <c r="T31" i="2"/>
  <c r="U31" i="2"/>
  <c r="V31" i="2"/>
  <c r="W31" i="2"/>
  <c r="X31" i="2"/>
  <c r="Q32" i="2"/>
  <c r="R32" i="2"/>
  <c r="S32" i="2"/>
  <c r="T32" i="2"/>
  <c r="U32" i="2"/>
  <c r="V32" i="2"/>
  <c r="W32" i="2"/>
  <c r="X32" i="2"/>
  <c r="Q33" i="2"/>
  <c r="R33" i="2"/>
  <c r="S33" i="2"/>
  <c r="T33" i="2"/>
  <c r="U33" i="2"/>
  <c r="V33" i="2"/>
  <c r="W33" i="2"/>
  <c r="X33" i="2"/>
  <c r="Q34" i="2"/>
  <c r="R34" i="2"/>
  <c r="S34" i="2"/>
  <c r="T34" i="2"/>
  <c r="U34" i="2"/>
  <c r="V34" i="2"/>
  <c r="W34" i="2"/>
  <c r="X34" i="2"/>
  <c r="Q35" i="2"/>
  <c r="R35" i="2"/>
  <c r="S35" i="2"/>
  <c r="T35" i="2"/>
  <c r="U35" i="2"/>
  <c r="V35" i="2"/>
  <c r="W35" i="2"/>
  <c r="X35" i="2"/>
  <c r="Q36" i="2"/>
  <c r="R36" i="2"/>
  <c r="S36" i="2"/>
  <c r="T36" i="2"/>
  <c r="U36" i="2"/>
  <c r="V36" i="2"/>
  <c r="W36" i="2"/>
  <c r="X36" i="2"/>
  <c r="Q37" i="2"/>
  <c r="R37" i="2"/>
  <c r="S37" i="2"/>
  <c r="T37" i="2"/>
  <c r="U37" i="2"/>
  <c r="V37" i="2"/>
  <c r="W37" i="2"/>
  <c r="X37" i="2"/>
  <c r="Q38" i="2"/>
  <c r="R38" i="2"/>
  <c r="S38" i="2"/>
  <c r="T38" i="2"/>
  <c r="U38" i="2"/>
  <c r="V38" i="2"/>
  <c r="W38" i="2"/>
  <c r="X38" i="2"/>
  <c r="Q39" i="2"/>
  <c r="R39" i="2"/>
  <c r="S39" i="2"/>
  <c r="T39" i="2"/>
  <c r="U39" i="2"/>
  <c r="V39" i="2"/>
  <c r="W39" i="2"/>
  <c r="X39" i="2"/>
  <c r="Q40" i="2"/>
  <c r="R40" i="2"/>
  <c r="S40" i="2"/>
  <c r="T40" i="2"/>
  <c r="U40" i="2"/>
  <c r="V40" i="2"/>
  <c r="W40" i="2"/>
  <c r="X40" i="2"/>
  <c r="Q41" i="2"/>
  <c r="R41" i="2"/>
  <c r="S41" i="2"/>
  <c r="T41" i="2"/>
  <c r="U41" i="2"/>
  <c r="V41" i="2"/>
  <c r="W41" i="2"/>
  <c r="X41" i="2"/>
  <c r="Q42" i="2"/>
  <c r="R42" i="2"/>
  <c r="S42" i="2"/>
  <c r="T42" i="2"/>
  <c r="U42" i="2"/>
  <c r="V42" i="2"/>
  <c r="W42" i="2"/>
  <c r="X42" i="2"/>
  <c r="Q43" i="2"/>
  <c r="R43" i="2"/>
  <c r="S43" i="2"/>
  <c r="T43" i="2"/>
  <c r="U43" i="2"/>
  <c r="V43" i="2"/>
  <c r="W43" i="2"/>
  <c r="X43" i="2"/>
  <c r="Q44" i="2"/>
  <c r="R44" i="2"/>
  <c r="S44" i="2"/>
  <c r="T44" i="2"/>
  <c r="U44" i="2"/>
  <c r="V44" i="2"/>
  <c r="W44" i="2"/>
  <c r="X44" i="2"/>
  <c r="Q45" i="2"/>
  <c r="R45" i="2"/>
  <c r="S45" i="2"/>
  <c r="T45" i="2"/>
  <c r="U45" i="2"/>
  <c r="V45" i="2"/>
  <c r="W45" i="2"/>
  <c r="X45" i="2"/>
  <c r="Q46" i="2"/>
  <c r="R46" i="2"/>
  <c r="S46" i="2"/>
  <c r="T46" i="2"/>
  <c r="U46" i="2"/>
  <c r="V46" i="2"/>
  <c r="W46" i="2"/>
  <c r="X46" i="2"/>
  <c r="Q47" i="2"/>
  <c r="R47" i="2"/>
  <c r="S47" i="2"/>
  <c r="T47" i="2"/>
  <c r="U47" i="2"/>
  <c r="V47" i="2"/>
  <c r="W47" i="2"/>
  <c r="X47" i="2"/>
  <c r="Q48" i="2"/>
  <c r="R48" i="2"/>
  <c r="S48" i="2"/>
  <c r="T48" i="2"/>
  <c r="U48" i="2"/>
  <c r="V48" i="2"/>
  <c r="W48" i="2"/>
  <c r="X48" i="2"/>
  <c r="Q49" i="2"/>
  <c r="R49" i="2"/>
  <c r="S49" i="2"/>
  <c r="T49" i="2"/>
  <c r="U49" i="2"/>
  <c r="V49" i="2"/>
  <c r="W49" i="2"/>
  <c r="X49" i="2"/>
  <c r="Q50" i="2"/>
  <c r="R50" i="2"/>
  <c r="S50" i="2"/>
  <c r="T50" i="2"/>
  <c r="U50" i="2"/>
  <c r="V50" i="2"/>
  <c r="W50" i="2"/>
  <c r="X50" i="2"/>
  <c r="Q51" i="2"/>
  <c r="R51" i="2"/>
  <c r="S51" i="2"/>
  <c r="T51" i="2"/>
  <c r="U51" i="2"/>
  <c r="V51" i="2"/>
  <c r="W51" i="2"/>
  <c r="X51" i="2"/>
  <c r="Q52" i="2"/>
  <c r="R52" i="2"/>
  <c r="S52" i="2"/>
  <c r="T52" i="2"/>
  <c r="U52" i="2"/>
  <c r="V52" i="2"/>
  <c r="W52" i="2"/>
  <c r="X52" i="2"/>
  <c r="Q53" i="2"/>
  <c r="R53" i="2"/>
  <c r="S53" i="2"/>
  <c r="T53" i="2"/>
  <c r="U53" i="2"/>
  <c r="V53" i="2"/>
  <c r="W53" i="2"/>
  <c r="X53" i="2"/>
  <c r="Q54" i="2"/>
  <c r="R54" i="2"/>
  <c r="S54" i="2"/>
  <c r="T54" i="2"/>
  <c r="U54" i="2"/>
  <c r="V54" i="2"/>
  <c r="W54" i="2"/>
  <c r="X54" i="2"/>
  <c r="Q55" i="2"/>
  <c r="R55" i="2"/>
  <c r="S55" i="2"/>
  <c r="T55" i="2"/>
  <c r="U55" i="2"/>
  <c r="V55" i="2"/>
  <c r="W55" i="2"/>
  <c r="X55" i="2"/>
  <c r="Q56" i="2"/>
  <c r="R56" i="2"/>
  <c r="S56" i="2"/>
  <c r="T56" i="2"/>
  <c r="U56" i="2"/>
  <c r="V56" i="2"/>
  <c r="W56" i="2"/>
  <c r="X56" i="2"/>
  <c r="Q57" i="2"/>
  <c r="R57" i="2"/>
  <c r="S57" i="2"/>
  <c r="T57" i="2"/>
  <c r="U57" i="2"/>
  <c r="V57" i="2"/>
  <c r="W57" i="2"/>
  <c r="X57" i="2"/>
  <c r="Q58" i="2"/>
  <c r="R58" i="2"/>
  <c r="S58" i="2"/>
  <c r="T58" i="2"/>
  <c r="U58" i="2"/>
  <c r="V58" i="2"/>
  <c r="W58" i="2"/>
  <c r="X58" i="2"/>
  <c r="Q59" i="2"/>
  <c r="R59" i="2"/>
  <c r="S59" i="2"/>
  <c r="T59" i="2"/>
  <c r="U59" i="2"/>
  <c r="V59" i="2"/>
  <c r="W59" i="2"/>
  <c r="X59" i="2"/>
  <c r="Q60" i="2"/>
  <c r="R60" i="2"/>
  <c r="S60" i="2"/>
  <c r="T60" i="2"/>
  <c r="U60" i="2"/>
  <c r="V60" i="2"/>
  <c r="W60" i="2"/>
  <c r="X60" i="2"/>
  <c r="Q61" i="2"/>
  <c r="R61" i="2"/>
  <c r="S61" i="2"/>
  <c r="T61" i="2"/>
  <c r="U61" i="2"/>
  <c r="V61" i="2"/>
  <c r="W61" i="2"/>
  <c r="X61" i="2"/>
  <c r="Q62" i="2"/>
  <c r="R62" i="2"/>
  <c r="S62" i="2"/>
  <c r="T62" i="2"/>
  <c r="U62" i="2"/>
  <c r="V62" i="2"/>
  <c r="W62" i="2"/>
  <c r="X62" i="2"/>
  <c r="Q63" i="2"/>
  <c r="R63" i="2"/>
  <c r="S63" i="2"/>
  <c r="T63" i="2"/>
  <c r="U63" i="2"/>
  <c r="V63" i="2"/>
  <c r="W63" i="2"/>
  <c r="X63" i="2"/>
  <c r="Q64" i="2"/>
  <c r="R64" i="2"/>
  <c r="S64" i="2"/>
  <c r="T64" i="2"/>
  <c r="U64" i="2"/>
  <c r="V64" i="2"/>
  <c r="W64" i="2"/>
  <c r="X64" i="2"/>
  <c r="Q65" i="2"/>
  <c r="R65" i="2"/>
  <c r="S65" i="2"/>
  <c r="T65" i="2"/>
  <c r="U65" i="2"/>
  <c r="V65" i="2"/>
  <c r="W65" i="2"/>
  <c r="X65" i="2"/>
  <c r="Q66" i="2"/>
  <c r="R66" i="2"/>
  <c r="S66" i="2"/>
  <c r="T66" i="2"/>
  <c r="U66" i="2"/>
  <c r="V66" i="2"/>
  <c r="W66" i="2"/>
  <c r="X66" i="2"/>
  <c r="Q67" i="2"/>
  <c r="R67" i="2"/>
  <c r="S67" i="2"/>
  <c r="T67" i="2"/>
  <c r="U67" i="2"/>
  <c r="V67" i="2"/>
  <c r="W67" i="2"/>
  <c r="X67" i="2"/>
  <c r="Q68" i="2"/>
  <c r="R68" i="2"/>
  <c r="S68" i="2"/>
  <c r="T68" i="2"/>
  <c r="U68" i="2"/>
  <c r="V68" i="2"/>
  <c r="W68" i="2"/>
  <c r="X68" i="2"/>
  <c r="Q69" i="2"/>
  <c r="R69" i="2"/>
  <c r="S69" i="2"/>
  <c r="T69" i="2"/>
  <c r="U69" i="2"/>
  <c r="V69" i="2"/>
  <c r="W69" i="2"/>
  <c r="X69" i="2"/>
  <c r="Q70" i="2"/>
  <c r="R70" i="2"/>
  <c r="S70" i="2"/>
  <c r="T70" i="2"/>
  <c r="U70" i="2"/>
  <c r="V70" i="2"/>
  <c r="W70" i="2"/>
  <c r="X70" i="2"/>
  <c r="Q71" i="2"/>
  <c r="R71" i="2"/>
  <c r="S71" i="2"/>
  <c r="T71" i="2"/>
  <c r="U71" i="2"/>
  <c r="V71" i="2"/>
  <c r="W71" i="2"/>
  <c r="X71" i="2"/>
  <c r="Q72" i="2"/>
  <c r="R72" i="2"/>
  <c r="S72" i="2"/>
  <c r="T72" i="2"/>
  <c r="U72" i="2"/>
  <c r="V72" i="2"/>
  <c r="W72" i="2"/>
  <c r="X72" i="2"/>
  <c r="Q73" i="2"/>
  <c r="R73" i="2"/>
  <c r="S73" i="2"/>
  <c r="T73" i="2"/>
  <c r="U73" i="2"/>
  <c r="V73" i="2"/>
  <c r="W73" i="2"/>
  <c r="X73" i="2"/>
  <c r="Q74" i="2"/>
  <c r="R74" i="2"/>
  <c r="S74" i="2"/>
  <c r="T74" i="2"/>
  <c r="U74" i="2"/>
  <c r="V74" i="2"/>
  <c r="W74" i="2"/>
  <c r="X74" i="2"/>
  <c r="Q75" i="2"/>
  <c r="R75" i="2"/>
  <c r="S75" i="2"/>
  <c r="T75" i="2"/>
  <c r="U75" i="2"/>
  <c r="V75" i="2"/>
  <c r="W75" i="2"/>
  <c r="X75" i="2"/>
  <c r="Q76" i="2"/>
  <c r="R76" i="2"/>
  <c r="S76" i="2"/>
  <c r="T76" i="2"/>
  <c r="U76" i="2"/>
  <c r="V76" i="2"/>
  <c r="W76" i="2"/>
  <c r="X76" i="2"/>
  <c r="Q77" i="2"/>
  <c r="R77" i="2"/>
  <c r="S77" i="2"/>
  <c r="T77" i="2"/>
  <c r="U77" i="2"/>
  <c r="V77" i="2"/>
  <c r="W77" i="2"/>
  <c r="X77" i="2"/>
  <c r="Q78" i="2"/>
  <c r="R78" i="2"/>
  <c r="S78" i="2"/>
  <c r="T78" i="2"/>
  <c r="U78" i="2"/>
  <c r="V78" i="2"/>
  <c r="W78" i="2"/>
  <c r="X78" i="2"/>
  <c r="Q79" i="2"/>
  <c r="R79" i="2"/>
  <c r="S79" i="2"/>
  <c r="T79" i="2"/>
  <c r="U79" i="2"/>
  <c r="V79" i="2"/>
  <c r="W79" i="2"/>
  <c r="X79" i="2"/>
  <c r="Q80" i="2"/>
  <c r="R80" i="2"/>
  <c r="S80" i="2"/>
  <c r="T80" i="2"/>
  <c r="U80" i="2"/>
  <c r="V80" i="2"/>
  <c r="W80" i="2"/>
  <c r="X80" i="2"/>
  <c r="Q81" i="2"/>
  <c r="R81" i="2"/>
  <c r="S81" i="2"/>
  <c r="T81" i="2"/>
  <c r="U81" i="2"/>
  <c r="V81" i="2"/>
  <c r="W81" i="2"/>
  <c r="X81" i="2"/>
  <c r="Q82" i="2"/>
  <c r="R82" i="2"/>
  <c r="S82" i="2"/>
  <c r="T82" i="2"/>
  <c r="U82" i="2"/>
  <c r="V82" i="2"/>
  <c r="W82" i="2"/>
  <c r="X82" i="2"/>
  <c r="Q83" i="2"/>
  <c r="R83" i="2"/>
  <c r="S83" i="2"/>
  <c r="T83" i="2"/>
  <c r="U83" i="2"/>
  <c r="V83" i="2"/>
  <c r="W83" i="2"/>
  <c r="X83" i="2"/>
  <c r="Q84" i="2"/>
  <c r="R84" i="2"/>
  <c r="S84" i="2"/>
  <c r="T84" i="2"/>
  <c r="U84" i="2"/>
  <c r="V84" i="2"/>
  <c r="W84" i="2"/>
  <c r="X84" i="2"/>
  <c r="Q85" i="2"/>
  <c r="R85" i="2"/>
  <c r="S85" i="2"/>
  <c r="T85" i="2"/>
  <c r="U85" i="2"/>
  <c r="V85" i="2"/>
  <c r="W85" i="2"/>
  <c r="X85" i="2"/>
  <c r="Q86" i="2"/>
  <c r="R86" i="2"/>
  <c r="S86" i="2"/>
  <c r="T86" i="2"/>
  <c r="U86" i="2"/>
  <c r="V86" i="2"/>
  <c r="W86" i="2"/>
  <c r="X86" i="2"/>
  <c r="Q87" i="2"/>
  <c r="R87" i="2"/>
  <c r="S87" i="2"/>
  <c r="T87" i="2"/>
  <c r="U87" i="2"/>
  <c r="V87" i="2"/>
  <c r="W87" i="2"/>
  <c r="X87" i="2"/>
  <c r="Q88" i="2"/>
  <c r="R88" i="2"/>
  <c r="S88" i="2"/>
  <c r="T88" i="2"/>
  <c r="U88" i="2"/>
  <c r="V88" i="2"/>
  <c r="W88" i="2"/>
  <c r="X88" i="2"/>
  <c r="Q89" i="2"/>
  <c r="R89" i="2"/>
  <c r="S89" i="2"/>
  <c r="T89" i="2"/>
  <c r="U89" i="2"/>
  <c r="V89" i="2"/>
  <c r="W89" i="2"/>
  <c r="X89" i="2"/>
  <c r="Q90" i="2"/>
  <c r="R90" i="2"/>
  <c r="S90" i="2"/>
  <c r="T90" i="2"/>
  <c r="U90" i="2"/>
  <c r="V90" i="2"/>
  <c r="W90" i="2"/>
  <c r="X90" i="2"/>
  <c r="Q91" i="2"/>
  <c r="R91" i="2"/>
  <c r="S91" i="2"/>
  <c r="T91" i="2"/>
  <c r="U91" i="2"/>
  <c r="V91" i="2"/>
  <c r="W91" i="2"/>
  <c r="X91" i="2"/>
  <c r="Q92" i="2"/>
  <c r="R92" i="2"/>
  <c r="S92" i="2"/>
  <c r="T92" i="2"/>
  <c r="U92" i="2"/>
  <c r="V92" i="2"/>
  <c r="W92" i="2"/>
  <c r="X92" i="2"/>
  <c r="Q93" i="2"/>
  <c r="R93" i="2"/>
  <c r="S93" i="2"/>
  <c r="T93" i="2"/>
  <c r="U93" i="2"/>
  <c r="V93" i="2"/>
  <c r="W93" i="2"/>
  <c r="X93" i="2"/>
  <c r="Q94" i="2"/>
  <c r="R94" i="2"/>
  <c r="S94" i="2"/>
  <c r="T94" i="2"/>
  <c r="U94" i="2"/>
  <c r="V94" i="2"/>
  <c r="W94" i="2"/>
  <c r="X94" i="2"/>
  <c r="Q95" i="2"/>
  <c r="R95" i="2"/>
  <c r="S95" i="2"/>
  <c r="T95" i="2"/>
  <c r="U95" i="2"/>
  <c r="V95" i="2"/>
  <c r="W95" i="2"/>
  <c r="X95" i="2"/>
  <c r="Q96" i="2"/>
  <c r="R96" i="2"/>
  <c r="S96" i="2"/>
  <c r="T96" i="2"/>
  <c r="U96" i="2"/>
  <c r="V96" i="2"/>
  <c r="W96" i="2"/>
  <c r="X96" i="2"/>
  <c r="Q97" i="2"/>
  <c r="R97" i="2"/>
  <c r="S97" i="2"/>
  <c r="T97" i="2"/>
  <c r="U97" i="2"/>
  <c r="V97" i="2"/>
  <c r="W97" i="2"/>
  <c r="X97" i="2"/>
  <c r="Q98" i="2"/>
  <c r="R98" i="2"/>
  <c r="S98" i="2"/>
  <c r="T98" i="2"/>
  <c r="U98" i="2"/>
  <c r="V98" i="2"/>
  <c r="W98" i="2"/>
  <c r="X98" i="2"/>
  <c r="Q99" i="2"/>
  <c r="R99" i="2"/>
  <c r="S99" i="2"/>
  <c r="T99" i="2"/>
  <c r="U99" i="2"/>
  <c r="V99" i="2"/>
  <c r="W99" i="2"/>
  <c r="X99" i="2"/>
  <c r="Q100" i="2"/>
  <c r="R100" i="2"/>
  <c r="S100" i="2"/>
  <c r="T100" i="2"/>
  <c r="U100" i="2"/>
  <c r="V100" i="2"/>
  <c r="W100" i="2"/>
  <c r="X100" i="2"/>
  <c r="Q101" i="2"/>
  <c r="R101" i="2"/>
  <c r="S101" i="2"/>
  <c r="T101" i="2"/>
  <c r="U101" i="2"/>
  <c r="V101" i="2"/>
  <c r="W101" i="2"/>
  <c r="X101" i="2"/>
  <c r="Q102" i="2"/>
  <c r="R102" i="2"/>
  <c r="S102" i="2"/>
  <c r="T102" i="2"/>
  <c r="U102" i="2"/>
  <c r="V102" i="2"/>
  <c r="W102" i="2"/>
  <c r="X102" i="2"/>
  <c r="Q103" i="2"/>
  <c r="R103" i="2"/>
  <c r="S103" i="2"/>
  <c r="T103" i="2"/>
  <c r="U103" i="2"/>
  <c r="V103" i="2"/>
  <c r="W103" i="2"/>
  <c r="X103" i="2"/>
  <c r="Q104" i="2"/>
  <c r="R104" i="2"/>
  <c r="S104" i="2"/>
  <c r="T104" i="2"/>
  <c r="U104" i="2"/>
  <c r="V104" i="2"/>
  <c r="W104" i="2"/>
  <c r="X104" i="2"/>
  <c r="Q105" i="2"/>
  <c r="R105" i="2"/>
  <c r="S105" i="2"/>
  <c r="T105" i="2"/>
  <c r="U105" i="2"/>
  <c r="V105" i="2"/>
  <c r="W105" i="2"/>
  <c r="X105" i="2"/>
  <c r="Q106" i="2"/>
  <c r="R106" i="2"/>
  <c r="S106" i="2"/>
  <c r="T106" i="2"/>
  <c r="U106" i="2"/>
  <c r="V106" i="2"/>
  <c r="W106" i="2"/>
  <c r="X106" i="2"/>
  <c r="Q107" i="2"/>
  <c r="R107" i="2"/>
  <c r="S107" i="2"/>
  <c r="T107" i="2"/>
  <c r="U107" i="2"/>
  <c r="V107" i="2"/>
  <c r="W107" i="2"/>
  <c r="X107" i="2"/>
  <c r="Q108" i="2"/>
  <c r="R108" i="2"/>
  <c r="S108" i="2"/>
  <c r="T108" i="2"/>
  <c r="U108" i="2"/>
  <c r="V108" i="2"/>
  <c r="W108" i="2"/>
  <c r="X108" i="2"/>
  <c r="Q109" i="2"/>
  <c r="R109" i="2"/>
  <c r="S109" i="2"/>
  <c r="T109" i="2"/>
  <c r="U109" i="2"/>
  <c r="V109" i="2"/>
  <c r="W109" i="2"/>
  <c r="X109" i="2"/>
  <c r="Q110" i="2"/>
  <c r="R110" i="2"/>
  <c r="S110" i="2"/>
  <c r="T110" i="2"/>
  <c r="U110" i="2"/>
  <c r="V110" i="2"/>
  <c r="W110" i="2"/>
  <c r="X110" i="2"/>
  <c r="Q111" i="2"/>
  <c r="R111" i="2"/>
  <c r="S111" i="2"/>
  <c r="T111" i="2"/>
  <c r="U111" i="2"/>
  <c r="V111" i="2"/>
  <c r="W111" i="2"/>
  <c r="X111" i="2"/>
  <c r="Q112" i="2"/>
  <c r="R112" i="2"/>
  <c r="S112" i="2"/>
  <c r="T112" i="2"/>
  <c r="U112" i="2"/>
  <c r="V112" i="2"/>
  <c r="W112" i="2"/>
  <c r="X112" i="2"/>
  <c r="Q113" i="2"/>
  <c r="R113" i="2"/>
  <c r="S113" i="2"/>
  <c r="T113" i="2"/>
  <c r="U113" i="2"/>
  <c r="V113" i="2"/>
  <c r="W113" i="2"/>
  <c r="X113" i="2"/>
  <c r="Q114" i="2"/>
  <c r="R114" i="2"/>
  <c r="S114" i="2"/>
  <c r="T114" i="2"/>
  <c r="U114" i="2"/>
  <c r="V114" i="2"/>
  <c r="W114" i="2"/>
  <c r="X114" i="2"/>
  <c r="Q115" i="2"/>
  <c r="R115" i="2"/>
  <c r="S115" i="2"/>
  <c r="T115" i="2"/>
  <c r="U115" i="2"/>
  <c r="V115" i="2"/>
  <c r="W115" i="2"/>
  <c r="X115" i="2"/>
  <c r="Q116" i="2"/>
  <c r="R116" i="2"/>
  <c r="S116" i="2"/>
  <c r="T116" i="2"/>
  <c r="U116" i="2"/>
  <c r="V116" i="2"/>
  <c r="W116" i="2"/>
  <c r="X116" i="2"/>
  <c r="Q117" i="2"/>
  <c r="R117" i="2"/>
  <c r="S117" i="2"/>
  <c r="T117" i="2"/>
  <c r="U117" i="2"/>
  <c r="V117" i="2"/>
  <c r="W117" i="2"/>
  <c r="X117" i="2"/>
  <c r="Q118" i="2"/>
  <c r="R118" i="2"/>
  <c r="S118" i="2"/>
  <c r="T118" i="2"/>
  <c r="U118" i="2"/>
  <c r="V118" i="2"/>
  <c r="W118" i="2"/>
  <c r="X118" i="2"/>
  <c r="Q119" i="2"/>
  <c r="R119" i="2"/>
  <c r="S119" i="2"/>
  <c r="T119" i="2"/>
  <c r="U119" i="2"/>
  <c r="V119" i="2"/>
  <c r="W119" i="2"/>
  <c r="X119" i="2"/>
  <c r="Q120" i="2"/>
  <c r="R120" i="2"/>
  <c r="S120" i="2"/>
  <c r="T120" i="2"/>
  <c r="U120" i="2"/>
  <c r="V120" i="2"/>
  <c r="W120" i="2"/>
  <c r="X120" i="2"/>
  <c r="Q121" i="2"/>
  <c r="R121" i="2"/>
  <c r="S121" i="2"/>
  <c r="T121" i="2"/>
  <c r="U121" i="2"/>
  <c r="V121" i="2"/>
  <c r="W121" i="2"/>
  <c r="X121" i="2"/>
  <c r="Q122" i="2"/>
  <c r="R122" i="2"/>
  <c r="S122" i="2"/>
  <c r="T122" i="2"/>
  <c r="U122" i="2"/>
  <c r="V122" i="2"/>
  <c r="W122" i="2"/>
  <c r="X122" i="2"/>
  <c r="Q123" i="2"/>
  <c r="R123" i="2"/>
  <c r="S123" i="2"/>
  <c r="T123" i="2"/>
  <c r="U123" i="2"/>
  <c r="V123" i="2"/>
  <c r="W123" i="2"/>
  <c r="X123" i="2"/>
  <c r="Q124" i="2"/>
  <c r="R124" i="2"/>
  <c r="S124" i="2"/>
  <c r="T124" i="2"/>
  <c r="U124" i="2"/>
  <c r="V124" i="2"/>
  <c r="W124" i="2"/>
  <c r="X124" i="2"/>
  <c r="Q125" i="2"/>
  <c r="R125" i="2"/>
  <c r="S125" i="2"/>
  <c r="T125" i="2"/>
  <c r="U125" i="2"/>
  <c r="V125" i="2"/>
  <c r="W125" i="2"/>
  <c r="X125" i="2"/>
  <c r="Q126" i="2"/>
  <c r="R126" i="2"/>
  <c r="S126" i="2"/>
  <c r="T126" i="2"/>
  <c r="U126" i="2"/>
  <c r="V126" i="2"/>
  <c r="W126" i="2"/>
  <c r="X126" i="2"/>
  <c r="Q127" i="2"/>
  <c r="R127" i="2"/>
  <c r="S127" i="2"/>
  <c r="T127" i="2"/>
  <c r="U127" i="2"/>
  <c r="V127" i="2"/>
  <c r="W127" i="2"/>
  <c r="X127" i="2"/>
  <c r="Q128" i="2"/>
  <c r="R128" i="2"/>
  <c r="S128" i="2"/>
  <c r="T128" i="2"/>
  <c r="U128" i="2"/>
  <c r="V128" i="2"/>
  <c r="W128" i="2"/>
  <c r="X128" i="2"/>
  <c r="Q129" i="2"/>
  <c r="R129" i="2"/>
  <c r="S129" i="2"/>
  <c r="T129" i="2"/>
  <c r="U129" i="2"/>
  <c r="V129" i="2"/>
  <c r="W129" i="2"/>
  <c r="X129" i="2"/>
  <c r="Q130" i="2"/>
  <c r="R130" i="2"/>
  <c r="S130" i="2"/>
  <c r="T130" i="2"/>
  <c r="U130" i="2"/>
  <c r="V130" i="2"/>
  <c r="W130" i="2"/>
  <c r="X130" i="2"/>
  <c r="Q131" i="2"/>
  <c r="R131" i="2"/>
  <c r="S131" i="2"/>
  <c r="T131" i="2"/>
  <c r="U131" i="2"/>
  <c r="V131" i="2"/>
  <c r="W131" i="2"/>
  <c r="X131" i="2"/>
  <c r="Q132" i="2"/>
  <c r="R132" i="2"/>
  <c r="S132" i="2"/>
  <c r="T132" i="2"/>
  <c r="U132" i="2"/>
  <c r="V132" i="2"/>
  <c r="W132" i="2"/>
  <c r="X132" i="2"/>
  <c r="Q133" i="2"/>
  <c r="R133" i="2"/>
  <c r="S133" i="2"/>
  <c r="T133" i="2"/>
  <c r="U133" i="2"/>
  <c r="V133" i="2"/>
  <c r="W133" i="2"/>
  <c r="X133" i="2"/>
  <c r="Q134" i="2"/>
  <c r="R134" i="2"/>
  <c r="S134" i="2"/>
  <c r="T134" i="2"/>
  <c r="U134" i="2"/>
  <c r="V134" i="2"/>
  <c r="W134" i="2"/>
  <c r="X134" i="2"/>
  <c r="Q135" i="2"/>
  <c r="R135" i="2"/>
  <c r="S135" i="2"/>
  <c r="T135" i="2"/>
  <c r="U135" i="2"/>
  <c r="V135" i="2"/>
  <c r="W135" i="2"/>
  <c r="X135" i="2"/>
  <c r="Q136" i="2"/>
  <c r="R136" i="2"/>
  <c r="S136" i="2"/>
  <c r="T136" i="2"/>
  <c r="U136" i="2"/>
  <c r="V136" i="2"/>
  <c r="W136" i="2"/>
  <c r="X136" i="2"/>
  <c r="Q137" i="2"/>
  <c r="R137" i="2"/>
  <c r="S137" i="2"/>
  <c r="T137" i="2"/>
  <c r="U137" i="2"/>
  <c r="V137" i="2"/>
  <c r="W137" i="2"/>
  <c r="X137" i="2"/>
  <c r="Q138" i="2"/>
  <c r="R138" i="2"/>
  <c r="S138" i="2"/>
  <c r="T138" i="2"/>
  <c r="U138" i="2"/>
  <c r="V138" i="2"/>
  <c r="W138" i="2"/>
  <c r="X138" i="2"/>
  <c r="Q139" i="2"/>
  <c r="R139" i="2"/>
  <c r="S139" i="2"/>
  <c r="T139" i="2"/>
  <c r="U139" i="2"/>
  <c r="V139" i="2"/>
  <c r="W139" i="2"/>
  <c r="X139" i="2"/>
  <c r="Q140" i="2"/>
  <c r="R140" i="2"/>
  <c r="S140" i="2"/>
  <c r="T140" i="2"/>
  <c r="U140" i="2"/>
  <c r="V140" i="2"/>
  <c r="W140" i="2"/>
  <c r="X140" i="2"/>
  <c r="Q141" i="2"/>
  <c r="R141" i="2"/>
  <c r="S141" i="2"/>
  <c r="T141" i="2"/>
  <c r="U141" i="2"/>
  <c r="V141" i="2"/>
  <c r="W141" i="2"/>
  <c r="X141" i="2"/>
  <c r="Q142" i="2"/>
  <c r="R142" i="2"/>
  <c r="S142" i="2"/>
  <c r="T142" i="2"/>
  <c r="U142" i="2"/>
  <c r="V142" i="2"/>
  <c r="W142" i="2"/>
  <c r="X142" i="2"/>
  <c r="Q143" i="2"/>
  <c r="R143" i="2"/>
  <c r="S143" i="2"/>
  <c r="T143" i="2"/>
  <c r="U143" i="2"/>
  <c r="V143" i="2"/>
  <c r="W143" i="2"/>
  <c r="X143" i="2"/>
  <c r="Q144" i="2"/>
  <c r="R144" i="2"/>
  <c r="S144" i="2"/>
  <c r="T144" i="2"/>
  <c r="U144" i="2"/>
  <c r="V144" i="2"/>
  <c r="W144" i="2"/>
  <c r="X144" i="2"/>
  <c r="Q145" i="2"/>
  <c r="R145" i="2"/>
  <c r="S145" i="2"/>
  <c r="T145" i="2"/>
  <c r="U145" i="2"/>
  <c r="V145" i="2"/>
  <c r="W145" i="2"/>
  <c r="X145" i="2"/>
  <c r="Q146" i="2"/>
  <c r="R146" i="2"/>
  <c r="S146" i="2"/>
  <c r="T146" i="2"/>
  <c r="U146" i="2"/>
  <c r="V146" i="2"/>
  <c r="W146" i="2"/>
  <c r="X146" i="2"/>
  <c r="Q147" i="2"/>
  <c r="R147" i="2"/>
  <c r="S147" i="2"/>
  <c r="T147" i="2"/>
  <c r="U147" i="2"/>
  <c r="V147" i="2"/>
  <c r="W147" i="2"/>
  <c r="X147" i="2"/>
  <c r="Q148" i="2"/>
  <c r="R148" i="2"/>
  <c r="S148" i="2"/>
  <c r="T148" i="2"/>
  <c r="U148" i="2"/>
  <c r="V148" i="2"/>
  <c r="W148" i="2"/>
  <c r="X148" i="2"/>
  <c r="Q149" i="2"/>
  <c r="R149" i="2"/>
  <c r="S149" i="2"/>
  <c r="T149" i="2"/>
  <c r="U149" i="2"/>
  <c r="V149" i="2"/>
  <c r="W149" i="2"/>
  <c r="X149" i="2"/>
  <c r="Q150" i="2"/>
  <c r="R150" i="2"/>
  <c r="S150" i="2"/>
  <c r="T150" i="2"/>
  <c r="U150" i="2"/>
  <c r="V150" i="2"/>
  <c r="W150" i="2"/>
  <c r="X150" i="2"/>
  <c r="Q151" i="2"/>
  <c r="R151" i="2"/>
  <c r="S151" i="2"/>
  <c r="T151" i="2"/>
  <c r="U151" i="2"/>
  <c r="V151" i="2"/>
  <c r="W151" i="2"/>
  <c r="X151" i="2"/>
  <c r="Q152" i="2"/>
  <c r="R152" i="2"/>
  <c r="S152" i="2"/>
  <c r="T152" i="2"/>
  <c r="U152" i="2"/>
  <c r="V152" i="2"/>
  <c r="W152" i="2"/>
  <c r="X152" i="2"/>
  <c r="Q153" i="2"/>
  <c r="R153" i="2"/>
  <c r="S153" i="2"/>
  <c r="T153" i="2"/>
  <c r="U153" i="2"/>
  <c r="V153" i="2"/>
  <c r="W153" i="2"/>
  <c r="X153" i="2"/>
  <c r="Q154" i="2"/>
  <c r="R154" i="2"/>
  <c r="S154" i="2"/>
  <c r="T154" i="2"/>
  <c r="U154" i="2"/>
  <c r="V154" i="2"/>
  <c r="W154" i="2"/>
  <c r="X154" i="2"/>
  <c r="Q155" i="2"/>
  <c r="R155" i="2"/>
  <c r="S155" i="2"/>
  <c r="T155" i="2"/>
  <c r="U155" i="2"/>
  <c r="V155" i="2"/>
  <c r="W155" i="2"/>
  <c r="X155" i="2"/>
  <c r="Q156" i="2"/>
  <c r="R156" i="2"/>
  <c r="S156" i="2"/>
  <c r="T156" i="2"/>
  <c r="U156" i="2"/>
  <c r="V156" i="2"/>
  <c r="W156" i="2"/>
  <c r="X156" i="2"/>
  <c r="Q157" i="2"/>
  <c r="R157" i="2"/>
  <c r="S157" i="2"/>
  <c r="T157" i="2"/>
  <c r="U157" i="2"/>
  <c r="V157" i="2"/>
  <c r="W157" i="2"/>
  <c r="X157" i="2"/>
  <c r="Q158" i="2"/>
  <c r="R158" i="2"/>
  <c r="S158" i="2"/>
  <c r="T158" i="2"/>
  <c r="U158" i="2"/>
  <c r="V158" i="2"/>
  <c r="W158" i="2"/>
  <c r="X158" i="2"/>
  <c r="Q159" i="2"/>
  <c r="R159" i="2"/>
  <c r="S159" i="2"/>
  <c r="T159" i="2"/>
  <c r="U159" i="2"/>
  <c r="V159" i="2"/>
  <c r="W159" i="2"/>
  <c r="X159" i="2"/>
  <c r="Q160" i="2"/>
  <c r="R160" i="2"/>
  <c r="S160" i="2"/>
  <c r="T160" i="2"/>
  <c r="U160" i="2"/>
  <c r="V160" i="2"/>
  <c r="W160" i="2"/>
  <c r="X160" i="2"/>
  <c r="Q161" i="2"/>
  <c r="R161" i="2"/>
  <c r="S161" i="2"/>
  <c r="T161" i="2"/>
  <c r="U161" i="2"/>
  <c r="V161" i="2"/>
  <c r="W161" i="2"/>
  <c r="X161" i="2"/>
  <c r="Q162" i="2"/>
  <c r="R162" i="2"/>
  <c r="S162" i="2"/>
  <c r="T162" i="2"/>
  <c r="U162" i="2"/>
  <c r="V162" i="2"/>
  <c r="W162" i="2"/>
  <c r="X162" i="2"/>
  <c r="Q163" i="2"/>
  <c r="R163" i="2"/>
  <c r="S163" i="2"/>
  <c r="T163" i="2"/>
  <c r="U163" i="2"/>
  <c r="V163" i="2"/>
  <c r="W163" i="2"/>
  <c r="X163" i="2"/>
  <c r="Q164" i="2"/>
  <c r="R164" i="2"/>
  <c r="S164" i="2"/>
  <c r="T164" i="2"/>
  <c r="U164" i="2"/>
  <c r="V164" i="2"/>
  <c r="W164" i="2"/>
  <c r="X164" i="2"/>
  <c r="Q165" i="2"/>
  <c r="R165" i="2"/>
  <c r="S165" i="2"/>
  <c r="T165" i="2"/>
  <c r="U165" i="2"/>
  <c r="V165" i="2"/>
  <c r="W165" i="2"/>
  <c r="X165" i="2"/>
  <c r="Q166" i="2"/>
  <c r="R166" i="2"/>
  <c r="S166" i="2"/>
  <c r="T166" i="2"/>
  <c r="U166" i="2"/>
  <c r="V166" i="2"/>
  <c r="W166" i="2"/>
  <c r="X166" i="2"/>
  <c r="Q167" i="2"/>
  <c r="R167" i="2"/>
  <c r="S167" i="2"/>
  <c r="T167" i="2"/>
  <c r="U167" i="2"/>
  <c r="V167" i="2"/>
  <c r="W167" i="2"/>
  <c r="X167" i="2"/>
  <c r="Q168" i="2"/>
  <c r="R168" i="2"/>
  <c r="S168" i="2"/>
  <c r="T168" i="2"/>
  <c r="U168" i="2"/>
  <c r="V168" i="2"/>
  <c r="W168" i="2"/>
  <c r="X168" i="2"/>
  <c r="Q169" i="2"/>
  <c r="R169" i="2"/>
  <c r="S169" i="2"/>
  <c r="T169" i="2"/>
  <c r="U169" i="2"/>
  <c r="V169" i="2"/>
  <c r="W169" i="2"/>
  <c r="X169" i="2"/>
  <c r="Q170" i="2"/>
  <c r="R170" i="2"/>
  <c r="S170" i="2"/>
  <c r="T170" i="2"/>
  <c r="U170" i="2"/>
  <c r="V170" i="2"/>
  <c r="W170" i="2"/>
  <c r="X170" i="2"/>
  <c r="Q171" i="2"/>
  <c r="R171" i="2"/>
  <c r="S171" i="2"/>
  <c r="T171" i="2"/>
  <c r="U171" i="2"/>
  <c r="V171" i="2"/>
  <c r="W171" i="2"/>
  <c r="X171" i="2"/>
  <c r="Q172" i="2"/>
  <c r="R172" i="2"/>
  <c r="S172" i="2"/>
  <c r="T172" i="2"/>
  <c r="U172" i="2"/>
  <c r="V172" i="2"/>
  <c r="W172" i="2"/>
  <c r="X172" i="2"/>
  <c r="Q173" i="2"/>
  <c r="R173" i="2"/>
  <c r="S173" i="2"/>
  <c r="T173" i="2"/>
  <c r="U173" i="2"/>
  <c r="V173" i="2"/>
  <c r="W173" i="2"/>
  <c r="X173" i="2"/>
  <c r="Q174" i="2"/>
  <c r="R174" i="2"/>
  <c r="S174" i="2"/>
  <c r="T174" i="2"/>
  <c r="U174" i="2"/>
  <c r="V174" i="2"/>
  <c r="W174" i="2"/>
  <c r="X174" i="2"/>
  <c r="Q175" i="2"/>
  <c r="R175" i="2"/>
  <c r="S175" i="2"/>
  <c r="T175" i="2"/>
  <c r="U175" i="2"/>
  <c r="V175" i="2"/>
  <c r="W175" i="2"/>
  <c r="X175" i="2"/>
  <c r="Q176" i="2"/>
  <c r="R176" i="2"/>
  <c r="S176" i="2"/>
  <c r="T176" i="2"/>
  <c r="U176" i="2"/>
  <c r="V176" i="2"/>
  <c r="W176" i="2"/>
  <c r="X176" i="2"/>
  <c r="Q177" i="2"/>
  <c r="R177" i="2"/>
  <c r="S177" i="2"/>
  <c r="T177" i="2"/>
  <c r="U177" i="2"/>
  <c r="V177" i="2"/>
  <c r="W177" i="2"/>
  <c r="X177" i="2"/>
  <c r="Q178" i="2"/>
  <c r="R178" i="2"/>
  <c r="S178" i="2"/>
  <c r="T178" i="2"/>
  <c r="U178" i="2"/>
  <c r="V178" i="2"/>
  <c r="W178" i="2"/>
  <c r="X178" i="2"/>
  <c r="Q179" i="2"/>
  <c r="R179" i="2"/>
  <c r="S179" i="2"/>
  <c r="T179" i="2"/>
  <c r="U179" i="2"/>
  <c r="V179" i="2"/>
  <c r="W179" i="2"/>
  <c r="X179" i="2"/>
  <c r="Q180" i="2"/>
  <c r="R180" i="2"/>
  <c r="S180" i="2"/>
  <c r="T180" i="2"/>
  <c r="U180" i="2"/>
  <c r="V180" i="2"/>
  <c r="W180" i="2"/>
  <c r="X180" i="2"/>
  <c r="Q181" i="2"/>
  <c r="R181" i="2"/>
  <c r="S181" i="2"/>
  <c r="T181" i="2"/>
  <c r="U181" i="2"/>
  <c r="V181" i="2"/>
  <c r="W181" i="2"/>
  <c r="X181" i="2"/>
  <c r="Q182" i="2"/>
  <c r="R182" i="2"/>
  <c r="S182" i="2"/>
  <c r="T182" i="2"/>
  <c r="U182" i="2"/>
  <c r="V182" i="2"/>
  <c r="W182" i="2"/>
  <c r="X182" i="2"/>
  <c r="Q183" i="2"/>
  <c r="R183" i="2"/>
  <c r="S183" i="2"/>
  <c r="T183" i="2"/>
  <c r="U183" i="2"/>
  <c r="V183" i="2"/>
  <c r="W183" i="2"/>
  <c r="X183" i="2"/>
  <c r="Q184" i="2"/>
  <c r="R184" i="2"/>
  <c r="S184" i="2"/>
  <c r="T184" i="2"/>
  <c r="U184" i="2"/>
  <c r="V184" i="2"/>
  <c r="W184" i="2"/>
  <c r="X184" i="2"/>
  <c r="Q185" i="2"/>
  <c r="R185" i="2"/>
  <c r="S185" i="2"/>
  <c r="T185" i="2"/>
  <c r="U185" i="2"/>
  <c r="V185" i="2"/>
  <c r="W185" i="2"/>
  <c r="X185" i="2"/>
  <c r="Q186" i="2"/>
  <c r="R186" i="2"/>
  <c r="S186" i="2"/>
  <c r="T186" i="2"/>
  <c r="U186" i="2"/>
  <c r="V186" i="2"/>
  <c r="W186" i="2"/>
  <c r="X186" i="2"/>
  <c r="Q187" i="2"/>
  <c r="R187" i="2"/>
  <c r="S187" i="2"/>
  <c r="T187" i="2"/>
  <c r="U187" i="2"/>
  <c r="V187" i="2"/>
  <c r="W187" i="2"/>
  <c r="X187" i="2"/>
  <c r="Q188" i="2"/>
  <c r="R188" i="2"/>
  <c r="S188" i="2"/>
  <c r="T188" i="2"/>
  <c r="U188" i="2"/>
  <c r="V188" i="2"/>
  <c r="W188" i="2"/>
  <c r="X188" i="2"/>
  <c r="Q189" i="2"/>
  <c r="R189" i="2"/>
  <c r="S189" i="2"/>
  <c r="T189" i="2"/>
  <c r="U189" i="2"/>
  <c r="V189" i="2"/>
  <c r="W189" i="2"/>
  <c r="X189" i="2"/>
  <c r="Q190" i="2"/>
  <c r="R190" i="2"/>
  <c r="S190" i="2"/>
  <c r="T190" i="2"/>
  <c r="U190" i="2"/>
  <c r="V190" i="2"/>
  <c r="W190" i="2"/>
  <c r="X190" i="2"/>
  <c r="Q191" i="2"/>
  <c r="R191" i="2"/>
  <c r="S191" i="2"/>
  <c r="T191" i="2"/>
  <c r="U191" i="2"/>
  <c r="V191" i="2"/>
  <c r="W191" i="2"/>
  <c r="X191" i="2"/>
  <c r="Q192" i="2"/>
  <c r="R192" i="2"/>
  <c r="S192" i="2"/>
  <c r="T192" i="2"/>
  <c r="U192" i="2"/>
  <c r="V192" i="2"/>
  <c r="W192" i="2"/>
  <c r="X192" i="2"/>
  <c r="Q193" i="2"/>
  <c r="R193" i="2"/>
  <c r="S193" i="2"/>
  <c r="T193" i="2"/>
  <c r="U193" i="2"/>
  <c r="V193" i="2"/>
  <c r="W193" i="2"/>
  <c r="X193" i="2"/>
  <c r="Q194" i="2"/>
  <c r="R194" i="2"/>
  <c r="S194" i="2"/>
  <c r="T194" i="2"/>
  <c r="U194" i="2"/>
  <c r="V194" i="2"/>
  <c r="W194" i="2"/>
  <c r="X194" i="2"/>
  <c r="Q195" i="2"/>
  <c r="R195" i="2"/>
  <c r="S195" i="2"/>
  <c r="T195" i="2"/>
  <c r="U195" i="2"/>
  <c r="V195" i="2"/>
  <c r="W195" i="2"/>
  <c r="X195" i="2"/>
  <c r="Q196" i="2"/>
  <c r="R196" i="2"/>
  <c r="S196" i="2"/>
  <c r="T196" i="2"/>
  <c r="U196" i="2"/>
  <c r="V196" i="2"/>
  <c r="W196" i="2"/>
  <c r="X196" i="2"/>
  <c r="Q197" i="2"/>
  <c r="R197" i="2"/>
  <c r="S197" i="2"/>
  <c r="T197" i="2"/>
  <c r="U197" i="2"/>
  <c r="V197" i="2"/>
  <c r="W197" i="2"/>
  <c r="X197" i="2"/>
  <c r="Q198" i="2"/>
  <c r="R198" i="2"/>
  <c r="S198" i="2"/>
  <c r="T198" i="2"/>
  <c r="U198" i="2"/>
  <c r="V198" i="2"/>
  <c r="W198" i="2"/>
  <c r="X198" i="2"/>
  <c r="Q199" i="2"/>
  <c r="R199" i="2"/>
  <c r="S199" i="2"/>
  <c r="T199" i="2"/>
  <c r="U199" i="2"/>
  <c r="V199" i="2"/>
  <c r="W199" i="2"/>
  <c r="X199" i="2"/>
  <c r="Q200" i="2"/>
  <c r="R200" i="2"/>
  <c r="S200" i="2"/>
  <c r="T200" i="2"/>
  <c r="U200" i="2"/>
  <c r="V200" i="2"/>
  <c r="W200" i="2"/>
  <c r="X200" i="2"/>
  <c r="Q201" i="2"/>
  <c r="R201" i="2"/>
  <c r="S201" i="2"/>
  <c r="T201" i="2"/>
  <c r="U201" i="2"/>
  <c r="V201" i="2"/>
  <c r="W201" i="2"/>
  <c r="X201" i="2"/>
  <c r="Q202" i="2"/>
  <c r="R202" i="2"/>
  <c r="S202" i="2"/>
  <c r="T202" i="2"/>
  <c r="U202" i="2"/>
  <c r="V202" i="2"/>
  <c r="W202" i="2"/>
  <c r="X202" i="2"/>
  <c r="Q203" i="2"/>
  <c r="R203" i="2"/>
  <c r="S203" i="2"/>
  <c r="T203" i="2"/>
  <c r="U203" i="2"/>
  <c r="V203" i="2"/>
  <c r="W203" i="2"/>
  <c r="X203" i="2"/>
  <c r="Q204" i="2"/>
  <c r="R204" i="2"/>
  <c r="S204" i="2"/>
  <c r="T204" i="2"/>
  <c r="U204" i="2"/>
  <c r="V204" i="2"/>
  <c r="W204" i="2"/>
  <c r="X204" i="2"/>
  <c r="Q205" i="2"/>
  <c r="R205" i="2"/>
  <c r="S205" i="2"/>
  <c r="T205" i="2"/>
  <c r="U205" i="2"/>
  <c r="V205" i="2"/>
  <c r="W205" i="2"/>
  <c r="X205" i="2"/>
  <c r="Q206" i="2"/>
  <c r="R206" i="2"/>
  <c r="S206" i="2"/>
  <c r="T206" i="2"/>
  <c r="U206" i="2"/>
  <c r="V206" i="2"/>
  <c r="W206" i="2"/>
  <c r="X206" i="2"/>
  <c r="Q207" i="2"/>
  <c r="R207" i="2"/>
  <c r="S207" i="2"/>
  <c r="T207" i="2"/>
  <c r="U207" i="2"/>
  <c r="V207" i="2"/>
  <c r="W207" i="2"/>
  <c r="X207" i="2"/>
  <c r="Q208" i="2"/>
  <c r="R208" i="2"/>
  <c r="S208" i="2"/>
  <c r="T208" i="2"/>
  <c r="U208" i="2"/>
  <c r="V208" i="2"/>
  <c r="W208" i="2"/>
  <c r="X208" i="2"/>
  <c r="Q209" i="2"/>
  <c r="R209" i="2"/>
  <c r="S209" i="2"/>
  <c r="T209" i="2"/>
  <c r="U209" i="2"/>
  <c r="V209" i="2"/>
  <c r="W209" i="2"/>
  <c r="X209" i="2"/>
  <c r="Q210" i="2"/>
  <c r="R210" i="2"/>
  <c r="S210" i="2"/>
  <c r="T210" i="2"/>
  <c r="U210" i="2"/>
  <c r="V210" i="2"/>
  <c r="W210" i="2"/>
  <c r="X210" i="2"/>
  <c r="Q211" i="2"/>
  <c r="R211" i="2"/>
  <c r="S211" i="2"/>
  <c r="T211" i="2"/>
  <c r="U211" i="2"/>
  <c r="V211" i="2"/>
  <c r="W211" i="2"/>
  <c r="X211" i="2"/>
  <c r="Q212" i="2"/>
  <c r="R212" i="2"/>
  <c r="S212" i="2"/>
  <c r="T212" i="2"/>
  <c r="U212" i="2"/>
  <c r="V212" i="2"/>
  <c r="W212" i="2"/>
  <c r="X212" i="2"/>
  <c r="Q213" i="2"/>
  <c r="R213" i="2"/>
  <c r="S213" i="2"/>
  <c r="T213" i="2"/>
  <c r="U213" i="2"/>
  <c r="V213" i="2"/>
  <c r="W213" i="2"/>
  <c r="X213" i="2"/>
  <c r="Q214" i="2"/>
  <c r="R214" i="2"/>
  <c r="S214" i="2"/>
  <c r="T214" i="2"/>
  <c r="U214" i="2"/>
  <c r="V214" i="2"/>
  <c r="W214" i="2"/>
  <c r="X214" i="2"/>
  <c r="Q215" i="2"/>
  <c r="R215" i="2"/>
  <c r="S215" i="2"/>
  <c r="T215" i="2"/>
  <c r="U215" i="2"/>
  <c r="V215" i="2"/>
  <c r="W215" i="2"/>
  <c r="X215" i="2"/>
  <c r="Q216" i="2"/>
  <c r="R216" i="2"/>
  <c r="S216" i="2"/>
  <c r="T216" i="2"/>
  <c r="U216" i="2"/>
  <c r="V216" i="2"/>
  <c r="W216" i="2"/>
  <c r="X216" i="2"/>
  <c r="Q217" i="2"/>
  <c r="R217" i="2"/>
  <c r="S217" i="2"/>
  <c r="T217" i="2"/>
  <c r="U217" i="2"/>
  <c r="V217" i="2"/>
  <c r="W217" i="2"/>
  <c r="X217" i="2"/>
  <c r="Q218" i="2"/>
  <c r="R218" i="2"/>
  <c r="S218" i="2"/>
  <c r="T218" i="2"/>
  <c r="U218" i="2"/>
  <c r="V218" i="2"/>
  <c r="W218" i="2"/>
  <c r="X218" i="2"/>
  <c r="Q219" i="2"/>
  <c r="R219" i="2"/>
  <c r="S219" i="2"/>
  <c r="T219" i="2"/>
  <c r="U219" i="2"/>
  <c r="V219" i="2"/>
  <c r="W219" i="2"/>
  <c r="X219" i="2"/>
  <c r="Q220" i="2"/>
  <c r="R220" i="2"/>
  <c r="S220" i="2"/>
  <c r="T220" i="2"/>
  <c r="U220" i="2"/>
  <c r="V220" i="2"/>
  <c r="W220" i="2"/>
  <c r="X220" i="2"/>
  <c r="Q221" i="2"/>
  <c r="R221" i="2"/>
  <c r="S221" i="2"/>
  <c r="T221" i="2"/>
  <c r="U221" i="2"/>
  <c r="V221" i="2"/>
  <c r="W221" i="2"/>
  <c r="X221" i="2"/>
  <c r="Q222" i="2"/>
  <c r="R222" i="2"/>
  <c r="S222" i="2"/>
  <c r="T222" i="2"/>
  <c r="U222" i="2"/>
  <c r="V222" i="2"/>
  <c r="W222" i="2"/>
  <c r="X222" i="2"/>
  <c r="Q223" i="2"/>
  <c r="R223" i="2"/>
  <c r="S223" i="2"/>
  <c r="T223" i="2"/>
  <c r="U223" i="2"/>
  <c r="V223" i="2"/>
  <c r="W223" i="2"/>
  <c r="X223" i="2"/>
  <c r="Q224" i="2"/>
  <c r="R224" i="2"/>
  <c r="S224" i="2"/>
  <c r="T224" i="2"/>
  <c r="U224" i="2"/>
  <c r="V224" i="2"/>
  <c r="W224" i="2"/>
  <c r="X224" i="2"/>
  <c r="Q225" i="2"/>
  <c r="R225" i="2"/>
  <c r="S225" i="2"/>
  <c r="T225" i="2"/>
  <c r="U225" i="2"/>
  <c r="V225" i="2"/>
  <c r="W225" i="2"/>
  <c r="X225" i="2"/>
  <c r="Q226" i="2"/>
  <c r="R226" i="2"/>
  <c r="S226" i="2"/>
  <c r="T226" i="2"/>
  <c r="U226" i="2"/>
  <c r="V226" i="2"/>
  <c r="W226" i="2"/>
  <c r="X226" i="2"/>
  <c r="Q227" i="2"/>
  <c r="R227" i="2"/>
  <c r="S227" i="2"/>
  <c r="T227" i="2"/>
  <c r="U227" i="2"/>
  <c r="V227" i="2"/>
  <c r="W227" i="2"/>
  <c r="X227" i="2"/>
  <c r="Q228" i="2"/>
  <c r="R228" i="2"/>
  <c r="S228" i="2"/>
  <c r="T228" i="2"/>
  <c r="U228" i="2"/>
  <c r="V228" i="2"/>
  <c r="W228" i="2"/>
  <c r="X228" i="2"/>
  <c r="Q229" i="2"/>
  <c r="R229" i="2"/>
  <c r="S229" i="2"/>
  <c r="T229" i="2"/>
  <c r="U229" i="2"/>
  <c r="V229" i="2"/>
  <c r="W229" i="2"/>
  <c r="X229" i="2"/>
  <c r="Q230" i="2"/>
  <c r="R230" i="2"/>
  <c r="S230" i="2"/>
  <c r="T230" i="2"/>
  <c r="U230" i="2"/>
  <c r="V230" i="2"/>
  <c r="W230" i="2"/>
  <c r="X230" i="2"/>
  <c r="Q231" i="2"/>
  <c r="R231" i="2"/>
  <c r="S231" i="2"/>
  <c r="T231" i="2"/>
  <c r="U231" i="2"/>
  <c r="V231" i="2"/>
  <c r="W231" i="2"/>
  <c r="X231" i="2"/>
  <c r="Q232" i="2"/>
  <c r="R232" i="2"/>
  <c r="S232" i="2"/>
  <c r="T232" i="2"/>
  <c r="U232" i="2"/>
  <c r="V232" i="2"/>
  <c r="W232" i="2"/>
  <c r="X232" i="2"/>
  <c r="Q233" i="2"/>
  <c r="R233" i="2"/>
  <c r="S233" i="2"/>
  <c r="T233" i="2"/>
  <c r="U233" i="2"/>
  <c r="V233" i="2"/>
  <c r="W233" i="2"/>
  <c r="X233" i="2"/>
  <c r="Q234" i="2"/>
  <c r="R234" i="2"/>
  <c r="S234" i="2"/>
  <c r="T234" i="2"/>
  <c r="U234" i="2"/>
  <c r="V234" i="2"/>
  <c r="W234" i="2"/>
  <c r="X234" i="2"/>
  <c r="Q235" i="2"/>
  <c r="R235" i="2"/>
  <c r="S235" i="2"/>
  <c r="T235" i="2"/>
  <c r="U235" i="2"/>
  <c r="V235" i="2"/>
  <c r="W235" i="2"/>
  <c r="X235" i="2"/>
  <c r="Q236" i="2"/>
  <c r="R236" i="2"/>
  <c r="S236" i="2"/>
  <c r="T236" i="2"/>
  <c r="U236" i="2"/>
  <c r="V236" i="2"/>
  <c r="W236" i="2"/>
  <c r="X236" i="2"/>
  <c r="Q237" i="2"/>
  <c r="R237" i="2"/>
  <c r="S237" i="2"/>
  <c r="T237" i="2"/>
  <c r="U237" i="2"/>
  <c r="V237" i="2"/>
  <c r="W237" i="2"/>
  <c r="X237" i="2"/>
  <c r="Q238" i="2"/>
  <c r="R238" i="2"/>
  <c r="S238" i="2"/>
  <c r="T238" i="2"/>
  <c r="U238" i="2"/>
  <c r="V238" i="2"/>
  <c r="W238" i="2"/>
  <c r="X238" i="2"/>
  <c r="Q239" i="2"/>
  <c r="R239" i="2"/>
  <c r="S239" i="2"/>
  <c r="T239" i="2"/>
  <c r="U239" i="2"/>
  <c r="V239" i="2"/>
  <c r="W239" i="2"/>
  <c r="X239" i="2"/>
  <c r="Q240" i="2"/>
  <c r="R240" i="2"/>
  <c r="S240" i="2"/>
  <c r="T240" i="2"/>
  <c r="U240" i="2"/>
  <c r="V240" i="2"/>
  <c r="W240" i="2"/>
  <c r="X240" i="2"/>
  <c r="Q241" i="2"/>
  <c r="R241" i="2"/>
  <c r="S241" i="2"/>
  <c r="T241" i="2"/>
  <c r="U241" i="2"/>
  <c r="V241" i="2"/>
  <c r="W241" i="2"/>
  <c r="X241" i="2"/>
  <c r="Q242" i="2"/>
  <c r="R242" i="2"/>
  <c r="S242" i="2"/>
  <c r="T242" i="2"/>
  <c r="U242" i="2"/>
  <c r="V242" i="2"/>
  <c r="W242" i="2"/>
  <c r="X242" i="2"/>
  <c r="Q243" i="2"/>
  <c r="R243" i="2"/>
  <c r="S243" i="2"/>
  <c r="T243" i="2"/>
  <c r="U243" i="2"/>
  <c r="V243" i="2"/>
  <c r="W243" i="2"/>
  <c r="X243" i="2"/>
  <c r="Q244" i="2"/>
  <c r="R244" i="2"/>
  <c r="S244" i="2"/>
  <c r="T244" i="2"/>
  <c r="U244" i="2"/>
  <c r="V244" i="2"/>
  <c r="W244" i="2"/>
  <c r="X244" i="2"/>
  <c r="Q245" i="2"/>
  <c r="R245" i="2"/>
  <c r="S245" i="2"/>
  <c r="T245" i="2"/>
  <c r="U245" i="2"/>
  <c r="V245" i="2"/>
  <c r="W245" i="2"/>
  <c r="X245" i="2"/>
  <c r="Q246" i="2"/>
  <c r="R246" i="2"/>
  <c r="S246" i="2"/>
  <c r="T246" i="2"/>
  <c r="U246" i="2"/>
  <c r="V246" i="2"/>
  <c r="W246" i="2"/>
  <c r="X246" i="2"/>
  <c r="Q247" i="2"/>
  <c r="R247" i="2"/>
  <c r="S247" i="2"/>
  <c r="T247" i="2"/>
  <c r="U247" i="2"/>
  <c r="V247" i="2"/>
  <c r="W247" i="2"/>
  <c r="X247" i="2"/>
  <c r="Q248" i="2"/>
  <c r="R248" i="2"/>
  <c r="S248" i="2"/>
  <c r="T248" i="2"/>
  <c r="U248" i="2"/>
  <c r="V248" i="2"/>
  <c r="W248" i="2"/>
  <c r="X248" i="2"/>
  <c r="Q249" i="2"/>
  <c r="R249" i="2"/>
  <c r="S249" i="2"/>
  <c r="T249" i="2"/>
  <c r="U249" i="2"/>
  <c r="V249" i="2"/>
  <c r="W249" i="2"/>
  <c r="X249" i="2"/>
  <c r="Q250" i="2"/>
  <c r="R250" i="2"/>
  <c r="S250" i="2"/>
  <c r="T250" i="2"/>
  <c r="U250" i="2"/>
  <c r="V250" i="2"/>
  <c r="W250" i="2"/>
  <c r="X250" i="2"/>
  <c r="Q251" i="2"/>
  <c r="R251" i="2"/>
  <c r="S251" i="2"/>
  <c r="T251" i="2"/>
  <c r="U251" i="2"/>
  <c r="V251" i="2"/>
  <c r="W251" i="2"/>
  <c r="X251" i="2"/>
  <c r="Q252" i="2"/>
  <c r="R252" i="2"/>
  <c r="S252" i="2"/>
  <c r="T252" i="2"/>
  <c r="U252" i="2"/>
  <c r="V252" i="2"/>
  <c r="W252" i="2"/>
  <c r="X252" i="2"/>
  <c r="Q253" i="2"/>
  <c r="R253" i="2"/>
  <c r="S253" i="2"/>
  <c r="T253" i="2"/>
  <c r="U253" i="2"/>
  <c r="V253" i="2"/>
  <c r="W253" i="2"/>
  <c r="X253" i="2"/>
  <c r="Q254" i="2"/>
  <c r="R254" i="2"/>
  <c r="S254" i="2"/>
  <c r="T254" i="2"/>
  <c r="U254" i="2"/>
  <c r="V254" i="2"/>
  <c r="W254" i="2"/>
  <c r="X254" i="2"/>
  <c r="Q255" i="2"/>
  <c r="R255" i="2"/>
  <c r="S255" i="2"/>
  <c r="T255" i="2"/>
  <c r="U255" i="2"/>
  <c r="V255" i="2"/>
  <c r="W255" i="2"/>
  <c r="X255" i="2"/>
  <c r="Q256" i="2"/>
  <c r="R256" i="2"/>
  <c r="S256" i="2"/>
  <c r="T256" i="2"/>
  <c r="U256" i="2"/>
  <c r="V256" i="2"/>
  <c r="W256" i="2"/>
  <c r="X256" i="2"/>
  <c r="Q257" i="2"/>
  <c r="R257" i="2"/>
  <c r="S257" i="2"/>
  <c r="T257" i="2"/>
  <c r="U257" i="2"/>
  <c r="V257" i="2"/>
  <c r="W257" i="2"/>
  <c r="X257" i="2"/>
  <c r="Q258" i="2"/>
  <c r="R258" i="2"/>
  <c r="S258" i="2"/>
  <c r="T258" i="2"/>
  <c r="U258" i="2"/>
  <c r="V258" i="2"/>
  <c r="W258" i="2"/>
  <c r="X258" i="2"/>
  <c r="Q259" i="2"/>
  <c r="R259" i="2"/>
  <c r="S259" i="2"/>
  <c r="T259" i="2"/>
  <c r="U259" i="2"/>
  <c r="V259" i="2"/>
  <c r="W259" i="2"/>
  <c r="X259" i="2"/>
  <c r="Q260" i="2"/>
  <c r="R260" i="2"/>
  <c r="S260" i="2"/>
  <c r="T260" i="2"/>
  <c r="U260" i="2"/>
  <c r="V260" i="2"/>
  <c r="W260" i="2"/>
  <c r="X260" i="2"/>
  <c r="Q261" i="2"/>
  <c r="R261" i="2"/>
  <c r="S261" i="2"/>
  <c r="T261" i="2"/>
  <c r="U261" i="2"/>
  <c r="V261" i="2"/>
  <c r="W261" i="2"/>
  <c r="X261" i="2"/>
  <c r="Q262" i="2"/>
  <c r="R262" i="2"/>
  <c r="S262" i="2"/>
  <c r="T262" i="2"/>
  <c r="U262" i="2"/>
  <c r="V262" i="2"/>
  <c r="W262" i="2"/>
  <c r="X262" i="2"/>
  <c r="Q263" i="2"/>
  <c r="R263" i="2"/>
  <c r="S263" i="2"/>
  <c r="T263" i="2"/>
  <c r="U263" i="2"/>
  <c r="V263" i="2"/>
  <c r="W263" i="2"/>
  <c r="X263" i="2"/>
  <c r="Q264" i="2"/>
  <c r="R264" i="2"/>
  <c r="S264" i="2"/>
  <c r="T264" i="2"/>
  <c r="U264" i="2"/>
  <c r="V264" i="2"/>
  <c r="W264" i="2"/>
  <c r="X264" i="2"/>
  <c r="Q265" i="2"/>
  <c r="R265" i="2"/>
  <c r="S265" i="2"/>
  <c r="T265" i="2"/>
  <c r="U265" i="2"/>
  <c r="V265" i="2"/>
  <c r="W265" i="2"/>
  <c r="X265" i="2"/>
  <c r="Q266" i="2"/>
  <c r="R266" i="2"/>
  <c r="S266" i="2"/>
  <c r="T266" i="2"/>
  <c r="U266" i="2"/>
  <c r="V266" i="2"/>
  <c r="W266" i="2"/>
  <c r="X266" i="2"/>
  <c r="Q267" i="2"/>
  <c r="R267" i="2"/>
  <c r="S267" i="2"/>
  <c r="T267" i="2"/>
  <c r="U267" i="2"/>
  <c r="V267" i="2"/>
  <c r="W267" i="2"/>
  <c r="X267" i="2"/>
  <c r="Q268" i="2"/>
  <c r="R268" i="2"/>
  <c r="S268" i="2"/>
  <c r="T268" i="2"/>
  <c r="U268" i="2"/>
  <c r="V268" i="2"/>
  <c r="W268" i="2"/>
  <c r="X268" i="2"/>
  <c r="Q269" i="2"/>
  <c r="R269" i="2"/>
  <c r="S269" i="2"/>
  <c r="T269" i="2"/>
  <c r="U269" i="2"/>
  <c r="V269" i="2"/>
  <c r="W269" i="2"/>
  <c r="X269" i="2"/>
  <c r="Q270" i="2"/>
  <c r="R270" i="2"/>
  <c r="S270" i="2"/>
  <c r="T270" i="2"/>
  <c r="U270" i="2"/>
  <c r="V270" i="2"/>
  <c r="W270" i="2"/>
  <c r="X270" i="2"/>
  <c r="Q271" i="2"/>
  <c r="R271" i="2"/>
  <c r="S271" i="2"/>
  <c r="T271" i="2"/>
  <c r="U271" i="2"/>
  <c r="V271" i="2"/>
  <c r="W271" i="2"/>
  <c r="X271" i="2"/>
  <c r="Q272" i="2"/>
  <c r="R272" i="2"/>
  <c r="S272" i="2"/>
  <c r="T272" i="2"/>
  <c r="U272" i="2"/>
  <c r="V272" i="2"/>
  <c r="W272" i="2"/>
  <c r="X272" i="2"/>
  <c r="Q273" i="2"/>
  <c r="R273" i="2"/>
  <c r="S273" i="2"/>
  <c r="T273" i="2"/>
  <c r="U273" i="2"/>
  <c r="V273" i="2"/>
  <c r="W273" i="2"/>
  <c r="X273" i="2"/>
  <c r="Q274" i="2"/>
  <c r="R274" i="2"/>
  <c r="S274" i="2"/>
  <c r="T274" i="2"/>
  <c r="U274" i="2"/>
  <c r="V274" i="2"/>
  <c r="W274" i="2"/>
  <c r="X274" i="2"/>
  <c r="Q275" i="2"/>
  <c r="R275" i="2"/>
  <c r="S275" i="2"/>
  <c r="T275" i="2"/>
  <c r="U275" i="2"/>
  <c r="V275" i="2"/>
  <c r="W275" i="2"/>
  <c r="X275" i="2"/>
  <c r="Q276" i="2"/>
  <c r="R276" i="2"/>
  <c r="S276" i="2"/>
  <c r="T276" i="2"/>
  <c r="U276" i="2"/>
  <c r="V276" i="2"/>
  <c r="W276" i="2"/>
  <c r="X276" i="2"/>
  <c r="Q277" i="2"/>
  <c r="R277" i="2"/>
  <c r="S277" i="2"/>
  <c r="T277" i="2"/>
  <c r="U277" i="2"/>
  <c r="V277" i="2"/>
  <c r="W277" i="2"/>
  <c r="X277" i="2"/>
  <c r="Q278" i="2"/>
  <c r="R278" i="2"/>
  <c r="S278" i="2"/>
  <c r="T278" i="2"/>
  <c r="U278" i="2"/>
  <c r="V278" i="2"/>
  <c r="W278" i="2"/>
  <c r="X278" i="2"/>
  <c r="Q279" i="2"/>
  <c r="R279" i="2"/>
  <c r="S279" i="2"/>
  <c r="T279" i="2"/>
  <c r="U279" i="2"/>
  <c r="V279" i="2"/>
  <c r="W279" i="2"/>
  <c r="X279" i="2"/>
  <c r="Q280" i="2"/>
  <c r="R280" i="2"/>
  <c r="S280" i="2"/>
  <c r="T280" i="2"/>
  <c r="U280" i="2"/>
  <c r="V280" i="2"/>
  <c r="W280" i="2"/>
  <c r="X280" i="2"/>
  <c r="Q281" i="2"/>
  <c r="R281" i="2"/>
  <c r="S281" i="2"/>
  <c r="T281" i="2"/>
  <c r="U281" i="2"/>
  <c r="V281" i="2"/>
  <c r="W281" i="2"/>
  <c r="X281" i="2"/>
  <c r="Q282" i="2"/>
  <c r="R282" i="2"/>
  <c r="S282" i="2"/>
  <c r="T282" i="2"/>
  <c r="U282" i="2"/>
  <c r="V282" i="2"/>
  <c r="W282" i="2"/>
  <c r="X282" i="2"/>
  <c r="Q283" i="2"/>
  <c r="R283" i="2"/>
  <c r="S283" i="2"/>
  <c r="T283" i="2"/>
  <c r="U283" i="2"/>
  <c r="V283" i="2"/>
  <c r="W283" i="2"/>
  <c r="X283" i="2"/>
  <c r="Q284" i="2"/>
  <c r="R284" i="2"/>
  <c r="S284" i="2"/>
  <c r="T284" i="2"/>
  <c r="U284" i="2"/>
  <c r="V284" i="2"/>
  <c r="W284" i="2"/>
  <c r="X284" i="2"/>
  <c r="Q285" i="2"/>
  <c r="R285" i="2"/>
  <c r="S285" i="2"/>
  <c r="T285" i="2"/>
  <c r="U285" i="2"/>
  <c r="V285" i="2"/>
  <c r="W285" i="2"/>
  <c r="X285" i="2"/>
  <c r="Q286" i="2"/>
  <c r="R286" i="2"/>
  <c r="S286" i="2"/>
  <c r="T286" i="2"/>
  <c r="U286" i="2"/>
  <c r="V286" i="2"/>
  <c r="W286" i="2"/>
  <c r="X286" i="2"/>
  <c r="Q287" i="2"/>
  <c r="R287" i="2"/>
  <c r="S287" i="2"/>
  <c r="T287" i="2"/>
  <c r="U287" i="2"/>
  <c r="V287" i="2"/>
  <c r="W287" i="2"/>
  <c r="X287" i="2"/>
  <c r="Q288" i="2"/>
  <c r="R288" i="2"/>
  <c r="S288" i="2"/>
  <c r="T288" i="2"/>
  <c r="U288" i="2"/>
  <c r="V288" i="2"/>
  <c r="W288" i="2"/>
  <c r="X288" i="2"/>
  <c r="Q289" i="2"/>
  <c r="R289" i="2"/>
  <c r="S289" i="2"/>
  <c r="T289" i="2"/>
  <c r="U289" i="2"/>
  <c r="V289" i="2"/>
  <c r="W289" i="2"/>
  <c r="X289" i="2"/>
  <c r="Q290" i="2"/>
  <c r="R290" i="2"/>
  <c r="S290" i="2"/>
  <c r="T290" i="2"/>
  <c r="U290" i="2"/>
  <c r="V290" i="2"/>
  <c r="W290" i="2"/>
  <c r="X290" i="2"/>
  <c r="Q291" i="2"/>
  <c r="R291" i="2"/>
  <c r="S291" i="2"/>
  <c r="T291" i="2"/>
  <c r="U291" i="2"/>
  <c r="V291" i="2"/>
  <c r="W291" i="2"/>
  <c r="X291" i="2"/>
  <c r="Q292" i="2"/>
  <c r="R292" i="2"/>
  <c r="S292" i="2"/>
  <c r="T292" i="2"/>
  <c r="U292" i="2"/>
  <c r="V292" i="2"/>
  <c r="W292" i="2"/>
  <c r="X292" i="2"/>
  <c r="Q293" i="2"/>
  <c r="R293" i="2"/>
  <c r="S293" i="2"/>
  <c r="T293" i="2"/>
  <c r="U293" i="2"/>
  <c r="V293" i="2"/>
  <c r="W293" i="2"/>
  <c r="X293" i="2"/>
  <c r="Q294" i="2"/>
  <c r="R294" i="2"/>
  <c r="S294" i="2"/>
  <c r="T294" i="2"/>
  <c r="U294" i="2"/>
  <c r="V294" i="2"/>
  <c r="W294" i="2"/>
  <c r="X294" i="2"/>
  <c r="Q295" i="2"/>
  <c r="R295" i="2"/>
  <c r="S295" i="2"/>
  <c r="T295" i="2"/>
  <c r="U295" i="2"/>
  <c r="V295" i="2"/>
  <c r="W295" i="2"/>
  <c r="X295" i="2"/>
  <c r="Q296" i="2"/>
  <c r="R296" i="2"/>
  <c r="S296" i="2"/>
  <c r="T296" i="2"/>
  <c r="U296" i="2"/>
  <c r="V296" i="2"/>
  <c r="W296" i="2"/>
  <c r="X296" i="2"/>
  <c r="Q297" i="2"/>
  <c r="R297" i="2"/>
  <c r="S297" i="2"/>
  <c r="T297" i="2"/>
  <c r="U297" i="2"/>
  <c r="V297" i="2"/>
  <c r="W297" i="2"/>
  <c r="X297" i="2"/>
  <c r="Q298" i="2"/>
  <c r="R298" i="2"/>
  <c r="S298" i="2"/>
  <c r="T298" i="2"/>
  <c r="U298" i="2"/>
  <c r="V298" i="2"/>
  <c r="W298" i="2"/>
  <c r="X298" i="2"/>
  <c r="Q299" i="2"/>
  <c r="R299" i="2"/>
  <c r="S299" i="2"/>
  <c r="T299" i="2"/>
  <c r="U299" i="2"/>
  <c r="V299" i="2"/>
  <c r="W299" i="2"/>
  <c r="X299" i="2"/>
  <c r="Q300" i="2"/>
  <c r="R300" i="2"/>
  <c r="S300" i="2"/>
  <c r="T300" i="2"/>
  <c r="U300" i="2"/>
  <c r="V300" i="2"/>
  <c r="W300" i="2"/>
  <c r="X300" i="2"/>
  <c r="Q301" i="2"/>
  <c r="R301" i="2"/>
  <c r="S301" i="2"/>
  <c r="T301" i="2"/>
  <c r="U301" i="2"/>
  <c r="V301" i="2"/>
  <c r="W301" i="2"/>
  <c r="X301" i="2"/>
  <c r="Q302" i="2"/>
  <c r="R302" i="2"/>
  <c r="S302" i="2"/>
  <c r="T302" i="2"/>
  <c r="U302" i="2"/>
  <c r="V302" i="2"/>
  <c r="W302" i="2"/>
  <c r="X302" i="2"/>
  <c r="Q303" i="2"/>
  <c r="R303" i="2"/>
  <c r="S303" i="2"/>
  <c r="T303" i="2"/>
  <c r="U303" i="2"/>
  <c r="V303" i="2"/>
  <c r="W303" i="2"/>
  <c r="X303" i="2"/>
  <c r="Q304" i="2"/>
  <c r="R304" i="2"/>
  <c r="S304" i="2"/>
  <c r="T304" i="2"/>
  <c r="U304" i="2"/>
  <c r="V304" i="2"/>
  <c r="W304" i="2"/>
  <c r="X304" i="2"/>
  <c r="Q305" i="2"/>
  <c r="R305" i="2"/>
  <c r="S305" i="2"/>
  <c r="T305" i="2"/>
  <c r="U305" i="2"/>
  <c r="V305" i="2"/>
  <c r="W305" i="2"/>
  <c r="X305" i="2"/>
  <c r="Q306" i="2"/>
  <c r="R306" i="2"/>
  <c r="S306" i="2"/>
  <c r="T306" i="2"/>
  <c r="U306" i="2"/>
  <c r="V306" i="2"/>
  <c r="W306" i="2"/>
  <c r="X306" i="2"/>
  <c r="Q307" i="2"/>
  <c r="R307" i="2"/>
  <c r="S307" i="2"/>
  <c r="T307" i="2"/>
  <c r="U307" i="2"/>
  <c r="V307" i="2"/>
  <c r="W307" i="2"/>
  <c r="X307" i="2"/>
  <c r="Q308" i="2"/>
  <c r="R308" i="2"/>
  <c r="S308" i="2"/>
  <c r="T308" i="2"/>
  <c r="U308" i="2"/>
  <c r="V308" i="2"/>
  <c r="W308" i="2"/>
  <c r="X308" i="2"/>
  <c r="Q309" i="2"/>
  <c r="R309" i="2"/>
  <c r="S309" i="2"/>
  <c r="T309" i="2"/>
  <c r="U309" i="2"/>
  <c r="V309" i="2"/>
  <c r="W309" i="2"/>
  <c r="X309" i="2"/>
  <c r="Q310" i="2"/>
  <c r="R310" i="2"/>
  <c r="S310" i="2"/>
  <c r="T310" i="2"/>
  <c r="U310" i="2"/>
  <c r="V310" i="2"/>
  <c r="W310" i="2"/>
  <c r="X310" i="2"/>
  <c r="Q311" i="2"/>
  <c r="R311" i="2"/>
  <c r="S311" i="2"/>
  <c r="T311" i="2"/>
  <c r="U311" i="2"/>
  <c r="V311" i="2"/>
  <c r="W311" i="2"/>
  <c r="X311" i="2"/>
  <c r="Q312" i="2"/>
  <c r="R312" i="2"/>
  <c r="S312" i="2"/>
  <c r="T312" i="2"/>
  <c r="U312" i="2"/>
  <c r="V312" i="2"/>
  <c r="W312" i="2"/>
  <c r="X312" i="2"/>
  <c r="Q313" i="2"/>
  <c r="R313" i="2"/>
  <c r="S313" i="2"/>
  <c r="T313" i="2"/>
  <c r="U313" i="2"/>
  <c r="V313" i="2"/>
  <c r="W313" i="2"/>
  <c r="X313" i="2"/>
  <c r="Q314" i="2"/>
  <c r="R314" i="2"/>
  <c r="S314" i="2"/>
  <c r="T314" i="2"/>
  <c r="U314" i="2"/>
  <c r="V314" i="2"/>
  <c r="W314" i="2"/>
  <c r="X314" i="2"/>
  <c r="Q315" i="2"/>
  <c r="R315" i="2"/>
  <c r="S315" i="2"/>
  <c r="T315" i="2"/>
  <c r="U315" i="2"/>
  <c r="V315" i="2"/>
  <c r="W315" i="2"/>
  <c r="X315" i="2"/>
  <c r="Q316" i="2"/>
  <c r="R316" i="2"/>
  <c r="S316" i="2"/>
  <c r="T316" i="2"/>
  <c r="U316" i="2"/>
  <c r="V316" i="2"/>
  <c r="W316" i="2"/>
  <c r="X316" i="2"/>
  <c r="Q317" i="2"/>
  <c r="R317" i="2"/>
  <c r="S317" i="2"/>
  <c r="T317" i="2"/>
  <c r="U317" i="2"/>
  <c r="V317" i="2"/>
  <c r="W317" i="2"/>
  <c r="X317" i="2"/>
  <c r="Q318" i="2"/>
  <c r="R318" i="2"/>
  <c r="S318" i="2"/>
  <c r="T318" i="2"/>
  <c r="U318" i="2"/>
  <c r="V318" i="2"/>
  <c r="W318" i="2"/>
  <c r="X318" i="2"/>
  <c r="Q319" i="2"/>
  <c r="R319" i="2"/>
  <c r="S319" i="2"/>
  <c r="T319" i="2"/>
  <c r="U319" i="2"/>
  <c r="V319" i="2"/>
  <c r="W319" i="2"/>
  <c r="X319" i="2"/>
  <c r="Q320" i="2"/>
  <c r="R320" i="2"/>
  <c r="S320" i="2"/>
  <c r="T320" i="2"/>
  <c r="U320" i="2"/>
  <c r="V320" i="2"/>
  <c r="W320" i="2"/>
  <c r="X320" i="2"/>
  <c r="Q321" i="2"/>
  <c r="R321" i="2"/>
  <c r="S321" i="2"/>
  <c r="T321" i="2"/>
  <c r="U321" i="2"/>
  <c r="V321" i="2"/>
  <c r="W321" i="2"/>
  <c r="X321" i="2"/>
  <c r="Q322" i="2"/>
  <c r="R322" i="2"/>
  <c r="S322" i="2"/>
  <c r="T322" i="2"/>
  <c r="U322" i="2"/>
  <c r="V322" i="2"/>
  <c r="W322" i="2"/>
  <c r="X322" i="2"/>
  <c r="Q323" i="2"/>
  <c r="R323" i="2"/>
  <c r="S323" i="2"/>
  <c r="T323" i="2"/>
  <c r="U323" i="2"/>
  <c r="V323" i="2"/>
  <c r="W323" i="2"/>
  <c r="X323" i="2"/>
  <c r="Q324" i="2"/>
  <c r="R324" i="2"/>
  <c r="S324" i="2"/>
  <c r="T324" i="2"/>
  <c r="U324" i="2"/>
  <c r="V324" i="2"/>
  <c r="W324" i="2"/>
  <c r="X324" i="2"/>
  <c r="Q325" i="2"/>
  <c r="R325" i="2"/>
  <c r="S325" i="2"/>
  <c r="T325" i="2"/>
  <c r="U325" i="2"/>
  <c r="V325" i="2"/>
  <c r="W325" i="2"/>
  <c r="X325" i="2"/>
  <c r="Q326" i="2"/>
  <c r="R326" i="2"/>
  <c r="S326" i="2"/>
  <c r="T326" i="2"/>
  <c r="U326" i="2"/>
  <c r="V326" i="2"/>
  <c r="W326" i="2"/>
  <c r="X326" i="2"/>
  <c r="Q327" i="2"/>
  <c r="R327" i="2"/>
  <c r="S327" i="2"/>
  <c r="T327" i="2"/>
  <c r="U327" i="2"/>
  <c r="V327" i="2"/>
  <c r="W327" i="2"/>
  <c r="X327" i="2"/>
  <c r="Q328" i="2"/>
  <c r="R328" i="2"/>
  <c r="S328" i="2"/>
  <c r="T328" i="2"/>
  <c r="U328" i="2"/>
  <c r="V328" i="2"/>
  <c r="W328" i="2"/>
  <c r="X328" i="2"/>
  <c r="Q329" i="2"/>
  <c r="R329" i="2"/>
  <c r="S329" i="2"/>
  <c r="T329" i="2"/>
  <c r="U329" i="2"/>
  <c r="V329" i="2"/>
  <c r="W329" i="2"/>
  <c r="X329" i="2"/>
  <c r="Q330" i="2"/>
  <c r="R330" i="2"/>
  <c r="S330" i="2"/>
  <c r="T330" i="2"/>
  <c r="U330" i="2"/>
  <c r="V330" i="2"/>
  <c r="W330" i="2"/>
  <c r="X330" i="2"/>
  <c r="Q331" i="2"/>
  <c r="R331" i="2"/>
  <c r="S331" i="2"/>
  <c r="T331" i="2"/>
  <c r="U331" i="2"/>
  <c r="V331" i="2"/>
  <c r="W331" i="2"/>
  <c r="X331" i="2"/>
  <c r="Q332" i="2"/>
  <c r="R332" i="2"/>
  <c r="S332" i="2"/>
  <c r="T332" i="2"/>
  <c r="U332" i="2"/>
  <c r="V332" i="2"/>
  <c r="W332" i="2"/>
  <c r="X332" i="2"/>
  <c r="Q333" i="2"/>
  <c r="R333" i="2"/>
  <c r="S333" i="2"/>
  <c r="T333" i="2"/>
  <c r="U333" i="2"/>
  <c r="V333" i="2"/>
  <c r="W333" i="2"/>
  <c r="X333" i="2"/>
  <c r="Q334" i="2"/>
  <c r="R334" i="2"/>
  <c r="S334" i="2"/>
  <c r="T334" i="2"/>
  <c r="U334" i="2"/>
  <c r="V334" i="2"/>
  <c r="W334" i="2"/>
  <c r="X334" i="2"/>
  <c r="Q335" i="2"/>
  <c r="R335" i="2"/>
  <c r="S335" i="2"/>
  <c r="T335" i="2"/>
  <c r="U335" i="2"/>
  <c r="V335" i="2"/>
  <c r="W335" i="2"/>
  <c r="X335" i="2"/>
  <c r="Q336" i="2"/>
  <c r="R336" i="2"/>
  <c r="S336" i="2"/>
  <c r="T336" i="2"/>
  <c r="U336" i="2"/>
  <c r="V336" i="2"/>
  <c r="W336" i="2"/>
  <c r="X336" i="2"/>
  <c r="Q337" i="2"/>
  <c r="R337" i="2"/>
  <c r="S337" i="2"/>
  <c r="T337" i="2"/>
  <c r="U337" i="2"/>
  <c r="V337" i="2"/>
  <c r="W337" i="2"/>
  <c r="X337" i="2"/>
  <c r="Q338" i="2"/>
  <c r="R338" i="2"/>
  <c r="S338" i="2"/>
  <c r="T338" i="2"/>
  <c r="U338" i="2"/>
  <c r="V338" i="2"/>
  <c r="W338" i="2"/>
  <c r="X338" i="2"/>
  <c r="Q339" i="2"/>
  <c r="R339" i="2"/>
  <c r="S339" i="2"/>
  <c r="T339" i="2"/>
  <c r="U339" i="2"/>
  <c r="V339" i="2"/>
  <c r="W339" i="2"/>
  <c r="X339" i="2"/>
  <c r="Q340" i="2"/>
  <c r="R340" i="2"/>
  <c r="S340" i="2"/>
  <c r="T340" i="2"/>
  <c r="U340" i="2"/>
  <c r="V340" i="2"/>
  <c r="W340" i="2"/>
  <c r="X340" i="2"/>
  <c r="Q341" i="2"/>
  <c r="R341" i="2"/>
  <c r="S341" i="2"/>
  <c r="T341" i="2"/>
  <c r="U341" i="2"/>
  <c r="V341" i="2"/>
  <c r="W341" i="2"/>
  <c r="X341" i="2"/>
  <c r="Q342" i="2"/>
  <c r="R342" i="2"/>
  <c r="S342" i="2"/>
  <c r="T342" i="2"/>
  <c r="U342" i="2"/>
  <c r="V342" i="2"/>
  <c r="W342" i="2"/>
  <c r="X342" i="2"/>
  <c r="Q343" i="2"/>
  <c r="R343" i="2"/>
  <c r="S343" i="2"/>
  <c r="T343" i="2"/>
  <c r="U343" i="2"/>
  <c r="V343" i="2"/>
  <c r="W343" i="2"/>
  <c r="X343" i="2"/>
  <c r="Q344" i="2"/>
  <c r="R344" i="2"/>
  <c r="S344" i="2"/>
  <c r="T344" i="2"/>
  <c r="U344" i="2"/>
  <c r="V344" i="2"/>
  <c r="W344" i="2"/>
  <c r="X344" i="2"/>
  <c r="Q345" i="2"/>
  <c r="R345" i="2"/>
  <c r="S345" i="2"/>
  <c r="T345" i="2"/>
  <c r="U345" i="2"/>
  <c r="V345" i="2"/>
  <c r="W345" i="2"/>
  <c r="X345" i="2"/>
  <c r="Q346" i="2"/>
  <c r="R346" i="2"/>
  <c r="S346" i="2"/>
  <c r="T346" i="2"/>
  <c r="U346" i="2"/>
  <c r="V346" i="2"/>
  <c r="W346" i="2"/>
  <c r="X346" i="2"/>
  <c r="Q347" i="2"/>
  <c r="R347" i="2"/>
  <c r="S347" i="2"/>
  <c r="T347" i="2"/>
  <c r="U347" i="2"/>
  <c r="V347" i="2"/>
  <c r="W347" i="2"/>
  <c r="X347" i="2"/>
  <c r="Q348" i="2"/>
  <c r="R348" i="2"/>
  <c r="S348" i="2"/>
  <c r="T348" i="2"/>
  <c r="U348" i="2"/>
  <c r="V348" i="2"/>
  <c r="W348" i="2"/>
  <c r="X348" i="2"/>
  <c r="Q349" i="2"/>
  <c r="R349" i="2"/>
  <c r="S349" i="2"/>
  <c r="T349" i="2"/>
  <c r="U349" i="2"/>
  <c r="V349" i="2"/>
  <c r="W349" i="2"/>
  <c r="X349" i="2"/>
  <c r="Q350" i="2"/>
  <c r="R350" i="2"/>
  <c r="S350" i="2"/>
  <c r="T350" i="2"/>
  <c r="U350" i="2"/>
  <c r="V350" i="2"/>
  <c r="W350" i="2"/>
  <c r="X350" i="2"/>
  <c r="Q351" i="2"/>
  <c r="R351" i="2"/>
  <c r="S351" i="2"/>
  <c r="T351" i="2"/>
  <c r="U351" i="2"/>
  <c r="V351" i="2"/>
  <c r="W351" i="2"/>
  <c r="X351" i="2"/>
  <c r="Q352" i="2"/>
  <c r="R352" i="2"/>
  <c r="S352" i="2"/>
  <c r="T352" i="2"/>
  <c r="U352" i="2"/>
  <c r="V352" i="2"/>
  <c r="W352" i="2"/>
  <c r="X352" i="2"/>
  <c r="Q353" i="2"/>
  <c r="R353" i="2"/>
  <c r="S353" i="2"/>
  <c r="T353" i="2"/>
  <c r="U353" i="2"/>
  <c r="V353" i="2"/>
  <c r="W353" i="2"/>
  <c r="X353" i="2"/>
  <c r="Q354" i="2"/>
  <c r="R354" i="2"/>
  <c r="S354" i="2"/>
  <c r="T354" i="2"/>
  <c r="U354" i="2"/>
  <c r="V354" i="2"/>
  <c r="W354" i="2"/>
  <c r="X354" i="2"/>
  <c r="Q355" i="2"/>
  <c r="R355" i="2"/>
  <c r="S355" i="2"/>
  <c r="T355" i="2"/>
  <c r="U355" i="2"/>
  <c r="V355" i="2"/>
  <c r="W355" i="2"/>
  <c r="X355" i="2"/>
  <c r="Q356" i="2"/>
  <c r="R356" i="2"/>
  <c r="S356" i="2"/>
  <c r="T356" i="2"/>
  <c r="U356" i="2"/>
  <c r="V356" i="2"/>
  <c r="W356" i="2"/>
  <c r="X356" i="2"/>
  <c r="Q357" i="2"/>
  <c r="R357" i="2"/>
  <c r="S357" i="2"/>
  <c r="T357" i="2"/>
  <c r="U357" i="2"/>
  <c r="V357" i="2"/>
  <c r="W357" i="2"/>
  <c r="X357" i="2"/>
  <c r="Q358" i="2"/>
  <c r="R358" i="2"/>
  <c r="S358" i="2"/>
  <c r="T358" i="2"/>
  <c r="U358" i="2"/>
  <c r="V358" i="2"/>
  <c r="W358" i="2"/>
  <c r="X358" i="2"/>
  <c r="Q359" i="2"/>
  <c r="R359" i="2"/>
  <c r="S359" i="2"/>
  <c r="T359" i="2"/>
  <c r="U359" i="2"/>
  <c r="V359" i="2"/>
  <c r="W359" i="2"/>
  <c r="X359" i="2"/>
  <c r="Q360" i="2"/>
  <c r="R360" i="2"/>
  <c r="S360" i="2"/>
  <c r="T360" i="2"/>
  <c r="U360" i="2"/>
  <c r="V360" i="2"/>
  <c r="W360" i="2"/>
  <c r="X360" i="2"/>
  <c r="Q361" i="2"/>
  <c r="R361" i="2"/>
  <c r="S361" i="2"/>
  <c r="T361" i="2"/>
  <c r="U361" i="2"/>
  <c r="V361" i="2"/>
  <c r="W361" i="2"/>
  <c r="X361" i="2"/>
  <c r="Q362" i="2"/>
  <c r="R362" i="2"/>
  <c r="S362" i="2"/>
  <c r="T362" i="2"/>
  <c r="U362" i="2"/>
  <c r="V362" i="2"/>
  <c r="W362" i="2"/>
  <c r="X362" i="2"/>
  <c r="Q363" i="2"/>
  <c r="R363" i="2"/>
  <c r="S363" i="2"/>
  <c r="T363" i="2"/>
  <c r="U363" i="2"/>
  <c r="V363" i="2"/>
  <c r="W363" i="2"/>
  <c r="X363" i="2"/>
  <c r="Q364" i="2"/>
  <c r="R364" i="2"/>
  <c r="S364" i="2"/>
  <c r="T364" i="2"/>
  <c r="U364" i="2"/>
  <c r="V364" i="2"/>
  <c r="W364" i="2"/>
  <c r="X364" i="2"/>
  <c r="Q365" i="2"/>
  <c r="R365" i="2"/>
  <c r="S365" i="2"/>
  <c r="T365" i="2"/>
  <c r="U365" i="2"/>
  <c r="V365" i="2"/>
  <c r="W365" i="2"/>
  <c r="X365" i="2"/>
  <c r="Q366" i="2"/>
  <c r="R366" i="2"/>
  <c r="S366" i="2"/>
  <c r="T366" i="2"/>
  <c r="U366" i="2"/>
  <c r="V366" i="2"/>
  <c r="W366" i="2"/>
  <c r="X366" i="2"/>
  <c r="Q367" i="2"/>
  <c r="R367" i="2"/>
  <c r="S367" i="2"/>
  <c r="T367" i="2"/>
  <c r="U367" i="2"/>
  <c r="V367" i="2"/>
  <c r="W367" i="2"/>
  <c r="X367" i="2"/>
  <c r="Q368" i="2"/>
  <c r="R368" i="2"/>
  <c r="S368" i="2"/>
  <c r="T368" i="2"/>
  <c r="U368" i="2"/>
  <c r="V368" i="2"/>
  <c r="W368" i="2"/>
  <c r="X368" i="2"/>
  <c r="Q369" i="2"/>
  <c r="R369" i="2"/>
  <c r="S369" i="2"/>
  <c r="T369" i="2"/>
  <c r="U369" i="2"/>
  <c r="V369" i="2"/>
  <c r="W369" i="2"/>
  <c r="X369" i="2"/>
  <c r="Q370" i="2"/>
  <c r="R370" i="2"/>
  <c r="S370" i="2"/>
  <c r="T370" i="2"/>
  <c r="U370" i="2"/>
  <c r="V370" i="2"/>
  <c r="W370" i="2"/>
  <c r="X370" i="2"/>
  <c r="Q371" i="2"/>
  <c r="R371" i="2"/>
  <c r="S371" i="2"/>
  <c r="T371" i="2"/>
  <c r="U371" i="2"/>
  <c r="V371" i="2"/>
  <c r="W371" i="2"/>
  <c r="X371" i="2"/>
  <c r="Q372" i="2"/>
  <c r="R372" i="2"/>
  <c r="S372" i="2"/>
  <c r="T372" i="2"/>
  <c r="U372" i="2"/>
  <c r="V372" i="2"/>
  <c r="W372" i="2"/>
  <c r="X372" i="2"/>
  <c r="Q373" i="2"/>
  <c r="R373" i="2"/>
  <c r="S373" i="2"/>
  <c r="T373" i="2"/>
  <c r="U373" i="2"/>
  <c r="V373" i="2"/>
  <c r="W373" i="2"/>
  <c r="X373" i="2"/>
  <c r="Q374" i="2"/>
  <c r="R374" i="2"/>
  <c r="S374" i="2"/>
  <c r="T374" i="2"/>
  <c r="U374" i="2"/>
  <c r="V374" i="2"/>
  <c r="W374" i="2"/>
  <c r="X374" i="2"/>
  <c r="Q375" i="2"/>
  <c r="R375" i="2"/>
  <c r="S375" i="2"/>
  <c r="T375" i="2"/>
  <c r="U375" i="2"/>
  <c r="V375" i="2"/>
  <c r="W375" i="2"/>
  <c r="X375" i="2"/>
  <c r="Q376" i="2"/>
  <c r="R376" i="2"/>
  <c r="S376" i="2"/>
  <c r="T376" i="2"/>
  <c r="U376" i="2"/>
  <c r="V376" i="2"/>
  <c r="W376" i="2"/>
  <c r="X376" i="2"/>
  <c r="Q377" i="2"/>
  <c r="R377" i="2"/>
  <c r="S377" i="2"/>
  <c r="T377" i="2"/>
  <c r="U377" i="2"/>
  <c r="V377" i="2"/>
  <c r="W377" i="2"/>
  <c r="X377" i="2"/>
  <c r="Q378" i="2"/>
  <c r="R378" i="2"/>
  <c r="S378" i="2"/>
  <c r="T378" i="2"/>
  <c r="U378" i="2"/>
  <c r="V378" i="2"/>
  <c r="W378" i="2"/>
  <c r="X378" i="2"/>
  <c r="Q379" i="2"/>
  <c r="R379" i="2"/>
  <c r="S379" i="2"/>
  <c r="T379" i="2"/>
  <c r="U379" i="2"/>
  <c r="V379" i="2"/>
  <c r="W379" i="2"/>
  <c r="X379" i="2"/>
  <c r="Q380" i="2"/>
  <c r="R380" i="2"/>
  <c r="S380" i="2"/>
  <c r="T380" i="2"/>
  <c r="U380" i="2"/>
  <c r="V380" i="2"/>
  <c r="W380" i="2"/>
  <c r="X380" i="2"/>
  <c r="Q381" i="2"/>
  <c r="R381" i="2"/>
  <c r="S381" i="2"/>
  <c r="T381" i="2"/>
  <c r="U381" i="2"/>
  <c r="V381" i="2"/>
  <c r="W381" i="2"/>
  <c r="X381" i="2"/>
  <c r="Q382" i="2"/>
  <c r="R382" i="2"/>
  <c r="S382" i="2"/>
  <c r="T382" i="2"/>
  <c r="U382" i="2"/>
  <c r="V382" i="2"/>
  <c r="W382" i="2"/>
  <c r="X382" i="2"/>
  <c r="Q383" i="2"/>
  <c r="R383" i="2"/>
  <c r="S383" i="2"/>
  <c r="T383" i="2"/>
  <c r="U383" i="2"/>
  <c r="V383" i="2"/>
  <c r="W383" i="2"/>
  <c r="X383" i="2"/>
  <c r="Q384" i="2"/>
  <c r="R384" i="2"/>
  <c r="S384" i="2"/>
  <c r="T384" i="2"/>
  <c r="U384" i="2"/>
  <c r="V384" i="2"/>
  <c r="W384" i="2"/>
  <c r="X384" i="2"/>
  <c r="Q385" i="2"/>
  <c r="R385" i="2"/>
  <c r="S385" i="2"/>
  <c r="T385" i="2"/>
  <c r="U385" i="2"/>
  <c r="V385" i="2"/>
  <c r="W385" i="2"/>
  <c r="X385" i="2"/>
  <c r="Q386" i="2"/>
  <c r="R386" i="2"/>
  <c r="S386" i="2"/>
  <c r="T386" i="2"/>
  <c r="U386" i="2"/>
  <c r="V386" i="2"/>
  <c r="W386" i="2"/>
  <c r="X386" i="2"/>
  <c r="Q387" i="2"/>
  <c r="R387" i="2"/>
  <c r="S387" i="2"/>
  <c r="T387" i="2"/>
  <c r="U387" i="2"/>
  <c r="V387" i="2"/>
  <c r="W387" i="2"/>
  <c r="X387" i="2"/>
  <c r="Q388" i="2"/>
  <c r="R388" i="2"/>
  <c r="S388" i="2"/>
  <c r="T388" i="2"/>
  <c r="U388" i="2"/>
  <c r="V388" i="2"/>
  <c r="W388" i="2"/>
  <c r="X388" i="2"/>
  <c r="Q389" i="2"/>
  <c r="R389" i="2"/>
  <c r="S389" i="2"/>
  <c r="T389" i="2"/>
  <c r="U389" i="2"/>
  <c r="V389" i="2"/>
  <c r="W389" i="2"/>
  <c r="X389" i="2"/>
  <c r="Q390" i="2"/>
  <c r="R390" i="2"/>
  <c r="S390" i="2"/>
  <c r="T390" i="2"/>
  <c r="U390" i="2"/>
  <c r="V390" i="2"/>
  <c r="W390" i="2"/>
  <c r="X390" i="2"/>
  <c r="Q391" i="2"/>
  <c r="R391" i="2"/>
  <c r="S391" i="2"/>
  <c r="T391" i="2"/>
  <c r="U391" i="2"/>
  <c r="V391" i="2"/>
  <c r="W391" i="2"/>
  <c r="X391" i="2"/>
  <c r="Q392" i="2"/>
  <c r="R392" i="2"/>
  <c r="S392" i="2"/>
  <c r="T392" i="2"/>
  <c r="U392" i="2"/>
  <c r="V392" i="2"/>
  <c r="W392" i="2"/>
  <c r="X392" i="2"/>
  <c r="Q393" i="2"/>
  <c r="R393" i="2"/>
  <c r="S393" i="2"/>
  <c r="T393" i="2"/>
  <c r="U393" i="2"/>
  <c r="V393" i="2"/>
  <c r="W393" i="2"/>
  <c r="X393" i="2"/>
  <c r="Q394" i="2"/>
  <c r="R394" i="2"/>
  <c r="S394" i="2"/>
  <c r="T394" i="2"/>
  <c r="U394" i="2"/>
  <c r="V394" i="2"/>
  <c r="W394" i="2"/>
  <c r="X394" i="2"/>
  <c r="Q395" i="2"/>
  <c r="R395" i="2"/>
  <c r="S395" i="2"/>
  <c r="T395" i="2"/>
  <c r="U395" i="2"/>
  <c r="V395" i="2"/>
  <c r="W395" i="2"/>
  <c r="X395" i="2"/>
  <c r="Q396" i="2"/>
  <c r="R396" i="2"/>
  <c r="S396" i="2"/>
  <c r="T396" i="2"/>
  <c r="U396" i="2"/>
  <c r="V396" i="2"/>
  <c r="W396" i="2"/>
  <c r="X396" i="2"/>
  <c r="Q397" i="2"/>
  <c r="R397" i="2"/>
  <c r="S397" i="2"/>
  <c r="T397" i="2"/>
  <c r="U397" i="2"/>
  <c r="V397" i="2"/>
  <c r="W397" i="2"/>
  <c r="X397" i="2"/>
  <c r="Q398" i="2"/>
  <c r="R398" i="2"/>
  <c r="S398" i="2"/>
  <c r="T398" i="2"/>
  <c r="U398" i="2"/>
  <c r="V398" i="2"/>
  <c r="W398" i="2"/>
  <c r="X398" i="2"/>
  <c r="Q399" i="2"/>
  <c r="R399" i="2"/>
  <c r="S399" i="2"/>
  <c r="T399" i="2"/>
  <c r="U399" i="2"/>
  <c r="V399" i="2"/>
  <c r="W399" i="2"/>
  <c r="X399" i="2"/>
  <c r="Q400" i="2"/>
  <c r="R400" i="2"/>
  <c r="S400" i="2"/>
  <c r="T400" i="2"/>
  <c r="U400" i="2"/>
  <c r="V400" i="2"/>
  <c r="W400" i="2"/>
  <c r="X400" i="2"/>
  <c r="Q401" i="2"/>
  <c r="R401" i="2"/>
  <c r="S401" i="2"/>
  <c r="T401" i="2"/>
  <c r="U401" i="2"/>
  <c r="V401" i="2"/>
  <c r="W401" i="2"/>
  <c r="X401" i="2"/>
  <c r="Q402" i="2"/>
  <c r="R402" i="2"/>
  <c r="S402" i="2"/>
  <c r="T402" i="2"/>
  <c r="U402" i="2"/>
  <c r="V402" i="2"/>
  <c r="W402" i="2"/>
  <c r="X402" i="2"/>
  <c r="Q403" i="2"/>
  <c r="R403" i="2"/>
  <c r="S403" i="2"/>
  <c r="T403" i="2"/>
  <c r="U403" i="2"/>
  <c r="V403" i="2"/>
  <c r="W403" i="2"/>
  <c r="X403" i="2"/>
  <c r="Q404" i="2"/>
  <c r="R404" i="2"/>
  <c r="S404" i="2"/>
  <c r="T404" i="2"/>
  <c r="U404" i="2"/>
  <c r="V404" i="2"/>
  <c r="W404" i="2"/>
  <c r="X404" i="2"/>
  <c r="Q405" i="2"/>
  <c r="R405" i="2"/>
  <c r="S405" i="2"/>
  <c r="T405" i="2"/>
  <c r="U405" i="2"/>
  <c r="V405" i="2"/>
  <c r="W405" i="2"/>
  <c r="X405" i="2"/>
  <c r="Q406" i="2"/>
  <c r="R406" i="2"/>
  <c r="S406" i="2"/>
  <c r="T406" i="2"/>
  <c r="U406" i="2"/>
  <c r="V406" i="2"/>
  <c r="W406" i="2"/>
  <c r="X406" i="2"/>
  <c r="Q407" i="2"/>
  <c r="R407" i="2"/>
  <c r="S407" i="2"/>
  <c r="T407" i="2"/>
  <c r="U407" i="2"/>
  <c r="V407" i="2"/>
  <c r="W407" i="2"/>
  <c r="X407" i="2"/>
  <c r="Q408" i="2"/>
  <c r="R408" i="2"/>
  <c r="S408" i="2"/>
  <c r="T408" i="2"/>
  <c r="U408" i="2"/>
  <c r="V408" i="2"/>
  <c r="W408" i="2"/>
  <c r="X408" i="2"/>
  <c r="Q409" i="2"/>
  <c r="R409" i="2"/>
  <c r="S409" i="2"/>
  <c r="T409" i="2"/>
  <c r="U409" i="2"/>
  <c r="V409" i="2"/>
  <c r="W409" i="2"/>
  <c r="X409" i="2"/>
  <c r="Q410" i="2"/>
  <c r="R410" i="2"/>
  <c r="S410" i="2"/>
  <c r="T410" i="2"/>
  <c r="U410" i="2"/>
  <c r="V410" i="2"/>
  <c r="W410" i="2"/>
  <c r="X410" i="2"/>
  <c r="Q411" i="2"/>
  <c r="R411" i="2"/>
  <c r="S411" i="2"/>
  <c r="T411" i="2"/>
  <c r="U411" i="2"/>
  <c r="V411" i="2"/>
  <c r="W411" i="2"/>
  <c r="X411" i="2"/>
  <c r="Q412" i="2"/>
  <c r="R412" i="2"/>
  <c r="S412" i="2"/>
  <c r="T412" i="2"/>
  <c r="U412" i="2"/>
  <c r="V412" i="2"/>
  <c r="W412" i="2"/>
  <c r="X412" i="2"/>
  <c r="Q413" i="2"/>
  <c r="R413" i="2"/>
  <c r="S413" i="2"/>
  <c r="T413" i="2"/>
  <c r="U413" i="2"/>
  <c r="V413" i="2"/>
  <c r="W413" i="2"/>
  <c r="X413" i="2"/>
  <c r="Q414" i="2"/>
  <c r="R414" i="2"/>
  <c r="S414" i="2"/>
  <c r="T414" i="2"/>
  <c r="U414" i="2"/>
  <c r="V414" i="2"/>
  <c r="W414" i="2"/>
  <c r="X414" i="2"/>
  <c r="Q415" i="2"/>
  <c r="R415" i="2"/>
  <c r="S415" i="2"/>
  <c r="T415" i="2"/>
  <c r="U415" i="2"/>
  <c r="V415" i="2"/>
  <c r="W415" i="2"/>
  <c r="X415" i="2"/>
  <c r="Q416" i="2"/>
  <c r="R416" i="2"/>
  <c r="S416" i="2"/>
  <c r="T416" i="2"/>
  <c r="U416" i="2"/>
  <c r="V416" i="2"/>
  <c r="W416" i="2"/>
  <c r="X416" i="2"/>
  <c r="Q417" i="2"/>
  <c r="R417" i="2"/>
  <c r="S417" i="2"/>
  <c r="T417" i="2"/>
  <c r="U417" i="2"/>
  <c r="V417" i="2"/>
  <c r="W417" i="2"/>
  <c r="X417" i="2"/>
  <c r="Q418" i="2"/>
  <c r="R418" i="2"/>
  <c r="S418" i="2"/>
  <c r="T418" i="2"/>
  <c r="U418" i="2"/>
  <c r="V418" i="2"/>
  <c r="W418" i="2"/>
  <c r="X418" i="2"/>
  <c r="Q419" i="2"/>
  <c r="R419" i="2"/>
  <c r="S419" i="2"/>
  <c r="T419" i="2"/>
  <c r="U419" i="2"/>
  <c r="V419" i="2"/>
  <c r="W419" i="2"/>
  <c r="X419" i="2"/>
  <c r="Q420" i="2"/>
  <c r="R420" i="2"/>
  <c r="S420" i="2"/>
  <c r="T420" i="2"/>
  <c r="U420" i="2"/>
  <c r="V420" i="2"/>
  <c r="W420" i="2"/>
  <c r="X420" i="2"/>
  <c r="Q421" i="2"/>
  <c r="R421" i="2"/>
  <c r="S421" i="2"/>
  <c r="T421" i="2"/>
  <c r="U421" i="2"/>
  <c r="V421" i="2"/>
  <c r="W421" i="2"/>
  <c r="X421" i="2"/>
  <c r="Q422" i="2"/>
  <c r="R422" i="2"/>
  <c r="S422" i="2"/>
  <c r="T422" i="2"/>
  <c r="U422" i="2"/>
  <c r="V422" i="2"/>
  <c r="W422" i="2"/>
  <c r="X422" i="2"/>
  <c r="Q423" i="2"/>
  <c r="R423" i="2"/>
  <c r="S423" i="2"/>
  <c r="T423" i="2"/>
  <c r="U423" i="2"/>
  <c r="V423" i="2"/>
  <c r="W423" i="2"/>
  <c r="X423" i="2"/>
  <c r="Q424" i="2"/>
  <c r="R424" i="2"/>
  <c r="S424" i="2"/>
  <c r="T424" i="2"/>
  <c r="U424" i="2"/>
  <c r="V424" i="2"/>
  <c r="W424" i="2"/>
  <c r="X424" i="2"/>
  <c r="Q425" i="2"/>
  <c r="R425" i="2"/>
  <c r="S425" i="2"/>
  <c r="T425" i="2"/>
  <c r="U425" i="2"/>
  <c r="V425" i="2"/>
  <c r="W425" i="2"/>
  <c r="X425" i="2"/>
  <c r="Q426" i="2"/>
  <c r="R426" i="2"/>
  <c r="S426" i="2"/>
  <c r="T426" i="2"/>
  <c r="U426" i="2"/>
  <c r="V426" i="2"/>
  <c r="W426" i="2"/>
  <c r="X426" i="2"/>
  <c r="Q427" i="2"/>
  <c r="R427" i="2"/>
  <c r="S427" i="2"/>
  <c r="T427" i="2"/>
  <c r="U427" i="2"/>
  <c r="V427" i="2"/>
  <c r="W427" i="2"/>
  <c r="X427" i="2"/>
  <c r="Q428" i="2"/>
  <c r="R428" i="2"/>
  <c r="S428" i="2"/>
  <c r="T428" i="2"/>
  <c r="U428" i="2"/>
  <c r="V428" i="2"/>
  <c r="W428" i="2"/>
  <c r="X428" i="2"/>
  <c r="Q429" i="2"/>
  <c r="R429" i="2"/>
  <c r="S429" i="2"/>
  <c r="T429" i="2"/>
  <c r="U429" i="2"/>
  <c r="V429" i="2"/>
  <c r="W429" i="2"/>
  <c r="X429" i="2"/>
  <c r="Q430" i="2"/>
  <c r="R430" i="2"/>
  <c r="S430" i="2"/>
  <c r="T430" i="2"/>
  <c r="U430" i="2"/>
  <c r="V430" i="2"/>
  <c r="W430" i="2"/>
  <c r="X430" i="2"/>
  <c r="Q431" i="2"/>
  <c r="R431" i="2"/>
  <c r="S431" i="2"/>
  <c r="T431" i="2"/>
  <c r="U431" i="2"/>
  <c r="V431" i="2"/>
  <c r="W431" i="2"/>
  <c r="X431" i="2"/>
  <c r="Q432" i="2"/>
  <c r="R432" i="2"/>
  <c r="S432" i="2"/>
  <c r="T432" i="2"/>
  <c r="U432" i="2"/>
  <c r="V432" i="2"/>
  <c r="W432" i="2"/>
  <c r="X432" i="2"/>
  <c r="Q433" i="2"/>
  <c r="R433" i="2"/>
  <c r="S433" i="2"/>
  <c r="T433" i="2"/>
  <c r="U433" i="2"/>
  <c r="V433" i="2"/>
  <c r="W433" i="2"/>
  <c r="X433" i="2"/>
  <c r="Q434" i="2"/>
  <c r="R434" i="2"/>
  <c r="S434" i="2"/>
  <c r="T434" i="2"/>
  <c r="U434" i="2"/>
  <c r="V434" i="2"/>
  <c r="W434" i="2"/>
  <c r="X434" i="2"/>
  <c r="Q435" i="2"/>
  <c r="R435" i="2"/>
  <c r="S435" i="2"/>
  <c r="T435" i="2"/>
  <c r="U435" i="2"/>
  <c r="V435" i="2"/>
  <c r="W435" i="2"/>
  <c r="X435" i="2"/>
  <c r="Q436" i="2"/>
  <c r="R436" i="2"/>
  <c r="S436" i="2"/>
  <c r="T436" i="2"/>
  <c r="U436" i="2"/>
  <c r="V436" i="2"/>
  <c r="W436" i="2"/>
  <c r="X436" i="2"/>
  <c r="Q437" i="2"/>
  <c r="R437" i="2"/>
  <c r="S437" i="2"/>
  <c r="T437" i="2"/>
  <c r="U437" i="2"/>
  <c r="V437" i="2"/>
  <c r="W437" i="2"/>
  <c r="X437" i="2"/>
  <c r="Q438" i="2"/>
  <c r="R438" i="2"/>
  <c r="S438" i="2"/>
  <c r="T438" i="2"/>
  <c r="U438" i="2"/>
  <c r="V438" i="2"/>
  <c r="W438" i="2"/>
  <c r="X438" i="2"/>
  <c r="Q439" i="2"/>
  <c r="R439" i="2"/>
  <c r="S439" i="2"/>
  <c r="T439" i="2"/>
  <c r="U439" i="2"/>
  <c r="V439" i="2"/>
  <c r="W439" i="2"/>
  <c r="X439" i="2"/>
  <c r="Q440" i="2"/>
  <c r="R440" i="2"/>
  <c r="S440" i="2"/>
  <c r="T440" i="2"/>
  <c r="U440" i="2"/>
  <c r="V440" i="2"/>
  <c r="W440" i="2"/>
  <c r="X440" i="2"/>
  <c r="Q441" i="2"/>
  <c r="R441" i="2"/>
  <c r="S441" i="2"/>
  <c r="T441" i="2"/>
  <c r="U441" i="2"/>
  <c r="V441" i="2"/>
  <c r="W441" i="2"/>
  <c r="X441" i="2"/>
  <c r="Q442" i="2"/>
  <c r="R442" i="2"/>
  <c r="S442" i="2"/>
  <c r="T442" i="2"/>
  <c r="U442" i="2"/>
  <c r="V442" i="2"/>
  <c r="W442" i="2"/>
  <c r="X442" i="2"/>
  <c r="Q443" i="2"/>
  <c r="R443" i="2"/>
  <c r="S443" i="2"/>
  <c r="T443" i="2"/>
  <c r="U443" i="2"/>
  <c r="V443" i="2"/>
  <c r="W443" i="2"/>
  <c r="X443" i="2"/>
  <c r="Q444" i="2"/>
  <c r="R444" i="2"/>
  <c r="S444" i="2"/>
  <c r="T444" i="2"/>
  <c r="U444" i="2"/>
  <c r="V444" i="2"/>
  <c r="W444" i="2"/>
  <c r="X444" i="2"/>
  <c r="Q445" i="2"/>
  <c r="R445" i="2"/>
  <c r="S445" i="2"/>
  <c r="T445" i="2"/>
  <c r="U445" i="2"/>
  <c r="V445" i="2"/>
  <c r="W445" i="2"/>
  <c r="X445" i="2"/>
  <c r="Q446" i="2"/>
  <c r="R446" i="2"/>
  <c r="S446" i="2"/>
  <c r="T446" i="2"/>
  <c r="U446" i="2"/>
  <c r="V446" i="2"/>
  <c r="W446" i="2"/>
  <c r="X446" i="2"/>
  <c r="Q447" i="2"/>
  <c r="R447" i="2"/>
  <c r="S447" i="2"/>
  <c r="T447" i="2"/>
  <c r="U447" i="2"/>
  <c r="V447" i="2"/>
  <c r="W447" i="2"/>
  <c r="X447" i="2"/>
  <c r="Q448" i="2"/>
  <c r="R448" i="2"/>
  <c r="S448" i="2"/>
  <c r="T448" i="2"/>
  <c r="U448" i="2"/>
  <c r="V448" i="2"/>
  <c r="W448" i="2"/>
  <c r="X448" i="2"/>
  <c r="Q449" i="2"/>
  <c r="R449" i="2"/>
  <c r="S449" i="2"/>
  <c r="T449" i="2"/>
  <c r="U449" i="2"/>
  <c r="V449" i="2"/>
  <c r="W449" i="2"/>
  <c r="X449" i="2"/>
  <c r="Q450" i="2"/>
  <c r="R450" i="2"/>
  <c r="S450" i="2"/>
  <c r="T450" i="2"/>
  <c r="U450" i="2"/>
  <c r="V450" i="2"/>
  <c r="W450" i="2"/>
  <c r="X450" i="2"/>
  <c r="Q451" i="2"/>
  <c r="R451" i="2"/>
  <c r="S451" i="2"/>
  <c r="T451" i="2"/>
  <c r="U451" i="2"/>
  <c r="V451" i="2"/>
  <c r="W451" i="2"/>
  <c r="X451" i="2"/>
  <c r="Q452" i="2"/>
  <c r="R452" i="2"/>
  <c r="S452" i="2"/>
  <c r="T452" i="2"/>
  <c r="U452" i="2"/>
  <c r="V452" i="2"/>
  <c r="W452" i="2"/>
  <c r="X452" i="2"/>
  <c r="Q453" i="2"/>
  <c r="R453" i="2"/>
  <c r="S453" i="2"/>
  <c r="T453" i="2"/>
  <c r="U453" i="2"/>
  <c r="V453" i="2"/>
  <c r="W453" i="2"/>
  <c r="X453" i="2"/>
  <c r="Q454" i="2"/>
  <c r="R454" i="2"/>
  <c r="S454" i="2"/>
  <c r="T454" i="2"/>
  <c r="U454" i="2"/>
  <c r="V454" i="2"/>
  <c r="W454" i="2"/>
  <c r="X454" i="2"/>
  <c r="Q455" i="2"/>
  <c r="R455" i="2"/>
  <c r="S455" i="2"/>
  <c r="T455" i="2"/>
  <c r="U455" i="2"/>
  <c r="V455" i="2"/>
  <c r="W455" i="2"/>
  <c r="X455" i="2"/>
  <c r="Q456" i="2"/>
  <c r="R456" i="2"/>
  <c r="S456" i="2"/>
  <c r="T456" i="2"/>
  <c r="U456" i="2"/>
  <c r="V456" i="2"/>
  <c r="W456" i="2"/>
  <c r="X456" i="2"/>
  <c r="Q457" i="2"/>
  <c r="R457" i="2"/>
  <c r="S457" i="2"/>
  <c r="T457" i="2"/>
  <c r="U457" i="2"/>
  <c r="V457" i="2"/>
  <c r="W457" i="2"/>
  <c r="X457" i="2"/>
  <c r="Q458" i="2"/>
  <c r="R458" i="2"/>
  <c r="S458" i="2"/>
  <c r="T458" i="2"/>
  <c r="U458" i="2"/>
  <c r="V458" i="2"/>
  <c r="W458" i="2"/>
  <c r="X458" i="2"/>
  <c r="Q459" i="2"/>
  <c r="R459" i="2"/>
  <c r="S459" i="2"/>
  <c r="T459" i="2"/>
  <c r="U459" i="2"/>
  <c r="V459" i="2"/>
  <c r="W459" i="2"/>
  <c r="X459" i="2"/>
  <c r="Q460" i="2"/>
  <c r="R460" i="2"/>
  <c r="S460" i="2"/>
  <c r="T460" i="2"/>
  <c r="U460" i="2"/>
  <c r="V460" i="2"/>
  <c r="W460" i="2"/>
  <c r="X460" i="2"/>
  <c r="Q461" i="2"/>
  <c r="R461" i="2"/>
  <c r="S461" i="2"/>
  <c r="T461" i="2"/>
  <c r="U461" i="2"/>
  <c r="V461" i="2"/>
  <c r="W461" i="2"/>
  <c r="X461" i="2"/>
  <c r="Q462" i="2"/>
  <c r="R462" i="2"/>
  <c r="S462" i="2"/>
  <c r="T462" i="2"/>
  <c r="U462" i="2"/>
  <c r="V462" i="2"/>
  <c r="W462" i="2"/>
  <c r="X462" i="2"/>
  <c r="Q463" i="2"/>
  <c r="R463" i="2"/>
  <c r="S463" i="2"/>
  <c r="T463" i="2"/>
  <c r="U463" i="2"/>
  <c r="V463" i="2"/>
  <c r="W463" i="2"/>
  <c r="X463" i="2"/>
  <c r="Q464" i="2"/>
  <c r="R464" i="2"/>
  <c r="S464" i="2"/>
  <c r="T464" i="2"/>
  <c r="U464" i="2"/>
  <c r="V464" i="2"/>
  <c r="W464" i="2"/>
  <c r="X464" i="2"/>
  <c r="Q465" i="2"/>
  <c r="R465" i="2"/>
  <c r="S465" i="2"/>
  <c r="T465" i="2"/>
  <c r="U465" i="2"/>
  <c r="V465" i="2"/>
  <c r="W465" i="2"/>
  <c r="X465" i="2"/>
  <c r="Q466" i="2"/>
  <c r="R466" i="2"/>
  <c r="S466" i="2"/>
  <c r="T466" i="2"/>
  <c r="U466" i="2"/>
  <c r="V466" i="2"/>
  <c r="W466" i="2"/>
  <c r="X466" i="2"/>
  <c r="Q467" i="2"/>
  <c r="R467" i="2"/>
  <c r="S467" i="2"/>
  <c r="T467" i="2"/>
  <c r="U467" i="2"/>
  <c r="V467" i="2"/>
  <c r="W467" i="2"/>
  <c r="X467" i="2"/>
  <c r="Q468" i="2"/>
  <c r="R468" i="2"/>
  <c r="S468" i="2"/>
  <c r="T468" i="2"/>
  <c r="U468" i="2"/>
  <c r="V468" i="2"/>
  <c r="W468" i="2"/>
  <c r="X468" i="2"/>
  <c r="Q469" i="2"/>
  <c r="R469" i="2"/>
  <c r="S469" i="2"/>
  <c r="T469" i="2"/>
  <c r="U469" i="2"/>
  <c r="V469" i="2"/>
  <c r="W469" i="2"/>
  <c r="X469" i="2"/>
  <c r="Q470" i="2"/>
  <c r="R470" i="2"/>
  <c r="S470" i="2"/>
  <c r="T470" i="2"/>
  <c r="U470" i="2"/>
  <c r="V470" i="2"/>
  <c r="W470" i="2"/>
  <c r="X470" i="2"/>
  <c r="Q471" i="2"/>
  <c r="R471" i="2"/>
  <c r="S471" i="2"/>
  <c r="T471" i="2"/>
  <c r="U471" i="2"/>
  <c r="V471" i="2"/>
  <c r="W471" i="2"/>
  <c r="X471" i="2"/>
  <c r="Q472" i="2"/>
  <c r="R472" i="2"/>
  <c r="S472" i="2"/>
  <c r="T472" i="2"/>
  <c r="U472" i="2"/>
  <c r="V472" i="2"/>
  <c r="W472" i="2"/>
  <c r="X472" i="2"/>
  <c r="Q473" i="2"/>
  <c r="R473" i="2"/>
  <c r="S473" i="2"/>
  <c r="T473" i="2"/>
  <c r="U473" i="2"/>
  <c r="V473" i="2"/>
  <c r="W473" i="2"/>
  <c r="X473" i="2"/>
  <c r="Q474" i="2"/>
  <c r="R474" i="2"/>
  <c r="S474" i="2"/>
  <c r="T474" i="2"/>
  <c r="U474" i="2"/>
  <c r="V474" i="2"/>
  <c r="W474" i="2"/>
  <c r="X474" i="2"/>
  <c r="Q475" i="2"/>
  <c r="R475" i="2"/>
  <c r="S475" i="2"/>
  <c r="T475" i="2"/>
  <c r="U475" i="2"/>
  <c r="V475" i="2"/>
  <c r="W475" i="2"/>
  <c r="X475" i="2"/>
  <c r="Q476" i="2"/>
  <c r="R476" i="2"/>
  <c r="S476" i="2"/>
  <c r="T476" i="2"/>
  <c r="U476" i="2"/>
  <c r="V476" i="2"/>
  <c r="W476" i="2"/>
  <c r="X476" i="2"/>
  <c r="Q477" i="2"/>
  <c r="R477" i="2"/>
  <c r="S477" i="2"/>
  <c r="T477" i="2"/>
  <c r="U477" i="2"/>
  <c r="V477" i="2"/>
  <c r="W477" i="2"/>
  <c r="X477" i="2"/>
  <c r="Q478" i="2"/>
  <c r="R478" i="2"/>
  <c r="S478" i="2"/>
  <c r="T478" i="2"/>
  <c r="U478" i="2"/>
  <c r="V478" i="2"/>
  <c r="W478" i="2"/>
  <c r="X478" i="2"/>
  <c r="Q479" i="2"/>
  <c r="R479" i="2"/>
  <c r="S479" i="2"/>
  <c r="T479" i="2"/>
  <c r="U479" i="2"/>
  <c r="V479" i="2"/>
  <c r="W479" i="2"/>
  <c r="X479" i="2"/>
  <c r="Q480" i="2"/>
  <c r="R480" i="2"/>
  <c r="S480" i="2"/>
  <c r="T480" i="2"/>
  <c r="U480" i="2"/>
  <c r="V480" i="2"/>
  <c r="W480" i="2"/>
  <c r="X480" i="2"/>
  <c r="Q481" i="2"/>
  <c r="R481" i="2"/>
  <c r="S481" i="2"/>
  <c r="T481" i="2"/>
  <c r="U481" i="2"/>
  <c r="V481" i="2"/>
  <c r="W481" i="2"/>
  <c r="X481" i="2"/>
  <c r="Q482" i="2"/>
  <c r="R482" i="2"/>
  <c r="S482" i="2"/>
  <c r="T482" i="2"/>
  <c r="U482" i="2"/>
  <c r="V482" i="2"/>
  <c r="W482" i="2"/>
  <c r="X482" i="2"/>
  <c r="Q483" i="2"/>
  <c r="R483" i="2"/>
  <c r="S483" i="2"/>
  <c r="T483" i="2"/>
  <c r="U483" i="2"/>
  <c r="V483" i="2"/>
  <c r="W483" i="2"/>
  <c r="X483" i="2"/>
  <c r="Q484" i="2"/>
  <c r="R484" i="2"/>
  <c r="S484" i="2"/>
  <c r="T484" i="2"/>
  <c r="U484" i="2"/>
  <c r="V484" i="2"/>
  <c r="W484" i="2"/>
  <c r="X484" i="2"/>
  <c r="Q485" i="2"/>
  <c r="R485" i="2"/>
  <c r="S485" i="2"/>
  <c r="T485" i="2"/>
  <c r="U485" i="2"/>
  <c r="V485" i="2"/>
  <c r="W485" i="2"/>
  <c r="X485" i="2"/>
  <c r="Q486" i="2"/>
  <c r="R486" i="2"/>
  <c r="S486" i="2"/>
  <c r="T486" i="2"/>
  <c r="U486" i="2"/>
  <c r="V486" i="2"/>
  <c r="W486" i="2"/>
  <c r="X486" i="2"/>
  <c r="Q487" i="2"/>
  <c r="R487" i="2"/>
  <c r="S487" i="2"/>
  <c r="T487" i="2"/>
  <c r="U487" i="2"/>
  <c r="V487" i="2"/>
  <c r="W487" i="2"/>
  <c r="X487" i="2"/>
  <c r="Q488" i="2"/>
  <c r="R488" i="2"/>
  <c r="S488" i="2"/>
  <c r="T488" i="2"/>
  <c r="U488" i="2"/>
  <c r="V488" i="2"/>
  <c r="W488" i="2"/>
  <c r="X488" i="2"/>
  <c r="Q489" i="2"/>
  <c r="R489" i="2"/>
  <c r="S489" i="2"/>
  <c r="T489" i="2"/>
  <c r="U489" i="2"/>
  <c r="V489" i="2"/>
  <c r="W489" i="2"/>
  <c r="X489" i="2"/>
  <c r="Q490" i="2"/>
  <c r="R490" i="2"/>
  <c r="S490" i="2"/>
  <c r="T490" i="2"/>
  <c r="U490" i="2"/>
  <c r="V490" i="2"/>
  <c r="W490" i="2"/>
  <c r="X490" i="2"/>
  <c r="Q491" i="2"/>
  <c r="R491" i="2"/>
  <c r="S491" i="2"/>
  <c r="T491" i="2"/>
  <c r="U491" i="2"/>
  <c r="V491" i="2"/>
  <c r="W491" i="2"/>
  <c r="X491" i="2"/>
  <c r="Q492" i="2"/>
  <c r="R492" i="2"/>
  <c r="S492" i="2"/>
  <c r="T492" i="2"/>
  <c r="U492" i="2"/>
  <c r="V492" i="2"/>
  <c r="W492" i="2"/>
  <c r="X492" i="2"/>
  <c r="Q493" i="2"/>
  <c r="R493" i="2"/>
  <c r="S493" i="2"/>
  <c r="T493" i="2"/>
  <c r="U493" i="2"/>
  <c r="V493" i="2"/>
  <c r="W493" i="2"/>
  <c r="X493" i="2"/>
  <c r="Q494" i="2"/>
  <c r="R494" i="2"/>
  <c r="S494" i="2"/>
  <c r="T494" i="2"/>
  <c r="U494" i="2"/>
  <c r="V494" i="2"/>
  <c r="W494" i="2"/>
  <c r="X494" i="2"/>
  <c r="Q495" i="2"/>
  <c r="R495" i="2"/>
  <c r="S495" i="2"/>
  <c r="T495" i="2"/>
  <c r="U495" i="2"/>
  <c r="V495" i="2"/>
  <c r="W495" i="2"/>
  <c r="X495" i="2"/>
  <c r="Q496" i="2"/>
  <c r="R496" i="2"/>
  <c r="S496" i="2"/>
  <c r="T496" i="2"/>
  <c r="U496" i="2"/>
  <c r="V496" i="2"/>
  <c r="W496" i="2"/>
  <c r="X496" i="2"/>
  <c r="R1" i="2"/>
  <c r="S1" i="2"/>
  <c r="T1" i="2"/>
  <c r="U1" i="2"/>
  <c r="V1" i="2"/>
  <c r="W1" i="2"/>
  <c r="X1" i="2"/>
  <c r="Q1"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2" i="2"/>
  <c r="BE30" i="4" l="1"/>
  <c r="BE34" i="4"/>
  <c r="BE31" i="4"/>
  <c r="BN32" i="4" s="1"/>
  <c r="BE32" i="4"/>
  <c r="BE33" i="4"/>
  <c r="BE60" i="4"/>
  <c r="BN60" i="4"/>
  <c r="BE61" i="4"/>
  <c r="BE59" i="4"/>
  <c r="BE66" i="4"/>
  <c r="BE57" i="4"/>
  <c r="BN57" i="4" s="1"/>
  <c r="BE58" i="4"/>
  <c r="BE39" i="4"/>
  <c r="BE15" i="4"/>
  <c r="BE16" i="4"/>
  <c r="BE25" i="4"/>
  <c r="BE26" i="4"/>
  <c r="BE13" i="4"/>
  <c r="BE17" i="4"/>
  <c r="BE12" i="4"/>
  <c r="BE51" i="4"/>
  <c r="BE48" i="4"/>
  <c r="BE70" i="4"/>
  <c r="BE24" i="4"/>
  <c r="BE50" i="4"/>
  <c r="BE52" i="4"/>
  <c r="BE49" i="4"/>
  <c r="BN50" i="4" s="1"/>
  <c r="BE23" i="4"/>
  <c r="BE69" i="4"/>
  <c r="BE22" i="4"/>
  <c r="BE53" i="4"/>
  <c r="BE42" i="4"/>
  <c r="BE43" i="4"/>
  <c r="BE44" i="4"/>
  <c r="BE67" i="4"/>
  <c r="BE68" i="4"/>
  <c r="BE40" i="4"/>
  <c r="BE41" i="4"/>
  <c r="BE88" i="4"/>
  <c r="BE89" i="4"/>
  <c r="BE84" i="4"/>
  <c r="BE95" i="4"/>
  <c r="BE86" i="4"/>
  <c r="BE94" i="4"/>
  <c r="BE75" i="4"/>
  <c r="BE93" i="4"/>
  <c r="BE87" i="4"/>
  <c r="BN31" i="4"/>
  <c r="BE77" i="4"/>
  <c r="BE80" i="4"/>
  <c r="BE85" i="4"/>
  <c r="BE98" i="4"/>
  <c r="BE78" i="4"/>
  <c r="BE96" i="4"/>
  <c r="BE79" i="4"/>
  <c r="BE102" i="4"/>
  <c r="BE104" i="4"/>
  <c r="BE107" i="4"/>
  <c r="BE106" i="4"/>
  <c r="BE103" i="4"/>
  <c r="BE105" i="4"/>
  <c r="BN66" i="4" l="1"/>
  <c r="BM33" i="4"/>
  <c r="BO30" i="4"/>
  <c r="BN30" i="4"/>
  <c r="BM67" i="4"/>
  <c r="BO33" i="4"/>
  <c r="BN33" i="4"/>
  <c r="BM32" i="4"/>
  <c r="BO32" i="4"/>
  <c r="BM30" i="4"/>
  <c r="BO31" i="4"/>
  <c r="BM59" i="4"/>
  <c r="BM31" i="4"/>
  <c r="BO58" i="4"/>
  <c r="BN58" i="4"/>
  <c r="BO66" i="4"/>
  <c r="BO60" i="4"/>
  <c r="BM58" i="4"/>
  <c r="BN41" i="4"/>
  <c r="BN59" i="4"/>
  <c r="BN24" i="4"/>
  <c r="BN15" i="4"/>
  <c r="BM60" i="4"/>
  <c r="BM57" i="4"/>
  <c r="BO57" i="4"/>
  <c r="BN85" i="4"/>
  <c r="BO59" i="4"/>
  <c r="BM22" i="4"/>
  <c r="BM15" i="4"/>
  <c r="BO12" i="4"/>
  <c r="BO69" i="4"/>
  <c r="BM13" i="4"/>
  <c r="BN23" i="4"/>
  <c r="BN68" i="4"/>
  <c r="BM68" i="4"/>
  <c r="BN13" i="4"/>
  <c r="BM24" i="4"/>
  <c r="BN67" i="4"/>
  <c r="BM66" i="4"/>
  <c r="BO24" i="4"/>
  <c r="BM41" i="4"/>
  <c r="BN22" i="4"/>
  <c r="BO14" i="4"/>
  <c r="BN51" i="4"/>
  <c r="BN49" i="4"/>
  <c r="BM69" i="4"/>
  <c r="BO40" i="4"/>
  <c r="BN12" i="4"/>
  <c r="BN42" i="4"/>
  <c r="BO23" i="4"/>
  <c r="BM50" i="4"/>
  <c r="BM39" i="4"/>
  <c r="BN69" i="4"/>
  <c r="BO41" i="4"/>
  <c r="BO50" i="4"/>
  <c r="BN39" i="4"/>
  <c r="BO67" i="4"/>
  <c r="BM95" i="4"/>
  <c r="BO49" i="4"/>
  <c r="BO42" i="4"/>
  <c r="BM85" i="4"/>
  <c r="BM40" i="4"/>
  <c r="BM49" i="4"/>
  <c r="BO48" i="4"/>
  <c r="BM93" i="4"/>
  <c r="BN48" i="4"/>
  <c r="BO21" i="4"/>
  <c r="BO39" i="4"/>
  <c r="BO68" i="4"/>
  <c r="BM14" i="4"/>
  <c r="BN84" i="4"/>
  <c r="BO13" i="4"/>
  <c r="BO22" i="4"/>
  <c r="BO86" i="4"/>
  <c r="BM51" i="4"/>
  <c r="BN87" i="4"/>
  <c r="BM12" i="4"/>
  <c r="BM42" i="4"/>
  <c r="BN40" i="4"/>
  <c r="BM48" i="4"/>
  <c r="BO51" i="4"/>
  <c r="BO15" i="4"/>
  <c r="BN14" i="4"/>
  <c r="BM23" i="4"/>
  <c r="BN76" i="4"/>
  <c r="BM21" i="4"/>
  <c r="BN21" i="4"/>
  <c r="BO84" i="4"/>
  <c r="BM77" i="4"/>
  <c r="BO78" i="4"/>
  <c r="BO102" i="4"/>
  <c r="BM84" i="4"/>
  <c r="BO76" i="4"/>
  <c r="BO85" i="4"/>
  <c r="BO93" i="4"/>
  <c r="BN75" i="4"/>
  <c r="BN93" i="4"/>
  <c r="BO87" i="4"/>
  <c r="BM75" i="4"/>
  <c r="BM86" i="4"/>
  <c r="BO94" i="4"/>
  <c r="BO104" i="4"/>
  <c r="BM94" i="4"/>
  <c r="BO95" i="4"/>
  <c r="BN95" i="4"/>
  <c r="BN86" i="4"/>
  <c r="BM96" i="4"/>
  <c r="BN104" i="4"/>
  <c r="BM103" i="4"/>
  <c r="BO96" i="4"/>
  <c r="BM87" i="4"/>
  <c r="BM78" i="4"/>
  <c r="BO75" i="4"/>
  <c r="BM76" i="4"/>
  <c r="BN77" i="4"/>
  <c r="BO77" i="4"/>
  <c r="BM104" i="4"/>
  <c r="BN105" i="4"/>
  <c r="BN94" i="4"/>
  <c r="BN96" i="4"/>
  <c r="BM102" i="4"/>
  <c r="BN78" i="4"/>
  <c r="BN102" i="4"/>
  <c r="BN103" i="4"/>
  <c r="BO105" i="4"/>
  <c r="BM105" i="4"/>
  <c r="BO103" i="4"/>
  <c r="BA5" i="4" l="1"/>
  <c r="BA4" i="4" l="1"/>
  <c r="BA3" i="4"/>
  <c r="BA6" i="4"/>
  <c r="BF1" i="4" l="1"/>
  <c r="BF7" i="4" l="1"/>
  <c r="BF5" i="4"/>
  <c r="BI7" i="4"/>
  <c r="BI3" i="4"/>
  <c r="BI6" i="4"/>
  <c r="BI4" i="4"/>
  <c r="BF8" i="4"/>
  <c r="BF4" i="4"/>
  <c r="BB4" i="4"/>
  <c r="BI8" i="4"/>
  <c r="BB6" i="4"/>
  <c r="BB5" i="4"/>
  <c r="BI5" i="4"/>
  <c r="BB3" i="4"/>
  <c r="BF6" i="4"/>
  <c r="BF3" i="4"/>
  <c r="BC103" i="4" l="1"/>
  <c r="BC102" i="4"/>
  <c r="BC104" i="4"/>
  <c r="BC105" i="4"/>
  <c r="BC93" i="4"/>
  <c r="BC96" i="4"/>
  <c r="BC95" i="4"/>
  <c r="BC94" i="4"/>
  <c r="BE5" i="4"/>
  <c r="BE8" i="4"/>
  <c r="BE3" i="4"/>
  <c r="BE4" i="4"/>
  <c r="BE6" i="4"/>
  <c r="BE7" i="4"/>
  <c r="BC3" i="4"/>
  <c r="BC50" i="4"/>
  <c r="BC22" i="4"/>
  <c r="BC39" i="4"/>
  <c r="BC51" i="4"/>
  <c r="BC49" i="4"/>
  <c r="BC42" i="4"/>
  <c r="BC41" i="4"/>
  <c r="BC48" i="4"/>
  <c r="BC67" i="4"/>
  <c r="BC40" i="4"/>
  <c r="BC66" i="4"/>
  <c r="BC68" i="4"/>
  <c r="BC75" i="4"/>
  <c r="BC23" i="4"/>
  <c r="BC24" i="4"/>
  <c r="BC21" i="4"/>
  <c r="BC60" i="4"/>
  <c r="BC76" i="4"/>
  <c r="BC14" i="4"/>
  <c r="BC33" i="4"/>
  <c r="BC58" i="4"/>
  <c r="BC30" i="4"/>
  <c r="BC69" i="4"/>
  <c r="BC57" i="4"/>
  <c r="BC12" i="4"/>
  <c r="BC86" i="4"/>
  <c r="BC87" i="4"/>
  <c r="BC13" i="4"/>
  <c r="BC31" i="4"/>
  <c r="BC78" i="4"/>
  <c r="BC85" i="4"/>
  <c r="BC84" i="4"/>
  <c r="BC15" i="4"/>
  <c r="BC32" i="4"/>
  <c r="BC59" i="4"/>
  <c r="BC77" i="4"/>
  <c r="BC4" i="4"/>
  <c r="BC5" i="4"/>
  <c r="BC6" i="4"/>
  <c r="BO4" i="4" l="1"/>
  <c r="BZ19" i="4"/>
  <c r="CC21" i="4" s="1"/>
  <c r="BZ100" i="4"/>
  <c r="BZ104" i="4" s="1"/>
  <c r="BZ55" i="4"/>
  <c r="CC58" i="4" s="1"/>
  <c r="BZ28" i="4"/>
  <c r="CC30" i="4" s="1"/>
  <c r="BZ37" i="4"/>
  <c r="BZ43" i="4" s="1"/>
  <c r="BZ91" i="4"/>
  <c r="BZ82" i="4"/>
  <c r="CC86" i="4" s="1"/>
  <c r="BR103" i="4"/>
  <c r="BQ103" i="4"/>
  <c r="BL103" i="4"/>
  <c r="BQ102" i="4"/>
  <c r="BR102" i="4"/>
  <c r="BL105" i="4"/>
  <c r="BL104" i="4"/>
  <c r="BQ104" i="4"/>
  <c r="BL102" i="4"/>
  <c r="BR104" i="4"/>
  <c r="BQ105" i="4"/>
  <c r="BR105" i="4"/>
  <c r="BR95" i="4"/>
  <c r="BQ95" i="4"/>
  <c r="BL94" i="4"/>
  <c r="BR94" i="4"/>
  <c r="BR93" i="4"/>
  <c r="BL95" i="4"/>
  <c r="BR96" i="4"/>
  <c r="BQ94" i="4"/>
  <c r="BQ93" i="4"/>
  <c r="BL93" i="4"/>
  <c r="BL96" i="4"/>
  <c r="BQ96" i="4"/>
  <c r="BZ46" i="4"/>
  <c r="BZ10" i="4"/>
  <c r="BZ73" i="4"/>
  <c r="BZ64" i="4"/>
  <c r="BR86" i="4"/>
  <c r="BL84" i="4"/>
  <c r="BQ86" i="4"/>
  <c r="BQ84" i="4"/>
  <c r="BR87" i="4"/>
  <c r="BL85" i="4"/>
  <c r="BR84" i="4"/>
  <c r="BQ85" i="4"/>
  <c r="BL86" i="4"/>
  <c r="BL87" i="4"/>
  <c r="BR85" i="4"/>
  <c r="BQ87" i="4"/>
  <c r="BR77" i="4"/>
  <c r="BL75" i="4"/>
  <c r="BQ77" i="4"/>
  <c r="BL77" i="4"/>
  <c r="BR78" i="4"/>
  <c r="BQ75" i="4"/>
  <c r="BL76" i="4"/>
  <c r="BQ76" i="4"/>
  <c r="BL78" i="4"/>
  <c r="BR75" i="4"/>
  <c r="BR76" i="4"/>
  <c r="BQ78" i="4"/>
  <c r="BR67" i="4"/>
  <c r="BQ67" i="4"/>
  <c r="BL67" i="4"/>
  <c r="BQ66" i="4"/>
  <c r="BL69" i="4"/>
  <c r="BL68" i="4"/>
  <c r="BQ68" i="4"/>
  <c r="BL66" i="4"/>
  <c r="BQ69" i="4"/>
  <c r="BR68" i="4"/>
  <c r="BR69" i="4"/>
  <c r="BR66" i="4"/>
  <c r="BL60" i="4"/>
  <c r="BQ58" i="4"/>
  <c r="BL58" i="4"/>
  <c r="BQ57" i="4"/>
  <c r="BQ59" i="4"/>
  <c r="BL57" i="4"/>
  <c r="BR59" i="4"/>
  <c r="BQ60" i="4"/>
  <c r="BR60" i="4"/>
  <c r="BR57" i="4"/>
  <c r="BR58" i="4"/>
  <c r="BL59" i="4"/>
  <c r="BR49" i="4"/>
  <c r="BL51" i="4"/>
  <c r="BQ49" i="4"/>
  <c r="BL49" i="4"/>
  <c r="BQ48" i="4"/>
  <c r="BQ50" i="4"/>
  <c r="BL48" i="4"/>
  <c r="BQ51" i="4"/>
  <c r="BR50" i="4"/>
  <c r="BR51" i="4"/>
  <c r="BR48" i="4"/>
  <c r="BL50" i="4"/>
  <c r="BR40" i="4"/>
  <c r="BQ40" i="4"/>
  <c r="BQ39" i="4"/>
  <c r="BL42" i="4"/>
  <c r="BQ41" i="4"/>
  <c r="BL40" i="4"/>
  <c r="BQ42" i="4"/>
  <c r="BL39" i="4"/>
  <c r="BR41" i="4"/>
  <c r="BR42" i="4"/>
  <c r="BR39" i="4"/>
  <c r="BL41" i="4"/>
  <c r="BR32" i="4"/>
  <c r="BL30" i="4"/>
  <c r="BQ32" i="4"/>
  <c r="BL31" i="4"/>
  <c r="BR30" i="4"/>
  <c r="BQ31" i="4"/>
  <c r="BL33" i="4"/>
  <c r="BL32" i="4"/>
  <c r="BR31" i="4"/>
  <c r="BQ33" i="4"/>
  <c r="BQ30" i="4"/>
  <c r="BR33" i="4"/>
  <c r="BL24" i="4"/>
  <c r="BR23" i="4"/>
  <c r="BL21" i="4"/>
  <c r="BQ23" i="4"/>
  <c r="BR24" i="4"/>
  <c r="BQ22" i="4"/>
  <c r="BR22" i="4"/>
  <c r="BQ24" i="4"/>
  <c r="BL23" i="4"/>
  <c r="BQ21" i="4"/>
  <c r="BL22" i="4"/>
  <c r="BR21" i="4"/>
  <c r="BR13" i="4"/>
  <c r="BR14" i="4"/>
  <c r="BL13" i="4"/>
  <c r="BQ14" i="4"/>
  <c r="BQ13" i="4"/>
  <c r="BL15" i="4"/>
  <c r="BR12" i="4"/>
  <c r="BQ12" i="4"/>
  <c r="BR15" i="4"/>
  <c r="BQ15" i="4"/>
  <c r="BL14" i="4"/>
  <c r="BL12" i="4"/>
  <c r="BM5" i="4"/>
  <c r="BO6" i="4"/>
  <c r="BM4" i="4"/>
  <c r="BN4" i="4"/>
  <c r="BO3" i="4"/>
  <c r="BN6" i="4"/>
  <c r="BM3" i="4"/>
  <c r="BN5" i="4"/>
  <c r="BN3" i="4"/>
  <c r="BZ1" i="4"/>
  <c r="BZ3" i="4" s="1"/>
  <c r="BL4" i="4"/>
  <c r="BM6" i="4"/>
  <c r="BO5" i="4"/>
  <c r="BL6" i="4"/>
  <c r="BQ4" i="4"/>
  <c r="BR4" i="4"/>
  <c r="BL3" i="4"/>
  <c r="BQ5" i="4"/>
  <c r="BQ6" i="4"/>
  <c r="BQ3" i="4"/>
  <c r="BR3" i="4"/>
  <c r="BR5" i="4"/>
  <c r="BL5" i="4"/>
  <c r="BR6" i="4"/>
  <c r="CC23" i="4" l="1"/>
  <c r="BZ25" i="4"/>
  <c r="CC22" i="4"/>
  <c r="CC24" i="4"/>
  <c r="CC25" i="4"/>
  <c r="CC88" i="4"/>
  <c r="CC85" i="4"/>
  <c r="BZ21" i="4"/>
  <c r="BY21" i="4" s="1"/>
  <c r="CC41" i="4"/>
  <c r="BP93" i="4"/>
  <c r="BS93" i="4" s="1"/>
  <c r="BZ44" i="4"/>
  <c r="BZ23" i="4"/>
  <c r="BP40" i="4"/>
  <c r="BS40" i="4" s="1"/>
  <c r="BZ35" i="4"/>
  <c r="CC35" i="4"/>
  <c r="CC34" i="4"/>
  <c r="BZ32" i="4"/>
  <c r="CC33" i="4"/>
  <c r="BZ40" i="4"/>
  <c r="BZ58" i="4"/>
  <c r="BY58" i="4" s="1"/>
  <c r="BZ61" i="4"/>
  <c r="BZ42" i="4"/>
  <c r="CC26" i="4"/>
  <c r="BZ22" i="4"/>
  <c r="BZ24" i="4"/>
  <c r="CC44" i="4"/>
  <c r="CC42" i="4"/>
  <c r="BZ26" i="4"/>
  <c r="BZ31" i="4"/>
  <c r="BZ59" i="4"/>
  <c r="CC59" i="4"/>
  <c r="CC39" i="4"/>
  <c r="BZ62" i="4"/>
  <c r="CC61" i="4"/>
  <c r="CC60" i="4"/>
  <c r="CC32" i="4"/>
  <c r="BZ33" i="4"/>
  <c r="CC89" i="4"/>
  <c r="BZ30" i="4"/>
  <c r="BY30" i="4" s="1"/>
  <c r="BZ34" i="4"/>
  <c r="BZ89" i="4"/>
  <c r="BP14" i="4"/>
  <c r="BS14" i="4" s="1"/>
  <c r="BP23" i="4"/>
  <c r="BS23" i="4" s="1"/>
  <c r="CC31" i="4"/>
  <c r="BZ39" i="4"/>
  <c r="BP48" i="4"/>
  <c r="BS48" i="4" s="1"/>
  <c r="BZ57" i="4"/>
  <c r="BZ60" i="4"/>
  <c r="BZ105" i="4"/>
  <c r="BZ102" i="4"/>
  <c r="CC102" i="4"/>
  <c r="CC40" i="4"/>
  <c r="CC57" i="4"/>
  <c r="BZ41" i="4"/>
  <c r="CC62" i="4"/>
  <c r="CC43" i="4"/>
  <c r="BY43" i="4" s="1"/>
  <c r="BZ88" i="4"/>
  <c r="CC107" i="4"/>
  <c r="CC106" i="4"/>
  <c r="CC103" i="4"/>
  <c r="CC87" i="4"/>
  <c r="BZ107" i="4"/>
  <c r="BZ106" i="4"/>
  <c r="CC104" i="4"/>
  <c r="BY104" i="4" s="1"/>
  <c r="CC105" i="4"/>
  <c r="BZ103" i="4"/>
  <c r="CC5" i="4"/>
  <c r="CC8" i="4"/>
  <c r="CC6" i="4"/>
  <c r="BP42" i="4"/>
  <c r="BS42" i="4" s="1"/>
  <c r="CC3" i="4"/>
  <c r="BY3" i="4" s="1"/>
  <c r="BZ97" i="4"/>
  <c r="BZ94" i="4"/>
  <c r="BZ95" i="4"/>
  <c r="CC97" i="4"/>
  <c r="CC96" i="4"/>
  <c r="BZ93" i="4"/>
  <c r="CC94" i="4"/>
  <c r="BZ98" i="4"/>
  <c r="BZ96" i="4"/>
  <c r="CC98" i="4"/>
  <c r="CC95" i="4"/>
  <c r="CC93" i="4"/>
  <c r="BZ84" i="4"/>
  <c r="CC84" i="4"/>
  <c r="BZ87" i="4"/>
  <c r="BZ86" i="4"/>
  <c r="BY86" i="4" s="1"/>
  <c r="BP31" i="4"/>
  <c r="BS31" i="4" s="1"/>
  <c r="BP67" i="4"/>
  <c r="BS67" i="4" s="1"/>
  <c r="BP32" i="4"/>
  <c r="BS32" i="4" s="1"/>
  <c r="BP49" i="4"/>
  <c r="BS49" i="4" s="1"/>
  <c r="BZ85" i="4"/>
  <c r="BP95" i="4"/>
  <c r="BS95" i="4" s="1"/>
  <c r="BP103" i="4"/>
  <c r="BS103" i="4" s="1"/>
  <c r="BP105" i="4"/>
  <c r="BS105" i="4" s="1"/>
  <c r="BP84" i="4"/>
  <c r="BS84" i="4" s="1"/>
  <c r="BP94" i="4"/>
  <c r="BS94" i="4" s="1"/>
  <c r="BP104" i="4"/>
  <c r="BS104" i="4" s="1"/>
  <c r="BP102" i="4"/>
  <c r="BS102" i="4" s="1"/>
  <c r="BP96" i="4"/>
  <c r="BS96" i="4" s="1"/>
  <c r="BP77" i="4"/>
  <c r="BS77" i="4" s="1"/>
  <c r="BP86" i="4"/>
  <c r="BS86" i="4" s="1"/>
  <c r="BP87" i="4"/>
  <c r="BS87" i="4" s="1"/>
  <c r="BZ70" i="4"/>
  <c r="BZ71" i="4"/>
  <c r="CC67" i="4"/>
  <c r="BZ66" i="4"/>
  <c r="BZ68" i="4"/>
  <c r="CC68" i="4"/>
  <c r="BZ67" i="4"/>
  <c r="CC69" i="4"/>
  <c r="CC70" i="4"/>
  <c r="CC71" i="4"/>
  <c r="CC66" i="4"/>
  <c r="BZ69" i="4"/>
  <c r="BZ75" i="4"/>
  <c r="CC77" i="4"/>
  <c r="BZ76" i="4"/>
  <c r="CC78" i="4"/>
  <c r="CC80" i="4"/>
  <c r="BZ80" i="4"/>
  <c r="CC76" i="4"/>
  <c r="BZ77" i="4"/>
  <c r="CC79" i="4"/>
  <c r="CC75" i="4"/>
  <c r="BZ78" i="4"/>
  <c r="BZ79" i="4"/>
  <c r="BZ17" i="4"/>
  <c r="CC15" i="4"/>
  <c r="CC17" i="4"/>
  <c r="BZ14" i="4"/>
  <c r="CC16" i="4"/>
  <c r="BZ13" i="4"/>
  <c r="CC12" i="4"/>
  <c r="BZ15" i="4"/>
  <c r="CC14" i="4"/>
  <c r="CC13" i="4"/>
  <c r="BZ12" i="4"/>
  <c r="BZ16" i="4"/>
  <c r="BZ50" i="4"/>
  <c r="CC51" i="4"/>
  <c r="CC52" i="4"/>
  <c r="CC53" i="4"/>
  <c r="CC48" i="4"/>
  <c r="BZ51" i="4"/>
  <c r="BZ52" i="4"/>
  <c r="CC49" i="4"/>
  <c r="BZ53" i="4"/>
  <c r="BZ48" i="4"/>
  <c r="CC50" i="4"/>
  <c r="BZ49" i="4"/>
  <c r="BP51" i="4"/>
  <c r="BS51" i="4" s="1"/>
  <c r="BP85" i="4"/>
  <c r="BS85" i="4" s="1"/>
  <c r="BP75" i="4"/>
  <c r="BS75" i="4" s="1"/>
  <c r="BP50" i="4"/>
  <c r="BS50" i="4" s="1"/>
  <c r="BP78" i="4"/>
  <c r="BS78" i="4" s="1"/>
  <c r="BP76" i="4"/>
  <c r="BS76" i="4" s="1"/>
  <c r="BP69" i="4"/>
  <c r="BS69" i="4" s="1"/>
  <c r="BP68" i="4"/>
  <c r="BS68" i="4" s="1"/>
  <c r="BP66" i="4"/>
  <c r="BS66" i="4" s="1"/>
  <c r="BP60" i="4"/>
  <c r="BS60" i="4" s="1"/>
  <c r="BP59" i="4"/>
  <c r="BS59" i="4" s="1"/>
  <c r="BP57" i="4"/>
  <c r="BS57" i="4" s="1"/>
  <c r="BP58" i="4"/>
  <c r="BS58" i="4" s="1"/>
  <c r="BP12" i="4"/>
  <c r="BS12" i="4" s="1"/>
  <c r="BP41" i="4"/>
  <c r="BS41" i="4" s="1"/>
  <c r="BP39" i="4"/>
  <c r="BS39" i="4" s="1"/>
  <c r="BP30" i="4"/>
  <c r="BS30" i="4" s="1"/>
  <c r="BP33" i="4"/>
  <c r="BS33" i="4" s="1"/>
  <c r="BP22" i="4"/>
  <c r="BS22" i="4" s="1"/>
  <c r="BP21" i="4"/>
  <c r="BS21" i="4" s="1"/>
  <c r="BP24" i="4"/>
  <c r="BS24" i="4" s="1"/>
  <c r="BP13" i="4"/>
  <c r="BS13" i="4" s="1"/>
  <c r="BP15" i="4"/>
  <c r="BS15" i="4" s="1"/>
  <c r="BZ4" i="4"/>
  <c r="BZ7" i="4"/>
  <c r="CC4" i="4"/>
  <c r="BZ6" i="4"/>
  <c r="BZ8" i="4"/>
  <c r="BZ5" i="4"/>
  <c r="CC7" i="4"/>
  <c r="BP4" i="4"/>
  <c r="BS4" i="4" s="1"/>
  <c r="BP6" i="4"/>
  <c r="BS6" i="4" s="1"/>
  <c r="BP5" i="4"/>
  <c r="BS5" i="4" s="1"/>
  <c r="BP3" i="4"/>
  <c r="BS3" i="4" s="1"/>
  <c r="BY23" i="4" l="1"/>
  <c r="BY25" i="4"/>
  <c r="BY22" i="4"/>
  <c r="BY24" i="4"/>
  <c r="BY88" i="4"/>
  <c r="BY85" i="4"/>
  <c r="BY41" i="4"/>
  <c r="BY34" i="4"/>
  <c r="BY44" i="4"/>
  <c r="CH40" i="4" s="1"/>
  <c r="BY35" i="4"/>
  <c r="CH31" i="4" s="1"/>
  <c r="BY32" i="4"/>
  <c r="BY40" i="4"/>
  <c r="CH41" i="4" s="1"/>
  <c r="BY33" i="4"/>
  <c r="BY61" i="4"/>
  <c r="BY42" i="4"/>
  <c r="BY26" i="4"/>
  <c r="CH22" i="4" s="1"/>
  <c r="BY59" i="4"/>
  <c r="BY39" i="4"/>
  <c r="BY31" i="4"/>
  <c r="BY60" i="4"/>
  <c r="BY62" i="4"/>
  <c r="BY89" i="4"/>
  <c r="BY8" i="4"/>
  <c r="BY6" i="4"/>
  <c r="BY107" i="4"/>
  <c r="BY57" i="4"/>
  <c r="BY87" i="4"/>
  <c r="BY105" i="4"/>
  <c r="BY102" i="4"/>
  <c r="BY5" i="4"/>
  <c r="BY103" i="4"/>
  <c r="BY106" i="4"/>
  <c r="CH21" i="4"/>
  <c r="BY97" i="4"/>
  <c r="BY94" i="4"/>
  <c r="BY93" i="4"/>
  <c r="BY96" i="4"/>
  <c r="BY98" i="4"/>
  <c r="BY95" i="4"/>
  <c r="BY84" i="4"/>
  <c r="CH84" i="4" s="1"/>
  <c r="BY14" i="4"/>
  <c r="BY68" i="4"/>
  <c r="BV94" i="4"/>
  <c r="BV96" i="4"/>
  <c r="BV95" i="4"/>
  <c r="BV85" i="4"/>
  <c r="BV51" i="4"/>
  <c r="BY48" i="4"/>
  <c r="BY16" i="4"/>
  <c r="BY75" i="4"/>
  <c r="BY12" i="4"/>
  <c r="BV104" i="4"/>
  <c r="BV105" i="4"/>
  <c r="BV102" i="4"/>
  <c r="BV103" i="4"/>
  <c r="BV93" i="4"/>
  <c r="BY50" i="4"/>
  <c r="BY66" i="4"/>
  <c r="BY49" i="4"/>
  <c r="BY76" i="4"/>
  <c r="BV84" i="4"/>
  <c r="BV50" i="4"/>
  <c r="BV49" i="4"/>
  <c r="BY77" i="4"/>
  <c r="BV87" i="4"/>
  <c r="BY52" i="4"/>
  <c r="BY78" i="4"/>
  <c r="BV86" i="4"/>
  <c r="BY51" i="4"/>
  <c r="BY15" i="4"/>
  <c r="BY13" i="4"/>
  <c r="BY67" i="4"/>
  <c r="BY80" i="4"/>
  <c r="BY17" i="4"/>
  <c r="BY71" i="4"/>
  <c r="BY70" i="4"/>
  <c r="BV48" i="4"/>
  <c r="BY53" i="4"/>
  <c r="BY79" i="4"/>
  <c r="BY69" i="4"/>
  <c r="BV76" i="4"/>
  <c r="BV78" i="4"/>
  <c r="BV77" i="4"/>
  <c r="BV75" i="4"/>
  <c r="BV68" i="4"/>
  <c r="BV69" i="4"/>
  <c r="BV66" i="4"/>
  <c r="BV67" i="4"/>
  <c r="BV59" i="4"/>
  <c r="BV60" i="4"/>
  <c r="BV57" i="4"/>
  <c r="BV58" i="4"/>
  <c r="BV41" i="4"/>
  <c r="BV42" i="4"/>
  <c r="BV39" i="4"/>
  <c r="BV40" i="4"/>
  <c r="BV12" i="4"/>
  <c r="BV32" i="4"/>
  <c r="BV33" i="4"/>
  <c r="BV30" i="4"/>
  <c r="BV31" i="4"/>
  <c r="BV23" i="4"/>
  <c r="BV24" i="4"/>
  <c r="BV21" i="4"/>
  <c r="BV22" i="4"/>
  <c r="BV13" i="4"/>
  <c r="BV14" i="4"/>
  <c r="BV15" i="4"/>
  <c r="BY7" i="4"/>
  <c r="BY4" i="4"/>
  <c r="BV4" i="4"/>
  <c r="BV3" i="4"/>
  <c r="BV5" i="4"/>
  <c r="BV6" i="4"/>
  <c r="CI21" i="4" l="1"/>
  <c r="CI24" i="4"/>
  <c r="CH24" i="4"/>
  <c r="CH42" i="4"/>
  <c r="CI41" i="4"/>
  <c r="CI30" i="4"/>
  <c r="CI22" i="4"/>
  <c r="CH30" i="4"/>
  <c r="CH23" i="4"/>
  <c r="CH86" i="4"/>
  <c r="CI87" i="4"/>
  <c r="CI60" i="4"/>
  <c r="CI40" i="4"/>
  <c r="CH39" i="4"/>
  <c r="CI31" i="4"/>
  <c r="CH58" i="4"/>
  <c r="CI59" i="4"/>
  <c r="CI32" i="4"/>
  <c r="CH60" i="4"/>
  <c r="CH32" i="4"/>
  <c r="CI23" i="4"/>
  <c r="CH33" i="4"/>
  <c r="CI39" i="4"/>
  <c r="CI4" i="4"/>
  <c r="CI42" i="4"/>
  <c r="CH59" i="4"/>
  <c r="CH6" i="4"/>
  <c r="CI102" i="4"/>
  <c r="CI33" i="4"/>
  <c r="BT87" i="4"/>
  <c r="CH77" i="4"/>
  <c r="BT30" i="4"/>
  <c r="CH51" i="4"/>
  <c r="BT15" i="4"/>
  <c r="CI105" i="4"/>
  <c r="CH104" i="4"/>
  <c r="CH95" i="4"/>
  <c r="CH93" i="4"/>
  <c r="BT48" i="4"/>
  <c r="CI104" i="4"/>
  <c r="CI86" i="4"/>
  <c r="CH103" i="4"/>
  <c r="CH48" i="4"/>
  <c r="BT102" i="4"/>
  <c r="CH13" i="4"/>
  <c r="CI57" i="4"/>
  <c r="BT103" i="4"/>
  <c r="CI14" i="4"/>
  <c r="CI68" i="4"/>
  <c r="CI66" i="4"/>
  <c r="CI95" i="4"/>
  <c r="CI93" i="4"/>
  <c r="CI96" i="4"/>
  <c r="CH67" i="4"/>
  <c r="CH75" i="4"/>
  <c r="CI77" i="4"/>
  <c r="CI75" i="4"/>
  <c r="CI85" i="4"/>
  <c r="CI84" i="4"/>
  <c r="CI78" i="4"/>
  <c r="CI58" i="4"/>
  <c r="CH57" i="4"/>
  <c r="CI49" i="4"/>
  <c r="CI48" i="4"/>
  <c r="CI50" i="4"/>
  <c r="CH15" i="4"/>
  <c r="BT39" i="4"/>
  <c r="CI3" i="4"/>
  <c r="CI6" i="4"/>
  <c r="CI12" i="4"/>
  <c r="CI15" i="4"/>
  <c r="CI5" i="4"/>
  <c r="CH5" i="4"/>
  <c r="CH4" i="4"/>
  <c r="CI94" i="4"/>
  <c r="CI103" i="4"/>
  <c r="CH96" i="4"/>
  <c r="CH94" i="4"/>
  <c r="CH3" i="4"/>
  <c r="CH87" i="4"/>
  <c r="CH85" i="4"/>
  <c r="CH78" i="4"/>
  <c r="CH76" i="4"/>
  <c r="CI76" i="4"/>
  <c r="CI51" i="4"/>
  <c r="CH50" i="4"/>
  <c r="CH49" i="4"/>
  <c r="CH105" i="4"/>
  <c r="CH102" i="4"/>
  <c r="CI13" i="4"/>
  <c r="CH14" i="4"/>
  <c r="CH12" i="4"/>
  <c r="BT3" i="4"/>
  <c r="CI67" i="4"/>
  <c r="BT66" i="4"/>
  <c r="CH66" i="4"/>
  <c r="CI69" i="4"/>
  <c r="CH68" i="4"/>
  <c r="CH69" i="4"/>
  <c r="CF102" i="4"/>
  <c r="BT105" i="4"/>
  <c r="CL105" i="4"/>
  <c r="CK103" i="4"/>
  <c r="BT94" i="4"/>
  <c r="BT95" i="4"/>
  <c r="CF103" i="4"/>
  <c r="CL103" i="4"/>
  <c r="CL102" i="4"/>
  <c r="CK94" i="4"/>
  <c r="CK104" i="4"/>
  <c r="BT96" i="4"/>
  <c r="CK102" i="4"/>
  <c r="BT51" i="4"/>
  <c r="BT50" i="4"/>
  <c r="CK93" i="4"/>
  <c r="CF104" i="4"/>
  <c r="BT93" i="4"/>
  <c r="CF105" i="4"/>
  <c r="BT49" i="4"/>
  <c r="CL104" i="4"/>
  <c r="CK105" i="4"/>
  <c r="BT104" i="4"/>
  <c r="CK96" i="4"/>
  <c r="CF96" i="4"/>
  <c r="BT85" i="4"/>
  <c r="CF93" i="4"/>
  <c r="CK95" i="4"/>
  <c r="CL96" i="4"/>
  <c r="BT84" i="4"/>
  <c r="CL93" i="4"/>
  <c r="CF95" i="4"/>
  <c r="BT86" i="4"/>
  <c r="CF94" i="4"/>
  <c r="BT12" i="4"/>
  <c r="CL94" i="4"/>
  <c r="CL95" i="4"/>
  <c r="CK85" i="4"/>
  <c r="CL84" i="4"/>
  <c r="BT13" i="4"/>
  <c r="CK84" i="4"/>
  <c r="CL87" i="4"/>
  <c r="CF84" i="4"/>
  <c r="CL86" i="4"/>
  <c r="CK87" i="4"/>
  <c r="CL85" i="4"/>
  <c r="CK86" i="4"/>
  <c r="CF87" i="4"/>
  <c r="CF85" i="4"/>
  <c r="CF86" i="4"/>
  <c r="CK78" i="4"/>
  <c r="CK76" i="4"/>
  <c r="CL68" i="4"/>
  <c r="CF75" i="4"/>
  <c r="CL75" i="4"/>
  <c r="CK67" i="4"/>
  <c r="CK75" i="4"/>
  <c r="CK32" i="4"/>
  <c r="BT77" i="4"/>
  <c r="BT75" i="4"/>
  <c r="CK77" i="4"/>
  <c r="CF66" i="4"/>
  <c r="CL32" i="4"/>
  <c r="CL77" i="4"/>
  <c r="CL78" i="4"/>
  <c r="CL58" i="4"/>
  <c r="CF77" i="4"/>
  <c r="BT14" i="4"/>
  <c r="CF78" i="4"/>
  <c r="CF76" i="4"/>
  <c r="BT78" i="4"/>
  <c r="CL76" i="4"/>
  <c r="BT76" i="4"/>
  <c r="CK49" i="4"/>
  <c r="CF69" i="4"/>
  <c r="CF68" i="4"/>
  <c r="CL69" i="4"/>
  <c r="CL67" i="4"/>
  <c r="CL66" i="4"/>
  <c r="CK66" i="4"/>
  <c r="BT68" i="4"/>
  <c r="BT69" i="4"/>
  <c r="BT67" i="4"/>
  <c r="CF67" i="4"/>
  <c r="CK68" i="4"/>
  <c r="CK31" i="4"/>
  <c r="CL30" i="4"/>
  <c r="CL50" i="4"/>
  <c r="CK69" i="4"/>
  <c r="CF60" i="4"/>
  <c r="CK57" i="4"/>
  <c r="CL60" i="4"/>
  <c r="CL59" i="4"/>
  <c r="CK48" i="4"/>
  <c r="CF57" i="4"/>
  <c r="CK58" i="4"/>
  <c r="BT59" i="4"/>
  <c r="BT60" i="4"/>
  <c r="BT57" i="4"/>
  <c r="CK59" i="4"/>
  <c r="CK42" i="4"/>
  <c r="CF58" i="4"/>
  <c r="CL57" i="4"/>
  <c r="CK40" i="4"/>
  <c r="CK60" i="4"/>
  <c r="CF59" i="4"/>
  <c r="BT58" i="4"/>
  <c r="CL48" i="4"/>
  <c r="CL49" i="4"/>
  <c r="CK50" i="4"/>
  <c r="CF49" i="4"/>
  <c r="CL21" i="4"/>
  <c r="CF50" i="4"/>
  <c r="CL23" i="4"/>
  <c r="CF51" i="4"/>
  <c r="CK22" i="4"/>
  <c r="CL51" i="4"/>
  <c r="CF21" i="4"/>
  <c r="CF41" i="4"/>
  <c r="CK51" i="4"/>
  <c r="CF48" i="4"/>
  <c r="CK23" i="4"/>
  <c r="CF32" i="4"/>
  <c r="CF42" i="4"/>
  <c r="CK21" i="4"/>
  <c r="CL39" i="4"/>
  <c r="CK33" i="4"/>
  <c r="CK39" i="4"/>
  <c r="CF30" i="4"/>
  <c r="CF40" i="4"/>
  <c r="CL24" i="4"/>
  <c r="CL31" i="4"/>
  <c r="CK41" i="4"/>
  <c r="CF23" i="4"/>
  <c r="CK30" i="4"/>
  <c r="CL42" i="4"/>
  <c r="BT40" i="4"/>
  <c r="BT42" i="4"/>
  <c r="CL22" i="4"/>
  <c r="CL33" i="4"/>
  <c r="CF39" i="4"/>
  <c r="CL40" i="4"/>
  <c r="CL41" i="4"/>
  <c r="BT41" i="4"/>
  <c r="CF33" i="4"/>
  <c r="CF31" i="4"/>
  <c r="BT33" i="4"/>
  <c r="BT32" i="4"/>
  <c r="BT31" i="4"/>
  <c r="CK24" i="4"/>
  <c r="CF24" i="4"/>
  <c r="BT22" i="4"/>
  <c r="BT23" i="4"/>
  <c r="BT21" i="4"/>
  <c r="BT24" i="4"/>
  <c r="CF22" i="4"/>
  <c r="CL13" i="4"/>
  <c r="CF13" i="4"/>
  <c r="CK14" i="4"/>
  <c r="CF14" i="4"/>
  <c r="CK15" i="4"/>
  <c r="CK12" i="4"/>
  <c r="CF15" i="4"/>
  <c r="CF12" i="4"/>
  <c r="CK13" i="4"/>
  <c r="CL15" i="4"/>
  <c r="CL14" i="4"/>
  <c r="CL12" i="4"/>
  <c r="CL4" i="4"/>
  <c r="CK4" i="4"/>
  <c r="CF4" i="4"/>
  <c r="CK6" i="4"/>
  <c r="CL6" i="4"/>
  <c r="CL3" i="4"/>
  <c r="CF5" i="4"/>
  <c r="CL5" i="4"/>
  <c r="CK5" i="4"/>
  <c r="CF6" i="4"/>
  <c r="CF3" i="4"/>
  <c r="CK3" i="4"/>
  <c r="BT6" i="4"/>
  <c r="BT4" i="4"/>
  <c r="BT5" i="4"/>
  <c r="CJ30" i="4" l="1"/>
  <c r="CM30" i="4" s="1"/>
  <c r="CJ40" i="4"/>
  <c r="CM40" i="4" s="1"/>
  <c r="CJ32" i="4"/>
  <c r="CM32" i="4" s="1"/>
  <c r="CJ93" i="4"/>
  <c r="CM93" i="4" s="1"/>
  <c r="CJ21" i="4"/>
  <c r="CM21" i="4" s="1"/>
  <c r="CJ22" i="4"/>
  <c r="CM22" i="4" s="1"/>
  <c r="CJ59" i="4"/>
  <c r="CM59" i="4" s="1"/>
  <c r="CJ87" i="4"/>
  <c r="CM87" i="4" s="1"/>
  <c r="CJ104" i="4"/>
  <c r="CM104" i="4" s="1"/>
  <c r="CJ105" i="4"/>
  <c r="CM105" i="4" s="1"/>
  <c r="CJ84" i="4"/>
  <c r="CM84" i="4" s="1"/>
  <c r="CJ42" i="4"/>
  <c r="CM42" i="4" s="1"/>
  <c r="CJ95" i="4"/>
  <c r="CM95" i="4" s="1"/>
  <c r="CJ103" i="4"/>
  <c r="CM103" i="4" s="1"/>
  <c r="CJ102" i="4"/>
  <c r="CM102" i="4" s="1"/>
  <c r="CJ94" i="4"/>
  <c r="CM94" i="4" s="1"/>
  <c r="CJ68" i="4"/>
  <c r="CM68" i="4" s="1"/>
  <c r="CJ96" i="4"/>
  <c r="CM96" i="4" s="1"/>
  <c r="CJ67" i="4"/>
  <c r="CM67" i="4" s="1"/>
  <c r="CJ86" i="4"/>
  <c r="CM86" i="4" s="1"/>
  <c r="CJ23" i="4"/>
  <c r="CM23" i="4" s="1"/>
  <c r="CJ76" i="4"/>
  <c r="CM76" i="4" s="1"/>
  <c r="CJ31" i="4"/>
  <c r="CM31" i="4" s="1"/>
  <c r="CJ85" i="4"/>
  <c r="CM85" i="4" s="1"/>
  <c r="CJ77" i="4"/>
  <c r="CM77" i="4" s="1"/>
  <c r="CJ66" i="4"/>
  <c r="CM66" i="4" s="1"/>
  <c r="CJ75" i="4"/>
  <c r="CM75" i="4" s="1"/>
  <c r="CJ69" i="4"/>
  <c r="CM69" i="4" s="1"/>
  <c r="CJ49" i="4"/>
  <c r="CM49" i="4" s="1"/>
  <c r="CJ58" i="4"/>
  <c r="CM58" i="4" s="1"/>
  <c r="CJ78" i="4"/>
  <c r="CM78" i="4" s="1"/>
  <c r="CJ24" i="4"/>
  <c r="CM24" i="4" s="1"/>
  <c r="CJ50" i="4"/>
  <c r="CM50" i="4" s="1"/>
  <c r="CJ48" i="4"/>
  <c r="CM48" i="4" s="1"/>
  <c r="CJ33" i="4"/>
  <c r="CM33" i="4" s="1"/>
  <c r="CJ60" i="4"/>
  <c r="CM60" i="4" s="1"/>
  <c r="CJ57" i="4"/>
  <c r="CM57" i="4" s="1"/>
  <c r="CJ13" i="4"/>
  <c r="CM13" i="4" s="1"/>
  <c r="CJ51" i="4"/>
  <c r="CM51" i="4" s="1"/>
  <c r="CJ39" i="4"/>
  <c r="CM39" i="4" s="1"/>
  <c r="CJ41" i="4"/>
  <c r="CM41" i="4" s="1"/>
  <c r="CJ15" i="4"/>
  <c r="CM15" i="4" s="1"/>
  <c r="CJ12" i="4"/>
  <c r="CM12" i="4" s="1"/>
  <c r="CJ14" i="4"/>
  <c r="CM14" i="4" s="1"/>
  <c r="CJ6" i="4"/>
  <c r="CM6" i="4" s="1"/>
  <c r="CJ4" i="4"/>
  <c r="CM4" i="4" s="1"/>
  <c r="CJ3" i="4"/>
  <c r="CM3" i="4" s="1"/>
  <c r="CJ5" i="4"/>
  <c r="CM5" i="4" s="1"/>
  <c r="CP86" i="4" l="1"/>
  <c r="CP33" i="4"/>
  <c r="CP85" i="4"/>
  <c r="CP84" i="4"/>
  <c r="CP95" i="4"/>
  <c r="CP96" i="4"/>
  <c r="CP94" i="4"/>
  <c r="CP93" i="4"/>
  <c r="CP24" i="4"/>
  <c r="CP87" i="4"/>
  <c r="CP102" i="4"/>
  <c r="CN102" i="4" s="1"/>
  <c r="AQ102" i="4" s="1"/>
  <c r="CP105" i="4"/>
  <c r="CP103" i="4"/>
  <c r="CP104" i="4"/>
  <c r="CP67" i="4"/>
  <c r="CP66" i="4"/>
  <c r="CP23" i="4"/>
  <c r="CP21" i="4"/>
  <c r="CP22" i="4"/>
  <c r="CP31" i="4"/>
  <c r="CP75" i="4"/>
  <c r="CN76" i="4" s="1"/>
  <c r="AQ76" i="4" s="1"/>
  <c r="CP76" i="4"/>
  <c r="CP77" i="4"/>
  <c r="CP78" i="4"/>
  <c r="CP68" i="4"/>
  <c r="CP69" i="4"/>
  <c r="CP48" i="4"/>
  <c r="CP57" i="4"/>
  <c r="CN58" i="4" s="1"/>
  <c r="AQ58" i="4" s="1"/>
  <c r="CP58" i="4"/>
  <c r="CP59" i="4"/>
  <c r="CP60" i="4"/>
  <c r="CP30" i="4"/>
  <c r="CP32" i="4"/>
  <c r="CP50" i="4"/>
  <c r="CP49" i="4"/>
  <c r="CP51" i="4"/>
  <c r="CP39" i="4"/>
  <c r="CP40" i="4"/>
  <c r="CP41" i="4"/>
  <c r="CP42" i="4"/>
  <c r="CP12" i="4"/>
  <c r="CP13" i="4"/>
  <c r="CP14" i="4"/>
  <c r="CP15" i="4"/>
  <c r="CP6" i="4"/>
  <c r="CP3" i="4"/>
  <c r="CP5" i="4"/>
  <c r="CP4" i="4"/>
  <c r="CN5" i="4" l="1"/>
  <c r="AQ5" i="4" s="1"/>
  <c r="CN85" i="4"/>
  <c r="AQ85" i="4" s="1"/>
  <c r="CN68" i="4"/>
  <c r="AQ68" i="4" s="1"/>
  <c r="CN95" i="4"/>
  <c r="AQ95" i="4" s="1"/>
  <c r="CN13" i="4"/>
  <c r="AQ13" i="4" s="1"/>
  <c r="CN48" i="4"/>
  <c r="AQ48" i="4" s="1"/>
  <c r="CN75" i="4"/>
  <c r="AQ75" i="4" s="1"/>
  <c r="CN84" i="4"/>
  <c r="AQ84" i="4" s="1"/>
  <c r="CN93" i="4"/>
  <c r="AQ93" i="4" s="1"/>
  <c r="CN49" i="4"/>
  <c r="AQ49" i="4" s="1"/>
  <c r="CN22" i="4"/>
  <c r="AQ22" i="4" s="1"/>
  <c r="CN59" i="4"/>
  <c r="AQ59" i="4" s="1"/>
  <c r="CN23" i="4"/>
  <c r="AQ23" i="4" s="1"/>
  <c r="CN14" i="4"/>
  <c r="AQ14" i="4" s="1"/>
  <c r="V58" i="4"/>
  <c r="CN86" i="4"/>
  <c r="AQ86" i="4" s="1"/>
  <c r="CN103" i="4"/>
  <c r="AQ103" i="4" s="1"/>
  <c r="CN77" i="4"/>
  <c r="AQ77" i="4" s="1"/>
  <c r="V102" i="4"/>
  <c r="CN87" i="4"/>
  <c r="AQ87" i="4" s="1"/>
  <c r="CN60" i="4"/>
  <c r="AQ60" i="4" s="1"/>
  <c r="CN57" i="4"/>
  <c r="AQ57" i="4" s="1"/>
  <c r="CN67" i="4"/>
  <c r="AQ67" i="4" s="1"/>
  <c r="CN66" i="4"/>
  <c r="AQ66" i="4" s="1"/>
  <c r="CN40" i="4"/>
  <c r="AQ40" i="4" s="1"/>
  <c r="V76" i="4"/>
  <c r="CN12" i="4"/>
  <c r="AQ12" i="4" s="1"/>
  <c r="CN24" i="4"/>
  <c r="AQ24" i="4" s="1"/>
  <c r="CN78" i="4"/>
  <c r="AQ78" i="4" s="1"/>
  <c r="CN94" i="4"/>
  <c r="AQ94" i="4" s="1"/>
  <c r="CN50" i="4"/>
  <c r="AQ50" i="4" s="1"/>
  <c r="CN51" i="4"/>
  <c r="AQ51" i="4" s="1"/>
  <c r="CN96" i="4"/>
  <c r="AQ96" i="4" s="1"/>
  <c r="CN39" i="4"/>
  <c r="AQ39" i="4" s="1"/>
  <c r="CN32" i="4"/>
  <c r="AQ32" i="4" s="1"/>
  <c r="CN30" i="4"/>
  <c r="AQ30" i="4" s="1"/>
  <c r="CN6" i="4"/>
  <c r="AQ6" i="4" s="1"/>
  <c r="CN69" i="4"/>
  <c r="AQ69" i="4" s="1"/>
  <c r="CN3" i="4"/>
  <c r="AQ3" i="4" s="1"/>
  <c r="CN31" i="4"/>
  <c r="AQ31" i="4" s="1"/>
  <c r="CN21" i="4"/>
  <c r="AQ21" i="4" s="1"/>
  <c r="CN15" i="4"/>
  <c r="AQ15" i="4" s="1"/>
  <c r="CN33" i="4"/>
  <c r="AQ33" i="4" s="1"/>
  <c r="CN41" i="4"/>
  <c r="AQ41" i="4" s="1"/>
  <c r="CN42" i="4"/>
  <c r="AQ42" i="4" s="1"/>
  <c r="CN4" i="4"/>
  <c r="AQ4" i="4" s="1"/>
  <c r="CN105" i="4"/>
  <c r="AQ105" i="4" s="1"/>
  <c r="CN104" i="4"/>
  <c r="AQ104" i="4" s="1"/>
  <c r="V5" i="4" l="1"/>
  <c r="V85" i="4"/>
  <c r="AR5" i="4"/>
  <c r="V68" i="4"/>
  <c r="AR68" i="4"/>
  <c r="AR95" i="4"/>
  <c r="V95" i="4"/>
  <c r="V13" i="4"/>
  <c r="AR40" i="4"/>
  <c r="AR41" i="4"/>
  <c r="AR57" i="4"/>
  <c r="AR58" i="4"/>
  <c r="AR22" i="4"/>
  <c r="AR21" i="4"/>
  <c r="AR23" i="4"/>
  <c r="AR75" i="4"/>
  <c r="AR76" i="4"/>
  <c r="AR104" i="4"/>
  <c r="AR86" i="4"/>
  <c r="AR50" i="4"/>
  <c r="AR93" i="4"/>
  <c r="AR94" i="4"/>
  <c r="AR48" i="4"/>
  <c r="AR66" i="4"/>
  <c r="AR67" i="4"/>
  <c r="AR14" i="4"/>
  <c r="AR49" i="4"/>
  <c r="AR12" i="4"/>
  <c r="AR102" i="4"/>
  <c r="AR103" i="4"/>
  <c r="AR39" i="4"/>
  <c r="AR77" i="4"/>
  <c r="AR3" i="4"/>
  <c r="AR4" i="4"/>
  <c r="AR59" i="4"/>
  <c r="AR13" i="4"/>
  <c r="AR84" i="4"/>
  <c r="AR85" i="4"/>
  <c r="V22" i="4"/>
  <c r="V105" i="4"/>
  <c r="V23" i="4"/>
  <c r="V3" i="4"/>
  <c r="V24" i="4"/>
  <c r="V12" i="4"/>
  <c r="V6" i="4"/>
  <c r="V48" i="4"/>
  <c r="V59" i="4"/>
  <c r="V75" i="4"/>
  <c r="V84" i="4"/>
  <c r="V93" i="4"/>
  <c r="V49" i="4"/>
  <c r="V14" i="4"/>
  <c r="V86" i="4"/>
  <c r="V103" i="4"/>
  <c r="V77" i="4"/>
  <c r="V87" i="4"/>
  <c r="V4" i="4"/>
  <c r="V40" i="4"/>
  <c r="V67" i="4"/>
  <c r="V57" i="4"/>
  <c r="V60" i="4"/>
  <c r="V32" i="4"/>
  <c r="V66" i="4"/>
  <c r="V94" i="4"/>
  <c r="V78" i="4"/>
  <c r="V50" i="4"/>
  <c r="V51" i="4"/>
  <c r="V39" i="4"/>
  <c r="V96" i="4"/>
  <c r="V69" i="4"/>
  <c r="V30" i="4"/>
  <c r="V31" i="4"/>
  <c r="V15" i="4"/>
  <c r="V21" i="4"/>
  <c r="V41" i="4"/>
  <c r="AR32" i="4"/>
  <c r="V33" i="4"/>
  <c r="V42" i="4"/>
  <c r="V104" i="4"/>
  <c r="AL6" i="4" l="1"/>
  <c r="Z6" i="4" s="1"/>
  <c r="AB6" i="4" s="1"/>
  <c r="AL84" i="4"/>
  <c r="Z84" i="4" s="1"/>
  <c r="AL14" i="4"/>
  <c r="Z14" i="4" s="1"/>
  <c r="AC14" i="4" s="1"/>
  <c r="AS3" i="2" s="1"/>
  <c r="AL50" i="4"/>
  <c r="Z50" i="4" s="1"/>
  <c r="AL85" i="4"/>
  <c r="Z85" i="4" s="1"/>
  <c r="AL86" i="4"/>
  <c r="Z86" i="4" s="1"/>
  <c r="AE86" i="4" s="1"/>
  <c r="AU11" i="2" s="1"/>
  <c r="AL87" i="4"/>
  <c r="Z87" i="4" s="1"/>
  <c r="AE87" i="4" s="1"/>
  <c r="AL76" i="4"/>
  <c r="Z76" i="4" s="1"/>
  <c r="AL5" i="4"/>
  <c r="Z5" i="4" s="1"/>
  <c r="AL4" i="4"/>
  <c r="Z4" i="4" s="1"/>
  <c r="AL3" i="4"/>
  <c r="Z3" i="4" s="1"/>
  <c r="AL48" i="4"/>
  <c r="Z48" i="4" s="1"/>
  <c r="AL49" i="4"/>
  <c r="Z49" i="4" s="1"/>
  <c r="AL75" i="4"/>
  <c r="Z75" i="4" s="1"/>
  <c r="AL78" i="4"/>
  <c r="Z78" i="4" s="1"/>
  <c r="AH78" i="4" s="1"/>
  <c r="AM78" i="4" s="1"/>
  <c r="AL77" i="4"/>
  <c r="Z77" i="4" s="1"/>
  <c r="AF77" i="4" s="1"/>
  <c r="AV10" i="2" s="1"/>
  <c r="AL60" i="4"/>
  <c r="Z60" i="4" s="1"/>
  <c r="AL57" i="4"/>
  <c r="Z57" i="4" s="1"/>
  <c r="H9" i="6" s="1"/>
  <c r="B116" i="9" s="1"/>
  <c r="AL59" i="4"/>
  <c r="Z59" i="4" s="1"/>
  <c r="AL58" i="4"/>
  <c r="Z58" i="4" s="1"/>
  <c r="K33" i="6" s="1"/>
  <c r="AL93" i="4"/>
  <c r="Z93" i="4" s="1"/>
  <c r="AL69" i="4"/>
  <c r="Z69" i="4" s="1"/>
  <c r="AH69" i="4" s="1"/>
  <c r="AM69" i="4" s="1"/>
  <c r="AL13" i="4"/>
  <c r="Z13" i="4" s="1"/>
  <c r="AL12" i="4"/>
  <c r="Z12" i="4" s="1"/>
  <c r="AL66" i="4"/>
  <c r="Z66" i="4" s="1"/>
  <c r="AL68" i="4"/>
  <c r="Z68" i="4" s="1"/>
  <c r="AL51" i="4"/>
  <c r="Z51" i="4" s="1"/>
  <c r="AG51" i="4" s="1"/>
  <c r="AL30" i="4"/>
  <c r="Z30" i="4" s="1"/>
  <c r="AL94" i="4"/>
  <c r="Z94" i="4" s="1"/>
  <c r="AL33" i="4"/>
  <c r="Z33" i="4" s="1"/>
  <c r="AF33" i="4" s="1"/>
  <c r="AL96" i="4"/>
  <c r="Z96" i="4" s="1"/>
  <c r="AG96" i="4" s="1"/>
  <c r="AL95" i="4"/>
  <c r="Z95" i="4" s="1"/>
  <c r="AR30" i="4"/>
  <c r="AL67" i="4"/>
  <c r="Z67" i="4" s="1"/>
  <c r="AR31" i="4"/>
  <c r="AL32" i="4"/>
  <c r="Z32" i="4" s="1"/>
  <c r="AL31" i="4"/>
  <c r="Z31" i="4" s="1"/>
  <c r="AL42" i="4"/>
  <c r="Z42" i="4" s="1"/>
  <c r="AC42" i="4" s="1"/>
  <c r="AL15" i="4"/>
  <c r="Z15" i="4" s="1"/>
  <c r="AH15" i="4" s="1"/>
  <c r="AM15" i="4" s="1"/>
  <c r="AL41" i="4"/>
  <c r="Z41" i="4" s="1"/>
  <c r="AL23" i="4"/>
  <c r="Z23" i="4" s="1"/>
  <c r="AL21" i="4"/>
  <c r="Z21" i="4" s="1"/>
  <c r="B17" i="6" s="1"/>
  <c r="B110" i="9" s="1"/>
  <c r="AL24" i="4"/>
  <c r="Z24" i="4" s="1"/>
  <c r="AL22" i="4"/>
  <c r="Z22" i="4" s="1"/>
  <c r="E13" i="6" s="1"/>
  <c r="AL39" i="4"/>
  <c r="Z39" i="4" s="1"/>
  <c r="AL40" i="4"/>
  <c r="Z40" i="4" s="1"/>
  <c r="AL105" i="4"/>
  <c r="Z105" i="4" s="1"/>
  <c r="AL104" i="4"/>
  <c r="Z104" i="4" s="1"/>
  <c r="AL103" i="4"/>
  <c r="Z103" i="4" s="1"/>
  <c r="K13" i="6" s="1"/>
  <c r="AL102" i="4"/>
  <c r="Z102" i="4" s="1"/>
  <c r="B33" i="6" s="1"/>
  <c r="B114" i="9" s="1"/>
  <c r="J116" i="9" l="1"/>
  <c r="J114" i="9"/>
  <c r="J110" i="9"/>
  <c r="AI9" i="5"/>
  <c r="E109" i="9"/>
  <c r="AI35" i="5"/>
  <c r="E122" i="9"/>
  <c r="AI25" i="5"/>
  <c r="E117" i="9"/>
  <c r="AD6" i="4"/>
  <c r="AF6" i="4"/>
  <c r="AI18" i="5"/>
  <c r="AI10" i="5"/>
  <c r="AI22" i="5"/>
  <c r="AG6" i="4"/>
  <c r="AH6" i="4"/>
  <c r="AM6" i="4" s="1"/>
  <c r="AE6" i="4"/>
  <c r="AC6" i="4"/>
  <c r="AG4" i="4"/>
  <c r="B5" i="6"/>
  <c r="B107" i="9" s="1"/>
  <c r="AP2" i="2"/>
  <c r="CV2" i="4" s="1"/>
  <c r="AE76" i="4"/>
  <c r="E25" i="6"/>
  <c r="AP13" i="2"/>
  <c r="CV13" i="4" s="1"/>
  <c r="AH13" i="4"/>
  <c r="AM13" i="4" s="1"/>
  <c r="E5" i="6"/>
  <c r="AE40" i="4"/>
  <c r="B25" i="6"/>
  <c r="B112" i="9" s="1"/>
  <c r="AG95" i="4"/>
  <c r="AW12" i="2" s="1"/>
  <c r="AD12" i="4"/>
  <c r="H21" i="6"/>
  <c r="AH93" i="4"/>
  <c r="AM93" i="4" s="1"/>
  <c r="H29" i="6"/>
  <c r="AE85" i="4"/>
  <c r="K17" i="6"/>
  <c r="AD32" i="4"/>
  <c r="AT5" i="2" s="1"/>
  <c r="AE48" i="4"/>
  <c r="B13" i="6"/>
  <c r="B109" i="9" s="1"/>
  <c r="AD3" i="4"/>
  <c r="B29" i="6"/>
  <c r="B113" i="9" s="1"/>
  <c r="AF67" i="4"/>
  <c r="K25" i="6"/>
  <c r="AH39" i="4"/>
  <c r="AM39" i="4" s="1"/>
  <c r="B9" i="6"/>
  <c r="B108" i="9" s="1"/>
  <c r="AP6" i="2"/>
  <c r="CV6" i="4" s="1"/>
  <c r="AC30" i="4"/>
  <c r="H5" i="6"/>
  <c r="AD50" i="4"/>
  <c r="AT7" i="2" s="1"/>
  <c r="AG94" i="4"/>
  <c r="H13" i="6"/>
  <c r="B117" i="9" s="1"/>
  <c r="AE68" i="4"/>
  <c r="AU9" i="2" s="1"/>
  <c r="AH75" i="4"/>
  <c r="AM75" i="4" s="1"/>
  <c r="B21" i="6"/>
  <c r="B111" i="9" s="1"/>
  <c r="AF84" i="4"/>
  <c r="H25" i="6"/>
  <c r="B120" i="9" s="1"/>
  <c r="AD31" i="4"/>
  <c r="H33" i="6"/>
  <c r="B122" i="9" s="1"/>
  <c r="AD66" i="4"/>
  <c r="H17" i="6"/>
  <c r="B118" i="9" s="1"/>
  <c r="AF49" i="4"/>
  <c r="E17" i="6"/>
  <c r="B19" i="6" s="1"/>
  <c r="P21" i="6" s="1"/>
  <c r="B125" i="9" s="1"/>
  <c r="AC84" i="4"/>
  <c r="AH84" i="4"/>
  <c r="AM84" i="4" s="1"/>
  <c r="AB84" i="4"/>
  <c r="AE50" i="4"/>
  <c r="AU7" i="2" s="1"/>
  <c r="AF50" i="4"/>
  <c r="AV7" i="2" s="1"/>
  <c r="AC50" i="4"/>
  <c r="AS7" i="2" s="1"/>
  <c r="AP7" i="2"/>
  <c r="CV7" i="4" s="1"/>
  <c r="AG84" i="4"/>
  <c r="AE84" i="4"/>
  <c r="AF5" i="4"/>
  <c r="AV2" i="2" s="1"/>
  <c r="AE14" i="4"/>
  <c r="AU3" i="2" s="1"/>
  <c r="AB14" i="4"/>
  <c r="AR3" i="2" s="1"/>
  <c r="AG14" i="4"/>
  <c r="AW3" i="2" s="1"/>
  <c r="AF14" i="4"/>
  <c r="AV3" i="2" s="1"/>
  <c r="AD14" i="4"/>
  <c r="AT3" i="2" s="1"/>
  <c r="AG5" i="4"/>
  <c r="AW2" i="2" s="1"/>
  <c r="AC5" i="4"/>
  <c r="AS2" i="2" s="1"/>
  <c r="AD5" i="4"/>
  <c r="AT2" i="2" s="1"/>
  <c r="AP3" i="2"/>
  <c r="CV3" i="4" s="1"/>
  <c r="AD84" i="4"/>
  <c r="AH50" i="4"/>
  <c r="AM50" i="4" s="1"/>
  <c r="AP11" i="2"/>
  <c r="CV11" i="4" s="1"/>
  <c r="AH14" i="4"/>
  <c r="AM14" i="4" s="1"/>
  <c r="AB50" i="4"/>
  <c r="AR7" i="2" s="1"/>
  <c r="AG50" i="4"/>
  <c r="AW7" i="2" s="1"/>
  <c r="AH76" i="4"/>
  <c r="AM76" i="4" s="1"/>
  <c r="AB76" i="4"/>
  <c r="AF76" i="4"/>
  <c r="AF86" i="4"/>
  <c r="AV11" i="2" s="1"/>
  <c r="AG76" i="4"/>
  <c r="AD76" i="4"/>
  <c r="AB87" i="4"/>
  <c r="AD87" i="4"/>
  <c r="AC76" i="4"/>
  <c r="AH5" i="4"/>
  <c r="AM5" i="4" s="1"/>
  <c r="AE5" i="4"/>
  <c r="AU2" i="2" s="1"/>
  <c r="AH85" i="4"/>
  <c r="AM85" i="4" s="1"/>
  <c r="AF85" i="4"/>
  <c r="AB85" i="4"/>
  <c r="AG85" i="4"/>
  <c r="AC85" i="4"/>
  <c r="AD85" i="4"/>
  <c r="AB5" i="4"/>
  <c r="AR2" i="2" s="1"/>
  <c r="AG86" i="4"/>
  <c r="AW11" i="2" s="1"/>
  <c r="AD86" i="4"/>
  <c r="AT11" i="2" s="1"/>
  <c r="AF93" i="4"/>
  <c r="AG93" i="4"/>
  <c r="AD93" i="4"/>
  <c r="AE93" i="4"/>
  <c r="AC86" i="4"/>
  <c r="AS11" i="2" s="1"/>
  <c r="AB86" i="4"/>
  <c r="AR11" i="2" s="1"/>
  <c r="AB93" i="4"/>
  <c r="AH86" i="4"/>
  <c r="AM86" i="4" s="1"/>
  <c r="AH87" i="4"/>
  <c r="AM87" i="4" s="1"/>
  <c r="AC87" i="4"/>
  <c r="AC93" i="4"/>
  <c r="AE30" i="4"/>
  <c r="AG78" i="4"/>
  <c r="AB78" i="4"/>
  <c r="AD78" i="4"/>
  <c r="AG87" i="4"/>
  <c r="AF87" i="4"/>
  <c r="AH3" i="4"/>
  <c r="AM3" i="4" s="1"/>
  <c r="AE42" i="4"/>
  <c r="AP10" i="2"/>
  <c r="CV10" i="4" s="1"/>
  <c r="AG3" i="4"/>
  <c r="AF3" i="4"/>
  <c r="AB3" i="4"/>
  <c r="AE3" i="4"/>
  <c r="AC3" i="4"/>
  <c r="AD69" i="4"/>
  <c r="AH77" i="4"/>
  <c r="AM77" i="4" s="1"/>
  <c r="AE69" i="4"/>
  <c r="AB49" i="4"/>
  <c r="AD13" i="4"/>
  <c r="AP9" i="2"/>
  <c r="CV9" i="4" s="1"/>
  <c r="AE49" i="4"/>
  <c r="AH49" i="4"/>
  <c r="AM49" i="4" s="1"/>
  <c r="AG49" i="4"/>
  <c r="AB77" i="4"/>
  <c r="AR10" i="2" s="1"/>
  <c r="AH32" i="4"/>
  <c r="AM32" i="4" s="1"/>
  <c r="AC48" i="4"/>
  <c r="AE66" i="4"/>
  <c r="AB66" i="4"/>
  <c r="AE32" i="4"/>
  <c r="AU5" i="2" s="1"/>
  <c r="AF12" i="4"/>
  <c r="AH12" i="4"/>
  <c r="AM12" i="4" s="1"/>
  <c r="AG12" i="4"/>
  <c r="AC96" i="4"/>
  <c r="AE31" i="4"/>
  <c r="AB12" i="4"/>
  <c r="AB13" i="4"/>
  <c r="AC69" i="4"/>
  <c r="AD96" i="4"/>
  <c r="AG48" i="4"/>
  <c r="AC66" i="4"/>
  <c r="AH96" i="4"/>
  <c r="AM96" i="4" s="1"/>
  <c r="AC13" i="4"/>
  <c r="AG69" i="4"/>
  <c r="AD49" i="4"/>
  <c r="AE77" i="4"/>
  <c r="AU10" i="2" s="1"/>
  <c r="AD42" i="4"/>
  <c r="AB69" i="4"/>
  <c r="AC49" i="4"/>
  <c r="AF78" i="4"/>
  <c r="AP5" i="2"/>
  <c r="CV5" i="4" s="1"/>
  <c r="AE12" i="4"/>
  <c r="AE4" i="4"/>
  <c r="AB30" i="4"/>
  <c r="AF13" i="4"/>
  <c r="AF68" i="4"/>
  <c r="AV9" i="2" s="1"/>
  <c r="AH48" i="4"/>
  <c r="AM48" i="4" s="1"/>
  <c r="AG30" i="4"/>
  <c r="AH67" i="4"/>
  <c r="AM67" i="4" s="1"/>
  <c r="AE13" i="4"/>
  <c r="AB4" i="4"/>
  <c r="AG13" i="4"/>
  <c r="AD4" i="4"/>
  <c r="AH30" i="4"/>
  <c r="AM30" i="4" s="1"/>
  <c r="AD68" i="4"/>
  <c r="AT9" i="2" s="1"/>
  <c r="AC51" i="4"/>
  <c r="AF48" i="4"/>
  <c r="AD30" i="4"/>
  <c r="AG68" i="4"/>
  <c r="AW9" i="2" s="1"/>
  <c r="AF95" i="4"/>
  <c r="AV12" i="2" s="1"/>
  <c r="AD51" i="4"/>
  <c r="AD48" i="4"/>
  <c r="AC78" i="4"/>
  <c r="AC4" i="4"/>
  <c r="AF30" i="4"/>
  <c r="AH68" i="4"/>
  <c r="AM68" i="4" s="1"/>
  <c r="AP12" i="2"/>
  <c r="CV12" i="4" s="1"/>
  <c r="AF94" i="4"/>
  <c r="AF51" i="4"/>
  <c r="AB48" i="4"/>
  <c r="AE78" i="4"/>
  <c r="AG32" i="4"/>
  <c r="AW5" i="2" s="1"/>
  <c r="AF69" i="4"/>
  <c r="AF66" i="4"/>
  <c r="AE75" i="4"/>
  <c r="AH4" i="4"/>
  <c r="AM4" i="4" s="1"/>
  <c r="AH66" i="4"/>
  <c r="AM66" i="4" s="1"/>
  <c r="AF4" i="4"/>
  <c r="AB31" i="4"/>
  <c r="AG31" i="4"/>
  <c r="AC12" i="4"/>
  <c r="AC68" i="4"/>
  <c r="AS9" i="2" s="1"/>
  <c r="AC95" i="4"/>
  <c r="AS12" i="2" s="1"/>
  <c r="AD95" i="4"/>
  <c r="AT12" i="2" s="1"/>
  <c r="AH95" i="4"/>
  <c r="AM95" i="4" s="1"/>
  <c r="AC67" i="4"/>
  <c r="AB94" i="4"/>
  <c r="AC75" i="4"/>
  <c r="AC32" i="4"/>
  <c r="AS5" i="2" s="1"/>
  <c r="AG67" i="4"/>
  <c r="AG66" i="4"/>
  <c r="AF96" i="4"/>
  <c r="AD94" i="4"/>
  <c r="AH51" i="4"/>
  <c r="AM51" i="4" s="1"/>
  <c r="AG77" i="4"/>
  <c r="AW10" i="2" s="1"/>
  <c r="AF75" i="4"/>
  <c r="AB67" i="4"/>
  <c r="AC94" i="4"/>
  <c r="AD75" i="4"/>
  <c r="AB51" i="4"/>
  <c r="AB75" i="4"/>
  <c r="AG42" i="4"/>
  <c r="AF32" i="4"/>
  <c r="AV5" i="2" s="1"/>
  <c r="AH31" i="4"/>
  <c r="AM31" i="4" s="1"/>
  <c r="AF15" i="4"/>
  <c r="AD67" i="4"/>
  <c r="AH42" i="4"/>
  <c r="AM42" i="4" s="1"/>
  <c r="AD15" i="4"/>
  <c r="AC77" i="4"/>
  <c r="AS10" i="2" s="1"/>
  <c r="AG75" i="4"/>
  <c r="AB42" i="4"/>
  <c r="AB32" i="4"/>
  <c r="AR5" i="2" s="1"/>
  <c r="AE67" i="4"/>
  <c r="AE41" i="4"/>
  <c r="AU6" i="2" s="1"/>
  <c r="AB68" i="4"/>
  <c r="AR9" i="2" s="1"/>
  <c r="AE95" i="4"/>
  <c r="AU12" i="2" s="1"/>
  <c r="AD77" i="4"/>
  <c r="AT10" i="2" s="1"/>
  <c r="AF42" i="4"/>
  <c r="AC31" i="4"/>
  <c r="AB95" i="4"/>
  <c r="AR12" i="2" s="1"/>
  <c r="AE96" i="4"/>
  <c r="AH94" i="4"/>
  <c r="AM94" i="4" s="1"/>
  <c r="AE51" i="4"/>
  <c r="AC15" i="4"/>
  <c r="AH58" i="4"/>
  <c r="AM58" i="4" s="1"/>
  <c r="AG58" i="4"/>
  <c r="AD58" i="4"/>
  <c r="AF58" i="4"/>
  <c r="AE58" i="4"/>
  <c r="AC58" i="4"/>
  <c r="AB58" i="4"/>
  <c r="AP8" i="2"/>
  <c r="CV8" i="4" s="1"/>
  <c r="AG59" i="4"/>
  <c r="AW8" i="2" s="1"/>
  <c r="AE59" i="4"/>
  <c r="AU8" i="2" s="1"/>
  <c r="AB59" i="4"/>
  <c r="AF59" i="4"/>
  <c r="AV8" i="2" s="1"/>
  <c r="AD59" i="4"/>
  <c r="AT8" i="2" s="1"/>
  <c r="AH59" i="4"/>
  <c r="AM59" i="4" s="1"/>
  <c r="AC59" i="4"/>
  <c r="AS8" i="2" s="1"/>
  <c r="AH57" i="4"/>
  <c r="AM57" i="4" s="1"/>
  <c r="AD57" i="4"/>
  <c r="AB57" i="4"/>
  <c r="AF57" i="4"/>
  <c r="AC57" i="4"/>
  <c r="AG57" i="4"/>
  <c r="AE57" i="4"/>
  <c r="AG15" i="4"/>
  <c r="AH60" i="4"/>
  <c r="AM60" i="4" s="1"/>
  <c r="AB60" i="4"/>
  <c r="AC60" i="4"/>
  <c r="AF60" i="4"/>
  <c r="AD60" i="4"/>
  <c r="AE60" i="4"/>
  <c r="AG60" i="4"/>
  <c r="AD41" i="4"/>
  <c r="AT6" i="2" s="1"/>
  <c r="AB33" i="4"/>
  <c r="AE15" i="4"/>
  <c r="AD33" i="4"/>
  <c r="AB15" i="4"/>
  <c r="AC33" i="4"/>
  <c r="AE33" i="4"/>
  <c r="AH33" i="4"/>
  <c r="AM33" i="4" s="1"/>
  <c r="AG33" i="4"/>
  <c r="AC41" i="4"/>
  <c r="AS6" i="2" s="1"/>
  <c r="AB96" i="4"/>
  <c r="AE94" i="4"/>
  <c r="AF31" i="4"/>
  <c r="AF40" i="4"/>
  <c r="AD40" i="4"/>
  <c r="AB41" i="4"/>
  <c r="AR6" i="2" s="1"/>
  <c r="AH40" i="4"/>
  <c r="AM40" i="4" s="1"/>
  <c r="AF41" i="4"/>
  <c r="AV6" i="2" s="1"/>
  <c r="AG41" i="4"/>
  <c r="AW6" i="2" s="1"/>
  <c r="AB39" i="4"/>
  <c r="AC39" i="4"/>
  <c r="AF39" i="4"/>
  <c r="AH41" i="4"/>
  <c r="AM41" i="4" s="1"/>
  <c r="AC22" i="4"/>
  <c r="AF22" i="4"/>
  <c r="AG22" i="4"/>
  <c r="AD22" i="4"/>
  <c r="AE22" i="4"/>
  <c r="AH22" i="4"/>
  <c r="AM22" i="4" s="1"/>
  <c r="AB22" i="4"/>
  <c r="AB40" i="4"/>
  <c r="AD39" i="4"/>
  <c r="AF24" i="4"/>
  <c r="AB24" i="4"/>
  <c r="AE24" i="4"/>
  <c r="AD24" i="4"/>
  <c r="AH24" i="4"/>
  <c r="AM24" i="4" s="1"/>
  <c r="AG24" i="4"/>
  <c r="AC24" i="4"/>
  <c r="AG40" i="4"/>
  <c r="AE39" i="4"/>
  <c r="AH21" i="4"/>
  <c r="AM21" i="4" s="1"/>
  <c r="AD21" i="4"/>
  <c r="AC21" i="4"/>
  <c r="AG21" i="4"/>
  <c r="AB21" i="4"/>
  <c r="AF21" i="4"/>
  <c r="AE21" i="4"/>
  <c r="AG39" i="4"/>
  <c r="AP4" i="2"/>
  <c r="CV4" i="4" s="1"/>
  <c r="AE23" i="4"/>
  <c r="AU4" i="2" s="1"/>
  <c r="AD23" i="4"/>
  <c r="AT4" i="2" s="1"/>
  <c r="AF23" i="4"/>
  <c r="AV4" i="2" s="1"/>
  <c r="AB23" i="4"/>
  <c r="AH23" i="4"/>
  <c r="AM23" i="4" s="1"/>
  <c r="AG23" i="4"/>
  <c r="AW4" i="2" s="1"/>
  <c r="AC23" i="4"/>
  <c r="AS4" i="2" s="1"/>
  <c r="AC40" i="4"/>
  <c r="AD102" i="4"/>
  <c r="AH102" i="4"/>
  <c r="AM102" i="4" s="1"/>
  <c r="AC102" i="4"/>
  <c r="AF102" i="4"/>
  <c r="AB102" i="4"/>
  <c r="AE102" i="4"/>
  <c r="AG102" i="4"/>
  <c r="AE103" i="4"/>
  <c r="AC103" i="4"/>
  <c r="AD103" i="4"/>
  <c r="AF103" i="4"/>
  <c r="AH103" i="4"/>
  <c r="AM103" i="4" s="1"/>
  <c r="AG103" i="4"/>
  <c r="AB103" i="4"/>
  <c r="AE104" i="4"/>
  <c r="AU13" i="2" s="1"/>
  <c r="AG104" i="4"/>
  <c r="AW13" i="2" s="1"/>
  <c r="AH104" i="4"/>
  <c r="AM104" i="4" s="1"/>
  <c r="AD104" i="4"/>
  <c r="AT13" i="2" s="1"/>
  <c r="AC104" i="4"/>
  <c r="AS13" i="2" s="1"/>
  <c r="AF104" i="4"/>
  <c r="AV13" i="2" s="1"/>
  <c r="AB104" i="4"/>
  <c r="AR13" i="2" s="1"/>
  <c r="AF105" i="4"/>
  <c r="AG105" i="4"/>
  <c r="AB105" i="4"/>
  <c r="AC105" i="4"/>
  <c r="AH105" i="4"/>
  <c r="AM105" i="4" s="1"/>
  <c r="AE105" i="4"/>
  <c r="AD105" i="4"/>
  <c r="J107" i="9" l="1"/>
  <c r="J125" i="9"/>
  <c r="I122" i="9"/>
  <c r="K122" i="9"/>
  <c r="L122" i="9"/>
  <c r="J122" i="9"/>
  <c r="I120" i="9"/>
  <c r="J120" i="9"/>
  <c r="J118" i="9"/>
  <c r="I117" i="9"/>
  <c r="K117" i="9"/>
  <c r="L117" i="9"/>
  <c r="J117" i="9"/>
  <c r="J113" i="9"/>
  <c r="J112" i="9"/>
  <c r="J111" i="9"/>
  <c r="I109" i="9"/>
  <c r="J109" i="9"/>
  <c r="L109" i="9"/>
  <c r="K109" i="9"/>
  <c r="J108" i="9"/>
  <c r="AA6" i="4"/>
  <c r="AI27" i="5"/>
  <c r="E118" i="9"/>
  <c r="I118" i="9" s="1"/>
  <c r="AI32" i="5"/>
  <c r="B121" i="9"/>
  <c r="AI20" i="5"/>
  <c r="B115" i="9"/>
  <c r="AI28" i="5"/>
  <c r="B119" i="9"/>
  <c r="AI11" i="5"/>
  <c r="E110" i="9"/>
  <c r="I110" i="9" s="1"/>
  <c r="AI15" i="5"/>
  <c r="E112" i="9"/>
  <c r="I112" i="9" s="1"/>
  <c r="AI31" i="5"/>
  <c r="E120" i="9"/>
  <c r="AI5" i="5"/>
  <c r="E107" i="9"/>
  <c r="I107" i="9" s="1"/>
  <c r="AI12" i="5"/>
  <c r="H19" i="6"/>
  <c r="Y5" i="6" s="1"/>
  <c r="AI26" i="5"/>
  <c r="H35" i="6"/>
  <c r="Y21" i="6" s="1"/>
  <c r="AI34" i="5"/>
  <c r="H27" i="6"/>
  <c r="V21" i="6" s="1"/>
  <c r="B129" i="9" s="1"/>
  <c r="AI30" i="5"/>
  <c r="H15" i="6"/>
  <c r="V5" i="6" s="1"/>
  <c r="B127" i="9" s="1"/>
  <c r="AI24" i="5"/>
  <c r="AI6" i="5"/>
  <c r="AI16" i="5"/>
  <c r="B15" i="6"/>
  <c r="S13" i="6" s="1"/>
  <c r="AI8" i="5"/>
  <c r="B27" i="6"/>
  <c r="S21" i="6" s="1"/>
  <c r="AI14" i="5"/>
  <c r="B7" i="6"/>
  <c r="P13" i="6" s="1"/>
  <c r="B124" i="9" s="1"/>
  <c r="AI4" i="5"/>
  <c r="AH8" i="5"/>
  <c r="AA84" i="4"/>
  <c r="AA14" i="4"/>
  <c r="AQ3" i="2" s="1"/>
  <c r="AX3" i="2"/>
  <c r="AY3" i="2" s="1"/>
  <c r="BA3" i="2" s="1"/>
  <c r="AA50" i="4"/>
  <c r="AQ7" i="2" s="1"/>
  <c r="AX7" i="2"/>
  <c r="AY7" i="2" s="1"/>
  <c r="BA7" i="2" s="1"/>
  <c r="AX2" i="2"/>
  <c r="AY2" i="2" s="1"/>
  <c r="BA2" i="2" s="1"/>
  <c r="AA76" i="4"/>
  <c r="AA5" i="4"/>
  <c r="AQ2" i="2" s="1"/>
  <c r="AA87" i="4"/>
  <c r="AA85" i="4"/>
  <c r="AX11" i="2"/>
  <c r="AY11" i="2" s="1"/>
  <c r="BA11" i="2" s="1"/>
  <c r="AA86" i="4"/>
  <c r="AQ11" i="2" s="1"/>
  <c r="AA93" i="4"/>
  <c r="AA3" i="4"/>
  <c r="AA66" i="4"/>
  <c r="AA78" i="4"/>
  <c r="AA31" i="4"/>
  <c r="AA30" i="4"/>
  <c r="AA13" i="4"/>
  <c r="AA49" i="4"/>
  <c r="AA4" i="4"/>
  <c r="AA48" i="4"/>
  <c r="AA12" i="4"/>
  <c r="AA42" i="4"/>
  <c r="AA94" i="4"/>
  <c r="AA69" i="4"/>
  <c r="AX6" i="2"/>
  <c r="AY6" i="2" s="1"/>
  <c r="BA6" i="2" s="1"/>
  <c r="AA77" i="4"/>
  <c r="AQ10" i="2" s="1"/>
  <c r="AA95" i="4"/>
  <c r="AQ12" i="2" s="1"/>
  <c r="AX10" i="2"/>
  <c r="AY10" i="2" s="1"/>
  <c r="BA10" i="2" s="1"/>
  <c r="AA96" i="4"/>
  <c r="AA67" i="4"/>
  <c r="AA32" i="4"/>
  <c r="AA51" i="4"/>
  <c r="AX5" i="2"/>
  <c r="AY5" i="2" s="1"/>
  <c r="BA5" i="2" s="1"/>
  <c r="AA75" i="4"/>
  <c r="AA33" i="4"/>
  <c r="AX9" i="2"/>
  <c r="AY9" i="2" s="1"/>
  <c r="BA9" i="2" s="1"/>
  <c r="AX12" i="2"/>
  <c r="AY12" i="2" s="1"/>
  <c r="BA12" i="2" s="1"/>
  <c r="AA68" i="4"/>
  <c r="AQ9" i="2" s="1"/>
  <c r="AA15" i="4"/>
  <c r="AA58" i="4"/>
  <c r="AR8" i="2"/>
  <c r="AX8" i="2" s="1"/>
  <c r="AY8" i="2" s="1"/>
  <c r="BA8" i="2" s="1"/>
  <c r="AA59" i="4"/>
  <c r="AQ8" i="2" s="1"/>
  <c r="AA57" i="4"/>
  <c r="AA60" i="4"/>
  <c r="AA39" i="4"/>
  <c r="AA41" i="4"/>
  <c r="AQ6" i="2" s="1"/>
  <c r="AA40" i="4"/>
  <c r="AA22" i="4"/>
  <c r="AR4" i="2"/>
  <c r="AX4" i="2" s="1"/>
  <c r="AY4" i="2" s="1"/>
  <c r="BA4" i="2" s="1"/>
  <c r="AA23" i="4"/>
  <c r="AQ4" i="2" s="1"/>
  <c r="AA21" i="4"/>
  <c r="AA24" i="4"/>
  <c r="AX13" i="2"/>
  <c r="AY13" i="2" s="1"/>
  <c r="BA13" i="2" s="1"/>
  <c r="AA102" i="4"/>
  <c r="AA104" i="4"/>
  <c r="AQ13" i="2" s="1"/>
  <c r="AA103" i="4"/>
  <c r="AA105" i="4"/>
  <c r="J115" i="9" l="1"/>
  <c r="K107" i="9"/>
  <c r="L107" i="9"/>
  <c r="J129" i="9"/>
  <c r="J127" i="9"/>
  <c r="J124" i="9"/>
  <c r="I121" i="9"/>
  <c r="J121" i="9"/>
  <c r="L120" i="9"/>
  <c r="K120" i="9"/>
  <c r="I119" i="9"/>
  <c r="J119" i="9"/>
  <c r="L118" i="9"/>
  <c r="K118" i="9"/>
  <c r="L112" i="9"/>
  <c r="K112" i="9"/>
  <c r="L110" i="9"/>
  <c r="K110" i="9"/>
  <c r="S22" i="7"/>
  <c r="G5" i="9" s="1"/>
  <c r="AH17" i="5"/>
  <c r="E129" i="9"/>
  <c r="I129" i="9" s="1"/>
  <c r="AH9" i="5"/>
  <c r="E125" i="9"/>
  <c r="I125" i="9" s="1"/>
  <c r="AH13" i="5"/>
  <c r="E127" i="9"/>
  <c r="L127" i="9" s="1"/>
  <c r="AH7" i="5"/>
  <c r="E124" i="9"/>
  <c r="L124" i="9" s="1"/>
  <c r="P23" i="6"/>
  <c r="H5" i="7" s="1"/>
  <c r="P15" i="6"/>
  <c r="E5" i="7" s="1"/>
  <c r="AG5" i="5" s="1"/>
  <c r="AH6" i="5"/>
  <c r="V7" i="6"/>
  <c r="B9" i="7" s="1"/>
  <c r="AH12" i="5"/>
  <c r="V23" i="6"/>
  <c r="H9" i="7" s="1"/>
  <c r="AH16" i="5"/>
  <c r="AM88" i="4"/>
  <c r="AM7" i="4"/>
  <c r="AM16" i="4"/>
  <c r="AM52" i="4"/>
  <c r="AM97" i="4"/>
  <c r="AM34" i="4"/>
  <c r="AR35" i="4" s="1"/>
  <c r="AQ5" i="2"/>
  <c r="AQ15" i="2" s="1"/>
  <c r="AM79" i="4"/>
  <c r="AM70" i="4"/>
  <c r="CS2" i="4"/>
  <c r="CS4" i="4" s="1"/>
  <c r="AM61" i="4"/>
  <c r="AM43" i="4"/>
  <c r="BI5" i="2"/>
  <c r="AM25" i="4"/>
  <c r="BI3" i="2"/>
  <c r="BI4" i="2"/>
  <c r="BI7" i="2"/>
  <c r="BI8" i="2"/>
  <c r="BI2" i="2"/>
  <c r="BI9" i="2"/>
  <c r="BI6" i="2"/>
  <c r="AM106" i="4"/>
  <c r="L129" i="9" l="1"/>
  <c r="K129" i="9"/>
  <c r="I127" i="9"/>
  <c r="K127" i="9"/>
  <c r="L125" i="9"/>
  <c r="K125" i="9"/>
  <c r="I124" i="9"/>
  <c r="K124" i="9"/>
  <c r="AG8" i="5"/>
  <c r="AG10" i="5"/>
  <c r="AG6" i="5"/>
  <c r="AT41" i="4"/>
  <c r="AT42" i="4"/>
  <c r="AT40" i="4"/>
  <c r="AT39" i="4"/>
  <c r="AR71" i="4"/>
  <c r="AT68" i="4"/>
  <c r="AT67" i="4"/>
  <c r="AT69" i="4"/>
  <c r="AT66" i="4"/>
  <c r="AT76" i="4"/>
  <c r="AT75" i="4"/>
  <c r="AT78" i="4"/>
  <c r="AT77" i="4"/>
  <c r="AT105" i="4"/>
  <c r="AT104" i="4"/>
  <c r="AT102" i="4"/>
  <c r="AT103" i="4"/>
  <c r="AT94" i="4"/>
  <c r="AT95" i="4"/>
  <c r="AT93" i="4"/>
  <c r="AT96" i="4"/>
  <c r="AT49" i="4"/>
  <c r="AT50" i="4"/>
  <c r="AT51" i="4"/>
  <c r="AT48" i="4"/>
  <c r="AT58" i="4"/>
  <c r="AT57" i="4"/>
  <c r="AT60" i="4"/>
  <c r="AT59" i="4"/>
  <c r="AT12" i="4"/>
  <c r="AT13" i="4"/>
  <c r="AT15" i="4"/>
  <c r="AT14" i="4"/>
  <c r="AT23" i="4"/>
  <c r="AT24" i="4"/>
  <c r="AT22" i="4"/>
  <c r="AT21" i="4"/>
  <c r="AT6" i="4"/>
  <c r="AT4" i="4"/>
  <c r="AT3" i="4"/>
  <c r="AT5" i="4"/>
  <c r="AT87" i="4"/>
  <c r="AT85" i="4"/>
  <c r="AT86" i="4"/>
  <c r="AT84" i="4"/>
  <c r="AR107" i="4"/>
  <c r="AR98" i="4"/>
  <c r="AR89" i="4"/>
  <c r="AR17" i="4"/>
  <c r="AR8" i="4"/>
  <c r="AT30" i="4"/>
  <c r="AT31" i="4"/>
  <c r="AR80" i="4"/>
  <c r="AR53" i="4"/>
  <c r="AT32" i="4"/>
  <c r="AT33" i="4"/>
  <c r="BK4" i="2"/>
  <c r="BL4" i="2" s="1"/>
  <c r="AA4" i="2" s="1"/>
  <c r="BJ7" i="2"/>
  <c r="BJ6" i="2"/>
  <c r="BK8" i="2"/>
  <c r="BL8" i="2" s="1"/>
  <c r="AA8" i="2" s="1"/>
  <c r="BK2" i="2"/>
  <c r="BL2" i="2" s="1"/>
  <c r="AA2" i="2" s="1"/>
  <c r="BK9" i="2"/>
  <c r="BL9" i="2" s="1"/>
  <c r="AA9" i="2" s="1"/>
  <c r="BK5" i="2"/>
  <c r="BL5" i="2" s="1"/>
  <c r="AA5" i="2" s="1"/>
  <c r="AR62" i="4"/>
  <c r="AR44" i="4"/>
  <c r="BJ3" i="2"/>
  <c r="BJ5" i="2"/>
  <c r="BJ4" i="2"/>
  <c r="AR26" i="4"/>
  <c r="BK3" i="2"/>
  <c r="BL3" i="2" s="1"/>
  <c r="AA3" i="2" s="1"/>
  <c r="BK7" i="2"/>
  <c r="BL7" i="2" s="1"/>
  <c r="AA7" i="2" s="1"/>
  <c r="BK6" i="2"/>
  <c r="BL6" i="2" s="1"/>
  <c r="AA6" i="2" s="1"/>
  <c r="BJ9" i="2"/>
  <c r="BJ8" i="2"/>
  <c r="BJ2" i="2"/>
  <c r="BC3" i="2"/>
  <c r="BD3" i="2" s="1"/>
  <c r="BE3" i="2" s="1"/>
  <c r="BC2" i="2"/>
  <c r="BD2" i="2" s="1"/>
  <c r="BC6" i="2"/>
  <c r="BD6" i="2" s="1"/>
  <c r="BE6" i="2" s="1"/>
  <c r="BC7" i="2"/>
  <c r="BD7" i="2" s="1"/>
  <c r="BE7" i="2" s="1"/>
  <c r="BC8" i="2"/>
  <c r="BD8" i="2" s="1"/>
  <c r="BE8" i="2" s="1"/>
  <c r="BC9" i="2"/>
  <c r="BD9" i="2" s="1"/>
  <c r="BE9" i="2" s="1"/>
  <c r="BC10" i="2"/>
  <c r="BD10" i="2" s="1"/>
  <c r="BE10" i="2" s="1"/>
  <c r="BC13" i="2"/>
  <c r="BD13" i="2" s="1"/>
  <c r="BE13" i="2" s="1"/>
  <c r="BC4" i="2"/>
  <c r="BD4" i="2" s="1"/>
  <c r="BE4" i="2" s="1"/>
  <c r="BC12" i="2"/>
  <c r="BD12" i="2" s="1"/>
  <c r="BE12" i="2" s="1"/>
  <c r="BC5" i="2"/>
  <c r="BD5" i="2" s="1"/>
  <c r="BE5" i="2" s="1"/>
  <c r="BC11" i="2"/>
  <c r="BD11" i="2" s="1"/>
  <c r="BE11" i="2" s="1"/>
  <c r="Y325" i="2" l="1"/>
  <c r="Y283" i="2"/>
  <c r="Y300" i="2"/>
  <c r="Y458" i="2"/>
  <c r="Y367" i="2"/>
  <c r="Y103" i="2"/>
  <c r="Y414" i="2"/>
  <c r="Y241" i="2"/>
  <c r="Y442" i="2"/>
  <c r="Y4" i="2"/>
  <c r="Y169" i="2"/>
  <c r="Y38" i="2"/>
  <c r="Y195" i="2"/>
  <c r="Y227" i="2"/>
  <c r="Y216" i="2"/>
  <c r="Y267" i="2"/>
  <c r="Y304" i="2"/>
  <c r="Y324" i="2"/>
  <c r="Y457" i="2"/>
  <c r="Y7" i="2"/>
  <c r="Y453" i="2"/>
  <c r="Y43" i="2"/>
  <c r="Y165" i="2"/>
  <c r="Y88" i="2"/>
  <c r="Y235" i="2"/>
  <c r="Y12" i="2"/>
  <c r="Y340" i="2"/>
  <c r="Y48" i="2"/>
  <c r="Y337" i="2"/>
  <c r="Y454" i="2"/>
  <c r="Y120" i="2"/>
  <c r="Y488" i="2"/>
  <c r="Y266" i="2"/>
  <c r="Y377" i="2"/>
  <c r="Y302" i="2"/>
  <c r="Y263" i="2"/>
  <c r="Y413" i="2"/>
  <c r="Y149" i="2"/>
  <c r="Y299" i="2"/>
  <c r="Y426" i="2"/>
  <c r="Y191" i="2"/>
  <c r="Y40" i="2"/>
  <c r="Y145" i="2"/>
  <c r="Y198" i="2"/>
  <c r="Y335" i="2"/>
  <c r="Y82" i="2"/>
  <c r="Y2" i="2"/>
  <c r="Y250" i="2"/>
  <c r="Y366" i="2"/>
  <c r="Y219" i="2"/>
  <c r="Y74" i="2"/>
  <c r="Y449" i="2"/>
  <c r="Y174" i="2"/>
  <c r="Y273" i="2"/>
  <c r="Y110" i="2"/>
  <c r="Y379" i="2"/>
  <c r="Y156" i="2"/>
  <c r="Y460" i="2"/>
  <c r="Y146" i="2"/>
  <c r="Y115" i="2"/>
  <c r="Y15" i="2"/>
  <c r="Y46" i="2"/>
  <c r="Y139" i="2"/>
  <c r="Y144" i="2"/>
  <c r="Y188" i="2"/>
  <c r="Y247" i="2"/>
  <c r="Y51" i="2"/>
  <c r="Y385" i="2"/>
  <c r="Y154" i="2"/>
  <c r="Y349" i="2"/>
  <c r="Y94" i="2"/>
  <c r="Y327" i="2"/>
  <c r="Y184" i="2"/>
  <c r="Y338" i="2"/>
  <c r="Y482" i="2"/>
  <c r="Y331" i="2"/>
  <c r="Y175" i="2"/>
  <c r="Y5" i="2"/>
  <c r="Y416" i="2"/>
  <c r="Y116" i="2"/>
  <c r="Y319" i="2"/>
  <c r="Y41" i="2"/>
  <c r="Y452" i="2"/>
  <c r="Y152" i="2"/>
  <c r="Y466" i="2"/>
  <c r="Y77" i="2"/>
  <c r="Y388" i="2"/>
  <c r="Y200" i="2"/>
  <c r="Y108" i="2"/>
  <c r="Y408" i="2"/>
  <c r="Y370" i="2"/>
  <c r="Y483" i="2"/>
  <c r="Y113" i="2"/>
  <c r="Y256" i="2"/>
  <c r="Y269" i="2"/>
  <c r="Y305" i="2"/>
  <c r="Y201" i="2"/>
  <c r="Y69" i="2"/>
  <c r="Y384" i="2"/>
  <c r="Y183" i="2"/>
  <c r="Y228" i="2"/>
  <c r="Y168" i="2"/>
  <c r="Y100" i="2"/>
  <c r="Y447" i="2"/>
  <c r="Y18" i="2"/>
  <c r="Y199" i="2"/>
  <c r="Y54" i="2"/>
  <c r="Y343" i="2"/>
  <c r="Y230" i="2"/>
  <c r="Y309" i="2"/>
  <c r="Y253" i="2"/>
  <c r="Y126" i="2"/>
  <c r="Y397" i="2"/>
  <c r="Y13" i="2"/>
  <c r="Y81" i="2"/>
  <c r="Y282" i="2"/>
  <c r="Y177" i="2"/>
  <c r="Y485" i="2"/>
  <c r="Y21" i="2"/>
  <c r="Y341" i="2"/>
  <c r="Y383" i="2"/>
  <c r="Y202" i="2"/>
  <c r="Y8" i="2"/>
  <c r="Y455" i="2"/>
  <c r="Y352" i="2"/>
  <c r="Y44" i="2"/>
  <c r="Y403" i="2"/>
  <c r="Y24" i="2"/>
  <c r="Y136" i="2"/>
  <c r="Y478" i="2"/>
  <c r="Y80" i="2"/>
  <c r="Y262" i="2"/>
  <c r="Y16" i="2"/>
  <c r="Y109" i="2"/>
  <c r="Y33" i="2"/>
  <c r="Y212" i="2"/>
  <c r="Y373" i="2"/>
  <c r="Y344" i="2"/>
  <c r="Y490" i="2"/>
  <c r="Y468" i="2"/>
  <c r="Y11" i="2"/>
  <c r="Y441" i="2"/>
  <c r="Y163" i="2"/>
  <c r="Y119" i="2"/>
  <c r="Y99" i="2"/>
  <c r="Y259" i="2"/>
  <c r="Y155" i="2"/>
  <c r="Y285" i="2"/>
  <c r="Y380" i="2"/>
  <c r="Y10" i="2"/>
  <c r="Y233" i="2"/>
  <c r="Y369" i="2"/>
  <c r="Y469" i="2"/>
  <c r="Y203" i="2"/>
  <c r="Y150" i="2"/>
  <c r="Y464" i="2"/>
  <c r="Y58" i="2"/>
  <c r="Y294" i="2"/>
  <c r="Y207" i="2"/>
  <c r="Y124" i="2"/>
  <c r="Y333" i="2"/>
  <c r="Y261" i="2"/>
  <c r="Y465" i="2"/>
  <c r="Y386" i="2"/>
  <c r="Y303" i="2"/>
  <c r="Y171" i="2"/>
  <c r="Y336" i="2"/>
  <c r="Y127" i="2"/>
  <c r="Y148" i="2"/>
  <c r="Y225" i="2"/>
  <c r="Y481" i="2"/>
  <c r="Y166" i="2"/>
  <c r="Y245" i="2"/>
  <c r="Y395" i="2"/>
  <c r="Y450" i="2"/>
  <c r="Y451" i="2"/>
  <c r="Y66" i="2"/>
  <c r="Y97" i="2"/>
  <c r="Y125" i="2"/>
  <c r="Y193" i="2"/>
  <c r="Y493" i="2"/>
  <c r="Y224" i="2"/>
  <c r="Y264" i="2"/>
  <c r="Y218" i="2"/>
  <c r="Y64" i="2"/>
  <c r="Y462" i="2"/>
  <c r="Y95" i="2"/>
  <c r="Y313" i="2"/>
  <c r="Y376" i="2"/>
  <c r="Y475" i="2"/>
  <c r="Y298" i="2"/>
  <c r="Y463" i="2"/>
  <c r="Y27" i="2"/>
  <c r="Y317" i="2"/>
  <c r="Y406" i="2"/>
  <c r="Y429" i="2"/>
  <c r="Y117" i="2"/>
  <c r="Y326" i="2"/>
  <c r="Y353" i="2"/>
  <c r="Y210" i="2"/>
  <c r="Y281" i="2"/>
  <c r="Y248" i="2"/>
  <c r="Y134" i="2"/>
  <c r="Y173" i="2"/>
  <c r="Y356" i="2"/>
  <c r="Y240" i="2"/>
  <c r="Y131" i="2"/>
  <c r="Y246" i="2"/>
  <c r="Y392" i="2"/>
  <c r="Y363" i="2"/>
  <c r="Y170" i="2"/>
  <c r="Y405" i="2"/>
  <c r="Y63" i="2"/>
  <c r="Y361" i="2"/>
  <c r="Y428" i="2"/>
  <c r="Y359" i="2"/>
  <c r="Y162" i="2"/>
  <c r="Y307" i="2"/>
  <c r="Y112" i="2"/>
  <c r="Y351" i="2"/>
  <c r="Y255" i="2"/>
  <c r="Y346" i="2"/>
  <c r="Y133" i="2"/>
  <c r="Y229" i="2"/>
  <c r="Y489" i="2"/>
  <c r="Y217" i="2"/>
  <c r="Y104" i="2"/>
  <c r="Y214" i="2"/>
  <c r="Y409" i="2"/>
  <c r="Y290" i="2"/>
  <c r="Y232" i="2"/>
  <c r="Y396" i="2"/>
  <c r="Y479" i="2"/>
  <c r="Y157" i="2"/>
  <c r="Y311" i="2"/>
  <c r="Y424" i="2"/>
  <c r="Y17" i="2"/>
  <c r="Y280" i="2"/>
  <c r="Y56" i="2"/>
  <c r="Y25" i="2"/>
  <c r="Y291" i="2"/>
  <c r="Y480" i="2"/>
  <c r="Y70" i="2"/>
  <c r="Y73" i="2"/>
  <c r="Y265" i="2"/>
  <c r="Y347" i="2"/>
  <c r="Y76" i="2"/>
  <c r="Y53" i="2"/>
  <c r="Y411" i="2"/>
  <c r="Y297" i="2"/>
  <c r="Y111" i="2"/>
  <c r="Y434" i="2"/>
  <c r="Y62" i="2"/>
  <c r="Y477" i="2"/>
  <c r="Y32" i="2"/>
  <c r="Y419" i="2"/>
  <c r="Y49" i="2"/>
  <c r="Y47" i="2"/>
  <c r="Y364" i="2"/>
  <c r="Y14" i="2"/>
  <c r="Y271" i="2"/>
  <c r="Y89" i="2"/>
  <c r="Y22" i="2"/>
  <c r="Y279" i="2"/>
  <c r="Y60" i="2"/>
  <c r="Y470" i="2"/>
  <c r="Y98" i="2"/>
  <c r="Y254" i="2"/>
  <c r="Y68" i="2"/>
  <c r="Y330" i="2"/>
  <c r="Y355" i="2"/>
  <c r="Y308" i="2"/>
  <c r="Y412" i="2"/>
  <c r="Y239" i="2"/>
  <c r="Y274" i="2"/>
  <c r="Y159" i="2"/>
  <c r="Y178" i="2"/>
  <c r="Y20" i="2"/>
  <c r="Y417" i="2"/>
  <c r="Y312" i="2"/>
  <c r="Y78" i="2"/>
  <c r="Y31" i="2"/>
  <c r="Y34" i="2"/>
  <c r="Y372" i="2"/>
  <c r="Y57" i="2"/>
  <c r="Y204" i="2"/>
  <c r="Y268" i="2"/>
  <c r="Y423" i="2"/>
  <c r="Y50" i="2"/>
  <c r="Y389" i="2"/>
  <c r="Y19" i="2"/>
  <c r="Y242" i="2"/>
  <c r="Y270" i="2"/>
  <c r="Y85" i="2"/>
  <c r="Y471" i="2"/>
  <c r="Y128" i="2"/>
  <c r="Y467" i="2"/>
  <c r="Y130" i="2"/>
  <c r="Y320" i="2"/>
  <c r="Y378" i="2"/>
  <c r="Y205" i="2"/>
  <c r="Y459" i="2"/>
  <c r="Y401" i="2"/>
  <c r="Y135" i="2"/>
  <c r="Y249" i="2"/>
  <c r="Y430" i="2"/>
  <c r="Y316" i="2"/>
  <c r="Y141" i="2"/>
  <c r="Y402" i="2"/>
  <c r="Y415" i="2"/>
  <c r="Y93" i="2"/>
  <c r="Y86" i="2"/>
  <c r="Y425" i="2"/>
  <c r="Y55" i="2"/>
  <c r="Y278" i="2"/>
  <c r="Y237" i="2"/>
  <c r="Y190" i="2"/>
  <c r="Y444" i="2"/>
  <c r="Y164" i="2"/>
  <c r="Y448" i="2"/>
  <c r="Y226" i="2"/>
  <c r="Y197" i="2"/>
  <c r="Y345" i="2"/>
  <c r="Y292" i="2"/>
  <c r="Y287" i="2"/>
  <c r="Y437" i="2"/>
  <c r="Y87" i="2"/>
  <c r="Y315" i="2"/>
  <c r="Y153" i="2"/>
  <c r="Y495" i="2"/>
  <c r="Y236" i="2"/>
  <c r="Y387" i="2"/>
  <c r="Y492" i="2"/>
  <c r="Y435" i="2"/>
  <c r="Y122" i="2"/>
  <c r="Y461" i="2"/>
  <c r="Y118" i="2"/>
  <c r="Y314" i="2"/>
  <c r="Y354" i="2"/>
  <c r="Y277" i="2"/>
  <c r="Y30" i="2"/>
  <c r="Y67" i="2"/>
  <c r="Y187" i="2"/>
  <c r="Y391" i="2"/>
  <c r="Y23" i="2"/>
  <c r="Y362" i="2"/>
  <c r="Y400" i="2"/>
  <c r="Y323" i="2"/>
  <c r="Y473" i="2"/>
  <c r="Y3" i="2"/>
  <c r="Y404" i="2"/>
  <c r="Y6" i="2"/>
  <c r="Y445" i="2"/>
  <c r="Y272" i="2"/>
  <c r="Y231" i="2"/>
  <c r="Y172" i="2"/>
  <c r="Y222" i="2"/>
  <c r="Y158" i="2"/>
  <c r="Y427" i="2"/>
  <c r="Y211" i="2"/>
  <c r="Y350" i="2"/>
  <c r="Y339" i="2"/>
  <c r="Y382" i="2"/>
  <c r="Y72" i="2"/>
  <c r="Y381" i="2"/>
  <c r="Y289" i="2"/>
  <c r="Y486" i="2"/>
  <c r="Y59" i="2"/>
  <c r="Y398" i="2"/>
  <c r="Y438" i="2"/>
  <c r="Y26" i="2"/>
  <c r="Y334" i="2"/>
  <c r="Y90" i="2"/>
  <c r="Y443" i="2"/>
  <c r="Y194" i="2"/>
  <c r="Y321" i="2"/>
  <c r="Y494" i="2"/>
  <c r="Y374" i="2"/>
  <c r="Y140" i="2"/>
  <c r="Y83" i="2"/>
  <c r="Y422" i="2"/>
  <c r="Y52" i="2"/>
  <c r="Y275" i="2"/>
  <c r="Y234" i="2"/>
  <c r="Y181" i="2"/>
  <c r="Y420" i="2"/>
  <c r="Y161" i="2"/>
  <c r="Y436" i="2"/>
  <c r="Y220" i="2"/>
  <c r="Y185" i="2"/>
  <c r="Y342" i="2"/>
  <c r="Y394" i="2"/>
  <c r="Y75" i="2"/>
  <c r="Y360" i="2"/>
  <c r="Y196" i="2"/>
  <c r="Y114" i="2"/>
  <c r="Y393" i="2"/>
  <c r="Y456" i="2"/>
  <c r="Y65" i="2"/>
  <c r="Y121" i="2"/>
  <c r="Y439" i="2"/>
  <c r="Y105" i="2"/>
  <c r="Y92" i="2"/>
  <c r="Y431" i="2"/>
  <c r="Y61" i="2"/>
  <c r="Y284" i="2"/>
  <c r="Y243" i="2"/>
  <c r="Y106" i="2"/>
  <c r="Y84" i="2"/>
  <c r="Y365" i="2"/>
  <c r="Y142" i="2"/>
  <c r="Y375" i="2"/>
  <c r="Y286" i="2"/>
  <c r="Y137" i="2"/>
  <c r="Y476" i="2"/>
  <c r="Y310" i="2"/>
  <c r="Y96" i="2"/>
  <c r="Y252" i="2"/>
  <c r="Y9" i="2"/>
  <c r="Y176" i="2"/>
  <c r="Y371" i="2"/>
  <c r="Y421" i="2"/>
  <c r="Y257" i="2"/>
  <c r="Y358" i="2"/>
  <c r="Y45" i="2"/>
  <c r="Y238" i="2"/>
  <c r="Y206" i="2"/>
  <c r="Y348" i="2"/>
  <c r="Y301" i="2"/>
  <c r="Y39" i="2"/>
  <c r="Y186" i="2"/>
  <c r="Y407" i="2"/>
  <c r="Y474" i="2"/>
  <c r="Y293" i="2"/>
  <c r="Y91" i="2"/>
  <c r="Y71" i="2"/>
  <c r="Y36" i="2"/>
  <c r="Y180" i="2"/>
  <c r="Y487" i="2"/>
  <c r="Y244" i="2"/>
  <c r="Y209" i="2"/>
  <c r="Y357" i="2"/>
  <c r="Y322" i="2"/>
  <c r="Y138" i="2"/>
  <c r="Y179" i="2"/>
  <c r="Y160" i="2"/>
  <c r="Y399" i="2"/>
  <c r="Y208" i="2"/>
  <c r="Y418" i="2"/>
  <c r="Y29" i="2"/>
  <c r="Y368" i="2"/>
  <c r="Y484" i="2"/>
  <c r="Y123" i="2"/>
  <c r="Y189" i="2"/>
  <c r="Y295" i="2"/>
  <c r="Y288" i="2"/>
  <c r="Y28" i="2"/>
  <c r="Y251" i="2"/>
  <c r="Y306" i="2"/>
  <c r="Y472" i="2"/>
  <c r="Y129" i="2"/>
  <c r="Y101" i="2"/>
  <c r="Y440" i="2"/>
  <c r="Y223" i="2"/>
  <c r="Y42" i="2"/>
  <c r="Y132" i="2"/>
  <c r="Y167" i="2"/>
  <c r="Y276" i="2"/>
  <c r="Y433" i="2"/>
  <c r="Y102" i="2"/>
  <c r="Y410" i="2"/>
  <c r="Y215" i="2"/>
  <c r="Y446" i="2"/>
  <c r="Y37" i="2"/>
  <c r="Y260" i="2"/>
  <c r="Y491" i="2"/>
  <c r="Y151" i="2"/>
  <c r="Y329" i="2"/>
  <c r="Y318" i="2"/>
  <c r="Y79" i="2"/>
  <c r="Y296" i="2"/>
  <c r="Y332" i="2"/>
  <c r="Y221" i="2"/>
  <c r="Y328" i="2"/>
  <c r="Y432" i="2"/>
  <c r="Y107" i="2"/>
  <c r="Y496" i="2"/>
  <c r="Y147" i="2"/>
  <c r="Y192" i="2"/>
  <c r="Y35" i="2"/>
  <c r="Y143" i="2"/>
  <c r="Y258" i="2"/>
  <c r="Y182" i="2"/>
  <c r="Y390" i="2"/>
  <c r="Y213" i="2"/>
  <c r="BE2" i="2"/>
  <c r="BF12" i="2" s="1"/>
  <c r="BG12" i="2" s="1"/>
  <c r="BF4" i="2"/>
  <c r="BG4" i="2" s="1"/>
  <c r="BF9" i="2"/>
  <c r="BG9" i="2" s="1"/>
  <c r="BF8" i="2"/>
  <c r="BG8" i="2" s="1"/>
  <c r="BF7" i="2"/>
  <c r="BF6" i="2"/>
  <c r="BF5" i="2"/>
  <c r="BF3" i="2"/>
  <c r="AK2" i="2" l="1"/>
  <c r="AK3" i="2" s="1"/>
  <c r="AD2" i="2"/>
  <c r="AD3" i="2" s="1"/>
  <c r="AI2" i="2"/>
  <c r="AI3" i="2" s="1"/>
  <c r="AH2" i="2"/>
  <c r="AH3" i="2" s="1"/>
  <c r="AG2" i="2"/>
  <c r="AG3" i="2" s="1"/>
  <c r="AF2" i="2"/>
  <c r="AF3" i="2" s="1"/>
  <c r="AE2" i="2"/>
  <c r="AE3" i="2" s="1"/>
  <c r="AJ2" i="2"/>
  <c r="AJ3" i="2" s="1"/>
  <c r="BF2" i="2"/>
  <c r="BG2" i="2" s="1"/>
  <c r="BF13" i="2"/>
  <c r="BG13" i="2" s="1"/>
  <c r="BG6" i="2"/>
  <c r="BG7" i="2"/>
  <c r="BG3" i="2"/>
  <c r="BG5" i="2"/>
  <c r="BF11" i="2"/>
  <c r="BF10" i="2"/>
  <c r="BG10" i="2" s="1"/>
  <c r="C10" i="1" l="1"/>
  <c r="J4" i="6"/>
  <c r="K5" i="6" s="1"/>
  <c r="E115" i="9" s="1"/>
  <c r="I115" i="9" s="1"/>
  <c r="C16" i="1"/>
  <c r="J28" i="6"/>
  <c r="K29" i="6" s="1"/>
  <c r="E121" i="9" s="1"/>
  <c r="C14" i="1"/>
  <c r="J20" i="6"/>
  <c r="K21" i="6" s="1"/>
  <c r="E119" i="9" s="1"/>
  <c r="C3" i="1"/>
  <c r="D8" i="6"/>
  <c r="E9" i="6" s="1"/>
  <c r="C11" i="1"/>
  <c r="J8" i="6"/>
  <c r="K9" i="6" s="1"/>
  <c r="E116" i="9" s="1"/>
  <c r="I116" i="9" s="1"/>
  <c r="C6" i="1"/>
  <c r="D20" i="6"/>
  <c r="E21" i="6" s="1"/>
  <c r="E111" i="9" s="1"/>
  <c r="I111" i="9" s="1"/>
  <c r="C8" i="1"/>
  <c r="D28" i="6"/>
  <c r="E29" i="6" s="1"/>
  <c r="B31" i="6" s="1"/>
  <c r="P29" i="6" s="1"/>
  <c r="C9" i="1"/>
  <c r="D32" i="6"/>
  <c r="E33" i="6" s="1"/>
  <c r="B35" i="6" s="1"/>
  <c r="S29" i="6" s="1"/>
  <c r="BG11" i="2"/>
  <c r="CW4" i="4" s="1"/>
  <c r="AI23" i="4" s="1"/>
  <c r="E108" i="9" l="1"/>
  <c r="I108" i="9" s="1"/>
  <c r="B11" i="6"/>
  <c r="P5" i="6" s="1"/>
  <c r="K115" i="9"/>
  <c r="L115" i="9"/>
  <c r="L121" i="9"/>
  <c r="K121" i="9"/>
  <c r="L119" i="9"/>
  <c r="K119" i="9"/>
  <c r="L116" i="9"/>
  <c r="K116" i="9"/>
  <c r="L111" i="9"/>
  <c r="K111" i="9"/>
  <c r="AH11" i="5"/>
  <c r="E126" i="9"/>
  <c r="P31" i="6"/>
  <c r="K5" i="7" s="1"/>
  <c r="B126" i="9"/>
  <c r="AH10" i="5"/>
  <c r="AI19" i="5"/>
  <c r="E114" i="9"/>
  <c r="I114" i="9" s="1"/>
  <c r="AI17" i="5"/>
  <c r="E113" i="9"/>
  <c r="I113" i="9" s="1"/>
  <c r="AI7" i="5"/>
  <c r="AI23" i="5"/>
  <c r="H11" i="6"/>
  <c r="Y13" i="6" s="1"/>
  <c r="B23" i="6"/>
  <c r="AI13" i="5"/>
  <c r="H23" i="6"/>
  <c r="V29" i="6" s="1"/>
  <c r="B130" i="9" s="1"/>
  <c r="AI29" i="5"/>
  <c r="H31" i="6"/>
  <c r="Y29" i="6" s="1"/>
  <c r="AI33" i="5"/>
  <c r="H7" i="6"/>
  <c r="V13" i="6" s="1"/>
  <c r="B128" i="9" s="1"/>
  <c r="AI21" i="5"/>
  <c r="CW8" i="4"/>
  <c r="AI59" i="4" s="1"/>
  <c r="CW5" i="4"/>
  <c r="AI32" i="4" s="1"/>
  <c r="CW13" i="4"/>
  <c r="AI104" i="4" s="1"/>
  <c r="CW3" i="4"/>
  <c r="AI14" i="4" s="1"/>
  <c r="CW9" i="4"/>
  <c r="AI68" i="4" s="1"/>
  <c r="CW10" i="4"/>
  <c r="AI77" i="4" s="1"/>
  <c r="CW11" i="4"/>
  <c r="AI86" i="4" s="1"/>
  <c r="CW2" i="4"/>
  <c r="CW7" i="4"/>
  <c r="AI50" i="4" s="1"/>
  <c r="CW6" i="4"/>
  <c r="AI41" i="4" s="1"/>
  <c r="CW12" i="4"/>
  <c r="AI95" i="4" s="1"/>
  <c r="K108" i="9" l="1"/>
  <c r="L108" i="9"/>
  <c r="AH4" i="5"/>
  <c r="B123" i="9"/>
  <c r="J130" i="9"/>
  <c r="J128" i="9"/>
  <c r="I126" i="9"/>
  <c r="K126" i="9"/>
  <c r="L126" i="9"/>
  <c r="J126" i="9"/>
  <c r="L114" i="9"/>
  <c r="K114" i="9"/>
  <c r="L113" i="9"/>
  <c r="K113" i="9"/>
  <c r="AG9" i="5"/>
  <c r="H7" i="7"/>
  <c r="H19" i="7" s="1"/>
  <c r="B133" i="9" a="1"/>
  <c r="AH19" i="5"/>
  <c r="E130" i="9"/>
  <c r="L130" i="9" s="1"/>
  <c r="AH15" i="5"/>
  <c r="E128" i="9"/>
  <c r="I128" i="9" s="1"/>
  <c r="S5" i="6"/>
  <c r="O37" i="5"/>
  <c r="O44" i="5"/>
  <c r="O9" i="5"/>
  <c r="O18" i="5"/>
  <c r="O39" i="5"/>
  <c r="O15" i="5"/>
  <c r="O23" i="5"/>
  <c r="O29" i="5"/>
  <c r="O49" i="5"/>
  <c r="O5" i="5"/>
  <c r="O42" i="5"/>
  <c r="O20" i="5"/>
  <c r="O34" i="5"/>
  <c r="O48" i="5"/>
  <c r="O35" i="5"/>
  <c r="O7" i="5"/>
  <c r="O32" i="5"/>
  <c r="O26" i="5"/>
  <c r="O24" i="5"/>
  <c r="O46" i="5"/>
  <c r="O10" i="5"/>
  <c r="O36" i="5"/>
  <c r="O33" i="5"/>
  <c r="O19" i="5"/>
  <c r="O31" i="5"/>
  <c r="O12" i="5"/>
  <c r="O25" i="5"/>
  <c r="O17" i="5"/>
  <c r="O30" i="5"/>
  <c r="O40" i="5"/>
  <c r="O41" i="5"/>
  <c r="O47" i="5"/>
  <c r="O38" i="5"/>
  <c r="O50" i="5"/>
  <c r="O6" i="5"/>
  <c r="O4" i="5"/>
  <c r="O22" i="5"/>
  <c r="O14" i="5"/>
  <c r="O13" i="5"/>
  <c r="O28" i="5"/>
  <c r="O27" i="5"/>
  <c r="O43" i="5"/>
  <c r="O8" i="5"/>
  <c r="O21" i="5"/>
  <c r="O11" i="5"/>
  <c r="O51" i="5"/>
  <c r="O16" i="5"/>
  <c r="O45" i="5"/>
  <c r="V15" i="6"/>
  <c r="E9" i="7" s="1"/>
  <c r="B132" i="9" s="1" a="1"/>
  <c r="AH14" i="5"/>
  <c r="V31" i="6"/>
  <c r="K9" i="7" s="1"/>
  <c r="B134" i="9" s="1" a="1"/>
  <c r="AH18" i="5"/>
  <c r="CV14" i="4"/>
  <c r="AI5" i="4"/>
  <c r="J123" i="9" l="1"/>
  <c r="I130" i="9"/>
  <c r="K130" i="9"/>
  <c r="L128" i="9"/>
  <c r="K128" i="9"/>
  <c r="K134" i="9"/>
  <c r="L132" i="9"/>
  <c r="K132" i="9"/>
  <c r="K133" i="9"/>
  <c r="B133" i="9"/>
  <c r="L133" i="9" s="1"/>
  <c r="AF6" i="5"/>
  <c r="B132" i="9"/>
  <c r="I132" i="9" s="1"/>
  <c r="B134" i="9"/>
  <c r="I134" i="9" s="1"/>
  <c r="P7" i="6"/>
  <c r="B5" i="7" s="1"/>
  <c r="B131" i="9" s="1" a="1"/>
  <c r="E123" i="9"/>
  <c r="L123" i="9" s="1"/>
  <c r="AH5" i="5"/>
  <c r="N31" i="5" s="1"/>
  <c r="AG7" i="5"/>
  <c r="B11" i="7"/>
  <c r="E19" i="7" s="1"/>
  <c r="AF5" i="5" s="1"/>
  <c r="AG11" i="5"/>
  <c r="H11" i="7"/>
  <c r="K19" i="7" s="1"/>
  <c r="B136" i="9" s="1" a="1"/>
  <c r="I133" i="9" l="1"/>
  <c r="K21" i="7"/>
  <c r="S13" i="7" s="1"/>
  <c r="E137" i="9" s="1"/>
  <c r="K137" i="9" s="1"/>
  <c r="L134" i="9"/>
  <c r="J133" i="9"/>
  <c r="J132" i="9"/>
  <c r="J134" i="9"/>
  <c r="I123" i="9"/>
  <c r="K123" i="9"/>
  <c r="K136" i="9"/>
  <c r="L131" i="9"/>
  <c r="K131" i="9"/>
  <c r="B7" i="7"/>
  <c r="B19" i="7" s="1"/>
  <c r="AF4" i="5" s="1"/>
  <c r="N27" i="5"/>
  <c r="N49" i="5"/>
  <c r="N12" i="5"/>
  <c r="N36" i="5"/>
  <c r="N50" i="5"/>
  <c r="N13" i="5"/>
  <c r="N26" i="5"/>
  <c r="N4" i="5"/>
  <c r="N38" i="5"/>
  <c r="N47" i="5"/>
  <c r="N9" i="5"/>
  <c r="N14" i="5"/>
  <c r="N44" i="5"/>
  <c r="N28" i="5"/>
  <c r="N20" i="5"/>
  <c r="N46" i="5"/>
  <c r="N39" i="5"/>
  <c r="N41" i="5"/>
  <c r="N43" i="5"/>
  <c r="N30" i="5"/>
  <c r="N32" i="5"/>
  <c r="N16" i="5"/>
  <c r="N24" i="5"/>
  <c r="N7" i="5"/>
  <c r="N23" i="5"/>
  <c r="N33" i="5"/>
  <c r="N42" i="5"/>
  <c r="N37" i="5"/>
  <c r="N51" i="5"/>
  <c r="N5" i="5"/>
  <c r="N11" i="5"/>
  <c r="N21" i="5"/>
  <c r="N17" i="5"/>
  <c r="N10" i="5"/>
  <c r="N34" i="5"/>
  <c r="N8" i="5"/>
  <c r="N25" i="5"/>
  <c r="N19" i="5"/>
  <c r="N22" i="5"/>
  <c r="N45" i="5"/>
  <c r="N40" i="5"/>
  <c r="N29" i="5"/>
  <c r="N6" i="5"/>
  <c r="N48" i="5"/>
  <c r="N15" i="5"/>
  <c r="N35" i="5"/>
  <c r="N18" i="5"/>
  <c r="B131" i="9"/>
  <c r="I131" i="9" s="1"/>
  <c r="B136" i="9"/>
  <c r="L136" i="9" s="1"/>
  <c r="AG4" i="5"/>
  <c r="M28" i="5" s="1"/>
  <c r="AF7" i="5"/>
  <c r="H21" i="7"/>
  <c r="S4" i="7" s="1"/>
  <c r="E138" i="9" s="1"/>
  <c r="E21" i="7" l="1"/>
  <c r="P13" i="7" s="1"/>
  <c r="B137" i="9" s="1"/>
  <c r="I136" i="9"/>
  <c r="K138" i="9"/>
  <c r="L137" i="9"/>
  <c r="J136" i="9"/>
  <c r="J131" i="9"/>
  <c r="B21" i="7"/>
  <c r="P4" i="7" s="1"/>
  <c r="B138" i="9" s="1"/>
  <c r="I138" i="9" s="1"/>
  <c r="B135" i="9" a="1"/>
  <c r="M35" i="5"/>
  <c r="M20" i="5"/>
  <c r="M18" i="5"/>
  <c r="M30" i="5"/>
  <c r="M19" i="5"/>
  <c r="M38" i="5"/>
  <c r="M16" i="5"/>
  <c r="M12" i="5"/>
  <c r="M32" i="5"/>
  <c r="M29" i="5"/>
  <c r="M36" i="5"/>
  <c r="M48" i="5"/>
  <c r="M24" i="5"/>
  <c r="M9" i="5"/>
  <c r="M15" i="5"/>
  <c r="M27" i="5"/>
  <c r="M47" i="5"/>
  <c r="M13" i="5"/>
  <c r="M8" i="5"/>
  <c r="M7" i="5"/>
  <c r="M22" i="5"/>
  <c r="M39" i="5"/>
  <c r="M14" i="5"/>
  <c r="M34" i="5"/>
  <c r="M6" i="5"/>
  <c r="M41" i="5"/>
  <c r="M33" i="5"/>
  <c r="M5" i="5"/>
  <c r="M45" i="5"/>
  <c r="M25" i="5"/>
  <c r="M44" i="5"/>
  <c r="M17" i="5"/>
  <c r="M31" i="5"/>
  <c r="M40" i="5"/>
  <c r="M23" i="5"/>
  <c r="M26" i="5"/>
  <c r="M11" i="5"/>
  <c r="M51" i="5"/>
  <c r="M49" i="5"/>
  <c r="M43" i="5"/>
  <c r="M37" i="5"/>
  <c r="M21" i="5"/>
  <c r="M10" i="5"/>
  <c r="M4" i="5"/>
  <c r="M46" i="5"/>
  <c r="M42" i="5"/>
  <c r="M50" i="5"/>
  <c r="S15" i="7"/>
  <c r="AD5" i="5"/>
  <c r="L27" i="5"/>
  <c r="L8" i="5"/>
  <c r="L43" i="5"/>
  <c r="L6" i="5"/>
  <c r="L17" i="5"/>
  <c r="L10" i="5"/>
  <c r="L20" i="5"/>
  <c r="L36" i="5"/>
  <c r="L47" i="5"/>
  <c r="L29" i="5"/>
  <c r="L34" i="5"/>
  <c r="L19" i="5"/>
  <c r="L32" i="5"/>
  <c r="L28" i="5"/>
  <c r="L39" i="5"/>
  <c r="L44" i="5"/>
  <c r="L42" i="5"/>
  <c r="L23" i="5"/>
  <c r="L49" i="5"/>
  <c r="L38" i="5"/>
  <c r="L9" i="5"/>
  <c r="L12" i="5"/>
  <c r="L15" i="5"/>
  <c r="L21" i="5"/>
  <c r="L18" i="5"/>
  <c r="L14" i="5"/>
  <c r="L5" i="5"/>
  <c r="L48" i="5"/>
  <c r="L33" i="5"/>
  <c r="L24" i="5"/>
  <c r="L22" i="5"/>
  <c r="L51" i="5"/>
  <c r="L31" i="5"/>
  <c r="L45" i="5"/>
  <c r="L40" i="5"/>
  <c r="L4" i="5"/>
  <c r="L30" i="5"/>
  <c r="L35" i="5"/>
  <c r="L25" i="5"/>
  <c r="L41" i="5"/>
  <c r="L46" i="5"/>
  <c r="L7" i="5"/>
  <c r="L26" i="5"/>
  <c r="L13" i="5"/>
  <c r="L16" i="5"/>
  <c r="L37" i="5"/>
  <c r="L50" i="5"/>
  <c r="L11" i="5"/>
  <c r="J137" i="9" l="1"/>
  <c r="I137" i="9"/>
  <c r="P15" i="7"/>
  <c r="AE4" i="5" s="1"/>
  <c r="K18" i="5" s="1"/>
  <c r="P8" i="7"/>
  <c r="AC4" i="5" s="1"/>
  <c r="I43" i="5" s="1"/>
  <c r="L138" i="9"/>
  <c r="J138" i="9"/>
  <c r="L135" i="9"/>
  <c r="K135" i="9"/>
  <c r="B135" i="9"/>
  <c r="S8" i="7"/>
  <c r="AD4" i="5"/>
  <c r="J30" i="5" s="1"/>
  <c r="K9" i="5" l="1"/>
  <c r="K8" i="5"/>
  <c r="K19" i="5"/>
  <c r="K44" i="5"/>
  <c r="K20" i="5"/>
  <c r="K14" i="5"/>
  <c r="K46" i="5"/>
  <c r="K30" i="5"/>
  <c r="K43" i="5"/>
  <c r="K29" i="5"/>
  <c r="K23" i="5"/>
  <c r="K27" i="5"/>
  <c r="K12" i="5"/>
  <c r="K15" i="5"/>
  <c r="K4" i="5"/>
  <c r="K37" i="5"/>
  <c r="K51" i="5"/>
  <c r="K31" i="5"/>
  <c r="K22" i="5"/>
  <c r="K21" i="5"/>
  <c r="K38" i="5"/>
  <c r="K6" i="5"/>
  <c r="K10" i="5"/>
  <c r="K41" i="5"/>
  <c r="K42" i="5"/>
  <c r="K49" i="5"/>
  <c r="K5" i="5"/>
  <c r="K39" i="5"/>
  <c r="K36" i="5"/>
  <c r="K7" i="5"/>
  <c r="K45" i="5"/>
  <c r="K25" i="5"/>
  <c r="K47" i="5"/>
  <c r="K40" i="5"/>
  <c r="K26" i="5"/>
  <c r="K35" i="5"/>
  <c r="K50" i="5"/>
  <c r="K32" i="5"/>
  <c r="K16" i="5"/>
  <c r="K48" i="5"/>
  <c r="K28" i="5"/>
  <c r="K24" i="5"/>
  <c r="K33" i="5"/>
  <c r="K13" i="5"/>
  <c r="K34" i="5"/>
  <c r="K11" i="5"/>
  <c r="K17" i="5"/>
  <c r="J135" i="9"/>
  <c r="R23" i="5" s="1"/>
  <c r="I135" i="9"/>
  <c r="I41" i="5"/>
  <c r="I20" i="5"/>
  <c r="I27" i="5"/>
  <c r="I42" i="5"/>
  <c r="I7" i="5"/>
  <c r="I19" i="5"/>
  <c r="I25" i="5"/>
  <c r="I15" i="5"/>
  <c r="I35" i="5"/>
  <c r="I40" i="5"/>
  <c r="I16" i="5"/>
  <c r="S29" i="5"/>
  <c r="I14" i="5"/>
  <c r="I32" i="5"/>
  <c r="I36" i="5"/>
  <c r="I37" i="5"/>
  <c r="I31" i="5"/>
  <c r="I34" i="5"/>
  <c r="I33" i="5"/>
  <c r="I9" i="5"/>
  <c r="I23" i="5"/>
  <c r="I8" i="5"/>
  <c r="I12" i="5"/>
  <c r="I44" i="5"/>
  <c r="I5" i="5"/>
  <c r="I24" i="5"/>
  <c r="I21" i="5"/>
  <c r="I26" i="5"/>
  <c r="I6" i="5"/>
  <c r="I45" i="5"/>
  <c r="I29" i="5"/>
  <c r="I38" i="5"/>
  <c r="I51" i="5"/>
  <c r="I39" i="5"/>
  <c r="I17" i="5"/>
  <c r="I11" i="5"/>
  <c r="I22" i="5"/>
  <c r="I47" i="5"/>
  <c r="I46" i="5"/>
  <c r="I18" i="5"/>
  <c r="I30" i="5"/>
  <c r="I28" i="5"/>
  <c r="I48" i="5"/>
  <c r="I10" i="5"/>
  <c r="I50" i="5"/>
  <c r="I4" i="5"/>
  <c r="I13" i="5"/>
  <c r="I49" i="5"/>
  <c r="S8" i="5"/>
  <c r="S20" i="5"/>
  <c r="S42" i="5"/>
  <c r="S18" i="5"/>
  <c r="S4" i="5"/>
  <c r="S37" i="5"/>
  <c r="S31" i="5"/>
  <c r="S17" i="5"/>
  <c r="S30" i="5"/>
  <c r="S28" i="5"/>
  <c r="S13" i="5"/>
  <c r="S46" i="5"/>
  <c r="S44" i="5"/>
  <c r="S36" i="5"/>
  <c r="S50" i="5"/>
  <c r="S45" i="5"/>
  <c r="S27" i="5"/>
  <c r="S35" i="5"/>
  <c r="S51" i="5"/>
  <c r="S7" i="5"/>
  <c r="S22" i="5"/>
  <c r="S32" i="5"/>
  <c r="S39" i="5"/>
  <c r="S5" i="5"/>
  <c r="S41" i="5"/>
  <c r="S48" i="5"/>
  <c r="S25" i="5"/>
  <c r="S16" i="5"/>
  <c r="S19" i="5"/>
  <c r="S15" i="5"/>
  <c r="S26" i="5"/>
  <c r="S43" i="5"/>
  <c r="S14" i="5"/>
  <c r="S34" i="5"/>
  <c r="S10" i="5"/>
  <c r="S24" i="5"/>
  <c r="S33" i="5"/>
  <c r="S49" i="5"/>
  <c r="S23" i="5"/>
  <c r="S12" i="5"/>
  <c r="S47" i="5"/>
  <c r="S21" i="5"/>
  <c r="S40" i="5"/>
  <c r="S11" i="5"/>
  <c r="S6" i="5"/>
  <c r="S9" i="5"/>
  <c r="S38" i="5"/>
  <c r="Q18" i="5"/>
  <c r="J19" i="5"/>
  <c r="J34" i="5"/>
  <c r="J17" i="5"/>
  <c r="J8" i="5"/>
  <c r="J7" i="5"/>
  <c r="J10" i="5"/>
  <c r="J28" i="5"/>
  <c r="J13" i="5"/>
  <c r="J32" i="5"/>
  <c r="J29" i="5"/>
  <c r="J18" i="5"/>
  <c r="J16" i="5"/>
  <c r="J20" i="5"/>
  <c r="J45" i="5"/>
  <c r="J21" i="5"/>
  <c r="J33" i="5"/>
  <c r="J37" i="5"/>
  <c r="J49" i="5"/>
  <c r="J36" i="5"/>
  <c r="J11" i="5"/>
  <c r="J50" i="5"/>
  <c r="J41" i="5"/>
  <c r="J22" i="5"/>
  <c r="J43" i="5"/>
  <c r="J47" i="5"/>
  <c r="J12" i="5"/>
  <c r="J31" i="5"/>
  <c r="J14" i="5"/>
  <c r="J48" i="5"/>
  <c r="J6" i="5"/>
  <c r="J39" i="5"/>
  <c r="J40" i="5"/>
  <c r="J38" i="5"/>
  <c r="J25" i="5"/>
  <c r="J15" i="5"/>
  <c r="J42" i="5"/>
  <c r="J44" i="5"/>
  <c r="J51" i="5"/>
  <c r="J24" i="5"/>
  <c r="J4" i="5"/>
  <c r="J46" i="5"/>
  <c r="J5" i="5"/>
  <c r="J27" i="5"/>
  <c r="J23" i="5"/>
  <c r="J35" i="5"/>
  <c r="J9" i="5"/>
  <c r="J26" i="5"/>
  <c r="P18" i="5" l="1"/>
  <c r="P42" i="5"/>
  <c r="P32" i="5"/>
  <c r="R35" i="5"/>
  <c r="R30" i="5"/>
  <c r="R48" i="5"/>
  <c r="R32" i="5"/>
  <c r="R6" i="5"/>
  <c r="P26" i="5"/>
  <c r="P22" i="5"/>
  <c r="P43" i="5"/>
  <c r="R17" i="5"/>
  <c r="R27" i="5"/>
  <c r="R29" i="5"/>
  <c r="R20" i="5"/>
  <c r="R34" i="5"/>
  <c r="R14" i="5"/>
  <c r="R41" i="5"/>
  <c r="R45" i="5"/>
  <c r="P5" i="5"/>
  <c r="R37" i="5"/>
  <c r="R8" i="5"/>
  <c r="R50" i="5"/>
  <c r="P47" i="5"/>
  <c r="P20" i="5"/>
  <c r="R11" i="5"/>
  <c r="R36" i="5"/>
  <c r="R4" i="5"/>
  <c r="R39" i="5"/>
  <c r="R42" i="5"/>
  <c r="X30" i="5"/>
  <c r="AT11" i="5" s="1"/>
  <c r="R9" i="5"/>
  <c r="R33" i="5"/>
  <c r="R13" i="5"/>
  <c r="R24" i="5"/>
  <c r="R16" i="5"/>
  <c r="R40" i="5"/>
  <c r="R49" i="5"/>
  <c r="R12" i="5"/>
  <c r="R26" i="5"/>
  <c r="R51" i="5"/>
  <c r="R22" i="5"/>
  <c r="R18" i="5"/>
  <c r="R31" i="5"/>
  <c r="R28" i="5"/>
  <c r="R43" i="5"/>
  <c r="R38" i="5"/>
  <c r="R44" i="5"/>
  <c r="R10" i="5"/>
  <c r="R19" i="5"/>
  <c r="R21" i="5"/>
  <c r="R25" i="5"/>
  <c r="R15" i="5"/>
  <c r="P30" i="5"/>
  <c r="P41" i="5"/>
  <c r="P27" i="5"/>
  <c r="P36" i="5"/>
  <c r="X19" i="5"/>
  <c r="AT22" i="5" s="1"/>
  <c r="P37" i="5"/>
  <c r="P14" i="5"/>
  <c r="R46" i="5"/>
  <c r="P7" i="5"/>
  <c r="P28" i="5"/>
  <c r="P6" i="5"/>
  <c r="P31" i="5"/>
  <c r="P46" i="5"/>
  <c r="P48" i="5"/>
  <c r="P24" i="5"/>
  <c r="P21" i="5"/>
  <c r="P45" i="5"/>
  <c r="P34" i="5"/>
  <c r="R5" i="5"/>
  <c r="P38" i="5"/>
  <c r="R47" i="5"/>
  <c r="R7" i="5"/>
  <c r="P35" i="5"/>
  <c r="P50" i="5"/>
  <c r="P15" i="5"/>
  <c r="P9" i="5"/>
  <c r="P10" i="5"/>
  <c r="P23" i="5"/>
  <c r="P51" i="5"/>
  <c r="P40" i="5"/>
  <c r="P39" i="5"/>
  <c r="P25" i="5"/>
  <c r="P29" i="5"/>
  <c r="P33" i="5"/>
  <c r="P13" i="5"/>
  <c r="P49" i="5"/>
  <c r="P4" i="5"/>
  <c r="P8" i="5"/>
  <c r="P17" i="5"/>
  <c r="P11" i="5"/>
  <c r="P44" i="5"/>
  <c r="P16" i="5"/>
  <c r="P12" i="5"/>
  <c r="Q19" i="5"/>
  <c r="Q28" i="5"/>
  <c r="Q10" i="5"/>
  <c r="Q20" i="5"/>
  <c r="Q7" i="5"/>
  <c r="Q45" i="5"/>
  <c r="Q48" i="5"/>
  <c r="Q32" i="5"/>
  <c r="Q30" i="5"/>
  <c r="Q46" i="5"/>
  <c r="Q35" i="5"/>
  <c r="Q40" i="5"/>
  <c r="Q44" i="5"/>
  <c r="Q39" i="5"/>
  <c r="Q41" i="5"/>
  <c r="Q11" i="5"/>
  <c r="Q43" i="5"/>
  <c r="Q33" i="5"/>
  <c r="Q34" i="5"/>
  <c r="Q49" i="5"/>
  <c r="Q17" i="5"/>
  <c r="Q36" i="5"/>
  <c r="Q9" i="5"/>
  <c r="Q5" i="5"/>
  <c r="Q47" i="5"/>
  <c r="Q4" i="5"/>
  <c r="Q15" i="5"/>
  <c r="Q25" i="5"/>
  <c r="Q13" i="5"/>
  <c r="Q8" i="5"/>
  <c r="Q26" i="5"/>
  <c r="Q16" i="5"/>
  <c r="Q29" i="5"/>
  <c r="Q22" i="5"/>
  <c r="Q21" i="5"/>
  <c r="Q50" i="5"/>
  <c r="Q23" i="5"/>
  <c r="Q38" i="5"/>
  <c r="Q27" i="5"/>
  <c r="Q14" i="5"/>
  <c r="Q37" i="5"/>
  <c r="Q42" i="5"/>
  <c r="Q12" i="5"/>
  <c r="Q24" i="5"/>
  <c r="Q51" i="5"/>
  <c r="Q6" i="5"/>
  <c r="Q31" i="5"/>
  <c r="P19" i="5"/>
  <c r="X46" i="5"/>
  <c r="AT44" i="5" s="1"/>
  <c r="X8" i="5"/>
  <c r="AT32" i="5" s="1"/>
  <c r="X29" i="5"/>
  <c r="AT51" i="5" s="1"/>
  <c r="X32" i="5"/>
  <c r="AT5" i="5" s="1"/>
  <c r="X24" i="5"/>
  <c r="AT10" i="5" s="1"/>
  <c r="X17" i="5"/>
  <c r="AT27" i="5" s="1"/>
  <c r="X28" i="5"/>
  <c r="AT42" i="5" s="1"/>
  <c r="X12" i="5"/>
  <c r="AT9" i="5" s="1"/>
  <c r="X50" i="5"/>
  <c r="AT41" i="5" s="1"/>
  <c r="X47" i="5"/>
  <c r="AT16" i="5" s="1"/>
  <c r="X18" i="5"/>
  <c r="AT29" i="5" s="1"/>
  <c r="X5" i="5"/>
  <c r="AT38" i="5" s="1"/>
  <c r="X44" i="5"/>
  <c r="AT8" i="5" s="1"/>
  <c r="X40" i="5"/>
  <c r="AT6" i="5" s="1"/>
  <c r="X22" i="5"/>
  <c r="AT34" i="5" s="1"/>
  <c r="X15" i="5"/>
  <c r="AT36" i="5" s="1"/>
  <c r="X14" i="5"/>
  <c r="AT50" i="5" s="1"/>
  <c r="X16" i="5"/>
  <c r="AT19" i="5" s="1"/>
  <c r="X38" i="5"/>
  <c r="AT46" i="5" s="1"/>
  <c r="X7" i="5"/>
  <c r="AT35" i="5" s="1"/>
  <c r="X41" i="5"/>
  <c r="AT30" i="5" s="1"/>
  <c r="X37" i="5"/>
  <c r="AT17" i="5" s="1"/>
  <c r="X20" i="5"/>
  <c r="AT12" i="5" s="1"/>
  <c r="X23" i="5"/>
  <c r="AT23" i="5" s="1"/>
  <c r="X25" i="5"/>
  <c r="AT20" i="5" s="1"/>
  <c r="X39" i="5"/>
  <c r="AT25" i="5" s="1"/>
  <c r="X6" i="5"/>
  <c r="AT24" i="5" s="1"/>
  <c r="X49" i="5"/>
  <c r="AT13" i="5" s="1"/>
  <c r="X36" i="5"/>
  <c r="X35" i="5"/>
  <c r="AT14" i="5" s="1"/>
  <c r="X42" i="5"/>
  <c r="AT28" i="5" s="1"/>
  <c r="X43" i="5"/>
  <c r="AT47" i="5" s="1"/>
  <c r="X9" i="5"/>
  <c r="AT40" i="5" s="1"/>
  <c r="X45" i="5"/>
  <c r="AT43" i="5" s="1"/>
  <c r="X11" i="5"/>
  <c r="AT21" i="5" s="1"/>
  <c r="X33" i="5"/>
  <c r="AT48" i="5" s="1"/>
  <c r="X13" i="5"/>
  <c r="AT15" i="5" s="1"/>
  <c r="X27" i="5"/>
  <c r="AT37" i="5" s="1"/>
  <c r="X51" i="5"/>
  <c r="AT33" i="5" s="1"/>
  <c r="X4" i="5"/>
  <c r="AT18" i="5" s="1"/>
  <c r="X31" i="5"/>
  <c r="AT31" i="5" s="1"/>
  <c r="X21" i="5"/>
  <c r="AT49" i="5" s="1"/>
  <c r="X26" i="5"/>
  <c r="AT26" i="5" s="1"/>
  <c r="X48" i="5"/>
  <c r="AT7" i="5" s="1"/>
  <c r="X10" i="5"/>
  <c r="AT45" i="5" s="1"/>
  <c r="X34" i="5"/>
  <c r="AT39" i="5" s="1"/>
  <c r="AT4" i="5" l="1"/>
  <c r="AX6" i="5" l="1"/>
  <c r="BC6" i="5" s="1"/>
  <c r="AX4" i="5"/>
  <c r="AY4" i="5" s="1"/>
  <c r="AX5" i="5"/>
  <c r="BA5" i="5" s="1"/>
  <c r="AZ4" i="5" l="1"/>
  <c r="BF4" i="5" s="1"/>
  <c r="BA4" i="5"/>
  <c r="BB4" i="5"/>
  <c r="AY6" i="5"/>
  <c r="BF6" i="5" s="1"/>
  <c r="AZ6" i="5"/>
  <c r="BA6" i="5"/>
  <c r="BB6" i="5"/>
  <c r="BC4" i="5"/>
  <c r="BC5" i="5"/>
  <c r="BB5" i="5"/>
  <c r="AY5" i="5"/>
  <c r="BF5" i="5" s="1"/>
  <c r="AZ5" i="5"/>
  <c r="BF7" i="5" l="1"/>
  <c r="V36" i="5"/>
  <c r="V9" i="5"/>
  <c r="V33" i="5"/>
  <c r="V17" i="5"/>
  <c r="V18" i="5"/>
  <c r="V49" i="5"/>
  <c r="V44" i="5"/>
  <c r="V39" i="5"/>
  <c r="V25" i="5"/>
  <c r="V26" i="5"/>
  <c r="V29" i="5"/>
  <c r="V35" i="5"/>
  <c r="V12" i="5"/>
  <c r="V10" i="5"/>
  <c r="V41" i="5"/>
  <c r="V8" i="5"/>
  <c r="V46" i="5"/>
  <c r="V37" i="5"/>
  <c r="V47" i="5"/>
  <c r="V28" i="5"/>
  <c r="V21" i="5"/>
  <c r="V20" i="5"/>
  <c r="V38" i="5"/>
  <c r="V15" i="5"/>
  <c r="V31" i="5"/>
  <c r="V7" i="5"/>
  <c r="V19" i="5"/>
  <c r="V4" i="5"/>
  <c r="V14" i="5"/>
  <c r="V42" i="5"/>
  <c r="V30" i="5"/>
  <c r="V34" i="5"/>
  <c r="V5" i="5"/>
  <c r="V11" i="5"/>
  <c r="V32" i="5"/>
  <c r="V45" i="5"/>
  <c r="V43" i="5"/>
  <c r="V51" i="5"/>
  <c r="V24" i="5"/>
  <c r="V13" i="5"/>
  <c r="V23" i="5"/>
  <c r="V16" i="5"/>
  <c r="V40" i="5"/>
  <c r="V48" i="5"/>
  <c r="V22" i="5"/>
  <c r="V6" i="5"/>
  <c r="V27" i="5"/>
  <c r="V50" i="5"/>
  <c r="U35" i="5"/>
  <c r="U28" i="5"/>
  <c r="U20" i="5"/>
  <c r="U36" i="5"/>
  <c r="U47" i="5"/>
  <c r="U32" i="5"/>
  <c r="U44" i="5"/>
  <c r="T44" i="5" s="1"/>
  <c r="W44" i="5" s="1"/>
  <c r="AU8" i="5" s="1"/>
  <c r="U18" i="5"/>
  <c r="U37" i="5"/>
  <c r="U9" i="5"/>
  <c r="T9" i="5" s="1"/>
  <c r="W9" i="5" s="1"/>
  <c r="AU40" i="5" s="1"/>
  <c r="U6" i="5"/>
  <c r="U31" i="5"/>
  <c r="U13" i="5"/>
  <c r="U24" i="5"/>
  <c r="U14" i="5"/>
  <c r="U27" i="5"/>
  <c r="U48" i="5"/>
  <c r="U21" i="5"/>
  <c r="U17" i="5"/>
  <c r="T17" i="5" s="1"/>
  <c r="W17" i="5" s="1"/>
  <c r="AU27" i="5" s="1"/>
  <c r="U42" i="5"/>
  <c r="U50" i="5"/>
  <c r="U15" i="5"/>
  <c r="U25" i="5"/>
  <c r="U51" i="5"/>
  <c r="U8" i="5"/>
  <c r="U43" i="5"/>
  <c r="U40" i="5"/>
  <c r="U11" i="5"/>
  <c r="U45" i="5"/>
  <c r="U49" i="5"/>
  <c r="U33" i="5"/>
  <c r="U29" i="5"/>
  <c r="U38" i="5"/>
  <c r="U16" i="5"/>
  <c r="U5" i="5"/>
  <c r="U19" i="5"/>
  <c r="U46" i="5"/>
  <c r="U26" i="5"/>
  <c r="U34" i="5"/>
  <c r="U41" i="5"/>
  <c r="U10" i="5"/>
  <c r="T10" i="5" s="1"/>
  <c r="W10" i="5" s="1"/>
  <c r="U23" i="5"/>
  <c r="U39" i="5"/>
  <c r="U22" i="5"/>
  <c r="U30" i="5"/>
  <c r="U4" i="5"/>
  <c r="U7" i="5"/>
  <c r="T7" i="5" s="1"/>
  <c r="W7" i="5" s="1"/>
  <c r="AU35" i="5" s="1"/>
  <c r="U12" i="5"/>
  <c r="T4" i="5" l="1"/>
  <c r="W4" i="5" s="1"/>
  <c r="AU18" i="5" s="1"/>
  <c r="T18" i="5"/>
  <c r="W18" i="5" s="1"/>
  <c r="AU29" i="5" s="1"/>
  <c r="Z10" i="5"/>
  <c r="AU45" i="5"/>
  <c r="T33" i="5"/>
  <c r="W33" i="5" s="1"/>
  <c r="AU48" i="5" s="1"/>
  <c r="T41" i="5"/>
  <c r="W41" i="5" s="1"/>
  <c r="AU30" i="5" s="1"/>
  <c r="T19" i="5"/>
  <c r="W19" i="5" s="1"/>
  <c r="AU22" i="5" s="1"/>
  <c r="T36" i="5"/>
  <c r="W36" i="5" s="1"/>
  <c r="Z36" i="5" s="1"/>
  <c r="T12" i="5"/>
  <c r="W12" i="5" s="1"/>
  <c r="AU9" i="5" s="1"/>
  <c r="T8" i="5"/>
  <c r="W8" i="5" s="1"/>
  <c r="T49" i="5"/>
  <c r="W49" i="5" s="1"/>
  <c r="T43" i="5"/>
  <c r="W43" i="5" s="1"/>
  <c r="T15" i="5"/>
  <c r="W15" i="5" s="1"/>
  <c r="AU36" i="5" s="1"/>
  <c r="T45" i="5"/>
  <c r="W45" i="5" s="1"/>
  <c r="AU43" i="5" s="1"/>
  <c r="T35" i="5"/>
  <c r="W35" i="5" s="1"/>
  <c r="T37" i="5"/>
  <c r="W37" i="5" s="1"/>
  <c r="AU17" i="5" s="1"/>
  <c r="T50" i="5"/>
  <c r="W50" i="5" s="1"/>
  <c r="T30" i="5"/>
  <c r="W30" i="5" s="1"/>
  <c r="T47" i="5"/>
  <c r="W47" i="5" s="1"/>
  <c r="T40" i="5"/>
  <c r="W40" i="5" s="1"/>
  <c r="T24" i="5"/>
  <c r="W24" i="5" s="1"/>
  <c r="T6" i="5"/>
  <c r="W6" i="5" s="1"/>
  <c r="T16" i="5"/>
  <c r="W16" i="5" s="1"/>
  <c r="AU19" i="5" s="1"/>
  <c r="T42" i="5"/>
  <c r="W42" i="5" s="1"/>
  <c r="AU28" i="5" s="1"/>
  <c r="T31" i="5"/>
  <c r="W31" i="5" s="1"/>
  <c r="T39" i="5"/>
  <c r="W39" i="5" s="1"/>
  <c r="T22" i="5"/>
  <c r="W22" i="5" s="1"/>
  <c r="AU34" i="5" s="1"/>
  <c r="T48" i="5"/>
  <c r="W48" i="5" s="1"/>
  <c r="T11" i="5"/>
  <c r="W11" i="5" s="1"/>
  <c r="AU21" i="5" s="1"/>
  <c r="T34" i="5"/>
  <c r="W34" i="5" s="1"/>
  <c r="AU39" i="5" s="1"/>
  <c r="T26" i="5"/>
  <c r="W26" i="5" s="1"/>
  <c r="T28" i="5"/>
  <c r="W28" i="5" s="1"/>
  <c r="AU42" i="5" s="1"/>
  <c r="T38" i="5"/>
  <c r="W38" i="5" s="1"/>
  <c r="T29" i="5"/>
  <c r="W29" i="5" s="1"/>
  <c r="T32" i="5"/>
  <c r="W32" i="5" s="1"/>
  <c r="T27" i="5"/>
  <c r="W27" i="5" s="1"/>
  <c r="T20" i="5"/>
  <c r="W20" i="5" s="1"/>
  <c r="T13" i="5"/>
  <c r="W13" i="5" s="1"/>
  <c r="T51" i="5"/>
  <c r="W51" i="5" s="1"/>
  <c r="AU33" i="5" s="1"/>
  <c r="T25" i="5"/>
  <c r="W25" i="5" s="1"/>
  <c r="AU20" i="5" s="1"/>
  <c r="T5" i="5"/>
  <c r="W5" i="5" s="1"/>
  <c r="T21" i="5"/>
  <c r="W21" i="5" s="1"/>
  <c r="Z44" i="5"/>
  <c r="Z7" i="5"/>
  <c r="Z17" i="5"/>
  <c r="Z9" i="5"/>
  <c r="T46" i="5"/>
  <c r="W46" i="5" s="1"/>
  <c r="AU44" i="5" s="1"/>
  <c r="T23" i="5"/>
  <c r="W23" i="5" s="1"/>
  <c r="AU23" i="5" s="1"/>
  <c r="T14" i="5"/>
  <c r="W14" i="5" s="1"/>
  <c r="AU50" i="5" s="1"/>
  <c r="Z4" i="5" l="1"/>
  <c r="Z18" i="5"/>
  <c r="Z33" i="5"/>
  <c r="Z19" i="5"/>
  <c r="Z41" i="5"/>
  <c r="Z49" i="5"/>
  <c r="AU13" i="5"/>
  <c r="Z29" i="5"/>
  <c r="AU51" i="5"/>
  <c r="Z6" i="5"/>
  <c r="AU24" i="5"/>
  <c r="Z8" i="5"/>
  <c r="AU32" i="5"/>
  <c r="Z43" i="5"/>
  <c r="AU47" i="5"/>
  <c r="Z32" i="5"/>
  <c r="AU5" i="5"/>
  <c r="Z38" i="5"/>
  <c r="AU46" i="5"/>
  <c r="Z24" i="5"/>
  <c r="AU10" i="5"/>
  <c r="Z39" i="5"/>
  <c r="AU25" i="5"/>
  <c r="Z40" i="5"/>
  <c r="AU6" i="5"/>
  <c r="Z31" i="5"/>
  <c r="AU31" i="5"/>
  <c r="Z27" i="5"/>
  <c r="AU37" i="5"/>
  <c r="Z26" i="5"/>
  <c r="AU26" i="5"/>
  <c r="Z47" i="5"/>
  <c r="AU16" i="5"/>
  <c r="Z30" i="5"/>
  <c r="AU11" i="5"/>
  <c r="Z13" i="5"/>
  <c r="AU15" i="5"/>
  <c r="Z50" i="5"/>
  <c r="AU41" i="5"/>
  <c r="Z20" i="5"/>
  <c r="AU12" i="5"/>
  <c r="Z21" i="5"/>
  <c r="AU49" i="5"/>
  <c r="Z5" i="5"/>
  <c r="AU38" i="5"/>
  <c r="Z48" i="5"/>
  <c r="AU7" i="5"/>
  <c r="Z35" i="5"/>
  <c r="AU14" i="5"/>
  <c r="AU4" i="5"/>
  <c r="Z12" i="5"/>
  <c r="Z45" i="5"/>
  <c r="Z15" i="5"/>
  <c r="Z37" i="5"/>
  <c r="Z34" i="5"/>
  <c r="Z16" i="5"/>
  <c r="Z42" i="5"/>
  <c r="Z51" i="5"/>
  <c r="Z22" i="5"/>
  <c r="Z25" i="5"/>
  <c r="Z28" i="5"/>
  <c r="Z11" i="5"/>
  <c r="BE4" i="5"/>
  <c r="BD4" i="5" s="1"/>
  <c r="BE5" i="5"/>
  <c r="BD5" i="5" s="1"/>
  <c r="C15" i="8"/>
  <c r="I15" i="8" s="1"/>
  <c r="C28" i="8"/>
  <c r="G28" i="8" s="1"/>
  <c r="C31" i="8"/>
  <c r="C36" i="8"/>
  <c r="C33" i="8"/>
  <c r="C39" i="8"/>
  <c r="C47" i="8"/>
  <c r="C10" i="8"/>
  <c r="C40" i="8"/>
  <c r="C13" i="8"/>
  <c r="C19" i="8"/>
  <c r="C41" i="8"/>
  <c r="C18" i="8"/>
  <c r="Z46" i="5"/>
  <c r="C43" i="8"/>
  <c r="C3" i="8"/>
  <c r="C45" i="8"/>
  <c r="C23" i="8"/>
  <c r="C44" i="8"/>
  <c r="C48" i="8"/>
  <c r="C5" i="8"/>
  <c r="C24" i="8"/>
  <c r="C22" i="8"/>
  <c r="C27" i="8"/>
  <c r="C16" i="8"/>
  <c r="C2" i="8"/>
  <c r="C25" i="8"/>
  <c r="C6" i="8"/>
  <c r="C20" i="8"/>
  <c r="C17" i="8"/>
  <c r="C37" i="8"/>
  <c r="C14" i="8"/>
  <c r="C21" i="8"/>
  <c r="Z14" i="5"/>
  <c r="C42" i="8"/>
  <c r="C30" i="8"/>
  <c r="C11" i="8"/>
  <c r="C7" i="8"/>
  <c r="C29" i="8"/>
  <c r="BE6" i="5"/>
  <c r="BD6" i="5" s="1"/>
  <c r="C26" i="8"/>
  <c r="C32" i="8"/>
  <c r="C8" i="8"/>
  <c r="C12" i="8"/>
  <c r="C35" i="8"/>
  <c r="C46" i="8"/>
  <c r="C4" i="8"/>
  <c r="C49" i="8"/>
  <c r="Z23" i="5"/>
  <c r="C38" i="8"/>
  <c r="C34" i="8"/>
  <c r="C9" i="8"/>
  <c r="BD7" i="5" l="1"/>
  <c r="S20" i="7" s="1"/>
  <c r="G3" i="9" s="1"/>
  <c r="AX14" i="5"/>
  <c r="AX13" i="5" s="1"/>
  <c r="AX10" i="5"/>
  <c r="AX9" i="5" s="1"/>
  <c r="J28" i="8"/>
  <c r="F28" i="8"/>
  <c r="E28" i="8" s="1"/>
  <c r="H28" i="8"/>
  <c r="K28" i="8"/>
  <c r="D28" i="8"/>
  <c r="I28" i="8"/>
  <c r="K15" i="8"/>
  <c r="H15" i="8"/>
  <c r="F15" i="8"/>
  <c r="G15" i="8"/>
  <c r="J15" i="8"/>
  <c r="AW22" i="5"/>
  <c r="AX22" i="5" s="1"/>
  <c r="S23" i="7" s="1"/>
  <c r="G6" i="9" s="1"/>
  <c r="D15" i="8"/>
  <c r="F32" i="8"/>
  <c r="K32" i="8"/>
  <c r="H32" i="8"/>
  <c r="D32" i="8"/>
  <c r="J32" i="8"/>
  <c r="G32" i="8"/>
  <c r="I32" i="8"/>
  <c r="I43" i="8"/>
  <c r="D43" i="8"/>
  <c r="K43" i="8"/>
  <c r="F43" i="8"/>
  <c r="H43" i="8"/>
  <c r="G43" i="8"/>
  <c r="J43" i="8"/>
  <c r="J36" i="8"/>
  <c r="F36" i="8"/>
  <c r="G36" i="8"/>
  <c r="D36" i="8"/>
  <c r="H36" i="8"/>
  <c r="I36" i="8"/>
  <c r="K36" i="8"/>
  <c r="J9" i="8"/>
  <c r="F9" i="8"/>
  <c r="H9" i="8"/>
  <c r="K9" i="8"/>
  <c r="I9" i="8"/>
  <c r="G9" i="8"/>
  <c r="D9" i="8"/>
  <c r="H26" i="8"/>
  <c r="G26" i="8"/>
  <c r="K26" i="8"/>
  <c r="F26" i="8"/>
  <c r="D26" i="8"/>
  <c r="I26" i="8"/>
  <c r="J26" i="8"/>
  <c r="H17" i="8"/>
  <c r="F17" i="8"/>
  <c r="G17" i="8"/>
  <c r="J17" i="8"/>
  <c r="I17" i="8"/>
  <c r="D17" i="8"/>
  <c r="K17" i="8"/>
  <c r="H31" i="8"/>
  <c r="G31" i="8"/>
  <c r="F31" i="8"/>
  <c r="I31" i="8"/>
  <c r="D31" i="8"/>
  <c r="K31" i="8"/>
  <c r="J31" i="8"/>
  <c r="G20" i="8"/>
  <c r="J20" i="8"/>
  <c r="H20" i="8"/>
  <c r="F20" i="8"/>
  <c r="K20" i="8"/>
  <c r="D20" i="8"/>
  <c r="I20" i="8"/>
  <c r="F34" i="8"/>
  <c r="D34" i="8"/>
  <c r="H34" i="8"/>
  <c r="J34" i="8"/>
  <c r="K34" i="8"/>
  <c r="I34" i="8"/>
  <c r="G34" i="8"/>
  <c r="H38" i="8"/>
  <c r="I38" i="8"/>
  <c r="F38" i="8"/>
  <c r="K38" i="8"/>
  <c r="G38" i="8"/>
  <c r="J38" i="8"/>
  <c r="D38" i="8"/>
  <c r="D29" i="8"/>
  <c r="G29" i="8"/>
  <c r="J29" i="8"/>
  <c r="K29" i="8"/>
  <c r="F29" i="8"/>
  <c r="H29" i="8"/>
  <c r="I29" i="8"/>
  <c r="D6" i="8"/>
  <c r="K6" i="8"/>
  <c r="F6" i="8"/>
  <c r="H6" i="8"/>
  <c r="I6" i="8"/>
  <c r="G6" i="8"/>
  <c r="J6" i="8"/>
  <c r="K18" i="8"/>
  <c r="H18" i="8"/>
  <c r="D18" i="8"/>
  <c r="F18" i="8"/>
  <c r="J18" i="8"/>
  <c r="G18" i="8"/>
  <c r="I18" i="8"/>
  <c r="J44" i="8"/>
  <c r="G44" i="8"/>
  <c r="H44" i="8"/>
  <c r="K44" i="8"/>
  <c r="F44" i="8"/>
  <c r="I44" i="8"/>
  <c r="D44" i="8"/>
  <c r="J7" i="8"/>
  <c r="K7" i="8"/>
  <c r="G7" i="8"/>
  <c r="F7" i="8"/>
  <c r="I7" i="8"/>
  <c r="H7" i="8"/>
  <c r="D7" i="8"/>
  <c r="I25" i="8"/>
  <c r="K25" i="8"/>
  <c r="D25" i="8"/>
  <c r="G25" i="8"/>
  <c r="H25" i="8"/>
  <c r="F25" i="8"/>
  <c r="J25" i="8"/>
  <c r="I41" i="8"/>
  <c r="D41" i="8"/>
  <c r="F41" i="8"/>
  <c r="J41" i="8"/>
  <c r="K41" i="8"/>
  <c r="H41" i="8"/>
  <c r="G41" i="8"/>
  <c r="G11" i="8"/>
  <c r="J11" i="8"/>
  <c r="K11" i="8"/>
  <c r="H11" i="8"/>
  <c r="F11" i="8"/>
  <c r="D11" i="8"/>
  <c r="I11" i="8"/>
  <c r="J2" i="8"/>
  <c r="I2" i="8"/>
  <c r="H2" i="8"/>
  <c r="F2" i="8"/>
  <c r="D2" i="8"/>
  <c r="K2" i="8"/>
  <c r="G2" i="8"/>
  <c r="F19" i="8"/>
  <c r="K19" i="8"/>
  <c r="H19" i="8"/>
  <c r="D19" i="8"/>
  <c r="I19" i="8"/>
  <c r="J19" i="8"/>
  <c r="G19" i="8"/>
  <c r="D30" i="8"/>
  <c r="I30" i="8"/>
  <c r="F30" i="8"/>
  <c r="H30" i="8"/>
  <c r="G30" i="8"/>
  <c r="K30" i="8"/>
  <c r="J30" i="8"/>
  <c r="J16" i="8"/>
  <c r="H16" i="8"/>
  <c r="G16" i="8"/>
  <c r="F16" i="8"/>
  <c r="I16" i="8"/>
  <c r="K16" i="8"/>
  <c r="D16" i="8"/>
  <c r="G13" i="8"/>
  <c r="D13" i="8"/>
  <c r="J13" i="8"/>
  <c r="F13" i="8"/>
  <c r="K13" i="8"/>
  <c r="I13" i="8"/>
  <c r="H13" i="8"/>
  <c r="K49" i="8"/>
  <c r="D49" i="8"/>
  <c r="G49" i="8"/>
  <c r="J49" i="8"/>
  <c r="H49" i="8"/>
  <c r="I49" i="8"/>
  <c r="F49" i="8"/>
  <c r="I27" i="8"/>
  <c r="J27" i="8"/>
  <c r="D27" i="8"/>
  <c r="F27" i="8"/>
  <c r="H27" i="8"/>
  <c r="K27" i="8"/>
  <c r="G27" i="8"/>
  <c r="I40" i="8"/>
  <c r="H40" i="8"/>
  <c r="D40" i="8"/>
  <c r="F40" i="8"/>
  <c r="J40" i="8"/>
  <c r="K40" i="8"/>
  <c r="G40" i="8"/>
  <c r="I46" i="8"/>
  <c r="G46" i="8"/>
  <c r="F46" i="8"/>
  <c r="J46" i="8"/>
  <c r="D46" i="8"/>
  <c r="H46" i="8"/>
  <c r="K46" i="8"/>
  <c r="I10" i="8"/>
  <c r="H10" i="8"/>
  <c r="J10" i="8"/>
  <c r="G10" i="8"/>
  <c r="K10" i="8"/>
  <c r="F10" i="8"/>
  <c r="D10" i="8"/>
  <c r="G24" i="8"/>
  <c r="H24" i="8"/>
  <c r="D24" i="8"/>
  <c r="F24" i="8"/>
  <c r="K24" i="8"/>
  <c r="I24" i="8"/>
  <c r="J24" i="8"/>
  <c r="K23" i="8"/>
  <c r="I23" i="8"/>
  <c r="H23" i="8"/>
  <c r="J23" i="8"/>
  <c r="F23" i="8"/>
  <c r="G23" i="8"/>
  <c r="D23" i="8"/>
  <c r="I47" i="8"/>
  <c r="K47" i="8"/>
  <c r="F47" i="8"/>
  <c r="D47" i="8"/>
  <c r="J47" i="8"/>
  <c r="G47" i="8"/>
  <c r="H47" i="8"/>
  <c r="I42" i="8"/>
  <c r="F42" i="8"/>
  <c r="K42" i="8"/>
  <c r="D42" i="8"/>
  <c r="J42" i="8"/>
  <c r="G42" i="8"/>
  <c r="H42" i="8"/>
  <c r="D35" i="8"/>
  <c r="K35" i="8"/>
  <c r="F35" i="8"/>
  <c r="H35" i="8"/>
  <c r="J35" i="8"/>
  <c r="I35" i="8"/>
  <c r="G35" i="8"/>
  <c r="D21" i="8"/>
  <c r="J21" i="8"/>
  <c r="H21" i="8"/>
  <c r="K21" i="8"/>
  <c r="I21" i="8"/>
  <c r="G21" i="8"/>
  <c r="F21" i="8"/>
  <c r="K5" i="8"/>
  <c r="G5" i="8"/>
  <c r="I5" i="8"/>
  <c r="D5" i="8"/>
  <c r="G10" i="9" s="1"/>
  <c r="H5" i="8"/>
  <c r="J5" i="8"/>
  <c r="F5" i="8"/>
  <c r="I45" i="8"/>
  <c r="H45" i="8"/>
  <c r="D45" i="8"/>
  <c r="J45" i="8"/>
  <c r="K45" i="8"/>
  <c r="G45" i="8"/>
  <c r="F45" i="8"/>
  <c r="K39" i="8"/>
  <c r="J39" i="8"/>
  <c r="H39" i="8"/>
  <c r="D39" i="8"/>
  <c r="G39" i="8"/>
  <c r="I39" i="8"/>
  <c r="F39" i="8"/>
  <c r="I37" i="8"/>
  <c r="J37" i="8"/>
  <c r="F37" i="8"/>
  <c r="H37" i="8"/>
  <c r="G37" i="8"/>
  <c r="K37" i="8"/>
  <c r="D37" i="8"/>
  <c r="F4" i="8"/>
  <c r="H4" i="8"/>
  <c r="D4" i="8"/>
  <c r="G7" i="9" s="1"/>
  <c r="K4" i="8"/>
  <c r="G4" i="8"/>
  <c r="J4" i="8"/>
  <c r="I4" i="8"/>
  <c r="H22" i="8"/>
  <c r="G22" i="8"/>
  <c r="I22" i="8"/>
  <c r="K22" i="8"/>
  <c r="J22" i="8"/>
  <c r="D22" i="8"/>
  <c r="F22" i="8"/>
  <c r="I12" i="8"/>
  <c r="J12" i="8"/>
  <c r="K12" i="8"/>
  <c r="F12" i="8"/>
  <c r="D12" i="8"/>
  <c r="H12" i="8"/>
  <c r="G12" i="8"/>
  <c r="G8" i="8"/>
  <c r="J8" i="8"/>
  <c r="H8" i="8"/>
  <c r="D8" i="8"/>
  <c r="I8" i="8"/>
  <c r="K8" i="8"/>
  <c r="F8" i="8"/>
  <c r="H14" i="8"/>
  <c r="J14" i="8"/>
  <c r="I14" i="8"/>
  <c r="G14" i="8"/>
  <c r="K14" i="8"/>
  <c r="D14" i="8"/>
  <c r="F14" i="8"/>
  <c r="D48" i="8"/>
  <c r="K48" i="8"/>
  <c r="I48" i="8"/>
  <c r="J48" i="8"/>
  <c r="H48" i="8"/>
  <c r="G48" i="8"/>
  <c r="F48" i="8"/>
  <c r="J3" i="8"/>
  <c r="G3" i="8"/>
  <c r="I3" i="8"/>
  <c r="F3" i="8"/>
  <c r="H3" i="8"/>
  <c r="D3" i="8"/>
  <c r="G9" i="9" s="1"/>
  <c r="K3" i="8"/>
  <c r="J33" i="8"/>
  <c r="H33" i="8"/>
  <c r="D33" i="8"/>
  <c r="I33" i="8"/>
  <c r="G33" i="8"/>
  <c r="F33" i="8"/>
  <c r="K33" i="8"/>
  <c r="G8" i="9" l="1"/>
  <c r="O25" i="7"/>
  <c r="B12" i="11"/>
  <c r="AX15" i="5"/>
  <c r="AY15" i="5" s="1"/>
  <c r="AX11" i="5"/>
  <c r="AY11" i="5" s="1"/>
  <c r="E46" i="8"/>
  <c r="E12" i="8"/>
  <c r="E6" i="8"/>
  <c r="E41" i="8"/>
  <c r="E47" i="8"/>
  <c r="E9" i="8"/>
  <c r="E43" i="8"/>
  <c r="E5" i="8"/>
  <c r="E42" i="8"/>
  <c r="E10" i="8"/>
  <c r="E25" i="8"/>
  <c r="E29" i="8"/>
  <c r="E20" i="8"/>
  <c r="E8" i="8"/>
  <c r="E4" i="8"/>
  <c r="E13" i="8"/>
  <c r="E19" i="8"/>
  <c r="E45" i="8"/>
  <c r="E33" i="8"/>
  <c r="E22" i="8"/>
  <c r="E11" i="8"/>
  <c r="E18" i="8"/>
  <c r="E15" i="8"/>
  <c r="E7" i="8"/>
  <c r="E38" i="8"/>
  <c r="E23" i="8"/>
  <c r="E27" i="8"/>
  <c r="E36" i="8"/>
  <c r="E37" i="8"/>
  <c r="E21" i="8"/>
  <c r="E2" i="8"/>
  <c r="E34" i="8"/>
  <c r="E48" i="8"/>
  <c r="E24" i="8"/>
  <c r="E39" i="8"/>
  <c r="E16" i="8"/>
  <c r="E31" i="8"/>
  <c r="E26" i="8"/>
  <c r="E14" i="8"/>
  <c r="E3" i="8"/>
  <c r="E49" i="8"/>
  <c r="E44" i="8"/>
  <c r="E35" i="8"/>
  <c r="E40" i="8"/>
  <c r="E30" i="8"/>
  <c r="E17" i="8"/>
  <c r="E32" i="8"/>
  <c r="AY17" i="5" l="1"/>
  <c r="S21" i="7" s="1"/>
  <c r="G4"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35" authorId="0" shapeId="0" xr:uid="{58CD71A8-164D-49A3-93EE-715EBF12BD4F}">
      <text>
        <r>
          <rPr>
            <b/>
            <sz val="9"/>
            <color indexed="81"/>
            <rFont val="Tahoma"/>
            <family val="2"/>
          </rPr>
          <t>Author:</t>
        </r>
        <r>
          <rPr>
            <sz val="9"/>
            <color indexed="81"/>
            <rFont val="Tahoma"/>
            <family val="2"/>
          </rPr>
          <t xml:space="preserve">
al 1/4/2026</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<sst xmlns="http://schemas.openxmlformats.org/spreadsheetml/2006/main" count="5997" uniqueCount="866">
  <si>
    <t>Ptos</t>
  </si>
  <si>
    <t>Qty</t>
  </si>
  <si>
    <t>Max</t>
  </si>
  <si>
    <t>Penalidades</t>
  </si>
  <si>
    <t>Fase de Grupos</t>
  </si>
  <si>
    <t>Ganador</t>
  </si>
  <si>
    <t>Revelación se queda en grupos</t>
  </si>
  <si>
    <t>Resultado exacto</t>
  </si>
  <si>
    <t>Campeón no llega a 4tos</t>
  </si>
  <si>
    <t>16vos</t>
  </si>
  <si>
    <t>Peor pasa grupos</t>
  </si>
  <si>
    <t>Fase Playoffs</t>
  </si>
  <si>
    <t>8vos</t>
  </si>
  <si>
    <t>Decepción llega a Semis</t>
  </si>
  <si>
    <t>4tos</t>
  </si>
  <si>
    <t>semis</t>
  </si>
  <si>
    <t>Final</t>
  </si>
  <si>
    <t>Habrá Jugadores 4 ganadores, con 4 premios</t>
  </si>
  <si>
    <t>3ero</t>
  </si>
  <si>
    <t>1er puesto general</t>
  </si>
  <si>
    <t>Campeón</t>
  </si>
  <si>
    <t>2do puesto general</t>
  </si>
  <si>
    <t>Puntos Extra</t>
  </si>
  <si>
    <t>Figura</t>
  </si>
  <si>
    <t>3er puesto general</t>
  </si>
  <si>
    <t>Goleador</t>
  </si>
  <si>
    <t>Mejor en Resultados Grupos</t>
  </si>
  <si>
    <t>Revelación</t>
  </si>
  <si>
    <t>Decepción</t>
  </si>
  <si>
    <r>
      <t xml:space="preserve">El premio del </t>
    </r>
    <r>
      <rPr>
        <b/>
        <i/>
        <sz val="11"/>
        <color theme="1"/>
        <rFont val="Arial"/>
        <family val="2"/>
        <scheme val="minor"/>
      </rPr>
      <t>3er puesto</t>
    </r>
    <r>
      <rPr>
        <sz val="11"/>
        <color theme="1"/>
        <rFont val="Arial"/>
        <family val="2"/>
        <scheme val="minor"/>
      </rPr>
      <t xml:space="preserve"> será equivalente al del </t>
    </r>
    <r>
      <rPr>
        <b/>
        <i/>
        <sz val="11"/>
        <color theme="1"/>
        <rFont val="Arial"/>
        <family val="2"/>
        <scheme val="minor"/>
      </rPr>
      <t>Mejor en Resultados Grupos</t>
    </r>
  </si>
  <si>
    <t>Mejor 1era Fase</t>
  </si>
  <si>
    <r>
      <t xml:space="preserve">Si el </t>
    </r>
    <r>
      <rPr>
        <b/>
        <i/>
        <sz val="11"/>
        <color theme="1"/>
        <rFont val="Arial"/>
        <family val="2"/>
        <scheme val="minor"/>
      </rPr>
      <t>Mejor en Resultados Grupo</t>
    </r>
    <r>
      <rPr>
        <sz val="11"/>
        <color theme="1"/>
        <rFont val="Arial"/>
        <family val="2"/>
        <scheme val="minor"/>
      </rPr>
      <t xml:space="preserve">s, sale entre los 3 primeros en la general; entonces el premio de </t>
    </r>
    <r>
      <rPr>
        <b/>
        <i/>
        <sz val="11"/>
        <color theme="1"/>
        <rFont val="Arial"/>
        <family val="2"/>
        <scheme val="minor"/>
      </rPr>
      <t>Mejor en Resultados Grupos</t>
    </r>
    <r>
      <rPr>
        <sz val="11"/>
        <color theme="1"/>
        <rFont val="Arial"/>
        <family val="2"/>
        <scheme val="minor"/>
      </rPr>
      <t xml:space="preserve"> será adjudicado al siguiente (que no sea de los 3 primeros en la general).</t>
    </r>
  </si>
  <si>
    <t>Peor Equipo</t>
  </si>
  <si>
    <t>Revelación y Decepción</t>
  </si>
  <si>
    <t>Hay 4 clases de equipos, según su historia, importancia, vigencia y Ranking FIFA. Abajo podrán ver en qué clase entra cada equipo.</t>
  </si>
  <si>
    <r>
      <t xml:space="preserve">El PEOR de los equipos CLASE 1, es automáticamente calificado como </t>
    </r>
    <r>
      <rPr>
        <b/>
        <sz val="11"/>
        <color theme="1"/>
        <rFont val="Arial"/>
        <family val="2"/>
        <scheme val="minor"/>
      </rPr>
      <t>Decepción</t>
    </r>
    <r>
      <rPr>
        <sz val="11"/>
        <color theme="1"/>
        <rFont val="Arial"/>
        <family val="2"/>
        <scheme val="minor"/>
      </rPr>
      <t>. (A su vez, existen 3 equipos clase 1´;  si hay "empate" entre un 1´y un 1, el Clase 1 será decepción)</t>
    </r>
  </si>
  <si>
    <r>
      <t xml:space="preserve">Los equipos clase 2, 3 y 4 podrán ser </t>
    </r>
    <r>
      <rPr>
        <b/>
        <sz val="11"/>
        <color theme="1"/>
        <rFont val="Arial"/>
        <family val="2"/>
        <scheme val="minor"/>
      </rPr>
      <t>Revelación</t>
    </r>
    <r>
      <rPr>
        <sz val="11"/>
        <color theme="1"/>
        <rFont val="Arial"/>
        <family val="2"/>
        <scheme val="minor"/>
      </rPr>
      <t>.</t>
    </r>
  </si>
  <si>
    <t>Un clase 2 solo puede ser revelación si llega a Semis.</t>
  </si>
  <si>
    <t>Un clase 3 sólo puede ser revelación si llega a 4tos.</t>
  </si>
  <si>
    <t>Un clase 4 sólo puede ser revelación si pasa de grupos.</t>
  </si>
  <si>
    <r>
      <t xml:space="preserve">El que haya llegado más lejos de los equipos clase 2, 3 o 4; será la </t>
    </r>
    <r>
      <rPr>
        <b/>
        <sz val="11"/>
        <color theme="1"/>
        <rFont val="Arial"/>
        <family val="2"/>
        <scheme val="minor"/>
      </rPr>
      <t>Revelación</t>
    </r>
    <r>
      <rPr>
        <sz val="11"/>
        <color theme="1"/>
        <rFont val="Arial"/>
        <family val="2"/>
        <scheme val="minor"/>
      </rPr>
      <t xml:space="preserve">. </t>
    </r>
  </si>
  <si>
    <t>En caso que lleguen a misma ronda, se valorará mejor a los equipos de peor clase. Dentro de una misma clase, se desempata por puntos/goles logrados según la tabla general.</t>
  </si>
  <si>
    <t>El último criterio de desempate para la tabla general (Total Results) será el Ranking FIFA según 1/4/2026 (el de peor ranking queda más alto).</t>
  </si>
  <si>
    <t>Puede darse que NO HAYA equipo revelación.</t>
  </si>
  <si>
    <t>Ranking FIFA</t>
  </si>
  <si>
    <t>País</t>
  </si>
  <si>
    <t>Clase</t>
  </si>
  <si>
    <t>Class 1´</t>
  </si>
  <si>
    <t>Francia</t>
  </si>
  <si>
    <t>España</t>
  </si>
  <si>
    <t>Argentina</t>
  </si>
  <si>
    <t>Inglaterra</t>
  </si>
  <si>
    <t>Portugal</t>
  </si>
  <si>
    <t>Brasil</t>
  </si>
  <si>
    <t>Paises Bajos</t>
  </si>
  <si>
    <t>Belgica</t>
  </si>
  <si>
    <t>Alemania</t>
  </si>
  <si>
    <t>Croacia</t>
  </si>
  <si>
    <t>Uruguay</t>
  </si>
  <si>
    <t>Marruecos</t>
  </si>
  <si>
    <t>Colombia</t>
  </si>
  <si>
    <t>Senegal</t>
  </si>
  <si>
    <t>Mexico</t>
  </si>
  <si>
    <t>Estados Unidos</t>
  </si>
  <si>
    <t>Japon</t>
  </si>
  <si>
    <t>Suiza</t>
  </si>
  <si>
    <t>Turquia</t>
  </si>
  <si>
    <t>Ecuador</t>
  </si>
  <si>
    <t>Corea del Sur</t>
  </si>
  <si>
    <t>Noruega</t>
  </si>
  <si>
    <t>Suecia</t>
  </si>
  <si>
    <t>Paraguay</t>
  </si>
  <si>
    <t>Austria</t>
  </si>
  <si>
    <t>Australia</t>
  </si>
  <si>
    <t>Argelia</t>
  </si>
  <si>
    <t>Egipto</t>
  </si>
  <si>
    <t>Canada</t>
  </si>
  <si>
    <t>Panama</t>
  </si>
  <si>
    <t>Costa de Marfil</t>
  </si>
  <si>
    <t>Repubilca Checa</t>
  </si>
  <si>
    <t>Escocia</t>
  </si>
  <si>
    <t>Tunez</t>
  </si>
  <si>
    <t>Sudafrica</t>
  </si>
  <si>
    <t>Arabia Saudita</t>
  </si>
  <si>
    <t>Bosnia</t>
  </si>
  <si>
    <t>Ghana</t>
  </si>
  <si>
    <t>Iran</t>
  </si>
  <si>
    <t>Congo</t>
  </si>
  <si>
    <t>Uzbekistan</t>
  </si>
  <si>
    <t>Qatar</t>
  </si>
  <si>
    <t>Irak</t>
  </si>
  <si>
    <t>Jordania</t>
  </si>
  <si>
    <t>Cabo Verde</t>
  </si>
  <si>
    <t>Curazao</t>
  </si>
  <si>
    <t>Haiti</t>
  </si>
  <si>
    <t>Nueva Zelanda</t>
  </si>
  <si>
    <t>TOTAL</t>
  </si>
  <si>
    <t>TERCEROS</t>
  </si>
  <si>
    <t>Clasificó?</t>
  </si>
  <si>
    <t>Elección</t>
  </si>
  <si>
    <t>Partido</t>
  </si>
  <si>
    <t>Fecha</t>
  </si>
  <si>
    <t>Sede</t>
  </si>
  <si>
    <t>Grupo A</t>
  </si>
  <si>
    <t>G</t>
  </si>
  <si>
    <t>E</t>
  </si>
  <si>
    <t>P</t>
  </si>
  <si>
    <t>Dif</t>
  </si>
  <si>
    <t>G+</t>
  </si>
  <si>
    <t>G-</t>
  </si>
  <si>
    <t>J</t>
  </si>
  <si>
    <t>check</t>
  </si>
  <si>
    <t>Empate 1</t>
  </si>
  <si>
    <t>Empate?</t>
  </si>
  <si>
    <t>Extra</t>
  </si>
  <si>
    <t>Orden</t>
  </si>
  <si>
    <t xml:space="preserve"> - </t>
  </si>
  <si>
    <t>GA1</t>
  </si>
  <si>
    <t>GA2</t>
  </si>
  <si>
    <t>GA3</t>
  </si>
  <si>
    <t>GA4</t>
  </si>
  <si>
    <t>GA5</t>
  </si>
  <si>
    <t>Completo?</t>
  </si>
  <si>
    <t>GA6</t>
  </si>
  <si>
    <t>Hay equipos empatados: completar tabla para definir sorteo (valores del 1 al 4, el 4 pasa de ronda)</t>
  </si>
  <si>
    <t>Grupo B</t>
  </si>
  <si>
    <t>GB1</t>
  </si>
  <si>
    <t>GB2</t>
  </si>
  <si>
    <t>GB3</t>
  </si>
  <si>
    <t>GB4</t>
  </si>
  <si>
    <t>GB5</t>
  </si>
  <si>
    <t>GB6</t>
  </si>
  <si>
    <t>Grupo C</t>
  </si>
  <si>
    <t>GC1</t>
  </si>
  <si>
    <t>GC2</t>
  </si>
  <si>
    <t>GC3</t>
  </si>
  <si>
    <t>GC4</t>
  </si>
  <si>
    <t>GC5</t>
  </si>
  <si>
    <t>GC6</t>
  </si>
  <si>
    <t>Grupo D</t>
  </si>
  <si>
    <t>GD1</t>
  </si>
  <si>
    <t>GD2</t>
  </si>
  <si>
    <t>GD3</t>
  </si>
  <si>
    <t>GD4</t>
  </si>
  <si>
    <t>GD5</t>
  </si>
  <si>
    <t>GD6</t>
  </si>
  <si>
    <t>Grupo E</t>
  </si>
  <si>
    <t>GE1</t>
  </si>
  <si>
    <t>GE2</t>
  </si>
  <si>
    <t>GE3</t>
  </si>
  <si>
    <t>GE4</t>
  </si>
  <si>
    <t>GE5</t>
  </si>
  <si>
    <t>GE6</t>
  </si>
  <si>
    <t>Grupo F</t>
  </si>
  <si>
    <t>GF1</t>
  </si>
  <si>
    <t>GF2</t>
  </si>
  <si>
    <t>GF3</t>
  </si>
  <si>
    <t>GF4</t>
  </si>
  <si>
    <t>GF5</t>
  </si>
  <si>
    <t>GF6</t>
  </si>
  <si>
    <t>Grupo G</t>
  </si>
  <si>
    <t>GG1</t>
  </si>
  <si>
    <t>GG2</t>
  </si>
  <si>
    <t>GG3</t>
  </si>
  <si>
    <t>GG4</t>
  </si>
  <si>
    <t>GG5</t>
  </si>
  <si>
    <t>GG6</t>
  </si>
  <si>
    <t>Grupo H</t>
  </si>
  <si>
    <t>GH1</t>
  </si>
  <si>
    <t>GH2</t>
  </si>
  <si>
    <t>GH3</t>
  </si>
  <si>
    <t>GH4</t>
  </si>
  <si>
    <t>GH5</t>
  </si>
  <si>
    <t>GH6</t>
  </si>
  <si>
    <t>Grupo I</t>
  </si>
  <si>
    <t>GI1</t>
  </si>
  <si>
    <t>GI2</t>
  </si>
  <si>
    <t>GI3</t>
  </si>
  <si>
    <t>GI4</t>
  </si>
  <si>
    <t>GI5</t>
  </si>
  <si>
    <t>GI6</t>
  </si>
  <si>
    <t>Grupo J</t>
  </si>
  <si>
    <t>GJ1</t>
  </si>
  <si>
    <t>GJ2</t>
  </si>
  <si>
    <t>GJ3</t>
  </si>
  <si>
    <t>GJ4</t>
  </si>
  <si>
    <t>GJ5</t>
  </si>
  <si>
    <t>GJ6</t>
  </si>
  <si>
    <t>Grupo K</t>
  </si>
  <si>
    <t>GK1</t>
  </si>
  <si>
    <t>GK2</t>
  </si>
  <si>
    <t>GK3</t>
  </si>
  <si>
    <t>GK4</t>
  </si>
  <si>
    <t>GK5</t>
  </si>
  <si>
    <t>GK6</t>
  </si>
  <si>
    <t>Grupo L</t>
  </si>
  <si>
    <t>GL1</t>
  </si>
  <si>
    <t>GL2</t>
  </si>
  <si>
    <t>GL3</t>
  </si>
  <si>
    <t>GL4</t>
  </si>
  <si>
    <t>GL5</t>
  </si>
  <si>
    <t>GL6</t>
  </si>
  <si>
    <t>2A</t>
  </si>
  <si>
    <t>2B</t>
  </si>
  <si>
    <t>W73</t>
  </si>
  <si>
    <t>1D</t>
  </si>
  <si>
    <t>W81</t>
  </si>
  <si>
    <t>W74</t>
  </si>
  <si>
    <t>W77</t>
  </si>
  <si>
    <t>W89</t>
  </si>
  <si>
    <t>W83</t>
  </si>
  <si>
    <t>W84</t>
  </si>
  <si>
    <t>W93</t>
  </si>
  <si>
    <t>M73</t>
  </si>
  <si>
    <t>M81</t>
  </si>
  <si>
    <t>M89</t>
  </si>
  <si>
    <t>M93</t>
  </si>
  <si>
    <t>Penales</t>
  </si>
  <si>
    <t>1E</t>
  </si>
  <si>
    <t>1G</t>
  </si>
  <si>
    <t>W82</t>
  </si>
  <si>
    <t>M74</t>
  </si>
  <si>
    <t>M82</t>
  </si>
  <si>
    <t>1F</t>
  </si>
  <si>
    <t>2C</t>
  </si>
  <si>
    <t>W75</t>
  </si>
  <si>
    <t>2K</t>
  </si>
  <si>
    <t>2L</t>
  </si>
  <si>
    <t>W90</t>
  </si>
  <si>
    <t>W94</t>
  </si>
  <si>
    <t>M75</t>
  </si>
  <si>
    <t>M83</t>
  </si>
  <si>
    <t>M90</t>
  </si>
  <si>
    <t>M94</t>
  </si>
  <si>
    <t>1C</t>
  </si>
  <si>
    <t>2F</t>
  </si>
  <si>
    <t>W76</t>
  </si>
  <si>
    <t>1H</t>
  </si>
  <si>
    <t>2J</t>
  </si>
  <si>
    <t>M76</t>
  </si>
  <si>
    <t>M84</t>
  </si>
  <si>
    <t>1I</t>
  </si>
  <si>
    <t>1B</t>
  </si>
  <si>
    <t>W85</t>
  </si>
  <si>
    <t>W78</t>
  </si>
  <si>
    <t>W91</t>
  </si>
  <si>
    <t>W86</t>
  </si>
  <si>
    <t>W88</t>
  </si>
  <si>
    <t>W95</t>
  </si>
  <si>
    <t>M77</t>
  </si>
  <si>
    <t>M85</t>
  </si>
  <si>
    <t>M91</t>
  </si>
  <si>
    <t>M95</t>
  </si>
  <si>
    <t>2E</t>
  </si>
  <si>
    <t>2I</t>
  </si>
  <si>
    <t>1J</t>
  </si>
  <si>
    <t>2H</t>
  </si>
  <si>
    <t>M78</t>
  </si>
  <si>
    <t>M86</t>
  </si>
  <si>
    <t>1A</t>
  </si>
  <si>
    <t>W79</t>
  </si>
  <si>
    <t>1K</t>
  </si>
  <si>
    <t>W87</t>
  </si>
  <si>
    <t>W80</t>
  </si>
  <si>
    <t>W92</t>
  </si>
  <si>
    <t>W96</t>
  </si>
  <si>
    <t>M79</t>
  </si>
  <si>
    <t>M87</t>
  </si>
  <si>
    <t>M92</t>
  </si>
  <si>
    <t>M96</t>
  </si>
  <si>
    <t>1L</t>
  </si>
  <si>
    <t>2D</t>
  </si>
  <si>
    <t>2G</t>
  </si>
  <si>
    <t>M80</t>
  </si>
  <si>
    <t>M88</t>
  </si>
  <si>
    <t>W97</t>
  </si>
  <si>
    <t>W99</t>
  </si>
  <si>
    <t>M97</t>
  </si>
  <si>
    <t>M99</t>
  </si>
  <si>
    <t>M104</t>
  </si>
  <si>
    <t>W98</t>
  </si>
  <si>
    <t>W100</t>
  </si>
  <si>
    <t>M98</t>
  </si>
  <si>
    <t>M100</t>
  </si>
  <si>
    <t>W101</t>
  </si>
  <si>
    <t>W102</t>
  </si>
  <si>
    <t>M103</t>
  </si>
  <si>
    <t>M101</t>
  </si>
  <si>
    <t>M102</t>
  </si>
  <si>
    <t>Fase</t>
  </si>
  <si>
    <t>Ptos*</t>
  </si>
  <si>
    <t>Puntos</t>
  </si>
  <si>
    <t>Sub-campeón</t>
  </si>
  <si>
    <t>3er puesto</t>
  </si>
  <si>
    <t>Semifinal</t>
  </si>
  <si>
    <t>4tos de final</t>
  </si>
  <si>
    <t>8vos de final</t>
  </si>
  <si>
    <t>16vos de final</t>
  </si>
  <si>
    <t>Groups stage</t>
  </si>
  <si>
    <t>Equipo 1</t>
  </si>
  <si>
    <t>G1</t>
  </si>
  <si>
    <t>G2</t>
  </si>
  <si>
    <t>Equipo 2</t>
  </si>
  <si>
    <t>Campeon</t>
  </si>
  <si>
    <t>2do</t>
  </si>
  <si>
    <t>4to</t>
  </si>
  <si>
    <t>Round of 32 (16vos de Final)</t>
  </si>
  <si>
    <t>Winner</t>
  </si>
  <si>
    <t>Round of 16 (8vos de Final)</t>
  </si>
  <si>
    <t>Semi-Finals</t>
  </si>
  <si>
    <t>Lost</t>
  </si>
  <si>
    <t>L101</t>
  </si>
  <si>
    <t>L102</t>
  </si>
  <si>
    <t>3rd Place</t>
  </si>
  <si>
    <t>3rd</t>
  </si>
  <si>
    <t>4th</t>
  </si>
  <si>
    <t>2nd</t>
  </si>
  <si>
    <t>Quater-finals</t>
  </si>
  <si>
    <t xml:space="preserve">1A 1B 1D 1E 1G 1I 1K 1L </t>
  </si>
  <si>
    <t>Mejores 3eros</t>
  </si>
  <si>
    <t>Primeros</t>
  </si>
  <si>
    <t>Terceros</t>
  </si>
  <si>
    <t>Ptos**</t>
  </si>
  <si>
    <t xml:space="preserve">1 3E 3J 3I 3F 3H 3G 3L 3K </t>
  </si>
  <si>
    <t>3E</t>
  </si>
  <si>
    <t>3J</t>
  </si>
  <si>
    <t>3I</t>
  </si>
  <si>
    <t>3F</t>
  </si>
  <si>
    <t>3H</t>
  </si>
  <si>
    <t>3G</t>
  </si>
  <si>
    <t>3L</t>
  </si>
  <si>
    <t>3K</t>
  </si>
  <si>
    <t>3eros</t>
  </si>
  <si>
    <t>3A</t>
  </si>
  <si>
    <t xml:space="preserve">2 3H 3G 3I 3D 3J 3F 3L 3K </t>
  </si>
  <si>
    <t>3D</t>
  </si>
  <si>
    <t>3B</t>
  </si>
  <si>
    <t xml:space="preserve">3 3E 3J 3I 3D 3H 3G 3L 3K </t>
  </si>
  <si>
    <t>3C</t>
  </si>
  <si>
    <t xml:space="preserve">4 3E 3J 3I 3D 3H 3F 3L 3K </t>
  </si>
  <si>
    <t xml:space="preserve">5 3E 3G 3I 3D 3J 3F 3L 3K </t>
  </si>
  <si>
    <t xml:space="preserve">6 3E 3G 3J 3D 3H 3F 3L 3K </t>
  </si>
  <si>
    <t xml:space="preserve">7 3E 3G 3I 3D 3H 3F 3L 3K </t>
  </si>
  <si>
    <t xml:space="preserve">8 3E 3G 3J 3D 3H 3F 3L 3I </t>
  </si>
  <si>
    <t>9 3E 3G 3J 3D 3H 3F 3I 3K</t>
  </si>
  <si>
    <t xml:space="preserve">10 3H 3G 3I 3C 3J 3F 3L 3K </t>
  </si>
  <si>
    <t xml:space="preserve">11 3E 3J 3I 3C 3H 3G 3L 3K </t>
  </si>
  <si>
    <t xml:space="preserve">12 3E 3J 3I 3C 3H 3F 3L 3K </t>
  </si>
  <si>
    <t xml:space="preserve">13 3E 3G 3I 3C 3J 3F 3L 3K </t>
  </si>
  <si>
    <t xml:space="preserve">14 3E 3G 3J 3C 3H 3F 3L 3K </t>
  </si>
  <si>
    <t xml:space="preserve">15 3E 3G 3I 3C 3H 3F 3L 3K </t>
  </si>
  <si>
    <t xml:space="preserve">16 3E 3G 3J 3C 3H 3F 3L 3I </t>
  </si>
  <si>
    <t xml:space="preserve">17 3E 3G 3J 3C 3H 3F 3I 3K </t>
  </si>
  <si>
    <t>18 3H 3G 3I 3C 3J 3D 3L 3K</t>
  </si>
  <si>
    <t>19 3C 3J 3I 3D 3H 3F 3L 3K</t>
  </si>
  <si>
    <t xml:space="preserve">20 3C 3G 3I 3D 3J 3F 3L 3K </t>
  </si>
  <si>
    <t xml:space="preserve">21 3C 3G 3J 3D 3H 3F 3L 3K </t>
  </si>
  <si>
    <t xml:space="preserve">22 3C 3G 3I 3D 3H 3F 3L 3K </t>
  </si>
  <si>
    <t xml:space="preserve">23 3C 3G 3J 3D 3H 3F 3L 3I </t>
  </si>
  <si>
    <t xml:space="preserve">24 3C 3G 3J 3D 3H 3F 3I 3K </t>
  </si>
  <si>
    <t xml:space="preserve">25 3E 3J 3I 3C 3H 3D 3L 3K </t>
  </si>
  <si>
    <t xml:space="preserve">26 3E 3G 3I 3C 3J 3D 3L 3K </t>
  </si>
  <si>
    <t xml:space="preserve">27 3E 3G 3J 3C 3H 3D 3L 3K </t>
  </si>
  <si>
    <t xml:space="preserve">28 3E 3G 3I 3C 3H 3D 3L 3K </t>
  </si>
  <si>
    <t xml:space="preserve">29 3E 3G 3J 3C 3H 3D 3L 3I </t>
  </si>
  <si>
    <t xml:space="preserve">30 3E 3G 3J 3C 3H 3D 3I 3K </t>
  </si>
  <si>
    <t xml:space="preserve">31 3C 3J 3E 3D 3I 3F 3L 3K </t>
  </si>
  <si>
    <t xml:space="preserve">32 3C 3J 3E 3D 3H 3F 3L 3K </t>
  </si>
  <si>
    <t xml:space="preserve">33 3C 3E 3I 3D 3H 3F 3L 3K </t>
  </si>
  <si>
    <t xml:space="preserve">34 3C 3J 3E 3D 3H 3F 3L 3I </t>
  </si>
  <si>
    <t xml:space="preserve">35 3C 3J 3E 3D 3H 3F 3I 3K </t>
  </si>
  <si>
    <t xml:space="preserve">36 3C 3G 3E 3D 3J 3F 3L 3K </t>
  </si>
  <si>
    <t xml:space="preserve">37 3C 3G 3E 3D 3I 3F 3L 3K </t>
  </si>
  <si>
    <t xml:space="preserve">38 3C 3G 3E 3D 3J 3F 3L 3I </t>
  </si>
  <si>
    <t xml:space="preserve">39 3C 3G 3E 3D 3J 3F 3I 3K </t>
  </si>
  <si>
    <t xml:space="preserve">40 3C 3G 3E 3D 3H 3F 3L 3K </t>
  </si>
  <si>
    <t xml:space="preserve">41 3C 3G 3J 3D 3H 3F 3L 3E </t>
  </si>
  <si>
    <t xml:space="preserve">42 3C 3G 3J 3D 3H 3F 3E 3K </t>
  </si>
  <si>
    <t xml:space="preserve">43 3C 3G 3E 3D 3H 3F 3L 3I </t>
  </si>
  <si>
    <t xml:space="preserve">44 3C 3G 3E 3D 3H 3F 3I 3K </t>
  </si>
  <si>
    <t xml:space="preserve">45 3C 3G 3J 3D 3H 3F 3E 3I </t>
  </si>
  <si>
    <t xml:space="preserve">46 3H 3J 3B 3F 3I 3G 3L 3K </t>
  </si>
  <si>
    <t>47 3E 3J 3I 3B 3H 3G 3L 3K</t>
  </si>
  <si>
    <t xml:space="preserve">48 3E 3J 3B 3F 3I 3H 3L 3K </t>
  </si>
  <si>
    <t xml:space="preserve">49 3E 3J 3B 3F 3I 3G 3L 3K </t>
  </si>
  <si>
    <t xml:space="preserve">50 3E 3J 3B 3F 3H 3G 3L 3K </t>
  </si>
  <si>
    <t xml:space="preserve">51 3E 3G 3B 3F 3I 3H 3L 3K </t>
  </si>
  <si>
    <t xml:space="preserve">52 3E 3J 3B 3F 3H 3G 3L 3I </t>
  </si>
  <si>
    <t xml:space="preserve">53 3E 3J 3B 3F 3H 3G 3I 3K </t>
  </si>
  <si>
    <t xml:space="preserve">54 3H 3J 3B 3D 3I 3G 3L 3K </t>
  </si>
  <si>
    <t xml:space="preserve">55 3H 3J 3B 3D 3I 3F 3L 3K </t>
  </si>
  <si>
    <t xml:space="preserve">56 3I 3G 3B 3D 3J 3F 3L 3K </t>
  </si>
  <si>
    <t xml:space="preserve">57 3H 3G 3B 3D 3J 3F 3L 3K </t>
  </si>
  <si>
    <t xml:space="preserve">58 3H 3G 3B 3D 3I 3F 3L 3K </t>
  </si>
  <si>
    <t xml:space="preserve">59 3H 3G 3B 3D 3J 3F 3L 3I </t>
  </si>
  <si>
    <t xml:space="preserve">60 3H 3G 3B 3D 3J 3F 3I 3K </t>
  </si>
  <si>
    <t xml:space="preserve">61 3E 3J 3B 3D 3I 3H 3L 3K </t>
  </si>
  <si>
    <t xml:space="preserve">62 3E 3J 3B 3D 3I 3G 3L 3K </t>
  </si>
  <si>
    <t xml:space="preserve">63 3E 3J 3B 3D 3H 3G 3L 3K </t>
  </si>
  <si>
    <t xml:space="preserve">64 3E 3G 3B 3D 3I 3H 3L 3K </t>
  </si>
  <si>
    <t xml:space="preserve">65 3E 3J 3B 3D 3H 3G 3L 3I </t>
  </si>
  <si>
    <t xml:space="preserve">66 3E 3J 3B 3D 3H 3G 3I 3K </t>
  </si>
  <si>
    <t xml:space="preserve">67 3E 3J 3B 3D 3I 3F 3L 3K </t>
  </si>
  <si>
    <t xml:space="preserve">68 3E 3J 3B 3D 3H 3F 3L 3K </t>
  </si>
  <si>
    <t xml:space="preserve">69 3E 3I 3B 3D 3H 3F 3L 3K </t>
  </si>
  <si>
    <t xml:space="preserve">70 3E 3J 3B 3D 3H 3F 3L 3I </t>
  </si>
  <si>
    <t xml:space="preserve">71 3E 3J 3B 3D 3H 3F 3I 3K </t>
  </si>
  <si>
    <t xml:space="preserve">72 3E 3G 3B 3D 3J 3F 3L 3K </t>
  </si>
  <si>
    <t xml:space="preserve">73 3E 3G 3B 3D 3I 3F 3L 3K </t>
  </si>
  <si>
    <t xml:space="preserve">74 3E 3G 3B 3D 3J 3F 3L 3I </t>
  </si>
  <si>
    <t xml:space="preserve">75 3E 3G 3B 3D 3J 3F 3I 3K </t>
  </si>
  <si>
    <t>76 3E 3G 3B 3D 3H 3F 3L 3K</t>
  </si>
  <si>
    <t xml:space="preserve">77 3H 3G 3B 3D 3J 3F 3L 3E </t>
  </si>
  <si>
    <t xml:space="preserve">78 3H 3G 3B 3D 3J 3F 3E 3K </t>
  </si>
  <si>
    <t xml:space="preserve">79 3E 3G 3B 3D 3H 3F 3L 3I </t>
  </si>
  <si>
    <t xml:space="preserve">80 3E 3G 3B 3D 3H 3F 3I 3K </t>
  </si>
  <si>
    <t xml:space="preserve">81 3H 3G 3B 3D 3J 3F 3E 3I </t>
  </si>
  <si>
    <t xml:space="preserve">82 3H 3J 3B 3C 3I 3G 3L 3K </t>
  </si>
  <si>
    <t xml:space="preserve">83 3H 3J 3B 3C 3I 3F 3L 3K </t>
  </si>
  <si>
    <t xml:space="preserve">84 3I 3G 3B 3C 3J 3F 3L 3K </t>
  </si>
  <si>
    <t xml:space="preserve">85 3H 3G 3B 3C 3J 3F 3L 3K </t>
  </si>
  <si>
    <t xml:space="preserve">86 3H 3G 3B 3C 3I 3F 3L 3K </t>
  </si>
  <si>
    <t xml:space="preserve">87 3H 3G 3B 3C 3J 3F 3L 3I </t>
  </si>
  <si>
    <t xml:space="preserve">88 3H 3G 3B 3C 3J 3F 3I 3K </t>
  </si>
  <si>
    <t xml:space="preserve">89 3E 3J 3B 3C 3I 3H 3L 3K </t>
  </si>
  <si>
    <t xml:space="preserve">90 3E 3J 3B 3C 3I 3G 3L 3K </t>
  </si>
  <si>
    <t xml:space="preserve">91 3E 3J 3B 3C 3H 3G 3L 3K </t>
  </si>
  <si>
    <t xml:space="preserve">92 3E 3G 3B 3C 3I 3H 3L 3K </t>
  </si>
  <si>
    <t xml:space="preserve">93 3E 3J 3B 3C 3H 3G 3L 3I </t>
  </si>
  <si>
    <t xml:space="preserve">94 3E 3J 3B 3C 3H 3G 3I 3K </t>
  </si>
  <si>
    <t xml:space="preserve">95 3E 3J 3B 3C 3I 3F 3L 3K </t>
  </si>
  <si>
    <t xml:space="preserve">96 3E 3J 3B 3C 3H 3F 3L 3K </t>
  </si>
  <si>
    <t xml:space="preserve">97 3E 3I 3B 3C 3H 3F 3L 3K </t>
  </si>
  <si>
    <t xml:space="preserve">98 3E 3J 3B 3C 3H 3F 3L 3I </t>
  </si>
  <si>
    <t>99 3E 3J 3B 3C 3H 3F 3I 3K</t>
  </si>
  <si>
    <t xml:space="preserve">100 3E 3G 3B 3C 3J 3F 3L 3K </t>
  </si>
  <si>
    <t xml:space="preserve">101 3E 3G 3B 3C 3I 3F 3L 3K </t>
  </si>
  <si>
    <t xml:space="preserve">102 3E 3G 3B 3C 3J 3F 3L 3I </t>
  </si>
  <si>
    <t xml:space="preserve">103 3E 3G 3B 3C 3J 3F 3I 3K </t>
  </si>
  <si>
    <t xml:space="preserve">104 3E 3G 3B 3C 3H 3F 3L 3K </t>
  </si>
  <si>
    <t>105 3H 3G 3B 3C 3J 3F 3L 3E</t>
  </si>
  <si>
    <t xml:space="preserve">106 3H 3G 3B 3C 3J 3F 3E 3K </t>
  </si>
  <si>
    <t xml:space="preserve">107 3E 3G 3B 3C 3H 3F 3L 3I </t>
  </si>
  <si>
    <t xml:space="preserve">108 3E 3G 3B 3C 3H 3F 3I 3K </t>
  </si>
  <si>
    <t xml:space="preserve">109 3H 3G 3B 3C 3J 3F 3E 3I </t>
  </si>
  <si>
    <t xml:space="preserve">110 3H 3J 3B 3C 3I 3D 3L 3K </t>
  </si>
  <si>
    <t xml:space="preserve">111 3I 3G 3B 3C 3J 3D 3L 3K </t>
  </si>
  <si>
    <t xml:space="preserve">112 3H 3G 3B 3C 3J 3D 3L 3K </t>
  </si>
  <si>
    <t xml:space="preserve">113 3H 3G 3B 3C 3I 3D 3L 3K </t>
  </si>
  <si>
    <t xml:space="preserve">114 3H 3G 3B 3C 3J 3D 3L 3I </t>
  </si>
  <si>
    <t xml:space="preserve">115 3H 3G 3B 3C 3J 3D 3I 3K </t>
  </si>
  <si>
    <t xml:space="preserve">116 3C 3J 3B 3D 3I 3F 3L 3K </t>
  </si>
  <si>
    <t xml:space="preserve">117 3C 3J 3B 3D 3H 3F 3L 3K </t>
  </si>
  <si>
    <t xml:space="preserve">118 3C 3I 3B 3D 3H 3F 3L 3K </t>
  </si>
  <si>
    <t xml:space="preserve">119 3C 3J 3B 3D 3H 3F 3L 3I </t>
  </si>
  <si>
    <t xml:space="preserve">120 3C 3J 3B 3D 3H 3F 3I 3K </t>
  </si>
  <si>
    <t xml:space="preserve">121 3C 3G 3B 3D 3J 3F 3L 3K </t>
  </si>
  <si>
    <t xml:space="preserve">122 3C 3G 3B 3D 3I 3F 3L 3K </t>
  </si>
  <si>
    <t xml:space="preserve">123 3C 3G 3B 3D 3J 3F 3L 3I </t>
  </si>
  <si>
    <t xml:space="preserve">124 3C 3G 3B 3D 3J 3F 3I 3K </t>
  </si>
  <si>
    <t xml:space="preserve">125 3C 3G 3B 3D 3H 3F 3L 3K </t>
  </si>
  <si>
    <t xml:space="preserve">126 3C 3G 3B 3D 3H 3F 3L 3J </t>
  </si>
  <si>
    <t>127 3H 3G 3B 3C 3J 3F 3D 3K</t>
  </si>
  <si>
    <t xml:space="preserve">128 3C 3G 3B 3D 3H 3F 3L 3I </t>
  </si>
  <si>
    <t xml:space="preserve">129 3C 3G 3B 3D 3H 3F 3I 3K </t>
  </si>
  <si>
    <t xml:space="preserve">130 3H 3G 3B 3C 3J 3F 3D 3I </t>
  </si>
  <si>
    <t xml:space="preserve">131 3E 3J 3B 3C 3I 3D 3L 3K </t>
  </si>
  <si>
    <t xml:space="preserve">132 3E 3J 3B 3C 3H 3D 3L 3K </t>
  </si>
  <si>
    <t xml:space="preserve">133 3E 3I 3B 3C 3H 3D 3L 3K </t>
  </si>
  <si>
    <t>134 3E 3J 3B 3C 3H 3D 3L 3I</t>
  </si>
  <si>
    <t xml:space="preserve">135 3E 3J 3B 3C 3H 3D 3I 3K </t>
  </si>
  <si>
    <t xml:space="preserve">136 3E 3G 3B 3C 3J 3D 3L 3K </t>
  </si>
  <si>
    <t xml:space="preserve">137 3E 3G 3B 3C 3I 3D 3L 3K </t>
  </si>
  <si>
    <t xml:space="preserve">138 3E 3G 3B 3C 3J 3D 3L 3I </t>
  </si>
  <si>
    <t xml:space="preserve">139 3E 3G 3B 3C 3J 3D 3I 3K </t>
  </si>
  <si>
    <t xml:space="preserve">140 3E 3G 3B 3C 3H 3D 3L 3K </t>
  </si>
  <si>
    <t xml:space="preserve">141 3H 3G 3B 3C 3J 3D 3L 3E </t>
  </si>
  <si>
    <t xml:space="preserve">142 3H 3G 3B 3C 3J 3D 3E 3K </t>
  </si>
  <si>
    <t xml:space="preserve">143 3E 3G 3B 3C 3H 3D 3L 3I </t>
  </si>
  <si>
    <t xml:space="preserve">144 3E 3G 3B 3C 3H 3D 3I 3K </t>
  </si>
  <si>
    <t xml:space="preserve">145 3H 3G 3B 3C 3J 3D 3E 3I </t>
  </si>
  <si>
    <t xml:space="preserve">146 3C 3J 3B 3D 3E 3F 3L 3K </t>
  </si>
  <si>
    <t xml:space="preserve">147 3C 3E 3B 3D 3I 3F 3L 3K </t>
  </si>
  <si>
    <t xml:space="preserve">148 3C 3J 3B 3D 3E 3F 3L 3I </t>
  </si>
  <si>
    <t xml:space="preserve">149 3C 3J 3B 3D 3E 3F 3I 3K </t>
  </si>
  <si>
    <t xml:space="preserve">150 3C 3E 3B 3D 3H 3F 3L 3K </t>
  </si>
  <si>
    <t xml:space="preserve">151 3C 3J 3B 3D 3H 3F 3L 3E </t>
  </si>
  <si>
    <t xml:space="preserve">152 3C 3J 3B 3D 3H 3F 3E 3K </t>
  </si>
  <si>
    <t xml:space="preserve">153 3C 3E 3B 3D 3H 3F 3L 3I </t>
  </si>
  <si>
    <t xml:space="preserve">154 3C 3E 3B 3D 3H 3F 3I 3K </t>
  </si>
  <si>
    <t xml:space="preserve">155 3C 3J 3B 3D 3H 3F 3E 3I </t>
  </si>
  <si>
    <t xml:space="preserve">156 3C 3G 3B 3D 3E 3F 3L 3K </t>
  </si>
  <si>
    <t xml:space="preserve">157 3C 3G 3B 3D 3J 3F 3L 3E </t>
  </si>
  <si>
    <t xml:space="preserve">158 3C 3G 3B 3D 3J 3F 3E 3K </t>
  </si>
  <si>
    <t xml:space="preserve">159 3C 3G 3B 3D 3E 3F 3L 3I </t>
  </si>
  <si>
    <t xml:space="preserve">160 3C 3G 3B 3D 3E 3F 3I 3K </t>
  </si>
  <si>
    <t xml:space="preserve">161 3C 3G 3B 3D 3J 3F 3E 3I </t>
  </si>
  <si>
    <t xml:space="preserve">162 3C 3G 3B 3D 3H 3F 3L 3E </t>
  </si>
  <si>
    <t>163 3C 3G 3B 3D 3H 3F 3E 3K</t>
  </si>
  <si>
    <t xml:space="preserve">164 3H 3G 3B 3C 3J 3F 3D 3E </t>
  </si>
  <si>
    <t xml:space="preserve">165 3C 3G 3B 3D 3H 3F 3E 3I </t>
  </si>
  <si>
    <t xml:space="preserve">166 3H 3J 3I 3F 3A 3G 3L 3K </t>
  </si>
  <si>
    <t xml:space="preserve">167 3E 3J 3I 3A 3H 3G 3L 3K </t>
  </si>
  <si>
    <t xml:space="preserve">168 3E 3J 3I 3F 3A 3H 3L 3K </t>
  </si>
  <si>
    <t xml:space="preserve">169 3E 3J 3I 3F 3A 3G 3L 3K </t>
  </si>
  <si>
    <t xml:space="preserve">170 3E 3G 3J 3F 3A 3H 3L 3K </t>
  </si>
  <si>
    <t xml:space="preserve">171 3E 3G 3I 3F 3A 3H 3L 3K </t>
  </si>
  <si>
    <t xml:space="preserve">172 3E 3G 3J 3F 3A 3H 3L 3I </t>
  </si>
  <si>
    <t xml:space="preserve">173 3E 3G 3J 3F 3A 3H 3I 3K </t>
  </si>
  <si>
    <t xml:space="preserve">174 3H 3J 3I 3D 3A 3G 3L 3K </t>
  </si>
  <si>
    <t xml:space="preserve">175 3H 3J 3I 3D 3A 3F 3L 3K </t>
  </si>
  <si>
    <t xml:space="preserve">176 3I 3G 3J 3D 3A 3F 3L 3K </t>
  </si>
  <si>
    <t xml:space="preserve">177 3H 3G 3J 3D 3A 3F 3L 3K </t>
  </si>
  <si>
    <t xml:space="preserve">178 3H 3G 3I 3D 3A 3F 3L 3K </t>
  </si>
  <si>
    <t xml:space="preserve">179 3H 3G 3J 3D 3A 3F 3L 3I </t>
  </si>
  <si>
    <t xml:space="preserve">180 3H 3G 3J 3D 3A 3F 3I 3K </t>
  </si>
  <si>
    <t xml:space="preserve">181 3E 3J 3I 3D 3A 3H 3L 3K </t>
  </si>
  <si>
    <t xml:space="preserve">182 3E 3J 3I 3D 3A 3G 3L 3K </t>
  </si>
  <si>
    <t xml:space="preserve">183 3E 3G 3J 3D 3A 3H 3L 3K </t>
  </si>
  <si>
    <t xml:space="preserve">184 3E 3G 3I 3D 3A 3H 3L 3K </t>
  </si>
  <si>
    <t xml:space="preserve">185 3E 3G 3J 3D 3A 3H 3L 3I </t>
  </si>
  <si>
    <t xml:space="preserve">186 3E 3G 3J 3D 3A 3H 3I 3K </t>
  </si>
  <si>
    <t xml:space="preserve">187 3E 3J 3I 3D 3A 3F 3L 3K </t>
  </si>
  <si>
    <t xml:space="preserve">188 3H 3J 3E 3D 3A 3F 3L 3K </t>
  </si>
  <si>
    <t xml:space="preserve">189 3H 3E 3I 3D 3A 3F 3L 3K </t>
  </si>
  <si>
    <t xml:space="preserve">190 3H 3J 3E 3D 3A 3F 3L 3I </t>
  </si>
  <si>
    <t xml:space="preserve">191 3H 3J 3E 3D 3A 3F 3I 3K </t>
  </si>
  <si>
    <t>192 3E 3G 3J 3D 3A 3F 3L 3K</t>
  </si>
  <si>
    <t xml:space="preserve">193 3E 3G 3I 3D 3A 3F 3L 3K </t>
  </si>
  <si>
    <t xml:space="preserve">194 3E 3G 3J 3D 3A 3F 3L 3I </t>
  </si>
  <si>
    <t xml:space="preserve">195 3E 3G 3J 3D 3A 3F 3I 3K </t>
  </si>
  <si>
    <t xml:space="preserve">196 3H 3G 3E 3D 3A 3F 3L 3K </t>
  </si>
  <si>
    <t xml:space="preserve">197 3H 3G 3J 3D 3A 3F 3L 3E </t>
  </si>
  <si>
    <t xml:space="preserve">198 3H 3G 3J 3D 3A 3F 3E 3K </t>
  </si>
  <si>
    <t xml:space="preserve">199 3H 3G 3E 3D 3A 3F 3L 3I </t>
  </si>
  <si>
    <t xml:space="preserve">200 3H 3G 3E 3D 3A 3F 3I 3K </t>
  </si>
  <si>
    <t xml:space="preserve">201 3H 3G 3J 3D 3A 3F 3E 3I </t>
  </si>
  <si>
    <t xml:space="preserve">202 3H 3J 3I 3C 3A 3G 3L 3K </t>
  </si>
  <si>
    <t xml:space="preserve">203 3H 3J 3I 3C 3A 3F 3L 3K </t>
  </si>
  <si>
    <t xml:space="preserve">204 3I 3G 3J 3C 3A 3F 3L 3K </t>
  </si>
  <si>
    <t xml:space="preserve">205 3H 3G 3J 3C 3A 3F 3L 3K </t>
  </si>
  <si>
    <t xml:space="preserve">206 3H 3G 3I 3C 3A 3F 3L 3K </t>
  </si>
  <si>
    <t xml:space="preserve">207 3H 3G 3J 3C 3A 3F 3L 3I </t>
  </si>
  <si>
    <t xml:space="preserve">208 3H 3G 3J 3C 3A 3F 3I 3K </t>
  </si>
  <si>
    <t xml:space="preserve">209 3E 3J 3I 3C 3A 3H 3L 3K </t>
  </si>
  <si>
    <t xml:space="preserve">210 3E 3J 3I 3C 3A 3G 3L 3K </t>
  </si>
  <si>
    <t xml:space="preserve">211 3E 3G 3J 3C 3A 3H 3L 3K </t>
  </si>
  <si>
    <t xml:space="preserve">212 3E 3G 3I 3C 3A 3H 3L 3K </t>
  </si>
  <si>
    <t xml:space="preserve">213 3E 3G 3J 3C 3A 3H 3L 3I </t>
  </si>
  <si>
    <t xml:space="preserve">214 3E 3G 3J 3C 3A 3H 3I 3K </t>
  </si>
  <si>
    <t xml:space="preserve">215 3E 3J 3I 3C 3A 3F 3L 3K </t>
  </si>
  <si>
    <t xml:space="preserve">216 3H 3J 3E 3C 3A 3F 3L 3K </t>
  </si>
  <si>
    <t xml:space="preserve">217 3H 3E 3I 3C 3A 3F 3L 3K </t>
  </si>
  <si>
    <t xml:space="preserve">218 3H 3J 3E 3C 3A 3F 3L 3I </t>
  </si>
  <si>
    <t xml:space="preserve">219 3H 3J 3E 3C 3A 3F 3I 3K </t>
  </si>
  <si>
    <t xml:space="preserve">220 3E 3G 3J 3C 3A 3F 3L 3K </t>
  </si>
  <si>
    <t>221 3E 3G 3I 3C 3A 3F 3L 3K</t>
  </si>
  <si>
    <t xml:space="preserve">222 3E 3G 3J 3C 3A 3F 3L 3I </t>
  </si>
  <si>
    <t xml:space="preserve">223 3E 3G 3J 3C 3A 3F 3I 3K </t>
  </si>
  <si>
    <t xml:space="preserve">224 3H 3G 3E 3C 3A 3F 3L 3K </t>
  </si>
  <si>
    <t xml:space="preserve">225 3H 3G 3J 3C 3A 3F 3L 3E </t>
  </si>
  <si>
    <t xml:space="preserve">226 3H 3G 3J 3C 3A 3F 3E 3K </t>
  </si>
  <si>
    <t xml:space="preserve">227 3H 3G 3E 3C 3A 3F 3L 3I </t>
  </si>
  <si>
    <t xml:space="preserve">228 3H 3G 3E 3C 3A 3F 3I 3K </t>
  </si>
  <si>
    <t xml:space="preserve">229 3H 3G 3J 3C 3A 3F 3E 3I </t>
  </si>
  <si>
    <t xml:space="preserve">230 3H 3J 3I 3C 3A 3D 3L 3K </t>
  </si>
  <si>
    <t xml:space="preserve">231 3I 3G 3J 3C 3A 3D 3L 3K </t>
  </si>
  <si>
    <t xml:space="preserve">232 3H 3G 3J 3C 3A 3D 3L 3K </t>
  </si>
  <si>
    <t xml:space="preserve">233 3H 3G 3I 3C 3A 3D 3L 3K </t>
  </si>
  <si>
    <t xml:space="preserve">234 3H 3G 3J 3C 3A 3D 3L 3I </t>
  </si>
  <si>
    <t xml:space="preserve">235 3H 3G 3J 3C 3A 3D 3I 3K </t>
  </si>
  <si>
    <t xml:space="preserve">236 3C 3J 3I 3D 3A 3F 3L 3K </t>
  </si>
  <si>
    <t xml:space="preserve">237 3H 3J 3F 3C 3A 3D 3L 3K </t>
  </si>
  <si>
    <t xml:space="preserve">238 3H 3F 3I 3C 3A 3D 3L 3K </t>
  </si>
  <si>
    <t xml:space="preserve">239 3H 3J 3F 3C 3A 3D 3L 3I </t>
  </si>
  <si>
    <t xml:space="preserve">240 3H 3J 3F 3C 3A 3D 3I 3K </t>
  </si>
  <si>
    <t xml:space="preserve">241 3C 3G 3J 3D 3A 3F 3L 3K </t>
  </si>
  <si>
    <t xml:space="preserve">242 3C 3G 3I 3D 3A 3F 3L 3K </t>
  </si>
  <si>
    <t xml:space="preserve">243 3C 3G 3J 3D 3A 3F 3L 3I </t>
  </si>
  <si>
    <t xml:space="preserve">244 3C 3G 3J 3D 3A 3F 3I 3K </t>
  </si>
  <si>
    <t xml:space="preserve">245 3H 3G 3F 3C 3A 3D 3L 3K </t>
  </si>
  <si>
    <t xml:space="preserve">246 3C 3G 3J 3D 3A 3F 3L 3H </t>
  </si>
  <si>
    <t xml:space="preserve">247 3H 3G 3J 3C 3A 3F 3D 3K </t>
  </si>
  <si>
    <t xml:space="preserve">248 3H 3G 3F 3C 3A 3D 3L 3I </t>
  </si>
  <si>
    <t xml:space="preserve">249 3H 3G 3F 3C 3A 3D 3I 3K </t>
  </si>
  <si>
    <t>250 3H 3G 3J 3C 3A 3F 3D 3I</t>
  </si>
  <si>
    <t xml:space="preserve">251 3E 3J 3I 3C 3A 3D 3L 3K </t>
  </si>
  <si>
    <t xml:space="preserve">252 3H 3J 3E 3C 3A 3D 3L 3K </t>
  </si>
  <si>
    <t xml:space="preserve">253 3H 3E 3I 3C 3A 3D 3L 3K </t>
  </si>
  <si>
    <t xml:space="preserve">254 3H 3J 3E 3C 3A 3D 3L 3I </t>
  </si>
  <si>
    <t xml:space="preserve">255 3H 3J 3E 3C 3A 3D 3I 3K </t>
  </si>
  <si>
    <t xml:space="preserve">256 3E 3G 3J 3C 3A 3D 3L 3K </t>
  </si>
  <si>
    <t xml:space="preserve">257 3E 3G 3I 3C 3A 3D 3L 3K </t>
  </si>
  <si>
    <t xml:space="preserve">258 3E 3G 3J 3C 3A 3D 3L 3I </t>
  </si>
  <si>
    <t xml:space="preserve">259 3E 3G 3J 3C 3A 3D 3I 3K </t>
  </si>
  <si>
    <t xml:space="preserve">260 3H 3G 3E 3C 3A 3D 3L 3K </t>
  </si>
  <si>
    <t xml:space="preserve">261 3H 3G 3J 3C 3A 3D 3L 3E </t>
  </si>
  <si>
    <t xml:space="preserve">262 3H 3G 3J 3C 3A 3D 3E 3K </t>
  </si>
  <si>
    <t xml:space="preserve">263 3H 3G 3E 3C 3A 3D 3L 3I </t>
  </si>
  <si>
    <t xml:space="preserve">264 3H 3G 3E 3C 3A 3D 3I 3K </t>
  </si>
  <si>
    <t xml:space="preserve">265 3H 3G 3J 3C 3A 3D 3E 3I </t>
  </si>
  <si>
    <t xml:space="preserve">266 3C 3J 3E 3D 3A 3F 3L 3K </t>
  </si>
  <si>
    <t xml:space="preserve">267 3C 3E 3I 3D 3A 3F 3L 3K </t>
  </si>
  <si>
    <t xml:space="preserve">268 3C 3J 3E 3D 3A 3F 3L 3I </t>
  </si>
  <si>
    <t xml:space="preserve">269 3C 3J 3E 3D 3A 3F 3I 3K </t>
  </si>
  <si>
    <t xml:space="preserve">270 3H 3E 3F 3C 3A 3D 3L 3K </t>
  </si>
  <si>
    <t xml:space="preserve">271 3H 3J 3F 3C 3A 3D 3L 3E </t>
  </si>
  <si>
    <t xml:space="preserve">272 3H 3J 3E 3C 3A 3F 3D 3K </t>
  </si>
  <si>
    <t xml:space="preserve">273 3H 3E 3F 3C 3A 3D 3L 3I </t>
  </si>
  <si>
    <t xml:space="preserve">274 3H 3E 3F 3C 3A 3D 3I 3K </t>
  </si>
  <si>
    <t xml:space="preserve">275 3H 3J 3E 3C 3A 3F 3D 3I </t>
  </si>
  <si>
    <t xml:space="preserve">276 3C 3G 3E 3D 3A 3F 3L 3K </t>
  </si>
  <si>
    <t xml:space="preserve">277 3C 3G 3J 3D 3A 3F 3L 3E </t>
  </si>
  <si>
    <t xml:space="preserve">278 3C 3G 3J 3D 3A 3F 3E 3K </t>
  </si>
  <si>
    <t>279 3C 3G 3E 3D 3A 3F 3L 3I</t>
  </si>
  <si>
    <t xml:space="preserve">280 3C 3G 3E 3D 3A 3F 3I 3K </t>
  </si>
  <si>
    <t xml:space="preserve">281 3C 3G 3J 3D 3A 3F 3E 3I </t>
  </si>
  <si>
    <t xml:space="preserve">282 3H 3G 3F 3C 3A 3D 3L 3E </t>
  </si>
  <si>
    <t xml:space="preserve">283 3H 3G 3E 3C 3A 3F 3D 3K </t>
  </si>
  <si>
    <t xml:space="preserve">284 3H 3G 3J 3C 3A 3F 3D 3E </t>
  </si>
  <si>
    <t xml:space="preserve">285 3H 3G 3E 3C 3A 3F 3D 3I </t>
  </si>
  <si>
    <t xml:space="preserve">286 3H 3J 3B 3A 3I 3G 3L 3K </t>
  </si>
  <si>
    <t xml:space="preserve">287 3H 3J 3B 3A 3I 3F 3L 3K </t>
  </si>
  <si>
    <t xml:space="preserve">288 3I 3J 3B 3F 3A 3G 3L 3K </t>
  </si>
  <si>
    <t xml:space="preserve">289 3H 3J 3B 3F 3A 3G 3L 3K </t>
  </si>
  <si>
    <t xml:space="preserve">290 3H 3G 3B 3A 3I 3F 3L 3K </t>
  </si>
  <si>
    <t xml:space="preserve">291 3H 3J 3B 3F 3A 3G 3L 3I </t>
  </si>
  <si>
    <t xml:space="preserve">292 3H 3J 3B 3F 3A 3G 3I 3K </t>
  </si>
  <si>
    <t xml:space="preserve">293 3E 3J 3B 3A 3I 3H 3L 3K </t>
  </si>
  <si>
    <t xml:space="preserve">294 3E 3J 3B 3A 3I 3G 3L 3K </t>
  </si>
  <si>
    <t xml:space="preserve">295 3E 3J 3B 3A 3H 3G 3L 3K </t>
  </si>
  <si>
    <t xml:space="preserve">296 3E 3G 3B 3A 3I 3H 3L 3K </t>
  </si>
  <si>
    <t xml:space="preserve">297 3E 3J 3B 3A 3H 3G 3L 3I </t>
  </si>
  <si>
    <t xml:space="preserve">298 3E 3J 3B 3A 3H 3G 3I 3K </t>
  </si>
  <si>
    <t xml:space="preserve">299 3E 3J 3B 3A 3I 3F 3L 3K </t>
  </si>
  <si>
    <t xml:space="preserve">300 3E 3J 3B 3F 3A 3H 3L 3K </t>
  </si>
  <si>
    <t xml:space="preserve">301 3E 3I 3B 3F 3A 3H 3L 3K </t>
  </si>
  <si>
    <t xml:space="preserve">302 3E 3J 3B 3F 3A 3H 3L 3I </t>
  </si>
  <si>
    <t xml:space="preserve">303 3E 3J 3B 3F 3A 3H 3I 3K </t>
  </si>
  <si>
    <t xml:space="preserve">304 3E 3J 3B 3F 3A 3G 3L 3K </t>
  </si>
  <si>
    <t xml:space="preserve">305 3E 3G 3B 3A 3I 3F 3L 3K </t>
  </si>
  <si>
    <t xml:space="preserve">306 3E 3J 3B 3F 3A 3G 3L 3I </t>
  </si>
  <si>
    <t xml:space="preserve">307 3E 3J 3B 3F 3A 3G 3I 3K </t>
  </si>
  <si>
    <t>308 3E 3G 3B 3F 3A 3H 3L 3K</t>
  </si>
  <si>
    <t xml:space="preserve">309 3H 3J 3B 3F 3A 3G 3L 3E </t>
  </si>
  <si>
    <t xml:space="preserve">310 3H 3J 3B 3F 3A 3G 3E 3K </t>
  </si>
  <si>
    <t xml:space="preserve">311 3E 3G 3B 3F 3A 3H 3L 3I </t>
  </si>
  <si>
    <t xml:space="preserve">312 3E 3G 3B 3F 3A 3H 3I 3K </t>
  </si>
  <si>
    <t xml:space="preserve">313 3H 3J 3B 3F 3A 3G 3E 3I </t>
  </si>
  <si>
    <t xml:space="preserve">314 3I 3J 3B 3D 3A 3H 3L 3K </t>
  </si>
  <si>
    <t xml:space="preserve">315 3I 3J 3B 3D 3A 3G 3L 3K </t>
  </si>
  <si>
    <t xml:space="preserve">316 3H 3J 3B 3D 3A 3G 3L 3K </t>
  </si>
  <si>
    <t xml:space="preserve">317 3I 3G 3B 3D 3A 3H 3L 3K </t>
  </si>
  <si>
    <t xml:space="preserve">318 3H 3J 3B 3D 3A 3G 3L 3I </t>
  </si>
  <si>
    <t xml:space="preserve">319 3H 3J 3B 3D 3A 3G 3I 3K </t>
  </si>
  <si>
    <t xml:space="preserve">320 3I 3J 3B 3D 3A 3F 3L 3K </t>
  </si>
  <si>
    <t xml:space="preserve">321 3H 3J 3B 3D 3A 3F 3L 3K </t>
  </si>
  <si>
    <t xml:space="preserve">322 3H 3I 3B 3D 3A 3F 3L 3K </t>
  </si>
  <si>
    <t xml:space="preserve">323 3H 3J 3B 3D 3A 3F 3L 3I </t>
  </si>
  <si>
    <t xml:space="preserve">324 3H 3J 3B 3D 3A 3F 3I 3K </t>
  </si>
  <si>
    <t xml:space="preserve">325 3F 3J 3B 3D 3A 3G 3L 3K </t>
  </si>
  <si>
    <t xml:space="preserve">326 3I 3G 3B 3D 3A 3F 3L 3K </t>
  </si>
  <si>
    <t xml:space="preserve">327 3F 3J 3B 3D 3A 3G 3L 3I </t>
  </si>
  <si>
    <t xml:space="preserve">328 3F 3J 3B 3D 3A 3G 3I 3K </t>
  </si>
  <si>
    <t xml:space="preserve">329 3H 3G 3B 3D 3A 3F 3L 3K </t>
  </si>
  <si>
    <t xml:space="preserve">330 3H 3G 3B 3D 3A 3F 3L 3J </t>
  </si>
  <si>
    <t xml:space="preserve">331 3H 3G 3B 3D 3A 3F 3J 3K </t>
  </si>
  <si>
    <t xml:space="preserve">332 3H 3G 3B 3D 3A 3F 3L 3I </t>
  </si>
  <si>
    <t xml:space="preserve">333 3H 3G 3B 3D 3A 3F 3I 3K </t>
  </si>
  <si>
    <t xml:space="preserve">334 3H 3G 3B 3D 3A 3F 3I 3J </t>
  </si>
  <si>
    <t xml:space="preserve">335 3E 3J 3B 3A 3I 3D 3L 3K </t>
  </si>
  <si>
    <t xml:space="preserve">336 3E 3J 3B 3D 3A 3H 3L 3K </t>
  </si>
  <si>
    <t>337 3E 3I 3B 3D 3A 3H 3L 3K</t>
  </si>
  <si>
    <t xml:space="preserve">338 3E 3J 3B 3D 3A 3H 3L 3I </t>
  </si>
  <si>
    <t xml:space="preserve">339 3E 3J 3B 3D 3A 3H 3I 3K </t>
  </si>
  <si>
    <t xml:space="preserve">340 3E 3J 3B 3D 3A 3G 3L 3K </t>
  </si>
  <si>
    <t xml:space="preserve">341 3E 3G 3B 3A 3I 3D 3L 3K </t>
  </si>
  <si>
    <t xml:space="preserve">342 3E 3J 3B 3D 3A 3G 3L 3I </t>
  </si>
  <si>
    <t xml:space="preserve">343 3E 3J 3B 3D 3A 3G 3I 3K </t>
  </si>
  <si>
    <t xml:space="preserve">344 3E 3G 3B 3D 3A 3H 3L 3K </t>
  </si>
  <si>
    <t xml:space="preserve">345 3H 3J 3B 3D 3A 3G 3L 3E </t>
  </si>
  <si>
    <t xml:space="preserve">346 3H 3J 3B 3D 3A 3G 3E 3K </t>
  </si>
  <si>
    <t xml:space="preserve">347 3E 3G 3B 3D 3A 3H 3L 3I </t>
  </si>
  <si>
    <t xml:space="preserve">348 3E 3G 3B 3D 3A 3H 3I 3K </t>
  </si>
  <si>
    <t xml:space="preserve">349 3H 3J 3B 3D 3A 3G 3E 3I </t>
  </si>
  <si>
    <t xml:space="preserve">350 3E 3J 3B 3D 3A 3F 3L 3K </t>
  </si>
  <si>
    <t xml:space="preserve">351 3E 3I 3B 3D 3A 3F 3L 3K </t>
  </si>
  <si>
    <t xml:space="preserve">352 3E 3J 3B 3D 3A 3F 3L 3I </t>
  </si>
  <si>
    <t xml:space="preserve">353 3E 3J 3B 3D 3A 3F 3I 3K </t>
  </si>
  <si>
    <t xml:space="preserve">354 3H 3E 3B 3D 3A 3F 3L 3K </t>
  </si>
  <si>
    <t xml:space="preserve">355 3H 3J 3B 3D 3A 3F 3L 3E </t>
  </si>
  <si>
    <t xml:space="preserve">356 3H 3J 3B 3D 3A 3F 3E 3K </t>
  </si>
  <si>
    <t xml:space="preserve">357 3H 3E 3B 3D 3A 3F 3L 3I </t>
  </si>
  <si>
    <t xml:space="preserve">358 3H 3E 3B 3D 3A 3F 3I 3K </t>
  </si>
  <si>
    <t xml:space="preserve">359 3H 3J 3B 3D 3A 3F 3E 3I </t>
  </si>
  <si>
    <t xml:space="preserve">360 3E 3G 3B 3D 3A 3F 3L 3K </t>
  </si>
  <si>
    <t xml:space="preserve">361 3E 3G 3B 3D 3A 3F 3L 3J </t>
  </si>
  <si>
    <t xml:space="preserve">362 3E 3G 3B 3D 3A 3F 3J 3K </t>
  </si>
  <si>
    <t xml:space="preserve">363 3E 3G 3B 3D 3A 3F 3L 3I </t>
  </si>
  <si>
    <t xml:space="preserve">364 3E 3G 3B 3D 3A 3F 3I 3K </t>
  </si>
  <si>
    <t xml:space="preserve">365 3E 3G 3B 3D 3A 3F 3I 3J </t>
  </si>
  <si>
    <t>366 3H 3G 3B 3D 3A 3F 3L 3E</t>
  </si>
  <si>
    <t xml:space="preserve">367 3H 3G 3B 3D 3A 3F 3E 3K </t>
  </si>
  <si>
    <t xml:space="preserve">368 3H 3G 3B 3D 3A 3F 3E 3J </t>
  </si>
  <si>
    <t xml:space="preserve">369 3H 3G 3B 3D 3A 3F 3E 3I </t>
  </si>
  <si>
    <t xml:space="preserve">370 3I 3J 3B 3C 3A 3H 3L 3K </t>
  </si>
  <si>
    <t xml:space="preserve">371 3I 3J 3B 3C 3A 3G 3L 3K </t>
  </si>
  <si>
    <t xml:space="preserve">372 3H 3J 3B 3C 3A 3G 3L 3K </t>
  </si>
  <si>
    <t xml:space="preserve">373 3I 3G 3B 3C 3A 3H 3L 3K </t>
  </si>
  <si>
    <t xml:space="preserve">374 3H 3J 3B 3C 3A 3G 3L 3I </t>
  </si>
  <si>
    <t xml:space="preserve">375 3H 3J 3B 3C 3A 3G 3I 3K </t>
  </si>
  <si>
    <t xml:space="preserve">376 3I 3J 3B 3C 3A 3F 3L 3K </t>
  </si>
  <si>
    <t xml:space="preserve">377 3H 3J 3B 3C 3A 3F 3L 3K </t>
  </si>
  <si>
    <t xml:space="preserve">378 3H 3I 3B 3C 3A 3F 3L 3K </t>
  </si>
  <si>
    <t xml:space="preserve">379 3H 3J 3B 3C 3A 3F 3L 3I </t>
  </si>
  <si>
    <t xml:space="preserve">380 3H 3J 3B 3C 3A 3F 3I 3K </t>
  </si>
  <si>
    <t xml:space="preserve">381 3C 3J 3B 3F 3A 3G 3L 3K </t>
  </si>
  <si>
    <t xml:space="preserve">382 3I 3G 3B 3C 3A 3F 3L 3K </t>
  </si>
  <si>
    <t xml:space="preserve">383 3C 3J 3B 3F 3A 3G 3L 3I </t>
  </si>
  <si>
    <t xml:space="preserve">384 3C 3J 3B 3F 3A 3G 3I 3K </t>
  </si>
  <si>
    <t xml:space="preserve">385 3H 3G 3B 3C 3A 3F 3L 3K </t>
  </si>
  <si>
    <t xml:space="preserve">386 3H 3G 3B 3C 3A 3F 3L 3J </t>
  </si>
  <si>
    <t xml:space="preserve">387 3H 3G 3B 3C 3A 3F 3J 3K </t>
  </si>
  <si>
    <t xml:space="preserve">388 3H 3G 3B 3C 3A 3F 3L 3I </t>
  </si>
  <si>
    <t xml:space="preserve">389 3H 3G 3B 3C 3A 3F 3I 3K </t>
  </si>
  <si>
    <t xml:space="preserve">390 3H 3G 3B 3C 3A 3F 3I 3J </t>
  </si>
  <si>
    <t xml:space="preserve">391 3E 3J 3B 3A 3I 3C 3L 3K </t>
  </si>
  <si>
    <t xml:space="preserve">392 3E 3J 3B 3C 3A 3H 3L 3K </t>
  </si>
  <si>
    <t xml:space="preserve">393 3E 3I 3B 3C 3A 3H 3L 3K </t>
  </si>
  <si>
    <t xml:space="preserve">394 3E 3J 3B 3C 3A 3H 3L 3I </t>
  </si>
  <si>
    <t>395 3E 3J 3B 3C 3A 3H 3I 3K</t>
  </si>
  <si>
    <t xml:space="preserve">396 3E 3J 3B 3C 3A 3G 3L 3K </t>
  </si>
  <si>
    <t xml:space="preserve">397 3E 3G 3B 3A 3I 3C 3L 3K </t>
  </si>
  <si>
    <t xml:space="preserve">398 3E 3J 3B 3C 3A 3G 3L 3I </t>
  </si>
  <si>
    <t xml:space="preserve">399 3E 3J 3B 3C 3A 3G 3I 3K </t>
  </si>
  <si>
    <t xml:space="preserve">400 3E 3G 3B 3C 3A 3H 3L 3K </t>
  </si>
  <si>
    <t xml:space="preserve">401 3H 3J 3B 3C 3A 3G 3L 3E </t>
  </si>
  <si>
    <t xml:space="preserve">402 3H 3J 3B 3C 3A 3G 3E 3K </t>
  </si>
  <si>
    <t xml:space="preserve">403 3E 3G 3B 3C 3A 3H 3L 3I </t>
  </si>
  <si>
    <t xml:space="preserve">404 3E 3G 3B 3C 3A 3H 3I 3K </t>
  </si>
  <si>
    <t xml:space="preserve">405 3H 3J 3B 3C 3A 3G 3E 3I </t>
  </si>
  <si>
    <t xml:space="preserve">406 3E 3J 3B 3C 3A 3F 3L 3K </t>
  </si>
  <si>
    <t xml:space="preserve">407 3E 3I 3B 3C 3A 3F 3L 3K </t>
  </si>
  <si>
    <t xml:space="preserve">408 3E 3J 3B 3C 3A 3F 3L 3I </t>
  </si>
  <si>
    <t xml:space="preserve">409 3E 3J 3B 3C 3A 3F 3I 3K </t>
  </si>
  <si>
    <t xml:space="preserve">410 3H 3E 3B 3C 3A 3F 3L 3K </t>
  </si>
  <si>
    <t xml:space="preserve">411 3H 3J 3B 3C 3A 3F 3L 3E </t>
  </si>
  <si>
    <t xml:space="preserve">412 3H 3J 3B 3C 3A 3F 3E 3K </t>
  </si>
  <si>
    <t xml:space="preserve">413 3H 3E 3B 3C 3A 3F 3L 3I </t>
  </si>
  <si>
    <t xml:space="preserve">414 3H 3E 3B 3C 3A 3F 3I 3K </t>
  </si>
  <si>
    <t xml:space="preserve">415 3H 3J 3B 3C 3A 3F 3E 3I </t>
  </si>
  <si>
    <t xml:space="preserve">416 3E 3G 3B 3C 3A 3F 3L 3K </t>
  </si>
  <si>
    <t xml:space="preserve">417 3E 3G 3B 3C 3A 3F 3L 3J </t>
  </si>
  <si>
    <t xml:space="preserve">418 3E 3G 3B 3C 3A 3F 3J 3K </t>
  </si>
  <si>
    <t xml:space="preserve">419 3E 3G 3B 3C 3A 3F 3L 3I </t>
  </si>
  <si>
    <t xml:space="preserve">420 3E 3G 3B 3C 3A 3F 3I 3K </t>
  </si>
  <si>
    <t xml:space="preserve">421 3E 3G 3B 3C 3A 3F 3I 3J </t>
  </si>
  <si>
    <t xml:space="preserve">422 3H 3G 3B 3C 3A 3F 3L 3E </t>
  </si>
  <si>
    <t xml:space="preserve">423 3H 3G 3B 3C 3A 3F 3E 3K </t>
  </si>
  <si>
    <t>424 3H 3G 3B 3C 3A 3F 3E 3J</t>
  </si>
  <si>
    <t xml:space="preserve">425 3H 3G 3B 3C 3A 3F 3E 3I </t>
  </si>
  <si>
    <t xml:space="preserve">426 3I 3J 3B 3C 3A 3D 3L 3K </t>
  </si>
  <si>
    <t xml:space="preserve">427 3H 3J 3B 3C 3A 3D 3L 3K </t>
  </si>
  <si>
    <t xml:space="preserve">428 3H 3I 3B 3C 3A 3D 3L 3K </t>
  </si>
  <si>
    <t xml:space="preserve">429 3H 3J 3B 3C 3A 3D 3L 3I </t>
  </si>
  <si>
    <t xml:space="preserve">430 3H 3J 3B 3C 3A 3D 3I 3K </t>
  </si>
  <si>
    <t xml:space="preserve">431 3C 3J 3B 3D 3A 3G 3L 3K </t>
  </si>
  <si>
    <t xml:space="preserve">432 3I 3G 3B 3C 3A 3D 3L 3K </t>
  </si>
  <si>
    <t xml:space="preserve">433 3C 3J 3B 3D 3A 3G 3L 3I </t>
  </si>
  <si>
    <t xml:space="preserve">434 3C 3J 3B 3D 3A 3G 3I 3K </t>
  </si>
  <si>
    <t xml:space="preserve">435 3H 3G 3B 3C 3A 3D 3L 3K </t>
  </si>
  <si>
    <t xml:space="preserve">436 3H 3G 3B 3C 3A 3D 3L 3J </t>
  </si>
  <si>
    <t xml:space="preserve">437 3H 3G 3B 3C 3A 3D 3J 3K </t>
  </si>
  <si>
    <t xml:space="preserve">438 3H 3G 3B 3C 3A 3D 3L 3I </t>
  </si>
  <si>
    <t xml:space="preserve">439 3H 3G 3B 3C 3A 3D 3I 3K </t>
  </si>
  <si>
    <t xml:space="preserve">440 3H 3G 3B 3C 3A 3D 3I 3J </t>
  </si>
  <si>
    <t xml:space="preserve">441 3C 3J 3B 3D 3A 3F 3L 3K </t>
  </si>
  <si>
    <t xml:space="preserve">442 3C 3I 3B 3D 3A 3F 3L 3K </t>
  </si>
  <si>
    <t xml:space="preserve">443 3C 3J 3B 3D 3A 3F 3L 3I </t>
  </si>
  <si>
    <t xml:space="preserve">444 3C 3J 3B 3D 3A 3F 3I 3K </t>
  </si>
  <si>
    <t xml:space="preserve">445 3H 3F 3B 3C 3A 3D 3L 3K </t>
  </si>
  <si>
    <t xml:space="preserve">446 3C 3J 3B 3D 3A 3F 3L 3H </t>
  </si>
  <si>
    <t xml:space="preserve">447 3H 3J 3B 3C 3A 3F 3D 3K </t>
  </si>
  <si>
    <t xml:space="preserve">448 3H 3F 3B 3C 3A 3D 3L 3I </t>
  </si>
  <si>
    <t xml:space="preserve">449 3H 3F 3B 3C 3A 3D 3I 3K </t>
  </si>
  <si>
    <t xml:space="preserve">450 3H 3J 3B 3C 3A 3F 3D 3I </t>
  </si>
  <si>
    <t xml:space="preserve">451 3C 3G 3B 3D 3A 3F 3L 3K </t>
  </si>
  <si>
    <t xml:space="preserve">452 3C 3G 3B 3D 3A 3F 3L 3J </t>
  </si>
  <si>
    <t>453 3C 3G 3B 3D 3A 3F 3J 3K</t>
  </si>
  <si>
    <t xml:space="preserve">454 3C 3G 3B 3D 3A 3F 3L 3I </t>
  </si>
  <si>
    <t xml:space="preserve">455 3C 3G 3B 3D 3A 3F 3I 3K </t>
  </si>
  <si>
    <t xml:space="preserve">456 3C 3G 3B 3D 3A 3F 3I 3J </t>
  </si>
  <si>
    <t xml:space="preserve">457 3C 3G 3B 3D 3A 3F 3L 3H </t>
  </si>
  <si>
    <t xml:space="preserve">458 3H 3G 3B 3C 3A 3F 3D 3K </t>
  </si>
  <si>
    <t xml:space="preserve">459 3H 3G 3B 3C 3A 3F 3D 3J </t>
  </si>
  <si>
    <t xml:space="preserve">460 3H 3G 3B 3C 3A 3F 3D 3I </t>
  </si>
  <si>
    <t xml:space="preserve">461 3E 3J 3B 3C 3A 3D 3L 3K </t>
  </si>
  <si>
    <t xml:space="preserve">462 3E 3I 3B 3C 3A 3D 3L 3K </t>
  </si>
  <si>
    <t xml:space="preserve">463 3E 3J 3B 3C 3A 3D 3L 3I </t>
  </si>
  <si>
    <t xml:space="preserve">464 3E 3J 3B 3C 3A 3D 3I 3K </t>
  </si>
  <si>
    <t xml:space="preserve">465 3H 3E 3B 3C 3A 3D 3L 3K </t>
  </si>
  <si>
    <t xml:space="preserve">466 3H 3J 3B 3C 3A 3D 3L 3E </t>
  </si>
  <si>
    <t xml:space="preserve">467 3H 3J 3B 3C 3A 3D 3E 3K </t>
  </si>
  <si>
    <t xml:space="preserve">468 3H 3E 3B 3C 3A 3D 3L 3I </t>
  </si>
  <si>
    <t xml:space="preserve">469 3H 3E 3B 3C 3A 3D 3I 3K </t>
  </si>
  <si>
    <t xml:space="preserve">470 3H 3J 3B 3C 3A 3D 3E 3I </t>
  </si>
  <si>
    <t xml:space="preserve">471 3E 3G 3B 3C 3A 3D 3L 3K </t>
  </si>
  <si>
    <t xml:space="preserve">472 3E 3G 3B 3C 3A 3D 3L 3J </t>
  </si>
  <si>
    <t xml:space="preserve">473 3E 3G 3B 3C 3A 3D 3J 3K </t>
  </si>
  <si>
    <t xml:space="preserve">474 3E 3G 3B 3C 3A 3D 3L 3I </t>
  </si>
  <si>
    <t xml:space="preserve">475 3E 3G 3B 3C 3A 3D 3I 3K </t>
  </si>
  <si>
    <t xml:space="preserve">476 3E 3G 3B 3C 3A 3D 3I 3J </t>
  </si>
  <si>
    <t xml:space="preserve">477 3H 3G 3B 3C 3A 3D 3L 3E </t>
  </si>
  <si>
    <t xml:space="preserve">478 3H 3G 3B 3C 3A 3D 3E 3K </t>
  </si>
  <si>
    <t xml:space="preserve">479 3H 3G 3B 3C 3A 3D 3E 3J </t>
  </si>
  <si>
    <t xml:space="preserve">480 3H 3G 3B 3C 3A 3D 3E 3I </t>
  </si>
  <si>
    <t xml:space="preserve">481 3C 3E 3B 3D 3A 3F 3L 3K </t>
  </si>
  <si>
    <t>482 3C 3J 3B 3D 3A 3F 3L 3E</t>
  </si>
  <si>
    <t xml:space="preserve">483 3C 3J 3B 3D 3A 3F 3E 3K </t>
  </si>
  <si>
    <t xml:space="preserve">484 3C 3E 3B 3D 3A 3F 3L 3I </t>
  </si>
  <si>
    <t xml:space="preserve">485 3C 3E 3B 3D 3A 3F 3I 3K </t>
  </si>
  <si>
    <t xml:space="preserve">486 3C 3J 3B 3D 3A 3F 3E 3I </t>
  </si>
  <si>
    <t xml:space="preserve">487 3H 3F 3B 3C 3A 3D 3L 3E </t>
  </si>
  <si>
    <t xml:space="preserve">488 3H 3E 3B 3C 3A 3F 3D 3K </t>
  </si>
  <si>
    <t xml:space="preserve">489 3H 3J 3B 3C 3A 3F 3D 3E </t>
  </si>
  <si>
    <t xml:space="preserve">490 3H 3E 3B 3C 3A 3F 3D 3I </t>
  </si>
  <si>
    <t xml:space="preserve">491 3C 3G 3B 3D 3A 3F 3L 3E </t>
  </si>
  <si>
    <t xml:space="preserve">492 3C 3G 3B 3D 3A 3F 3E 3K </t>
  </si>
  <si>
    <t xml:space="preserve">493 3C 3G 3B 3D 3A 3F 3E 3J </t>
  </si>
  <si>
    <t xml:space="preserve">494 3C 3G 3B 3D 3A 3F 3E 3I </t>
  </si>
  <si>
    <t>495 3H 3G 3B 3C 3A 3F 3D 3E</t>
  </si>
  <si>
    <t>GRUPOS</t>
  </si>
  <si>
    <t>IN</t>
  </si>
  <si>
    <t>3er Puesto</t>
  </si>
  <si>
    <t>Semi final</t>
  </si>
  <si>
    <t>Puntos Clasif</t>
  </si>
  <si>
    <t>Dif G</t>
  </si>
  <si>
    <t>Ptos fase</t>
  </si>
  <si>
    <t>Ptos+clase</t>
  </si>
  <si>
    <t>Class 1</t>
  </si>
  <si>
    <t>Puntos fase</t>
  </si>
  <si>
    <t>MAX</t>
  </si>
  <si>
    <t>Semis</t>
  </si>
  <si>
    <t>3ro</t>
  </si>
  <si>
    <t>Sub</t>
  </si>
  <si>
    <t>camp</t>
  </si>
  <si>
    <t>Best of class</t>
  </si>
  <si>
    <t>Ponderación</t>
  </si>
  <si>
    <t>OUT</t>
  </si>
  <si>
    <t>BEST</t>
  </si>
  <si>
    <t>Min clase 1</t>
  </si>
  <si>
    <t>Puntos Fase</t>
  </si>
  <si>
    <t>Min clase 1´</t>
  </si>
  <si>
    <t>Usted ha apostado por la verdeamarela como campeón. Históricamente, los mejores; aunque hoy no atraviesen su mejor momento - el intento desesperado de llamar a Ancelotti así lo demuestra. Amamos a los brasileros y a su fútbol (excepto a Vini Jr, obviamente). Neymar merece una copa. Si usted es brasilero, lo felicito; uno siempre debe apostar por su equipo - usted es una persona de bien. Si usted no es brasilero, igual "aceptamos" su decisión.</t>
  </si>
  <si>
    <t>Usted elgió a Alemania… qué hacer con Alemania… fútbol apático si los hay… ganan un munidal cada 20 años básicamente. La lógica indicaría que ganarán el 2034, pero no esta copa… Su elección de campeón es por lo menos "rara"… pero bueno, cada uno es libre de elegir lo que quiera</t>
  </si>
  <si>
    <t>Uff… eligió a Holanda… Recordamos aquellos buenos tiempos donde Holanda era un equipo "simpático"; un "grande sin copa".  Pero luego vendió su alma al diablo, casándose con uno de los personajes más siniestros y detestables en la historia del fútbol: Louis van Gaal. Realmetne no se nos ocurre cómo alguien hoy podría elegir a Holanda. Lo invitamos a recapacitar y pensar bien lo que está haciendo. Andá pa´allá, bobo...</t>
  </si>
  <si>
    <t>Béliga Campeón - una apuesta riesgosa… hoy tenemos una Bélgica en capa caída, dejó pasar su chance allá en el 2018. Sólo quedan trazas de aquella selección de grandes jugadores. Pero el optimismo no hay que perderlo nunca. Le deseamos suerte.</t>
  </si>
  <si>
    <t>Y… usted apuesta a "lo seguro"… Una España renovada siendo sin duda top 3 del mundo por estos tiempos. Su elección es la clásica elección del cobarde, aquel que no sabe disfrutar de las hermosas cosas que el fútbol nos ofrece, aquel que quiere anteponer la razón al corazón. Lo cual, en este mundo, sólo lo hará caer al  más profundo abismo de la desolación.</t>
  </si>
  <si>
    <t>La garra charrúa. No nos decidimos sobre qué sería más sorpresivo: que Uruguay gane un mundial luego de 76 años, o que Bielsa gane algo en su vida (después de los 2000…). Los queremos a los uruguayos. Desconocemos las razones por la que usted habrá elegido a este campeón, pero claramente usted es persona de fútbol y de bien.</t>
  </si>
  <si>
    <t>No podés elegir a Francia… dale… buuuuuhhh Francia buuuuuhhh… no te quiere nadie… hay que ser raro para elegir Francia eh… está usted bien? No se sorprenda si la comisión decide aplicar las sanciones pertinentes... Usted es el único responsable de sus actos</t>
  </si>
  <si>
    <t>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t>
  </si>
  <si>
    <t>Usted ha eligido a la Portugal de Cr7 como campeona... Esto sólo puede ser por alguna de las siguientes razones: 
a) entiende que el mundail está arreglado para que cr7 deje de llorar y tenga por fin su copa; 
b) tiene un sano deseo de que cr7 no juegue ni un minuto pero que Portugal salga campeón sin él, mostrando que realmente tienen un equipazo y que cr7 es un lastre...
Pero si usted, en su mente perversa, quiere que cr7 salga campeón genuinamente, lamentamos comunicarle que esto lo define como una persona de moralidad, al menos, cuestionable...
Lo invitamos a imaginar qué tipo de repercuciones tendrá su elección - no solo en el puntaje de este simple Prode, sino también en la vida misma.</t>
  </si>
  <si>
    <t>Usted eligió a Inglaterra como campeón. Ergo, usted ha sido descalificado de este Prode. El costo de inscripción no será devuelto. Cualqueir duda lo invitamos a dirigirse a la comisión organizadora, aunque le adelantamos que cualquier reclamo al respecto será desestimado.</t>
  </si>
  <si>
    <t>Qué locura Croacia… el país existe hace 35 años y tienen un subcampeonato + dos 3eros puestos. Un país de 3.8M de personas... Cracks. Bien por usted. La comisión evaluará la posibilidad de otorgarle un premio directamente, sólo por haberse animado a dar a Croacia como Campeón.</t>
  </si>
  <si>
    <t>Mbappé</t>
  </si>
  <si>
    <t>Messi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</si>
</sst>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 #,##0.00_-;_-* &quot;-&quot;??_-;_-@_-"/>
    <numFmt numFmtId="164" formatCode="0.0000"/>
    <numFmt numFmtId="165" formatCode="0.00000"/>
    <numFmt numFmtId="166" formatCode="_-* #,##0_-;\-* #,##0_-;_-* &quot;-&quot;??_-;_-@_-"/>
    <numFmt numFmtId="167" formatCode="#,##0_ ;\-#,##0\ "/>
    <numFmt numFmtId="168" formatCode="0.0"/>
  </numFmts>
  <fonts count="65" x14ac:knownFonts="1">
    <font>
      <sz val="11"/>
      <color theme="1"/>
      <name val="Arial"/>
      <family val="2"/>
      <scheme val="minor"/>
    </font>
    <font>
      <sz val="11"/>
      <color theme="1"/>
      <name val="Segoe UI"/>
      <family val="2"/>
    </font>
    <font>
      <sz val="11"/>
      <color rgb="FF006100"/>
      <name val="Arial"/>
      <family val="2"/>
      <scheme val="minor"/>
    </font>
    <font>
      <sz val="11"/>
      <color rgb="FF9C0006"/>
      <name val="Arial"/>
      <family val="2"/>
      <scheme val="minor"/>
    </font>
    <font>
      <b/>
      <sz val="11"/>
      <color theme="1"/>
      <name val="Arial"/>
      <family val="2"/>
      <scheme val="minor"/>
    </font>
    <font>
      <sz val="11"/>
      <color theme="0" tint="-0.34998626667073579"/>
      <name val="Arial"/>
      <family val="2"/>
      <scheme val="minor"/>
    </font>
    <font>
      <sz val="8"/>
      <name val="Arial"/>
      <family val="2"/>
      <scheme val="minor"/>
    </font>
    <font>
      <u/>
      <sz val="11"/>
      <color theme="1"/>
      <name val="Arial"/>
      <family val="2"/>
      <scheme val="minor"/>
    </font>
    <font>
      <b/>
      <sz val="11"/>
      <color rgb="FF0070C0"/>
      <name val="Arial"/>
      <family val="2"/>
      <scheme val="minor"/>
    </font>
    <font>
      <b/>
      <sz val="11"/>
      <color theme="0" tint="-0.499984740745262"/>
      <name val="Segoe UI"/>
      <family val="2"/>
    </font>
    <font>
      <sz val="11"/>
      <color rgb="FF0070C0"/>
      <name val="Segoe UI"/>
      <family val="2"/>
    </font>
    <font>
      <sz val="11"/>
      <color rgb="FF00B050"/>
      <name val="Segoe UI"/>
      <family val="2"/>
    </font>
    <font>
      <sz val="11"/>
      <color rgb="FFFF0000"/>
      <name val="Segoe UI"/>
      <family val="2"/>
    </font>
    <font>
      <sz val="11"/>
      <color theme="0" tint="-0.499984740745262"/>
      <name val="Arial"/>
      <family val="2"/>
      <scheme val="minor"/>
    </font>
    <font>
      <sz val="11"/>
      <name val="Arial"/>
      <family val="2"/>
      <scheme val="minor"/>
    </font>
    <font>
      <b/>
      <sz val="11"/>
      <color theme="7" tint="-0.499984740745262"/>
      <name val="Arial"/>
      <family val="2"/>
      <scheme val="minor"/>
    </font>
    <font>
      <sz val="11"/>
      <color theme="7" tint="-0.499984740745262"/>
      <name val="Arial"/>
      <family val="2"/>
      <scheme val="minor"/>
    </font>
    <font>
      <sz val="11"/>
      <color theme="1"/>
      <name val="72"/>
      <family val="2"/>
    </font>
    <font>
      <sz val="11"/>
      <color theme="0" tint="-0.499984740745262"/>
      <name val="72"/>
      <family val="2"/>
    </font>
    <font>
      <b/>
      <sz val="11"/>
      <name val="72"/>
      <family val="2"/>
    </font>
    <font>
      <b/>
      <sz val="11"/>
      <color theme="1"/>
      <name val="72"/>
      <family val="2"/>
    </font>
    <font>
      <sz val="11"/>
      <name val="72"/>
      <family val="2"/>
    </font>
    <font>
      <sz val="11"/>
      <color rgb="FF006100"/>
      <name val="72"/>
      <family val="2"/>
    </font>
    <font>
      <b/>
      <sz val="11"/>
      <color rgb="FF006100"/>
      <name val="72"/>
      <family val="2"/>
    </font>
    <font>
      <sz val="11"/>
      <color theme="0" tint="-0.14999847407452621"/>
      <name val="72"/>
      <family val="2"/>
    </font>
    <font>
      <sz val="11"/>
      <color theme="0" tint="-4.9989318521683403E-2"/>
      <name val="72"/>
      <family val="2"/>
    </font>
    <font>
      <sz val="11"/>
      <color rgb="FF9C0006"/>
      <name val="72"/>
      <family val="2"/>
    </font>
    <font>
      <b/>
      <sz val="11"/>
      <color rgb="FF9C0006"/>
      <name val="72"/>
      <family val="2"/>
    </font>
    <font>
      <b/>
      <sz val="11"/>
      <color rgb="FFFF0000"/>
      <name val="72"/>
      <family val="2"/>
    </font>
    <font>
      <b/>
      <sz val="11"/>
      <color theme="0" tint="-0.499984740745262"/>
      <name val="72"/>
      <family val="2"/>
    </font>
    <font>
      <b/>
      <sz val="9"/>
      <color theme="0" tint="-0.14999847407452621"/>
      <name val="72"/>
      <family val="2"/>
    </font>
    <font>
      <b/>
      <i/>
      <sz val="11"/>
      <color theme="0"/>
      <name val="72"/>
      <family val="2"/>
    </font>
    <font>
      <b/>
      <sz val="11"/>
      <color theme="0"/>
      <name val="72"/>
      <family val="2"/>
    </font>
    <font>
      <b/>
      <sz val="11"/>
      <color theme="5" tint="0.79998168889431442"/>
      <name val="72"/>
      <family val="2"/>
    </font>
    <font>
      <b/>
      <sz val="11"/>
      <color theme="0" tint="-4.9989318521683403E-2"/>
      <name val="72"/>
      <family val="2"/>
    </font>
    <font>
      <b/>
      <sz val="11"/>
      <color theme="0" tint="-0.14999847407452621"/>
      <name val="72"/>
      <family val="2"/>
    </font>
    <font>
      <b/>
      <sz val="18"/>
      <color theme="1"/>
      <name val="72"/>
      <family val="2"/>
    </font>
    <font>
      <b/>
      <sz val="22"/>
      <color theme="1"/>
      <name val="72"/>
      <family val="2"/>
    </font>
    <font>
      <sz val="10"/>
      <color theme="1"/>
      <name val="72"/>
      <family val="2"/>
    </font>
    <font>
      <b/>
      <sz val="11"/>
      <color theme="7" tint="-0.249977111117893"/>
      <name val="72"/>
      <family val="2"/>
    </font>
    <font>
      <sz val="11"/>
      <color theme="1"/>
      <name val="Arial"/>
      <family val="2"/>
      <scheme val="minor"/>
    </font>
    <font>
      <sz val="11"/>
      <color theme="0" tint="-0.14999847407452621"/>
      <name val="Arial"/>
      <family val="2"/>
      <scheme val="minor"/>
    </font>
    <font>
      <sz val="14"/>
      <color theme="1"/>
      <name val="Arial"/>
      <family val="2"/>
      <scheme val="minor"/>
    </font>
    <font>
      <sz val="18"/>
      <color theme="0" tint="-0.499984740745262"/>
      <name val="Arial"/>
      <family val="2"/>
      <scheme val="minor"/>
    </font>
    <font>
      <b/>
      <i/>
      <sz val="11"/>
      <color theme="1"/>
      <name val="Arial"/>
      <family val="2"/>
      <scheme val="minor"/>
    </font>
    <font>
      <b/>
      <sz val="10"/>
      <color theme="2" tint="-9.9978637043366805E-2"/>
      <name val="72"/>
      <family val="2"/>
    </font>
    <font>
      <b/>
      <sz val="9"/>
      <color theme="2" tint="-9.9978637043366805E-2"/>
      <name val="72"/>
      <family val="2"/>
    </font>
    <font>
      <sz val="11"/>
      <color theme="0"/>
      <name val="72"/>
      <family val="2"/>
    </font>
    <font>
      <b/>
      <sz val="16"/>
      <color theme="3"/>
      <name val="Arial"/>
      <family val="2"/>
      <scheme val="minor"/>
    </font>
    <font>
      <b/>
      <sz val="18"/>
      <color theme="0"/>
      <name val="Arial"/>
      <family val="2"/>
      <scheme val="minor"/>
    </font>
    <font>
      <b/>
      <i/>
      <sz val="11"/>
      <color rgb="FF0070C0"/>
      <name val="72"/>
      <family val="2"/>
    </font>
    <font>
      <sz val="11"/>
      <color theme="2" tint="-9.9978637043366805E-2"/>
      <name val="Arial"/>
      <family val="2"/>
      <scheme val="minor"/>
    </font>
    <font>
      <sz val="11"/>
      <color theme="9" tint="-0.499984740745262"/>
      <name val="Arial"/>
      <family val="2"/>
      <scheme val="minor"/>
    </font>
    <font>
      <sz val="8"/>
      <color theme="1"/>
      <name val="72"/>
      <family val="2"/>
    </font>
    <font>
      <b/>
      <sz val="16"/>
      <color theme="0" tint="-0.499984740745262"/>
      <name val="Arial"/>
      <family val="2"/>
      <scheme val="minor"/>
    </font>
    <font>
      <sz val="14"/>
      <color theme="0" tint="-0.499984740745262"/>
      <name val="Arial"/>
      <family val="2"/>
      <scheme val="minor"/>
    </font>
    <font>
      <sz val="9"/>
      <color theme="0" tint="-0.499984740745262"/>
      <name val="Arial"/>
      <family val="2"/>
      <scheme val="minor"/>
    </font>
    <font>
      <sz val="10"/>
      <color rgb="FF0070C0"/>
      <name val="72"/>
      <family val="2"/>
    </font>
    <font>
      <b/>
      <sz val="11"/>
      <color theme="0" tint="-0.499984740745262"/>
      <name val="Arial"/>
      <family val="2"/>
      <scheme val="minor"/>
    </font>
    <font>
      <b/>
      <sz val="11"/>
      <color rgb="FF00B050"/>
      <name val="Arial"/>
      <family val="2"/>
      <scheme val="minor"/>
    </font>
    <font>
      <b/>
      <sz val="11"/>
      <color rgb="FFFF0000"/>
      <name val="Arial"/>
      <family val="2"/>
      <scheme val="minor"/>
    </font>
    <font>
      <sz val="10"/>
      <color theme="0" tint="-0.499984740745262"/>
      <name val="Arial"/>
      <family val="2"/>
      <scheme val="minor"/>
    </font>
    <font>
      <sz val="10"/>
      <color theme="1"/>
      <name val="Arial"/>
      <family val="2"/>
      <scheme val="minor"/>
    </font>
    <font>
      <sz val="9"/>
      <color indexed="81"/>
      <name val="Tahoma"/>
      <family val="2"/>
    </font>
    <font>
      <b/>
      <sz val="9"/>
      <color indexed="81"/>
      <name val="Tahoma"/>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rgb="FFFFFF00"/>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6" tint="-0.249977111117893"/>
        <bgColor indexed="64"/>
      </patternFill>
    </fill>
    <fill>
      <patternFill patternType="solid">
        <fgColor theme="9" tint="-0.249977111117893"/>
        <bgColor indexed="64"/>
      </patternFill>
    </fill>
    <fill>
      <patternFill patternType="solid">
        <fgColor theme="6" tint="0.39997558519241921"/>
        <bgColor indexed="64"/>
      </patternFill>
    </fill>
    <fill>
      <patternFill patternType="solid">
        <fgColor theme="9"/>
        <bgColor indexed="64"/>
      </patternFill>
    </fill>
    <fill>
      <patternFill patternType="solid">
        <fgColor theme="1"/>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5"/>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9" tint="-9.9978637043366805E-2"/>
        <bgColor indexed="64"/>
      </patternFill>
    </fill>
    <fill>
      <patternFill patternType="solid">
        <fgColor theme="4"/>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4" tint="-0.249977111117893"/>
        <bgColor indexed="64"/>
      </patternFill>
    </fill>
    <fill>
      <patternFill patternType="solid">
        <fgColor theme="7" tint="-0.249977111117893"/>
        <bgColor indexed="64"/>
      </patternFill>
    </fill>
  </fills>
  <borders count="113">
    <border>
      <left/>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indexed="64"/>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theme="9" tint="-0.24994659260841701"/>
      </left>
      <right/>
      <top/>
      <bottom/>
      <diagonal/>
    </border>
    <border>
      <left style="thin">
        <color indexed="64"/>
      </left>
      <right style="thin">
        <color indexed="64"/>
      </right>
      <top/>
      <bottom/>
      <diagonal/>
    </border>
    <border>
      <left style="medium">
        <color rgb="FF00B050"/>
      </left>
      <right/>
      <top style="medium">
        <color rgb="FF00B050"/>
      </top>
      <bottom/>
      <diagonal/>
    </border>
    <border>
      <left/>
      <right/>
      <top style="medium">
        <color rgb="FF00B050"/>
      </top>
      <bottom/>
      <diagonal/>
    </border>
    <border>
      <left/>
      <right style="medium">
        <color rgb="FF00B050"/>
      </right>
      <top style="medium">
        <color rgb="FF00B050"/>
      </top>
      <bottom/>
      <diagonal/>
    </border>
    <border>
      <left style="medium">
        <color rgb="FF00B050"/>
      </left>
      <right/>
      <top/>
      <bottom/>
      <diagonal/>
    </border>
    <border>
      <left/>
      <right style="medium">
        <color rgb="FF00B050"/>
      </right>
      <top/>
      <bottom/>
      <diagonal/>
    </border>
    <border>
      <left style="medium">
        <color rgb="FF00B050"/>
      </left>
      <right/>
      <top/>
      <bottom style="medium">
        <color rgb="FF00B050"/>
      </bottom>
      <diagonal/>
    </border>
    <border>
      <left/>
      <right/>
      <top/>
      <bottom style="medium">
        <color rgb="FF00B050"/>
      </bottom>
      <diagonal/>
    </border>
    <border>
      <left/>
      <right style="medium">
        <color rgb="FF00B050"/>
      </right>
      <top/>
      <bottom style="medium">
        <color rgb="FF00B050"/>
      </bottom>
      <diagonal/>
    </border>
    <border>
      <left style="thin">
        <color rgb="FF00B050"/>
      </left>
      <right/>
      <top style="medium">
        <color rgb="FF00B050"/>
      </top>
      <bottom/>
      <diagonal/>
    </border>
    <border>
      <left style="thin">
        <color rgb="FF00B050"/>
      </left>
      <right/>
      <top/>
      <bottom/>
      <diagonal/>
    </border>
    <border>
      <left style="thin">
        <color rgb="FF00B050"/>
      </left>
      <right/>
      <top/>
      <bottom style="medium">
        <color rgb="FF00B050"/>
      </bottom>
      <diagonal/>
    </border>
    <border>
      <left style="medium">
        <color rgb="FFFFC000"/>
      </left>
      <right/>
      <top style="medium">
        <color rgb="FFFFC000"/>
      </top>
      <bottom/>
      <diagonal/>
    </border>
    <border>
      <left/>
      <right/>
      <top style="medium">
        <color rgb="FFFFC000"/>
      </top>
      <bottom/>
      <diagonal/>
    </border>
    <border>
      <left/>
      <right style="medium">
        <color rgb="FFFFC000"/>
      </right>
      <top style="medium">
        <color rgb="FFFFC000"/>
      </top>
      <bottom/>
      <diagonal/>
    </border>
    <border>
      <left style="medium">
        <color rgb="FFFFC000"/>
      </left>
      <right/>
      <top/>
      <bottom/>
      <diagonal/>
    </border>
    <border>
      <left/>
      <right style="medium">
        <color rgb="FFFFC000"/>
      </right>
      <top/>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right/>
      <top style="thin">
        <color theme="0" tint="-0.24994659260841701"/>
      </top>
      <bottom style="thin">
        <color theme="0" tint="-0.24994659260841701"/>
      </bottom>
      <diagonal/>
    </border>
    <border>
      <left/>
      <right/>
      <top/>
      <bottom style="thin">
        <color theme="4" tint="-9.9948118533890809E-2"/>
      </bottom>
      <diagonal/>
    </border>
    <border>
      <left/>
      <right/>
      <top style="thin">
        <color theme="4" tint="-9.9948118533890809E-2"/>
      </top>
      <bottom style="thin">
        <color theme="4" tint="-9.9948118533890809E-2"/>
      </bottom>
      <diagonal/>
    </border>
    <border>
      <left/>
      <right style="thin">
        <color indexed="64"/>
      </right>
      <top style="thin">
        <color theme="4" tint="-9.9948118533890809E-2"/>
      </top>
      <bottom style="thin">
        <color theme="4" tint="-9.9948118533890809E-2"/>
      </bottom>
      <diagonal/>
    </border>
    <border>
      <left/>
      <right style="thin">
        <color indexed="64"/>
      </right>
      <top/>
      <bottom style="thin">
        <color theme="4" tint="-9.9948118533890809E-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rgb="FF00B050"/>
      </left>
      <right style="medium">
        <color rgb="FF00B050"/>
      </right>
      <top style="medium">
        <color rgb="FF00B050"/>
      </top>
      <bottom/>
      <diagonal/>
    </border>
    <border>
      <left style="medium">
        <color rgb="FF00B050"/>
      </left>
      <right style="medium">
        <color rgb="FF00B050"/>
      </right>
      <top/>
      <bottom/>
      <diagonal/>
    </border>
    <border>
      <left style="medium">
        <color rgb="FF00B050"/>
      </left>
      <right style="medium">
        <color rgb="FF00B050"/>
      </right>
      <top/>
      <bottom style="medium">
        <color rgb="FF00B050"/>
      </bottom>
      <diagonal/>
    </border>
    <border>
      <left style="medium">
        <color rgb="FFFFC000"/>
      </left>
      <right style="medium">
        <color rgb="FFFFC000"/>
      </right>
      <top style="medium">
        <color rgb="FFFFC000"/>
      </top>
      <bottom/>
      <diagonal/>
    </border>
    <border>
      <left style="medium">
        <color rgb="FFFFC000"/>
      </left>
      <right style="medium">
        <color rgb="FFFFC000"/>
      </right>
      <top/>
      <bottom/>
      <diagonal/>
    </border>
    <border>
      <left style="medium">
        <color rgb="FFFFC000"/>
      </left>
      <right style="medium">
        <color rgb="FFFFC000"/>
      </right>
      <top/>
      <bottom style="medium">
        <color rgb="FFFFC000"/>
      </bottom>
      <diagonal/>
    </border>
    <border>
      <left/>
      <right style="thin">
        <color indexed="64"/>
      </right>
      <top/>
      <bottom style="thin">
        <color theme="4"/>
      </bottom>
      <diagonal/>
    </border>
    <border>
      <left/>
      <right/>
      <top/>
      <bottom style="thin">
        <color theme="4"/>
      </bottom>
      <diagonal/>
    </border>
    <border>
      <left style="thin">
        <color indexed="64"/>
      </left>
      <right/>
      <top style="thin">
        <color theme="0" tint="-0.24994659260841701"/>
      </top>
      <bottom style="thin">
        <color theme="0" tint="-0.24994659260841701"/>
      </bottom>
      <diagonal/>
    </border>
    <border>
      <left style="thick">
        <color rgb="FF00B0F0"/>
      </left>
      <right style="thin">
        <color indexed="64"/>
      </right>
      <top style="thick">
        <color rgb="FF00B0F0"/>
      </top>
      <bottom/>
      <diagonal/>
    </border>
    <border>
      <left style="thin">
        <color indexed="64"/>
      </left>
      <right/>
      <top style="thick">
        <color rgb="FF00B0F0"/>
      </top>
      <bottom/>
      <diagonal/>
    </border>
    <border>
      <left/>
      <right/>
      <top style="thick">
        <color rgb="FF00B0F0"/>
      </top>
      <bottom/>
      <diagonal/>
    </border>
    <border>
      <left/>
      <right style="thick">
        <color rgb="FF00B0F0"/>
      </right>
      <top style="thick">
        <color rgb="FF00B0F0"/>
      </top>
      <bottom/>
      <diagonal/>
    </border>
    <border>
      <left style="thick">
        <color rgb="FF00B0F0"/>
      </left>
      <right style="thin">
        <color indexed="64"/>
      </right>
      <top/>
      <bottom/>
      <diagonal/>
    </border>
    <border>
      <left/>
      <right style="thick">
        <color rgb="FF00B0F0"/>
      </right>
      <top/>
      <bottom/>
      <diagonal/>
    </border>
    <border>
      <left style="thick">
        <color rgb="FF00B0F0"/>
      </left>
      <right style="thin">
        <color indexed="64"/>
      </right>
      <top/>
      <bottom style="thick">
        <color rgb="FF00B0F0"/>
      </bottom>
      <diagonal/>
    </border>
    <border>
      <left style="thin">
        <color indexed="64"/>
      </left>
      <right/>
      <top/>
      <bottom style="thick">
        <color rgb="FF00B0F0"/>
      </bottom>
      <diagonal/>
    </border>
    <border>
      <left/>
      <right/>
      <top/>
      <bottom style="thick">
        <color rgb="FF00B0F0"/>
      </bottom>
      <diagonal/>
    </border>
    <border>
      <left/>
      <right style="thick">
        <color rgb="FF00B0F0"/>
      </right>
      <top/>
      <bottom style="thick">
        <color rgb="FF00B0F0"/>
      </bottom>
      <diagonal/>
    </border>
    <border>
      <left style="thick">
        <color theme="7" tint="-0.499984740745262"/>
      </left>
      <right style="thin">
        <color indexed="64"/>
      </right>
      <top style="thick">
        <color theme="7" tint="-0.499984740745262"/>
      </top>
      <bottom/>
      <diagonal/>
    </border>
    <border>
      <left style="thin">
        <color indexed="64"/>
      </left>
      <right/>
      <top style="thick">
        <color theme="7" tint="-0.499984740745262"/>
      </top>
      <bottom/>
      <diagonal/>
    </border>
    <border>
      <left/>
      <right/>
      <top style="thick">
        <color theme="7" tint="-0.499984740745262"/>
      </top>
      <bottom/>
      <diagonal/>
    </border>
    <border>
      <left/>
      <right style="thick">
        <color theme="7" tint="-0.499984740745262"/>
      </right>
      <top style="thick">
        <color theme="7" tint="-0.499984740745262"/>
      </top>
      <bottom/>
      <diagonal/>
    </border>
    <border>
      <left style="thick">
        <color theme="7" tint="-0.499984740745262"/>
      </left>
      <right style="thin">
        <color indexed="64"/>
      </right>
      <top/>
      <bottom/>
      <diagonal/>
    </border>
    <border>
      <left/>
      <right style="thick">
        <color theme="7" tint="-0.499984740745262"/>
      </right>
      <top/>
      <bottom/>
      <diagonal/>
    </border>
    <border>
      <left style="thick">
        <color theme="7" tint="-0.499984740745262"/>
      </left>
      <right style="thin">
        <color indexed="64"/>
      </right>
      <top/>
      <bottom style="thick">
        <color theme="7" tint="-0.499984740745262"/>
      </bottom>
      <diagonal/>
    </border>
    <border>
      <left style="thin">
        <color indexed="64"/>
      </left>
      <right/>
      <top/>
      <bottom style="thick">
        <color theme="7" tint="-0.499984740745262"/>
      </bottom>
      <diagonal/>
    </border>
    <border>
      <left/>
      <right/>
      <top/>
      <bottom style="thick">
        <color theme="7" tint="-0.499984740745262"/>
      </bottom>
      <diagonal/>
    </border>
    <border>
      <left/>
      <right style="thick">
        <color theme="7" tint="-0.499984740745262"/>
      </right>
      <top/>
      <bottom style="thick">
        <color theme="7" tint="-0.499984740745262"/>
      </bottom>
      <diagonal/>
    </border>
    <border>
      <left style="thick">
        <color rgb="FF00B050"/>
      </left>
      <right style="thin">
        <color indexed="64"/>
      </right>
      <top style="thick">
        <color rgb="FF00B050"/>
      </top>
      <bottom/>
      <diagonal/>
    </border>
    <border>
      <left style="thin">
        <color indexed="64"/>
      </left>
      <right/>
      <top style="thick">
        <color rgb="FF00B050"/>
      </top>
      <bottom/>
      <diagonal/>
    </border>
    <border>
      <left/>
      <right/>
      <top style="thick">
        <color rgb="FF00B050"/>
      </top>
      <bottom/>
      <diagonal/>
    </border>
    <border>
      <left/>
      <right style="thick">
        <color rgb="FF00B050"/>
      </right>
      <top style="thick">
        <color rgb="FF00B050"/>
      </top>
      <bottom/>
      <diagonal/>
    </border>
    <border>
      <left style="thick">
        <color rgb="FF00B050"/>
      </left>
      <right style="thin">
        <color indexed="64"/>
      </right>
      <top/>
      <bottom/>
      <diagonal/>
    </border>
    <border>
      <left/>
      <right style="thick">
        <color rgb="FF00B050"/>
      </right>
      <top/>
      <bottom/>
      <diagonal/>
    </border>
    <border>
      <left style="thick">
        <color rgb="FF00B050"/>
      </left>
      <right style="thin">
        <color indexed="64"/>
      </right>
      <top/>
      <bottom style="thick">
        <color rgb="FF00B050"/>
      </bottom>
      <diagonal/>
    </border>
    <border>
      <left style="thin">
        <color indexed="64"/>
      </left>
      <right/>
      <top/>
      <bottom style="thick">
        <color rgb="FF00B050"/>
      </bottom>
      <diagonal/>
    </border>
    <border>
      <left/>
      <right/>
      <top/>
      <bottom style="thick">
        <color rgb="FF00B050"/>
      </bottom>
      <diagonal/>
    </border>
    <border>
      <left/>
      <right style="thick">
        <color rgb="FF00B050"/>
      </right>
      <top/>
      <bottom style="thick">
        <color rgb="FF00B050"/>
      </bottom>
      <diagonal/>
    </border>
    <border>
      <left style="thick">
        <color theme="8"/>
      </left>
      <right style="thin">
        <color indexed="64"/>
      </right>
      <top style="thick">
        <color theme="8"/>
      </top>
      <bottom/>
      <diagonal/>
    </border>
    <border>
      <left style="thin">
        <color indexed="64"/>
      </left>
      <right/>
      <top style="thick">
        <color theme="8"/>
      </top>
      <bottom/>
      <diagonal/>
    </border>
    <border>
      <left/>
      <right/>
      <top style="thick">
        <color theme="8"/>
      </top>
      <bottom/>
      <diagonal/>
    </border>
    <border>
      <left/>
      <right style="thick">
        <color theme="8"/>
      </right>
      <top style="thick">
        <color theme="8"/>
      </top>
      <bottom/>
      <diagonal/>
    </border>
    <border>
      <left style="thick">
        <color theme="8"/>
      </left>
      <right style="thin">
        <color indexed="64"/>
      </right>
      <top/>
      <bottom/>
      <diagonal/>
    </border>
    <border>
      <left/>
      <right style="thick">
        <color theme="8"/>
      </right>
      <top/>
      <bottom/>
      <diagonal/>
    </border>
    <border>
      <left style="thick">
        <color theme="8"/>
      </left>
      <right style="thin">
        <color indexed="64"/>
      </right>
      <top/>
      <bottom style="thick">
        <color theme="8"/>
      </bottom>
      <diagonal/>
    </border>
    <border>
      <left style="thin">
        <color indexed="64"/>
      </left>
      <right/>
      <top/>
      <bottom style="thick">
        <color theme="8"/>
      </bottom>
      <diagonal/>
    </border>
    <border>
      <left/>
      <right/>
      <top/>
      <bottom style="thick">
        <color theme="8"/>
      </bottom>
      <diagonal/>
    </border>
    <border>
      <left/>
      <right style="thick">
        <color theme="8"/>
      </right>
      <top/>
      <bottom style="thick">
        <color theme="8"/>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43" fontId="40" fillId="0" borderId="0" applyFont="0" applyFill="0" applyBorder="0" applyAlignment="0" applyProtection="0"/>
  </cellStyleXfs>
  <cellXfs count="527">
    <xf numFmtId="0" fontId="0" fillId="0" borderId="0" xfId="0"/>
    <xf numFmtId="0" fontId="1" fillId="0" borderId="0" xfId="0" applyFont="1"/>
    <xf numFmtId="0" fontId="4" fillId="0" borderId="1" xfId="0" applyFont="1" applyBorder="1"/>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Alignment="1">
      <alignment horizontal="center"/>
    </xf>
    <xf numFmtId="0" fontId="0" fillId="0" borderId="0" xfId="0" applyAlignment="1">
      <alignment horizontal="center"/>
    </xf>
    <xf numFmtId="0" fontId="0" fillId="0" borderId="1" xfId="0" applyBorder="1"/>
    <xf numFmtId="0" fontId="5" fillId="0" borderId="0" xfId="0" applyFont="1" applyAlignment="1">
      <alignment horizontal="center"/>
    </xf>
    <xf numFmtId="0" fontId="7" fillId="0" borderId="0" xfId="0" applyFont="1" applyAlignment="1">
      <alignment horizontal="center"/>
    </xf>
    <xf numFmtId="0" fontId="1" fillId="0" borderId="0" xfId="0" applyFont="1" applyAlignment="1">
      <alignment horizontal="center"/>
    </xf>
    <xf numFmtId="0" fontId="8" fillId="0" borderId="0" xfId="0" applyFont="1" applyAlignment="1">
      <alignment horizontal="center"/>
    </xf>
    <xf numFmtId="0" fontId="9" fillId="0" borderId="0" xfId="0" applyFont="1"/>
    <xf numFmtId="0" fontId="10" fillId="0" borderId="0" xfId="0" applyFont="1" applyAlignment="1">
      <alignment horizontal="center"/>
    </xf>
    <xf numFmtId="0" fontId="11" fillId="0" borderId="0" xfId="0" applyFont="1" applyAlignment="1">
      <alignment horizontal="center"/>
    </xf>
    <xf numFmtId="0" fontId="12" fillId="0" borderId="0" xfId="0" applyFont="1" applyAlignment="1">
      <alignment horizontal="center"/>
    </xf>
    <xf numFmtId="0" fontId="0" fillId="14" borderId="7" xfId="0" applyFill="1" applyBorder="1" applyAlignment="1">
      <alignment horizontal="center"/>
    </xf>
    <xf numFmtId="0" fontId="0" fillId="14" borderId="9" xfId="0" applyFill="1" applyBorder="1" applyAlignment="1">
      <alignment horizontal="center"/>
    </xf>
    <xf numFmtId="0" fontId="4" fillId="14" borderId="10" xfId="0" applyFont="1" applyFill="1" applyBorder="1" applyAlignment="1">
      <alignment horizontal="center"/>
    </xf>
    <xf numFmtId="0" fontId="13" fillId="0" borderId="0" xfId="0" applyFont="1"/>
    <xf numFmtId="0" fontId="14" fillId="0" borderId="0" xfId="0" applyFont="1"/>
    <xf numFmtId="0" fontId="15" fillId="14" borderId="0" xfId="0" applyFont="1" applyFill="1" applyAlignment="1">
      <alignment horizontal="center"/>
    </xf>
    <xf numFmtId="0" fontId="16" fillId="0" borderId="0" xfId="0" applyFont="1" applyAlignment="1">
      <alignment horizontal="center"/>
    </xf>
    <xf numFmtId="0" fontId="17" fillId="4" borderId="0" xfId="0" applyFont="1" applyFill="1"/>
    <xf numFmtId="0" fontId="17" fillId="4" borderId="0" xfId="0" applyFont="1" applyFill="1" applyAlignment="1">
      <alignment horizontal="center"/>
    </xf>
    <xf numFmtId="0" fontId="17" fillId="4" borderId="0" xfId="0" applyFont="1" applyFill="1" applyAlignment="1">
      <alignment horizontal="right"/>
    </xf>
    <xf numFmtId="0" fontId="17" fillId="4" borderId="0" xfId="0" applyFont="1" applyFill="1" applyAlignment="1">
      <alignment horizontal="left"/>
    </xf>
    <xf numFmtId="0" fontId="17" fillId="4" borderId="0" xfId="0" applyFont="1" applyFill="1" applyProtection="1">
      <protection locked="0"/>
    </xf>
    <xf numFmtId="2" fontId="17" fillId="4" borderId="0" xfId="0" applyNumberFormat="1" applyFont="1" applyFill="1"/>
    <xf numFmtId="2" fontId="17" fillId="4" borderId="0" xfId="0" applyNumberFormat="1" applyFont="1" applyFill="1" applyAlignment="1">
      <alignment horizontal="center"/>
    </xf>
    <xf numFmtId="0" fontId="18" fillId="4" borderId="0" xfId="0" applyFont="1" applyFill="1" applyAlignment="1">
      <alignment horizontal="center"/>
    </xf>
    <xf numFmtId="0" fontId="19" fillId="6" borderId="28" xfId="0" applyFont="1" applyFill="1" applyBorder="1" applyAlignment="1">
      <alignment horizontal="left"/>
    </xf>
    <xf numFmtId="0" fontId="19" fillId="6" borderId="29" xfId="0" applyFont="1" applyFill="1" applyBorder="1" applyAlignment="1">
      <alignment horizontal="center"/>
    </xf>
    <xf numFmtId="0" fontId="19" fillId="6" borderId="30" xfId="0" applyFont="1" applyFill="1" applyBorder="1" applyAlignment="1">
      <alignment horizontal="center"/>
    </xf>
    <xf numFmtId="0" fontId="20" fillId="5" borderId="0" xfId="0" applyFont="1" applyFill="1" applyAlignment="1">
      <alignment horizontal="center"/>
    </xf>
    <xf numFmtId="0" fontId="21" fillId="6" borderId="23" xfId="0" applyFont="1" applyFill="1" applyBorder="1"/>
    <xf numFmtId="0" fontId="21" fillId="6" borderId="0" xfId="0" applyFont="1" applyFill="1" applyAlignment="1">
      <alignment horizontal="center"/>
    </xf>
    <xf numFmtId="0" fontId="21" fillId="6" borderId="24" xfId="0" applyFont="1" applyFill="1" applyBorder="1" applyAlignment="1">
      <alignment horizontal="center"/>
    </xf>
    <xf numFmtId="0" fontId="17" fillId="6" borderId="4" xfId="0" applyFont="1" applyFill="1" applyBorder="1" applyAlignment="1">
      <alignment horizontal="center"/>
    </xf>
    <xf numFmtId="14" fontId="17" fillId="6" borderId="5" xfId="0" applyNumberFormat="1" applyFont="1" applyFill="1" applyBorder="1" applyAlignment="1">
      <alignment horizontal="center"/>
    </xf>
    <xf numFmtId="0" fontId="17" fillId="6" borderId="5" xfId="0" applyFont="1" applyFill="1" applyBorder="1" applyAlignment="1">
      <alignment horizontal="center"/>
    </xf>
    <xf numFmtId="0" fontId="17" fillId="6" borderId="6" xfId="0" applyFont="1" applyFill="1" applyBorder="1"/>
    <xf numFmtId="0" fontId="17" fillId="6" borderId="4" xfId="0" applyFont="1" applyFill="1" applyBorder="1" applyAlignment="1">
      <alignment horizontal="right"/>
    </xf>
    <xf numFmtId="0" fontId="17" fillId="7" borderId="5" xfId="0" applyFont="1" applyFill="1" applyBorder="1" applyAlignment="1" applyProtection="1">
      <alignment horizontal="center"/>
      <protection locked="0"/>
    </xf>
    <xf numFmtId="0" fontId="17" fillId="6" borderId="6" xfId="0" applyFont="1" applyFill="1" applyBorder="1" applyAlignment="1">
      <alignment horizontal="left"/>
    </xf>
    <xf numFmtId="1" fontId="17" fillId="4" borderId="0" xfId="0" applyNumberFormat="1" applyFont="1" applyFill="1" applyAlignment="1">
      <alignment horizontal="center"/>
    </xf>
    <xf numFmtId="0" fontId="22" fillId="2" borderId="11" xfId="1" applyFont="1" applyBorder="1"/>
    <xf numFmtId="0" fontId="22" fillId="2" borderId="12" xfId="1" applyFont="1" applyBorder="1"/>
    <xf numFmtId="0" fontId="22" fillId="2" borderId="11" xfId="1" applyFont="1" applyBorder="1" applyAlignment="1">
      <alignment horizontal="center"/>
    </xf>
    <xf numFmtId="0" fontId="22" fillId="2" borderId="13" xfId="1" applyFont="1" applyBorder="1" applyAlignment="1">
      <alignment horizontal="center"/>
    </xf>
    <xf numFmtId="1" fontId="23" fillId="2" borderId="14" xfId="1" applyNumberFormat="1" applyFont="1" applyBorder="1" applyAlignment="1">
      <alignment horizontal="center"/>
    </xf>
    <xf numFmtId="1" fontId="23" fillId="2" borderId="0" xfId="1" applyNumberFormat="1" applyFont="1" applyBorder="1" applyAlignment="1">
      <alignment horizontal="center"/>
    </xf>
    <xf numFmtId="1" fontId="17" fillId="4" borderId="0" xfId="0" applyNumberFormat="1" applyFont="1" applyFill="1"/>
    <xf numFmtId="0" fontId="24" fillId="4" borderId="0" xfId="0" applyFont="1" applyFill="1"/>
    <xf numFmtId="0" fontId="25" fillId="4" borderId="0" xfId="0" applyFont="1" applyFill="1"/>
    <xf numFmtId="0" fontId="24" fillId="4" borderId="31" xfId="0" applyFont="1" applyFill="1" applyBorder="1" applyProtection="1">
      <protection locked="0"/>
    </xf>
    <xf numFmtId="0" fontId="24" fillId="4" borderId="32" xfId="0" applyFont="1" applyFill="1" applyBorder="1" applyProtection="1">
      <protection locked="0"/>
    </xf>
    <xf numFmtId="0" fontId="18" fillId="6" borderId="4" xfId="0" applyFont="1" applyFill="1" applyBorder="1" applyAlignment="1">
      <alignment horizontal="right"/>
    </xf>
    <xf numFmtId="0" fontId="18" fillId="7" borderId="5" xfId="0" applyFont="1" applyFill="1" applyBorder="1" applyAlignment="1" applyProtection="1">
      <alignment horizontal="center"/>
      <protection locked="0"/>
    </xf>
    <xf numFmtId="0" fontId="18" fillId="7" borderId="4" xfId="0" applyFont="1" applyFill="1" applyBorder="1" applyAlignment="1" applyProtection="1">
      <alignment horizontal="center"/>
      <protection locked="0"/>
    </xf>
    <xf numFmtId="164" fontId="17" fillId="4" borderId="0" xfId="0" applyNumberFormat="1" applyFont="1" applyFill="1" applyAlignment="1">
      <alignment horizontal="center"/>
    </xf>
    <xf numFmtId="0" fontId="22" fillId="2" borderId="15" xfId="1" applyFont="1" applyBorder="1"/>
    <xf numFmtId="0" fontId="22" fillId="2" borderId="16" xfId="1" applyFont="1" applyBorder="1"/>
    <xf numFmtId="0" fontId="22" fillId="2" borderId="15" xfId="1" applyFont="1" applyBorder="1" applyAlignment="1">
      <alignment horizontal="center"/>
    </xf>
    <xf numFmtId="0" fontId="22" fillId="2" borderId="17" xfId="1" applyFont="1" applyBorder="1" applyAlignment="1">
      <alignment horizontal="center"/>
    </xf>
    <xf numFmtId="1" fontId="23" fillId="2" borderId="18" xfId="1" applyNumberFormat="1" applyFont="1" applyBorder="1" applyAlignment="1">
      <alignment horizontal="center"/>
    </xf>
    <xf numFmtId="0" fontId="24" fillId="4" borderId="2" xfId="0" applyFont="1" applyFill="1" applyBorder="1" applyProtection="1">
      <protection locked="0"/>
    </xf>
    <xf numFmtId="0" fontId="24" fillId="4" borderId="33" xfId="0" applyFont="1" applyFill="1" applyBorder="1" applyProtection="1">
      <protection locked="0"/>
    </xf>
    <xf numFmtId="0" fontId="26" fillId="3" borderId="15" xfId="2" applyFont="1" applyBorder="1"/>
    <xf numFmtId="0" fontId="26" fillId="3" borderId="16" xfId="2" applyFont="1" applyBorder="1"/>
    <xf numFmtId="0" fontId="26" fillId="3" borderId="15" xfId="2" applyFont="1" applyBorder="1" applyAlignment="1">
      <alignment horizontal="center"/>
    </xf>
    <xf numFmtId="0" fontId="26" fillId="3" borderId="17" xfId="2" applyFont="1" applyBorder="1" applyAlignment="1">
      <alignment horizontal="center"/>
    </xf>
    <xf numFmtId="1" fontId="27" fillId="3" borderId="18" xfId="2" applyNumberFormat="1" applyFont="1" applyBorder="1" applyAlignment="1">
      <alignment horizontal="center"/>
    </xf>
    <xf numFmtId="1" fontId="27" fillId="3" borderId="0" xfId="2" applyNumberFormat="1" applyFont="1" applyBorder="1" applyAlignment="1">
      <alignment horizontal="center"/>
    </xf>
    <xf numFmtId="0" fontId="26" fillId="3" borderId="19" xfId="2" applyFont="1" applyBorder="1"/>
    <xf numFmtId="0" fontId="26" fillId="3" borderId="20" xfId="2" applyFont="1" applyBorder="1"/>
    <xf numFmtId="0" fontId="26" fillId="3" borderId="19" xfId="2" applyFont="1" applyBorder="1" applyAlignment="1">
      <alignment horizontal="center"/>
    </xf>
    <xf numFmtId="0" fontId="26" fillId="3" borderId="21" xfId="2" applyFont="1" applyBorder="1" applyAlignment="1">
      <alignment horizontal="center"/>
    </xf>
    <xf numFmtId="1" fontId="27" fillId="3" borderId="22" xfId="2" applyNumberFormat="1" applyFont="1" applyBorder="1" applyAlignment="1">
      <alignment horizontal="center"/>
    </xf>
    <xf numFmtId="0" fontId="24" fillId="4" borderId="3" xfId="0" applyFont="1" applyFill="1" applyBorder="1" applyProtection="1">
      <protection locked="0"/>
    </xf>
    <xf numFmtId="0" fontId="24" fillId="4" borderId="34" xfId="0" applyFont="1" applyFill="1" applyBorder="1" applyProtection="1">
      <protection locked="0"/>
    </xf>
    <xf numFmtId="0" fontId="17" fillId="4" borderId="1" xfId="0" applyFont="1" applyFill="1" applyBorder="1" applyAlignment="1">
      <alignment horizontal="center"/>
    </xf>
    <xf numFmtId="22" fontId="17" fillId="4" borderId="1" xfId="0" applyNumberFormat="1" applyFont="1" applyFill="1" applyBorder="1" applyAlignment="1">
      <alignment horizontal="center"/>
    </xf>
    <xf numFmtId="0" fontId="17" fillId="4" borderId="1" xfId="0" applyFont="1" applyFill="1" applyBorder="1"/>
    <xf numFmtId="0" fontId="17" fillId="4" borderId="1" xfId="0" applyFont="1" applyFill="1" applyBorder="1" applyAlignment="1">
      <alignment horizontal="right"/>
    </xf>
    <xf numFmtId="0" fontId="17" fillId="4" borderId="1" xfId="0" applyFont="1" applyFill="1" applyBorder="1" applyAlignment="1">
      <alignment horizontal="left"/>
    </xf>
    <xf numFmtId="0" fontId="17" fillId="4" borderId="1" xfId="0" applyFont="1" applyFill="1" applyBorder="1" applyProtection="1">
      <protection locked="0"/>
    </xf>
    <xf numFmtId="0" fontId="20" fillId="8" borderId="0" xfId="0" applyFont="1" applyFill="1" applyAlignment="1">
      <alignment horizontal="center"/>
    </xf>
    <xf numFmtId="0" fontId="21" fillId="6" borderId="25" xfId="0" applyFont="1" applyFill="1" applyBorder="1"/>
    <xf numFmtId="0" fontId="21" fillId="6" borderId="26" xfId="0" applyFont="1" applyFill="1" applyBorder="1" applyAlignment="1">
      <alignment horizontal="center"/>
    </xf>
    <xf numFmtId="0" fontId="21" fillId="6" borderId="27" xfId="0" applyFont="1" applyFill="1" applyBorder="1" applyAlignment="1">
      <alignment horizontal="center"/>
    </xf>
    <xf numFmtId="0" fontId="28" fillId="4" borderId="0" xfId="0" applyFont="1" applyFill="1"/>
    <xf numFmtId="0" fontId="20" fillId="9" borderId="0" xfId="0" applyFont="1" applyFill="1" applyAlignment="1">
      <alignment horizontal="center"/>
    </xf>
    <xf numFmtId="0" fontId="20" fillId="10" borderId="0" xfId="0" applyFont="1" applyFill="1" applyAlignment="1">
      <alignment horizontal="center"/>
    </xf>
    <xf numFmtId="0" fontId="20" fillId="11" borderId="0" xfId="0" applyFont="1" applyFill="1" applyAlignment="1">
      <alignment horizontal="center"/>
    </xf>
    <xf numFmtId="0" fontId="20" fillId="12" borderId="0" xfId="0" applyFont="1" applyFill="1" applyAlignment="1">
      <alignment horizontal="center"/>
    </xf>
    <xf numFmtId="0" fontId="17" fillId="13" borderId="4" xfId="0" applyFont="1" applyFill="1" applyBorder="1" applyAlignment="1">
      <alignment horizontal="center"/>
    </xf>
    <xf numFmtId="0" fontId="17" fillId="13" borderId="5" xfId="0" applyFont="1" applyFill="1" applyBorder="1" applyAlignment="1">
      <alignment horizontal="center"/>
    </xf>
    <xf numFmtId="0" fontId="17" fillId="13" borderId="5" xfId="0" applyFont="1" applyFill="1" applyBorder="1"/>
    <xf numFmtId="0" fontId="17" fillId="13" borderId="7" xfId="0" applyFont="1" applyFill="1" applyBorder="1" applyAlignment="1">
      <alignment horizontal="center"/>
    </xf>
    <xf numFmtId="0" fontId="17" fillId="13" borderId="9" xfId="0" applyFont="1" applyFill="1" applyBorder="1" applyAlignment="1">
      <alignment horizontal="center"/>
    </xf>
    <xf numFmtId="0" fontId="20" fillId="13" borderId="10" xfId="0" applyFont="1" applyFill="1" applyBorder="1" applyAlignment="1">
      <alignment horizontal="center"/>
    </xf>
    <xf numFmtId="0" fontId="20" fillId="13" borderId="0" xfId="0" applyFont="1" applyFill="1" applyAlignment="1">
      <alignment horizontal="center"/>
    </xf>
    <xf numFmtId="0" fontId="20" fillId="14" borderId="0" xfId="0" applyFont="1" applyFill="1" applyAlignment="1">
      <alignment horizontal="center"/>
    </xf>
    <xf numFmtId="165" fontId="17" fillId="4" borderId="0" xfId="0" applyNumberFormat="1" applyFont="1" applyFill="1" applyAlignment="1">
      <alignment horizontal="center"/>
    </xf>
    <xf numFmtId="0" fontId="17" fillId="17" borderId="0" xfId="0" applyFont="1" applyFill="1"/>
    <xf numFmtId="0" fontId="17" fillId="16" borderId="37" xfId="0" applyFont="1" applyFill="1" applyBorder="1"/>
    <xf numFmtId="0" fontId="17" fillId="15" borderId="2" xfId="0" applyFont="1" applyFill="1" applyBorder="1"/>
    <xf numFmtId="0" fontId="17" fillId="15" borderId="0" xfId="0" applyFont="1" applyFill="1"/>
    <xf numFmtId="0" fontId="17" fillId="6" borderId="0" xfId="0" applyFont="1" applyFill="1"/>
    <xf numFmtId="0" fontId="20" fillId="17" borderId="0" xfId="0" applyFont="1" applyFill="1"/>
    <xf numFmtId="0" fontId="20" fillId="6" borderId="2" xfId="0" applyFont="1" applyFill="1" applyBorder="1" applyAlignment="1">
      <alignment horizontal="right"/>
    </xf>
    <xf numFmtId="0" fontId="20" fillId="7" borderId="0" xfId="0" applyFont="1" applyFill="1" applyAlignment="1">
      <alignment horizontal="center"/>
    </xf>
    <xf numFmtId="0" fontId="20" fillId="7" borderId="36" xfId="0" applyFont="1" applyFill="1" applyBorder="1" applyAlignment="1">
      <alignment horizontal="center"/>
    </xf>
    <xf numFmtId="0" fontId="20" fillId="6" borderId="33" xfId="0" applyFont="1" applyFill="1" applyBorder="1" applyAlignment="1">
      <alignment horizontal="left"/>
    </xf>
    <xf numFmtId="0" fontId="31" fillId="6" borderId="3" xfId="0" applyFont="1" applyFill="1" applyBorder="1" applyAlignment="1">
      <alignment horizontal="right"/>
    </xf>
    <xf numFmtId="0" fontId="32" fillId="6" borderId="34" xfId="0" applyFont="1" applyFill="1" applyBorder="1" applyAlignment="1">
      <alignment horizontal="center"/>
    </xf>
    <xf numFmtId="0" fontId="33" fillId="17" borderId="0" xfId="0" applyFont="1" applyFill="1"/>
    <xf numFmtId="0" fontId="34" fillId="15" borderId="0" xfId="0" applyFont="1" applyFill="1"/>
    <xf numFmtId="0" fontId="25" fillId="15" borderId="0" xfId="0" applyFont="1" applyFill="1"/>
    <xf numFmtId="0" fontId="17" fillId="16" borderId="0" xfId="0" applyFont="1" applyFill="1"/>
    <xf numFmtId="0" fontId="20" fillId="15" borderId="0" xfId="0" applyFont="1" applyFill="1"/>
    <xf numFmtId="0" fontId="17" fillId="6" borderId="2" xfId="0" applyFont="1" applyFill="1" applyBorder="1"/>
    <xf numFmtId="0" fontId="25" fillId="6" borderId="0" xfId="0" applyFont="1" applyFill="1"/>
    <xf numFmtId="0" fontId="32" fillId="6" borderId="0" xfId="0" applyFont="1" applyFill="1" applyAlignment="1">
      <alignment horizontal="center"/>
    </xf>
    <xf numFmtId="0" fontId="31" fillId="6" borderId="0" xfId="0" applyFont="1" applyFill="1" applyAlignment="1">
      <alignment horizontal="right"/>
    </xf>
    <xf numFmtId="0" fontId="29" fillId="6" borderId="49" xfId="0" applyFont="1" applyFill="1" applyBorder="1"/>
    <xf numFmtId="0" fontId="30" fillId="6" borderId="50" xfId="0" applyFont="1" applyFill="1" applyBorder="1" applyAlignment="1">
      <alignment horizontal="center"/>
    </xf>
    <xf numFmtId="0" fontId="35" fillId="6" borderId="51" xfId="0" applyFont="1" applyFill="1" applyBorder="1" applyAlignment="1">
      <alignment horizontal="center"/>
    </xf>
    <xf numFmtId="0" fontId="20" fillId="6" borderId="52" xfId="0" applyFont="1" applyFill="1" applyBorder="1" applyAlignment="1">
      <alignment horizontal="right"/>
    </xf>
    <xf numFmtId="0" fontId="20" fillId="6" borderId="53" xfId="0" applyFont="1" applyFill="1" applyBorder="1" applyAlignment="1">
      <alignment horizontal="left"/>
    </xf>
    <xf numFmtId="0" fontId="31" fillId="6" borderId="54" xfId="0" applyFont="1" applyFill="1" applyBorder="1" applyAlignment="1">
      <alignment horizontal="right"/>
    </xf>
    <xf numFmtId="0" fontId="32" fillId="6" borderId="56" xfId="0" applyFont="1" applyFill="1" applyBorder="1" applyAlignment="1">
      <alignment horizontal="center"/>
    </xf>
    <xf numFmtId="0" fontId="17" fillId="6" borderId="0" xfId="0" applyFont="1" applyFill="1" applyAlignment="1">
      <alignment horizontal="right"/>
    </xf>
    <xf numFmtId="0" fontId="17" fillId="6" borderId="57" xfId="0" applyFont="1" applyFill="1" applyBorder="1"/>
    <xf numFmtId="0" fontId="38" fillId="6" borderId="57" xfId="0" applyFont="1" applyFill="1" applyBorder="1" applyAlignment="1">
      <alignment horizontal="right"/>
    </xf>
    <xf numFmtId="0" fontId="17" fillId="7" borderId="57" xfId="0" applyFont="1" applyFill="1" applyBorder="1"/>
    <xf numFmtId="0" fontId="39" fillId="6" borderId="1" xfId="0" applyFont="1" applyFill="1" applyBorder="1" applyAlignment="1">
      <alignment horizontal="center"/>
    </xf>
    <xf numFmtId="0" fontId="39" fillId="6" borderId="55" xfId="0" applyFont="1" applyFill="1" applyBorder="1" applyAlignment="1">
      <alignment horizontal="center"/>
    </xf>
    <xf numFmtId="0" fontId="39" fillId="6" borderId="0" xfId="0" applyFont="1" applyFill="1" applyAlignment="1">
      <alignment horizontal="center"/>
    </xf>
    <xf numFmtId="0" fontId="32" fillId="6" borderId="0" xfId="0" applyFont="1" applyFill="1"/>
    <xf numFmtId="0" fontId="0" fillId="0" borderId="0" xfId="0" applyAlignment="1">
      <alignment horizontal="right"/>
    </xf>
    <xf numFmtId="0" fontId="0" fillId="0" borderId="0" xfId="0" applyAlignment="1">
      <alignment horizontal="left"/>
    </xf>
    <xf numFmtId="0" fontId="0" fillId="0" borderId="1" xfId="0" applyBorder="1" applyAlignment="1">
      <alignment horizontal="right"/>
    </xf>
    <xf numFmtId="0" fontId="0" fillId="0" borderId="1" xfId="0" applyBorder="1" applyAlignment="1">
      <alignment horizontal="left"/>
    </xf>
    <xf numFmtId="0" fontId="0" fillId="0" borderId="35" xfId="0" applyBorder="1"/>
    <xf numFmtId="0" fontId="0" fillId="0" borderId="35" xfId="0" applyBorder="1" applyAlignment="1">
      <alignment horizontal="right"/>
    </xf>
    <xf numFmtId="0" fontId="0" fillId="0" borderId="35" xfId="0" applyBorder="1" applyAlignment="1">
      <alignment horizontal="left"/>
    </xf>
    <xf numFmtId="0" fontId="41" fillId="0" borderId="35" xfId="0" applyFont="1" applyBorder="1"/>
    <xf numFmtId="0" fontId="41" fillId="0" borderId="35" xfId="0" applyFont="1" applyBorder="1" applyAlignment="1">
      <alignment horizontal="right"/>
    </xf>
    <xf numFmtId="0" fontId="41" fillId="0" borderId="35" xfId="0" applyFont="1" applyBorder="1" applyAlignment="1">
      <alignment horizontal="left"/>
    </xf>
    <xf numFmtId="0" fontId="41" fillId="0" borderId="1" xfId="0" applyFont="1" applyBorder="1"/>
    <xf numFmtId="0" fontId="41" fillId="0" borderId="1" xfId="0" applyFont="1" applyBorder="1" applyAlignment="1">
      <alignment horizontal="right"/>
    </xf>
    <xf numFmtId="0" fontId="41" fillId="0" borderId="1" xfId="0" applyFont="1" applyBorder="1" applyAlignment="1">
      <alignment horizontal="left"/>
    </xf>
    <xf numFmtId="0" fontId="0" fillId="0" borderId="1" xfId="0" applyBorder="1" applyAlignment="1">
      <alignment horizontal="center"/>
    </xf>
    <xf numFmtId="0" fontId="20" fillId="13" borderId="4" xfId="0" applyFont="1" applyFill="1" applyBorder="1"/>
    <xf numFmtId="0" fontId="20" fillId="13" borderId="5" xfId="0" applyFont="1" applyFill="1" applyBorder="1"/>
    <xf numFmtId="0" fontId="20" fillId="13" borderId="6" xfId="0" applyFont="1" applyFill="1" applyBorder="1"/>
    <xf numFmtId="0" fontId="4" fillId="0" borderId="0" xfId="0" applyFont="1" applyAlignment="1">
      <alignment horizontal="center"/>
    </xf>
    <xf numFmtId="1" fontId="0" fillId="0" borderId="0" xfId="0" applyNumberFormat="1"/>
    <xf numFmtId="0" fontId="43" fillId="4" borderId="0" xfId="0" applyFont="1" applyFill="1"/>
    <xf numFmtId="0" fontId="0" fillId="0" borderId="33" xfId="0" applyBorder="1"/>
    <xf numFmtId="0" fontId="43" fillId="18" borderId="0" xfId="0" applyFont="1" applyFill="1"/>
    <xf numFmtId="0" fontId="0" fillId="18" borderId="0" xfId="0" applyFill="1"/>
    <xf numFmtId="0" fontId="0" fillId="18" borderId="0" xfId="0" applyFill="1" applyAlignment="1">
      <alignment horizontal="left"/>
    </xf>
    <xf numFmtId="0" fontId="0" fillId="18" borderId="33" xfId="0" applyFill="1" applyBorder="1"/>
    <xf numFmtId="1" fontId="0" fillId="0" borderId="0" xfId="0" applyNumberFormat="1" applyAlignment="1">
      <alignment horizontal="center"/>
    </xf>
    <xf numFmtId="166" fontId="0" fillId="0" borderId="0" xfId="3" applyNumberFormat="1" applyFont="1" applyAlignment="1">
      <alignment horizontal="center"/>
    </xf>
    <xf numFmtId="3" fontId="0" fillId="0" borderId="0" xfId="0" applyNumberFormat="1"/>
    <xf numFmtId="3" fontId="0" fillId="0" borderId="0" xfId="0" applyNumberFormat="1" applyAlignment="1">
      <alignment horizontal="center"/>
    </xf>
    <xf numFmtId="3" fontId="0" fillId="0" borderId="1" xfId="0" applyNumberFormat="1" applyBorder="1" applyAlignment="1">
      <alignment horizontal="center"/>
    </xf>
    <xf numFmtId="1" fontId="0" fillId="0" borderId="1" xfId="0" applyNumberFormat="1" applyBorder="1" applyAlignment="1">
      <alignment horizontal="center"/>
    </xf>
    <xf numFmtId="3" fontId="0" fillId="0" borderId="1" xfId="0" applyNumberFormat="1" applyBorder="1"/>
    <xf numFmtId="167" fontId="0" fillId="0" borderId="0" xfId="3" applyNumberFormat="1" applyFont="1" applyAlignment="1">
      <alignment horizontal="right"/>
    </xf>
    <xf numFmtId="168" fontId="0" fillId="0" borderId="0" xfId="0" applyNumberFormat="1" applyAlignment="1">
      <alignment horizontal="center"/>
    </xf>
    <xf numFmtId="0" fontId="44" fillId="0" borderId="0" xfId="0" applyFont="1"/>
    <xf numFmtId="0" fontId="45" fillId="6" borderId="31" xfId="0" applyFont="1" applyFill="1" applyBorder="1"/>
    <xf numFmtId="0" fontId="46" fillId="6" borderId="35" xfId="0" applyFont="1" applyFill="1" applyBorder="1" applyAlignment="1">
      <alignment horizontal="center"/>
    </xf>
    <xf numFmtId="0" fontId="46" fillId="6" borderId="32" xfId="0" applyFont="1" applyFill="1" applyBorder="1" applyAlignment="1">
      <alignment horizontal="center"/>
    </xf>
    <xf numFmtId="0" fontId="47" fillId="16" borderId="62" xfId="0" applyFont="1" applyFill="1" applyBorder="1"/>
    <xf numFmtId="0" fontId="32" fillId="16" borderId="37" xfId="0" applyFont="1" applyFill="1" applyBorder="1"/>
    <xf numFmtId="0" fontId="47" fillId="16" borderId="63" xfId="0" applyFont="1" applyFill="1" applyBorder="1"/>
    <xf numFmtId="0" fontId="47" fillId="16" borderId="64" xfId="0" applyFont="1" applyFill="1" applyBorder="1"/>
    <xf numFmtId="0" fontId="32" fillId="16" borderId="65" xfId="0" applyFont="1" applyFill="1" applyBorder="1"/>
    <xf numFmtId="0" fontId="47" fillId="16" borderId="66" xfId="0" applyFont="1" applyFill="1" applyBorder="1"/>
    <xf numFmtId="0" fontId="47" fillId="16" borderId="67" xfId="0" applyFont="1" applyFill="1" applyBorder="1"/>
    <xf numFmtId="0" fontId="32" fillId="16" borderId="68" xfId="0" applyFont="1" applyFill="1" applyBorder="1"/>
    <xf numFmtId="0" fontId="47" fillId="16" borderId="69" xfId="0" applyFont="1" applyFill="1" applyBorder="1"/>
    <xf numFmtId="4" fontId="0" fillId="0" borderId="0" xfId="0" applyNumberFormat="1"/>
    <xf numFmtId="0" fontId="48" fillId="19" borderId="0" xfId="0" applyFont="1" applyFill="1" applyAlignment="1">
      <alignment horizontal="left"/>
    </xf>
    <xf numFmtId="1" fontId="48" fillId="19" borderId="0" xfId="0" applyNumberFormat="1" applyFont="1" applyFill="1"/>
    <xf numFmtId="0" fontId="48" fillId="19" borderId="0" xfId="0" applyFont="1" applyFill="1" applyAlignment="1">
      <alignment horizontal="center"/>
    </xf>
    <xf numFmtId="0" fontId="48" fillId="19" borderId="33" xfId="0" applyFont="1" applyFill="1" applyBorder="1" applyAlignment="1">
      <alignment horizontal="center"/>
    </xf>
    <xf numFmtId="0" fontId="42" fillId="20" borderId="59" xfId="0" applyFont="1" applyFill="1" applyBorder="1" applyAlignment="1">
      <alignment horizontal="left"/>
    </xf>
    <xf numFmtId="1" fontId="42" fillId="20" borderId="59" xfId="0" applyNumberFormat="1" applyFont="1" applyFill="1" applyBorder="1"/>
    <xf numFmtId="0" fontId="42" fillId="20" borderId="59" xfId="0" applyFont="1" applyFill="1" applyBorder="1" applyAlignment="1">
      <alignment horizontal="center"/>
    </xf>
    <xf numFmtId="0" fontId="42" fillId="20" borderId="60" xfId="0" applyFont="1" applyFill="1" applyBorder="1" applyAlignment="1">
      <alignment horizontal="center"/>
    </xf>
    <xf numFmtId="0" fontId="0" fillId="21" borderId="33" xfId="0" applyFill="1" applyBorder="1" applyAlignment="1">
      <alignment horizontal="center"/>
    </xf>
    <xf numFmtId="0" fontId="0" fillId="22" borderId="0" xfId="0" applyFill="1" applyAlignment="1">
      <alignment horizontal="left"/>
    </xf>
    <xf numFmtId="1" fontId="0" fillId="22" borderId="0" xfId="0" applyNumberFormat="1" applyFill="1"/>
    <xf numFmtId="0" fontId="0" fillId="22" borderId="0" xfId="0" applyFill="1" applyAlignment="1">
      <alignment horizontal="center"/>
    </xf>
    <xf numFmtId="0" fontId="0" fillId="22" borderId="33" xfId="0" applyFill="1" applyBorder="1" applyAlignment="1">
      <alignment horizontal="center"/>
    </xf>
    <xf numFmtId="0" fontId="0" fillId="22" borderId="58" xfId="0" applyFill="1" applyBorder="1" applyAlignment="1">
      <alignment horizontal="left"/>
    </xf>
    <xf numFmtId="1" fontId="0" fillId="22" borderId="58" xfId="0" applyNumberFormat="1" applyFill="1" applyBorder="1"/>
    <xf numFmtId="0" fontId="0" fillId="22" borderId="58" xfId="0" applyFill="1" applyBorder="1" applyAlignment="1">
      <alignment horizontal="center"/>
    </xf>
    <xf numFmtId="0" fontId="0" fillId="22" borderId="61" xfId="0" applyFill="1" applyBorder="1" applyAlignment="1">
      <alignment horizontal="center"/>
    </xf>
    <xf numFmtId="0" fontId="0" fillId="15" borderId="0" xfId="0" applyFill="1" applyAlignment="1">
      <alignment horizontal="left"/>
    </xf>
    <xf numFmtId="1" fontId="0" fillId="15" borderId="0" xfId="0" applyNumberFormat="1" applyFill="1"/>
    <xf numFmtId="0" fontId="0" fillId="15" borderId="0" xfId="0" applyFill="1" applyAlignment="1">
      <alignment horizontal="center"/>
    </xf>
    <xf numFmtId="0" fontId="0" fillId="15" borderId="33" xfId="0" applyFill="1" applyBorder="1" applyAlignment="1">
      <alignment horizontal="center"/>
    </xf>
    <xf numFmtId="0" fontId="0" fillId="21" borderId="0" xfId="0" applyFill="1" applyAlignment="1">
      <alignment horizontal="left"/>
    </xf>
    <xf numFmtId="0" fontId="0" fillId="21" borderId="0" xfId="0" applyFill="1"/>
    <xf numFmtId="1" fontId="0" fillId="21" borderId="0" xfId="0" applyNumberFormat="1" applyFill="1"/>
    <xf numFmtId="0" fontId="0" fillId="21" borderId="0" xfId="0" applyFill="1" applyAlignment="1">
      <alignment horizontal="center"/>
    </xf>
    <xf numFmtId="0" fontId="0" fillId="21" borderId="1" xfId="0" applyFill="1" applyBorder="1" applyAlignment="1">
      <alignment horizontal="left"/>
    </xf>
    <xf numFmtId="1" fontId="0" fillId="21" borderId="1" xfId="0" applyNumberFormat="1" applyFill="1" applyBorder="1"/>
    <xf numFmtId="0" fontId="0" fillId="21" borderId="1" xfId="0" applyFill="1" applyBorder="1" applyAlignment="1">
      <alignment horizontal="center"/>
    </xf>
    <xf numFmtId="0" fontId="0" fillId="21" borderId="34" xfId="0" applyFill="1" applyBorder="1" applyAlignment="1">
      <alignment horizontal="center"/>
    </xf>
    <xf numFmtId="0" fontId="0" fillId="23" borderId="0" xfId="0" applyFill="1" applyAlignment="1">
      <alignment horizontal="left"/>
    </xf>
    <xf numFmtId="1" fontId="0" fillId="23" borderId="0" xfId="0" applyNumberFormat="1" applyFill="1"/>
    <xf numFmtId="0" fontId="0" fillId="23" borderId="0" xfId="0" applyFill="1" applyAlignment="1">
      <alignment horizontal="center"/>
    </xf>
    <xf numFmtId="0" fontId="0" fillId="23" borderId="33" xfId="0" applyFill="1" applyBorder="1" applyAlignment="1">
      <alignment horizontal="center"/>
    </xf>
    <xf numFmtId="0" fontId="0" fillId="23" borderId="1" xfId="0" applyFill="1" applyBorder="1" applyAlignment="1">
      <alignment horizontal="left"/>
    </xf>
    <xf numFmtId="1" fontId="0" fillId="23" borderId="1" xfId="0" applyNumberFormat="1" applyFill="1" applyBorder="1"/>
    <xf numFmtId="0" fontId="0" fillId="23" borderId="1" xfId="0" applyFill="1" applyBorder="1" applyAlignment="1">
      <alignment horizontal="center"/>
    </xf>
    <xf numFmtId="0" fontId="0" fillId="23" borderId="34" xfId="0" applyFill="1" applyBorder="1" applyAlignment="1">
      <alignment horizontal="center"/>
    </xf>
    <xf numFmtId="0" fontId="0" fillId="15" borderId="71" xfId="0" applyFill="1" applyBorder="1" applyAlignment="1">
      <alignment horizontal="left"/>
    </xf>
    <xf numFmtId="1" fontId="0" fillId="15" borderId="71" xfId="0" applyNumberFormat="1" applyFill="1" applyBorder="1"/>
    <xf numFmtId="0" fontId="0" fillId="15" borderId="71" xfId="0" applyFill="1" applyBorder="1" applyAlignment="1">
      <alignment horizontal="center"/>
    </xf>
    <xf numFmtId="0" fontId="0" fillId="15" borderId="70" xfId="0" applyFill="1" applyBorder="1" applyAlignment="1">
      <alignment horizontal="center"/>
    </xf>
    <xf numFmtId="0" fontId="0" fillId="24" borderId="0" xfId="0" applyFill="1" applyAlignment="1">
      <alignment horizontal="left"/>
    </xf>
    <xf numFmtId="1" fontId="0" fillId="24" borderId="0" xfId="0" applyNumberFormat="1" applyFill="1"/>
    <xf numFmtId="0" fontId="0" fillId="24" borderId="0" xfId="0" applyFill="1" applyAlignment="1">
      <alignment horizontal="center"/>
    </xf>
    <xf numFmtId="0" fontId="0" fillId="24" borderId="33" xfId="0" applyFill="1" applyBorder="1" applyAlignment="1">
      <alignment horizontal="center"/>
    </xf>
    <xf numFmtId="0" fontId="0" fillId="24" borderId="1" xfId="0" applyFill="1" applyBorder="1" applyAlignment="1">
      <alignment horizontal="left"/>
    </xf>
    <xf numFmtId="1" fontId="0" fillId="24" borderId="1" xfId="0" applyNumberFormat="1" applyFill="1" applyBorder="1"/>
    <xf numFmtId="0" fontId="0" fillId="24" borderId="1" xfId="0" applyFill="1" applyBorder="1" applyAlignment="1">
      <alignment horizontal="center"/>
    </xf>
    <xf numFmtId="0" fontId="0" fillId="24" borderId="34" xfId="0" applyFill="1" applyBorder="1" applyAlignment="1">
      <alignment horizontal="center"/>
    </xf>
    <xf numFmtId="0" fontId="49" fillId="16" borderId="0" xfId="0" applyFont="1" applyFill="1"/>
    <xf numFmtId="0" fontId="49" fillId="16" borderId="0" xfId="0" applyFont="1" applyFill="1" applyAlignment="1">
      <alignment horizontal="left"/>
    </xf>
    <xf numFmtId="0" fontId="49" fillId="16" borderId="0" xfId="0" applyFont="1" applyFill="1" applyAlignment="1">
      <alignment horizontal="center"/>
    </xf>
    <xf numFmtId="0" fontId="49" fillId="16" borderId="33" xfId="0" applyFont="1" applyFill="1" applyBorder="1" applyAlignment="1">
      <alignment horizontal="center"/>
    </xf>
    <xf numFmtId="0" fontId="50" fillId="18" borderId="57" xfId="0" applyFont="1" applyFill="1" applyBorder="1"/>
    <xf numFmtId="0" fontId="51" fillId="0" borderId="0" xfId="0" applyFont="1"/>
    <xf numFmtId="0" fontId="51" fillId="0" borderId="1" xfId="0" applyFont="1" applyBorder="1"/>
    <xf numFmtId="0" fontId="0" fillId="25" borderId="35" xfId="0" applyFill="1" applyBorder="1"/>
    <xf numFmtId="0" fontId="0" fillId="25" borderId="35" xfId="0" applyFill="1" applyBorder="1" applyAlignment="1">
      <alignment horizontal="right"/>
    </xf>
    <xf numFmtId="0" fontId="0" fillId="25" borderId="35" xfId="0" applyFill="1" applyBorder="1" applyAlignment="1">
      <alignment horizontal="left"/>
    </xf>
    <xf numFmtId="0" fontId="0" fillId="25" borderId="0" xfId="0" applyFill="1"/>
    <xf numFmtId="0" fontId="0" fillId="25" borderId="0" xfId="0" applyFill="1" applyAlignment="1">
      <alignment horizontal="right"/>
    </xf>
    <xf numFmtId="0" fontId="0" fillId="25" borderId="0" xfId="0" applyFill="1" applyAlignment="1">
      <alignment horizontal="left"/>
    </xf>
    <xf numFmtId="0" fontId="0" fillId="25" borderId="1" xfId="0" applyFill="1" applyBorder="1"/>
    <xf numFmtId="0" fontId="0" fillId="25" borderId="1" xfId="0" applyFill="1" applyBorder="1" applyAlignment="1">
      <alignment horizontal="right"/>
    </xf>
    <xf numFmtId="0" fontId="0" fillId="25" borderId="1" xfId="0" applyFill="1" applyBorder="1" applyAlignment="1">
      <alignment horizontal="left"/>
    </xf>
    <xf numFmtId="0" fontId="0" fillId="17" borderId="35" xfId="0" applyFill="1" applyBorder="1"/>
    <xf numFmtId="0" fontId="0" fillId="17" borderId="35" xfId="0" applyFill="1" applyBorder="1" applyAlignment="1">
      <alignment horizontal="right"/>
    </xf>
    <xf numFmtId="0" fontId="0" fillId="17" borderId="35" xfId="0" applyFill="1" applyBorder="1" applyAlignment="1">
      <alignment horizontal="left"/>
    </xf>
    <xf numFmtId="0" fontId="0" fillId="17" borderId="0" xfId="0" applyFill="1"/>
    <xf numFmtId="0" fontId="0" fillId="17" borderId="0" xfId="0" applyFill="1" applyAlignment="1">
      <alignment horizontal="right"/>
    </xf>
    <xf numFmtId="0" fontId="0" fillId="17" borderId="0" xfId="0" applyFill="1" applyAlignment="1">
      <alignment horizontal="left"/>
    </xf>
    <xf numFmtId="0" fontId="0" fillId="17" borderId="1" xfId="0" applyFill="1" applyBorder="1"/>
    <xf numFmtId="0" fontId="0" fillId="17" borderId="1" xfId="0" applyFill="1" applyBorder="1" applyAlignment="1">
      <alignment horizontal="right"/>
    </xf>
    <xf numFmtId="0" fontId="0" fillId="17" borderId="1" xfId="0" applyFill="1" applyBorder="1" applyAlignment="1">
      <alignment horizontal="left"/>
    </xf>
    <xf numFmtId="0" fontId="0" fillId="22" borderId="0" xfId="0" applyFill="1"/>
    <xf numFmtId="0" fontId="0" fillId="22" borderId="35" xfId="0" applyFill="1" applyBorder="1" applyAlignment="1">
      <alignment horizontal="right"/>
    </xf>
    <xf numFmtId="0" fontId="0" fillId="22" borderId="0" xfId="0" applyFill="1" applyAlignment="1">
      <alignment horizontal="right"/>
    </xf>
    <xf numFmtId="0" fontId="0" fillId="21" borderId="0" xfId="0" applyFill="1" applyAlignment="1">
      <alignment horizontal="right"/>
    </xf>
    <xf numFmtId="0" fontId="0" fillId="26" borderId="0" xfId="0" applyFill="1"/>
    <xf numFmtId="0" fontId="0" fillId="26" borderId="0" xfId="0" applyFill="1" applyAlignment="1">
      <alignment horizontal="right"/>
    </xf>
    <xf numFmtId="0" fontId="0" fillId="27" borderId="1" xfId="0" applyFill="1" applyBorder="1"/>
    <xf numFmtId="0" fontId="0" fillId="27" borderId="1" xfId="0" applyFill="1" applyBorder="1" applyAlignment="1">
      <alignment horizontal="right"/>
    </xf>
    <xf numFmtId="0" fontId="0" fillId="27" borderId="1" xfId="0" applyFill="1" applyBorder="1" applyAlignment="1">
      <alignment horizontal="left"/>
    </xf>
    <xf numFmtId="0" fontId="0" fillId="26" borderId="0" xfId="0" applyFill="1" applyAlignment="1">
      <alignment horizontal="left"/>
    </xf>
    <xf numFmtId="0" fontId="51" fillId="0" borderId="0" xfId="0" applyFont="1" applyAlignment="1">
      <alignment horizontal="right"/>
    </xf>
    <xf numFmtId="0" fontId="51" fillId="0" borderId="1" xfId="0" applyFont="1" applyBorder="1" applyAlignment="1">
      <alignment horizontal="right"/>
    </xf>
    <xf numFmtId="0" fontId="0" fillId="16" borderId="0" xfId="0" applyFill="1"/>
    <xf numFmtId="0" fontId="0" fillId="0" borderId="2" xfId="0" applyBorder="1"/>
    <xf numFmtId="0" fontId="38" fillId="6" borderId="72" xfId="0" applyFont="1" applyFill="1" applyBorder="1" applyAlignment="1">
      <alignment horizontal="right"/>
    </xf>
    <xf numFmtId="0" fontId="13" fillId="4" borderId="0" xfId="0" applyFont="1" applyFill="1" applyAlignment="1">
      <alignment horizontal="center"/>
    </xf>
    <xf numFmtId="0" fontId="0" fillId="4" borderId="0" xfId="0" applyFill="1"/>
    <xf numFmtId="0" fontId="13" fillId="4" borderId="35" xfId="0" applyFont="1" applyFill="1" applyBorder="1" applyAlignment="1">
      <alignment horizontal="center"/>
    </xf>
    <xf numFmtId="0" fontId="13" fillId="4" borderId="1" xfId="0" applyFont="1" applyFill="1" applyBorder="1" applyAlignment="1">
      <alignment horizontal="center"/>
    </xf>
    <xf numFmtId="0" fontId="52" fillId="4" borderId="35" xfId="0" applyFont="1" applyFill="1" applyBorder="1" applyAlignment="1">
      <alignment horizontal="center"/>
    </xf>
    <xf numFmtId="0" fontId="52" fillId="4" borderId="0" xfId="0" applyFont="1" applyFill="1" applyAlignment="1">
      <alignment horizontal="center"/>
    </xf>
    <xf numFmtId="0" fontId="52" fillId="4" borderId="1" xfId="0" applyFont="1" applyFill="1" applyBorder="1" applyAlignment="1">
      <alignment horizontal="center"/>
    </xf>
    <xf numFmtId="3" fontId="53" fillId="15" borderId="0" xfId="0" applyNumberFormat="1" applyFont="1" applyFill="1"/>
    <xf numFmtId="0" fontId="17" fillId="25" borderId="4" xfId="0" applyFont="1" applyFill="1" applyBorder="1" applyAlignment="1">
      <alignment horizontal="center"/>
    </xf>
    <xf numFmtId="0" fontId="17" fillId="25" borderId="5" xfId="0" applyFont="1" applyFill="1" applyBorder="1" applyAlignment="1">
      <alignment horizontal="center"/>
    </xf>
    <xf numFmtId="0" fontId="17" fillId="25" borderId="5" xfId="0" applyFont="1" applyFill="1" applyBorder="1"/>
    <xf numFmtId="0" fontId="20" fillId="25" borderId="4" xfId="0" applyFont="1" applyFill="1" applyBorder="1"/>
    <xf numFmtId="0" fontId="20" fillId="25" borderId="5" xfId="0" applyFont="1" applyFill="1" applyBorder="1"/>
    <xf numFmtId="0" fontId="20" fillId="25" borderId="6" xfId="0" applyFont="1" applyFill="1" applyBorder="1"/>
    <xf numFmtId="0" fontId="17" fillId="25" borderId="7" xfId="0" applyFont="1" applyFill="1" applyBorder="1" applyAlignment="1">
      <alignment horizontal="center"/>
    </xf>
    <xf numFmtId="0" fontId="17" fillId="25" borderId="9" xfId="0" applyFont="1" applyFill="1" applyBorder="1" applyAlignment="1">
      <alignment horizontal="center"/>
    </xf>
    <xf numFmtId="0" fontId="20" fillId="25" borderId="10" xfId="0" applyFont="1" applyFill="1" applyBorder="1" applyAlignment="1">
      <alignment horizontal="center"/>
    </xf>
    <xf numFmtId="0" fontId="17" fillId="19" borderId="4" xfId="0" applyFont="1" applyFill="1" applyBorder="1" applyAlignment="1">
      <alignment horizontal="center"/>
    </xf>
    <xf numFmtId="0" fontId="17" fillId="19" borderId="5" xfId="0" applyFont="1" applyFill="1" applyBorder="1" applyAlignment="1">
      <alignment horizontal="center"/>
    </xf>
    <xf numFmtId="0" fontId="17" fillId="19" borderId="5" xfId="0" applyFont="1" applyFill="1" applyBorder="1"/>
    <xf numFmtId="0" fontId="20" fillId="19" borderId="4" xfId="0" applyFont="1" applyFill="1" applyBorder="1"/>
    <xf numFmtId="0" fontId="20" fillId="19" borderId="5" xfId="0" applyFont="1" applyFill="1" applyBorder="1"/>
    <xf numFmtId="0" fontId="20" fillId="19" borderId="6" xfId="0" applyFont="1" applyFill="1" applyBorder="1"/>
    <xf numFmtId="0" fontId="17" fillId="19" borderId="7" xfId="0" applyFont="1" applyFill="1" applyBorder="1" applyAlignment="1">
      <alignment horizontal="center"/>
    </xf>
    <xf numFmtId="0" fontId="17" fillId="19" borderId="9" xfId="0" applyFont="1" applyFill="1" applyBorder="1" applyAlignment="1">
      <alignment horizontal="center"/>
    </xf>
    <xf numFmtId="0" fontId="20" fillId="19" borderId="10" xfId="0" applyFont="1" applyFill="1" applyBorder="1" applyAlignment="1">
      <alignment horizontal="center"/>
    </xf>
    <xf numFmtId="0" fontId="17" fillId="28" borderId="4" xfId="0" applyFont="1" applyFill="1" applyBorder="1" applyAlignment="1">
      <alignment horizontal="center"/>
    </xf>
    <xf numFmtId="0" fontId="17" fillId="28" borderId="5" xfId="0" applyFont="1" applyFill="1" applyBorder="1" applyAlignment="1">
      <alignment horizontal="center"/>
    </xf>
    <xf numFmtId="0" fontId="17" fillId="28" borderId="5" xfId="0" applyFont="1" applyFill="1" applyBorder="1"/>
    <xf numFmtId="0" fontId="20" fillId="28" borderId="4" xfId="0" applyFont="1" applyFill="1" applyBorder="1"/>
    <xf numFmtId="0" fontId="20" fillId="28" borderId="5" xfId="0" applyFont="1" applyFill="1" applyBorder="1"/>
    <xf numFmtId="0" fontId="20" fillId="28" borderId="6" xfId="0" applyFont="1" applyFill="1" applyBorder="1"/>
    <xf numFmtId="0" fontId="17" fillId="28" borderId="7" xfId="0" applyFont="1" applyFill="1" applyBorder="1" applyAlignment="1">
      <alignment horizontal="center"/>
    </xf>
    <xf numFmtId="0" fontId="17" fillId="28" borderId="9" xfId="0" applyFont="1" applyFill="1" applyBorder="1" applyAlignment="1">
      <alignment horizontal="center"/>
    </xf>
    <xf numFmtId="0" fontId="20" fillId="28" borderId="10" xfId="0" applyFont="1" applyFill="1" applyBorder="1" applyAlignment="1">
      <alignment horizontal="center"/>
    </xf>
    <xf numFmtId="0" fontId="17" fillId="29" borderId="4" xfId="0" applyFont="1" applyFill="1" applyBorder="1" applyAlignment="1">
      <alignment horizontal="center"/>
    </xf>
    <xf numFmtId="0" fontId="17" fillId="29" borderId="5" xfId="0" applyFont="1" applyFill="1" applyBorder="1" applyAlignment="1">
      <alignment horizontal="center"/>
    </xf>
    <xf numFmtId="0" fontId="17" fillId="29" borderId="5" xfId="0" applyFont="1" applyFill="1" applyBorder="1"/>
    <xf numFmtId="0" fontId="20" fillId="29" borderId="4" xfId="0" applyFont="1" applyFill="1" applyBorder="1"/>
    <xf numFmtId="0" fontId="20" fillId="29" borderId="5" xfId="0" applyFont="1" applyFill="1" applyBorder="1"/>
    <xf numFmtId="0" fontId="20" fillId="29" borderId="6" xfId="0" applyFont="1" applyFill="1" applyBorder="1"/>
    <xf numFmtId="0" fontId="17" fillId="29" borderId="7" xfId="0" applyFont="1" applyFill="1" applyBorder="1" applyAlignment="1">
      <alignment horizontal="center"/>
    </xf>
    <xf numFmtId="0" fontId="17" fillId="29" borderId="9" xfId="0" applyFont="1" applyFill="1" applyBorder="1" applyAlignment="1">
      <alignment horizontal="center"/>
    </xf>
    <xf numFmtId="0" fontId="20" fillId="29" borderId="10" xfId="0" applyFont="1" applyFill="1" applyBorder="1" applyAlignment="1">
      <alignment horizontal="center"/>
    </xf>
    <xf numFmtId="0" fontId="17" fillId="30" borderId="4" xfId="0" applyFont="1" applyFill="1" applyBorder="1" applyAlignment="1">
      <alignment horizontal="center"/>
    </xf>
    <xf numFmtId="0" fontId="17" fillId="30" borderId="5" xfId="0" applyFont="1" applyFill="1" applyBorder="1" applyAlignment="1">
      <alignment horizontal="center"/>
    </xf>
    <xf numFmtId="0" fontId="17" fillId="30" borderId="5" xfId="0" applyFont="1" applyFill="1" applyBorder="1"/>
    <xf numFmtId="0" fontId="20" fillId="30" borderId="4" xfId="0" applyFont="1" applyFill="1" applyBorder="1"/>
    <xf numFmtId="0" fontId="20" fillId="30" borderId="5" xfId="0" applyFont="1" applyFill="1" applyBorder="1"/>
    <xf numFmtId="0" fontId="20" fillId="30" borderId="6" xfId="0" applyFont="1" applyFill="1" applyBorder="1"/>
    <xf numFmtId="0" fontId="17" fillId="30" borderId="7" xfId="0" applyFont="1" applyFill="1" applyBorder="1" applyAlignment="1">
      <alignment horizontal="center"/>
    </xf>
    <xf numFmtId="0" fontId="17" fillId="30" borderId="9" xfId="0" applyFont="1" applyFill="1" applyBorder="1" applyAlignment="1">
      <alignment horizontal="center"/>
    </xf>
    <xf numFmtId="0" fontId="20" fillId="30" borderId="10" xfId="0" applyFont="1" applyFill="1" applyBorder="1" applyAlignment="1">
      <alignment horizontal="center"/>
    </xf>
    <xf numFmtId="0" fontId="17" fillId="15" borderId="4" xfId="0" applyFont="1" applyFill="1" applyBorder="1" applyAlignment="1">
      <alignment horizontal="center"/>
    </xf>
    <xf numFmtId="0" fontId="17" fillId="15" borderId="5" xfId="0" applyFont="1" applyFill="1" applyBorder="1" applyAlignment="1">
      <alignment horizontal="center"/>
    </xf>
    <xf numFmtId="0" fontId="17" fillId="15" borderId="5" xfId="0" applyFont="1" applyFill="1" applyBorder="1"/>
    <xf numFmtId="0" fontId="20" fillId="15" borderId="4" xfId="0" applyFont="1" applyFill="1" applyBorder="1"/>
    <xf numFmtId="0" fontId="20" fillId="15" borderId="5" xfId="0" applyFont="1" applyFill="1" applyBorder="1"/>
    <xf numFmtId="0" fontId="20" fillId="15" borderId="6" xfId="0" applyFont="1" applyFill="1" applyBorder="1"/>
    <xf numFmtId="0" fontId="17" fillId="15" borderId="7" xfId="0" applyFont="1" applyFill="1" applyBorder="1" applyAlignment="1">
      <alignment horizontal="center"/>
    </xf>
    <xf numFmtId="0" fontId="17" fillId="15" borderId="9" xfId="0" applyFont="1" applyFill="1" applyBorder="1" applyAlignment="1">
      <alignment horizontal="center"/>
    </xf>
    <xf numFmtId="0" fontId="20" fillId="15" borderId="10" xfId="0" applyFont="1" applyFill="1" applyBorder="1" applyAlignment="1">
      <alignment horizontal="center"/>
    </xf>
    <xf numFmtId="0" fontId="17" fillId="31" borderId="4" xfId="0" applyFont="1" applyFill="1" applyBorder="1" applyAlignment="1">
      <alignment horizontal="center"/>
    </xf>
    <xf numFmtId="0" fontId="17" fillId="31" borderId="5" xfId="0" applyFont="1" applyFill="1" applyBorder="1" applyAlignment="1">
      <alignment horizontal="center"/>
    </xf>
    <xf numFmtId="0" fontId="17" fillId="31" borderId="5" xfId="0" applyFont="1" applyFill="1" applyBorder="1"/>
    <xf numFmtId="0" fontId="20" fillId="31" borderId="4" xfId="0" applyFont="1" applyFill="1" applyBorder="1"/>
    <xf numFmtId="0" fontId="20" fillId="31" borderId="5" xfId="0" applyFont="1" applyFill="1" applyBorder="1"/>
    <xf numFmtId="0" fontId="20" fillId="31" borderId="6" xfId="0" applyFont="1" applyFill="1" applyBorder="1"/>
    <xf numFmtId="0" fontId="17" fillId="31" borderId="7" xfId="0" applyFont="1" applyFill="1" applyBorder="1" applyAlignment="1">
      <alignment horizontal="center"/>
    </xf>
    <xf numFmtId="0" fontId="17" fillId="31" borderId="9" xfId="0" applyFont="1" applyFill="1" applyBorder="1" applyAlignment="1">
      <alignment horizontal="center"/>
    </xf>
    <xf numFmtId="0" fontId="20" fillId="31" borderId="10" xfId="0" applyFont="1" applyFill="1" applyBorder="1" applyAlignment="1">
      <alignment horizontal="center"/>
    </xf>
    <xf numFmtId="0" fontId="17" fillId="20" borderId="4" xfId="0" applyFont="1" applyFill="1" applyBorder="1" applyAlignment="1">
      <alignment horizontal="center"/>
    </xf>
    <xf numFmtId="0" fontId="17" fillId="20" borderId="5" xfId="0" applyFont="1" applyFill="1" applyBorder="1" applyAlignment="1">
      <alignment horizontal="center"/>
    </xf>
    <xf numFmtId="0" fontId="17" fillId="20" borderId="5" xfId="0" applyFont="1" applyFill="1" applyBorder="1"/>
    <xf numFmtId="0" fontId="20" fillId="20" borderId="4" xfId="0" applyFont="1" applyFill="1" applyBorder="1"/>
    <xf numFmtId="0" fontId="20" fillId="20" borderId="5" xfId="0" applyFont="1" applyFill="1" applyBorder="1"/>
    <xf numFmtId="0" fontId="20" fillId="20" borderId="6" xfId="0" applyFont="1" applyFill="1" applyBorder="1"/>
    <xf numFmtId="0" fontId="17" fillId="20" borderId="7" xfId="0" applyFont="1" applyFill="1" applyBorder="1" applyAlignment="1">
      <alignment horizontal="center"/>
    </xf>
    <xf numFmtId="0" fontId="17" fillId="20" borderId="9" xfId="0" applyFont="1" applyFill="1" applyBorder="1" applyAlignment="1">
      <alignment horizontal="center"/>
    </xf>
    <xf numFmtId="0" fontId="20" fillId="20" borderId="10" xfId="0" applyFont="1" applyFill="1" applyBorder="1" applyAlignment="1">
      <alignment horizontal="center"/>
    </xf>
    <xf numFmtId="0" fontId="17" fillId="32" borderId="4" xfId="0" applyFont="1" applyFill="1" applyBorder="1" applyAlignment="1">
      <alignment horizontal="center"/>
    </xf>
    <xf numFmtId="0" fontId="17" fillId="32" borderId="5" xfId="0" applyFont="1" applyFill="1" applyBorder="1" applyAlignment="1">
      <alignment horizontal="center"/>
    </xf>
    <xf numFmtId="0" fontId="17" fillId="32" borderId="5" xfId="0" applyFont="1" applyFill="1" applyBorder="1"/>
    <xf numFmtId="0" fontId="20" fillId="32" borderId="4" xfId="0" applyFont="1" applyFill="1" applyBorder="1"/>
    <xf numFmtId="0" fontId="20" fillId="32" borderId="5" xfId="0" applyFont="1" applyFill="1" applyBorder="1"/>
    <xf numFmtId="0" fontId="20" fillId="32" borderId="6" xfId="0" applyFont="1" applyFill="1" applyBorder="1"/>
    <xf numFmtId="0" fontId="17" fillId="32" borderId="7" xfId="0" applyFont="1" applyFill="1" applyBorder="1" applyAlignment="1">
      <alignment horizontal="center"/>
    </xf>
    <xf numFmtId="0" fontId="17" fillId="32" borderId="9" xfId="0" applyFont="1" applyFill="1" applyBorder="1" applyAlignment="1">
      <alignment horizontal="center"/>
    </xf>
    <xf numFmtId="0" fontId="20" fillId="32" borderId="10" xfId="0" applyFont="1" applyFill="1" applyBorder="1" applyAlignment="1">
      <alignment horizontal="center"/>
    </xf>
    <xf numFmtId="0" fontId="17" fillId="23" borderId="4" xfId="0" applyFont="1" applyFill="1" applyBorder="1" applyAlignment="1">
      <alignment horizontal="center"/>
    </xf>
    <xf numFmtId="0" fontId="17" fillId="23" borderId="5" xfId="0" applyFont="1" applyFill="1" applyBorder="1" applyAlignment="1">
      <alignment horizontal="center"/>
    </xf>
    <xf numFmtId="0" fontId="17" fillId="23" borderId="5" xfId="0" applyFont="1" applyFill="1" applyBorder="1"/>
    <xf numFmtId="0" fontId="20" fillId="23" borderId="4" xfId="0" applyFont="1" applyFill="1" applyBorder="1"/>
    <xf numFmtId="0" fontId="20" fillId="23" borderId="5" xfId="0" applyFont="1" applyFill="1" applyBorder="1"/>
    <xf numFmtId="0" fontId="20" fillId="23" borderId="6" xfId="0" applyFont="1" applyFill="1" applyBorder="1"/>
    <xf numFmtId="0" fontId="17" fillId="23" borderId="7" xfId="0" applyFont="1" applyFill="1" applyBorder="1" applyAlignment="1">
      <alignment horizontal="center"/>
    </xf>
    <xf numFmtId="0" fontId="17" fillId="23" borderId="9" xfId="0" applyFont="1" applyFill="1" applyBorder="1" applyAlignment="1">
      <alignment horizontal="center"/>
    </xf>
    <xf numFmtId="0" fontId="20" fillId="23" borderId="10" xfId="0" applyFont="1" applyFill="1" applyBorder="1" applyAlignment="1">
      <alignment horizontal="center"/>
    </xf>
    <xf numFmtId="0" fontId="17" fillId="27" borderId="4" xfId="0" applyFont="1" applyFill="1" applyBorder="1" applyAlignment="1">
      <alignment horizontal="center"/>
    </xf>
    <xf numFmtId="0" fontId="17" fillId="27" borderId="5" xfId="0" applyFont="1" applyFill="1" applyBorder="1" applyAlignment="1">
      <alignment horizontal="center"/>
    </xf>
    <xf numFmtId="0" fontId="17" fillId="27" borderId="5" xfId="0" applyFont="1" applyFill="1" applyBorder="1"/>
    <xf numFmtId="0" fontId="20" fillId="27" borderId="4" xfId="0" applyFont="1" applyFill="1" applyBorder="1"/>
    <xf numFmtId="0" fontId="20" fillId="27" borderId="5" xfId="0" applyFont="1" applyFill="1" applyBorder="1"/>
    <xf numFmtId="0" fontId="20" fillId="27" borderId="6" xfId="0" applyFont="1" applyFill="1" applyBorder="1"/>
    <xf numFmtId="0" fontId="17" fillId="27" borderId="7" xfId="0" applyFont="1" applyFill="1" applyBorder="1" applyAlignment="1">
      <alignment horizontal="center"/>
    </xf>
    <xf numFmtId="0" fontId="17" fillId="27" borderId="9" xfId="0" applyFont="1" applyFill="1" applyBorder="1" applyAlignment="1">
      <alignment horizontal="center"/>
    </xf>
    <xf numFmtId="0" fontId="20" fillId="27" borderId="10" xfId="0" applyFont="1" applyFill="1" applyBorder="1" applyAlignment="1">
      <alignment horizontal="center"/>
    </xf>
    <xf numFmtId="0" fontId="54" fillId="19" borderId="0" xfId="0" applyFont="1" applyFill="1"/>
    <xf numFmtId="0" fontId="55" fillId="20" borderId="59" xfId="0" applyFont="1" applyFill="1" applyBorder="1"/>
    <xf numFmtId="0" fontId="13" fillId="22" borderId="0" xfId="0" applyFont="1" applyFill="1"/>
    <xf numFmtId="0" fontId="13" fillId="22" borderId="58" xfId="0" applyFont="1" applyFill="1" applyBorder="1"/>
    <xf numFmtId="0" fontId="13" fillId="18" borderId="0" xfId="0" applyFont="1" applyFill="1"/>
    <xf numFmtId="0" fontId="56" fillId="15" borderId="0" xfId="0" applyFont="1" applyFill="1"/>
    <xf numFmtId="0" fontId="56" fillId="15" borderId="71" xfId="0" applyFont="1" applyFill="1" applyBorder="1"/>
    <xf numFmtId="0" fontId="56" fillId="24" borderId="0" xfId="0" applyFont="1" applyFill="1"/>
    <xf numFmtId="0" fontId="56" fillId="24" borderId="1" xfId="0" applyFont="1" applyFill="1" applyBorder="1"/>
    <xf numFmtId="0" fontId="56" fillId="21" borderId="0" xfId="0" applyFont="1" applyFill="1"/>
    <xf numFmtId="0" fontId="56" fillId="21" borderId="1" xfId="0" applyFont="1" applyFill="1" applyBorder="1"/>
    <xf numFmtId="0" fontId="56" fillId="23" borderId="0" xfId="0" applyFont="1" applyFill="1"/>
    <xf numFmtId="0" fontId="56" fillId="23" borderId="1" xfId="0" applyFont="1" applyFill="1" applyBorder="1"/>
    <xf numFmtId="0" fontId="13" fillId="18" borderId="0" xfId="0" applyFont="1" applyFill="1" applyAlignment="1">
      <alignment horizontal="left"/>
    </xf>
    <xf numFmtId="0" fontId="13" fillId="0" borderId="0" xfId="0" applyFont="1" applyAlignment="1">
      <alignment horizontal="left"/>
    </xf>
    <xf numFmtId="0" fontId="54" fillId="19" borderId="33" xfId="0" applyFont="1" applyFill="1" applyBorder="1" applyAlignment="1">
      <alignment horizontal="left"/>
    </xf>
    <xf numFmtId="0" fontId="55" fillId="20" borderId="60" xfId="0" applyFont="1" applyFill="1" applyBorder="1" applyAlignment="1">
      <alignment horizontal="left"/>
    </xf>
    <xf numFmtId="0" fontId="13" fillId="22" borderId="33" xfId="0" applyFont="1" applyFill="1" applyBorder="1" applyAlignment="1">
      <alignment horizontal="left"/>
    </xf>
    <xf numFmtId="0" fontId="13" fillId="22" borderId="61" xfId="0" applyFont="1" applyFill="1" applyBorder="1" applyAlignment="1">
      <alignment horizontal="left"/>
    </xf>
    <xf numFmtId="0" fontId="56" fillId="15" borderId="33" xfId="0" applyFont="1" applyFill="1" applyBorder="1" applyAlignment="1">
      <alignment horizontal="left"/>
    </xf>
    <xf numFmtId="0" fontId="56" fillId="15" borderId="70" xfId="0" applyFont="1" applyFill="1" applyBorder="1" applyAlignment="1">
      <alignment horizontal="left"/>
    </xf>
    <xf numFmtId="0" fontId="56" fillId="24" borderId="33" xfId="0" applyFont="1" applyFill="1" applyBorder="1" applyAlignment="1">
      <alignment horizontal="left"/>
    </xf>
    <xf numFmtId="0" fontId="56" fillId="24" borderId="34" xfId="0" applyFont="1" applyFill="1" applyBorder="1" applyAlignment="1">
      <alignment horizontal="left"/>
    </xf>
    <xf numFmtId="0" fontId="56" fillId="21" borderId="33" xfId="0" applyFont="1" applyFill="1" applyBorder="1" applyAlignment="1">
      <alignment horizontal="left"/>
    </xf>
    <xf numFmtId="0" fontId="56" fillId="21" borderId="34" xfId="0" applyFont="1" applyFill="1" applyBorder="1" applyAlignment="1">
      <alignment horizontal="left"/>
    </xf>
    <xf numFmtId="0" fontId="56" fillId="23" borderId="33" xfId="0" applyFont="1" applyFill="1" applyBorder="1" applyAlignment="1">
      <alignment horizontal="left"/>
    </xf>
    <xf numFmtId="0" fontId="56" fillId="23" borderId="34" xfId="0" applyFont="1" applyFill="1" applyBorder="1" applyAlignment="1">
      <alignment horizontal="left"/>
    </xf>
    <xf numFmtId="0" fontId="13" fillId="0" borderId="2" xfId="0" applyFont="1" applyBorder="1"/>
    <xf numFmtId="0" fontId="47" fillId="16" borderId="73" xfId="0" applyFont="1" applyFill="1" applyBorder="1"/>
    <xf numFmtId="0" fontId="45" fillId="6" borderId="74" xfId="0" applyFont="1" applyFill="1" applyBorder="1"/>
    <xf numFmtId="0" fontId="46" fillId="6" borderId="75" xfId="0" applyFont="1" applyFill="1" applyBorder="1" applyAlignment="1">
      <alignment horizontal="center"/>
    </xf>
    <xf numFmtId="0" fontId="46" fillId="6" borderId="76" xfId="0" applyFont="1" applyFill="1" applyBorder="1" applyAlignment="1">
      <alignment horizontal="center"/>
    </xf>
    <xf numFmtId="0" fontId="32" fillId="16" borderId="77" xfId="0" applyFont="1" applyFill="1" applyBorder="1"/>
    <xf numFmtId="0" fontId="20" fillId="6" borderId="78" xfId="0" applyFont="1" applyFill="1" applyBorder="1" applyAlignment="1">
      <alignment horizontal="left"/>
    </xf>
    <xf numFmtId="0" fontId="47" fillId="16" borderId="79" xfId="0" applyFont="1" applyFill="1" applyBorder="1"/>
    <xf numFmtId="0" fontId="31" fillId="6" borderId="80" xfId="0" applyFont="1" applyFill="1" applyBorder="1" applyAlignment="1">
      <alignment horizontal="right"/>
    </xf>
    <xf numFmtId="0" fontId="39" fillId="6" borderId="81" xfId="0" applyFont="1" applyFill="1" applyBorder="1" applyAlignment="1">
      <alignment horizontal="center"/>
    </xf>
    <xf numFmtId="0" fontId="32" fillId="6" borderId="82" xfId="0" applyFont="1" applyFill="1" applyBorder="1" applyAlignment="1">
      <alignment horizontal="center"/>
    </xf>
    <xf numFmtId="0" fontId="47" fillId="16" borderId="83" xfId="0" applyFont="1" applyFill="1" applyBorder="1"/>
    <xf numFmtId="0" fontId="45" fillId="6" borderId="84" xfId="0" applyFont="1" applyFill="1" applyBorder="1"/>
    <xf numFmtId="0" fontId="46" fillId="6" borderId="85" xfId="0" applyFont="1" applyFill="1" applyBorder="1" applyAlignment="1">
      <alignment horizontal="center"/>
    </xf>
    <xf numFmtId="0" fontId="46" fillId="6" borderId="86" xfId="0" applyFont="1" applyFill="1" applyBorder="1" applyAlignment="1">
      <alignment horizontal="center"/>
    </xf>
    <xf numFmtId="0" fontId="32" fillId="16" borderId="87" xfId="0" applyFont="1" applyFill="1" applyBorder="1"/>
    <xf numFmtId="0" fontId="20" fillId="6" borderId="88" xfId="0" applyFont="1" applyFill="1" applyBorder="1" applyAlignment="1">
      <alignment horizontal="left"/>
    </xf>
    <xf numFmtId="0" fontId="47" fillId="16" borderId="89" xfId="0" applyFont="1" applyFill="1" applyBorder="1"/>
    <xf numFmtId="0" fontId="31" fillId="6" borderId="90" xfId="0" applyFont="1" applyFill="1" applyBorder="1" applyAlignment="1">
      <alignment horizontal="right"/>
    </xf>
    <xf numFmtId="0" fontId="39" fillId="6" borderId="91" xfId="0" applyFont="1" applyFill="1" applyBorder="1" applyAlignment="1">
      <alignment horizontal="center"/>
    </xf>
    <xf numFmtId="0" fontId="32" fillId="6" borderId="92" xfId="0" applyFont="1" applyFill="1" applyBorder="1" applyAlignment="1">
      <alignment horizontal="center"/>
    </xf>
    <xf numFmtId="0" fontId="47" fillId="16" borderId="93" xfId="0" applyFont="1" applyFill="1" applyBorder="1"/>
    <xf numFmtId="0" fontId="45" fillId="6" borderId="94" xfId="0" applyFont="1" applyFill="1" applyBorder="1"/>
    <xf numFmtId="0" fontId="46" fillId="6" borderId="95" xfId="0" applyFont="1" applyFill="1" applyBorder="1" applyAlignment="1">
      <alignment horizontal="center"/>
    </xf>
    <xf numFmtId="0" fontId="46" fillId="6" borderId="96" xfId="0" applyFont="1" applyFill="1" applyBorder="1" applyAlignment="1">
      <alignment horizontal="center"/>
    </xf>
    <xf numFmtId="0" fontId="32" fillId="16" borderId="97" xfId="0" applyFont="1" applyFill="1" applyBorder="1"/>
    <xf numFmtId="0" fontId="20" fillId="6" borderId="98" xfId="0" applyFont="1" applyFill="1" applyBorder="1" applyAlignment="1">
      <alignment horizontal="left"/>
    </xf>
    <xf numFmtId="0" fontId="47" fillId="16" borderId="99" xfId="0" applyFont="1" applyFill="1" applyBorder="1"/>
    <xf numFmtId="0" fontId="31" fillId="6" borderId="100" xfId="0" applyFont="1" applyFill="1" applyBorder="1" applyAlignment="1">
      <alignment horizontal="right"/>
    </xf>
    <xf numFmtId="0" fontId="39" fillId="6" borderId="101" xfId="0" applyFont="1" applyFill="1" applyBorder="1" applyAlignment="1">
      <alignment horizontal="center"/>
    </xf>
    <xf numFmtId="0" fontId="32" fillId="6" borderId="102" xfId="0" applyFont="1" applyFill="1" applyBorder="1" applyAlignment="1">
      <alignment horizontal="center"/>
    </xf>
    <xf numFmtId="0" fontId="47" fillId="16" borderId="103" xfId="0" applyFont="1" applyFill="1" applyBorder="1"/>
    <xf numFmtId="0" fontId="45" fillId="6" borderId="104" xfId="0" applyFont="1" applyFill="1" applyBorder="1"/>
    <xf numFmtId="0" fontId="46" fillId="6" borderId="105" xfId="0" applyFont="1" applyFill="1" applyBorder="1" applyAlignment="1">
      <alignment horizontal="center"/>
    </xf>
    <xf numFmtId="0" fontId="46" fillId="6" borderId="106" xfId="0" applyFont="1" applyFill="1" applyBorder="1" applyAlignment="1">
      <alignment horizontal="center"/>
    </xf>
    <xf numFmtId="0" fontId="32" fillId="16" borderId="107" xfId="0" applyFont="1" applyFill="1" applyBorder="1"/>
    <xf numFmtId="0" fontId="20" fillId="6" borderId="108" xfId="0" applyFont="1" applyFill="1" applyBorder="1" applyAlignment="1">
      <alignment horizontal="left"/>
    </xf>
    <xf numFmtId="0" fontId="47" fillId="16" borderId="109" xfId="0" applyFont="1" applyFill="1" applyBorder="1"/>
    <xf numFmtId="0" fontId="31" fillId="6" borderId="110" xfId="0" applyFont="1" applyFill="1" applyBorder="1" applyAlignment="1">
      <alignment horizontal="right"/>
    </xf>
    <xf numFmtId="0" fontId="39" fillId="6" borderId="111" xfId="0" applyFont="1" applyFill="1" applyBorder="1" applyAlignment="1">
      <alignment horizontal="center"/>
    </xf>
    <xf numFmtId="0" fontId="32" fillId="6" borderId="112" xfId="0" applyFont="1" applyFill="1" applyBorder="1" applyAlignment="1">
      <alignment horizont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horizontal="left" vertical="center" wrapText="1"/>
    </xf>
    <xf numFmtId="0" fontId="0" fillId="23" borderId="0" xfId="0" applyFill="1"/>
    <xf numFmtId="0" fontId="13" fillId="0" borderId="0" xfId="0" applyFont="1" applyAlignment="1">
      <alignment horizontal="center"/>
    </xf>
    <xf numFmtId="0" fontId="0" fillId="6" borderId="0" xfId="0" applyFill="1"/>
    <xf numFmtId="0" fontId="4" fillId="6" borderId="0" xfId="0" applyFont="1" applyFill="1" applyAlignment="1">
      <alignment horizontal="right"/>
    </xf>
    <xf numFmtId="0" fontId="58" fillId="6" borderId="0" xfId="0" applyFont="1" applyFill="1" applyAlignment="1">
      <alignment horizontal="right"/>
    </xf>
    <xf numFmtId="0" fontId="4" fillId="6" borderId="1" xfId="0" applyFont="1" applyFill="1" applyBorder="1" applyAlignment="1">
      <alignment horizontal="left"/>
    </xf>
    <xf numFmtId="0" fontId="0" fillId="6" borderId="1" xfId="0" applyFill="1" applyBorder="1"/>
    <xf numFmtId="0" fontId="0" fillId="6" borderId="35" xfId="0" applyFill="1" applyBorder="1"/>
    <xf numFmtId="0" fontId="59" fillId="6" borderId="35" xfId="0" applyFont="1" applyFill="1" applyBorder="1"/>
    <xf numFmtId="0" fontId="13" fillId="6" borderId="35" xfId="0" applyFont="1" applyFill="1" applyBorder="1"/>
    <xf numFmtId="0" fontId="0" fillId="6" borderId="0" xfId="0" applyFill="1" applyAlignment="1">
      <alignment horizontal="left"/>
    </xf>
    <xf numFmtId="0" fontId="60" fillId="6" borderId="0" xfId="0" applyFont="1" applyFill="1"/>
    <xf numFmtId="0" fontId="59" fillId="6" borderId="0" xfId="0" applyFont="1" applyFill="1"/>
    <xf numFmtId="0" fontId="13" fillId="6" borderId="0" xfId="0" applyFont="1" applyFill="1"/>
    <xf numFmtId="0" fontId="59" fillId="6" borderId="1" xfId="0" applyFont="1" applyFill="1" applyBorder="1"/>
    <xf numFmtId="0" fontId="13" fillId="6" borderId="1" xfId="0" applyFont="1" applyFill="1" applyBorder="1"/>
    <xf numFmtId="0" fontId="0" fillId="6" borderId="1" xfId="0" applyFill="1" applyBorder="1" applyAlignment="1">
      <alignment horizontal="left"/>
    </xf>
    <xf numFmtId="0" fontId="60" fillId="6" borderId="1" xfId="0" applyFont="1" applyFill="1" applyBorder="1"/>
    <xf numFmtId="0" fontId="7" fillId="6" borderId="0" xfId="0" applyFont="1" applyFill="1"/>
    <xf numFmtId="0" fontId="61" fillId="6" borderId="1" xfId="0" applyFont="1" applyFill="1" applyBorder="1" applyAlignment="1">
      <alignment horizontal="center"/>
    </xf>
    <xf numFmtId="0" fontId="62" fillId="6" borderId="1" xfId="0" applyFont="1" applyFill="1" applyBorder="1"/>
    <xf numFmtId="0" fontId="62" fillId="6" borderId="1" xfId="0" applyFont="1" applyFill="1" applyBorder="1" applyAlignment="1">
      <alignment horizontal="center"/>
    </xf>
    <xf numFmtId="0" fontId="61" fillId="6" borderId="0" xfId="0" applyFont="1" applyFill="1" applyAlignment="1">
      <alignment horizontal="center"/>
    </xf>
    <xf numFmtId="0" fontId="62" fillId="6" borderId="0" xfId="0" applyFont="1" applyFill="1"/>
    <xf numFmtId="0" fontId="62" fillId="6" borderId="0" xfId="0" applyFont="1" applyFill="1" applyAlignment="1">
      <alignment horizontal="center"/>
    </xf>
    <xf numFmtId="0" fontId="4" fillId="6" borderId="35" xfId="0" applyFont="1" applyFill="1" applyBorder="1" applyAlignment="1">
      <alignment horizontal="left" vertical="center" wrapText="1"/>
    </xf>
    <xf numFmtId="0" fontId="4" fillId="6" borderId="0" xfId="0" applyFont="1" applyFill="1" applyAlignment="1">
      <alignment horizontal="left" vertical="center" wrapText="1"/>
    </xf>
    <xf numFmtId="0" fontId="4" fillId="6" borderId="1" xfId="0" applyFont="1" applyFill="1" applyBorder="1" applyAlignment="1">
      <alignment horizontal="left" vertical="center" wrapText="1"/>
    </xf>
    <xf numFmtId="0" fontId="13" fillId="6" borderId="35" xfId="0" applyFont="1" applyFill="1" applyBorder="1" applyAlignment="1">
      <alignment horizontal="right" vertical="center" wrapText="1"/>
    </xf>
    <xf numFmtId="0" fontId="13" fillId="6" borderId="0" xfId="0" applyFont="1" applyFill="1" applyAlignment="1">
      <alignment horizontal="right" vertical="center" wrapText="1"/>
    </xf>
    <xf numFmtId="0" fontId="13" fillId="6" borderId="1" xfId="0" applyFont="1" applyFill="1" applyBorder="1" applyAlignment="1">
      <alignment horizontal="right" vertical="center" wrapText="1"/>
    </xf>
    <xf numFmtId="0" fontId="13" fillId="6" borderId="35" xfId="0" applyFont="1" applyFill="1" applyBorder="1" applyAlignment="1">
      <alignment horizontal="right" vertical="center"/>
    </xf>
    <xf numFmtId="0" fontId="13" fillId="6" borderId="0" xfId="0" applyFont="1" applyFill="1" applyAlignment="1">
      <alignment horizontal="right" vertical="center"/>
    </xf>
    <xf numFmtId="0" fontId="13" fillId="6" borderId="1" xfId="0" applyFont="1" applyFill="1" applyBorder="1" applyAlignment="1">
      <alignment horizontal="right" vertical="center"/>
    </xf>
    <xf numFmtId="0" fontId="20" fillId="29" borderId="7" xfId="0" applyFont="1" applyFill="1" applyBorder="1" applyAlignment="1">
      <alignment horizontal="center"/>
    </xf>
    <xf numFmtId="0" fontId="20" fillId="29" borderId="8" xfId="0" applyFont="1" applyFill="1" applyBorder="1" applyAlignment="1">
      <alignment horizontal="center"/>
    </xf>
    <xf numFmtId="0" fontId="20" fillId="30" borderId="7" xfId="0" applyFont="1" applyFill="1" applyBorder="1" applyAlignment="1">
      <alignment horizontal="center"/>
    </xf>
    <xf numFmtId="0" fontId="20" fillId="30" borderId="8" xfId="0" applyFont="1" applyFill="1" applyBorder="1" applyAlignment="1">
      <alignment horizontal="center"/>
    </xf>
    <xf numFmtId="0" fontId="20" fillId="15" borderId="7" xfId="0" applyFont="1" applyFill="1" applyBorder="1" applyAlignment="1">
      <alignment horizontal="center"/>
    </xf>
    <xf numFmtId="0" fontId="20" fillId="15" borderId="8" xfId="0" applyFont="1" applyFill="1" applyBorder="1" applyAlignment="1">
      <alignment horizontal="center"/>
    </xf>
    <xf numFmtId="0" fontId="20" fillId="25" borderId="7" xfId="0" applyFont="1" applyFill="1" applyBorder="1" applyAlignment="1">
      <alignment horizontal="center"/>
    </xf>
    <xf numFmtId="0" fontId="20" fillId="25" borderId="8" xfId="0" applyFont="1" applyFill="1" applyBorder="1" applyAlignment="1">
      <alignment horizontal="center"/>
    </xf>
    <xf numFmtId="0" fontId="20" fillId="19" borderId="7" xfId="0" applyFont="1" applyFill="1" applyBorder="1" applyAlignment="1">
      <alignment horizontal="center"/>
    </xf>
    <xf numFmtId="0" fontId="20" fillId="19" borderId="8" xfId="0" applyFont="1" applyFill="1" applyBorder="1" applyAlignment="1">
      <alignment horizontal="center"/>
    </xf>
    <xf numFmtId="0" fontId="20" fillId="28" borderId="7" xfId="0" applyFont="1" applyFill="1" applyBorder="1" applyAlignment="1">
      <alignment horizontal="center"/>
    </xf>
    <xf numFmtId="0" fontId="20" fillId="28" borderId="8" xfId="0" applyFont="1" applyFill="1" applyBorder="1" applyAlignment="1">
      <alignment horizontal="center"/>
    </xf>
    <xf numFmtId="0" fontId="20" fillId="23" borderId="7" xfId="0" applyFont="1" applyFill="1" applyBorder="1" applyAlignment="1">
      <alignment horizontal="center"/>
    </xf>
    <xf numFmtId="0" fontId="20" fillId="23" borderId="8" xfId="0" applyFont="1" applyFill="1" applyBorder="1" applyAlignment="1">
      <alignment horizontal="center"/>
    </xf>
    <xf numFmtId="0" fontId="20" fillId="13" borderId="7" xfId="0" applyFont="1" applyFill="1" applyBorder="1" applyAlignment="1">
      <alignment horizontal="center"/>
    </xf>
    <xf numFmtId="0" fontId="20" fillId="13" borderId="8" xfId="0" applyFont="1" applyFill="1" applyBorder="1" applyAlignment="1">
      <alignment horizontal="center"/>
    </xf>
    <xf numFmtId="0" fontId="20" fillId="27" borderId="7" xfId="0" applyFont="1" applyFill="1" applyBorder="1" applyAlignment="1">
      <alignment horizontal="center"/>
    </xf>
    <xf numFmtId="0" fontId="20" fillId="27" borderId="8" xfId="0" applyFont="1" applyFill="1" applyBorder="1" applyAlignment="1">
      <alignment horizontal="center"/>
    </xf>
    <xf numFmtId="0" fontId="20" fillId="31" borderId="7" xfId="0" applyFont="1" applyFill="1" applyBorder="1" applyAlignment="1">
      <alignment horizontal="center"/>
    </xf>
    <xf numFmtId="0" fontId="20" fillId="31" borderId="8" xfId="0" applyFont="1" applyFill="1" applyBorder="1" applyAlignment="1">
      <alignment horizontal="center"/>
    </xf>
    <xf numFmtId="0" fontId="20" fillId="20" borderId="7" xfId="0" applyFont="1" applyFill="1" applyBorder="1" applyAlignment="1">
      <alignment horizontal="center"/>
    </xf>
    <xf numFmtId="0" fontId="20" fillId="20" borderId="8" xfId="0" applyFont="1" applyFill="1" applyBorder="1" applyAlignment="1">
      <alignment horizontal="center"/>
    </xf>
    <xf numFmtId="0" fontId="20" fillId="32" borderId="7" xfId="0" applyFont="1" applyFill="1" applyBorder="1" applyAlignment="1">
      <alignment horizontal="center"/>
    </xf>
    <xf numFmtId="0" fontId="20" fillId="32" borderId="8" xfId="0" applyFont="1" applyFill="1" applyBorder="1" applyAlignment="1">
      <alignment horizontal="center"/>
    </xf>
    <xf numFmtId="0" fontId="37" fillId="6" borderId="38" xfId="0" applyFont="1" applyFill="1" applyBorder="1" applyAlignment="1">
      <alignment horizontal="right" vertical="center"/>
    </xf>
    <xf numFmtId="0" fontId="37" fillId="6" borderId="41" xfId="0" applyFont="1" applyFill="1" applyBorder="1" applyAlignment="1">
      <alignment horizontal="right" vertical="center"/>
    </xf>
    <xf numFmtId="0" fontId="37" fillId="6" borderId="43" xfId="0" applyFont="1" applyFill="1" applyBorder="1" applyAlignment="1">
      <alignment horizontal="right" vertical="center"/>
    </xf>
    <xf numFmtId="0" fontId="37" fillId="6" borderId="40" xfId="0" applyFont="1" applyFill="1" applyBorder="1" applyAlignment="1">
      <alignment horizontal="left" vertical="center"/>
    </xf>
    <xf numFmtId="0" fontId="37" fillId="6" borderId="42" xfId="0" applyFont="1" applyFill="1" applyBorder="1" applyAlignment="1">
      <alignment horizontal="left" vertical="center"/>
    </xf>
    <xf numFmtId="0" fontId="37" fillId="6" borderId="45" xfId="0" applyFont="1" applyFill="1" applyBorder="1" applyAlignment="1">
      <alignment horizontal="left" vertical="center"/>
    </xf>
    <xf numFmtId="0" fontId="36" fillId="7" borderId="39" xfId="0" applyFont="1" applyFill="1" applyBorder="1" applyAlignment="1">
      <alignment horizontal="center" vertical="center"/>
    </xf>
    <xf numFmtId="0" fontId="36" fillId="7" borderId="0" xfId="0" applyFont="1" applyFill="1" applyAlignment="1">
      <alignment horizontal="center" vertical="center"/>
    </xf>
    <xf numFmtId="0" fontId="36" fillId="7" borderId="44" xfId="0" applyFont="1" applyFill="1" applyBorder="1" applyAlignment="1">
      <alignment horizontal="center" vertical="center"/>
    </xf>
    <xf numFmtId="0" fontId="36" fillId="7" borderId="46" xfId="0" applyFont="1" applyFill="1" applyBorder="1" applyAlignment="1">
      <alignment horizontal="center" vertical="center"/>
    </xf>
    <xf numFmtId="0" fontId="36" fillId="7" borderId="47" xfId="0" applyFont="1" applyFill="1" applyBorder="1" applyAlignment="1">
      <alignment horizontal="center" vertical="center"/>
    </xf>
    <xf numFmtId="0" fontId="36" fillId="7" borderId="48" xfId="0" applyFont="1" applyFill="1" applyBorder="1" applyAlignment="1">
      <alignment horizontal="center" vertical="center"/>
    </xf>
    <xf numFmtId="0" fontId="57" fillId="6" borderId="0" xfId="0" applyFont="1" applyFill="1" applyAlignment="1">
      <alignment vertical="center" wrapText="1"/>
    </xf>
  </cellXfs>
  <cellStyles count="4">
    <cellStyle name="Bad" xfId="2" builtinId="27"/>
    <cellStyle name="Comma" xfId="3" builtinId="3"/>
    <cellStyle name="Good" xfId="1" builtinId="26"/>
    <cellStyle name="Normal" xfId="0" builtinId="0"/>
  </cellStyles>
  <dxfs count="196">
    <dxf>
      <font>
        <color rgb="FF006100"/>
      </font>
      <fill>
        <patternFill>
          <bgColor rgb="FFC6EFCE"/>
        </patternFill>
      </fill>
    </dxf>
    <dxf>
      <font>
        <color rgb="FF006100"/>
      </font>
      <fill>
        <patternFill>
          <bgColor rgb="FFC6EFCE"/>
        </patternFill>
      </fill>
    </dxf>
    <dxf>
      <font>
        <color theme="0" tint="-0.24994659260841701"/>
      </font>
      <fill>
        <patternFill>
          <bgColor theme="0" tint="-4.9989318521683403E-2"/>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auto="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b/>
        <i val="0"/>
        <color rgb="FF00B050"/>
      </font>
    </dxf>
    <dxf>
      <font>
        <color rgb="FFFF0000"/>
      </font>
    </dxf>
    <dxf>
      <font>
        <color rgb="FF9C5700"/>
      </font>
      <fill>
        <patternFill>
          <bgColor rgb="FFFFEB9C"/>
        </patternFill>
      </fill>
    </dxf>
    <dxf>
      <font>
        <color theme="0" tint="-0.1499679555650502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auto="1"/>
      </font>
      <fill>
        <patternFill>
          <bgColor theme="0"/>
        </patternFill>
      </fill>
    </dxf>
    <dxf>
      <font>
        <color theme="5" tint="-0.499984740745262"/>
      </font>
      <fill>
        <patternFill>
          <bgColor theme="5" tint="0.39994506668294322"/>
        </patternFill>
      </fill>
    </dxf>
    <dxf>
      <font>
        <color theme="1"/>
      </font>
      <fill>
        <patternFill>
          <bgColor rgb="FFFFFF00"/>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s>
  <tableStyles count="1" defaultTableStyle="TableStyleMedium2" defaultPivotStyle="PivotStyleLight16">
    <tableStyle name="Invisible" pivot="0" table="0" count="0" xr9:uid="{06D2B4C4-0920-4AFB-9CA9-63BCC86133A8}"/>
  </tableStyles>
  <colors>
    <mruColors>
      <color rgb="FFFF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98</xdr:col>
      <xdr:colOff>295276</xdr:colOff>
      <xdr:row>15</xdr:row>
      <xdr:rowOff>38100</xdr:rowOff>
    </xdr:from>
    <xdr:to>
      <xdr:col>99</xdr:col>
      <xdr:colOff>857251</xdr:colOff>
      <xdr:row>17</xdr:row>
      <xdr:rowOff>57150</xdr:rowOff>
    </xdr:to>
    <xdr:sp macro="[0]!_xludf.Clear" textlink="">
      <xdr:nvSpPr>
        <xdr:cNvPr id="2" name="TextBox 1">
          <a:extLst>
            <a:ext uri="{FF2B5EF4-FFF2-40B4-BE49-F238E27FC236}">
              <a16:creationId xmlns:a16="http://schemas.microsoft.com/office/drawing/2014/main" id="{85BE6AE2-A36D-E2F0-C548-41165349093F}"/>
            </a:ext>
          </a:extLst>
        </xdr:cNvPr>
        <xdr:cNvSpPr txBox="1"/>
      </xdr:nvSpPr>
      <xdr:spPr>
        <a:xfrm>
          <a:off x="12687301" y="2619375"/>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100</xdr:col>
      <xdr:colOff>12860</xdr:colOff>
      <xdr:row>15</xdr:row>
      <xdr:rowOff>30480</xdr:rowOff>
    </xdr:from>
    <xdr:to>
      <xdr:col>100</xdr:col>
      <xdr:colOff>866299</xdr:colOff>
      <xdr:row>17</xdr:row>
      <xdr:rowOff>62865</xdr:rowOff>
    </xdr:to>
    <xdr:sp macro="_xll.RANDOM" textlink="">
      <xdr:nvSpPr>
        <xdr:cNvPr id="3" name="TextBox 2">
          <a:extLst>
            <a:ext uri="{FF2B5EF4-FFF2-40B4-BE49-F238E27FC236}">
              <a16:creationId xmlns:a16="http://schemas.microsoft.com/office/drawing/2014/main" id="{F7211323-C661-4CCD-9474-E68E3AB148A3}"/>
            </a:ext>
          </a:extLst>
        </xdr:cNvPr>
        <xdr:cNvSpPr txBox="1"/>
      </xdr:nvSpPr>
      <xdr:spPr>
        <a:xfrm>
          <a:off x="14740891" y="2542699"/>
          <a:ext cx="853439" cy="3657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RAND</a:t>
          </a:r>
        </a:p>
      </xdr:txBody>
    </xdr:sp>
    <xdr:clientData/>
  </xdr:twoCellAnchor>
  <xdr:twoCellAnchor>
    <xdr:from>
      <xdr:col>100</xdr:col>
      <xdr:colOff>942975</xdr:colOff>
      <xdr:row>15</xdr:row>
      <xdr:rowOff>47625</xdr:rowOff>
    </xdr:from>
    <xdr:to>
      <xdr:col>101</xdr:col>
      <xdr:colOff>581025</xdr:colOff>
      <xdr:row>17</xdr:row>
      <xdr:rowOff>66675</xdr:rowOff>
    </xdr:to>
    <xdr:sp macro="[0]!values" textlink="">
      <xdr:nvSpPr>
        <xdr:cNvPr id="4" name="TextBox 3">
          <a:extLst>
            <a:ext uri="{FF2B5EF4-FFF2-40B4-BE49-F238E27FC236}">
              <a16:creationId xmlns:a16="http://schemas.microsoft.com/office/drawing/2014/main" id="{5C860181-6AAA-444C-8BF2-14351E2E6AAC}"/>
            </a:ext>
          </a:extLst>
        </xdr:cNvPr>
        <xdr:cNvSpPr txBox="1"/>
      </xdr:nvSpPr>
      <xdr:spPr>
        <a:xfrm>
          <a:off x="14582775" y="2628900"/>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Values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B4B90C33-FE04-AC25-24EF-F2CAAB2EA1CB}"/>
            </a:ext>
          </a:extLst>
        </xdr:cNvPr>
        <xdr:cNvSpPr txBox="1"/>
      </xdr:nvSpPr>
      <xdr:spPr>
        <a:xfrm>
          <a:off x="1889126" y="22225"/>
          <a:ext cx="3133725" cy="37465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32 (16vos de Final)</a:t>
          </a:r>
          <a:endParaRPr lang="en-US" sz="1400" b="1" kern="1200"/>
        </a:p>
      </xdr:txBody>
    </xdr:sp>
    <xdr:clientData/>
  </xdr:twoCellAnchor>
  <xdr:twoCellAnchor>
    <xdr:from>
      <xdr:col>18</xdr:col>
      <xdr:colOff>17992</xdr:colOff>
      <xdr:row>0</xdr:row>
      <xdr:rowOff>30692</xdr:rowOff>
    </xdr:from>
    <xdr:to>
      <xdr:col>22</xdr:col>
      <xdr:colOff>179917</xdr:colOff>
      <xdr:row>2</xdr:row>
      <xdr:rowOff>49742</xdr:rowOff>
    </xdr:to>
    <xdr:sp macro="" textlink="">
      <xdr:nvSpPr>
        <xdr:cNvPr id="3" name="TextBox 2">
          <a:extLst>
            <a:ext uri="{FF2B5EF4-FFF2-40B4-BE49-F238E27FC236}">
              <a16:creationId xmlns:a16="http://schemas.microsoft.com/office/drawing/2014/main" id="{6BAFA1DE-62F8-42ED-8B61-923A8E8A6FEC}"/>
            </a:ext>
          </a:extLst>
        </xdr:cNvPr>
        <xdr:cNvSpPr txBox="1"/>
      </xdr:nvSpPr>
      <xdr:spPr>
        <a:xfrm>
          <a:off x="9983259" y="30692"/>
          <a:ext cx="3133725" cy="3746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16 (8vos de Final)</a:t>
          </a:r>
          <a:endParaRPr lang="en-US" sz="1400" b="1" kern="1200"/>
        </a:p>
      </xdr:txBody>
    </xdr:sp>
    <xdr:clientData/>
  </xdr:twoCellAnchor>
  <xdr:twoCellAnchor>
    <xdr:from>
      <xdr:col>15</xdr:col>
      <xdr:colOff>304800</xdr:colOff>
      <xdr:row>31</xdr:row>
      <xdr:rowOff>50800</xdr:rowOff>
    </xdr:from>
    <xdr:to>
      <xdr:col>15</xdr:col>
      <xdr:colOff>1066800</xdr:colOff>
      <xdr:row>33</xdr:row>
      <xdr:rowOff>50800</xdr:rowOff>
    </xdr:to>
    <xdr:sp macro="[0]!Clear2" textlink="">
      <xdr:nvSpPr>
        <xdr:cNvPr id="4" name="TextBox 3">
          <a:extLst>
            <a:ext uri="{FF2B5EF4-FFF2-40B4-BE49-F238E27FC236}">
              <a16:creationId xmlns:a16="http://schemas.microsoft.com/office/drawing/2014/main" id="{62816EE5-191A-E78B-B8C6-EADF4E36272E}"/>
            </a:ext>
          </a:extLst>
        </xdr:cNvPr>
        <xdr:cNvSpPr txBox="1"/>
      </xdr:nvSpPr>
      <xdr:spPr>
        <a:xfrm>
          <a:off x="8585200" y="5562600"/>
          <a:ext cx="762000" cy="355600"/>
        </a:xfrm>
        <a:prstGeom prst="rect">
          <a:avLst/>
        </a:prstGeom>
        <a:solidFill>
          <a:schemeClr val="bg2">
            <a:lumMod val="9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14</xdr:col>
      <xdr:colOff>19513</xdr:colOff>
      <xdr:row>16</xdr:row>
      <xdr:rowOff>59054</xdr:rowOff>
    </xdr:from>
    <xdr:to>
      <xdr:col>25</xdr:col>
      <xdr:colOff>64138</xdr:colOff>
      <xdr:row>16</xdr:row>
      <xdr:rowOff>59054</xdr:rowOff>
    </xdr:to>
    <xdr:cxnSp macro="">
      <xdr:nvCxnSpPr>
        <xdr:cNvPr id="6" name="Straight Connector 5">
          <a:extLst>
            <a:ext uri="{FF2B5EF4-FFF2-40B4-BE49-F238E27FC236}">
              <a16:creationId xmlns:a16="http://schemas.microsoft.com/office/drawing/2014/main" id="{63F6A7DB-2B91-32C6-05B8-ED3C615A855F}"/>
            </a:ext>
          </a:extLst>
        </xdr:cNvPr>
        <xdr:cNvCxnSpPr/>
      </xdr:nvCxnSpPr>
      <xdr:spPr>
        <a:xfrm>
          <a:off x="7972888" y="2892742"/>
          <a:ext cx="7236000" cy="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D960B137-8703-48FB-B8EA-A24594910E1D}"/>
            </a:ext>
          </a:extLst>
        </xdr:cNvPr>
        <xdr:cNvSpPr txBox="1"/>
      </xdr:nvSpPr>
      <xdr:spPr>
        <a:xfrm>
          <a:off x="1886163" y="18415"/>
          <a:ext cx="3133936" cy="36576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Quater</a:t>
          </a:r>
          <a:r>
            <a:rPr lang="en-US" sz="1400" b="1" kern="1200" baseline="0"/>
            <a:t> finals</a:t>
          </a:r>
          <a:endParaRPr lang="en-US" sz="1400" b="1" kern="1200"/>
        </a:p>
      </xdr:txBody>
    </xdr:sp>
    <xdr:clientData/>
  </xdr:twoCellAnchor>
  <xdr:twoCellAnchor>
    <xdr:from>
      <xdr:col>15</xdr:col>
      <xdr:colOff>364702</xdr:colOff>
      <xdr:row>0</xdr:row>
      <xdr:rowOff>152400</xdr:rowOff>
    </xdr:from>
    <xdr:to>
      <xdr:col>18</xdr:col>
      <xdr:colOff>1351492</xdr:colOff>
      <xdr:row>2</xdr:row>
      <xdr:rowOff>135601</xdr:rowOff>
    </xdr:to>
    <xdr:sp macro="" textlink="">
      <xdr:nvSpPr>
        <xdr:cNvPr id="3" name="TextBox 2">
          <a:extLst>
            <a:ext uri="{FF2B5EF4-FFF2-40B4-BE49-F238E27FC236}">
              <a16:creationId xmlns:a16="http://schemas.microsoft.com/office/drawing/2014/main" id="{2E941728-0393-4DEF-90F5-C8E8F8724167}"/>
            </a:ext>
          </a:extLst>
        </xdr:cNvPr>
        <xdr:cNvSpPr txBox="1"/>
      </xdr:nvSpPr>
      <xdr:spPr>
        <a:xfrm>
          <a:off x="8448829" y="152400"/>
          <a:ext cx="3515245" cy="32956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kern="1200"/>
            <a:t>FINAL!!</a:t>
          </a:r>
        </a:p>
      </xdr:txBody>
    </xdr:sp>
    <xdr:clientData/>
  </xdr:twoCellAnchor>
  <xdr:twoCellAnchor>
    <xdr:from>
      <xdr:col>3</xdr:col>
      <xdr:colOff>179918</xdr:colOff>
      <xdr:row>14</xdr:row>
      <xdr:rowOff>21166</xdr:rowOff>
    </xdr:from>
    <xdr:to>
      <xdr:col>8</xdr:col>
      <xdr:colOff>96521</xdr:colOff>
      <xdr:row>16</xdr:row>
      <xdr:rowOff>53552</xdr:rowOff>
    </xdr:to>
    <xdr:sp macro="" textlink="">
      <xdr:nvSpPr>
        <xdr:cNvPr id="5" name="TextBox 4">
          <a:extLst>
            <a:ext uri="{FF2B5EF4-FFF2-40B4-BE49-F238E27FC236}">
              <a16:creationId xmlns:a16="http://schemas.microsoft.com/office/drawing/2014/main" id="{A7E444A7-1503-410F-8DA7-F817B38EB59A}"/>
            </a:ext>
          </a:extLst>
        </xdr:cNvPr>
        <xdr:cNvSpPr txBox="1"/>
      </xdr:nvSpPr>
      <xdr:spPr>
        <a:xfrm>
          <a:off x="1841501" y="2518833"/>
          <a:ext cx="3133937" cy="37105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Semifinals</a:t>
          </a:r>
        </a:p>
      </xdr:txBody>
    </xdr:sp>
    <xdr:clientData/>
  </xdr:twoCellAnchor>
  <xdr:twoCellAnchor>
    <xdr:from>
      <xdr:col>15</xdr:col>
      <xdr:colOff>388254</xdr:colOff>
      <xdr:row>9</xdr:row>
      <xdr:rowOff>116552</xdr:rowOff>
    </xdr:from>
    <xdr:to>
      <xdr:col>18</xdr:col>
      <xdr:colOff>1375044</xdr:colOff>
      <xdr:row>10</xdr:row>
      <xdr:rowOff>141317</xdr:rowOff>
    </xdr:to>
    <xdr:sp macro="" textlink="">
      <xdr:nvSpPr>
        <xdr:cNvPr id="6" name="TextBox 5">
          <a:extLst>
            <a:ext uri="{FF2B5EF4-FFF2-40B4-BE49-F238E27FC236}">
              <a16:creationId xmlns:a16="http://schemas.microsoft.com/office/drawing/2014/main" id="{7AE21775-B440-437C-9930-9DBD1F985701}"/>
            </a:ext>
          </a:extLst>
        </xdr:cNvPr>
        <xdr:cNvSpPr txBox="1"/>
      </xdr:nvSpPr>
      <xdr:spPr>
        <a:xfrm>
          <a:off x="8472381" y="1695970"/>
          <a:ext cx="3515245" cy="197947"/>
        </a:xfrm>
        <a:prstGeom prst="rect">
          <a:avLst/>
        </a:prstGeom>
        <a:solidFill>
          <a:schemeClr val="accent2">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3rd place</a:t>
          </a:r>
        </a:p>
      </xdr:txBody>
    </xdr:sp>
    <xdr:clientData/>
  </xdr:twoCellAnchor>
  <xdr:twoCellAnchor>
    <xdr:from>
      <xdr:col>5</xdr:col>
      <xdr:colOff>56804</xdr:colOff>
      <xdr:row>2</xdr:row>
      <xdr:rowOff>77931</xdr:rowOff>
    </xdr:from>
    <xdr:to>
      <xdr:col>5</xdr:col>
      <xdr:colOff>56804</xdr:colOff>
      <xdr:row>11</xdr:row>
      <xdr:rowOff>20089</xdr:rowOff>
    </xdr:to>
    <xdr:cxnSp macro="">
      <xdr:nvCxnSpPr>
        <xdr:cNvPr id="4" name="Straight Connector 3">
          <a:extLst>
            <a:ext uri="{FF2B5EF4-FFF2-40B4-BE49-F238E27FC236}">
              <a16:creationId xmlns:a16="http://schemas.microsoft.com/office/drawing/2014/main" id="{2BC7886D-57EF-43B9-96DA-03B1DB527E5C}"/>
            </a:ext>
          </a:extLst>
        </xdr:cNvPr>
        <xdr:cNvCxnSpPr/>
      </xdr:nvCxnSpPr>
      <xdr:spPr>
        <a:xfrm flipV="1">
          <a:off x="3459827" y="424295"/>
          <a:ext cx="0" cy="153543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51436</xdr:colOff>
      <xdr:row>16</xdr:row>
      <xdr:rowOff>127635</xdr:rowOff>
    </xdr:from>
    <xdr:to>
      <xdr:col>20</xdr:col>
      <xdr:colOff>646488</xdr:colOff>
      <xdr:row>38</xdr:row>
      <xdr:rowOff>203835</xdr:rowOff>
    </xdr:to>
    <xdr:pic>
      <xdr:nvPicPr>
        <xdr:cNvPr id="2" name="Picture 1">
          <a:extLst>
            <a:ext uri="{FF2B5EF4-FFF2-40B4-BE49-F238E27FC236}">
              <a16:creationId xmlns:a16="http://schemas.microsoft.com/office/drawing/2014/main" id="{02D26558-74A4-A380-82F2-B6AE2D03EEBB}"/>
            </a:ext>
          </a:extLst>
        </xdr:cNvPr>
        <xdr:cNvPicPr>
          <a:picLocks noChangeAspect="1"/>
        </xdr:cNvPicPr>
      </xdr:nvPicPr>
      <xdr:blipFill>
        <a:blip xmlns:r="http://schemas.openxmlformats.org/officeDocument/2006/relationships" r:embed="rId1"/>
        <a:stretch>
          <a:fillRect/>
        </a:stretch>
      </xdr:blipFill>
      <xdr:spPr>
        <a:xfrm>
          <a:off x="5111592" y="3556635"/>
          <a:ext cx="8905615" cy="47910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topsoe-my.sharepoint.com/personal/agcr_topsoe_com/Documents/Personal/Desktop/Disco%20AGCR/Personal/Mundial%202018/Haldor/Completas/AGCR%20-%20PRODE%20MUNDIALISTA%202018%20(Para%20completar)%20V5.xlsm" TargetMode="External"/><Relationship Id="rId1" Type="http://schemas.openxmlformats.org/officeDocument/2006/relationships/externalLinkPath" Target="/personal/agcr_topsoe_com/Documents/Mundial%202026/Personal/Desktop/Disco%20AGCR/Personal/Mundial%202018/Haldor/Completas/AGCR%20-%20PRODE%20MUNDIALISTA%202018%20(Para%20completar)%20V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ultados - Fase Grupos"/>
      <sheetName val="Resultados - Playoffs"/>
      <sheetName val="Resumen"/>
      <sheetName val="Puntos"/>
      <sheetName val="Resultados"/>
      <sheetName val="Reglas"/>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TOPSOE">
      <a:dk1>
        <a:srgbClr val="000000"/>
      </a:dk1>
      <a:lt1>
        <a:sysClr val="window" lastClr="FFFFFF"/>
      </a:lt1>
      <a:dk2>
        <a:srgbClr val="000000"/>
      </a:dk2>
      <a:lt2>
        <a:srgbClr val="F0F0F0"/>
      </a:lt2>
      <a:accent1>
        <a:srgbClr val="B4E1FF"/>
      </a:accent1>
      <a:accent2>
        <a:srgbClr val="CDFF19"/>
      </a:accent2>
      <a:accent3>
        <a:srgbClr val="7D9B9B"/>
      </a:accent3>
      <a:accent4>
        <a:srgbClr val="D7AAFF"/>
      </a:accent4>
      <a:accent5>
        <a:srgbClr val="FF4B00"/>
      </a:accent5>
      <a:accent6>
        <a:srgbClr val="F0F0F0"/>
      </a:accent6>
      <a:hlink>
        <a:srgbClr val="B4E1FF"/>
      </a:hlink>
      <a:folHlink>
        <a:srgbClr val="7D9B9B"/>
      </a:folHlink>
    </a:clrScheme>
    <a:fontScheme name="Haldor Topsøe">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BA6166-48CF-49E8-B49E-86117161C30D}">
  <sheetPr>
    <tabColor theme="0"/>
  </sheetPr>
  <dimension ref="A2:I83"/>
  <sheetViews>
    <sheetView zoomScaleNormal="100" workbookViewId="0">
      <selection activeCell="C4" sqref="C4"/>
    </sheetView>
  </sheetViews>
  <sheetFormatPr defaultColWidth="9" defaultRowHeight="14.25" x14ac:dyDescent="0.2"/>
  <cols>
    <col min="1" max="1" width="12" style="458" customWidth="1"/>
    <col min="2" max="2" width="16.25" style="458" customWidth="1"/>
    <col min="3" max="4" width="9" style="458"/>
    <col min="5" max="6" width="9" style="469"/>
    <col min="7" max="7" width="9" style="458"/>
    <col min="8" max="8" width="27" style="466" bestFit="1" customWidth="1"/>
    <col min="9" max="16384" width="9" style="458"/>
  </cols>
  <sheetData>
    <row r="2" spans="1:9" ht="15" x14ac:dyDescent="0.25">
      <c r="C2" s="459" t="s">
        <v>0</v>
      </c>
      <c r="D2" s="459" t="s">
        <v>1</v>
      </c>
      <c r="E2" s="460" t="s">
        <v>2</v>
      </c>
      <c r="F2" s="460" t="s">
        <v>2</v>
      </c>
      <c r="H2" s="461" t="s">
        <v>3</v>
      </c>
      <c r="I2" s="462"/>
    </row>
    <row r="3" spans="1:9" ht="15" x14ac:dyDescent="0.25">
      <c r="A3" s="481" t="s">
        <v>4</v>
      </c>
      <c r="B3" s="463" t="s">
        <v>5</v>
      </c>
      <c r="C3" s="464">
        <v>1</v>
      </c>
      <c r="D3" s="463">
        <v>72</v>
      </c>
      <c r="E3" s="465">
        <f>+D3*C3</f>
        <v>72</v>
      </c>
      <c r="F3" s="484">
        <f>+SUM(E3:E5)</f>
        <v>176</v>
      </c>
      <c r="H3" s="466" t="s">
        <v>6</v>
      </c>
      <c r="I3" s="467">
        <v>-20</v>
      </c>
    </row>
    <row r="4" spans="1:9" ht="15" x14ac:dyDescent="0.25">
      <c r="A4" s="482"/>
      <c r="B4" s="458" t="s">
        <v>7</v>
      </c>
      <c r="C4" s="468">
        <v>1</v>
      </c>
      <c r="D4" s="458">
        <v>72</v>
      </c>
      <c r="E4" s="469">
        <f t="shared" ref="E4:E17" si="0">+D4*C4</f>
        <v>72</v>
      </c>
      <c r="F4" s="485"/>
      <c r="H4" s="466" t="s">
        <v>8</v>
      </c>
      <c r="I4" s="467">
        <v>-20</v>
      </c>
    </row>
    <row r="5" spans="1:9" ht="15" x14ac:dyDescent="0.25">
      <c r="A5" s="483"/>
      <c r="B5" s="462" t="s">
        <v>9</v>
      </c>
      <c r="C5" s="470">
        <v>1</v>
      </c>
      <c r="D5" s="462">
        <v>32</v>
      </c>
      <c r="E5" s="471">
        <f t="shared" si="0"/>
        <v>32</v>
      </c>
      <c r="F5" s="486"/>
      <c r="H5" s="466" t="s">
        <v>10</v>
      </c>
      <c r="I5" s="467">
        <v>-10</v>
      </c>
    </row>
    <row r="6" spans="1:9" ht="14.25" customHeight="1" x14ac:dyDescent="0.25">
      <c r="A6" s="481" t="s">
        <v>11</v>
      </c>
      <c r="B6" s="458" t="s">
        <v>12</v>
      </c>
      <c r="C6" s="468">
        <v>3</v>
      </c>
      <c r="D6" s="458">
        <v>16</v>
      </c>
      <c r="E6" s="469">
        <f t="shared" si="0"/>
        <v>48</v>
      </c>
      <c r="F6" s="487">
        <f>+SUM(E6:E11)</f>
        <v>191</v>
      </c>
      <c r="H6" s="472" t="s">
        <v>13</v>
      </c>
      <c r="I6" s="473">
        <v>-20</v>
      </c>
    </row>
    <row r="7" spans="1:9" ht="14.25" customHeight="1" x14ac:dyDescent="0.25">
      <c r="A7" s="482"/>
      <c r="B7" s="458" t="s">
        <v>14</v>
      </c>
      <c r="C7" s="468">
        <v>6</v>
      </c>
      <c r="D7" s="458">
        <v>8</v>
      </c>
      <c r="E7" s="469">
        <f t="shared" si="0"/>
        <v>48</v>
      </c>
      <c r="F7" s="488"/>
    </row>
    <row r="8" spans="1:9" ht="14.25" customHeight="1" x14ac:dyDescent="0.25">
      <c r="A8" s="482"/>
      <c r="B8" s="458" t="s">
        <v>15</v>
      </c>
      <c r="C8" s="468">
        <v>10</v>
      </c>
      <c r="D8" s="458">
        <v>4</v>
      </c>
      <c r="E8" s="469">
        <f t="shared" si="0"/>
        <v>40</v>
      </c>
      <c r="F8" s="488"/>
    </row>
    <row r="9" spans="1:9" ht="14.25" customHeight="1" x14ac:dyDescent="0.25">
      <c r="A9" s="482"/>
      <c r="B9" s="462" t="s">
        <v>16</v>
      </c>
      <c r="C9" s="470">
        <v>15</v>
      </c>
      <c r="D9" s="462">
        <v>2</v>
      </c>
      <c r="E9" s="471">
        <f t="shared" si="0"/>
        <v>30</v>
      </c>
      <c r="F9" s="488"/>
      <c r="H9" s="458" t="s">
        <v>17</v>
      </c>
    </row>
    <row r="10" spans="1:9" ht="15" x14ac:dyDescent="0.25">
      <c r="A10" s="482"/>
      <c r="B10" s="458" t="s">
        <v>18</v>
      </c>
      <c r="C10" s="468">
        <v>5</v>
      </c>
      <c r="D10" s="458">
        <v>1</v>
      </c>
      <c r="E10" s="469">
        <f>+D10*C10</f>
        <v>5</v>
      </c>
      <c r="F10" s="488"/>
      <c r="H10" s="458" t="s">
        <v>19</v>
      </c>
    </row>
    <row r="11" spans="1:9" ht="15" x14ac:dyDescent="0.25">
      <c r="A11" s="483"/>
      <c r="B11" s="462" t="s">
        <v>20</v>
      </c>
      <c r="C11" s="470">
        <v>20</v>
      </c>
      <c r="D11" s="462">
        <v>1</v>
      </c>
      <c r="E11" s="471">
        <f>+D11*C11</f>
        <v>20</v>
      </c>
      <c r="F11" s="489"/>
      <c r="H11" s="458" t="s">
        <v>21</v>
      </c>
    </row>
    <row r="12" spans="1:9" ht="15" x14ac:dyDescent="0.25">
      <c r="A12" s="481" t="s">
        <v>22</v>
      </c>
      <c r="B12" s="458" t="s">
        <v>23</v>
      </c>
      <c r="C12" s="468">
        <v>12</v>
      </c>
      <c r="D12" s="458">
        <v>1</v>
      </c>
      <c r="E12" s="469">
        <f t="shared" si="0"/>
        <v>12</v>
      </c>
      <c r="F12" s="487">
        <f>+SUM(E12:E17)</f>
        <v>64</v>
      </c>
      <c r="H12" s="458" t="s">
        <v>24</v>
      </c>
    </row>
    <row r="13" spans="1:9" ht="15" x14ac:dyDescent="0.25">
      <c r="A13" s="482"/>
      <c r="B13" s="458" t="s">
        <v>25</v>
      </c>
      <c r="C13" s="468">
        <v>12</v>
      </c>
      <c r="D13" s="458">
        <v>1</v>
      </c>
      <c r="E13" s="469">
        <f t="shared" si="0"/>
        <v>12</v>
      </c>
      <c r="F13" s="488"/>
      <c r="H13" s="458" t="s">
        <v>26</v>
      </c>
    </row>
    <row r="14" spans="1:9" ht="15" x14ac:dyDescent="0.25">
      <c r="A14" s="482"/>
      <c r="B14" s="458" t="s">
        <v>27</v>
      </c>
      <c r="C14" s="468">
        <v>12</v>
      </c>
      <c r="D14" s="458">
        <v>1</v>
      </c>
      <c r="E14" s="469">
        <f t="shared" si="0"/>
        <v>12</v>
      </c>
      <c r="F14" s="488"/>
    </row>
    <row r="15" spans="1:9" ht="15" x14ac:dyDescent="0.25">
      <c r="A15" s="482"/>
      <c r="B15" s="458" t="s">
        <v>28</v>
      </c>
      <c r="C15" s="468">
        <v>12</v>
      </c>
      <c r="D15" s="458">
        <v>1</v>
      </c>
      <c r="E15" s="469">
        <f t="shared" si="0"/>
        <v>12</v>
      </c>
      <c r="F15" s="488"/>
      <c r="H15" s="458" t="s">
        <v>29</v>
      </c>
    </row>
    <row r="16" spans="1:9" ht="15" x14ac:dyDescent="0.25">
      <c r="A16" s="482"/>
      <c r="B16" s="458" t="s">
        <v>30</v>
      </c>
      <c r="C16" s="468">
        <v>8</v>
      </c>
      <c r="D16" s="458">
        <v>1</v>
      </c>
      <c r="E16" s="469">
        <f t="shared" si="0"/>
        <v>8</v>
      </c>
      <c r="F16" s="488"/>
      <c r="H16" s="458" t="s">
        <v>31</v>
      </c>
    </row>
    <row r="17" spans="1:6" ht="15" x14ac:dyDescent="0.25">
      <c r="A17" s="483"/>
      <c r="B17" s="462" t="s">
        <v>32</v>
      </c>
      <c r="C17" s="470">
        <v>8</v>
      </c>
      <c r="D17" s="462">
        <v>1</v>
      </c>
      <c r="E17" s="471">
        <f t="shared" si="0"/>
        <v>8</v>
      </c>
      <c r="F17" s="489"/>
    </row>
    <row r="18" spans="1:6" x14ac:dyDescent="0.2">
      <c r="E18" s="469">
        <f>+SUM(E3:E17)</f>
        <v>431</v>
      </c>
    </row>
    <row r="20" spans="1:6" x14ac:dyDescent="0.2">
      <c r="A20" s="474" t="s">
        <v>33</v>
      </c>
    </row>
    <row r="21" spans="1:6" x14ac:dyDescent="0.2">
      <c r="A21" s="458" t="s">
        <v>34</v>
      </c>
    </row>
    <row r="23" spans="1:6" ht="15" x14ac:dyDescent="0.25">
      <c r="A23" s="458" t="s">
        <v>35</v>
      </c>
    </row>
    <row r="25" spans="1:6" ht="15" x14ac:dyDescent="0.25">
      <c r="A25" s="458" t="s">
        <v>36</v>
      </c>
    </row>
    <row r="26" spans="1:6" x14ac:dyDescent="0.2">
      <c r="A26" s="458" t="s">
        <v>37</v>
      </c>
    </row>
    <row r="27" spans="1:6" x14ac:dyDescent="0.2">
      <c r="A27" s="458" t="s">
        <v>38</v>
      </c>
    </row>
    <row r="28" spans="1:6" x14ac:dyDescent="0.2">
      <c r="A28" s="458" t="s">
        <v>39</v>
      </c>
    </row>
    <row r="29" spans="1:6" ht="15" x14ac:dyDescent="0.25">
      <c r="A29" s="458" t="s">
        <v>40</v>
      </c>
    </row>
    <row r="30" spans="1:6" x14ac:dyDescent="0.2">
      <c r="A30" s="458" t="s">
        <v>41</v>
      </c>
    </row>
    <row r="31" spans="1:6" x14ac:dyDescent="0.2">
      <c r="A31" s="458" t="s">
        <v>42</v>
      </c>
    </row>
    <row r="32" spans="1:6" x14ac:dyDescent="0.2">
      <c r="A32" s="458" t="s">
        <v>43</v>
      </c>
    </row>
    <row r="35" spans="1:4" x14ac:dyDescent="0.2">
      <c r="A35" s="475" t="s">
        <v>44</v>
      </c>
      <c r="B35" s="476" t="s">
        <v>45</v>
      </c>
      <c r="C35" s="477" t="s">
        <v>46</v>
      </c>
      <c r="D35" s="477" t="s">
        <v>47</v>
      </c>
    </row>
    <row r="36" spans="1:4" x14ac:dyDescent="0.2">
      <c r="A36" s="478">
        <f>+_xlfn.XLOOKUP(B36,'Ranking FIFA'!B:B,'Ranking FIFA'!A:A,"--",0)</f>
        <v>1</v>
      </c>
      <c r="B36" s="479" t="s">
        <v>48</v>
      </c>
      <c r="C36" s="480">
        <v>1</v>
      </c>
      <c r="D36" s="480">
        <v>1</v>
      </c>
    </row>
    <row r="37" spans="1:4" x14ac:dyDescent="0.2">
      <c r="A37" s="478">
        <f>+_xlfn.XLOOKUP(B37,'Ranking FIFA'!B:B,'Ranking FIFA'!A:A,"--",0)</f>
        <v>2</v>
      </c>
      <c r="B37" s="479" t="s">
        <v>49</v>
      </c>
      <c r="C37" s="480">
        <v>1</v>
      </c>
      <c r="D37" s="480">
        <v>1</v>
      </c>
    </row>
    <row r="38" spans="1:4" x14ac:dyDescent="0.2">
      <c r="A38" s="478">
        <f>+_xlfn.XLOOKUP(B38,'Ranking FIFA'!B:B,'Ranking FIFA'!A:A,"--",0)</f>
        <v>3</v>
      </c>
      <c r="B38" s="479" t="s">
        <v>50</v>
      </c>
      <c r="C38" s="480">
        <v>1</v>
      </c>
      <c r="D38" s="480">
        <v>1</v>
      </c>
    </row>
    <row r="39" spans="1:4" x14ac:dyDescent="0.2">
      <c r="A39" s="478">
        <f>+_xlfn.XLOOKUP(B39,'Ranking FIFA'!B:B,'Ranking FIFA'!A:A,"--",0)</f>
        <v>4</v>
      </c>
      <c r="B39" s="479" t="s">
        <v>51</v>
      </c>
      <c r="C39" s="480">
        <v>1</v>
      </c>
      <c r="D39" s="480">
        <v>1</v>
      </c>
    </row>
    <row r="40" spans="1:4" x14ac:dyDescent="0.2">
      <c r="A40" s="478">
        <f>+_xlfn.XLOOKUP(B40,'Ranking FIFA'!B:B,'Ranking FIFA'!A:A,"--",0)</f>
        <v>5</v>
      </c>
      <c r="B40" s="479" t="s">
        <v>52</v>
      </c>
      <c r="C40" s="480">
        <v>1</v>
      </c>
      <c r="D40" s="480">
        <v>1</v>
      </c>
    </row>
    <row r="41" spans="1:4" x14ac:dyDescent="0.2">
      <c r="A41" s="478">
        <f>+_xlfn.XLOOKUP(B41,'Ranking FIFA'!B:B,'Ranking FIFA'!A:A,"--",0)</f>
        <v>6</v>
      </c>
      <c r="B41" s="479" t="s">
        <v>53</v>
      </c>
      <c r="C41" s="480">
        <v>1</v>
      </c>
      <c r="D41" s="480">
        <v>1</v>
      </c>
    </row>
    <row r="42" spans="1:4" x14ac:dyDescent="0.2">
      <c r="A42" s="478">
        <f>+_xlfn.XLOOKUP(B42,'Ranking FIFA'!B:B,'Ranking FIFA'!A:A,"--",0)</f>
        <v>7</v>
      </c>
      <c r="B42" s="479" t="s">
        <v>54</v>
      </c>
      <c r="C42" s="480">
        <v>1</v>
      </c>
      <c r="D42" s="480">
        <v>1</v>
      </c>
    </row>
    <row r="43" spans="1:4" x14ac:dyDescent="0.2">
      <c r="A43" s="478">
        <f>+_xlfn.XLOOKUP(B43,'Ranking FIFA'!B:B,'Ranking FIFA'!A:A,"--",0)</f>
        <v>9</v>
      </c>
      <c r="B43" s="479" t="s">
        <v>55</v>
      </c>
      <c r="C43" s="480">
        <v>1</v>
      </c>
      <c r="D43" s="480">
        <v>2</v>
      </c>
    </row>
    <row r="44" spans="1:4" x14ac:dyDescent="0.2">
      <c r="A44" s="478">
        <f>+_xlfn.XLOOKUP(B44,'Ranking FIFA'!B:B,'Ranking FIFA'!A:A,"--",0)</f>
        <v>10</v>
      </c>
      <c r="B44" s="479" t="s">
        <v>56</v>
      </c>
      <c r="C44" s="480">
        <v>1</v>
      </c>
      <c r="D44" s="480">
        <v>1</v>
      </c>
    </row>
    <row r="45" spans="1:4" x14ac:dyDescent="0.2">
      <c r="A45" s="478">
        <f>+_xlfn.XLOOKUP(B45,'Ranking FIFA'!B:B,'Ranking FIFA'!A:A,"--",0)</f>
        <v>11</v>
      </c>
      <c r="B45" s="479" t="s">
        <v>57</v>
      </c>
      <c r="C45" s="480">
        <v>1</v>
      </c>
      <c r="D45" s="480">
        <v>2</v>
      </c>
    </row>
    <row r="46" spans="1:4" x14ac:dyDescent="0.2">
      <c r="A46" s="478">
        <f>+_xlfn.XLOOKUP(B46,'Ranking FIFA'!B:B,'Ranking FIFA'!A:A,"--",0)</f>
        <v>17</v>
      </c>
      <c r="B46" s="479" t="s">
        <v>58</v>
      </c>
      <c r="C46" s="480">
        <v>1</v>
      </c>
      <c r="D46" s="480">
        <v>2</v>
      </c>
    </row>
    <row r="47" spans="1:4" x14ac:dyDescent="0.2">
      <c r="A47" s="478">
        <f>+_xlfn.XLOOKUP(B47,'Ranking FIFA'!B:B,'Ranking FIFA'!A:A,"--",0)</f>
        <v>8</v>
      </c>
      <c r="B47" s="479" t="s">
        <v>59</v>
      </c>
      <c r="C47" s="480">
        <v>2</v>
      </c>
      <c r="D47" s="480"/>
    </row>
    <row r="48" spans="1:4" x14ac:dyDescent="0.2">
      <c r="A48" s="478">
        <f>+_xlfn.XLOOKUP(B48,'Ranking FIFA'!B:B,'Ranking FIFA'!A:A,"--",0)</f>
        <v>13</v>
      </c>
      <c r="B48" s="479" t="s">
        <v>60</v>
      </c>
      <c r="C48" s="480">
        <v>2</v>
      </c>
      <c r="D48" s="480"/>
    </row>
    <row r="49" spans="1:4" x14ac:dyDescent="0.2">
      <c r="A49" s="478">
        <f>+_xlfn.XLOOKUP(B49,'Ranking FIFA'!B:B,'Ranking FIFA'!A:A,"--",0)</f>
        <v>14</v>
      </c>
      <c r="B49" s="479" t="s">
        <v>61</v>
      </c>
      <c r="C49" s="480">
        <v>2</v>
      </c>
      <c r="D49" s="480"/>
    </row>
    <row r="50" spans="1:4" x14ac:dyDescent="0.2">
      <c r="A50" s="478">
        <f>+_xlfn.XLOOKUP(B50,'Ranking FIFA'!B:B,'Ranking FIFA'!A:A,"--",0)</f>
        <v>15</v>
      </c>
      <c r="B50" s="479" t="s">
        <v>62</v>
      </c>
      <c r="C50" s="480">
        <v>2</v>
      </c>
      <c r="D50" s="480"/>
    </row>
    <row r="51" spans="1:4" x14ac:dyDescent="0.2">
      <c r="A51" s="478">
        <f>+_xlfn.XLOOKUP(B51,'Ranking FIFA'!B:B,'Ranking FIFA'!A:A,"--",0)</f>
        <v>16</v>
      </c>
      <c r="B51" s="479" t="s">
        <v>63</v>
      </c>
      <c r="C51" s="480">
        <v>2</v>
      </c>
      <c r="D51" s="480"/>
    </row>
    <row r="52" spans="1:4" x14ac:dyDescent="0.2">
      <c r="A52" s="478">
        <f>+_xlfn.XLOOKUP(B52,'Ranking FIFA'!B:B,'Ranking FIFA'!A:A,"--",0)</f>
        <v>18</v>
      </c>
      <c r="B52" s="479" t="s">
        <v>64</v>
      </c>
      <c r="C52" s="480">
        <v>2</v>
      </c>
      <c r="D52" s="480"/>
    </row>
    <row r="53" spans="1:4" x14ac:dyDescent="0.2">
      <c r="A53" s="478">
        <f>+_xlfn.XLOOKUP(B53,'Ranking FIFA'!B:B,'Ranking FIFA'!A:A,"--",0)</f>
        <v>19</v>
      </c>
      <c r="B53" s="479" t="s">
        <v>65</v>
      </c>
      <c r="C53" s="480">
        <v>2</v>
      </c>
      <c r="D53" s="480"/>
    </row>
    <row r="54" spans="1:4" x14ac:dyDescent="0.2">
      <c r="A54" s="478">
        <f>+_xlfn.XLOOKUP(B54,'Ranking FIFA'!B:B,'Ranking FIFA'!A:A,"--",0)</f>
        <v>22</v>
      </c>
      <c r="B54" s="479" t="s">
        <v>66</v>
      </c>
      <c r="C54" s="480">
        <v>2</v>
      </c>
      <c r="D54" s="480"/>
    </row>
    <row r="55" spans="1:4" x14ac:dyDescent="0.2">
      <c r="A55" s="478">
        <f>+_xlfn.XLOOKUP(B55,'Ranking FIFA'!B:B,'Ranking FIFA'!A:A,"--",0)</f>
        <v>23</v>
      </c>
      <c r="B55" s="479" t="s">
        <v>67</v>
      </c>
      <c r="C55" s="480">
        <v>2</v>
      </c>
      <c r="D55" s="480"/>
    </row>
    <row r="56" spans="1:4" x14ac:dyDescent="0.2">
      <c r="A56" s="478">
        <f>+_xlfn.XLOOKUP(B56,'Ranking FIFA'!B:B,'Ranking FIFA'!A:A,"--",0)</f>
        <v>25</v>
      </c>
      <c r="B56" s="479" t="s">
        <v>68</v>
      </c>
      <c r="C56" s="480">
        <v>2</v>
      </c>
      <c r="D56" s="480"/>
    </row>
    <row r="57" spans="1:4" x14ac:dyDescent="0.2">
      <c r="A57" s="478">
        <f>+_xlfn.XLOOKUP(B57,'Ranking FIFA'!B:B,'Ranking FIFA'!A:A,"--",0)</f>
        <v>31</v>
      </c>
      <c r="B57" s="479" t="s">
        <v>69</v>
      </c>
      <c r="C57" s="480">
        <v>2</v>
      </c>
      <c r="D57" s="480"/>
    </row>
    <row r="58" spans="1:4" x14ac:dyDescent="0.2">
      <c r="A58" s="478">
        <f>+_xlfn.XLOOKUP(B58,'Ranking FIFA'!B:B,'Ranking FIFA'!A:A,"--",0)</f>
        <v>38</v>
      </c>
      <c r="B58" s="479" t="s">
        <v>70</v>
      </c>
      <c r="C58" s="480">
        <v>2</v>
      </c>
      <c r="D58" s="480"/>
    </row>
    <row r="59" spans="1:4" x14ac:dyDescent="0.2">
      <c r="A59" s="478">
        <f>+_xlfn.XLOOKUP(B59,'Ranking FIFA'!B:B,'Ranking FIFA'!A:A,"--",0)</f>
        <v>40</v>
      </c>
      <c r="B59" s="479" t="s">
        <v>71</v>
      </c>
      <c r="C59" s="480">
        <v>2</v>
      </c>
      <c r="D59" s="480"/>
    </row>
    <row r="60" spans="1:4" x14ac:dyDescent="0.2">
      <c r="A60" s="478">
        <f>+_xlfn.XLOOKUP(B60,'Ranking FIFA'!B:B,'Ranking FIFA'!A:A,"--",0)</f>
        <v>24</v>
      </c>
      <c r="B60" s="479" t="s">
        <v>72</v>
      </c>
      <c r="C60" s="480">
        <v>3</v>
      </c>
      <c r="D60" s="480"/>
    </row>
    <row r="61" spans="1:4" x14ac:dyDescent="0.2">
      <c r="A61" s="478">
        <f>+_xlfn.XLOOKUP(B61,'Ranking FIFA'!B:B,'Ranking FIFA'!A:A,"--",0)</f>
        <v>27</v>
      </c>
      <c r="B61" s="479" t="s">
        <v>73</v>
      </c>
      <c r="C61" s="480">
        <v>3</v>
      </c>
      <c r="D61" s="480"/>
    </row>
    <row r="62" spans="1:4" x14ac:dyDescent="0.2">
      <c r="A62" s="478">
        <f>+_xlfn.XLOOKUP(B62,'Ranking FIFA'!B:B,'Ranking FIFA'!A:A,"--",0)</f>
        <v>28</v>
      </c>
      <c r="B62" s="479" t="s">
        <v>74</v>
      </c>
      <c r="C62" s="480">
        <v>3</v>
      </c>
      <c r="D62" s="480"/>
    </row>
    <row r="63" spans="1:4" x14ac:dyDescent="0.2">
      <c r="A63" s="478">
        <f>+_xlfn.XLOOKUP(B63,'Ranking FIFA'!B:B,'Ranking FIFA'!A:A,"--",0)</f>
        <v>29</v>
      </c>
      <c r="B63" s="479" t="s">
        <v>75</v>
      </c>
      <c r="C63" s="480">
        <v>3</v>
      </c>
      <c r="D63" s="480"/>
    </row>
    <row r="64" spans="1:4" x14ac:dyDescent="0.2">
      <c r="A64" s="478">
        <f>+_xlfn.XLOOKUP(B64,'Ranking FIFA'!B:B,'Ranking FIFA'!A:A,"--",0)</f>
        <v>30</v>
      </c>
      <c r="B64" s="479" t="s">
        <v>76</v>
      </c>
      <c r="C64" s="480">
        <v>3</v>
      </c>
      <c r="D64" s="480"/>
    </row>
    <row r="65" spans="1:4" x14ac:dyDescent="0.2">
      <c r="A65" s="478">
        <f>+_xlfn.XLOOKUP(B65,'Ranking FIFA'!B:B,'Ranking FIFA'!A:A,"--",0)</f>
        <v>33</v>
      </c>
      <c r="B65" s="479" t="s">
        <v>77</v>
      </c>
      <c r="C65" s="480">
        <v>3</v>
      </c>
      <c r="D65" s="480"/>
    </row>
    <row r="66" spans="1:4" x14ac:dyDescent="0.2">
      <c r="A66" s="478">
        <f>+_xlfn.XLOOKUP(B66,'Ranking FIFA'!B:B,'Ranking FIFA'!A:A,"--",0)</f>
        <v>34</v>
      </c>
      <c r="B66" s="479" t="s">
        <v>78</v>
      </c>
      <c r="C66" s="480">
        <v>3</v>
      </c>
      <c r="D66" s="480"/>
    </row>
    <row r="67" spans="1:4" x14ac:dyDescent="0.2">
      <c r="A67" s="478">
        <f>+_xlfn.XLOOKUP(B67,'Ranking FIFA'!B:B,'Ranking FIFA'!A:A,"--",0)</f>
        <v>41</v>
      </c>
      <c r="B67" s="479" t="s">
        <v>79</v>
      </c>
      <c r="C67" s="480">
        <v>3</v>
      </c>
      <c r="D67" s="480"/>
    </row>
    <row r="68" spans="1:4" x14ac:dyDescent="0.2">
      <c r="A68" s="478">
        <f>+_xlfn.XLOOKUP(B68,'Ranking FIFA'!B:B,'Ranking FIFA'!A:A,"--",0)</f>
        <v>43</v>
      </c>
      <c r="B68" s="479" t="s">
        <v>80</v>
      </c>
      <c r="C68" s="480">
        <v>3</v>
      </c>
      <c r="D68" s="480"/>
    </row>
    <row r="69" spans="1:4" x14ac:dyDescent="0.2">
      <c r="A69" s="478">
        <f>+_xlfn.XLOOKUP(B69,'Ranking FIFA'!B:B,'Ranking FIFA'!A:A,"--",0)</f>
        <v>44</v>
      </c>
      <c r="B69" s="479" t="s">
        <v>81</v>
      </c>
      <c r="C69" s="480">
        <v>3</v>
      </c>
      <c r="D69" s="480"/>
    </row>
    <row r="70" spans="1:4" x14ac:dyDescent="0.2">
      <c r="A70" s="478">
        <f>+_xlfn.XLOOKUP(B70,'Ranking FIFA'!B:B,'Ranking FIFA'!A:A,"--",0)</f>
        <v>60</v>
      </c>
      <c r="B70" s="479" t="s">
        <v>82</v>
      </c>
      <c r="C70" s="480">
        <v>3</v>
      </c>
      <c r="D70" s="480"/>
    </row>
    <row r="71" spans="1:4" x14ac:dyDescent="0.2">
      <c r="A71" s="478">
        <f>+_xlfn.XLOOKUP(B71,'Ranking FIFA'!B:B,'Ranking FIFA'!A:A,"--",0)</f>
        <v>61</v>
      </c>
      <c r="B71" s="479" t="s">
        <v>83</v>
      </c>
      <c r="C71" s="480">
        <v>3</v>
      </c>
      <c r="D71" s="480"/>
    </row>
    <row r="72" spans="1:4" x14ac:dyDescent="0.2">
      <c r="A72" s="478">
        <f>+_xlfn.XLOOKUP(B72,'Ranking FIFA'!B:B,'Ranking FIFA'!A:A,"--",0)</f>
        <v>65</v>
      </c>
      <c r="B72" s="479" t="s">
        <v>84</v>
      </c>
      <c r="C72" s="480">
        <v>3</v>
      </c>
      <c r="D72" s="480"/>
    </row>
    <row r="73" spans="1:4" x14ac:dyDescent="0.2">
      <c r="A73" s="478">
        <f>+_xlfn.XLOOKUP(B73,'Ranking FIFA'!B:B,'Ranking FIFA'!A:A,"--",0)</f>
        <v>74</v>
      </c>
      <c r="B73" s="479" t="s">
        <v>85</v>
      </c>
      <c r="C73" s="480">
        <v>3</v>
      </c>
      <c r="D73" s="480"/>
    </row>
    <row r="74" spans="1:4" x14ac:dyDescent="0.2">
      <c r="A74" s="478">
        <f>+_xlfn.XLOOKUP(B74,'Ranking FIFA'!B:B,'Ranking FIFA'!A:A,"--",0)</f>
        <v>21</v>
      </c>
      <c r="B74" s="479" t="s">
        <v>86</v>
      </c>
      <c r="C74" s="480">
        <v>3</v>
      </c>
      <c r="D74" s="480"/>
    </row>
    <row r="75" spans="1:4" x14ac:dyDescent="0.2">
      <c r="A75" s="478">
        <f>+_xlfn.XLOOKUP(B75,'Ranking FIFA'!B:B,'Ranking FIFA'!A:A,"--",0)</f>
        <v>46</v>
      </c>
      <c r="B75" s="479" t="s">
        <v>87</v>
      </c>
      <c r="C75" s="480">
        <v>4</v>
      </c>
      <c r="D75" s="480"/>
    </row>
    <row r="76" spans="1:4" x14ac:dyDescent="0.2">
      <c r="A76" s="478">
        <f>+_xlfn.XLOOKUP(B76,'Ranking FIFA'!B:B,'Ranking FIFA'!A:A,"--",0)</f>
        <v>50</v>
      </c>
      <c r="B76" s="479" t="s">
        <v>88</v>
      </c>
      <c r="C76" s="480">
        <v>4</v>
      </c>
      <c r="D76" s="480"/>
    </row>
    <row r="77" spans="1:4" x14ac:dyDescent="0.2">
      <c r="A77" s="478">
        <f>+_xlfn.XLOOKUP(B77,'Ranking FIFA'!B:B,'Ranking FIFA'!A:A,"--",0)</f>
        <v>55</v>
      </c>
      <c r="B77" s="479" t="s">
        <v>89</v>
      </c>
      <c r="C77" s="480">
        <v>4</v>
      </c>
      <c r="D77" s="480"/>
    </row>
    <row r="78" spans="1:4" x14ac:dyDescent="0.2">
      <c r="A78" s="478">
        <f>+_xlfn.XLOOKUP(B78,'Ranking FIFA'!B:B,'Ranking FIFA'!A:A,"--",0)</f>
        <v>57</v>
      </c>
      <c r="B78" s="479" t="s">
        <v>90</v>
      </c>
      <c r="C78" s="480">
        <v>4</v>
      </c>
      <c r="D78" s="480"/>
    </row>
    <row r="79" spans="1:4" x14ac:dyDescent="0.2">
      <c r="A79" s="478">
        <f>+_xlfn.XLOOKUP(B79,'Ranking FIFA'!B:B,'Ranking FIFA'!A:A,"--",0)</f>
        <v>63</v>
      </c>
      <c r="B79" s="479" t="s">
        <v>91</v>
      </c>
      <c r="C79" s="480">
        <v>4</v>
      </c>
      <c r="D79" s="480"/>
    </row>
    <row r="80" spans="1:4" x14ac:dyDescent="0.2">
      <c r="A80" s="478">
        <f>+_xlfn.XLOOKUP(B80,'Ranking FIFA'!B:B,'Ranking FIFA'!A:A,"--",0)</f>
        <v>69</v>
      </c>
      <c r="B80" s="479" t="s">
        <v>92</v>
      </c>
      <c r="C80" s="480">
        <v>4</v>
      </c>
      <c r="D80" s="480"/>
    </row>
    <row r="81" spans="1:4" x14ac:dyDescent="0.2">
      <c r="A81" s="478">
        <f>+_xlfn.XLOOKUP(B81,'Ranking FIFA'!B:B,'Ranking FIFA'!A:A,"--",0)</f>
        <v>82</v>
      </c>
      <c r="B81" s="479" t="s">
        <v>93</v>
      </c>
      <c r="C81" s="480">
        <v>4</v>
      </c>
      <c r="D81" s="480"/>
    </row>
    <row r="82" spans="1:4" x14ac:dyDescent="0.2">
      <c r="A82" s="478">
        <f>+_xlfn.XLOOKUP(B82,'Ranking FIFA'!B:B,'Ranking FIFA'!A:A,"--",0)</f>
        <v>83</v>
      </c>
      <c r="B82" s="479" t="s">
        <v>94</v>
      </c>
      <c r="C82" s="480">
        <v>4</v>
      </c>
      <c r="D82" s="480"/>
    </row>
    <row r="83" spans="1:4" x14ac:dyDescent="0.2">
      <c r="A83" s="478">
        <f>+_xlfn.XLOOKUP(B83,'Ranking FIFA'!B:B,'Ranking FIFA'!A:A,"--",0)</f>
        <v>85</v>
      </c>
      <c r="B83" s="479" t="s">
        <v>95</v>
      </c>
      <c r="C83" s="480">
        <v>4</v>
      </c>
      <c r="D83" s="480"/>
    </row>
  </sheetData>
  <mergeCells count="6">
    <mergeCell ref="A3:A5"/>
    <mergeCell ref="F3:F5"/>
    <mergeCell ref="A6:A11"/>
    <mergeCell ref="F6:F11"/>
    <mergeCell ref="A12:A17"/>
    <mergeCell ref="F12:F17"/>
  </mergeCells>
  <conditionalFormatting sqref="C36:C46 C47:D83">
    <cfRule type="colorScale" priority="1">
      <colorScale>
        <cfvo type="min"/>
        <cfvo type="percentile" val="50"/>
        <cfvo type="max"/>
        <color rgb="FF63BE7B"/>
        <color rgb="FFFFEB84"/>
        <color rgb="FFF8696B"/>
      </colorScale>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1AC27-7E95-41E5-8533-F59BAF1A97F4}">
  <sheetPr codeName="Sheet1">
    <tabColor theme="3" tint="-0.249977111117893"/>
    <pageSetUpPr autoPageBreaks="0"/>
  </sheetPr>
  <dimension ref="A1:CX108"/>
  <sheetViews>
    <sheetView zoomScale="80" zoomScaleNormal="80" workbookViewId="0">
      <selection activeCell="CW15" sqref="CW15"/>
    </sheetView>
  </sheetViews>
  <sheetFormatPr defaultColWidth="8.25" defaultRowHeight="14.25" outlineLevelCol="2" x14ac:dyDescent="0.2"/>
  <cols>
    <col min="1" max="1" width="8" style="24" bestFit="1" customWidth="1"/>
    <col min="2" max="2" width="14.25" style="24" bestFit="1" customWidth="1"/>
    <col min="3" max="3" width="21.875" style="24" hidden="1" customWidth="1"/>
    <col min="4" max="4" width="2.375" style="23" customWidth="1"/>
    <col min="5" max="5" width="17" style="25" bestFit="1" customWidth="1"/>
    <col min="6" max="7" width="3.25" style="24" customWidth="1"/>
    <col min="8" max="8" width="17" style="26" bestFit="1" customWidth="1"/>
    <col min="9" max="9" width="8.25" style="23" customWidth="1"/>
    <col min="10" max="10" width="2.75" style="24" hidden="1" customWidth="1" outlineLevel="1"/>
    <col min="11" max="12" width="2.25" style="24" hidden="1" customWidth="1" outlineLevel="1"/>
    <col min="13" max="13" width="2.625" style="24" hidden="1" customWidth="1" outlineLevel="1"/>
    <col min="14" max="14" width="5.5" style="23" hidden="1" customWidth="1" outlineLevel="1"/>
    <col min="15" max="15" width="13.5" style="23" hidden="1" customWidth="1" outlineLevel="1"/>
    <col min="16" max="16" width="2.375" style="23" hidden="1" customWidth="1" outlineLevel="1"/>
    <col min="17" max="18" width="2.125" style="23" hidden="1" customWidth="1" outlineLevel="1"/>
    <col min="19" max="19" width="3.25" style="23" hidden="1" customWidth="1" outlineLevel="1"/>
    <col min="20" max="20" width="3.375" style="23" hidden="1" customWidth="1" outlineLevel="1"/>
    <col min="21" max="21" width="2.875" style="23" hidden="1" customWidth="1" outlineLevel="1"/>
    <col min="22" max="22" width="4.625" style="23" hidden="1" customWidth="1" outlineLevel="1"/>
    <col min="23" max="23" width="13.5" style="23" hidden="1" customWidth="1" outlineLevel="1"/>
    <col min="24" max="24" width="3.875" style="23" hidden="1" customWidth="1" outlineLevel="1"/>
    <col min="25" max="25" width="3" style="23" bestFit="1" customWidth="1" collapsed="1"/>
    <col min="26" max="26" width="17" style="23" bestFit="1" customWidth="1"/>
    <col min="27" max="33" width="5.375" style="23" bestFit="1" customWidth="1"/>
    <col min="34" max="34" width="5.375" style="23" customWidth="1"/>
    <col min="35" max="35" width="5.375" style="23" hidden="1" customWidth="1" outlineLevel="1"/>
    <col min="36" max="37" width="8.25" style="23" hidden="1" customWidth="1" outlineLevel="1"/>
    <col min="38" max="38" width="11.75" style="23" hidden="1" customWidth="1" outlineLevel="1"/>
    <col min="39" max="39" width="19.625" style="23" hidden="1" customWidth="1" outlineLevel="1"/>
    <col min="40" max="40" width="8.25" style="23" hidden="1" customWidth="1" outlineLevel="1"/>
    <col min="41" max="41" width="6.125" style="23" customWidth="1" collapsed="1"/>
    <col min="42" max="42" width="4.625" style="23" customWidth="1"/>
    <col min="43" max="43" width="14" style="23" hidden="1" customWidth="1" outlineLevel="2"/>
    <col min="44" max="44" width="8.25" style="23" hidden="1" customWidth="1" outlineLevel="2"/>
    <col min="45" max="46" width="5.625" style="23" hidden="1" customWidth="1" outlineLevel="2"/>
    <col min="47" max="47" width="13.875" style="23" bestFit="1" customWidth="1" collapsed="1"/>
    <col min="48" max="49" width="4" style="27" customWidth="1"/>
    <col min="50" max="50" width="8.25" style="23" hidden="1" customWidth="1" outlineLevel="2"/>
    <col min="51" max="51" width="12.125" style="23" hidden="1" customWidth="1" outlineLevel="2"/>
    <col min="52" max="56" width="8.25" style="23" hidden="1" customWidth="1" outlineLevel="2"/>
    <col min="57" max="57" width="8.25" style="24" hidden="1" customWidth="1" outlineLevel="2"/>
    <col min="58" max="61" width="13" style="23" hidden="1" customWidth="1" outlineLevel="2"/>
    <col min="62" max="63" width="8.25" style="23" hidden="1" customWidth="1" outlineLevel="2"/>
    <col min="64" max="70" width="3.75" style="23" hidden="1" customWidth="1" outlineLevel="2"/>
    <col min="71" max="71" width="8.625" style="23" hidden="1" customWidth="1" outlineLevel="2"/>
    <col min="72" max="72" width="8.25" style="23" hidden="1" customWidth="1" outlineLevel="2"/>
    <col min="73" max="73" width="6" style="23" hidden="1" customWidth="1" outlineLevel="2"/>
    <col min="74" max="75" width="8.25" style="23" hidden="1" customWidth="1" outlineLevel="2"/>
    <col min="76" max="76" width="4.25" style="23" hidden="1" customWidth="1" outlineLevel="2"/>
    <col min="77" max="77" width="8.25" style="23" hidden="1" customWidth="1" outlineLevel="2"/>
    <col min="78" max="81" width="13" style="23" hidden="1" customWidth="1" outlineLevel="2"/>
    <col min="82" max="97" width="8.25" style="23" hidden="1" customWidth="1" outlineLevel="2"/>
    <col min="98" max="98" width="8.25" style="23" collapsed="1"/>
    <col min="99" max="99" width="4.125" style="23" customWidth="1"/>
    <col min="100" max="100" width="12.25" style="23" customWidth="1"/>
    <col min="101" max="101" width="16.25" style="24" customWidth="1"/>
    <col min="102" max="102" width="12.25" style="24" customWidth="1"/>
    <col min="103" max="16384" width="8.25" style="23"/>
  </cols>
  <sheetData>
    <row r="1" spans="1:102" x14ac:dyDescent="0.2">
      <c r="A1" s="23"/>
      <c r="BF1" s="28" t="str">
        <f>+IF(BA3&gt;1,AZ3,IF(BA4&gt;1,AZ4,IF(BA5&gt;1,AZ5,IF(BA6&gt;1,AZ6,"-"))))</f>
        <v>-</v>
      </c>
      <c r="BW1" s="23">
        <v>10</v>
      </c>
      <c r="BZ1" s="29" t="str">
        <f>+IF(BC3&gt;1,BB3,IF(BC4&gt;1,BB4,IF(BC5&gt;1,BB5,IF(BC6&gt;1,BB6,"-"))))</f>
        <v>-</v>
      </c>
      <c r="CQ1" s="23">
        <v>10</v>
      </c>
      <c r="CS1" s="30" t="s">
        <v>96</v>
      </c>
      <c r="CV1" s="31" t="s">
        <v>97</v>
      </c>
      <c r="CW1" s="32" t="s">
        <v>98</v>
      </c>
      <c r="CX1" s="33" t="s">
        <v>99</v>
      </c>
    </row>
    <row r="2" spans="1:102" x14ac:dyDescent="0.2">
      <c r="A2" s="286" t="s">
        <v>100</v>
      </c>
      <c r="B2" s="287" t="s">
        <v>101</v>
      </c>
      <c r="C2" s="287" t="s">
        <v>102</v>
      </c>
      <c r="D2" s="288"/>
      <c r="E2" s="289" t="s">
        <v>103</v>
      </c>
      <c r="F2" s="290"/>
      <c r="G2" s="290"/>
      <c r="H2" s="291"/>
      <c r="J2" s="24" t="s">
        <v>104</v>
      </c>
      <c r="K2" s="24" t="s">
        <v>105</v>
      </c>
      <c r="L2" s="24" t="s">
        <v>105</v>
      </c>
      <c r="M2" s="24" t="s">
        <v>106</v>
      </c>
      <c r="O2" s="26" t="str">
        <f>+E2</f>
        <v>Grupo A</v>
      </c>
      <c r="P2" s="24" t="s">
        <v>104</v>
      </c>
      <c r="Q2" s="24" t="s">
        <v>105</v>
      </c>
      <c r="R2" s="24" t="s">
        <v>106</v>
      </c>
      <c r="S2" s="24" t="s">
        <v>107</v>
      </c>
      <c r="T2" s="24" t="s">
        <v>108</v>
      </c>
      <c r="U2" s="24" t="s">
        <v>109</v>
      </c>
      <c r="V2" s="24" t="s">
        <v>0</v>
      </c>
      <c r="W2" s="24"/>
      <c r="Y2" s="496" t="s">
        <v>103</v>
      </c>
      <c r="Z2" s="497"/>
      <c r="AA2" s="292" t="s">
        <v>110</v>
      </c>
      <c r="AB2" s="293" t="s">
        <v>104</v>
      </c>
      <c r="AC2" s="293" t="s">
        <v>105</v>
      </c>
      <c r="AD2" s="293" t="s">
        <v>106</v>
      </c>
      <c r="AE2" s="293" t="s">
        <v>107</v>
      </c>
      <c r="AF2" s="293" t="s">
        <v>108</v>
      </c>
      <c r="AG2" s="293" t="s">
        <v>109</v>
      </c>
      <c r="AH2" s="294" t="s">
        <v>0</v>
      </c>
      <c r="AI2" s="34"/>
      <c r="AL2" s="24" t="s">
        <v>0</v>
      </c>
      <c r="AM2" s="24" t="s">
        <v>111</v>
      </c>
      <c r="AN2" s="24"/>
      <c r="AO2" s="24"/>
      <c r="AP2" s="24"/>
      <c r="AQ2" s="24"/>
      <c r="AR2" s="24"/>
      <c r="AS2" s="24"/>
      <c r="AT2" s="24"/>
      <c r="AU2" s="24"/>
      <c r="AY2" s="24" t="s">
        <v>112</v>
      </c>
      <c r="AZ2" s="24" t="s">
        <v>0</v>
      </c>
      <c r="BA2" s="24" t="s">
        <v>113</v>
      </c>
      <c r="BB2" s="24"/>
      <c r="BC2" s="24"/>
      <c r="BD2" s="24"/>
      <c r="BK2" s="26"/>
      <c r="BL2" s="26" t="s">
        <v>110</v>
      </c>
      <c r="BM2" s="24" t="s">
        <v>104</v>
      </c>
      <c r="BN2" s="24" t="s">
        <v>105</v>
      </c>
      <c r="BO2" s="24" t="s">
        <v>106</v>
      </c>
      <c r="BP2" s="24" t="s">
        <v>107</v>
      </c>
      <c r="BQ2" s="24" t="s">
        <v>108</v>
      </c>
      <c r="BR2" s="24" t="s">
        <v>109</v>
      </c>
      <c r="BS2" s="24" t="s">
        <v>0</v>
      </c>
      <c r="BT2" s="24" t="s">
        <v>114</v>
      </c>
      <c r="BU2" s="24"/>
      <c r="BV2" s="24" t="s">
        <v>115</v>
      </c>
      <c r="BW2" s="24" t="s">
        <v>114</v>
      </c>
      <c r="CE2" s="26"/>
      <c r="CF2" s="26" t="s">
        <v>110</v>
      </c>
      <c r="CG2" s="24" t="s">
        <v>104</v>
      </c>
      <c r="CH2" s="24" t="s">
        <v>105</v>
      </c>
      <c r="CI2" s="24" t="s">
        <v>106</v>
      </c>
      <c r="CJ2" s="24" t="s">
        <v>107</v>
      </c>
      <c r="CK2" s="24" t="s">
        <v>108</v>
      </c>
      <c r="CL2" s="24" t="s">
        <v>109</v>
      </c>
      <c r="CM2" s="24" t="s">
        <v>0</v>
      </c>
      <c r="CN2" s="24" t="s">
        <v>114</v>
      </c>
      <c r="CO2" s="24"/>
      <c r="CP2" s="24" t="s">
        <v>115</v>
      </c>
      <c r="CQ2" s="24" t="s">
        <v>114</v>
      </c>
      <c r="CS2" s="30">
        <f>+SUMIF(AA:AA,3)</f>
        <v>144</v>
      </c>
      <c r="CV2" s="35" t="str">
        <f>+'Mejores 3eros'!AP2</f>
        <v>Mexico</v>
      </c>
      <c r="CW2" s="36" t="str">
        <f>+_xlfn.XLOOKUP(CV2,'Mejores 3eros'!$BD$2:$BD$13,'Mejores 3eros'!$BG$2:$BG$13,"-",0)</f>
        <v>IN</v>
      </c>
      <c r="CX2" s="37" t="s">
        <v>116</v>
      </c>
    </row>
    <row r="3" spans="1:102" x14ac:dyDescent="0.2">
      <c r="A3" s="38" t="s">
        <v>117</v>
      </c>
      <c r="B3" s="39">
        <v>46184</v>
      </c>
      <c r="C3" s="40"/>
      <c r="D3" s="41"/>
      <c r="E3" s="42" t="s">
        <v>62</v>
      </c>
      <c r="F3" s="43">
        <v>2</v>
      </c>
      <c r="G3" s="43">
        <v>1</v>
      </c>
      <c r="H3" s="44" t="s">
        <v>82</v>
      </c>
      <c r="J3" s="24" t="str">
        <f>IF(OR(ISBLANK(F3),ISBLANK(G3)),"",IF(F3&gt;G3,E3,IF(G3&gt;F3,H3,"")))</f>
        <v>Mexico</v>
      </c>
      <c r="K3" s="24" t="str">
        <f>IF(OR(ISBLANK(F3),ISBLANK(G3)),"",IF(F3=G3,E3,""))</f>
        <v/>
      </c>
      <c r="L3" s="24" t="str">
        <f>IF(OR(ISBLANK(F3),ISBLANK(G3)),"",IF(F3=G3,H3,""))</f>
        <v/>
      </c>
      <c r="M3" s="24" t="str">
        <f>IF(OR(ISBLANK(F3),ISBLANK(G3)),"",IF(F3&lt;G3,E3,IF(G3&lt;F3,H3,"")))</f>
        <v>Sudafrica</v>
      </c>
      <c r="O3" s="26" t="str">
        <f>+E3</f>
        <v>Mexico</v>
      </c>
      <c r="P3" s="24">
        <f>+COUNTIF(J3:J8,"="&amp;$O3)</f>
        <v>1</v>
      </c>
      <c r="Q3" s="24">
        <f>+COUNTIF(K3:L8,"="&amp;$O3)</f>
        <v>1</v>
      </c>
      <c r="R3" s="24">
        <f>+COUNTIF(M3:M8,"="&amp;$O3)</f>
        <v>1</v>
      </c>
      <c r="S3" s="24">
        <f>+T3-U3</f>
        <v>0</v>
      </c>
      <c r="T3" s="24">
        <f>+SUMIF(E3:E8,$O3,F3:F8)+SUMIF(H3:H8,$O3,G3:G8)</f>
        <v>4</v>
      </c>
      <c r="U3" s="24">
        <f>+SUMIF(E3:E8,$O3,G3:G8)+SUMIF(H3:H8,$O3,F3:F8)</f>
        <v>4</v>
      </c>
      <c r="V3" s="45">
        <f>+P3*3+Q3*1+BT3+CN3+S3/1000+T3/10000+AV3/1000000+ROW()/10000000</f>
        <v>4.0004002999999999</v>
      </c>
      <c r="W3" s="26" t="str">
        <f>+O3</f>
        <v>Mexico</v>
      </c>
      <c r="Y3" s="46" t="str">
        <f>+CONCATENATE("1",RIGHT(E2,1))</f>
        <v>1A</v>
      </c>
      <c r="Z3" s="47" t="str">
        <f>+VLOOKUP(AL3,V3:W6,2,FALSE)</f>
        <v>Corea del Sur</v>
      </c>
      <c r="AA3" s="48">
        <f>+SUM(AB3:AD3)</f>
        <v>3</v>
      </c>
      <c r="AB3" s="49">
        <f t="shared" ref="AB3:AG6" si="0">+VLOOKUP($Z3,$O$3:$U$6,COLUMN()-26,FALSE)</f>
        <v>2</v>
      </c>
      <c r="AC3" s="49">
        <f t="shared" si="0"/>
        <v>1</v>
      </c>
      <c r="AD3" s="49">
        <f t="shared" si="0"/>
        <v>0</v>
      </c>
      <c r="AE3" s="49">
        <f t="shared" si="0"/>
        <v>4</v>
      </c>
      <c r="AF3" s="49">
        <f t="shared" si="0"/>
        <v>6</v>
      </c>
      <c r="AG3" s="49">
        <f t="shared" si="0"/>
        <v>2</v>
      </c>
      <c r="AH3" s="50">
        <f>+VLOOKUP($Z3,$O$3:$V$6,COLUMN()-26,FALSE)</f>
        <v>7.0046004999999996</v>
      </c>
      <c r="AI3" s="51"/>
      <c r="AL3" s="45">
        <f>+LARGE(V3:V6,1)</f>
        <v>7.0046004999999996</v>
      </c>
      <c r="AM3" s="52">
        <f>+(AH3-AL3)*100000000000000000000</f>
        <v>0</v>
      </c>
      <c r="AP3" s="53" t="str">
        <f>+O3</f>
        <v>Mexico</v>
      </c>
      <c r="AQ3" s="23">
        <f>+P3*3+Q3*1+BT3+CN3+S3/1000+T3/10000</f>
        <v>4.0004</v>
      </c>
      <c r="AR3" s="23" t="b">
        <f>+IF(OR(AQ3=AQ4,AQ3=AQ5,AQ3=AQ6),1)</f>
        <v>0</v>
      </c>
      <c r="AS3" s="54">
        <f>+AV3</f>
        <v>0</v>
      </c>
      <c r="AT3" s="54">
        <f>+IF(AND(AM7="si",OR(AR3=1,AR4=1,AR5=1)),1,0)</f>
        <v>0</v>
      </c>
      <c r="AU3" s="55" t="str">
        <f>+O3</f>
        <v>Mexico</v>
      </c>
      <c r="AV3" s="56"/>
      <c r="AX3" s="23" t="str">
        <f>+Y2</f>
        <v>Grupo A</v>
      </c>
      <c r="AY3" s="24" t="str">
        <f>+O3</f>
        <v>Mexico</v>
      </c>
      <c r="AZ3" s="29">
        <f>+P3*3+Q3</f>
        <v>4</v>
      </c>
      <c r="BA3" s="29">
        <f>+COUNTIFS($AX$1:AX3,AX3,$AZ$1:AZ3,AZ3)</f>
        <v>1</v>
      </c>
      <c r="BB3" s="29">
        <f>+IF(AZ3=BF1,ROW()*0.001,AZ3)</f>
        <v>4</v>
      </c>
      <c r="BC3" s="29">
        <f>+COUNTIFS($AX$1:AZ3,AZ3,$AZ$1:BB3,BB3)</f>
        <v>1</v>
      </c>
      <c r="BD3" s="29"/>
      <c r="BE3" s="25" t="str">
        <f>+IF(OR(BF3="-",BI3="-",BF1=0),"-","OK")</f>
        <v>-</v>
      </c>
      <c r="BF3" s="57" t="str">
        <f>+IF(_xlfn.XLOOKUP($E3,$AY:$AY,$AZ:$AZ,"-",0)=BF1,$E3,"-")</f>
        <v>-</v>
      </c>
      <c r="BG3" s="58">
        <f t="shared" ref="BG3:BG8" si="1">+$F3</f>
        <v>2</v>
      </c>
      <c r="BH3" s="59">
        <f t="shared" ref="BH3:BH8" si="2">+$G3</f>
        <v>1</v>
      </c>
      <c r="BI3" s="57" t="str">
        <f>+IF(_xlfn.XLOOKUP($H3,$AY:$AY,$AZ:$AZ,"-",0)=BF1,$H3,"-")</f>
        <v>-</v>
      </c>
      <c r="BK3" s="26" t="str">
        <f>+O3</f>
        <v>Mexico</v>
      </c>
      <c r="BL3" s="26">
        <f>+COUNTIFS($BE:$BE,"OK",$BI:$BI,BK3)+COUNTIFS($BE:$BE,"OK",$BF:$BF,BK3)</f>
        <v>0</v>
      </c>
      <c r="BM3" s="24">
        <f>+COUNTIFS(J:J,$BK3,$BE:$BE,"OK")</f>
        <v>0</v>
      </c>
      <c r="BN3" s="24">
        <f>+COUNTIFS(K:K,$BK3,$BE:$BE,"OK")+COUNTIFS(L:L,$BK3,$BE:$BE,"OK")</f>
        <v>0</v>
      </c>
      <c r="BO3" s="24">
        <f>+COUNTIFS(M:M,$BK3,$BE:$BE,"OK")</f>
        <v>0</v>
      </c>
      <c r="BP3" s="24">
        <f>+BQ3-BR3</f>
        <v>0</v>
      </c>
      <c r="BQ3" s="24">
        <f>+SUMIFS(BG:BG,$BE:$BE,"OK",BF:BF,$BK3)+SUMIFS(BH:BH,$BE:$BE,"OK",BI:BI,$BK3)</f>
        <v>0</v>
      </c>
      <c r="BR3" s="24">
        <f>+SUMIFS(BH:BH,$BE:$BE,"OK",BF:BF,$BK3)+SUMIFS(BG:BG,$BE:$BE,"OK",BI:BI,$BK3)</f>
        <v>0</v>
      </c>
      <c r="BS3" s="60">
        <f>+BM3*3+BN3*1+BP3/100+BQ3/10000</f>
        <v>0</v>
      </c>
      <c r="BT3" s="29">
        <f>+IF(BL3=0,0,_xlfn.XLOOKUP(BS3,BV3:BV6,BW3:BW6))</f>
        <v>0</v>
      </c>
      <c r="BU3" s="45"/>
      <c r="BV3" s="24">
        <f>+LARGE(BS3:BS6,1)</f>
        <v>0</v>
      </c>
      <c r="BW3" s="24">
        <f>+BX3/$BW$1</f>
        <v>0.3</v>
      </c>
      <c r="BX3" s="23">
        <v>3</v>
      </c>
      <c r="BY3" s="25" t="str">
        <f>+IF(OR(BZ3="-",CC3="-"),"-","OK")</f>
        <v>-</v>
      </c>
      <c r="BZ3" s="57" t="str">
        <f>+IF(_xlfn.XLOOKUP($E3,$AY:$AY,$AZ:$AZ,"-",0)=BZ1,$E3,"-")</f>
        <v>-</v>
      </c>
      <c r="CA3" s="58">
        <f t="shared" ref="CA3:CA8" si="3">+$F3</f>
        <v>2</v>
      </c>
      <c r="CB3" s="59">
        <f t="shared" ref="CB3:CB8" si="4">+$G3</f>
        <v>1</v>
      </c>
      <c r="CC3" s="57" t="str">
        <f>+IF(_xlfn.XLOOKUP($H3,$AY:$AY,$AZ:$AZ,"-",0)=BZ1,$H3,"-")</f>
        <v>-</v>
      </c>
      <c r="CE3" s="26" t="str">
        <f>+BK3</f>
        <v>Mexico</v>
      </c>
      <c r="CF3" s="26">
        <f>+COUNTIFS($BY:$BY,"OK",$CC:$CC,CE3)+COUNTIFS($BY:$BY,"OK",$BZ:$BZ,CE3)</f>
        <v>0</v>
      </c>
      <c r="CG3" s="24">
        <f>+COUNTIFS(P:P,$BK3,$BY:$BY,"OK")</f>
        <v>0</v>
      </c>
      <c r="CH3" s="24">
        <f>+COUNTIFS(K:K,$BK3,$BY:$BY,"OK")+COUNTIFS(L:L,$BK3,$BY:$BY,"OK")</f>
        <v>0</v>
      </c>
      <c r="CI3" s="24">
        <f>+COUNTIFS(M:M,$CE3,$BY:$BY,"OK")</f>
        <v>0</v>
      </c>
      <c r="CJ3" s="24">
        <f>+CK3-CL3</f>
        <v>0</v>
      </c>
      <c r="CK3" s="24">
        <f>+SUMIFS(CA:CA,$BY:$BY,"OK",BZ:BZ,$BK3)+SUMIFS(CB:CB,$BY:$BY,"OK",CC:CC,$BK3)</f>
        <v>0</v>
      </c>
      <c r="CL3" s="24">
        <f>+SUMIFS(CB:CB,$BY:$BY,"OK",BZ:BZ,$BK3)+SUMIFS(CA:CA,$BY:$BY,"OK",CC:CC,$BK3)</f>
        <v>0</v>
      </c>
      <c r="CM3" s="60">
        <f>+CG3*3+CH3*1+CJ3/100+CK3/10000</f>
        <v>0</v>
      </c>
      <c r="CN3" s="29">
        <f>+IF(CF3=0,0,_xlfn.XLOOKUP(CM3,CP3:CP6,CQ3:CQ6))</f>
        <v>0</v>
      </c>
      <c r="CO3" s="45"/>
      <c r="CP3" s="24">
        <f>+LARGE(CM3:CM6,1)</f>
        <v>0</v>
      </c>
      <c r="CQ3" s="24">
        <f>+CR3/$BW$1</f>
        <v>0.3</v>
      </c>
      <c r="CR3" s="23">
        <v>3</v>
      </c>
      <c r="CS3" s="30">
        <f>12*12</f>
        <v>144</v>
      </c>
      <c r="CV3" s="35" t="str">
        <f>+'Mejores 3eros'!AP3</f>
        <v>Bosnia</v>
      </c>
      <c r="CW3" s="36" t="str">
        <f>+_xlfn.XLOOKUP(CV3,'Mejores 3eros'!$BD$2:$BD$13,'Mejores 3eros'!$BG$2:$BG$13,"-",0)</f>
        <v>OUT</v>
      </c>
      <c r="CX3" s="37" t="s">
        <v>116</v>
      </c>
    </row>
    <row r="4" spans="1:102" x14ac:dyDescent="0.2">
      <c r="A4" s="38" t="s">
        <v>118</v>
      </c>
      <c r="B4" s="39">
        <v>46184</v>
      </c>
      <c r="C4" s="40"/>
      <c r="D4" s="41"/>
      <c r="E4" s="42" t="s">
        <v>68</v>
      </c>
      <c r="F4" s="43">
        <v>1</v>
      </c>
      <c r="G4" s="43">
        <v>1</v>
      </c>
      <c r="H4" s="44" t="s">
        <v>79</v>
      </c>
      <c r="J4" s="24" t="str">
        <f t="shared" ref="J4:J8" si="5">IF(OR(ISBLANK(F4),ISBLANK(G4)),"",IF(F4&gt;G4,E4,IF(G4&gt;F4,H4,"")))</f>
        <v/>
      </c>
      <c r="K4" s="24" t="str">
        <f t="shared" ref="K4:K8" si="6">IF(OR(ISBLANK(F4),ISBLANK(G4)),"",IF(F4=G4,E4,""))</f>
        <v>Corea del Sur</v>
      </c>
      <c r="L4" s="24" t="str">
        <f t="shared" ref="L4:L8" si="7">IF(OR(ISBLANK(F4),ISBLANK(G4)),"",IF(F4=G4,H4,""))</f>
        <v>Repubilca Checa</v>
      </c>
      <c r="M4" s="24" t="str">
        <f t="shared" ref="M4:M8" si="8">IF(OR(ISBLANK(F4),ISBLANK(G4)),"",IF(F4&lt;G4,E4,IF(G4&lt;F4,H4,"")))</f>
        <v/>
      </c>
      <c r="O4" s="26" t="str">
        <f>+H3</f>
        <v>Sudafrica</v>
      </c>
      <c r="P4" s="24">
        <f>+COUNTIF(J3:J8,"="&amp;$O4)</f>
        <v>0</v>
      </c>
      <c r="Q4" s="24">
        <f>+COUNTIF(K3:L8,"="&amp;$O4)</f>
        <v>0</v>
      </c>
      <c r="R4" s="24">
        <f>+COUNTIF(M3:M8,"="&amp;$O4)</f>
        <v>3</v>
      </c>
      <c r="S4" s="24">
        <f t="shared" ref="S4:S6" si="9">+T4-U4</f>
        <v>-5</v>
      </c>
      <c r="T4" s="24">
        <f>+SUMIF(E3:E8,$O4,F3:F8)+SUMIF(H3:H8,$O4,G3:G8)</f>
        <v>1</v>
      </c>
      <c r="U4" s="24">
        <f>+SUMIF(E3:E8,$O4,G3:G8)+SUMIF(H3:H8,$O4,F3:F8)</f>
        <v>6</v>
      </c>
      <c r="V4" s="45">
        <f t="shared" ref="V4:V6" si="10">+P4*3+Q4*1+BT4+CN4+S4/1000+T4/10000+AV4/1000000+ROW()/10000000</f>
        <v>-4.8995999999999996E-3</v>
      </c>
      <c r="W4" s="26" t="str">
        <f t="shared" ref="W4:W6" si="11">+O4</f>
        <v>Sudafrica</v>
      </c>
      <c r="Y4" s="61" t="str">
        <f>+CONCATENATE("2",RIGHT(E2,1))</f>
        <v>2A</v>
      </c>
      <c r="Z4" s="62" t="str">
        <f>+VLOOKUP(AL4,V3:W6,2,FALSE)</f>
        <v>Repubilca Checa</v>
      </c>
      <c r="AA4" s="63">
        <f t="shared" ref="AA4:AA6" si="12">+SUM(AB4:AD4)</f>
        <v>3</v>
      </c>
      <c r="AB4" s="64">
        <f t="shared" si="0"/>
        <v>1</v>
      </c>
      <c r="AC4" s="64">
        <f t="shared" si="0"/>
        <v>2</v>
      </c>
      <c r="AD4" s="64">
        <f t="shared" si="0"/>
        <v>0</v>
      </c>
      <c r="AE4" s="64">
        <f t="shared" si="0"/>
        <v>1</v>
      </c>
      <c r="AF4" s="64">
        <f t="shared" si="0"/>
        <v>3</v>
      </c>
      <c r="AG4" s="64">
        <f t="shared" si="0"/>
        <v>2</v>
      </c>
      <c r="AH4" s="65">
        <f>+VLOOKUP($Z4,$O$3:$V$6,COLUMN()-26,FALSE)</f>
        <v>5.0013006000000004</v>
      </c>
      <c r="AI4" s="51"/>
      <c r="AL4" s="45">
        <f>+LARGE(V3:V6,2)</f>
        <v>5.0013006000000004</v>
      </c>
      <c r="AM4" s="52">
        <f t="shared" ref="AM4:AM6" si="13">+(AH4-AL4)*100000000000000000000</f>
        <v>0</v>
      </c>
      <c r="AP4" s="53" t="str">
        <f>+O4</f>
        <v>Sudafrica</v>
      </c>
      <c r="AQ4" s="23">
        <f>+P4*3+Q4*1+BT4+CN4+S4/1000+T4/10000</f>
        <v>-4.8999999999999998E-3</v>
      </c>
      <c r="AR4" s="23" t="b">
        <f>+IF(OR(AQ4=AQ5,AQ4=AQ6),1)</f>
        <v>0</v>
      </c>
      <c r="AS4" s="54">
        <f t="shared" ref="AS4:AS6" si="14">+AV4</f>
        <v>0</v>
      </c>
      <c r="AT4" s="54">
        <f>+IF(AND(AM7="si",OR(AR3=1,AR4=1,AR5=1)),1,0)</f>
        <v>0</v>
      </c>
      <c r="AU4" s="66" t="str">
        <f t="shared" ref="AU4:AU6" si="15">+O4</f>
        <v>Sudafrica</v>
      </c>
      <c r="AV4" s="67"/>
      <c r="AX4" s="23" t="str">
        <f>+Y2</f>
        <v>Grupo A</v>
      </c>
      <c r="AY4" s="24" t="str">
        <f t="shared" ref="AY4:AY6" si="16">+O4</f>
        <v>Sudafrica</v>
      </c>
      <c r="AZ4" s="29">
        <f t="shared" ref="AZ4:AZ6" si="17">+P4*3+Q4</f>
        <v>0</v>
      </c>
      <c r="BA4" s="29">
        <f>+COUNTIFS($AX$1:AX4,AX4,$AZ$1:AZ4,AZ4)</f>
        <v>1</v>
      </c>
      <c r="BB4" s="29">
        <f>+IF(AZ4=BF1,ROW()*0.001,AZ4)</f>
        <v>0</v>
      </c>
      <c r="BC4" s="29">
        <f>+COUNTIFS($AX$1:AZ4,AZ4,$AZ$1:BB4,BB4)</f>
        <v>1</v>
      </c>
      <c r="BD4" s="29"/>
      <c r="BE4" s="25" t="str">
        <f>+IF(OR(BF4="-",BI4="-",BF1=0),"-","OK")</f>
        <v>-</v>
      </c>
      <c r="BF4" s="57" t="str">
        <f>+IF(_xlfn.XLOOKUP($E4,$AY:$AY,$AZ:$AZ,"-",0)=BF1,$E4,"-")</f>
        <v>-</v>
      </c>
      <c r="BG4" s="58">
        <f t="shared" si="1"/>
        <v>1</v>
      </c>
      <c r="BH4" s="59">
        <f t="shared" si="2"/>
        <v>1</v>
      </c>
      <c r="BI4" s="57" t="str">
        <f>+IF(_xlfn.XLOOKUP($H4,$AY:$AY,$AZ:$AZ,"-",0)=BF1,$H4,"-")</f>
        <v>-</v>
      </c>
      <c r="BK4" s="26" t="str">
        <f t="shared" ref="BK4:BK6" si="18">+O4</f>
        <v>Sudafrica</v>
      </c>
      <c r="BL4" s="26">
        <f t="shared" ref="BL4:BL6" si="19">+COUNTIFS($BE:$BE,"OK",$BI:$BI,BK4)+COUNTIFS($BE:$BE,"OK",$BF:$BF,BK4)</f>
        <v>0</v>
      </c>
      <c r="BM4" s="24">
        <f t="shared" ref="BM4:BM6" si="20">+COUNTIFS(J:J,$BK4,$BE:$BE,"OK")</f>
        <v>0</v>
      </c>
      <c r="BN4" s="24">
        <f t="shared" ref="BN4:BN6" si="21">+COUNTIFS(K:K,$BK4,$BE:$BE,"OK")+COUNTIFS(L:L,$BK4,$BE:$BE,"OK")</f>
        <v>0</v>
      </c>
      <c r="BO4" s="24">
        <f t="shared" ref="BO4:BO6" si="22">+COUNTIFS(M:M,$BK4,$BE:$BE,"OK")</f>
        <v>0</v>
      </c>
      <c r="BP4" s="24">
        <f t="shared" ref="BP4:BP6" si="23">+BQ4-BR4</f>
        <v>0</v>
      </c>
      <c r="BQ4" s="24">
        <f>+SUMIFS(BG:BG,$BE:$BE,"OK",BF:BF,$BK4)+SUMIFS(BH:BH,$BE:$BE,"OK",BI:BI,$BK4)</f>
        <v>0</v>
      </c>
      <c r="BR4" s="24">
        <f t="shared" ref="BR4:BR6" si="24">+SUMIFS(BH:BH,$BE:$BE,"OK",BF:BF,$BK4)+SUMIFS(BG:BG,$BE:$BE,"OK",BI:BI,$BK4)</f>
        <v>0</v>
      </c>
      <c r="BS4" s="60">
        <f t="shared" ref="BS4:BS6" si="25">+BM4*3+BN4*1+BP4/100+BQ4/10000</f>
        <v>0</v>
      </c>
      <c r="BT4" s="29">
        <f>+IF(BL4=0,0,_xlfn.XLOOKUP(BS4,BV3:BV6,BW3:BW6))</f>
        <v>0</v>
      </c>
      <c r="BU4" s="45"/>
      <c r="BV4" s="24">
        <f>+LARGE(BS3:BS6,2)</f>
        <v>0</v>
      </c>
      <c r="BW4" s="24">
        <f>+BX4/$BW$1</f>
        <v>0.2</v>
      </c>
      <c r="BX4" s="23">
        <v>2</v>
      </c>
      <c r="BY4" s="25" t="str">
        <f t="shared" ref="BY4:BY8" si="26">+IF(OR(BZ4="-",CC4="-"),"-","OK")</f>
        <v>-</v>
      </c>
      <c r="BZ4" s="57" t="str">
        <f>+IF(_xlfn.XLOOKUP($E4,$AY:$AY,$AZ:$AZ,"-",0)=BZ1,$E4,"-")</f>
        <v>-</v>
      </c>
      <c r="CA4" s="58">
        <f t="shared" si="3"/>
        <v>1</v>
      </c>
      <c r="CB4" s="59">
        <f t="shared" si="4"/>
        <v>1</v>
      </c>
      <c r="CC4" s="57" t="str">
        <f>+IF(_xlfn.XLOOKUP($H4,$AY:$AY,$AZ:$AZ,"-",0)=BZ1,$H4,"-")</f>
        <v>-</v>
      </c>
      <c r="CE4" s="26" t="str">
        <f t="shared" ref="CE4:CE6" si="27">+BK4</f>
        <v>Sudafrica</v>
      </c>
      <c r="CF4" s="26">
        <f t="shared" ref="CF4:CF6" si="28">+COUNTIFS($BY:$BY,"OK",$CC:$CC,CE4)+COUNTIFS($BY:$BY,"OK",$BZ:$BZ,CE4)</f>
        <v>0</v>
      </c>
      <c r="CG4" s="24">
        <f t="shared" ref="CG4:CG6" si="29">+COUNTIFS(P:P,$BK4,$BY:$BY,"OK")</f>
        <v>0</v>
      </c>
      <c r="CH4" s="24">
        <f t="shared" ref="CH4:CH6" si="30">+COUNTIFS(K:K,$BK4,$BY:$BY,"OK")+COUNTIFS(L:L,$BK4,$BY:$BY,"OK")</f>
        <v>0</v>
      </c>
      <c r="CI4" s="24">
        <f t="shared" ref="CI4:CI6" si="31">+COUNTIFS(M:M,$CE4,$BY:$BY,"OK")</f>
        <v>0</v>
      </c>
      <c r="CJ4" s="24">
        <f t="shared" ref="CJ4:CJ6" si="32">+CK4-CL4</f>
        <v>0</v>
      </c>
      <c r="CK4" s="24">
        <f t="shared" ref="CK4:CK6" si="33">+SUMIFS(CA:CA,$BY:$BY,"OK",BZ:BZ,$BK4)+SUMIFS(CB:CB,$BY:$BY,"OK",CC:CC,$BK4)</f>
        <v>0</v>
      </c>
      <c r="CL4" s="24">
        <f t="shared" ref="CL4:CL6" si="34">+SUMIFS(CB:CB,$BY:$BY,"OK",BZ:BZ,$BK4)+SUMIFS(CA:CA,$BY:$BY,"OK",CC:CC,$BK4)</f>
        <v>0</v>
      </c>
      <c r="CM4" s="60">
        <f t="shared" ref="CM4:CM6" si="35">+CG4*3+CH4*1+CJ4/100+CK4/10000</f>
        <v>0</v>
      </c>
      <c r="CN4" s="29">
        <f>+IF(CF4=0,0,_xlfn.XLOOKUP(CM4,CP3:CP6,CQ3:CQ6))</f>
        <v>0</v>
      </c>
      <c r="CO4" s="45"/>
      <c r="CP4" s="24">
        <f>+LARGE(CM3:CM6,2)</f>
        <v>0</v>
      </c>
      <c r="CQ4" s="24">
        <f>+CR4/$BW$1</f>
        <v>0.2</v>
      </c>
      <c r="CR4" s="23">
        <v>2</v>
      </c>
      <c r="CS4" s="30" t="str">
        <f>+IF(CS2=CS3,"OK","-")</f>
        <v>OK</v>
      </c>
      <c r="CV4" s="35" t="str">
        <f>+'Mejores 3eros'!AP4</f>
        <v>Escocia</v>
      </c>
      <c r="CW4" s="36" t="str">
        <f>+_xlfn.XLOOKUP(CV4,'Mejores 3eros'!$BD$2:$BD$13,'Mejores 3eros'!$BG$2:$BG$13,"-",0)</f>
        <v>OUT</v>
      </c>
      <c r="CX4" s="37"/>
    </row>
    <row r="5" spans="1:102" x14ac:dyDescent="0.2">
      <c r="A5" s="38" t="s">
        <v>119</v>
      </c>
      <c r="B5" s="39">
        <v>46191</v>
      </c>
      <c r="C5" s="40"/>
      <c r="D5" s="41"/>
      <c r="E5" s="42" t="s">
        <v>79</v>
      </c>
      <c r="F5" s="43">
        <v>1</v>
      </c>
      <c r="G5" s="43">
        <v>0</v>
      </c>
      <c r="H5" s="44" t="s">
        <v>82</v>
      </c>
      <c r="J5" s="24" t="str">
        <f t="shared" si="5"/>
        <v>Repubilca Checa</v>
      </c>
      <c r="K5" s="24" t="str">
        <f t="shared" si="6"/>
        <v/>
      </c>
      <c r="L5" s="24" t="str">
        <f t="shared" si="7"/>
        <v/>
      </c>
      <c r="M5" s="24" t="str">
        <f t="shared" si="8"/>
        <v>Sudafrica</v>
      </c>
      <c r="O5" s="26" t="str">
        <f>+E4</f>
        <v>Corea del Sur</v>
      </c>
      <c r="P5" s="24">
        <f>+COUNTIF(J3:J8,"="&amp;$O5)</f>
        <v>2</v>
      </c>
      <c r="Q5" s="24">
        <f>+COUNTIF(K3:L8,"="&amp;$O5)</f>
        <v>1</v>
      </c>
      <c r="R5" s="24">
        <f>+COUNTIF(M3:M8,"="&amp;$O5)</f>
        <v>0</v>
      </c>
      <c r="S5" s="24">
        <f t="shared" si="9"/>
        <v>4</v>
      </c>
      <c r="T5" s="24">
        <f>+SUMIF(E3:E8,$O5,F3:F8)+SUMIF(H3:H8,$O5,G3:G8)</f>
        <v>6</v>
      </c>
      <c r="U5" s="24">
        <f>+SUMIF(E3:E8,$O5,G3:G8)+SUMIF(H3:H8,$O5,F3:F8)</f>
        <v>2</v>
      </c>
      <c r="V5" s="45">
        <f t="shared" si="10"/>
        <v>7.0046004999999996</v>
      </c>
      <c r="W5" s="26" t="str">
        <f t="shared" si="11"/>
        <v>Corea del Sur</v>
      </c>
      <c r="Y5" s="68" t="str">
        <f>+CONCATENATE("3",RIGHT(E2,1))</f>
        <v>3A</v>
      </c>
      <c r="Z5" s="69" t="str">
        <f>+VLOOKUP(AL5,V3:W6,2,FALSE)</f>
        <v>Mexico</v>
      </c>
      <c r="AA5" s="70">
        <f t="shared" si="12"/>
        <v>3</v>
      </c>
      <c r="AB5" s="71">
        <f t="shared" si="0"/>
        <v>1</v>
      </c>
      <c r="AC5" s="71">
        <f t="shared" si="0"/>
        <v>1</v>
      </c>
      <c r="AD5" s="71">
        <f t="shared" si="0"/>
        <v>1</v>
      </c>
      <c r="AE5" s="71">
        <f t="shared" si="0"/>
        <v>0</v>
      </c>
      <c r="AF5" s="71">
        <f t="shared" si="0"/>
        <v>4</v>
      </c>
      <c r="AG5" s="71">
        <f t="shared" si="0"/>
        <v>4</v>
      </c>
      <c r="AH5" s="72">
        <f>+VLOOKUP($Z5,$O$3:$V$6,COLUMN()-26,FALSE)</f>
        <v>4.0004002999999999</v>
      </c>
      <c r="AI5" s="73">
        <f>+(COUNTIFS($CV$2:$CV$13,Z5,$CX$2:$CX$13,"IN")+COUNTIFS($CV$2:$CV$13,Z5,$CW$2:$CW$13,"IN"))*IF(SUM(AA3:AA6)=12,1,0)</f>
        <v>1</v>
      </c>
      <c r="AL5" s="45">
        <f>+LARGE(V3:V6,3)</f>
        <v>4.0004002999999999</v>
      </c>
      <c r="AM5" s="52">
        <f t="shared" si="13"/>
        <v>0</v>
      </c>
      <c r="AP5" s="53" t="str">
        <f>+O5</f>
        <v>Corea del Sur</v>
      </c>
      <c r="AQ5" s="23">
        <f>+P5*3+Q5*1+BT5+CN5+S5/1000+T5/10000</f>
        <v>7.0045999999999999</v>
      </c>
      <c r="AR5" s="23" t="b">
        <f>+IF(OR(AQ5=AQ6),1)</f>
        <v>0</v>
      </c>
      <c r="AS5" s="54">
        <f t="shared" si="14"/>
        <v>0</v>
      </c>
      <c r="AT5" s="54">
        <f>+IF(AND(AM7="si",OR(AR3=1,AR4=1,AR5=1)),1,0)</f>
        <v>0</v>
      </c>
      <c r="AU5" s="66" t="str">
        <f t="shared" si="15"/>
        <v>Corea del Sur</v>
      </c>
      <c r="AV5" s="67"/>
      <c r="AX5" s="23" t="str">
        <f>+Y2</f>
        <v>Grupo A</v>
      </c>
      <c r="AY5" s="24" t="str">
        <f t="shared" si="16"/>
        <v>Corea del Sur</v>
      </c>
      <c r="AZ5" s="29">
        <f t="shared" si="17"/>
        <v>7</v>
      </c>
      <c r="BA5" s="29">
        <f>+COUNTIFS($AX$1:AX5,AX5,$AZ$1:AZ5,AZ5)</f>
        <v>1</v>
      </c>
      <c r="BB5" s="29">
        <f>+IF(AZ5=BF1,ROW()*0.001,AZ5)</f>
        <v>7</v>
      </c>
      <c r="BC5" s="29">
        <f>+COUNTIFS($AX$1:AZ5,AZ5,$AZ$1:BB5,BB5)</f>
        <v>1</v>
      </c>
      <c r="BD5" s="29"/>
      <c r="BE5" s="25" t="str">
        <f>+IF(OR(BF5="-",BI5="-",BF1=0),"-","OK")</f>
        <v>-</v>
      </c>
      <c r="BF5" s="57" t="str">
        <f>+IF(_xlfn.XLOOKUP($E5,$AY:$AY,$AZ:$AZ,"-",0)=BF1,$E5,"-")</f>
        <v>-</v>
      </c>
      <c r="BG5" s="58">
        <f t="shared" si="1"/>
        <v>1</v>
      </c>
      <c r="BH5" s="59">
        <f t="shared" si="2"/>
        <v>0</v>
      </c>
      <c r="BI5" s="57" t="str">
        <f>+IF(_xlfn.XLOOKUP($H5,$AY:$AY,$AZ:$AZ,"-",0)=BF1,$H5,"-")</f>
        <v>-</v>
      </c>
      <c r="BK5" s="26" t="str">
        <f t="shared" si="18"/>
        <v>Corea del Sur</v>
      </c>
      <c r="BL5" s="26">
        <f t="shared" si="19"/>
        <v>0</v>
      </c>
      <c r="BM5" s="24">
        <f t="shared" si="20"/>
        <v>0</v>
      </c>
      <c r="BN5" s="24">
        <f t="shared" si="21"/>
        <v>0</v>
      </c>
      <c r="BO5" s="24">
        <f t="shared" si="22"/>
        <v>0</v>
      </c>
      <c r="BP5" s="24">
        <f t="shared" si="23"/>
        <v>0</v>
      </c>
      <c r="BQ5" s="24">
        <f>+SUMIFS(BG:BG,$BE:$BE,"OK",BF:BF,$BK5)+SUMIFS(BH:BH,$BE:$BE,"OK",BI:BI,$BK5)</f>
        <v>0</v>
      </c>
      <c r="BR5" s="24">
        <f t="shared" si="24"/>
        <v>0</v>
      </c>
      <c r="BS5" s="60">
        <f t="shared" si="25"/>
        <v>0</v>
      </c>
      <c r="BT5" s="29">
        <f>+IF(BL5=0,0,_xlfn.XLOOKUP(BS5,BV3:BV6,BW3:BW6))</f>
        <v>0</v>
      </c>
      <c r="BU5" s="45"/>
      <c r="BV5" s="24">
        <f>+LARGE(BS3:BS6,3)</f>
        <v>0</v>
      </c>
      <c r="BW5" s="24">
        <f>+BX5/$BW$1</f>
        <v>0.1</v>
      </c>
      <c r="BX5" s="23">
        <v>1</v>
      </c>
      <c r="BY5" s="25" t="str">
        <f t="shared" si="26"/>
        <v>-</v>
      </c>
      <c r="BZ5" s="57" t="str">
        <f>+IF(_xlfn.XLOOKUP($E5,$AY:$AY,$AZ:$AZ,"-",0)=BZ1,$E5,"-")</f>
        <v>-</v>
      </c>
      <c r="CA5" s="58">
        <f t="shared" si="3"/>
        <v>1</v>
      </c>
      <c r="CB5" s="59">
        <f t="shared" si="4"/>
        <v>0</v>
      </c>
      <c r="CC5" s="57" t="str">
        <f>+IF(_xlfn.XLOOKUP($H5,$AY:$AY,$AZ:$AZ,"-",0)=BZ1,$H5,"-")</f>
        <v>-</v>
      </c>
      <c r="CE5" s="26" t="str">
        <f t="shared" si="27"/>
        <v>Corea del Sur</v>
      </c>
      <c r="CF5" s="26">
        <f t="shared" si="28"/>
        <v>0</v>
      </c>
      <c r="CG5" s="24">
        <f t="shared" si="29"/>
        <v>0</v>
      </c>
      <c r="CH5" s="24">
        <f t="shared" si="30"/>
        <v>0</v>
      </c>
      <c r="CI5" s="24">
        <f t="shared" si="31"/>
        <v>0</v>
      </c>
      <c r="CJ5" s="24">
        <f t="shared" si="32"/>
        <v>0</v>
      </c>
      <c r="CK5" s="24">
        <f t="shared" si="33"/>
        <v>0</v>
      </c>
      <c r="CL5" s="24">
        <f t="shared" si="34"/>
        <v>0</v>
      </c>
      <c r="CM5" s="60">
        <f t="shared" si="35"/>
        <v>0</v>
      </c>
      <c r="CN5" s="29">
        <f>+IF(CF5=0,0,_xlfn.XLOOKUP(CM5,CP3:CP6,CQ3:CQ6))</f>
        <v>0</v>
      </c>
      <c r="CO5" s="45"/>
      <c r="CP5" s="24">
        <f>+LARGE(CM3:CM6,3)</f>
        <v>0</v>
      </c>
      <c r="CQ5" s="24">
        <f>+CR5/$BW$1</f>
        <v>0.1</v>
      </c>
      <c r="CR5" s="23">
        <v>1</v>
      </c>
      <c r="CV5" s="35" t="str">
        <f>+'Mejores 3eros'!AP5</f>
        <v>Paraguay</v>
      </c>
      <c r="CW5" s="36" t="str">
        <f>+_xlfn.XLOOKUP(CV5,'Mejores 3eros'!$BD$2:$BD$13,'Mejores 3eros'!$BG$2:$BG$13,"-",0)</f>
        <v>IN</v>
      </c>
      <c r="CX5" s="37" t="s">
        <v>116</v>
      </c>
    </row>
    <row r="6" spans="1:102" x14ac:dyDescent="0.2">
      <c r="A6" s="38" t="s">
        <v>120</v>
      </c>
      <c r="B6" s="39">
        <v>46191</v>
      </c>
      <c r="C6" s="40"/>
      <c r="D6" s="41"/>
      <c r="E6" s="42" t="s">
        <v>62</v>
      </c>
      <c r="F6" s="43">
        <v>1</v>
      </c>
      <c r="G6" s="43">
        <v>2</v>
      </c>
      <c r="H6" s="44" t="s">
        <v>68</v>
      </c>
      <c r="J6" s="24" t="str">
        <f t="shared" si="5"/>
        <v>Corea del Sur</v>
      </c>
      <c r="K6" s="24" t="str">
        <f t="shared" si="6"/>
        <v/>
      </c>
      <c r="L6" s="24" t="str">
        <f t="shared" si="7"/>
        <v/>
      </c>
      <c r="M6" s="24" t="str">
        <f t="shared" si="8"/>
        <v>Mexico</v>
      </c>
      <c r="O6" s="26" t="str">
        <f>+H4</f>
        <v>Repubilca Checa</v>
      </c>
      <c r="P6" s="24">
        <f>+COUNTIF(J3:J8,"="&amp;$O6)</f>
        <v>1</v>
      </c>
      <c r="Q6" s="24">
        <f>+COUNTIF(K3:L8,"="&amp;$O6)</f>
        <v>2</v>
      </c>
      <c r="R6" s="24">
        <f>+COUNTIF(M3:M8,"="&amp;$O6)</f>
        <v>0</v>
      </c>
      <c r="S6" s="24">
        <f t="shared" si="9"/>
        <v>1</v>
      </c>
      <c r="T6" s="24">
        <f>+SUMIF(E3:E8,$O6,F3:F8)+SUMIF(H3:H8,$O6,G3:G8)</f>
        <v>3</v>
      </c>
      <c r="U6" s="24">
        <f>+SUMIF(E3:E8,$O6,G3:G8)+SUMIF(H3:H8,$O6,F3:F8)</f>
        <v>2</v>
      </c>
      <c r="V6" s="45">
        <f t="shared" si="10"/>
        <v>5.0013006000000004</v>
      </c>
      <c r="W6" s="26" t="str">
        <f t="shared" si="11"/>
        <v>Repubilca Checa</v>
      </c>
      <c r="Y6" s="74" t="str">
        <f>+CONCATENATE("4",RIGHT(E2,1))</f>
        <v>4A</v>
      </c>
      <c r="Z6" s="75" t="str">
        <f>+VLOOKUP(AL6,V3:W6,2,FALSE)</f>
        <v>Sudafrica</v>
      </c>
      <c r="AA6" s="76">
        <f t="shared" si="12"/>
        <v>3</v>
      </c>
      <c r="AB6" s="77">
        <f t="shared" si="0"/>
        <v>0</v>
      </c>
      <c r="AC6" s="77">
        <f t="shared" si="0"/>
        <v>0</v>
      </c>
      <c r="AD6" s="77">
        <f t="shared" si="0"/>
        <v>3</v>
      </c>
      <c r="AE6" s="77">
        <f t="shared" si="0"/>
        <v>-5</v>
      </c>
      <c r="AF6" s="77">
        <f t="shared" si="0"/>
        <v>1</v>
      </c>
      <c r="AG6" s="77">
        <f t="shared" si="0"/>
        <v>6</v>
      </c>
      <c r="AH6" s="78">
        <f>+VLOOKUP($Z6,$O$3:$V$6,COLUMN()-26,FALSE)</f>
        <v>-4.8995999999999996E-3</v>
      </c>
      <c r="AI6" s="73"/>
      <c r="AL6" s="45">
        <f>+LARGE(V3:V6,4)</f>
        <v>-4.8995999999999996E-3</v>
      </c>
      <c r="AM6" s="52">
        <f t="shared" si="13"/>
        <v>0</v>
      </c>
      <c r="AP6" s="53" t="str">
        <f>+O6</f>
        <v>Repubilca Checa</v>
      </c>
      <c r="AQ6" s="23">
        <f>+P6*3+Q6*1+BT6+CN6+S6/1000+T6/10000</f>
        <v>5.0013000000000005</v>
      </c>
      <c r="AS6" s="54">
        <f t="shared" si="14"/>
        <v>0</v>
      </c>
      <c r="AT6" s="54">
        <f>+IF(AND(AM7="si",OR(AR3=1,AR4=1,AR5=1)),1,0)</f>
        <v>0</v>
      </c>
      <c r="AU6" s="79" t="str">
        <f t="shared" si="15"/>
        <v>Repubilca Checa</v>
      </c>
      <c r="AV6" s="80"/>
      <c r="AX6" s="23" t="str">
        <f>+Y2</f>
        <v>Grupo A</v>
      </c>
      <c r="AY6" s="24" t="str">
        <f t="shared" si="16"/>
        <v>Repubilca Checa</v>
      </c>
      <c r="AZ6" s="29">
        <f t="shared" si="17"/>
        <v>5</v>
      </c>
      <c r="BA6" s="29">
        <f>+COUNTIFS($AX$1:AX6,AX6,$AZ$1:AZ6,AZ6)</f>
        <v>1</v>
      </c>
      <c r="BB6" s="29">
        <f>+IF(AZ6=BF1,ROW()*0.001,AZ6)</f>
        <v>5</v>
      </c>
      <c r="BC6" s="29">
        <f>+COUNTIFS($AX$1:AZ6,AZ6,$AZ$1:BB6,BB6)</f>
        <v>1</v>
      </c>
      <c r="BD6" s="29"/>
      <c r="BE6" s="25" t="str">
        <f>+IF(OR(BF6="-",BI6="-",BF1=0),"-","OK")</f>
        <v>-</v>
      </c>
      <c r="BF6" s="57" t="str">
        <f>+IF(_xlfn.XLOOKUP($E6,$AY:$AY,$AZ:$AZ,"-",0)=BF1,$E6,"-")</f>
        <v>-</v>
      </c>
      <c r="BG6" s="58">
        <f t="shared" si="1"/>
        <v>1</v>
      </c>
      <c r="BH6" s="59">
        <f t="shared" si="2"/>
        <v>2</v>
      </c>
      <c r="BI6" s="57" t="str">
        <f>+IF(_xlfn.XLOOKUP($H6,$AY:$AY,$AZ:$AZ,"-",0)=BF1,$H6,"-")</f>
        <v>-</v>
      </c>
      <c r="BK6" s="26" t="str">
        <f t="shared" si="18"/>
        <v>Repubilca Checa</v>
      </c>
      <c r="BL6" s="26">
        <f t="shared" si="19"/>
        <v>0</v>
      </c>
      <c r="BM6" s="24">
        <f t="shared" si="20"/>
        <v>0</v>
      </c>
      <c r="BN6" s="24">
        <f t="shared" si="21"/>
        <v>0</v>
      </c>
      <c r="BO6" s="24">
        <f t="shared" si="22"/>
        <v>0</v>
      </c>
      <c r="BP6" s="24">
        <f t="shared" si="23"/>
        <v>0</v>
      </c>
      <c r="BQ6" s="24">
        <f>+SUMIFS(BG:BG,$BE:$BE,"OK",BF:BF,$BK6)+SUMIFS(BH:BH,$BE:$BE,"OK",BI:BI,$BK6)</f>
        <v>0</v>
      </c>
      <c r="BR6" s="24">
        <f t="shared" si="24"/>
        <v>0</v>
      </c>
      <c r="BS6" s="60">
        <f t="shared" si="25"/>
        <v>0</v>
      </c>
      <c r="BT6" s="29">
        <f>+IF(BL6=0,0,_xlfn.XLOOKUP(BS6,BV3:BV6,BW3:BW6))</f>
        <v>0</v>
      </c>
      <c r="BU6" s="45"/>
      <c r="BV6" s="24">
        <f>+LARGE(BS3:BS6,4)</f>
        <v>0</v>
      </c>
      <c r="BW6" s="24">
        <f>+BX6/$BW$1</f>
        <v>0</v>
      </c>
      <c r="BX6" s="23">
        <v>0</v>
      </c>
      <c r="BY6" s="25" t="str">
        <f t="shared" si="26"/>
        <v>-</v>
      </c>
      <c r="BZ6" s="57" t="str">
        <f>+IF(_xlfn.XLOOKUP($E6,$AY:$AY,$AZ:$AZ,"-",0)=BZ1,$E6,"-")</f>
        <v>-</v>
      </c>
      <c r="CA6" s="58">
        <f t="shared" si="3"/>
        <v>1</v>
      </c>
      <c r="CB6" s="59">
        <f t="shared" si="4"/>
        <v>2</v>
      </c>
      <c r="CC6" s="57" t="str">
        <f>+IF(_xlfn.XLOOKUP($H6,$AY:$AY,$AZ:$AZ,"-",0)=BZ1,$H6,"-")</f>
        <v>-</v>
      </c>
      <c r="CE6" s="26" t="str">
        <f t="shared" si="27"/>
        <v>Repubilca Checa</v>
      </c>
      <c r="CF6" s="26">
        <f t="shared" si="28"/>
        <v>0</v>
      </c>
      <c r="CG6" s="24">
        <f t="shared" si="29"/>
        <v>0</v>
      </c>
      <c r="CH6" s="24">
        <f t="shared" si="30"/>
        <v>0</v>
      </c>
      <c r="CI6" s="24">
        <f t="shared" si="31"/>
        <v>0</v>
      </c>
      <c r="CJ6" s="24">
        <f t="shared" si="32"/>
        <v>0</v>
      </c>
      <c r="CK6" s="24">
        <f t="shared" si="33"/>
        <v>0</v>
      </c>
      <c r="CL6" s="24">
        <f t="shared" si="34"/>
        <v>0</v>
      </c>
      <c r="CM6" s="60">
        <f t="shared" si="35"/>
        <v>0</v>
      </c>
      <c r="CN6" s="29">
        <f>+IF(CF6=0,0,_xlfn.XLOOKUP(CM6,CP3:CP6,CQ3:CQ6))</f>
        <v>0</v>
      </c>
      <c r="CO6" s="45"/>
      <c r="CP6" s="24">
        <f>+LARGE(CM3:CM6,4)</f>
        <v>0</v>
      </c>
      <c r="CQ6" s="24">
        <f>+CR6/$BW$1</f>
        <v>0</v>
      </c>
      <c r="CR6" s="23">
        <v>0</v>
      </c>
      <c r="CV6" s="35" t="str">
        <f>+'Mejores 3eros'!AP6</f>
        <v>Costa de Marfil</v>
      </c>
      <c r="CW6" s="36" t="str">
        <f>+_xlfn.XLOOKUP(CV6,'Mejores 3eros'!$BD$2:$BD$13,'Mejores 3eros'!$BG$2:$BG$13,"-",0)</f>
        <v>IN</v>
      </c>
      <c r="CX6" s="37" t="s">
        <v>116</v>
      </c>
    </row>
    <row r="7" spans="1:102" x14ac:dyDescent="0.2">
      <c r="A7" s="38" t="s">
        <v>121</v>
      </c>
      <c r="B7" s="39">
        <v>46197</v>
      </c>
      <c r="C7" s="40"/>
      <c r="D7" s="41"/>
      <c r="E7" s="42" t="s">
        <v>79</v>
      </c>
      <c r="F7" s="43">
        <v>1</v>
      </c>
      <c r="G7" s="43">
        <v>1</v>
      </c>
      <c r="H7" s="44" t="s">
        <v>62</v>
      </c>
      <c r="J7" s="24" t="str">
        <f t="shared" si="5"/>
        <v/>
      </c>
      <c r="K7" s="24" t="str">
        <f t="shared" si="6"/>
        <v>Repubilca Checa</v>
      </c>
      <c r="L7" s="24" t="str">
        <f t="shared" si="7"/>
        <v>Mexico</v>
      </c>
      <c r="M7" s="24" t="str">
        <f t="shared" si="8"/>
        <v/>
      </c>
      <c r="AL7" s="25" t="s">
        <v>122</v>
      </c>
      <c r="AM7" s="52" t="str">
        <f>+IF(SUM(AA3:AA6)=12,"si","no")</f>
        <v>si</v>
      </c>
      <c r="BE7" s="25" t="str">
        <f>+IF(OR(BF7="-",BI7="-",BF1=0),"-","OK")</f>
        <v>-</v>
      </c>
      <c r="BF7" s="57" t="str">
        <f>+IF(_xlfn.XLOOKUP($E7,$AY:$AY,$AZ:$AZ,"-",0)=BF1,$E7,"-")</f>
        <v>-</v>
      </c>
      <c r="BG7" s="58">
        <f t="shared" si="1"/>
        <v>1</v>
      </c>
      <c r="BH7" s="59">
        <f t="shared" si="2"/>
        <v>1</v>
      </c>
      <c r="BI7" s="57" t="str">
        <f>+IF(_xlfn.XLOOKUP($H7,$AY:$AY,$AZ:$AZ,"-",0)=BF1,$H7,"-")</f>
        <v>-</v>
      </c>
      <c r="BY7" s="25" t="str">
        <f t="shared" si="26"/>
        <v>-</v>
      </c>
      <c r="BZ7" s="57" t="str">
        <f>+IF(_xlfn.XLOOKUP($E7,$AY:$AY,$AZ:$AZ,"-",0)=BZ1,$E7,"-")</f>
        <v>-</v>
      </c>
      <c r="CA7" s="58">
        <f t="shared" si="3"/>
        <v>1</v>
      </c>
      <c r="CB7" s="59">
        <f t="shared" si="4"/>
        <v>1</v>
      </c>
      <c r="CC7" s="57" t="str">
        <f>+IF(_xlfn.XLOOKUP($H7,$AY:$AY,$AZ:$AZ,"-",0)=BZ1,$H7,"-")</f>
        <v>-</v>
      </c>
      <c r="CV7" s="35" t="str">
        <f>+'Mejores 3eros'!AP7</f>
        <v>Japon</v>
      </c>
      <c r="CW7" s="36" t="str">
        <f>+_xlfn.XLOOKUP(CV7,'Mejores 3eros'!$BD$2:$BD$13,'Mejores 3eros'!$BG$2:$BG$13,"-",0)</f>
        <v>IN</v>
      </c>
      <c r="CX7" s="37" t="s">
        <v>116</v>
      </c>
    </row>
    <row r="8" spans="1:102" x14ac:dyDescent="0.2">
      <c r="A8" s="38" t="s">
        <v>123</v>
      </c>
      <c r="B8" s="39">
        <v>46197</v>
      </c>
      <c r="C8" s="40"/>
      <c r="D8" s="41"/>
      <c r="E8" s="42" t="s">
        <v>82</v>
      </c>
      <c r="F8" s="43">
        <v>0</v>
      </c>
      <c r="G8" s="43">
        <v>3</v>
      </c>
      <c r="H8" s="44" t="s">
        <v>68</v>
      </c>
      <c r="J8" s="24" t="str">
        <f t="shared" si="5"/>
        <v>Corea del Sur</v>
      </c>
      <c r="K8" s="24" t="str">
        <f t="shared" si="6"/>
        <v/>
      </c>
      <c r="L8" s="24" t="str">
        <f t="shared" si="7"/>
        <v/>
      </c>
      <c r="M8" s="24" t="str">
        <f t="shared" si="8"/>
        <v>Sudafrica</v>
      </c>
      <c r="Y8" s="53" t="s">
        <v>124</v>
      </c>
      <c r="AR8" s="23">
        <f>+IF(AND(AM7="si",OR(AR3=1,AR4=1,AR5=1)),1,0)</f>
        <v>0</v>
      </c>
      <c r="BE8" s="25" t="str">
        <f>+IF(OR(BF8="-",BI8="-",BF1=0),"-","OK")</f>
        <v>-</v>
      </c>
      <c r="BF8" s="57" t="str">
        <f>+IF(_xlfn.XLOOKUP($E8,$AY:$AY,$AZ:$AZ,"-",0)=BF1,$E8,"-")</f>
        <v>-</v>
      </c>
      <c r="BG8" s="58">
        <f t="shared" si="1"/>
        <v>0</v>
      </c>
      <c r="BH8" s="59">
        <f t="shared" si="2"/>
        <v>3</v>
      </c>
      <c r="BI8" s="57" t="str">
        <f>+IF(_xlfn.XLOOKUP($H8,$AY:$AY,$AZ:$AZ,"-",0)=BF1,$H8,"-")</f>
        <v>-</v>
      </c>
      <c r="BY8" s="25" t="str">
        <f t="shared" si="26"/>
        <v>-</v>
      </c>
      <c r="BZ8" s="57" t="str">
        <f>+IF(_xlfn.XLOOKUP($E8,$AY:$AY,$AZ:$AZ,"-",0)=BZ1,$E8,"-")</f>
        <v>-</v>
      </c>
      <c r="CA8" s="58">
        <f t="shared" si="3"/>
        <v>0</v>
      </c>
      <c r="CB8" s="59">
        <f t="shared" si="4"/>
        <v>3</v>
      </c>
      <c r="CC8" s="57" t="str">
        <f>+IF(_xlfn.XLOOKUP($H8,$AY:$AY,$AZ:$AZ,"-",0)=BZ1,$H8,"-")</f>
        <v>-</v>
      </c>
      <c r="CV8" s="35" t="str">
        <f>+'Mejores 3eros'!AP8</f>
        <v>Iran</v>
      </c>
      <c r="CW8" s="36" t="str">
        <f>+_xlfn.XLOOKUP(CV8,'Mejores 3eros'!$BD$2:$BD$13,'Mejores 3eros'!$BG$2:$BG$13,"-",0)</f>
        <v>IN</v>
      </c>
      <c r="CX8" s="37" t="s">
        <v>116</v>
      </c>
    </row>
    <row r="9" spans="1:102" s="83" customFormat="1" x14ac:dyDescent="0.2">
      <c r="A9" s="81"/>
      <c r="B9" s="82"/>
      <c r="C9" s="81"/>
      <c r="E9" s="84"/>
      <c r="F9" s="81"/>
      <c r="G9" s="81"/>
      <c r="H9" s="85"/>
      <c r="J9" s="81"/>
      <c r="K9" s="81"/>
      <c r="L9" s="81"/>
      <c r="M9" s="81"/>
      <c r="AV9" s="86"/>
      <c r="AW9" s="86"/>
      <c r="BE9" s="81"/>
      <c r="CV9" s="35" t="str">
        <f>+'Mejores 3eros'!AP9</f>
        <v>Cabo Verde</v>
      </c>
      <c r="CW9" s="36" t="str">
        <f>+_xlfn.XLOOKUP(CV9,'Mejores 3eros'!$BD$2:$BD$13,'Mejores 3eros'!$BG$2:$BG$13,"-",0)</f>
        <v>OUT</v>
      </c>
      <c r="CX9" s="37" t="s">
        <v>116</v>
      </c>
    </row>
    <row r="10" spans="1:102" x14ac:dyDescent="0.2">
      <c r="A10" s="23"/>
      <c r="BF10" s="28">
        <f>+IF(BA12&gt;1,AZ12,IF(BA13&gt;1,AZ13,IF(BA14&gt;1,AZ14,IF(BA15&gt;1,AZ15,"-"))))</f>
        <v>1</v>
      </c>
      <c r="BW10" s="23">
        <v>10</v>
      </c>
      <c r="BZ10" s="29">
        <f>+IF(BC12&gt;1,BB12,IF(BC13&gt;1,BB13,IF(BC14&gt;1,BB14,IF(BC15&gt;1,BB15,"-"))))</f>
        <v>7</v>
      </c>
      <c r="CQ10" s="23">
        <v>10</v>
      </c>
      <c r="CV10" s="35" t="str">
        <f>+'Mejores 3eros'!AP10</f>
        <v>Senegal</v>
      </c>
      <c r="CW10" s="36" t="str">
        <f>+_xlfn.XLOOKUP(CV10,'Mejores 3eros'!$BD$2:$BD$13,'Mejores 3eros'!$BG$2:$BG$13,"-",0)</f>
        <v>IN</v>
      </c>
      <c r="CX10" s="37"/>
    </row>
    <row r="11" spans="1:102" x14ac:dyDescent="0.2">
      <c r="A11" s="295" t="s">
        <v>100</v>
      </c>
      <c r="B11" s="296" t="s">
        <v>101</v>
      </c>
      <c r="C11" s="296" t="s">
        <v>102</v>
      </c>
      <c r="D11" s="297"/>
      <c r="E11" s="298" t="s">
        <v>125</v>
      </c>
      <c r="F11" s="299"/>
      <c r="G11" s="299"/>
      <c r="H11" s="300"/>
      <c r="J11" s="24" t="s">
        <v>104</v>
      </c>
      <c r="K11" s="24" t="s">
        <v>105</v>
      </c>
      <c r="L11" s="24" t="s">
        <v>105</v>
      </c>
      <c r="M11" s="24" t="s">
        <v>106</v>
      </c>
      <c r="O11" s="26" t="str">
        <f>+E11</f>
        <v>Grupo B</v>
      </c>
      <c r="P11" s="24" t="s">
        <v>104</v>
      </c>
      <c r="Q11" s="24" t="s">
        <v>105</v>
      </c>
      <c r="R11" s="24" t="s">
        <v>106</v>
      </c>
      <c r="S11" s="24" t="s">
        <v>107</v>
      </c>
      <c r="T11" s="24" t="s">
        <v>108</v>
      </c>
      <c r="U11" s="24" t="s">
        <v>109</v>
      </c>
      <c r="V11" s="24" t="s">
        <v>0</v>
      </c>
      <c r="W11" s="24"/>
      <c r="Y11" s="498" t="s">
        <v>125</v>
      </c>
      <c r="Z11" s="499"/>
      <c r="AA11" s="301" t="s">
        <v>110</v>
      </c>
      <c r="AB11" s="302" t="s">
        <v>104</v>
      </c>
      <c r="AC11" s="302" t="s">
        <v>105</v>
      </c>
      <c r="AD11" s="302" t="s">
        <v>106</v>
      </c>
      <c r="AE11" s="302" t="s">
        <v>107</v>
      </c>
      <c r="AF11" s="302" t="s">
        <v>108</v>
      </c>
      <c r="AG11" s="302" t="s">
        <v>109</v>
      </c>
      <c r="AH11" s="303" t="s">
        <v>0</v>
      </c>
      <c r="AI11" s="87"/>
      <c r="AL11" s="24" t="s">
        <v>0</v>
      </c>
      <c r="AM11" s="24" t="s">
        <v>111</v>
      </c>
      <c r="AN11" s="24"/>
      <c r="AO11" s="24"/>
      <c r="AP11" s="24"/>
      <c r="AQ11" s="24"/>
      <c r="AR11" s="24"/>
      <c r="AS11" s="24"/>
      <c r="AT11" s="24"/>
      <c r="AU11" s="24"/>
      <c r="AY11" s="24" t="s">
        <v>112</v>
      </c>
      <c r="AZ11" s="24" t="s">
        <v>0</v>
      </c>
      <c r="BA11" s="24" t="s">
        <v>113</v>
      </c>
      <c r="BB11" s="24"/>
      <c r="BC11" s="24"/>
      <c r="BD11" s="24"/>
      <c r="BK11" s="26"/>
      <c r="BL11" s="26" t="s">
        <v>110</v>
      </c>
      <c r="BM11" s="24" t="s">
        <v>104</v>
      </c>
      <c r="BN11" s="24" t="s">
        <v>105</v>
      </c>
      <c r="BO11" s="24" t="s">
        <v>106</v>
      </c>
      <c r="BP11" s="24" t="s">
        <v>107</v>
      </c>
      <c r="BQ11" s="24" t="s">
        <v>108</v>
      </c>
      <c r="BR11" s="24" t="s">
        <v>109</v>
      </c>
      <c r="BS11" s="24" t="s">
        <v>0</v>
      </c>
      <c r="BT11" s="24" t="s">
        <v>114</v>
      </c>
      <c r="BU11" s="24"/>
      <c r="BV11" s="24" t="s">
        <v>115</v>
      </c>
      <c r="BW11" s="24" t="s">
        <v>114</v>
      </c>
      <c r="CE11" s="26"/>
      <c r="CF11" s="26" t="s">
        <v>110</v>
      </c>
      <c r="CG11" s="24" t="s">
        <v>104</v>
      </c>
      <c r="CH11" s="24" t="s">
        <v>105</v>
      </c>
      <c r="CI11" s="24" t="s">
        <v>106</v>
      </c>
      <c r="CJ11" s="24" t="s">
        <v>107</v>
      </c>
      <c r="CK11" s="24" t="s">
        <v>108</v>
      </c>
      <c r="CL11" s="24" t="s">
        <v>109</v>
      </c>
      <c r="CM11" s="24" t="s">
        <v>0</v>
      </c>
      <c r="CN11" s="24" t="s">
        <v>114</v>
      </c>
      <c r="CO11" s="24"/>
      <c r="CP11" s="24" t="s">
        <v>115</v>
      </c>
      <c r="CQ11" s="24" t="s">
        <v>114</v>
      </c>
      <c r="CV11" s="35" t="str">
        <f>+'Mejores 3eros'!AP11</f>
        <v>Argelia</v>
      </c>
      <c r="CW11" s="36" t="str">
        <f>+_xlfn.XLOOKUP(CV11,'Mejores 3eros'!$BD$2:$BD$13,'Mejores 3eros'!$BG$2:$BG$13,"-",0)</f>
        <v>IN</v>
      </c>
      <c r="CX11" s="37" t="s">
        <v>116</v>
      </c>
    </row>
    <row r="12" spans="1:102" x14ac:dyDescent="0.2">
      <c r="A12" s="38" t="s">
        <v>126</v>
      </c>
      <c r="B12" s="39">
        <v>46185</v>
      </c>
      <c r="C12" s="40"/>
      <c r="D12" s="41"/>
      <c r="E12" s="42" t="s">
        <v>76</v>
      </c>
      <c r="F12" s="43">
        <v>2</v>
      </c>
      <c r="G12" s="43">
        <v>0</v>
      </c>
      <c r="H12" s="44" t="s">
        <v>84</v>
      </c>
      <c r="J12" s="24" t="str">
        <f>IF(OR(ISBLANK(F12),ISBLANK(G12)),"",IF(F12&gt;G12,E12,IF(G12&gt;F12,H12,"")))</f>
        <v>Canada</v>
      </c>
      <c r="K12" s="24" t="str">
        <f>IF(OR(ISBLANK(F12),ISBLANK(G12)),"",IF(F12=G12,E12,""))</f>
        <v/>
      </c>
      <c r="L12" s="24" t="str">
        <f>IF(OR(ISBLANK(F12),ISBLANK(G12)),"",IF(F12=G12,H12,""))</f>
        <v/>
      </c>
      <c r="M12" s="24" t="str">
        <f>IF(OR(ISBLANK(F12),ISBLANK(G12)),"",IF(F12&lt;G12,E12,IF(G12&lt;F12,H12,"")))</f>
        <v>Bosnia</v>
      </c>
      <c r="O12" s="26" t="str">
        <f>+E12</f>
        <v>Canada</v>
      </c>
      <c r="P12" s="24">
        <f>+COUNTIF(J12:J17,"="&amp;$O12)</f>
        <v>2</v>
      </c>
      <c r="Q12" s="24">
        <f>+COUNTIF(K12:L17,"="&amp;$O12)</f>
        <v>1</v>
      </c>
      <c r="R12" s="24">
        <f>+COUNTIF(M12:M17,"="&amp;$O12)</f>
        <v>0</v>
      </c>
      <c r="S12" s="24">
        <f>+T12-U12</f>
        <v>5</v>
      </c>
      <c r="T12" s="24">
        <f t="shared" ref="T12" si="36">+SUMIF(E12:E17,$O12,F12:F17)+SUMIF(H12:H17,$O12,G12:G17)</f>
        <v>6</v>
      </c>
      <c r="U12" s="24">
        <f t="shared" ref="U12" si="37">+SUMIF(E12:E17,$O12,G12:G17)+SUMIF(H12:H17,$O12,F12:F17)</f>
        <v>1</v>
      </c>
      <c r="V12" s="45">
        <f>+P12*3+Q12*1+BT12+CN12+S12/1000+T12/10000+AV12/1000000+ROW()/10000000</f>
        <v>7.3056011999999999</v>
      </c>
      <c r="W12" s="26" t="str">
        <f>+O12</f>
        <v>Canada</v>
      </c>
      <c r="Y12" s="46" t="str">
        <f>+CONCATENATE("1",RIGHT(E11,1))</f>
        <v>1B</v>
      </c>
      <c r="Z12" s="47" t="str">
        <f>+VLOOKUP(AL12,V12:W15,2,FALSE)</f>
        <v>Canada</v>
      </c>
      <c r="AA12" s="48">
        <f>+SUM(AB12:AD12)</f>
        <v>3</v>
      </c>
      <c r="AB12" s="49">
        <f t="shared" ref="AB12:AG15" si="38">+VLOOKUP($Z12,$O$12:$U$15,COLUMN()-26,FALSE)</f>
        <v>2</v>
      </c>
      <c r="AC12" s="49">
        <f t="shared" si="38"/>
        <v>1</v>
      </c>
      <c r="AD12" s="49">
        <f t="shared" si="38"/>
        <v>0</v>
      </c>
      <c r="AE12" s="49">
        <f t="shared" si="38"/>
        <v>5</v>
      </c>
      <c r="AF12" s="49">
        <f t="shared" si="38"/>
        <v>6</v>
      </c>
      <c r="AG12" s="49">
        <f t="shared" si="38"/>
        <v>1</v>
      </c>
      <c r="AH12" s="50">
        <f>+VLOOKUP($Z12,$O$12:$V$15,COLUMN()-26,FALSE)</f>
        <v>7.3056011999999999</v>
      </c>
      <c r="AI12" s="51"/>
      <c r="AL12" s="45">
        <f>+LARGE(V12:V15,1)</f>
        <v>7.3056011999999999</v>
      </c>
      <c r="AM12" s="52">
        <f>+(AH12-AL12)*100000000000000000000</f>
        <v>0</v>
      </c>
      <c r="AP12" s="53" t="str">
        <f>+O12</f>
        <v>Canada</v>
      </c>
      <c r="AQ12" s="23">
        <f>+P12*3+Q12*1+BT12+CN12+S12/1000+T12/10000</f>
        <v>7.3056000000000001</v>
      </c>
      <c r="AR12" s="23" t="b">
        <f>+IF(OR(AQ12=AQ13,AQ12=AQ14,AQ12=AQ15),1)</f>
        <v>0</v>
      </c>
      <c r="AS12" s="54">
        <f>+AV12</f>
        <v>0</v>
      </c>
      <c r="AT12" s="54">
        <f>+IF(AND(AM16="si",OR(AR12=1,AR13=1,AR14=1)),1,0)</f>
        <v>0</v>
      </c>
      <c r="AU12" s="55" t="str">
        <f>+O12</f>
        <v>Canada</v>
      </c>
      <c r="AV12" s="56"/>
      <c r="AX12" s="23" t="str">
        <f>+Y11</f>
        <v>Grupo B</v>
      </c>
      <c r="AY12" s="24" t="str">
        <f>+O12</f>
        <v>Canada</v>
      </c>
      <c r="AZ12" s="29">
        <f>+P12*3+Q12</f>
        <v>7</v>
      </c>
      <c r="BA12" s="29">
        <f>+COUNTIFS($AX$1:AX12,AX12,$AZ$1:AZ12,AZ12)</f>
        <v>1</v>
      </c>
      <c r="BB12" s="29">
        <f>+IF(AZ12=BF10,ROW()*0.001,AZ12)</f>
        <v>7</v>
      </c>
      <c r="BC12" s="29">
        <f>+COUNTIFS($AX$1:AZ12,AZ12,$AZ$1:BB12,BB12)</f>
        <v>2</v>
      </c>
      <c r="BD12" s="29"/>
      <c r="BE12" s="25" t="str">
        <f>+IF(OR(BF12="-",BI12="-",BF10=0),"-","OK")</f>
        <v>-</v>
      </c>
      <c r="BF12" s="57" t="str">
        <f>+IF(_xlfn.XLOOKUP($E12,$AY:$AY,$AZ:$AZ,"-",0)=BF10,$E12,"-")</f>
        <v>-</v>
      </c>
      <c r="BG12" s="58">
        <f t="shared" ref="BG12:BG17" si="39">+$F12</f>
        <v>2</v>
      </c>
      <c r="BH12" s="59">
        <f t="shared" ref="BH12:BH17" si="40">+$G12</f>
        <v>0</v>
      </c>
      <c r="BI12" s="57" t="str">
        <f>+IF(_xlfn.XLOOKUP($H12,$AY:$AY,$AZ:$AZ,"-",0)=BF10,$H12,"-")</f>
        <v>Bosnia</v>
      </c>
      <c r="BK12" s="26" t="str">
        <f>+O12</f>
        <v>Canada</v>
      </c>
      <c r="BL12" s="26">
        <f>+COUNTIFS($BE:$BE,"OK",$BI:$BI,BK12)+COUNTIFS($BE:$BE,"OK",$BF:$BF,BK12)</f>
        <v>0</v>
      </c>
      <c r="BM12" s="24">
        <f>+COUNTIFS(J:J,$BK12,$BE:$BE,"OK")</f>
        <v>0</v>
      </c>
      <c r="BN12" s="24">
        <f>+COUNTIFS(K:K,$BK12,$BE:$BE,"OK")+COUNTIFS(L:L,$BK12,$BE:$BE,"OK")</f>
        <v>0</v>
      </c>
      <c r="BO12" s="24">
        <f>+COUNTIFS(M:M,$BK12,$BE:$BE,"OK")</f>
        <v>0</v>
      </c>
      <c r="BP12" s="24">
        <f>+BQ12-BR12</f>
        <v>0</v>
      </c>
      <c r="BQ12" s="24">
        <f>+SUMIFS(BG:BG,$BE:$BE,"OK",BF:BF,$BK12)+SUMIFS(BH:BH,$BE:$BE,"OK",BI:BI,$BK12)</f>
        <v>0</v>
      </c>
      <c r="BR12" s="24">
        <f>+SUMIFS(BH:BH,$BE:$BE,"OK",BF:BF,$BK12)+SUMIFS(BG:BG,$BE:$BE,"OK",BI:BI,$BK12)</f>
        <v>0</v>
      </c>
      <c r="BS12" s="60">
        <f>+BM12*3+BN12*1+BP12/100+BQ12/10000</f>
        <v>0</v>
      </c>
      <c r="BT12" s="29">
        <f>+IF(BL12=0,0,_xlfn.XLOOKUP(BS12,BV12:BV15,BW12:BW15))</f>
        <v>0</v>
      </c>
      <c r="BU12" s="45"/>
      <c r="BV12" s="24">
        <f>+LARGE(BS12:BS15,1)</f>
        <v>1.0001</v>
      </c>
      <c r="BW12" s="24">
        <f>+BX12/$BW$1</f>
        <v>0.3</v>
      </c>
      <c r="BX12" s="23">
        <v>3</v>
      </c>
      <c r="BY12" s="25" t="str">
        <f>+IF(OR(BZ12="-",CC12="-"),"-","OK")</f>
        <v>-</v>
      </c>
      <c r="BZ12" s="57" t="str">
        <f>+IF(_xlfn.XLOOKUP($E12,$AY:$AY,$AZ:$AZ,"-",0)=BZ10,$E12,"-")</f>
        <v>Canada</v>
      </c>
      <c r="CA12" s="58">
        <f t="shared" ref="CA12:CA17" si="41">+$F12</f>
        <v>2</v>
      </c>
      <c r="CB12" s="59">
        <f t="shared" ref="CB12:CB17" si="42">+$G12</f>
        <v>0</v>
      </c>
      <c r="CC12" s="57" t="str">
        <f>+IF(_xlfn.XLOOKUP($H12,$AY:$AY,$AZ:$AZ,"-",0)=BZ10,$H12,"-")</f>
        <v>-</v>
      </c>
      <c r="CE12" s="26" t="str">
        <f>+BK12</f>
        <v>Canada</v>
      </c>
      <c r="CF12" s="26">
        <f>+COUNTIFS($BY:$BY,"OK",$CC:$CC,CE12)+COUNTIFS($BY:$BY,"OK",$BZ:$BZ,CE12)</f>
        <v>1</v>
      </c>
      <c r="CG12" s="24">
        <f>+COUNTIFS(P:P,$BK12,$BY:$BY,"OK")</f>
        <v>0</v>
      </c>
      <c r="CH12" s="24">
        <f>+COUNTIFS(K:K,$BK12,$BY:$BY,"OK")+COUNTIFS(L:L,$BK12,$BY:$BY,"OK")</f>
        <v>1</v>
      </c>
      <c r="CI12" s="24">
        <f>+COUNTIFS(M:M,$CE12,$BY:$BY,"OK")</f>
        <v>0</v>
      </c>
      <c r="CJ12" s="24">
        <f>+CK12-CL12</f>
        <v>0</v>
      </c>
      <c r="CK12" s="24">
        <f>+SUMIFS(CA:CA,$BY:$BY,"OK",BZ:BZ,$BK12)+SUMIFS(CB:CB,$BY:$BY,"OK",CC:CC,$BK12)</f>
        <v>1</v>
      </c>
      <c r="CL12" s="24">
        <f>+SUMIFS(CB:CB,$BY:$BY,"OK",BZ:BZ,$BK12)+SUMIFS(CA:CA,$BY:$BY,"OK",CC:CC,$BK12)</f>
        <v>1</v>
      </c>
      <c r="CM12" s="60">
        <f>+CG12*3+CH12*1+CJ12/100+CK12/10000</f>
        <v>1.0001</v>
      </c>
      <c r="CN12" s="29">
        <f>+IF(CF12=0,0,_xlfn.XLOOKUP(CM12,CP12:CP15,CQ12:CQ15))</f>
        <v>0.3</v>
      </c>
      <c r="CO12" s="45"/>
      <c r="CP12" s="24">
        <f>+LARGE(CM12:CM15,1)</f>
        <v>1.0001</v>
      </c>
      <c r="CQ12" s="24">
        <f>+CR12/$BW$1</f>
        <v>0.3</v>
      </c>
      <c r="CR12" s="23">
        <v>3</v>
      </c>
      <c r="CV12" s="35" t="str">
        <f>+'Mejores 3eros'!AP12</f>
        <v>Congo</v>
      </c>
      <c r="CW12" s="36" t="str">
        <f>+_xlfn.XLOOKUP(CV12,'Mejores 3eros'!$BD$2:$BD$13,'Mejores 3eros'!$BG$2:$BG$13,"-",0)</f>
        <v>OUT</v>
      </c>
      <c r="CX12" s="37" t="s">
        <v>116</v>
      </c>
    </row>
    <row r="13" spans="1:102" ht="15" thickBot="1" x14ac:dyDescent="0.25">
      <c r="A13" s="38" t="s">
        <v>127</v>
      </c>
      <c r="B13" s="39">
        <v>46186</v>
      </c>
      <c r="C13" s="40"/>
      <c r="D13" s="41"/>
      <c r="E13" s="42" t="s">
        <v>89</v>
      </c>
      <c r="F13" s="43">
        <v>0</v>
      </c>
      <c r="G13" s="43">
        <v>2</v>
      </c>
      <c r="H13" s="44" t="s">
        <v>65</v>
      </c>
      <c r="J13" s="24" t="str">
        <f t="shared" ref="J13:J17" si="43">IF(OR(ISBLANK(F13),ISBLANK(G13)),"",IF(F13&gt;G13,E13,IF(G13&gt;F13,H13,"")))</f>
        <v>Suiza</v>
      </c>
      <c r="K13" s="24" t="str">
        <f t="shared" ref="K13:K17" si="44">IF(OR(ISBLANK(F13),ISBLANK(G13)),"",IF(F13=G13,E13,""))</f>
        <v/>
      </c>
      <c r="L13" s="24" t="str">
        <f t="shared" ref="L13:L17" si="45">IF(OR(ISBLANK(F13),ISBLANK(G13)),"",IF(F13=G13,H13,""))</f>
        <v/>
      </c>
      <c r="M13" s="24" t="str">
        <f t="shared" ref="M13:M17" si="46">IF(OR(ISBLANK(F13),ISBLANK(G13)),"",IF(F13&lt;G13,E13,IF(G13&lt;F13,H13,"")))</f>
        <v>Qatar</v>
      </c>
      <c r="O13" s="26" t="str">
        <f>+H12</f>
        <v>Bosnia</v>
      </c>
      <c r="P13" s="24">
        <f>+COUNTIF(J12:J17,"="&amp;$O13)</f>
        <v>0</v>
      </c>
      <c r="Q13" s="24">
        <f>+COUNTIF(K12:L17,"="&amp;$O13)</f>
        <v>1</v>
      </c>
      <c r="R13" s="24">
        <f>+COUNTIF(M12:M17,"="&amp;$O13)</f>
        <v>2</v>
      </c>
      <c r="S13" s="24">
        <f t="shared" ref="S13:S15" si="47">+T13-U13</f>
        <v>-4</v>
      </c>
      <c r="T13" s="24">
        <f t="shared" ref="T13" si="48">+SUMIF(E12:E17,$O13,F12:F17)+SUMIF(H12:H17,$O13,G12:G17)</f>
        <v>1</v>
      </c>
      <c r="U13" s="24">
        <f t="shared" ref="U13" si="49">+SUMIF(E12:E17,$O13,G12:G17)+SUMIF(H12:H17,$O13,F12:F17)</f>
        <v>5</v>
      </c>
      <c r="V13" s="45">
        <f t="shared" ref="V13:V15" si="50">+P13*3+Q13*1+BT13+CN13+S13/1000+T13/10000+AV13/1000000+ROW()/10000000</f>
        <v>1.2961013000000001</v>
      </c>
      <c r="W13" s="26" t="str">
        <f t="shared" ref="W13:W15" si="51">+O13</f>
        <v>Bosnia</v>
      </c>
      <c r="Y13" s="61" t="str">
        <f>+CONCATENATE("2",RIGHT(E11,1))</f>
        <v>2B</v>
      </c>
      <c r="Z13" s="62" t="str">
        <f>+VLOOKUP(AL13,V12:W15,2,FALSE)</f>
        <v>Suiza</v>
      </c>
      <c r="AA13" s="63">
        <f t="shared" ref="AA13:AA15" si="52">+SUM(AB13:AD13)</f>
        <v>3</v>
      </c>
      <c r="AB13" s="64">
        <f t="shared" si="38"/>
        <v>2</v>
      </c>
      <c r="AC13" s="64">
        <f t="shared" si="38"/>
        <v>1</v>
      </c>
      <c r="AD13" s="64">
        <f t="shared" si="38"/>
        <v>0</v>
      </c>
      <c r="AE13" s="64">
        <f t="shared" si="38"/>
        <v>4</v>
      </c>
      <c r="AF13" s="64">
        <f t="shared" si="38"/>
        <v>5</v>
      </c>
      <c r="AG13" s="64">
        <f t="shared" si="38"/>
        <v>1</v>
      </c>
      <c r="AH13" s="65">
        <f>+VLOOKUP($Z13,$O$12:$V$15,COLUMN()-26,FALSE)</f>
        <v>7.3045014999999989</v>
      </c>
      <c r="AI13" s="51"/>
      <c r="AL13" s="45">
        <f>+LARGE(V12:V15,2)</f>
        <v>7.3045014999999989</v>
      </c>
      <c r="AM13" s="52">
        <f t="shared" ref="AM13:AM15" si="53">+(AH13-AL13)*100000000000000000000</f>
        <v>0</v>
      </c>
      <c r="AP13" s="53" t="str">
        <f>+O13</f>
        <v>Bosnia</v>
      </c>
      <c r="AQ13" s="23">
        <f>+P13*3+Q13*1+BT13+CN13+S13/1000+T13/10000</f>
        <v>1.2961</v>
      </c>
      <c r="AR13" s="23" t="b">
        <f>+IF(OR(AQ13=AQ14,AQ13=AQ15),1)</f>
        <v>0</v>
      </c>
      <c r="AS13" s="54">
        <f t="shared" ref="AS13:AS15" si="54">+AV13</f>
        <v>0</v>
      </c>
      <c r="AT13" s="54">
        <f>+IF(AND(AM16="si",OR(AR12=1,AR13=1,AR14=1)),1,0)</f>
        <v>0</v>
      </c>
      <c r="AU13" s="66" t="str">
        <f t="shared" ref="AU13:AU15" si="55">+O13</f>
        <v>Bosnia</v>
      </c>
      <c r="AV13" s="67"/>
      <c r="AX13" s="23" t="str">
        <f>+Y11</f>
        <v>Grupo B</v>
      </c>
      <c r="AY13" s="24" t="str">
        <f t="shared" ref="AY13:AY15" si="56">+O13</f>
        <v>Bosnia</v>
      </c>
      <c r="AZ13" s="29">
        <f t="shared" ref="AZ13:AZ15" si="57">+P13*3+Q13</f>
        <v>1</v>
      </c>
      <c r="BA13" s="29">
        <f>+COUNTIFS($AX$1:AX13,AX13,$AZ$1:AZ13,AZ13)</f>
        <v>1</v>
      </c>
      <c r="BB13" s="29">
        <f>+IF(AZ13=BF10,ROW()*0.001,AZ13)</f>
        <v>1.3000000000000001E-2</v>
      </c>
      <c r="BC13" s="29">
        <f>+COUNTIFS($AX$1:AZ13,AZ13,$AZ$1:BB13,BB13)</f>
        <v>1</v>
      </c>
      <c r="BD13" s="29"/>
      <c r="BE13" s="25" t="str">
        <f>+IF(OR(BF13="-",BI13="-",BF10=0),"-","OK")</f>
        <v>-</v>
      </c>
      <c r="BF13" s="57" t="str">
        <f>+IF(_xlfn.XLOOKUP($E13,$AY:$AY,$AZ:$AZ,"-",0)=BF10,$E13,"-")</f>
        <v>Qatar</v>
      </c>
      <c r="BG13" s="58">
        <f t="shared" si="39"/>
        <v>0</v>
      </c>
      <c r="BH13" s="59">
        <f t="shared" si="40"/>
        <v>2</v>
      </c>
      <c r="BI13" s="57" t="str">
        <f>+IF(_xlfn.XLOOKUP($H13,$AY:$AY,$AZ:$AZ,"-",0)=BF10,$H13,"-")</f>
        <v>-</v>
      </c>
      <c r="BK13" s="26" t="str">
        <f t="shared" ref="BK13:BK15" si="58">+O13</f>
        <v>Bosnia</v>
      </c>
      <c r="BL13" s="26">
        <f t="shared" ref="BL13:BL15" si="59">+COUNTIFS($BE:$BE,"OK",$BI:$BI,BK13)+COUNTIFS($BE:$BE,"OK",$BF:$BF,BK13)</f>
        <v>1</v>
      </c>
      <c r="BM13" s="24">
        <f t="shared" ref="BM13:BM15" si="60">+COUNTIFS(J:J,$BK13,$BE:$BE,"OK")</f>
        <v>0</v>
      </c>
      <c r="BN13" s="24">
        <f t="shared" ref="BN13:BN15" si="61">+COUNTIFS(K:K,$BK13,$BE:$BE,"OK")+COUNTIFS(L:L,$BK13,$BE:$BE,"OK")</f>
        <v>1</v>
      </c>
      <c r="BO13" s="24">
        <f t="shared" ref="BO13:BO15" si="62">+COUNTIFS(M:M,$BK13,$BE:$BE,"OK")</f>
        <v>0</v>
      </c>
      <c r="BP13" s="24">
        <f t="shared" ref="BP13:BP15" si="63">+BQ13-BR13</f>
        <v>0</v>
      </c>
      <c r="BQ13" s="24">
        <f>+SUMIFS(BG:BG,$BE:$BE,"OK",BF:BF,$BK13)+SUMIFS(BH:BH,$BE:$BE,"OK",BI:BI,$BK13)</f>
        <v>1</v>
      </c>
      <c r="BR13" s="24">
        <f t="shared" ref="BR13:BR15" si="64">+SUMIFS(BH:BH,$BE:$BE,"OK",BF:BF,$BK13)+SUMIFS(BG:BG,$BE:$BE,"OK",BI:BI,$BK13)</f>
        <v>1</v>
      </c>
      <c r="BS13" s="60">
        <f t="shared" ref="BS13:BS15" si="65">+BM13*3+BN13*1+BP13/100+BQ13/10000</f>
        <v>1.0001</v>
      </c>
      <c r="BT13" s="29">
        <f>+IF(BL13=0,0,_xlfn.XLOOKUP(BS13,BV12:BV15,BW12:BW15))</f>
        <v>0.3</v>
      </c>
      <c r="BU13" s="45"/>
      <c r="BV13" s="24">
        <f>+LARGE(BS12:BS15,2)</f>
        <v>1.0001</v>
      </c>
      <c r="BW13" s="24">
        <f>+BX13/$BW$1</f>
        <v>0.2</v>
      </c>
      <c r="BX13" s="23">
        <v>2</v>
      </c>
      <c r="BY13" s="25" t="str">
        <f t="shared" ref="BY13:BY17" si="66">+IF(OR(BZ13="-",CC13="-"),"-","OK")</f>
        <v>-</v>
      </c>
      <c r="BZ13" s="57" t="str">
        <f>+IF(_xlfn.XLOOKUP($E13,$AY:$AY,$AZ:$AZ,"-",0)=BZ10,$E13,"-")</f>
        <v>-</v>
      </c>
      <c r="CA13" s="58">
        <f t="shared" si="41"/>
        <v>0</v>
      </c>
      <c r="CB13" s="59">
        <f t="shared" si="42"/>
        <v>2</v>
      </c>
      <c r="CC13" s="57" t="str">
        <f>+IF(_xlfn.XLOOKUP($H13,$AY:$AY,$AZ:$AZ,"-",0)=BZ10,$H13,"-")</f>
        <v>Suiza</v>
      </c>
      <c r="CE13" s="26" t="str">
        <f t="shared" ref="CE13:CE15" si="67">+BK13</f>
        <v>Bosnia</v>
      </c>
      <c r="CF13" s="26">
        <f t="shared" ref="CF13:CF15" si="68">+COUNTIFS($BY:$BY,"OK",$CC:$CC,CE13)+COUNTIFS($BY:$BY,"OK",$BZ:$BZ,CE13)</f>
        <v>0</v>
      </c>
      <c r="CG13" s="24">
        <f t="shared" ref="CG13:CG15" si="69">+COUNTIFS(P:P,$BK13,$BY:$BY,"OK")</f>
        <v>0</v>
      </c>
      <c r="CH13" s="24">
        <f t="shared" ref="CH13:CH15" si="70">+COUNTIFS(K:K,$BK13,$BY:$BY,"OK")+COUNTIFS(L:L,$BK13,$BY:$BY,"OK")</f>
        <v>0</v>
      </c>
      <c r="CI13" s="24">
        <f t="shared" ref="CI13:CI15" si="71">+COUNTIFS(M:M,$CE13,$BY:$BY,"OK")</f>
        <v>0</v>
      </c>
      <c r="CJ13" s="24">
        <f t="shared" ref="CJ13:CJ15" si="72">+CK13-CL13</f>
        <v>0</v>
      </c>
      <c r="CK13" s="24">
        <f t="shared" ref="CK13:CK15" si="73">+SUMIFS(CA:CA,$BY:$BY,"OK",BZ:BZ,$BK13)+SUMIFS(CB:CB,$BY:$BY,"OK",CC:CC,$BK13)</f>
        <v>0</v>
      </c>
      <c r="CL13" s="24">
        <f t="shared" ref="CL13:CL15" si="74">+SUMIFS(CB:CB,$BY:$BY,"OK",BZ:BZ,$BK13)+SUMIFS(CA:CA,$BY:$BY,"OK",CC:CC,$BK13)</f>
        <v>0</v>
      </c>
      <c r="CM13" s="60">
        <f t="shared" ref="CM13:CM15" si="75">+CG13*3+CH13*1+CJ13/100+CK13/10000</f>
        <v>0</v>
      </c>
      <c r="CN13" s="29">
        <f>+IF(CF13=0,0,_xlfn.XLOOKUP(CM13,CP12:CP15,CQ12:CQ15))</f>
        <v>0</v>
      </c>
      <c r="CO13" s="45"/>
      <c r="CP13" s="24">
        <f>+LARGE(CM12:CM15,2)</f>
        <v>1.0001</v>
      </c>
      <c r="CQ13" s="24">
        <f>+CR13/$BW$1</f>
        <v>0.2</v>
      </c>
      <c r="CR13" s="23">
        <v>2</v>
      </c>
      <c r="CV13" s="88" t="str">
        <f>+'Mejores 3eros'!AP13</f>
        <v>Ghana</v>
      </c>
      <c r="CW13" s="89" t="str">
        <f>+_xlfn.XLOOKUP(CV13,'Mejores 3eros'!$BD$2:$BD$13,'Mejores 3eros'!$BG$2:$BG$13,"-",0)</f>
        <v>IN</v>
      </c>
      <c r="CX13" s="90" t="s">
        <v>116</v>
      </c>
    </row>
    <row r="14" spans="1:102" x14ac:dyDescent="0.2">
      <c r="A14" s="38" t="s">
        <v>128</v>
      </c>
      <c r="B14" s="39">
        <v>46191</v>
      </c>
      <c r="C14" s="40"/>
      <c r="D14" s="41"/>
      <c r="E14" s="42" t="s">
        <v>65</v>
      </c>
      <c r="F14" s="43">
        <v>2</v>
      </c>
      <c r="G14" s="43">
        <v>0</v>
      </c>
      <c r="H14" s="44" t="s">
        <v>84</v>
      </c>
      <c r="J14" s="24" t="str">
        <f t="shared" si="43"/>
        <v>Suiza</v>
      </c>
      <c r="K14" s="24" t="str">
        <f t="shared" si="44"/>
        <v/>
      </c>
      <c r="L14" s="24" t="str">
        <f t="shared" si="45"/>
        <v/>
      </c>
      <c r="M14" s="24" t="str">
        <f t="shared" si="46"/>
        <v>Bosnia</v>
      </c>
      <c r="O14" s="26" t="str">
        <f>+E13</f>
        <v>Qatar</v>
      </c>
      <c r="P14" s="24">
        <f>+COUNTIF(J12:J17,"="&amp;$O14)</f>
        <v>0</v>
      </c>
      <c r="Q14" s="24">
        <f>+COUNTIF(K12:L17,"="&amp;$O14)</f>
        <v>1</v>
      </c>
      <c r="R14" s="24">
        <f>+COUNTIF(M12:M17,"="&amp;$O14)</f>
        <v>2</v>
      </c>
      <c r="S14" s="24">
        <f t="shared" si="47"/>
        <v>-5</v>
      </c>
      <c r="T14" s="24">
        <f t="shared" ref="T14" si="76">+SUMIF(E12:E17,$O14,F12:F17)+SUMIF(H12:H17,$O14,G12:G17)</f>
        <v>1</v>
      </c>
      <c r="U14" s="24">
        <f t="shared" ref="U14" si="77">+SUMIF(E12:E17,$O14,G12:G17)+SUMIF(H12:H17,$O14,F12:F17)</f>
        <v>6</v>
      </c>
      <c r="V14" s="45">
        <f t="shared" si="50"/>
        <v>1.2951014000000001</v>
      </c>
      <c r="W14" s="26" t="str">
        <f t="shared" si="51"/>
        <v>Qatar</v>
      </c>
      <c r="Y14" s="68" t="str">
        <f>+CONCATENATE("3",RIGHT(E11,1))</f>
        <v>3B</v>
      </c>
      <c r="Z14" s="69" t="str">
        <f>+VLOOKUP(AL14,V12:W15,2,FALSE)</f>
        <v>Bosnia</v>
      </c>
      <c r="AA14" s="70">
        <f t="shared" si="52"/>
        <v>3</v>
      </c>
      <c r="AB14" s="71">
        <f t="shared" si="38"/>
        <v>0</v>
      </c>
      <c r="AC14" s="71">
        <f t="shared" si="38"/>
        <v>1</v>
      </c>
      <c r="AD14" s="71">
        <f t="shared" si="38"/>
        <v>2</v>
      </c>
      <c r="AE14" s="71">
        <f t="shared" si="38"/>
        <v>-4</v>
      </c>
      <c r="AF14" s="71">
        <f t="shared" si="38"/>
        <v>1</v>
      </c>
      <c r="AG14" s="71">
        <f t="shared" si="38"/>
        <v>5</v>
      </c>
      <c r="AH14" s="72">
        <f>+VLOOKUP($Z14,$O$12:$V$15,COLUMN()-26,FALSE)</f>
        <v>1.2961013000000001</v>
      </c>
      <c r="AI14" s="73">
        <f>+(COUNTIFS($CV$2:$CV$13,Z14,$CX$2:$CX$13,"IN")+COUNTIFS($CV$2:$CV$13,Z14,$CW$2:$CW$13,"IN"))*IF(SUM(AA12:AA15)=12,1,0)</f>
        <v>0</v>
      </c>
      <c r="AL14" s="45">
        <f>+LARGE(V12:V15,3)</f>
        <v>1.2961013000000001</v>
      </c>
      <c r="AM14" s="52">
        <f t="shared" si="53"/>
        <v>0</v>
      </c>
      <c r="AP14" s="53" t="str">
        <f>+O14</f>
        <v>Qatar</v>
      </c>
      <c r="AQ14" s="23">
        <f>+P14*3+Q14*1+BT14+CN14+S14/1000+T14/10000</f>
        <v>1.2951000000000001</v>
      </c>
      <c r="AR14" s="23" t="b">
        <f>+IF(OR(AQ14=AQ15),1)</f>
        <v>0</v>
      </c>
      <c r="AS14" s="54">
        <f t="shared" si="54"/>
        <v>0</v>
      </c>
      <c r="AT14" s="54">
        <f>+IF(AND(AM16="si",OR(AR12=1,AR13=1,AR14=1)),1,0)</f>
        <v>0</v>
      </c>
      <c r="AU14" s="66" t="str">
        <f t="shared" si="55"/>
        <v>Qatar</v>
      </c>
      <c r="AV14" s="67"/>
      <c r="AX14" s="23" t="str">
        <f>+Y11</f>
        <v>Grupo B</v>
      </c>
      <c r="AY14" s="24" t="str">
        <f t="shared" si="56"/>
        <v>Qatar</v>
      </c>
      <c r="AZ14" s="29">
        <f t="shared" si="57"/>
        <v>1</v>
      </c>
      <c r="BA14" s="29">
        <f>+COUNTIFS($AX$1:AX14,AX14,$AZ$1:AZ14,AZ14)</f>
        <v>2</v>
      </c>
      <c r="BB14" s="29">
        <f>+IF(AZ14=BF10,ROW()*0.001,AZ14)</f>
        <v>1.4E-2</v>
      </c>
      <c r="BC14" s="29">
        <f>+COUNTIFS($AX$1:AZ14,AZ14,$AZ$1:BB14,BB14)</f>
        <v>1</v>
      </c>
      <c r="BD14" s="29"/>
      <c r="BE14" s="25" t="str">
        <f>+IF(OR(BF14="-",BI14="-",BF10=0),"-","OK")</f>
        <v>-</v>
      </c>
      <c r="BF14" s="57" t="str">
        <f>+IF(_xlfn.XLOOKUP($E14,$AY:$AY,$AZ:$AZ,"-",0)=BF10,$E14,"-")</f>
        <v>-</v>
      </c>
      <c r="BG14" s="58">
        <f t="shared" si="39"/>
        <v>2</v>
      </c>
      <c r="BH14" s="59">
        <f t="shared" si="40"/>
        <v>0</v>
      </c>
      <c r="BI14" s="57" t="str">
        <f>+IF(_xlfn.XLOOKUP($H14,$AY:$AY,$AZ:$AZ,"-",0)=BF10,$H14,"-")</f>
        <v>Bosnia</v>
      </c>
      <c r="BK14" s="26" t="str">
        <f t="shared" si="58"/>
        <v>Qatar</v>
      </c>
      <c r="BL14" s="26">
        <f t="shared" si="59"/>
        <v>1</v>
      </c>
      <c r="BM14" s="24">
        <f t="shared" si="60"/>
        <v>0</v>
      </c>
      <c r="BN14" s="24">
        <f t="shared" si="61"/>
        <v>1</v>
      </c>
      <c r="BO14" s="24">
        <f t="shared" si="62"/>
        <v>0</v>
      </c>
      <c r="BP14" s="24">
        <f t="shared" si="63"/>
        <v>0</v>
      </c>
      <c r="BQ14" s="24">
        <f>+SUMIFS(BG:BG,$BE:$BE,"OK",BF:BF,$BK14)+SUMIFS(BH:BH,$BE:$BE,"OK",BI:BI,$BK14)</f>
        <v>1</v>
      </c>
      <c r="BR14" s="24">
        <f t="shared" si="64"/>
        <v>1</v>
      </c>
      <c r="BS14" s="60">
        <f t="shared" si="65"/>
        <v>1.0001</v>
      </c>
      <c r="BT14" s="29">
        <f>+IF(BL14=0,0,_xlfn.XLOOKUP(BS14,BV12:BV15,BW12:BW15))</f>
        <v>0.3</v>
      </c>
      <c r="BU14" s="45"/>
      <c r="BV14" s="24">
        <f>+LARGE(BS12:BS15,3)</f>
        <v>0</v>
      </c>
      <c r="BW14" s="24">
        <f>+BX14/$BW$1</f>
        <v>0.1</v>
      </c>
      <c r="BX14" s="23">
        <v>1</v>
      </c>
      <c r="BY14" s="25" t="str">
        <f t="shared" si="66"/>
        <v>-</v>
      </c>
      <c r="BZ14" s="57" t="str">
        <f>+IF(_xlfn.XLOOKUP($E14,$AY:$AY,$AZ:$AZ,"-",0)=BZ10,$E14,"-")</f>
        <v>Suiza</v>
      </c>
      <c r="CA14" s="58">
        <f t="shared" si="41"/>
        <v>2</v>
      </c>
      <c r="CB14" s="59">
        <f t="shared" si="42"/>
        <v>0</v>
      </c>
      <c r="CC14" s="57" t="str">
        <f>+IF(_xlfn.XLOOKUP($H14,$AY:$AY,$AZ:$AZ,"-",0)=BZ10,$H14,"-")</f>
        <v>-</v>
      </c>
      <c r="CE14" s="26" t="str">
        <f t="shared" si="67"/>
        <v>Qatar</v>
      </c>
      <c r="CF14" s="26">
        <f t="shared" si="68"/>
        <v>0</v>
      </c>
      <c r="CG14" s="24">
        <f t="shared" si="69"/>
        <v>0</v>
      </c>
      <c r="CH14" s="24">
        <f t="shared" si="70"/>
        <v>0</v>
      </c>
      <c r="CI14" s="24">
        <f t="shared" si="71"/>
        <v>0</v>
      </c>
      <c r="CJ14" s="24">
        <f t="shared" si="72"/>
        <v>0</v>
      </c>
      <c r="CK14" s="24">
        <f t="shared" si="73"/>
        <v>0</v>
      </c>
      <c r="CL14" s="24">
        <f t="shared" si="74"/>
        <v>0</v>
      </c>
      <c r="CM14" s="60">
        <f t="shared" si="75"/>
        <v>0</v>
      </c>
      <c r="CN14" s="29">
        <f>+IF(CF14=0,0,_xlfn.XLOOKUP(CM14,CP12:CP15,CQ12:CQ15))</f>
        <v>0</v>
      </c>
      <c r="CO14" s="45"/>
      <c r="CP14" s="24">
        <f>+LARGE(CM12:CM15,3)</f>
        <v>0</v>
      </c>
      <c r="CQ14" s="24">
        <f>+CR14/$BW$1</f>
        <v>0.1</v>
      </c>
      <c r="CR14" s="23">
        <v>1</v>
      </c>
      <c r="CV14" s="91" t="str">
        <f>IF(CS4="OK",IF(COUNTIF($CW$2:$CX$13,"IN")&lt;8,"Missing INPUTS for BEST 3rd Places",IF(COUNTIF($CW$2:$CX$13,"IN")&gt;8,"Too many BEST 3rd Places","-")),"")</f>
        <v>-</v>
      </c>
      <c r="CW14" s="23"/>
    </row>
    <row r="15" spans="1:102" x14ac:dyDescent="0.2">
      <c r="A15" s="38" t="s">
        <v>129</v>
      </c>
      <c r="B15" s="39">
        <v>46191</v>
      </c>
      <c r="C15" s="40"/>
      <c r="D15" s="41"/>
      <c r="E15" s="42" t="s">
        <v>76</v>
      </c>
      <c r="F15" s="43">
        <v>3</v>
      </c>
      <c r="G15" s="43">
        <v>0</v>
      </c>
      <c r="H15" s="44" t="s">
        <v>89</v>
      </c>
      <c r="J15" s="24" t="str">
        <f t="shared" si="43"/>
        <v>Canada</v>
      </c>
      <c r="K15" s="24" t="str">
        <f t="shared" si="44"/>
        <v/>
      </c>
      <c r="L15" s="24" t="str">
        <f t="shared" si="45"/>
        <v/>
      </c>
      <c r="M15" s="24" t="str">
        <f t="shared" si="46"/>
        <v>Qatar</v>
      </c>
      <c r="O15" s="26" t="str">
        <f>+H13</f>
        <v>Suiza</v>
      </c>
      <c r="P15" s="24">
        <f>+COUNTIF(J12:J17,"="&amp;$O15)</f>
        <v>2</v>
      </c>
      <c r="Q15" s="24">
        <f>+COUNTIF(K12:L17,"="&amp;$O15)</f>
        <v>1</v>
      </c>
      <c r="R15" s="24">
        <f>+COUNTIF(M12:M17,"="&amp;$O15)</f>
        <v>0</v>
      </c>
      <c r="S15" s="24">
        <f t="shared" si="47"/>
        <v>4</v>
      </c>
      <c r="T15" s="24">
        <f t="shared" ref="T15" si="78">+SUMIF(E12:E17,$O15,F12:F17)+SUMIF(H12:H17,$O15,G12:G17)</f>
        <v>5</v>
      </c>
      <c r="U15" s="24">
        <f t="shared" ref="U15" si="79">+SUMIF(E12:E17,$O15,G12:G17)+SUMIF(H12:H17,$O15,F12:F17)</f>
        <v>1</v>
      </c>
      <c r="V15" s="45">
        <f t="shared" si="50"/>
        <v>7.3045014999999989</v>
      </c>
      <c r="W15" s="26" t="str">
        <f t="shared" si="51"/>
        <v>Suiza</v>
      </c>
      <c r="Y15" s="74" t="str">
        <f>+CONCATENATE("4",RIGHT(E11,1))</f>
        <v>4B</v>
      </c>
      <c r="Z15" s="75" t="str">
        <f>+VLOOKUP(AL15,V12:W15,2,FALSE)</f>
        <v>Qatar</v>
      </c>
      <c r="AA15" s="76">
        <f t="shared" si="52"/>
        <v>3</v>
      </c>
      <c r="AB15" s="77">
        <f t="shared" si="38"/>
        <v>0</v>
      </c>
      <c r="AC15" s="77">
        <f t="shared" si="38"/>
        <v>1</v>
      </c>
      <c r="AD15" s="77">
        <f t="shared" si="38"/>
        <v>2</v>
      </c>
      <c r="AE15" s="77">
        <f t="shared" si="38"/>
        <v>-5</v>
      </c>
      <c r="AF15" s="77">
        <f t="shared" si="38"/>
        <v>1</v>
      </c>
      <c r="AG15" s="77">
        <f t="shared" si="38"/>
        <v>6</v>
      </c>
      <c r="AH15" s="78">
        <f>+VLOOKUP($Z15,$O$12:$V$15,COLUMN()-26,FALSE)</f>
        <v>1.2951014000000001</v>
      </c>
      <c r="AI15" s="73"/>
      <c r="AL15" s="45">
        <f>+LARGE(V12:V15,4)</f>
        <v>1.2951014000000001</v>
      </c>
      <c r="AM15" s="52">
        <f t="shared" si="53"/>
        <v>0</v>
      </c>
      <c r="AP15" s="53" t="str">
        <f>+O15</f>
        <v>Suiza</v>
      </c>
      <c r="AQ15" s="23">
        <f>+P15*3+Q15*1+BT15+CN15+S15/1000+T15/10000</f>
        <v>7.3044999999999991</v>
      </c>
      <c r="AS15" s="54">
        <f t="shared" si="54"/>
        <v>0</v>
      </c>
      <c r="AT15" s="54">
        <f>+IF(AND(AM16="si",OR(AR12=1,AR13=1,AR14=1)),1,0)</f>
        <v>0</v>
      </c>
      <c r="AU15" s="79" t="str">
        <f t="shared" si="55"/>
        <v>Suiza</v>
      </c>
      <c r="AV15" s="80"/>
      <c r="AX15" s="23" t="str">
        <f>+Y11</f>
        <v>Grupo B</v>
      </c>
      <c r="AY15" s="24" t="str">
        <f t="shared" si="56"/>
        <v>Suiza</v>
      </c>
      <c r="AZ15" s="29">
        <f t="shared" si="57"/>
        <v>7</v>
      </c>
      <c r="BA15" s="29">
        <f>+COUNTIFS($AX$1:AX15,AX15,$AZ$1:AZ15,AZ15)</f>
        <v>2</v>
      </c>
      <c r="BB15" s="29">
        <f>+IF(AZ15=BF10,ROW()*0.001,AZ15)</f>
        <v>7</v>
      </c>
      <c r="BC15" s="29">
        <f>+COUNTIFS($AX$1:AZ15,AZ15,$AZ$1:BB15,BB15)</f>
        <v>3</v>
      </c>
      <c r="BD15" s="29"/>
      <c r="BE15" s="25" t="str">
        <f>+IF(OR(BF15="-",BI15="-",BF10=0),"-","OK")</f>
        <v>-</v>
      </c>
      <c r="BF15" s="57" t="str">
        <f>+IF(_xlfn.XLOOKUP($E15,$AY:$AY,$AZ:$AZ,"-",0)=BF10,$E15,"-")</f>
        <v>-</v>
      </c>
      <c r="BG15" s="58">
        <f t="shared" si="39"/>
        <v>3</v>
      </c>
      <c r="BH15" s="59">
        <f t="shared" si="40"/>
        <v>0</v>
      </c>
      <c r="BI15" s="57" t="str">
        <f>+IF(_xlfn.XLOOKUP($H15,$AY:$AY,$AZ:$AZ,"-",0)=BF10,$H15,"-")</f>
        <v>Qatar</v>
      </c>
      <c r="BK15" s="26" t="str">
        <f t="shared" si="58"/>
        <v>Suiza</v>
      </c>
      <c r="BL15" s="26">
        <f t="shared" si="59"/>
        <v>0</v>
      </c>
      <c r="BM15" s="24">
        <f t="shared" si="60"/>
        <v>0</v>
      </c>
      <c r="BN15" s="24">
        <f t="shared" si="61"/>
        <v>0</v>
      </c>
      <c r="BO15" s="24">
        <f t="shared" si="62"/>
        <v>0</v>
      </c>
      <c r="BP15" s="24">
        <f t="shared" si="63"/>
        <v>0</v>
      </c>
      <c r="BQ15" s="24">
        <f>+SUMIFS(BG:BG,$BE:$BE,"OK",BF:BF,$BK15)+SUMIFS(BH:BH,$BE:$BE,"OK",BI:BI,$BK15)</f>
        <v>0</v>
      </c>
      <c r="BR15" s="24">
        <f t="shared" si="64"/>
        <v>0</v>
      </c>
      <c r="BS15" s="60">
        <f t="shared" si="65"/>
        <v>0</v>
      </c>
      <c r="BT15" s="29">
        <f>+IF(BL15=0,0,_xlfn.XLOOKUP(BS15,BV12:BV15,BW12:BW15))</f>
        <v>0</v>
      </c>
      <c r="BU15" s="45"/>
      <c r="BV15" s="24">
        <f>+LARGE(BS12:BS15,4)</f>
        <v>0</v>
      </c>
      <c r="BW15" s="24">
        <f>+BX15/$BW$1</f>
        <v>0</v>
      </c>
      <c r="BX15" s="23">
        <v>0</v>
      </c>
      <c r="BY15" s="25" t="str">
        <f t="shared" si="66"/>
        <v>-</v>
      </c>
      <c r="BZ15" s="57" t="str">
        <f>+IF(_xlfn.XLOOKUP($E15,$AY:$AY,$AZ:$AZ,"-",0)=BZ10,$E15,"-")</f>
        <v>Canada</v>
      </c>
      <c r="CA15" s="58">
        <f t="shared" si="41"/>
        <v>3</v>
      </c>
      <c r="CB15" s="59">
        <f t="shared" si="42"/>
        <v>0</v>
      </c>
      <c r="CC15" s="57" t="str">
        <f>+IF(_xlfn.XLOOKUP($H15,$AY:$AY,$AZ:$AZ,"-",0)=BZ10,$H15,"-")</f>
        <v>-</v>
      </c>
      <c r="CE15" s="26" t="str">
        <f t="shared" si="67"/>
        <v>Suiza</v>
      </c>
      <c r="CF15" s="26">
        <f t="shared" si="68"/>
        <v>1</v>
      </c>
      <c r="CG15" s="24">
        <f t="shared" si="69"/>
        <v>0</v>
      </c>
      <c r="CH15" s="24">
        <f t="shared" si="70"/>
        <v>1</v>
      </c>
      <c r="CI15" s="24">
        <f t="shared" si="71"/>
        <v>0</v>
      </c>
      <c r="CJ15" s="24">
        <f t="shared" si="72"/>
        <v>0</v>
      </c>
      <c r="CK15" s="24">
        <f t="shared" si="73"/>
        <v>1</v>
      </c>
      <c r="CL15" s="24">
        <f t="shared" si="74"/>
        <v>1</v>
      </c>
      <c r="CM15" s="60">
        <f t="shared" si="75"/>
        <v>1.0001</v>
      </c>
      <c r="CN15" s="29">
        <f>+IF(CF15=0,0,_xlfn.XLOOKUP(CM15,CP12:CP15,CQ12:CQ15))</f>
        <v>0.3</v>
      </c>
      <c r="CO15" s="45"/>
      <c r="CP15" s="24">
        <f>+LARGE(CM12:CM15,4)</f>
        <v>0</v>
      </c>
      <c r="CQ15" s="24">
        <f>+CR15/$BW$1</f>
        <v>0</v>
      </c>
      <c r="CR15" s="23">
        <v>0</v>
      </c>
      <c r="CW15" s="23">
        <f ca="1">+ROUNDDOWN(RAND()*4,0)</f>
        <v>3</v>
      </c>
    </row>
    <row r="16" spans="1:102" x14ac:dyDescent="0.2">
      <c r="A16" s="38" t="s">
        <v>130</v>
      </c>
      <c r="B16" s="39">
        <v>46197</v>
      </c>
      <c r="C16" s="40"/>
      <c r="D16" s="41"/>
      <c r="E16" s="42" t="s">
        <v>65</v>
      </c>
      <c r="F16" s="43">
        <v>1</v>
      </c>
      <c r="G16" s="43">
        <v>1</v>
      </c>
      <c r="H16" s="44" t="s">
        <v>76</v>
      </c>
      <c r="J16" s="24" t="str">
        <f t="shared" si="43"/>
        <v/>
      </c>
      <c r="K16" s="24" t="str">
        <f t="shared" si="44"/>
        <v>Suiza</v>
      </c>
      <c r="L16" s="24" t="str">
        <f t="shared" si="45"/>
        <v>Canada</v>
      </c>
      <c r="M16" s="24" t="str">
        <f t="shared" si="46"/>
        <v/>
      </c>
      <c r="AL16" s="25" t="s">
        <v>122</v>
      </c>
      <c r="AM16" s="52" t="str">
        <f>+IF(SUM(AA12:AA15)=12,"si","no")</f>
        <v>si</v>
      </c>
      <c r="BE16" s="25" t="str">
        <f>+IF(OR(BF16="-",BI16="-",BF10=0),"-","OK")</f>
        <v>-</v>
      </c>
      <c r="BF16" s="57" t="str">
        <f>+IF(_xlfn.XLOOKUP($E16,$AY:$AY,$AZ:$AZ,"-",0)=BF10,$E16,"-")</f>
        <v>-</v>
      </c>
      <c r="BG16" s="58">
        <f t="shared" si="39"/>
        <v>1</v>
      </c>
      <c r="BH16" s="59">
        <f t="shared" si="40"/>
        <v>1</v>
      </c>
      <c r="BI16" s="57" t="str">
        <f>+IF(_xlfn.XLOOKUP($H16,$AY:$AY,$AZ:$AZ,"-",0)=BF10,$H16,"-")</f>
        <v>-</v>
      </c>
      <c r="BY16" s="25" t="str">
        <f t="shared" si="66"/>
        <v>OK</v>
      </c>
      <c r="BZ16" s="57" t="str">
        <f>+IF(_xlfn.XLOOKUP($E16,$AY:$AY,$AZ:$AZ,"-",0)=BZ10,$E16,"-")</f>
        <v>Suiza</v>
      </c>
      <c r="CA16" s="58">
        <f t="shared" si="41"/>
        <v>1</v>
      </c>
      <c r="CB16" s="59">
        <f t="shared" si="42"/>
        <v>1</v>
      </c>
      <c r="CC16" s="57" t="str">
        <f>+IF(_xlfn.XLOOKUP($H16,$AY:$AY,$AZ:$AZ,"-",0)=BZ10,$H16,"-")</f>
        <v>Canada</v>
      </c>
      <c r="CW16" s="23"/>
    </row>
    <row r="17" spans="1:102" x14ac:dyDescent="0.2">
      <c r="A17" s="38" t="s">
        <v>131</v>
      </c>
      <c r="B17" s="39">
        <v>46197</v>
      </c>
      <c r="C17" s="40"/>
      <c r="D17" s="41"/>
      <c r="E17" s="42" t="s">
        <v>84</v>
      </c>
      <c r="F17" s="43">
        <v>1</v>
      </c>
      <c r="G17" s="43">
        <v>1</v>
      </c>
      <c r="H17" s="44" t="s">
        <v>89</v>
      </c>
      <c r="J17" s="24" t="str">
        <f t="shared" si="43"/>
        <v/>
      </c>
      <c r="K17" s="24" t="str">
        <f t="shared" si="44"/>
        <v>Bosnia</v>
      </c>
      <c r="L17" s="24" t="str">
        <f t="shared" si="45"/>
        <v>Qatar</v>
      </c>
      <c r="M17" s="24" t="str">
        <f t="shared" si="46"/>
        <v/>
      </c>
      <c r="Y17" s="53" t="s">
        <v>124</v>
      </c>
      <c r="AR17" s="23">
        <f>+IF(AND(AM16="si",OR(AR12=1,AR13=1,AR14=1)),1,0)</f>
        <v>0</v>
      </c>
      <c r="BE17" s="25" t="str">
        <f>+IF(OR(BF17="-",BI17="-",BF10=0),"-","OK")</f>
        <v>OK</v>
      </c>
      <c r="BF17" s="57" t="str">
        <f>+IF(_xlfn.XLOOKUP($E17,$AY:$AY,$AZ:$AZ,"-",0)=BF10,$E17,"-")</f>
        <v>Bosnia</v>
      </c>
      <c r="BG17" s="58">
        <f t="shared" si="39"/>
        <v>1</v>
      </c>
      <c r="BH17" s="59">
        <f t="shared" si="40"/>
        <v>1</v>
      </c>
      <c r="BI17" s="57" t="str">
        <f>+IF(_xlfn.XLOOKUP($H17,$AY:$AY,$AZ:$AZ,"-",0)=BF10,$H17,"-")</f>
        <v>Qatar</v>
      </c>
      <c r="BY17" s="25" t="str">
        <f t="shared" si="66"/>
        <v>-</v>
      </c>
      <c r="BZ17" s="57" t="str">
        <f>+IF(_xlfn.XLOOKUP($E17,$AY:$AY,$AZ:$AZ,"-",0)=BZ10,$E17,"-")</f>
        <v>-</v>
      </c>
      <c r="CA17" s="58">
        <f t="shared" si="41"/>
        <v>1</v>
      </c>
      <c r="CB17" s="59">
        <f t="shared" si="42"/>
        <v>1</v>
      </c>
      <c r="CC17" s="57" t="str">
        <f>+IF(_xlfn.XLOOKUP($H17,$AY:$AY,$AZ:$AZ,"-",0)=BZ10,$H17,"-")</f>
        <v>-</v>
      </c>
      <c r="CW17" s="23"/>
    </row>
    <row r="18" spans="1:102" s="83" customFormat="1" x14ac:dyDescent="0.2">
      <c r="A18" s="81"/>
      <c r="B18" s="82"/>
      <c r="C18" s="81"/>
      <c r="E18" s="84"/>
      <c r="F18" s="81"/>
      <c r="G18" s="81"/>
      <c r="H18" s="85"/>
      <c r="J18" s="81"/>
      <c r="K18" s="81"/>
      <c r="L18" s="81"/>
      <c r="M18" s="81"/>
      <c r="AV18" s="86"/>
      <c r="AW18" s="86"/>
      <c r="BE18" s="81"/>
      <c r="CX18" s="81"/>
    </row>
    <row r="19" spans="1:102" x14ac:dyDescent="0.2">
      <c r="A19" s="23"/>
      <c r="BF19" s="28">
        <f>+IF(BA21&gt;1,AZ21,IF(BA22&gt;1,AZ22,IF(BA23&gt;1,AZ23,IF(BA24&gt;1,AZ24,"-"))))</f>
        <v>7</v>
      </c>
      <c r="BW19" s="23">
        <v>10</v>
      </c>
      <c r="BZ19" s="29">
        <f>+IF(BC21&gt;1,BB21,IF(BC22&gt;1,BB22,IF(BC23&gt;1,BB23,IF(BC24&gt;1,BB24,"-"))))</f>
        <v>0</v>
      </c>
      <c r="CQ19" s="23">
        <v>10</v>
      </c>
    </row>
    <row r="20" spans="1:102" x14ac:dyDescent="0.2">
      <c r="A20" s="304" t="s">
        <v>100</v>
      </c>
      <c r="B20" s="305" t="s">
        <v>101</v>
      </c>
      <c r="C20" s="305" t="s">
        <v>102</v>
      </c>
      <c r="D20" s="306"/>
      <c r="E20" s="307" t="s">
        <v>132</v>
      </c>
      <c r="F20" s="308"/>
      <c r="G20" s="308"/>
      <c r="H20" s="309"/>
      <c r="J20" s="24" t="s">
        <v>104</v>
      </c>
      <c r="K20" s="24" t="s">
        <v>105</v>
      </c>
      <c r="L20" s="24" t="s">
        <v>105</v>
      </c>
      <c r="M20" s="24" t="s">
        <v>106</v>
      </c>
      <c r="O20" s="26" t="str">
        <f>+E20</f>
        <v>Grupo C</v>
      </c>
      <c r="P20" s="24" t="s">
        <v>104</v>
      </c>
      <c r="Q20" s="24" t="s">
        <v>105</v>
      </c>
      <c r="R20" s="24" t="s">
        <v>106</v>
      </c>
      <c r="S20" s="24" t="s">
        <v>107</v>
      </c>
      <c r="T20" s="24" t="s">
        <v>108</v>
      </c>
      <c r="U20" s="24" t="s">
        <v>109</v>
      </c>
      <c r="V20" s="24" t="s">
        <v>0</v>
      </c>
      <c r="W20" s="24"/>
      <c r="Y20" s="500" t="s">
        <v>132</v>
      </c>
      <c r="Z20" s="501"/>
      <c r="AA20" s="310" t="s">
        <v>110</v>
      </c>
      <c r="AB20" s="311" t="s">
        <v>104</v>
      </c>
      <c r="AC20" s="311" t="s">
        <v>105</v>
      </c>
      <c r="AD20" s="311" t="s">
        <v>106</v>
      </c>
      <c r="AE20" s="311" t="s">
        <v>107</v>
      </c>
      <c r="AF20" s="311" t="s">
        <v>108</v>
      </c>
      <c r="AG20" s="311" t="s">
        <v>109</v>
      </c>
      <c r="AH20" s="312" t="s">
        <v>0</v>
      </c>
      <c r="AI20" s="92"/>
      <c r="AL20" s="24" t="s">
        <v>0</v>
      </c>
      <c r="AM20" s="24" t="s">
        <v>111</v>
      </c>
      <c r="AN20" s="24"/>
      <c r="AO20" s="24"/>
      <c r="AP20" s="24"/>
      <c r="AQ20" s="24"/>
      <c r="AR20" s="24"/>
      <c r="AS20" s="24"/>
      <c r="AT20" s="24"/>
      <c r="AU20" s="24"/>
      <c r="AY20" s="24" t="s">
        <v>112</v>
      </c>
      <c r="AZ20" s="24" t="s">
        <v>0</v>
      </c>
      <c r="BA20" s="24" t="s">
        <v>113</v>
      </c>
      <c r="BB20" s="24"/>
      <c r="BC20" s="24"/>
      <c r="BD20" s="24"/>
      <c r="BK20" s="26"/>
      <c r="BL20" s="26" t="s">
        <v>110</v>
      </c>
      <c r="BM20" s="24" t="s">
        <v>104</v>
      </c>
      <c r="BN20" s="24" t="s">
        <v>105</v>
      </c>
      <c r="BO20" s="24" t="s">
        <v>106</v>
      </c>
      <c r="BP20" s="24" t="s">
        <v>107</v>
      </c>
      <c r="BQ20" s="24" t="s">
        <v>108</v>
      </c>
      <c r="BR20" s="24" t="s">
        <v>109</v>
      </c>
      <c r="BS20" s="24" t="s">
        <v>0</v>
      </c>
      <c r="BT20" s="24" t="s">
        <v>114</v>
      </c>
      <c r="BU20" s="24"/>
      <c r="BV20" s="24" t="s">
        <v>115</v>
      </c>
      <c r="BW20" s="24" t="s">
        <v>114</v>
      </c>
      <c r="CE20" s="26"/>
      <c r="CF20" s="26" t="s">
        <v>110</v>
      </c>
      <c r="CG20" s="24" t="s">
        <v>104</v>
      </c>
      <c r="CH20" s="24" t="s">
        <v>105</v>
      </c>
      <c r="CI20" s="24" t="s">
        <v>106</v>
      </c>
      <c r="CJ20" s="24" t="s">
        <v>107</v>
      </c>
      <c r="CK20" s="24" t="s">
        <v>108</v>
      </c>
      <c r="CL20" s="24" t="s">
        <v>109</v>
      </c>
      <c r="CM20" s="24" t="s">
        <v>0</v>
      </c>
      <c r="CN20" s="24" t="s">
        <v>114</v>
      </c>
      <c r="CO20" s="24"/>
      <c r="CP20" s="24" t="s">
        <v>115</v>
      </c>
      <c r="CQ20" s="24" t="s">
        <v>114</v>
      </c>
    </row>
    <row r="21" spans="1:102" x14ac:dyDescent="0.2">
      <c r="A21" s="38" t="s">
        <v>133</v>
      </c>
      <c r="B21" s="39">
        <v>46186</v>
      </c>
      <c r="C21" s="40"/>
      <c r="D21" s="41"/>
      <c r="E21" s="42" t="s">
        <v>53</v>
      </c>
      <c r="F21" s="43">
        <v>1</v>
      </c>
      <c r="G21" s="43">
        <v>1</v>
      </c>
      <c r="H21" s="44" t="s">
        <v>59</v>
      </c>
      <c r="J21" s="24" t="str">
        <f>IF(OR(ISBLANK(F21),ISBLANK(G21)),"",IF(F21&gt;G21,E21,IF(G21&gt;F21,H21,"")))</f>
        <v/>
      </c>
      <c r="K21" s="24" t="str">
        <f>IF(OR(ISBLANK(F21),ISBLANK(G21)),"",IF(F21=G21,E21,""))</f>
        <v>Brasil</v>
      </c>
      <c r="L21" s="24" t="str">
        <f>IF(OR(ISBLANK(F21),ISBLANK(G21)),"",IF(F21=G21,H21,""))</f>
        <v>Marruecos</v>
      </c>
      <c r="M21" s="24" t="str">
        <f>IF(OR(ISBLANK(F21),ISBLANK(G21)),"",IF(F21&lt;G21,E21,IF(G21&lt;F21,H21,"")))</f>
        <v/>
      </c>
      <c r="O21" s="26" t="str">
        <f>+E21</f>
        <v>Brasil</v>
      </c>
      <c r="P21" s="24">
        <f>+COUNTIF(J21:J26,"="&amp;$O21)</f>
        <v>2</v>
      </c>
      <c r="Q21" s="24">
        <f>+COUNTIF(K21:L26,"="&amp;$O21)</f>
        <v>1</v>
      </c>
      <c r="R21" s="24">
        <f>+COUNTIF(M21:M26,"="&amp;$O21)</f>
        <v>0</v>
      </c>
      <c r="S21" s="24">
        <f>+T21-U21</f>
        <v>7</v>
      </c>
      <c r="T21" s="24">
        <f t="shared" ref="T21" si="80">+SUMIF(E21:E26,$O21,F21:F26)+SUMIF(H21:H26,$O21,G21:G26)</f>
        <v>8</v>
      </c>
      <c r="U21" s="24">
        <f t="shared" ref="U21" si="81">+SUMIF(E21:E26,$O21,G21:G26)+SUMIF(H21:H26,$O21,F21:F26)</f>
        <v>1</v>
      </c>
      <c r="V21" s="45">
        <f>+P21*3+Q21*1+BT21+CN21+S21/1000+T21/10000+AV21/1000000+ROW()/10000000</f>
        <v>7.3078020999999991</v>
      </c>
      <c r="W21" s="26" t="str">
        <f>+O21</f>
        <v>Brasil</v>
      </c>
      <c r="Y21" s="46" t="str">
        <f>+CONCATENATE("1",RIGHT(E20,1))</f>
        <v>1C</v>
      </c>
      <c r="Z21" s="47" t="str">
        <f>+VLOOKUP(AL21,V21:W24,2,FALSE)</f>
        <v>Brasil</v>
      </c>
      <c r="AA21" s="48">
        <f>+SUM(AB21:AD21)</f>
        <v>3</v>
      </c>
      <c r="AB21" s="49">
        <f t="shared" ref="AB21:AG24" si="82">+VLOOKUP($Z21,$O$21:$U$24,COLUMN()-26,FALSE)</f>
        <v>2</v>
      </c>
      <c r="AC21" s="49">
        <f t="shared" si="82"/>
        <v>1</v>
      </c>
      <c r="AD21" s="49">
        <f t="shared" si="82"/>
        <v>0</v>
      </c>
      <c r="AE21" s="49">
        <f t="shared" si="82"/>
        <v>7</v>
      </c>
      <c r="AF21" s="49">
        <f t="shared" si="82"/>
        <v>8</v>
      </c>
      <c r="AG21" s="49">
        <f t="shared" si="82"/>
        <v>1</v>
      </c>
      <c r="AH21" s="50">
        <f>+VLOOKUP($Z21,$O$21:$V$24,COLUMN()-26,FALSE)</f>
        <v>7.3078020999999991</v>
      </c>
      <c r="AI21" s="51"/>
      <c r="AL21" s="45">
        <f>+LARGE(V21:V24,1)</f>
        <v>7.3078020999999991</v>
      </c>
      <c r="AM21" s="52">
        <f>+(AH21-AL21)*100000000000000000000</f>
        <v>0</v>
      </c>
      <c r="AP21" s="53" t="str">
        <f>+O21</f>
        <v>Brasil</v>
      </c>
      <c r="AQ21" s="23">
        <f>+P21*3+Q21*1+BT21+CN21+S21/1000+T21/10000</f>
        <v>7.3077999999999994</v>
      </c>
      <c r="AR21" s="23" t="b">
        <f>+IF(OR(AQ21=AQ22,AQ21=AQ23,AQ21=AQ24),1)</f>
        <v>0</v>
      </c>
      <c r="AS21" s="54">
        <f>+AV21</f>
        <v>0</v>
      </c>
      <c r="AT21" s="54">
        <f>+IF(AND(AM25="si",OR(AR21=1,AR22=1,AR23=1)),1,0)</f>
        <v>0</v>
      </c>
      <c r="AU21" s="55" t="str">
        <f>+O21</f>
        <v>Brasil</v>
      </c>
      <c r="AV21" s="56"/>
      <c r="AX21" s="23" t="str">
        <f>+Y20</f>
        <v>Grupo C</v>
      </c>
      <c r="AY21" s="24" t="str">
        <f>+O21</f>
        <v>Brasil</v>
      </c>
      <c r="AZ21" s="29">
        <f>+P21*3+Q21</f>
        <v>7</v>
      </c>
      <c r="BA21" s="29">
        <f>+COUNTIFS($AX$1:AX21,AX21,$AZ$1:AZ21,AZ21)</f>
        <v>1</v>
      </c>
      <c r="BB21" s="29">
        <f>+IF(AZ21=BF19,ROW()*0.001,AZ21)</f>
        <v>2.1000000000000001E-2</v>
      </c>
      <c r="BC21" s="29">
        <f>+COUNTIFS($AX$1:AZ21,AZ21,$AZ$1:BB21,BB21)</f>
        <v>1</v>
      </c>
      <c r="BD21" s="29"/>
      <c r="BE21" s="25" t="str">
        <f>+IF(OR(BF21="-",BI21="-",BF19=0),"-","OK")</f>
        <v>OK</v>
      </c>
      <c r="BF21" s="57" t="str">
        <f>+IF(_xlfn.XLOOKUP($E21,$AY:$AY,$AZ:$AZ,"-",0)=BF19,$E21,"-")</f>
        <v>Brasil</v>
      </c>
      <c r="BG21" s="58">
        <f t="shared" ref="BG21:BG26" si="83">+$F21</f>
        <v>1</v>
      </c>
      <c r="BH21" s="59">
        <f t="shared" ref="BH21:BH26" si="84">+$G21</f>
        <v>1</v>
      </c>
      <c r="BI21" s="57" t="str">
        <f>+IF(_xlfn.XLOOKUP($H21,$AY:$AY,$AZ:$AZ,"-",0)=BF19,$H21,"-")</f>
        <v>Marruecos</v>
      </c>
      <c r="BK21" s="26" t="str">
        <f>+O21</f>
        <v>Brasil</v>
      </c>
      <c r="BL21" s="26">
        <f>+COUNTIFS($BE:$BE,"OK",$BI:$BI,BK21)+COUNTIFS($BE:$BE,"OK",$BF:$BF,BK21)</f>
        <v>1</v>
      </c>
      <c r="BM21" s="24">
        <f>+COUNTIFS(J:J,$BK21,$BE:$BE,"OK")</f>
        <v>0</v>
      </c>
      <c r="BN21" s="24">
        <f>+COUNTIFS(K:K,$BK21,$BE:$BE,"OK")+COUNTIFS(L:L,$BK21,$BE:$BE,"OK")</f>
        <v>1</v>
      </c>
      <c r="BO21" s="24">
        <f>+COUNTIFS(M:M,$BK21,$BE:$BE,"OK")</f>
        <v>0</v>
      </c>
      <c r="BP21" s="24">
        <f>+BQ21-BR21</f>
        <v>0</v>
      </c>
      <c r="BQ21" s="24">
        <f>+SUMIFS(BG:BG,$BE:$BE,"OK",BF:BF,$BK21)+SUMIFS(BH:BH,$BE:$BE,"OK",BI:BI,$BK21)</f>
        <v>1</v>
      </c>
      <c r="BR21" s="24">
        <f>+SUMIFS(BH:BH,$BE:$BE,"OK",BF:BF,$BK21)+SUMIFS(BG:BG,$BE:$BE,"OK",BI:BI,$BK21)</f>
        <v>1</v>
      </c>
      <c r="BS21" s="60">
        <f>+BM21*3+BN21*1+BP21/100+BQ21/10000</f>
        <v>1.0001</v>
      </c>
      <c r="BT21" s="29">
        <f>+IF(BL21=0,0,_xlfn.XLOOKUP(BS21,BV21:BV24,BW21:BW24))</f>
        <v>0.3</v>
      </c>
      <c r="BU21" s="45"/>
      <c r="BV21" s="24">
        <f>+LARGE(BS21:BS24,1)</f>
        <v>1.0001</v>
      </c>
      <c r="BW21" s="24">
        <f>+BX21/$BW$1</f>
        <v>0.3</v>
      </c>
      <c r="BX21" s="23">
        <v>3</v>
      </c>
      <c r="BY21" s="25" t="str">
        <f>+IF(OR(BZ21="-",CC21="-"),"-","OK")</f>
        <v>-</v>
      </c>
      <c r="BZ21" s="57" t="str">
        <f>+IF(_xlfn.XLOOKUP($E21,$AY:$AY,$AZ:$AZ,"-",0)=BZ19,$E21,"-")</f>
        <v>-</v>
      </c>
      <c r="CA21" s="58">
        <f t="shared" ref="CA21:CA26" si="85">+$F21</f>
        <v>1</v>
      </c>
      <c r="CB21" s="59">
        <f t="shared" ref="CB21:CB26" si="86">+$G21</f>
        <v>1</v>
      </c>
      <c r="CC21" s="57" t="str">
        <f>+IF(_xlfn.XLOOKUP($H21,$AY:$AY,$AZ:$AZ,"-",0)=BZ19,$H21,"-")</f>
        <v>-</v>
      </c>
      <c r="CE21" s="26" t="str">
        <f>+BK21</f>
        <v>Brasil</v>
      </c>
      <c r="CF21" s="26">
        <f>+COUNTIFS($BY:$BY,"OK",$CC:$CC,CE21)+COUNTIFS($BY:$BY,"OK",$BZ:$BZ,CE21)</f>
        <v>0</v>
      </c>
      <c r="CG21" s="24">
        <f>+COUNTIFS(P:P,$BK21,$BY:$BY,"OK")</f>
        <v>0</v>
      </c>
      <c r="CH21" s="24">
        <f>+COUNTIFS(K:K,$BK21,$BY:$BY,"OK")+COUNTIFS(L:L,$BK21,$BY:$BY,"OK")</f>
        <v>0</v>
      </c>
      <c r="CI21" s="24">
        <f>+COUNTIFS(M:M,$CE21,$BY:$BY,"OK")</f>
        <v>0</v>
      </c>
      <c r="CJ21" s="24">
        <f>+CK21-CL21</f>
        <v>0</v>
      </c>
      <c r="CK21" s="24">
        <f>+SUMIFS(CA:CA,$BY:$BY,"OK",BZ:BZ,$BK21)+SUMIFS(CB:CB,$BY:$BY,"OK",CC:CC,$BK21)</f>
        <v>0</v>
      </c>
      <c r="CL21" s="24">
        <f>+SUMIFS(CB:CB,$BY:$BY,"OK",BZ:BZ,$BK21)+SUMIFS(CA:CA,$BY:$BY,"OK",CC:CC,$BK21)</f>
        <v>0</v>
      </c>
      <c r="CM21" s="60">
        <f>+CG21*3+CH21*1+CJ21/100+CK21/10000</f>
        <v>0</v>
      </c>
      <c r="CN21" s="29">
        <f>+IF(CF21=0,0,_xlfn.XLOOKUP(CM21,CP21:CP24,CQ21:CQ24))</f>
        <v>0</v>
      </c>
      <c r="CO21" s="45"/>
      <c r="CP21" s="24">
        <f>+LARGE(CM21:CM24,1)</f>
        <v>0</v>
      </c>
      <c r="CQ21" s="24">
        <f>+CR21/$BW$1</f>
        <v>0.3</v>
      </c>
      <c r="CR21" s="23">
        <v>3</v>
      </c>
    </row>
    <row r="22" spans="1:102" x14ac:dyDescent="0.2">
      <c r="A22" s="38" t="s">
        <v>134</v>
      </c>
      <c r="B22" s="39">
        <v>46186</v>
      </c>
      <c r="C22" s="40"/>
      <c r="D22" s="41"/>
      <c r="E22" s="42" t="s">
        <v>94</v>
      </c>
      <c r="F22" s="43">
        <v>0</v>
      </c>
      <c r="G22" s="43">
        <v>2</v>
      </c>
      <c r="H22" s="44" t="s">
        <v>80</v>
      </c>
      <c r="J22" s="24" t="str">
        <f t="shared" ref="J22:J26" si="87">IF(OR(ISBLANK(F22),ISBLANK(G22)),"",IF(F22&gt;G22,E22,IF(G22&gt;F22,H22,"")))</f>
        <v>Escocia</v>
      </c>
      <c r="K22" s="24" t="str">
        <f t="shared" ref="K22:K26" si="88">IF(OR(ISBLANK(F22),ISBLANK(G22)),"",IF(F22=G22,E22,""))</f>
        <v/>
      </c>
      <c r="L22" s="24" t="str">
        <f t="shared" ref="L22:L26" si="89">IF(OR(ISBLANK(F22),ISBLANK(G22)),"",IF(F22=G22,H22,""))</f>
        <v/>
      </c>
      <c r="M22" s="24" t="str">
        <f t="shared" ref="M22:M26" si="90">IF(OR(ISBLANK(F22),ISBLANK(G22)),"",IF(F22&lt;G22,E22,IF(G22&lt;F22,H22,"")))</f>
        <v>Haiti</v>
      </c>
      <c r="O22" s="26" t="str">
        <f>+H21</f>
        <v>Marruecos</v>
      </c>
      <c r="P22" s="24">
        <f>+COUNTIF(J21:J26,"="&amp;$O22)</f>
        <v>2</v>
      </c>
      <c r="Q22" s="24">
        <f>+COUNTIF(K21:L26,"="&amp;$O22)</f>
        <v>1</v>
      </c>
      <c r="R22" s="24">
        <f>+COUNTIF(M21:M26,"="&amp;$O22)</f>
        <v>0</v>
      </c>
      <c r="S22" s="24">
        <f t="shared" ref="S22:S24" si="91">+T22-U22</f>
        <v>3</v>
      </c>
      <c r="T22" s="24">
        <f t="shared" ref="T22" si="92">+SUMIF(E21:E26,$O22,F21:F26)+SUMIF(H21:H26,$O22,G21:G26)</f>
        <v>4</v>
      </c>
      <c r="U22" s="24">
        <f t="shared" ref="U22" si="93">+SUMIF(E21:E26,$O22,G21:G26)+SUMIF(H21:H26,$O22,F21:F26)</f>
        <v>1</v>
      </c>
      <c r="V22" s="45">
        <f t="shared" ref="V22:V24" si="94">+P22*3+Q22*1+BT22+CN22+S22/1000+T22/10000+AV22/1000000+ROW()/10000000</f>
        <v>7.3034021999999998</v>
      </c>
      <c r="W22" s="26" t="str">
        <f t="shared" ref="W22:W24" si="95">+O22</f>
        <v>Marruecos</v>
      </c>
      <c r="Y22" s="61" t="str">
        <f>+CONCATENATE("2",RIGHT(E20,1))</f>
        <v>2C</v>
      </c>
      <c r="Z22" s="62" t="str">
        <f>+VLOOKUP(AL22,V21:W24,2,FALSE)</f>
        <v>Marruecos</v>
      </c>
      <c r="AA22" s="63">
        <f t="shared" ref="AA22:AA24" si="96">+SUM(AB22:AD22)</f>
        <v>3</v>
      </c>
      <c r="AB22" s="64">
        <f t="shared" si="82"/>
        <v>2</v>
      </c>
      <c r="AC22" s="64">
        <f t="shared" si="82"/>
        <v>1</v>
      </c>
      <c r="AD22" s="64">
        <f t="shared" si="82"/>
        <v>0</v>
      </c>
      <c r="AE22" s="64">
        <f t="shared" si="82"/>
        <v>3</v>
      </c>
      <c r="AF22" s="64">
        <f t="shared" si="82"/>
        <v>4</v>
      </c>
      <c r="AG22" s="64">
        <f t="shared" si="82"/>
        <v>1</v>
      </c>
      <c r="AH22" s="65">
        <f>+VLOOKUP($Z22,$O$21:$V$24,COLUMN()-26,FALSE)</f>
        <v>7.3034021999999998</v>
      </c>
      <c r="AI22" s="51"/>
      <c r="AL22" s="45">
        <f>+LARGE(V21:V24,2)</f>
        <v>7.3034021999999998</v>
      </c>
      <c r="AM22" s="52">
        <f t="shared" ref="AM22:AM24" si="97">+(AH22-AL22)*100000000000000000000</f>
        <v>0</v>
      </c>
      <c r="AP22" s="53" t="str">
        <f>+O22</f>
        <v>Marruecos</v>
      </c>
      <c r="AQ22" s="23">
        <f>+P22*3+Q22*1+BT22+CN22+S22/1000+T22/10000</f>
        <v>7.3033999999999999</v>
      </c>
      <c r="AR22" s="23" t="b">
        <f>+IF(OR(AQ22=AQ23,AQ22=AQ24),1)</f>
        <v>0</v>
      </c>
      <c r="AS22" s="54">
        <f t="shared" ref="AS22:AS24" si="98">+AV22</f>
        <v>0</v>
      </c>
      <c r="AT22" s="54">
        <f>+IF(AND(AM25="si",OR(AR21=1,AR22=1,AR23=1)),1,0)</f>
        <v>0</v>
      </c>
      <c r="AU22" s="66" t="str">
        <f t="shared" ref="AU22:AU24" si="99">+O22</f>
        <v>Marruecos</v>
      </c>
      <c r="AV22" s="67"/>
      <c r="AX22" s="23" t="str">
        <f>+Y20</f>
        <v>Grupo C</v>
      </c>
      <c r="AY22" s="24" t="str">
        <f t="shared" ref="AY22:AY24" si="100">+O22</f>
        <v>Marruecos</v>
      </c>
      <c r="AZ22" s="29">
        <f t="shared" ref="AZ22:AZ24" si="101">+P22*3+Q22</f>
        <v>7</v>
      </c>
      <c r="BA22" s="29">
        <f>+COUNTIFS($AX$1:AX22,AX22,$AZ$1:AZ22,AZ22)</f>
        <v>2</v>
      </c>
      <c r="BB22" s="29">
        <f>+IF(AZ22=BF19,ROW()*0.001,AZ22)</f>
        <v>2.1999999999999999E-2</v>
      </c>
      <c r="BC22" s="29">
        <f>+COUNTIFS($AX$1:AZ22,AZ22,$AZ$1:BB22,BB22)</f>
        <v>1</v>
      </c>
      <c r="BD22" s="29"/>
      <c r="BE22" s="25" t="str">
        <f>+IF(OR(BF22="-",BI22="-",BF19=0),"-","OK")</f>
        <v>-</v>
      </c>
      <c r="BF22" s="57" t="str">
        <f>+IF(_xlfn.XLOOKUP($E22,$AY:$AY,$AZ:$AZ,"-",0)=BF19,$E22,"-")</f>
        <v>-</v>
      </c>
      <c r="BG22" s="58">
        <f t="shared" si="83"/>
        <v>0</v>
      </c>
      <c r="BH22" s="59">
        <f t="shared" si="84"/>
        <v>2</v>
      </c>
      <c r="BI22" s="57" t="str">
        <f>+IF(_xlfn.XLOOKUP($H22,$AY:$AY,$AZ:$AZ,"-",0)=BF19,$H22,"-")</f>
        <v>-</v>
      </c>
      <c r="BK22" s="26" t="str">
        <f t="shared" ref="BK22:BK24" si="102">+O22</f>
        <v>Marruecos</v>
      </c>
      <c r="BL22" s="26">
        <f t="shared" ref="BL22:BL24" si="103">+COUNTIFS($BE:$BE,"OK",$BI:$BI,BK22)+COUNTIFS($BE:$BE,"OK",$BF:$BF,BK22)</f>
        <v>1</v>
      </c>
      <c r="BM22" s="24">
        <f t="shared" ref="BM22:BM24" si="104">+COUNTIFS(J:J,$BK22,$BE:$BE,"OK")</f>
        <v>0</v>
      </c>
      <c r="BN22" s="24">
        <f t="shared" ref="BN22:BN24" si="105">+COUNTIFS(K:K,$BK22,$BE:$BE,"OK")+COUNTIFS(L:L,$BK22,$BE:$BE,"OK")</f>
        <v>1</v>
      </c>
      <c r="BO22" s="24">
        <f t="shared" ref="BO22:BO24" si="106">+COUNTIFS(M:M,$BK22,$BE:$BE,"OK")</f>
        <v>0</v>
      </c>
      <c r="BP22" s="24">
        <f t="shared" ref="BP22:BP24" si="107">+BQ22-BR22</f>
        <v>0</v>
      </c>
      <c r="BQ22" s="24">
        <f>+SUMIFS(BG:BG,$BE:$BE,"OK",BF:BF,$BK22)+SUMIFS(BH:BH,$BE:$BE,"OK",BI:BI,$BK22)</f>
        <v>1</v>
      </c>
      <c r="BR22" s="24">
        <f t="shared" ref="BR22:BR24" si="108">+SUMIFS(BH:BH,$BE:$BE,"OK",BF:BF,$BK22)+SUMIFS(BG:BG,$BE:$BE,"OK",BI:BI,$BK22)</f>
        <v>1</v>
      </c>
      <c r="BS22" s="60">
        <f t="shared" ref="BS22:BS24" si="109">+BM22*3+BN22*1+BP22/100+BQ22/10000</f>
        <v>1.0001</v>
      </c>
      <c r="BT22" s="29">
        <f>+IF(BL22=0,0,_xlfn.XLOOKUP(BS22,BV21:BV24,BW21:BW24))</f>
        <v>0.3</v>
      </c>
      <c r="BU22" s="45"/>
      <c r="BV22" s="24">
        <f>+LARGE(BS21:BS24,2)</f>
        <v>1.0001</v>
      </c>
      <c r="BW22" s="24">
        <f>+BX22/$BW$1</f>
        <v>0.2</v>
      </c>
      <c r="BX22" s="23">
        <v>2</v>
      </c>
      <c r="BY22" s="25" t="str">
        <f t="shared" ref="BY22:BY26" si="110">+IF(OR(BZ22="-",CC22="-"),"-","OK")</f>
        <v>-</v>
      </c>
      <c r="BZ22" s="57" t="str">
        <f>+IF(_xlfn.XLOOKUP($E22,$AY:$AY,$AZ:$AZ,"-",0)=BZ19,$E22,"-")</f>
        <v>Haiti</v>
      </c>
      <c r="CA22" s="58">
        <f t="shared" si="85"/>
        <v>0</v>
      </c>
      <c r="CB22" s="59">
        <f t="shared" si="86"/>
        <v>2</v>
      </c>
      <c r="CC22" s="57" t="str">
        <f>+IF(_xlfn.XLOOKUP($H22,$AY:$AY,$AZ:$AZ,"-",0)=BZ19,$H22,"-")</f>
        <v>-</v>
      </c>
      <c r="CE22" s="26" t="str">
        <f t="shared" ref="CE22:CE24" si="111">+BK22</f>
        <v>Marruecos</v>
      </c>
      <c r="CF22" s="26">
        <f t="shared" ref="CF22:CF24" si="112">+COUNTIFS($BY:$BY,"OK",$CC:$CC,CE22)+COUNTIFS($BY:$BY,"OK",$BZ:$BZ,CE22)</f>
        <v>0</v>
      </c>
      <c r="CG22" s="24">
        <f t="shared" ref="CG22:CG24" si="113">+COUNTIFS(P:P,$BK22,$BY:$BY,"OK")</f>
        <v>0</v>
      </c>
      <c r="CH22" s="24">
        <f t="shared" ref="CH22:CH24" si="114">+COUNTIFS(K:K,$BK22,$BY:$BY,"OK")+COUNTIFS(L:L,$BK22,$BY:$BY,"OK")</f>
        <v>0</v>
      </c>
      <c r="CI22" s="24">
        <f t="shared" ref="CI22:CI24" si="115">+COUNTIFS(M:M,$CE22,$BY:$BY,"OK")</f>
        <v>0</v>
      </c>
      <c r="CJ22" s="24">
        <f t="shared" ref="CJ22:CJ24" si="116">+CK22-CL22</f>
        <v>0</v>
      </c>
      <c r="CK22" s="24">
        <f t="shared" ref="CK22:CK24" si="117">+SUMIFS(CA:CA,$BY:$BY,"OK",BZ:BZ,$BK22)+SUMIFS(CB:CB,$BY:$BY,"OK",CC:CC,$BK22)</f>
        <v>0</v>
      </c>
      <c r="CL22" s="24">
        <f t="shared" ref="CL22:CL24" si="118">+SUMIFS(CB:CB,$BY:$BY,"OK",BZ:BZ,$BK22)+SUMIFS(CA:CA,$BY:$BY,"OK",CC:CC,$BK22)</f>
        <v>0</v>
      </c>
      <c r="CM22" s="60">
        <f t="shared" ref="CM22:CM24" si="119">+CG22*3+CH22*1+CJ22/100+CK22/10000</f>
        <v>0</v>
      </c>
      <c r="CN22" s="29">
        <f>+IF(CF22=0,0,_xlfn.XLOOKUP(CM22,CP21:CP24,CQ21:CQ24))</f>
        <v>0</v>
      </c>
      <c r="CO22" s="45"/>
      <c r="CP22" s="24">
        <f>+LARGE(CM21:CM24,2)</f>
        <v>0</v>
      </c>
      <c r="CQ22" s="24">
        <f>+CR22/$BW$1</f>
        <v>0.2</v>
      </c>
      <c r="CR22" s="23">
        <v>2</v>
      </c>
    </row>
    <row r="23" spans="1:102" x14ac:dyDescent="0.2">
      <c r="A23" s="38" t="s">
        <v>135</v>
      </c>
      <c r="B23" s="39">
        <v>46192</v>
      </c>
      <c r="C23" s="40"/>
      <c r="D23" s="41"/>
      <c r="E23" s="42" t="s">
        <v>53</v>
      </c>
      <c r="F23" s="43">
        <v>4</v>
      </c>
      <c r="G23" s="43">
        <v>0</v>
      </c>
      <c r="H23" s="44" t="s">
        <v>94</v>
      </c>
      <c r="J23" s="24" t="str">
        <f t="shared" si="87"/>
        <v>Brasil</v>
      </c>
      <c r="K23" s="24" t="str">
        <f t="shared" si="88"/>
        <v/>
      </c>
      <c r="L23" s="24" t="str">
        <f t="shared" si="89"/>
        <v/>
      </c>
      <c r="M23" s="24" t="str">
        <f t="shared" si="90"/>
        <v>Haiti</v>
      </c>
      <c r="O23" s="26" t="str">
        <f>+E22</f>
        <v>Haiti</v>
      </c>
      <c r="P23" s="24">
        <f>+COUNTIF(J21:J26,"="&amp;$O23)</f>
        <v>0</v>
      </c>
      <c r="Q23" s="24">
        <f>+COUNTIF(K21:L26,"="&amp;$O23)</f>
        <v>0</v>
      </c>
      <c r="R23" s="24">
        <f>+COUNTIF(M21:M26,"="&amp;$O23)</f>
        <v>3</v>
      </c>
      <c r="S23" s="24">
        <f t="shared" si="91"/>
        <v>-8</v>
      </c>
      <c r="T23" s="24">
        <f t="shared" ref="T23" si="120">+SUMIF(E21:E26,$O23,F21:F26)+SUMIF(H21:H26,$O23,G21:G26)</f>
        <v>0</v>
      </c>
      <c r="U23" s="24">
        <f t="shared" ref="U23" si="121">+SUMIF(E21:E26,$O23,G21:G26)+SUMIF(H21:H26,$O23,F21:F26)</f>
        <v>8</v>
      </c>
      <c r="V23" s="45">
        <f t="shared" si="94"/>
        <v>-7.9976999999999999E-3</v>
      </c>
      <c r="W23" s="26" t="str">
        <f t="shared" si="95"/>
        <v>Haiti</v>
      </c>
      <c r="Y23" s="68" t="str">
        <f>+CONCATENATE("3",RIGHT(E20,1))</f>
        <v>3C</v>
      </c>
      <c r="Z23" s="69" t="str">
        <f>+VLOOKUP(AL23,V21:W24,2,FALSE)</f>
        <v>Escocia</v>
      </c>
      <c r="AA23" s="70">
        <f t="shared" si="96"/>
        <v>3</v>
      </c>
      <c r="AB23" s="71">
        <f t="shared" si="82"/>
        <v>1</v>
      </c>
      <c r="AC23" s="71">
        <f t="shared" si="82"/>
        <v>0</v>
      </c>
      <c r="AD23" s="71">
        <f t="shared" si="82"/>
        <v>2</v>
      </c>
      <c r="AE23" s="71">
        <f t="shared" si="82"/>
        <v>-2</v>
      </c>
      <c r="AF23" s="71">
        <f t="shared" si="82"/>
        <v>2</v>
      </c>
      <c r="AG23" s="71">
        <f t="shared" si="82"/>
        <v>4</v>
      </c>
      <c r="AH23" s="72">
        <f>+VLOOKUP($Z23,$O$21:$V$24,COLUMN()-26,FALSE)</f>
        <v>2.9982024000000003</v>
      </c>
      <c r="AI23" s="73">
        <f>+(COUNTIFS($CV$2:$CV$13,Z23,$CX$2:$CX$13,"IN")+COUNTIFS($CV$2:$CV$13,Z23,$CW$2:$CW$13,"IN"))*IF(SUM(AA21:AA24)=12,1,0)</f>
        <v>0</v>
      </c>
      <c r="AL23" s="45">
        <f>+LARGE(V21:V24,3)</f>
        <v>2.9982024000000003</v>
      </c>
      <c r="AM23" s="52">
        <f t="shared" si="97"/>
        <v>0</v>
      </c>
      <c r="AP23" s="53" t="str">
        <f>+O23</f>
        <v>Haiti</v>
      </c>
      <c r="AQ23" s="23">
        <f>+P23*3+Q23*1+BT23+CN23+S23/1000+T23/10000</f>
        <v>-8.0000000000000002E-3</v>
      </c>
      <c r="AR23" s="23" t="b">
        <f>+IF(OR(AQ23=AQ24),1)</f>
        <v>0</v>
      </c>
      <c r="AS23" s="54">
        <f t="shared" si="98"/>
        <v>0</v>
      </c>
      <c r="AT23" s="54">
        <f>+IF(AND(AM25="si",OR(AR21=1,AR22=1,AR23=1)),1,0)</f>
        <v>0</v>
      </c>
      <c r="AU23" s="66" t="str">
        <f t="shared" si="99"/>
        <v>Haiti</v>
      </c>
      <c r="AV23" s="67"/>
      <c r="AX23" s="23" t="str">
        <f>+Y20</f>
        <v>Grupo C</v>
      </c>
      <c r="AY23" s="24" t="str">
        <f t="shared" si="100"/>
        <v>Haiti</v>
      </c>
      <c r="AZ23" s="29">
        <f t="shared" si="101"/>
        <v>0</v>
      </c>
      <c r="BA23" s="29">
        <f>+COUNTIFS($AX$1:AX23,AX23,$AZ$1:AZ23,AZ23)</f>
        <v>1</v>
      </c>
      <c r="BB23" s="29">
        <f>+IF(AZ23=BF19,ROW()*0.001,AZ23)</f>
        <v>0</v>
      </c>
      <c r="BC23" s="29">
        <f>+COUNTIFS($AX$1:AZ23,AZ23,$AZ$1:BB23,BB23)</f>
        <v>2</v>
      </c>
      <c r="BD23" s="29"/>
      <c r="BE23" s="25" t="str">
        <f>+IF(OR(BF23="-",BI23="-",BF19=0),"-","OK")</f>
        <v>-</v>
      </c>
      <c r="BF23" s="57" t="str">
        <f>+IF(_xlfn.XLOOKUP($E23,$AY:$AY,$AZ:$AZ,"-",0)=BF19,$E23,"-")</f>
        <v>Brasil</v>
      </c>
      <c r="BG23" s="58">
        <f t="shared" si="83"/>
        <v>4</v>
      </c>
      <c r="BH23" s="59">
        <f t="shared" si="84"/>
        <v>0</v>
      </c>
      <c r="BI23" s="57" t="str">
        <f>+IF(_xlfn.XLOOKUP($H23,$AY:$AY,$AZ:$AZ,"-",0)=BF19,$H23,"-")</f>
        <v>-</v>
      </c>
      <c r="BK23" s="26" t="str">
        <f t="shared" si="102"/>
        <v>Haiti</v>
      </c>
      <c r="BL23" s="26">
        <f t="shared" si="103"/>
        <v>0</v>
      </c>
      <c r="BM23" s="24">
        <f t="shared" si="104"/>
        <v>0</v>
      </c>
      <c r="BN23" s="24">
        <f t="shared" si="105"/>
        <v>0</v>
      </c>
      <c r="BO23" s="24">
        <f t="shared" si="106"/>
        <v>0</v>
      </c>
      <c r="BP23" s="24">
        <f t="shared" si="107"/>
        <v>0</v>
      </c>
      <c r="BQ23" s="24">
        <f>+SUMIFS(BG:BG,$BE:$BE,"OK",BF:BF,$BK23)+SUMIFS(BH:BH,$BE:$BE,"OK",BI:BI,$BK23)</f>
        <v>0</v>
      </c>
      <c r="BR23" s="24">
        <f t="shared" si="108"/>
        <v>0</v>
      </c>
      <c r="BS23" s="60">
        <f t="shared" si="109"/>
        <v>0</v>
      </c>
      <c r="BT23" s="29">
        <f>+IF(BL23=0,0,_xlfn.XLOOKUP(BS23,BV21:BV24,BW21:BW24))</f>
        <v>0</v>
      </c>
      <c r="BU23" s="45"/>
      <c r="BV23" s="24">
        <f>+LARGE(BS21:BS24,3)</f>
        <v>0</v>
      </c>
      <c r="BW23" s="24">
        <f>+BX23/$BW$1</f>
        <v>0.1</v>
      </c>
      <c r="BX23" s="23">
        <v>1</v>
      </c>
      <c r="BY23" s="25" t="str">
        <f t="shared" si="110"/>
        <v>-</v>
      </c>
      <c r="BZ23" s="57" t="str">
        <f>+IF(_xlfn.XLOOKUP($E23,$AY:$AY,$AZ:$AZ,"-",0)=BZ19,$E23,"-")</f>
        <v>-</v>
      </c>
      <c r="CA23" s="58">
        <f t="shared" si="85"/>
        <v>4</v>
      </c>
      <c r="CB23" s="59">
        <f t="shared" si="86"/>
        <v>0</v>
      </c>
      <c r="CC23" s="57" t="str">
        <f>+IF(_xlfn.XLOOKUP($H23,$AY:$AY,$AZ:$AZ,"-",0)=BZ19,$H23,"-")</f>
        <v>Haiti</v>
      </c>
      <c r="CE23" s="26" t="str">
        <f t="shared" si="111"/>
        <v>Haiti</v>
      </c>
      <c r="CF23" s="26">
        <f t="shared" si="112"/>
        <v>0</v>
      </c>
      <c r="CG23" s="24">
        <f t="shared" si="113"/>
        <v>0</v>
      </c>
      <c r="CH23" s="24">
        <f t="shared" si="114"/>
        <v>0</v>
      </c>
      <c r="CI23" s="24">
        <f t="shared" si="115"/>
        <v>0</v>
      </c>
      <c r="CJ23" s="24">
        <f t="shared" si="116"/>
        <v>0</v>
      </c>
      <c r="CK23" s="24">
        <f t="shared" si="117"/>
        <v>0</v>
      </c>
      <c r="CL23" s="24">
        <f t="shared" si="118"/>
        <v>0</v>
      </c>
      <c r="CM23" s="60">
        <f t="shared" si="119"/>
        <v>0</v>
      </c>
      <c r="CN23" s="29">
        <f>+IF(CF23=0,0,_xlfn.XLOOKUP(CM23,CP21:CP24,CQ21:CQ24))</f>
        <v>0</v>
      </c>
      <c r="CO23" s="45"/>
      <c r="CP23" s="24">
        <f>+LARGE(CM21:CM24,3)</f>
        <v>0</v>
      </c>
      <c r="CQ23" s="24">
        <f>+CR23/$BW$1</f>
        <v>0.1</v>
      </c>
      <c r="CR23" s="23">
        <v>1</v>
      </c>
    </row>
    <row r="24" spans="1:102" x14ac:dyDescent="0.2">
      <c r="A24" s="38" t="s">
        <v>136</v>
      </c>
      <c r="B24" s="39">
        <v>46192</v>
      </c>
      <c r="C24" s="40"/>
      <c r="D24" s="41"/>
      <c r="E24" s="42" t="s">
        <v>80</v>
      </c>
      <c r="F24" s="43">
        <v>0</v>
      </c>
      <c r="G24" s="43">
        <v>1</v>
      </c>
      <c r="H24" s="44" t="s">
        <v>59</v>
      </c>
      <c r="J24" s="24" t="str">
        <f t="shared" si="87"/>
        <v>Marruecos</v>
      </c>
      <c r="K24" s="24" t="str">
        <f t="shared" si="88"/>
        <v/>
      </c>
      <c r="L24" s="24" t="str">
        <f t="shared" si="89"/>
        <v/>
      </c>
      <c r="M24" s="24" t="str">
        <f t="shared" si="90"/>
        <v>Escocia</v>
      </c>
      <c r="O24" s="26" t="str">
        <f>+H22</f>
        <v>Escocia</v>
      </c>
      <c r="P24" s="24">
        <f>+COUNTIF(J21:J26,"="&amp;$O24)</f>
        <v>1</v>
      </c>
      <c r="Q24" s="24">
        <f>+COUNTIF(K21:L26,"="&amp;$O24)</f>
        <v>0</v>
      </c>
      <c r="R24" s="24">
        <f>+COUNTIF(M21:M26,"="&amp;$O24)</f>
        <v>2</v>
      </c>
      <c r="S24" s="24">
        <f t="shared" si="91"/>
        <v>-2</v>
      </c>
      <c r="T24" s="24">
        <f t="shared" ref="T24" si="122">+SUMIF(E21:E26,$O24,F21:F26)+SUMIF(H21:H26,$O24,G21:G26)</f>
        <v>2</v>
      </c>
      <c r="U24" s="24">
        <f t="shared" ref="U24" si="123">+SUMIF(E21:E26,$O24,G21:G26)+SUMIF(H21:H26,$O24,F21:F26)</f>
        <v>4</v>
      </c>
      <c r="V24" s="45">
        <f t="shared" si="94"/>
        <v>2.9982024000000003</v>
      </c>
      <c r="W24" s="26" t="str">
        <f t="shared" si="95"/>
        <v>Escocia</v>
      </c>
      <c r="Y24" s="74" t="str">
        <f>+CONCATENATE("4",RIGHT(E20,1))</f>
        <v>4C</v>
      </c>
      <c r="Z24" s="75" t="str">
        <f>+VLOOKUP(AL24,V21:W24,2,FALSE)</f>
        <v>Haiti</v>
      </c>
      <c r="AA24" s="76">
        <f t="shared" si="96"/>
        <v>3</v>
      </c>
      <c r="AB24" s="77">
        <f t="shared" si="82"/>
        <v>0</v>
      </c>
      <c r="AC24" s="77">
        <f t="shared" si="82"/>
        <v>0</v>
      </c>
      <c r="AD24" s="77">
        <f t="shared" si="82"/>
        <v>3</v>
      </c>
      <c r="AE24" s="77">
        <f t="shared" si="82"/>
        <v>-8</v>
      </c>
      <c r="AF24" s="77">
        <f t="shared" si="82"/>
        <v>0</v>
      </c>
      <c r="AG24" s="77">
        <f t="shared" si="82"/>
        <v>8</v>
      </c>
      <c r="AH24" s="78">
        <f>+VLOOKUP($Z24,$O$21:$V$24,COLUMN()-26,FALSE)</f>
        <v>-7.9976999999999999E-3</v>
      </c>
      <c r="AI24" s="73"/>
      <c r="AL24" s="45">
        <f>+LARGE(V21:V24,4)</f>
        <v>-7.9976999999999999E-3</v>
      </c>
      <c r="AM24" s="52">
        <f t="shared" si="97"/>
        <v>0</v>
      </c>
      <c r="AP24" s="53" t="str">
        <f>+O24</f>
        <v>Escocia</v>
      </c>
      <c r="AQ24" s="23">
        <f>+P24*3+Q24*1+BT24+CN24+S24/1000+T24/10000</f>
        <v>2.9982000000000002</v>
      </c>
      <c r="AS24" s="54">
        <f t="shared" si="98"/>
        <v>0</v>
      </c>
      <c r="AT24" s="54">
        <f>+IF(AND(AM25="si",OR(AR21=1,AR22=1,AR23=1)),1,0)</f>
        <v>0</v>
      </c>
      <c r="AU24" s="79" t="str">
        <f t="shared" si="99"/>
        <v>Escocia</v>
      </c>
      <c r="AV24" s="80"/>
      <c r="AX24" s="23" t="str">
        <f>+Y20</f>
        <v>Grupo C</v>
      </c>
      <c r="AY24" s="24" t="str">
        <f t="shared" si="100"/>
        <v>Escocia</v>
      </c>
      <c r="AZ24" s="29">
        <f t="shared" si="101"/>
        <v>3</v>
      </c>
      <c r="BA24" s="29">
        <f>+COUNTIFS($AX$1:AX24,AX24,$AZ$1:AZ24,AZ24)</f>
        <v>1</v>
      </c>
      <c r="BB24" s="29">
        <f>+IF(AZ24=BF19,ROW()*0.001,AZ24)</f>
        <v>3</v>
      </c>
      <c r="BC24" s="29">
        <f>+COUNTIFS($AX$1:AZ24,AZ24,$AZ$1:BB24,BB24)</f>
        <v>1</v>
      </c>
      <c r="BD24" s="29"/>
      <c r="BE24" s="25" t="str">
        <f>+IF(OR(BF24="-",BI24="-",BF19=0),"-","OK")</f>
        <v>-</v>
      </c>
      <c r="BF24" s="57" t="str">
        <f>+IF(_xlfn.XLOOKUP($E24,$AY:$AY,$AZ:$AZ,"-",0)=BF19,$E24,"-")</f>
        <v>-</v>
      </c>
      <c r="BG24" s="58">
        <f t="shared" si="83"/>
        <v>0</v>
      </c>
      <c r="BH24" s="59">
        <f t="shared" si="84"/>
        <v>1</v>
      </c>
      <c r="BI24" s="57" t="str">
        <f>+IF(_xlfn.XLOOKUP($H24,$AY:$AY,$AZ:$AZ,"-",0)=BF19,$H24,"-")</f>
        <v>Marruecos</v>
      </c>
      <c r="BK24" s="26" t="str">
        <f t="shared" si="102"/>
        <v>Escocia</v>
      </c>
      <c r="BL24" s="26">
        <f t="shared" si="103"/>
        <v>0</v>
      </c>
      <c r="BM24" s="24">
        <f t="shared" si="104"/>
        <v>0</v>
      </c>
      <c r="BN24" s="24">
        <f t="shared" si="105"/>
        <v>0</v>
      </c>
      <c r="BO24" s="24">
        <f t="shared" si="106"/>
        <v>0</v>
      </c>
      <c r="BP24" s="24">
        <f t="shared" si="107"/>
        <v>0</v>
      </c>
      <c r="BQ24" s="24">
        <f>+SUMIFS(BG:BG,$BE:$BE,"OK",BF:BF,$BK24)+SUMIFS(BH:BH,$BE:$BE,"OK",BI:BI,$BK24)</f>
        <v>0</v>
      </c>
      <c r="BR24" s="24">
        <f t="shared" si="108"/>
        <v>0</v>
      </c>
      <c r="BS24" s="60">
        <f t="shared" si="109"/>
        <v>0</v>
      </c>
      <c r="BT24" s="29">
        <f>+IF(BL24=0,0,_xlfn.XLOOKUP(BS24,BV21:BV24,BW21:BW24))</f>
        <v>0</v>
      </c>
      <c r="BU24" s="45"/>
      <c r="BV24" s="24">
        <f>+LARGE(BS21:BS24,4)</f>
        <v>0</v>
      </c>
      <c r="BW24" s="24">
        <f>+BX24/$BW$1</f>
        <v>0</v>
      </c>
      <c r="BX24" s="23">
        <v>0</v>
      </c>
      <c r="BY24" s="25" t="str">
        <f t="shared" si="110"/>
        <v>-</v>
      </c>
      <c r="BZ24" s="57" t="str">
        <f>+IF(_xlfn.XLOOKUP($E24,$AY:$AY,$AZ:$AZ,"-",0)=BZ19,$E24,"-")</f>
        <v>-</v>
      </c>
      <c r="CA24" s="58">
        <f t="shared" si="85"/>
        <v>0</v>
      </c>
      <c r="CB24" s="59">
        <f t="shared" si="86"/>
        <v>1</v>
      </c>
      <c r="CC24" s="57" t="str">
        <f>+IF(_xlfn.XLOOKUP($H24,$AY:$AY,$AZ:$AZ,"-",0)=BZ19,$H24,"-")</f>
        <v>-</v>
      </c>
      <c r="CE24" s="26" t="str">
        <f t="shared" si="111"/>
        <v>Escocia</v>
      </c>
      <c r="CF24" s="26">
        <f t="shared" si="112"/>
        <v>0</v>
      </c>
      <c r="CG24" s="24">
        <f t="shared" si="113"/>
        <v>0</v>
      </c>
      <c r="CH24" s="24">
        <f t="shared" si="114"/>
        <v>0</v>
      </c>
      <c r="CI24" s="24">
        <f t="shared" si="115"/>
        <v>0</v>
      </c>
      <c r="CJ24" s="24">
        <f t="shared" si="116"/>
        <v>0</v>
      </c>
      <c r="CK24" s="24">
        <f t="shared" si="117"/>
        <v>0</v>
      </c>
      <c r="CL24" s="24">
        <f t="shared" si="118"/>
        <v>0</v>
      </c>
      <c r="CM24" s="60">
        <f t="shared" si="119"/>
        <v>0</v>
      </c>
      <c r="CN24" s="29">
        <f>+IF(CF24=0,0,_xlfn.XLOOKUP(CM24,CP21:CP24,CQ21:CQ24))</f>
        <v>0</v>
      </c>
      <c r="CO24" s="45"/>
      <c r="CP24" s="24">
        <f>+LARGE(CM21:CM24,4)</f>
        <v>0</v>
      </c>
      <c r="CQ24" s="24">
        <f>+CR24/$BW$1</f>
        <v>0</v>
      </c>
      <c r="CR24" s="23">
        <v>0</v>
      </c>
    </row>
    <row r="25" spans="1:102" x14ac:dyDescent="0.2">
      <c r="A25" s="38" t="s">
        <v>137</v>
      </c>
      <c r="B25" s="39">
        <v>46197</v>
      </c>
      <c r="C25" s="40"/>
      <c r="D25" s="41"/>
      <c r="E25" s="42" t="s">
        <v>80</v>
      </c>
      <c r="F25" s="43">
        <v>0</v>
      </c>
      <c r="G25" s="43">
        <v>3</v>
      </c>
      <c r="H25" s="44" t="s">
        <v>53</v>
      </c>
      <c r="J25" s="24" t="str">
        <f t="shared" si="87"/>
        <v>Brasil</v>
      </c>
      <c r="K25" s="24" t="str">
        <f t="shared" si="88"/>
        <v/>
      </c>
      <c r="L25" s="24" t="str">
        <f t="shared" si="89"/>
        <v/>
      </c>
      <c r="M25" s="24" t="str">
        <f t="shared" si="90"/>
        <v>Escocia</v>
      </c>
      <c r="AL25" s="25" t="s">
        <v>122</v>
      </c>
      <c r="AM25" s="52" t="str">
        <f>+IF(SUM(AA21:AA24)=12,"si","no")</f>
        <v>si</v>
      </c>
      <c r="BE25" s="25" t="str">
        <f>+IF(OR(BF25="-",BI25="-",BF19=0),"-","OK")</f>
        <v>-</v>
      </c>
      <c r="BF25" s="57" t="str">
        <f>+IF(_xlfn.XLOOKUP($E25,$AY:$AY,$AZ:$AZ,"-",0)=BF19,$E25,"-")</f>
        <v>-</v>
      </c>
      <c r="BG25" s="58">
        <f t="shared" si="83"/>
        <v>0</v>
      </c>
      <c r="BH25" s="59">
        <f t="shared" si="84"/>
        <v>3</v>
      </c>
      <c r="BI25" s="57" t="str">
        <f>+IF(_xlfn.XLOOKUP($H25,$AY:$AY,$AZ:$AZ,"-",0)=BF19,$H25,"-")</f>
        <v>Brasil</v>
      </c>
      <c r="BY25" s="25" t="str">
        <f t="shared" si="110"/>
        <v>-</v>
      </c>
      <c r="BZ25" s="57" t="str">
        <f>+IF(_xlfn.XLOOKUP($E25,$AY:$AY,$AZ:$AZ,"-",0)=BZ19,$E25,"-")</f>
        <v>-</v>
      </c>
      <c r="CA25" s="58">
        <f t="shared" si="85"/>
        <v>0</v>
      </c>
      <c r="CB25" s="59">
        <f t="shared" si="86"/>
        <v>3</v>
      </c>
      <c r="CC25" s="57" t="str">
        <f>+IF(_xlfn.XLOOKUP($H25,$AY:$AY,$AZ:$AZ,"-",0)=BZ19,$H25,"-")</f>
        <v>-</v>
      </c>
    </row>
    <row r="26" spans="1:102" x14ac:dyDescent="0.2">
      <c r="A26" s="38" t="s">
        <v>138</v>
      </c>
      <c r="B26" s="39">
        <v>46197</v>
      </c>
      <c r="C26" s="40"/>
      <c r="D26" s="41"/>
      <c r="E26" s="42" t="s">
        <v>59</v>
      </c>
      <c r="F26" s="43">
        <v>2</v>
      </c>
      <c r="G26" s="43">
        <v>0</v>
      </c>
      <c r="H26" s="44" t="s">
        <v>94</v>
      </c>
      <c r="J26" s="24" t="str">
        <f t="shared" si="87"/>
        <v>Marruecos</v>
      </c>
      <c r="K26" s="24" t="str">
        <f t="shared" si="88"/>
        <v/>
      </c>
      <c r="L26" s="24" t="str">
        <f t="shared" si="89"/>
        <v/>
      </c>
      <c r="M26" s="24" t="str">
        <f t="shared" si="90"/>
        <v>Haiti</v>
      </c>
      <c r="Y26" s="53" t="s">
        <v>124</v>
      </c>
      <c r="AR26" s="23">
        <f>+IF(AND(AM25="si",OR(AR21=1,AR22=1,AR23=1)),1,0)</f>
        <v>0</v>
      </c>
      <c r="BE26" s="25" t="str">
        <f>+IF(OR(BF26="-",BI26="-",BF19=0),"-","OK")</f>
        <v>-</v>
      </c>
      <c r="BF26" s="57" t="str">
        <f>+IF(_xlfn.XLOOKUP($E26,$AY:$AY,$AZ:$AZ,"-",0)=BF19,$E26,"-")</f>
        <v>Marruecos</v>
      </c>
      <c r="BG26" s="58">
        <f t="shared" si="83"/>
        <v>2</v>
      </c>
      <c r="BH26" s="59">
        <f t="shared" si="84"/>
        <v>0</v>
      </c>
      <c r="BI26" s="57" t="str">
        <f>+IF(_xlfn.XLOOKUP($H26,$AY:$AY,$AZ:$AZ,"-",0)=BF19,$H26,"-")</f>
        <v>-</v>
      </c>
      <c r="BY26" s="25" t="str">
        <f t="shared" si="110"/>
        <v>-</v>
      </c>
      <c r="BZ26" s="57" t="str">
        <f>+IF(_xlfn.XLOOKUP($E26,$AY:$AY,$AZ:$AZ,"-",0)=BZ19,$E26,"-")</f>
        <v>-</v>
      </c>
      <c r="CA26" s="58">
        <f t="shared" si="85"/>
        <v>2</v>
      </c>
      <c r="CB26" s="59">
        <f t="shared" si="86"/>
        <v>0</v>
      </c>
      <c r="CC26" s="57" t="str">
        <f>+IF(_xlfn.XLOOKUP($H26,$AY:$AY,$AZ:$AZ,"-",0)=BZ19,$H26,"-")</f>
        <v>Haiti</v>
      </c>
    </row>
    <row r="27" spans="1:102" s="83" customFormat="1" x14ac:dyDescent="0.2">
      <c r="A27" s="81"/>
      <c r="B27" s="82"/>
      <c r="C27" s="81"/>
      <c r="E27" s="84"/>
      <c r="F27" s="81"/>
      <c r="G27" s="81"/>
      <c r="H27" s="85"/>
      <c r="J27" s="81"/>
      <c r="K27" s="81"/>
      <c r="L27" s="81"/>
      <c r="M27" s="81"/>
      <c r="AV27" s="86"/>
      <c r="AW27" s="86"/>
      <c r="BE27" s="81"/>
      <c r="CW27" s="81"/>
      <c r="CX27" s="81"/>
    </row>
    <row r="28" spans="1:102" x14ac:dyDescent="0.2">
      <c r="A28" s="23"/>
      <c r="BF28" s="28" t="str">
        <f>+IF(BA30&gt;1,AZ30,IF(BA31&gt;1,AZ31,IF(BA32&gt;1,AZ32,IF(BA33&gt;1,AZ33,"-"))))</f>
        <v>-</v>
      </c>
      <c r="BW28" s="23">
        <v>10</v>
      </c>
      <c r="BZ28" s="29">
        <f>+IF(BC30&gt;1,BB30,IF(BC31&gt;1,BB31,IF(BC32&gt;1,BB32,IF(BC33&gt;1,BB33,"-"))))</f>
        <v>7</v>
      </c>
      <c r="CQ28" s="23">
        <v>10</v>
      </c>
    </row>
    <row r="29" spans="1:102" x14ac:dyDescent="0.2">
      <c r="A29" s="313" t="s">
        <v>100</v>
      </c>
      <c r="B29" s="314" t="s">
        <v>101</v>
      </c>
      <c r="C29" s="314" t="s">
        <v>102</v>
      </c>
      <c r="D29" s="315"/>
      <c r="E29" s="316" t="s">
        <v>139</v>
      </c>
      <c r="F29" s="317"/>
      <c r="G29" s="317"/>
      <c r="H29" s="318"/>
      <c r="J29" s="24" t="s">
        <v>104</v>
      </c>
      <c r="K29" s="24" t="s">
        <v>105</v>
      </c>
      <c r="L29" s="24" t="s">
        <v>105</v>
      </c>
      <c r="M29" s="24" t="s">
        <v>106</v>
      </c>
      <c r="O29" s="26" t="str">
        <f>+E29</f>
        <v>Grupo D</v>
      </c>
      <c r="P29" s="24" t="s">
        <v>104</v>
      </c>
      <c r="Q29" s="24" t="s">
        <v>105</v>
      </c>
      <c r="R29" s="24" t="s">
        <v>106</v>
      </c>
      <c r="S29" s="24" t="s">
        <v>107</v>
      </c>
      <c r="T29" s="24" t="s">
        <v>108</v>
      </c>
      <c r="U29" s="24" t="s">
        <v>109</v>
      </c>
      <c r="V29" s="24" t="s">
        <v>0</v>
      </c>
      <c r="W29" s="24"/>
      <c r="Y29" s="490" t="s">
        <v>139</v>
      </c>
      <c r="Z29" s="491"/>
      <c r="AA29" s="319" t="s">
        <v>110</v>
      </c>
      <c r="AB29" s="320" t="s">
        <v>104</v>
      </c>
      <c r="AC29" s="320" t="s">
        <v>105</v>
      </c>
      <c r="AD29" s="320" t="s">
        <v>106</v>
      </c>
      <c r="AE29" s="320" t="s">
        <v>107</v>
      </c>
      <c r="AF29" s="320" t="s">
        <v>108</v>
      </c>
      <c r="AG29" s="320" t="s">
        <v>109</v>
      </c>
      <c r="AH29" s="321" t="s">
        <v>0</v>
      </c>
      <c r="AI29" s="93"/>
      <c r="AL29" s="24" t="s">
        <v>0</v>
      </c>
      <c r="AM29" s="24" t="s">
        <v>111</v>
      </c>
      <c r="AN29" s="24"/>
      <c r="AO29" s="24"/>
      <c r="AP29" s="24"/>
      <c r="AQ29" s="24"/>
      <c r="AR29" s="24"/>
      <c r="AS29" s="24"/>
      <c r="AT29" s="24"/>
      <c r="AU29" s="24"/>
      <c r="AY29" s="24" t="s">
        <v>112</v>
      </c>
      <c r="AZ29" s="24" t="s">
        <v>0</v>
      </c>
      <c r="BA29" s="24" t="s">
        <v>113</v>
      </c>
      <c r="BB29" s="24"/>
      <c r="BC29" s="24"/>
      <c r="BD29" s="24"/>
      <c r="BK29" s="26"/>
      <c r="BL29" s="26" t="s">
        <v>110</v>
      </c>
      <c r="BM29" s="24" t="s">
        <v>104</v>
      </c>
      <c r="BN29" s="24" t="s">
        <v>105</v>
      </c>
      <c r="BO29" s="24" t="s">
        <v>106</v>
      </c>
      <c r="BP29" s="24" t="s">
        <v>107</v>
      </c>
      <c r="BQ29" s="24" t="s">
        <v>108</v>
      </c>
      <c r="BR29" s="24" t="s">
        <v>109</v>
      </c>
      <c r="BS29" s="24" t="s">
        <v>0</v>
      </c>
      <c r="BT29" s="24" t="s">
        <v>114</v>
      </c>
      <c r="BU29" s="24"/>
      <c r="BV29" s="24" t="s">
        <v>115</v>
      </c>
      <c r="BW29" s="24" t="s">
        <v>114</v>
      </c>
      <c r="CE29" s="26"/>
      <c r="CF29" s="26" t="s">
        <v>110</v>
      </c>
      <c r="CG29" s="24" t="s">
        <v>104</v>
      </c>
      <c r="CH29" s="24" t="s">
        <v>105</v>
      </c>
      <c r="CI29" s="24" t="s">
        <v>106</v>
      </c>
      <c r="CJ29" s="24" t="s">
        <v>107</v>
      </c>
      <c r="CK29" s="24" t="s">
        <v>108</v>
      </c>
      <c r="CL29" s="24" t="s">
        <v>109</v>
      </c>
      <c r="CM29" s="24" t="s">
        <v>0</v>
      </c>
      <c r="CN29" s="24" t="s">
        <v>114</v>
      </c>
      <c r="CO29" s="24"/>
      <c r="CP29" s="24" t="s">
        <v>115</v>
      </c>
      <c r="CQ29" s="24" t="s">
        <v>114</v>
      </c>
    </row>
    <row r="30" spans="1:102" x14ac:dyDescent="0.2">
      <c r="A30" s="38" t="s">
        <v>140</v>
      </c>
      <c r="B30" s="39">
        <v>46185</v>
      </c>
      <c r="C30" s="40"/>
      <c r="D30" s="41"/>
      <c r="E30" s="42" t="s">
        <v>63</v>
      </c>
      <c r="F30" s="43">
        <v>1</v>
      </c>
      <c r="G30" s="43">
        <v>0</v>
      </c>
      <c r="H30" s="44" t="s">
        <v>71</v>
      </c>
      <c r="J30" s="24" t="str">
        <f>IF(OR(ISBLANK(F30),ISBLANK(G30)),"",IF(F30&gt;G30,E30,IF(G30&gt;F30,H30,"")))</f>
        <v>Estados Unidos</v>
      </c>
      <c r="K30" s="24" t="str">
        <f>IF(OR(ISBLANK(F30),ISBLANK(G30)),"",IF(F30=G30,E30,""))</f>
        <v/>
      </c>
      <c r="L30" s="24" t="str">
        <f>IF(OR(ISBLANK(F30),ISBLANK(G30)),"",IF(F30=G30,H30,""))</f>
        <v/>
      </c>
      <c r="M30" s="24" t="str">
        <f>IF(OR(ISBLANK(F30),ISBLANK(G30)),"",IF(F30&lt;G30,E30,IF(G30&lt;F30,H30,"")))</f>
        <v>Paraguay</v>
      </c>
      <c r="O30" s="26" t="str">
        <f>+E30</f>
        <v>Estados Unidos</v>
      </c>
      <c r="P30" s="24">
        <f>+COUNTIF(J30:J35,"="&amp;$O30)</f>
        <v>2</v>
      </c>
      <c r="Q30" s="24">
        <f>+COUNTIF(K30:L35,"="&amp;$O30)</f>
        <v>1</v>
      </c>
      <c r="R30" s="24">
        <f>+COUNTIF(M30:M35,"="&amp;$O30)</f>
        <v>0</v>
      </c>
      <c r="S30" s="24">
        <f>+T30-U30</f>
        <v>3</v>
      </c>
      <c r="T30" s="24">
        <f t="shared" ref="T30" si="124">+SUMIF(E30:E35,$O30,F30:F35)+SUMIF(H30:H35,$O30,G30:G35)</f>
        <v>5</v>
      </c>
      <c r="U30" s="24">
        <f t="shared" ref="U30" si="125">+SUMIF(E30:E35,$O30,G30:G35)+SUMIF(H30:H35,$O30,F30:F35)</f>
        <v>2</v>
      </c>
      <c r="V30" s="45">
        <f>+P30*3+Q30*1+BT30+CN30+S30/1000+T30/10000+AV30/1000000+ROW()/10000000</f>
        <v>7.0035030000000003</v>
      </c>
      <c r="W30" s="26" t="str">
        <f>+O30</f>
        <v>Estados Unidos</v>
      </c>
      <c r="Y30" s="46" t="str">
        <f>+CONCATENATE("1",RIGHT(E29,1))</f>
        <v>1D</v>
      </c>
      <c r="Z30" s="47" t="str">
        <f>+VLOOKUP(AL30,V30:W33,2,FALSE)</f>
        <v>Estados Unidos</v>
      </c>
      <c r="AA30" s="48">
        <f>+SUM(AB30:AD30)</f>
        <v>3</v>
      </c>
      <c r="AB30" s="49">
        <f t="shared" ref="AB30:AG33" si="126">+VLOOKUP($Z30,$O$30:$U$33,COLUMN()-26,FALSE)</f>
        <v>2</v>
      </c>
      <c r="AC30" s="49">
        <f t="shared" si="126"/>
        <v>1</v>
      </c>
      <c r="AD30" s="49">
        <f t="shared" si="126"/>
        <v>0</v>
      </c>
      <c r="AE30" s="49">
        <f t="shared" si="126"/>
        <v>3</v>
      </c>
      <c r="AF30" s="49">
        <f t="shared" si="126"/>
        <v>5</v>
      </c>
      <c r="AG30" s="49">
        <f t="shared" si="126"/>
        <v>2</v>
      </c>
      <c r="AH30" s="50">
        <f>+VLOOKUP($Z30,$O$30:$V$33,COLUMN()-26,FALSE)</f>
        <v>7.0035030000000003</v>
      </c>
      <c r="AI30" s="51"/>
      <c r="AL30" s="45">
        <f>+LARGE(V30:V33,1)</f>
        <v>7.0035030000000003</v>
      </c>
      <c r="AM30" s="52">
        <f>+(AH30-AL30)*100000000000000000000</f>
        <v>0</v>
      </c>
      <c r="AP30" s="53" t="str">
        <f>+O30</f>
        <v>Estados Unidos</v>
      </c>
      <c r="AQ30" s="23">
        <f>+P30*3+Q30*1+BT30+CN30+S30/1000+T30/10000</f>
        <v>7.0034999999999998</v>
      </c>
      <c r="AR30" s="23" t="b">
        <f>+IF(OR(AQ30=AQ31,AQ30=AQ32,AQ30=AQ33),1)</f>
        <v>0</v>
      </c>
      <c r="AS30" s="54">
        <f>+AV30</f>
        <v>0</v>
      </c>
      <c r="AT30" s="54">
        <f>+IF(AND(AM34="si",OR(AR30=1,AR31=1,AR32=1)),1,0)</f>
        <v>0</v>
      </c>
      <c r="AU30" s="55" t="str">
        <f>+O30</f>
        <v>Estados Unidos</v>
      </c>
      <c r="AV30" s="56"/>
      <c r="AX30" s="23" t="str">
        <f>+Y29</f>
        <v>Grupo D</v>
      </c>
      <c r="AY30" s="24" t="str">
        <f>+O30</f>
        <v>Estados Unidos</v>
      </c>
      <c r="AZ30" s="29">
        <f>+P30*3+Q30</f>
        <v>7</v>
      </c>
      <c r="BA30" s="29">
        <f>+COUNTIFS($AX$1:AX30,AX30,$AZ$1:AZ30,AZ30)</f>
        <v>1</v>
      </c>
      <c r="BB30" s="29">
        <f>+IF(AZ30=BF28,ROW()*0.001,AZ30)</f>
        <v>7</v>
      </c>
      <c r="BC30" s="29">
        <f>+COUNTIFS($AX$1:AZ30,AZ30,$AZ$1:BB30,BB30)</f>
        <v>4</v>
      </c>
      <c r="BD30" s="29"/>
      <c r="BE30" s="25" t="str">
        <f>+IF(OR(BF30="-",BI30="-",BF28=0),"-","OK")</f>
        <v>-</v>
      </c>
      <c r="BF30" s="57" t="str">
        <f>+IF(_xlfn.XLOOKUP($E30,$AY:$AY,$AZ:$AZ,"-",0)=BF28,$E30,"-")</f>
        <v>-</v>
      </c>
      <c r="BG30" s="58">
        <f t="shared" ref="BG30:BG35" si="127">+$F30</f>
        <v>1</v>
      </c>
      <c r="BH30" s="59">
        <f t="shared" ref="BH30:BH35" si="128">+$G30</f>
        <v>0</v>
      </c>
      <c r="BI30" s="57" t="str">
        <f>+IF(_xlfn.XLOOKUP($H30,$AY:$AY,$AZ:$AZ,"-",0)=BF28,$H30,"-")</f>
        <v>-</v>
      </c>
      <c r="BK30" s="26" t="str">
        <f>+O30</f>
        <v>Estados Unidos</v>
      </c>
      <c r="BL30" s="26">
        <f>+COUNTIFS($BE:$BE,"OK",$BI:$BI,BK30)+COUNTIFS($BE:$BE,"OK",$BF:$BF,BK30)</f>
        <v>0</v>
      </c>
      <c r="BM30" s="24">
        <f>+COUNTIFS(J:J,$BK30,$BE:$BE,"OK")</f>
        <v>0</v>
      </c>
      <c r="BN30" s="24">
        <f>+COUNTIFS(K:K,$BK30,$BE:$BE,"OK")+COUNTIFS(L:L,$BK30,$BE:$BE,"OK")</f>
        <v>0</v>
      </c>
      <c r="BO30" s="24">
        <f>+COUNTIFS(M:M,$BK30,$BE:$BE,"OK")</f>
        <v>0</v>
      </c>
      <c r="BP30" s="24">
        <f>+BQ30-BR30</f>
        <v>0</v>
      </c>
      <c r="BQ30" s="24">
        <f>+SUMIFS(BG:BG,$BE:$BE,"OK",BF:BF,$BK30)+SUMIFS(BH:BH,$BE:$BE,"OK",BI:BI,$BK30)</f>
        <v>0</v>
      </c>
      <c r="BR30" s="24">
        <f>+SUMIFS(BH:BH,$BE:$BE,"OK",BF:BF,$BK30)+SUMIFS(BG:BG,$BE:$BE,"OK",BI:BI,$BK30)</f>
        <v>0</v>
      </c>
      <c r="BS30" s="60">
        <f>+BM30*3+BN30*1+BP30/100+BQ30/10000</f>
        <v>0</v>
      </c>
      <c r="BT30" s="29">
        <f>+IF(BL30=0,0,_xlfn.XLOOKUP(BS30,BV30:BV33,BW30:BW33))</f>
        <v>0</v>
      </c>
      <c r="BU30" s="45"/>
      <c r="BV30" s="24">
        <f>+LARGE(BS30:BS33,1)</f>
        <v>0</v>
      </c>
      <c r="BW30" s="24">
        <f>+BX30/$BW$1</f>
        <v>0.3</v>
      </c>
      <c r="BX30" s="23">
        <v>3</v>
      </c>
      <c r="BY30" s="25" t="str">
        <f>+IF(OR(BZ30="-",CC30="-"),"-","OK")</f>
        <v>-</v>
      </c>
      <c r="BZ30" s="57" t="str">
        <f>+IF(_xlfn.XLOOKUP($E30,$AY:$AY,$AZ:$AZ,"-",0)=BZ28,$E30,"-")</f>
        <v>Estados Unidos</v>
      </c>
      <c r="CA30" s="58">
        <f t="shared" ref="CA30:CA35" si="129">+$F30</f>
        <v>1</v>
      </c>
      <c r="CB30" s="59">
        <f t="shared" ref="CB30:CB35" si="130">+$G30</f>
        <v>0</v>
      </c>
      <c r="CC30" s="57" t="str">
        <f>+IF(_xlfn.XLOOKUP($H30,$AY:$AY,$AZ:$AZ,"-",0)=BZ28,$H30,"-")</f>
        <v>-</v>
      </c>
      <c r="CE30" s="26" t="str">
        <f>+BK30</f>
        <v>Estados Unidos</v>
      </c>
      <c r="CF30" s="26">
        <f>+COUNTIFS($BY:$BY,"OK",$CC:$CC,CE30)+COUNTIFS($BY:$BY,"OK",$BZ:$BZ,CE30)</f>
        <v>0</v>
      </c>
      <c r="CG30" s="24">
        <f>+COUNTIFS(P:P,$BK30,$BY:$BY,"OK")</f>
        <v>0</v>
      </c>
      <c r="CH30" s="24">
        <f>+COUNTIFS(K:K,$BK30,$BY:$BY,"OK")+COUNTIFS(L:L,$BK30,$BY:$BY,"OK")</f>
        <v>0</v>
      </c>
      <c r="CI30" s="24">
        <f>+COUNTIFS(M:M,$CE30,$BY:$BY,"OK")</f>
        <v>0</v>
      </c>
      <c r="CJ30" s="24">
        <f>+CK30-CL30</f>
        <v>0</v>
      </c>
      <c r="CK30" s="24">
        <f>+SUMIFS(CA:CA,$BY:$BY,"OK",BZ:BZ,$BK30)+SUMIFS(CB:CB,$BY:$BY,"OK",CC:CC,$BK30)</f>
        <v>0</v>
      </c>
      <c r="CL30" s="24">
        <f>+SUMIFS(CB:CB,$BY:$BY,"OK",BZ:BZ,$BK30)+SUMIFS(CA:CA,$BY:$BY,"OK",CC:CC,$BK30)</f>
        <v>0</v>
      </c>
      <c r="CM30" s="60">
        <f>+CG30*3+CH30*1+CJ30/100+CK30/10000</f>
        <v>0</v>
      </c>
      <c r="CN30" s="29">
        <f>+IF(CF30=0,0,_xlfn.XLOOKUP(CM30,CP30:CP33,CQ30:CQ33))</f>
        <v>0</v>
      </c>
      <c r="CO30" s="45"/>
      <c r="CP30" s="24">
        <f>+LARGE(CM30:CM33,1)</f>
        <v>0</v>
      </c>
      <c r="CQ30" s="24">
        <f>+CR30/$BW$1</f>
        <v>0.3</v>
      </c>
      <c r="CR30" s="23">
        <v>3</v>
      </c>
    </row>
    <row r="31" spans="1:102" x14ac:dyDescent="0.2">
      <c r="A31" s="38" t="s">
        <v>141</v>
      </c>
      <c r="B31" s="39">
        <v>46187</v>
      </c>
      <c r="C31" s="40"/>
      <c r="D31" s="41"/>
      <c r="E31" s="42" t="s">
        <v>73</v>
      </c>
      <c r="F31" s="43">
        <v>1</v>
      </c>
      <c r="G31" s="43">
        <v>2</v>
      </c>
      <c r="H31" s="44" t="s">
        <v>66</v>
      </c>
      <c r="J31" s="24" t="str">
        <f t="shared" ref="J31:J35" si="131">IF(OR(ISBLANK(F31),ISBLANK(G31)),"",IF(F31&gt;G31,E31,IF(G31&gt;F31,H31,"")))</f>
        <v>Turquia</v>
      </c>
      <c r="K31" s="24" t="str">
        <f t="shared" ref="K31:K35" si="132">IF(OR(ISBLANK(F31),ISBLANK(G31)),"",IF(F31=G31,E31,""))</f>
        <v/>
      </c>
      <c r="L31" s="24" t="str">
        <f t="shared" ref="L31:L35" si="133">IF(OR(ISBLANK(F31),ISBLANK(G31)),"",IF(F31=G31,H31,""))</f>
        <v/>
      </c>
      <c r="M31" s="24" t="str">
        <f t="shared" ref="M31:M35" si="134">IF(OR(ISBLANK(F31),ISBLANK(G31)),"",IF(F31&lt;G31,E31,IF(G31&lt;F31,H31,"")))</f>
        <v>Australia</v>
      </c>
      <c r="O31" s="26" t="str">
        <f>+H30</f>
        <v>Paraguay</v>
      </c>
      <c r="P31" s="24">
        <f>+COUNTIF(J30:J35,"="&amp;$O31)</f>
        <v>1</v>
      </c>
      <c r="Q31" s="24">
        <f>+COUNTIF(K30:L35,"="&amp;$O31)</f>
        <v>1</v>
      </c>
      <c r="R31" s="24">
        <f>+COUNTIF(M30:M35,"="&amp;$O31)</f>
        <v>1</v>
      </c>
      <c r="S31" s="24">
        <f t="shared" ref="S31:S33" si="135">+T31-U31</f>
        <v>0</v>
      </c>
      <c r="T31" s="24">
        <f t="shared" ref="T31" si="136">+SUMIF(E30:E35,$O31,F30:F35)+SUMIF(H30:H35,$O31,G30:G35)</f>
        <v>2</v>
      </c>
      <c r="U31" s="24">
        <f t="shared" ref="U31" si="137">+SUMIF(E30:E35,$O31,G30:G35)+SUMIF(H30:H35,$O31,F30:F35)</f>
        <v>2</v>
      </c>
      <c r="V31" s="45">
        <f t="shared" ref="V31:V33" si="138">+P31*3+Q31*1+BT31+CN31+S31/1000+T31/10000+AV31/1000000+ROW()/10000000</f>
        <v>4.0002031000000002</v>
      </c>
      <c r="W31" s="26" t="str">
        <f t="shared" ref="W31:W33" si="139">+O31</f>
        <v>Paraguay</v>
      </c>
      <c r="Y31" s="61" t="str">
        <f>+CONCATENATE("2",RIGHT(E29,1))</f>
        <v>2D</v>
      </c>
      <c r="Z31" s="62" t="str">
        <f>+VLOOKUP(AL31,V30:W33,2,FALSE)</f>
        <v>Turquia</v>
      </c>
      <c r="AA31" s="63">
        <f t="shared" ref="AA31:AA33" si="140">+SUM(AB31:AD31)</f>
        <v>3</v>
      </c>
      <c r="AB31" s="64">
        <f t="shared" si="126"/>
        <v>1</v>
      </c>
      <c r="AC31" s="64">
        <f t="shared" si="126"/>
        <v>2</v>
      </c>
      <c r="AD31" s="64">
        <f t="shared" si="126"/>
        <v>0</v>
      </c>
      <c r="AE31" s="64">
        <f t="shared" si="126"/>
        <v>1</v>
      </c>
      <c r="AF31" s="64">
        <f t="shared" si="126"/>
        <v>5</v>
      </c>
      <c r="AG31" s="64">
        <f t="shared" si="126"/>
        <v>4</v>
      </c>
      <c r="AH31" s="65">
        <f>+VLOOKUP($Z31,$O$30:$V$33,COLUMN()-26,FALSE)</f>
        <v>5.0015033000000004</v>
      </c>
      <c r="AI31" s="51"/>
      <c r="AL31" s="45">
        <f>+LARGE(V30:V33,2)</f>
        <v>5.0015033000000004</v>
      </c>
      <c r="AM31" s="52">
        <f t="shared" ref="AM31:AM33" si="141">+(AH31-AL31)*100000000000000000000</f>
        <v>0</v>
      </c>
      <c r="AP31" s="53" t="str">
        <f>+O31</f>
        <v>Paraguay</v>
      </c>
      <c r="AQ31" s="23">
        <f>+P31*3+Q31*1+BT31+CN31+S31/1000+T31/10000</f>
        <v>4.0002000000000004</v>
      </c>
      <c r="AR31" s="23" t="b">
        <f>+IF(OR(AQ31=AQ32,AQ31=AQ33),1)</f>
        <v>0</v>
      </c>
      <c r="AS31" s="54">
        <f t="shared" ref="AS31:AS33" si="142">+AV31</f>
        <v>0</v>
      </c>
      <c r="AT31" s="54">
        <f>+IF(AND(AM34="si",OR(AR30=1,AR31=1,AR32=1)),1,0)</f>
        <v>0</v>
      </c>
      <c r="AU31" s="66" t="str">
        <f t="shared" ref="AU31:AU33" si="143">+O31</f>
        <v>Paraguay</v>
      </c>
      <c r="AV31" s="67"/>
      <c r="AX31" s="23" t="str">
        <f>+Y29</f>
        <v>Grupo D</v>
      </c>
      <c r="AY31" s="24" t="str">
        <f t="shared" ref="AY31:AY33" si="144">+O31</f>
        <v>Paraguay</v>
      </c>
      <c r="AZ31" s="29">
        <f t="shared" ref="AZ31:AZ33" si="145">+P31*3+Q31</f>
        <v>4</v>
      </c>
      <c r="BA31" s="29">
        <f>+COUNTIFS($AX$1:AX31,AX31,$AZ$1:AZ31,AZ31)</f>
        <v>1</v>
      </c>
      <c r="BB31" s="29">
        <f>+IF(AZ31=BF28,ROW()*0.001,AZ31)</f>
        <v>4</v>
      </c>
      <c r="BC31" s="29">
        <f>+COUNTIFS($AX$1:AZ31,AZ31,$AZ$1:BB31,BB31)</f>
        <v>2</v>
      </c>
      <c r="BD31" s="29"/>
      <c r="BE31" s="25" t="str">
        <f>+IF(OR(BF31="-",BI31="-",BF28=0),"-","OK")</f>
        <v>-</v>
      </c>
      <c r="BF31" s="57" t="str">
        <f>+IF(_xlfn.XLOOKUP($E31,$AY:$AY,$AZ:$AZ,"-",0)=BF28,$E31,"-")</f>
        <v>-</v>
      </c>
      <c r="BG31" s="58">
        <f t="shared" si="127"/>
        <v>1</v>
      </c>
      <c r="BH31" s="59">
        <f t="shared" si="128"/>
        <v>2</v>
      </c>
      <c r="BI31" s="57" t="str">
        <f>+IF(_xlfn.XLOOKUP($H31,$AY:$AY,$AZ:$AZ,"-",0)=BF28,$H31,"-")</f>
        <v>-</v>
      </c>
      <c r="BK31" s="26" t="str">
        <f t="shared" ref="BK31:BK33" si="146">+O31</f>
        <v>Paraguay</v>
      </c>
      <c r="BL31" s="26">
        <f t="shared" ref="BL31:BL33" si="147">+COUNTIFS($BE:$BE,"OK",$BI:$BI,BK31)+COUNTIFS($BE:$BE,"OK",$BF:$BF,BK31)</f>
        <v>0</v>
      </c>
      <c r="BM31" s="24">
        <f t="shared" ref="BM31:BM33" si="148">+COUNTIFS(J:J,$BK31,$BE:$BE,"OK")</f>
        <v>0</v>
      </c>
      <c r="BN31" s="24">
        <f t="shared" ref="BN31:BN33" si="149">+COUNTIFS(K:K,$BK31,$BE:$BE,"OK")+COUNTIFS(L:L,$BK31,$BE:$BE,"OK")</f>
        <v>0</v>
      </c>
      <c r="BO31" s="24">
        <f t="shared" ref="BO31:BO33" si="150">+COUNTIFS(M:M,$BK31,$BE:$BE,"OK")</f>
        <v>0</v>
      </c>
      <c r="BP31" s="24">
        <f t="shared" ref="BP31:BP33" si="151">+BQ31-BR31</f>
        <v>0</v>
      </c>
      <c r="BQ31" s="24">
        <f>+SUMIFS(BG:BG,$BE:$BE,"OK",BF:BF,$BK31)+SUMIFS(BH:BH,$BE:$BE,"OK",BI:BI,$BK31)</f>
        <v>0</v>
      </c>
      <c r="BR31" s="24">
        <f t="shared" ref="BR31:BR33" si="152">+SUMIFS(BH:BH,$BE:$BE,"OK",BF:BF,$BK31)+SUMIFS(BG:BG,$BE:$BE,"OK",BI:BI,$BK31)</f>
        <v>0</v>
      </c>
      <c r="BS31" s="60">
        <f t="shared" ref="BS31:BS33" si="153">+BM31*3+BN31*1+BP31/100+BQ31/10000</f>
        <v>0</v>
      </c>
      <c r="BT31" s="29">
        <f>+IF(BL31=0,0,_xlfn.XLOOKUP(BS31,BV30:BV33,BW30:BW33))</f>
        <v>0</v>
      </c>
      <c r="BU31" s="45"/>
      <c r="BV31" s="24">
        <f>+LARGE(BS30:BS33,2)</f>
        <v>0</v>
      </c>
      <c r="BW31" s="24">
        <f>+BX31/$BW$1</f>
        <v>0.2</v>
      </c>
      <c r="BX31" s="23">
        <v>2</v>
      </c>
      <c r="BY31" s="25" t="str">
        <f t="shared" ref="BY31:BY35" si="154">+IF(OR(BZ31="-",CC31="-"),"-","OK")</f>
        <v>-</v>
      </c>
      <c r="BZ31" s="57" t="str">
        <f>+IF(_xlfn.XLOOKUP($E31,$AY:$AY,$AZ:$AZ,"-",0)=BZ28,$E31,"-")</f>
        <v>-</v>
      </c>
      <c r="CA31" s="58">
        <f t="shared" si="129"/>
        <v>1</v>
      </c>
      <c r="CB31" s="59">
        <f t="shared" si="130"/>
        <v>2</v>
      </c>
      <c r="CC31" s="57" t="str">
        <f>+IF(_xlfn.XLOOKUP($H31,$AY:$AY,$AZ:$AZ,"-",0)=BZ28,$H31,"-")</f>
        <v>-</v>
      </c>
      <c r="CE31" s="26" t="str">
        <f t="shared" ref="CE31:CE33" si="155">+BK31</f>
        <v>Paraguay</v>
      </c>
      <c r="CF31" s="26">
        <f t="shared" ref="CF31:CF33" si="156">+COUNTIFS($BY:$BY,"OK",$CC:$CC,CE31)+COUNTIFS($BY:$BY,"OK",$BZ:$BZ,CE31)</f>
        <v>0</v>
      </c>
      <c r="CG31" s="24">
        <f t="shared" ref="CG31:CG33" si="157">+COUNTIFS(P:P,$BK31,$BY:$BY,"OK")</f>
        <v>0</v>
      </c>
      <c r="CH31" s="24">
        <f t="shared" ref="CH31:CH33" si="158">+COUNTIFS(K:K,$BK31,$BY:$BY,"OK")+COUNTIFS(L:L,$BK31,$BY:$BY,"OK")</f>
        <v>0</v>
      </c>
      <c r="CI31" s="24">
        <f t="shared" ref="CI31:CI33" si="159">+COUNTIFS(M:M,$CE31,$BY:$BY,"OK")</f>
        <v>0</v>
      </c>
      <c r="CJ31" s="24">
        <f t="shared" ref="CJ31:CJ33" si="160">+CK31-CL31</f>
        <v>0</v>
      </c>
      <c r="CK31" s="24">
        <f t="shared" ref="CK31:CK33" si="161">+SUMIFS(CA:CA,$BY:$BY,"OK",BZ:BZ,$BK31)+SUMIFS(CB:CB,$BY:$BY,"OK",CC:CC,$BK31)</f>
        <v>0</v>
      </c>
      <c r="CL31" s="24">
        <f t="shared" ref="CL31:CL33" si="162">+SUMIFS(CB:CB,$BY:$BY,"OK",BZ:BZ,$BK31)+SUMIFS(CA:CA,$BY:$BY,"OK",CC:CC,$BK31)</f>
        <v>0</v>
      </c>
      <c r="CM31" s="60">
        <f t="shared" ref="CM31:CM33" si="163">+CG31*3+CH31*1+CJ31/100+CK31/10000</f>
        <v>0</v>
      </c>
      <c r="CN31" s="29">
        <f>+IF(CF31=0,0,_xlfn.XLOOKUP(CM31,CP30:CP33,CQ30:CQ33))</f>
        <v>0</v>
      </c>
      <c r="CO31" s="45"/>
      <c r="CP31" s="24">
        <f>+LARGE(CM30:CM33,2)</f>
        <v>0</v>
      </c>
      <c r="CQ31" s="24">
        <f>+CR31/$BW$1</f>
        <v>0.2</v>
      </c>
      <c r="CR31" s="23">
        <v>2</v>
      </c>
    </row>
    <row r="32" spans="1:102" x14ac:dyDescent="0.2">
      <c r="A32" s="38" t="s">
        <v>142</v>
      </c>
      <c r="B32" s="39">
        <v>46193</v>
      </c>
      <c r="C32" s="40"/>
      <c r="D32" s="41"/>
      <c r="E32" s="42" t="s">
        <v>66</v>
      </c>
      <c r="F32" s="43">
        <v>1</v>
      </c>
      <c r="G32" s="43">
        <v>1</v>
      </c>
      <c r="H32" s="44" t="s">
        <v>71</v>
      </c>
      <c r="J32" s="24" t="str">
        <f t="shared" si="131"/>
        <v/>
      </c>
      <c r="K32" s="24" t="str">
        <f t="shared" si="132"/>
        <v>Turquia</v>
      </c>
      <c r="L32" s="24" t="str">
        <f t="shared" si="133"/>
        <v>Paraguay</v>
      </c>
      <c r="M32" s="24" t="str">
        <f t="shared" si="134"/>
        <v/>
      </c>
      <c r="O32" s="26" t="str">
        <f>+E31</f>
        <v>Australia</v>
      </c>
      <c r="P32" s="24">
        <f>+COUNTIF(J30:J35,"="&amp;$O32)</f>
        <v>0</v>
      </c>
      <c r="Q32" s="24">
        <f>+COUNTIF(K30:L35,"="&amp;$O32)</f>
        <v>0</v>
      </c>
      <c r="R32" s="24">
        <f>+COUNTIF(M30:M35,"="&amp;$O32)</f>
        <v>3</v>
      </c>
      <c r="S32" s="24">
        <f t="shared" si="135"/>
        <v>-4</v>
      </c>
      <c r="T32" s="24">
        <f t="shared" ref="T32" si="164">+SUMIF(E30:E35,$O32,F30:F35)+SUMIF(H30:H35,$O32,G30:G35)</f>
        <v>1</v>
      </c>
      <c r="U32" s="24">
        <f t="shared" ref="U32" si="165">+SUMIF(E30:E35,$O32,G30:G35)+SUMIF(H30:H35,$O32,F30:F35)</f>
        <v>5</v>
      </c>
      <c r="V32" s="45">
        <f t="shared" si="138"/>
        <v>-3.8968000000000002E-3</v>
      </c>
      <c r="W32" s="26" t="str">
        <f t="shared" si="139"/>
        <v>Australia</v>
      </c>
      <c r="Y32" s="68" t="str">
        <f>+CONCATENATE("3",RIGHT(E29,1))</f>
        <v>3D</v>
      </c>
      <c r="Z32" s="69" t="str">
        <f>+VLOOKUP(AL32,V30:W33,2,FALSE)</f>
        <v>Paraguay</v>
      </c>
      <c r="AA32" s="70">
        <f t="shared" si="140"/>
        <v>3</v>
      </c>
      <c r="AB32" s="71">
        <f t="shared" si="126"/>
        <v>1</v>
      </c>
      <c r="AC32" s="71">
        <f t="shared" si="126"/>
        <v>1</v>
      </c>
      <c r="AD32" s="71">
        <f t="shared" si="126"/>
        <v>1</v>
      </c>
      <c r="AE32" s="71">
        <f t="shared" si="126"/>
        <v>0</v>
      </c>
      <c r="AF32" s="71">
        <f t="shared" si="126"/>
        <v>2</v>
      </c>
      <c r="AG32" s="71">
        <f t="shared" si="126"/>
        <v>2</v>
      </c>
      <c r="AH32" s="72">
        <f>+VLOOKUP($Z32,$O$30:$V$33,COLUMN()-26,FALSE)</f>
        <v>4.0002031000000002</v>
      </c>
      <c r="AI32" s="73">
        <f>+(COUNTIFS($CV$2:$CV$13,Z32,$CX$2:$CX$13,"IN")+COUNTIFS($CV$2:$CV$13,Z32,$CW$2:$CW$13,"IN"))*IF(SUM(AA30:AA33)=12,1,0)</f>
        <v>1</v>
      </c>
      <c r="AL32" s="45">
        <f>+LARGE(V30:V33,3)</f>
        <v>4.0002031000000002</v>
      </c>
      <c r="AM32" s="52">
        <f t="shared" si="141"/>
        <v>0</v>
      </c>
      <c r="AP32" s="53" t="str">
        <f>+O32</f>
        <v>Australia</v>
      </c>
      <c r="AQ32" s="23">
        <f>+P32*3+Q32*1+BT32+CN32+S32/1000+T32/10000</f>
        <v>-3.9000000000000003E-3</v>
      </c>
      <c r="AR32" s="23" t="b">
        <f>+IF(OR(AQ32=AQ33),1)</f>
        <v>0</v>
      </c>
      <c r="AS32" s="54">
        <f t="shared" si="142"/>
        <v>0</v>
      </c>
      <c r="AT32" s="54">
        <f>+IF(AND(AM34="si",OR(AR30=1,AR31=1,AR32=1)),1,0)</f>
        <v>0</v>
      </c>
      <c r="AU32" s="66" t="str">
        <f t="shared" si="143"/>
        <v>Australia</v>
      </c>
      <c r="AV32" s="67"/>
      <c r="AX32" s="23" t="str">
        <f>+Y29</f>
        <v>Grupo D</v>
      </c>
      <c r="AY32" s="24" t="str">
        <f t="shared" si="144"/>
        <v>Australia</v>
      </c>
      <c r="AZ32" s="29">
        <f t="shared" si="145"/>
        <v>0</v>
      </c>
      <c r="BA32" s="29">
        <f>+COUNTIFS($AX$1:AX32,AX32,$AZ$1:AZ32,AZ32)</f>
        <v>1</v>
      </c>
      <c r="BB32" s="29">
        <f>+IF(AZ32=BF28,ROW()*0.001,AZ32)</f>
        <v>0</v>
      </c>
      <c r="BC32" s="29">
        <f>+COUNTIFS($AX$1:AZ32,AZ32,$AZ$1:BB32,BB32)</f>
        <v>3</v>
      </c>
      <c r="BD32" s="29"/>
      <c r="BE32" s="25" t="str">
        <f>+IF(OR(BF32="-",BI32="-",BF28=0),"-","OK")</f>
        <v>-</v>
      </c>
      <c r="BF32" s="57" t="str">
        <f>+IF(_xlfn.XLOOKUP($E32,$AY:$AY,$AZ:$AZ,"-",0)=BF28,$E32,"-")</f>
        <v>-</v>
      </c>
      <c r="BG32" s="58">
        <f t="shared" si="127"/>
        <v>1</v>
      </c>
      <c r="BH32" s="59">
        <f t="shared" si="128"/>
        <v>1</v>
      </c>
      <c r="BI32" s="57" t="str">
        <f>+IF(_xlfn.XLOOKUP($H32,$AY:$AY,$AZ:$AZ,"-",0)=BF28,$H32,"-")</f>
        <v>-</v>
      </c>
      <c r="BK32" s="26" t="str">
        <f t="shared" si="146"/>
        <v>Australia</v>
      </c>
      <c r="BL32" s="26">
        <f t="shared" si="147"/>
        <v>0</v>
      </c>
      <c r="BM32" s="24">
        <f t="shared" si="148"/>
        <v>0</v>
      </c>
      <c r="BN32" s="24">
        <f t="shared" si="149"/>
        <v>0</v>
      </c>
      <c r="BO32" s="24">
        <f t="shared" si="150"/>
        <v>0</v>
      </c>
      <c r="BP32" s="24">
        <f t="shared" si="151"/>
        <v>0</v>
      </c>
      <c r="BQ32" s="24">
        <f>+SUMIFS(BG:BG,$BE:$BE,"OK",BF:BF,$BK32)+SUMIFS(BH:BH,$BE:$BE,"OK",BI:BI,$BK32)</f>
        <v>0</v>
      </c>
      <c r="BR32" s="24">
        <f t="shared" si="152"/>
        <v>0</v>
      </c>
      <c r="BS32" s="60">
        <f t="shared" si="153"/>
        <v>0</v>
      </c>
      <c r="BT32" s="29">
        <f>+IF(BL32=0,0,_xlfn.XLOOKUP(BS32,BV30:BV33,BW30:BW33))</f>
        <v>0</v>
      </c>
      <c r="BU32" s="45"/>
      <c r="BV32" s="24">
        <f>+LARGE(BS30:BS33,3)</f>
        <v>0</v>
      </c>
      <c r="BW32" s="24">
        <f>+BX32/$BW$1</f>
        <v>0.1</v>
      </c>
      <c r="BX32" s="23">
        <v>1</v>
      </c>
      <c r="BY32" s="25" t="str">
        <f t="shared" si="154"/>
        <v>-</v>
      </c>
      <c r="BZ32" s="57" t="str">
        <f>+IF(_xlfn.XLOOKUP($E32,$AY:$AY,$AZ:$AZ,"-",0)=BZ28,$E32,"-")</f>
        <v>-</v>
      </c>
      <c r="CA32" s="58">
        <f t="shared" si="129"/>
        <v>1</v>
      </c>
      <c r="CB32" s="59">
        <f t="shared" si="130"/>
        <v>1</v>
      </c>
      <c r="CC32" s="57" t="str">
        <f>+IF(_xlfn.XLOOKUP($H32,$AY:$AY,$AZ:$AZ,"-",0)=BZ28,$H32,"-")</f>
        <v>-</v>
      </c>
      <c r="CE32" s="26" t="str">
        <f t="shared" si="155"/>
        <v>Australia</v>
      </c>
      <c r="CF32" s="26">
        <f t="shared" si="156"/>
        <v>0</v>
      </c>
      <c r="CG32" s="24">
        <f t="shared" si="157"/>
        <v>0</v>
      </c>
      <c r="CH32" s="24">
        <f t="shared" si="158"/>
        <v>0</v>
      </c>
      <c r="CI32" s="24">
        <f t="shared" si="159"/>
        <v>0</v>
      </c>
      <c r="CJ32" s="24">
        <f t="shared" si="160"/>
        <v>0</v>
      </c>
      <c r="CK32" s="24">
        <f t="shared" si="161"/>
        <v>0</v>
      </c>
      <c r="CL32" s="24">
        <f t="shared" si="162"/>
        <v>0</v>
      </c>
      <c r="CM32" s="60">
        <f t="shared" si="163"/>
        <v>0</v>
      </c>
      <c r="CN32" s="29">
        <f>+IF(CF32=0,0,_xlfn.XLOOKUP(CM32,CP30:CP33,CQ30:CQ33))</f>
        <v>0</v>
      </c>
      <c r="CO32" s="45"/>
      <c r="CP32" s="24">
        <f>+LARGE(CM30:CM33,3)</f>
        <v>0</v>
      </c>
      <c r="CQ32" s="24">
        <f>+CR32/$BW$1</f>
        <v>0.1</v>
      </c>
      <c r="CR32" s="23">
        <v>1</v>
      </c>
    </row>
    <row r="33" spans="1:102" x14ac:dyDescent="0.2">
      <c r="A33" s="38" t="s">
        <v>143</v>
      </c>
      <c r="B33" s="39">
        <v>46192</v>
      </c>
      <c r="C33" s="40"/>
      <c r="D33" s="41"/>
      <c r="E33" s="42" t="s">
        <v>63</v>
      </c>
      <c r="F33" s="43">
        <v>2</v>
      </c>
      <c r="G33" s="43">
        <v>0</v>
      </c>
      <c r="H33" s="44" t="s">
        <v>73</v>
      </c>
      <c r="J33" s="24" t="str">
        <f t="shared" si="131"/>
        <v>Estados Unidos</v>
      </c>
      <c r="K33" s="24" t="str">
        <f t="shared" si="132"/>
        <v/>
      </c>
      <c r="L33" s="24" t="str">
        <f t="shared" si="133"/>
        <v/>
      </c>
      <c r="M33" s="24" t="str">
        <f t="shared" si="134"/>
        <v>Australia</v>
      </c>
      <c r="O33" s="26" t="str">
        <f>+H31</f>
        <v>Turquia</v>
      </c>
      <c r="P33" s="24">
        <f>+COUNTIF(J30:J35,"="&amp;$O33)</f>
        <v>1</v>
      </c>
      <c r="Q33" s="24">
        <f>+COUNTIF(K30:L35,"="&amp;$O33)</f>
        <v>2</v>
      </c>
      <c r="R33" s="24">
        <f>+COUNTIF(M30:M35,"="&amp;$O33)</f>
        <v>0</v>
      </c>
      <c r="S33" s="24">
        <f t="shared" si="135"/>
        <v>1</v>
      </c>
      <c r="T33" s="24">
        <f t="shared" ref="T33" si="166">+SUMIF(E30:E35,$O33,F30:F35)+SUMIF(H30:H35,$O33,G30:G35)</f>
        <v>5</v>
      </c>
      <c r="U33" s="24">
        <f t="shared" ref="U33" si="167">+SUMIF(E30:E35,$O33,G30:G35)+SUMIF(H30:H35,$O33,F30:F35)</f>
        <v>4</v>
      </c>
      <c r="V33" s="45">
        <f t="shared" si="138"/>
        <v>5.0015033000000004</v>
      </c>
      <c r="W33" s="26" t="str">
        <f t="shared" si="139"/>
        <v>Turquia</v>
      </c>
      <c r="Y33" s="74" t="str">
        <f>+CONCATENATE("4",RIGHT(E29,1))</f>
        <v>4D</v>
      </c>
      <c r="Z33" s="75" t="str">
        <f>+VLOOKUP(AL33,V30:W33,2,FALSE)</f>
        <v>Australia</v>
      </c>
      <c r="AA33" s="76">
        <f t="shared" si="140"/>
        <v>3</v>
      </c>
      <c r="AB33" s="77">
        <f t="shared" si="126"/>
        <v>0</v>
      </c>
      <c r="AC33" s="77">
        <f t="shared" si="126"/>
        <v>0</v>
      </c>
      <c r="AD33" s="77">
        <f t="shared" si="126"/>
        <v>3</v>
      </c>
      <c r="AE33" s="77">
        <f t="shared" si="126"/>
        <v>-4</v>
      </c>
      <c r="AF33" s="77">
        <f t="shared" si="126"/>
        <v>1</v>
      </c>
      <c r="AG33" s="77">
        <f t="shared" si="126"/>
        <v>5</v>
      </c>
      <c r="AH33" s="78">
        <f>+VLOOKUP($Z33,$O$30:$V$33,COLUMN()-26,FALSE)</f>
        <v>-3.8968000000000002E-3</v>
      </c>
      <c r="AI33" s="73"/>
      <c r="AL33" s="45">
        <f>+LARGE(V30:V33,4)</f>
        <v>-3.8968000000000002E-3</v>
      </c>
      <c r="AM33" s="52">
        <f t="shared" si="141"/>
        <v>0</v>
      </c>
      <c r="AP33" s="53" t="str">
        <f>+O33</f>
        <v>Turquia</v>
      </c>
      <c r="AQ33" s="23">
        <f>+P33*3+Q33*1+BT33+CN33+S33/1000+T33/10000</f>
        <v>5.0015000000000001</v>
      </c>
      <c r="AS33" s="54">
        <f t="shared" si="142"/>
        <v>0</v>
      </c>
      <c r="AT33" s="54">
        <f>+IF(AND(AM34="si",OR(AR30=1,AR31=1,AR32=1)),1,0)</f>
        <v>0</v>
      </c>
      <c r="AU33" s="79" t="str">
        <f t="shared" si="143"/>
        <v>Turquia</v>
      </c>
      <c r="AV33" s="80"/>
      <c r="AX33" s="23" t="str">
        <f>+Y29</f>
        <v>Grupo D</v>
      </c>
      <c r="AY33" s="24" t="str">
        <f t="shared" si="144"/>
        <v>Turquia</v>
      </c>
      <c r="AZ33" s="29">
        <f t="shared" si="145"/>
        <v>5</v>
      </c>
      <c r="BA33" s="29">
        <f>+COUNTIFS($AX$1:AX33,AX33,$AZ$1:AZ33,AZ33)</f>
        <v>1</v>
      </c>
      <c r="BB33" s="29">
        <f>+IF(AZ33=BF28,ROW()*0.001,AZ33)</f>
        <v>5</v>
      </c>
      <c r="BC33" s="29">
        <f>+COUNTIFS($AX$1:AZ33,AZ33,$AZ$1:BB33,BB33)</f>
        <v>2</v>
      </c>
      <c r="BD33" s="29"/>
      <c r="BE33" s="25" t="str">
        <f>+IF(OR(BF33="-",BI33="-",BF28=0),"-","OK")</f>
        <v>-</v>
      </c>
      <c r="BF33" s="57" t="str">
        <f>+IF(_xlfn.XLOOKUP($E33,$AY:$AY,$AZ:$AZ,"-",0)=BF28,$E33,"-")</f>
        <v>-</v>
      </c>
      <c r="BG33" s="58">
        <f t="shared" si="127"/>
        <v>2</v>
      </c>
      <c r="BH33" s="59">
        <f t="shared" si="128"/>
        <v>0</v>
      </c>
      <c r="BI33" s="57" t="str">
        <f>+IF(_xlfn.XLOOKUP($H33,$AY:$AY,$AZ:$AZ,"-",0)=BF28,$H33,"-")</f>
        <v>-</v>
      </c>
      <c r="BK33" s="26" t="str">
        <f t="shared" si="146"/>
        <v>Turquia</v>
      </c>
      <c r="BL33" s="26">
        <f t="shared" si="147"/>
        <v>0</v>
      </c>
      <c r="BM33" s="24">
        <f t="shared" si="148"/>
        <v>0</v>
      </c>
      <c r="BN33" s="24">
        <f t="shared" si="149"/>
        <v>0</v>
      </c>
      <c r="BO33" s="24">
        <f t="shared" si="150"/>
        <v>0</v>
      </c>
      <c r="BP33" s="24">
        <f t="shared" si="151"/>
        <v>0</v>
      </c>
      <c r="BQ33" s="24">
        <f>+SUMIFS(BG:BG,$BE:$BE,"OK",BF:BF,$BK33)+SUMIFS(BH:BH,$BE:$BE,"OK",BI:BI,$BK33)</f>
        <v>0</v>
      </c>
      <c r="BR33" s="24">
        <f t="shared" si="152"/>
        <v>0</v>
      </c>
      <c r="BS33" s="60">
        <f t="shared" si="153"/>
        <v>0</v>
      </c>
      <c r="BT33" s="29">
        <f>+IF(BL33=0,0,_xlfn.XLOOKUP(BS33,BV30:BV33,BW30:BW33))</f>
        <v>0</v>
      </c>
      <c r="BU33" s="45"/>
      <c r="BV33" s="24">
        <f>+LARGE(BS30:BS33,4)</f>
        <v>0</v>
      </c>
      <c r="BW33" s="24">
        <f>+BX33/$BW$1</f>
        <v>0</v>
      </c>
      <c r="BX33" s="23">
        <v>0</v>
      </c>
      <c r="BY33" s="25" t="str">
        <f t="shared" si="154"/>
        <v>-</v>
      </c>
      <c r="BZ33" s="57" t="str">
        <f>+IF(_xlfn.XLOOKUP($E33,$AY:$AY,$AZ:$AZ,"-",0)=BZ28,$E33,"-")</f>
        <v>Estados Unidos</v>
      </c>
      <c r="CA33" s="58">
        <f t="shared" si="129"/>
        <v>2</v>
      </c>
      <c r="CB33" s="59">
        <f t="shared" si="130"/>
        <v>0</v>
      </c>
      <c r="CC33" s="57" t="str">
        <f>+IF(_xlfn.XLOOKUP($H33,$AY:$AY,$AZ:$AZ,"-",0)=BZ28,$H33,"-")</f>
        <v>-</v>
      </c>
      <c r="CE33" s="26" t="str">
        <f t="shared" si="155"/>
        <v>Turquia</v>
      </c>
      <c r="CF33" s="26">
        <f t="shared" si="156"/>
        <v>0</v>
      </c>
      <c r="CG33" s="24">
        <f t="shared" si="157"/>
        <v>0</v>
      </c>
      <c r="CH33" s="24">
        <f t="shared" si="158"/>
        <v>0</v>
      </c>
      <c r="CI33" s="24">
        <f t="shared" si="159"/>
        <v>0</v>
      </c>
      <c r="CJ33" s="24">
        <f t="shared" si="160"/>
        <v>0</v>
      </c>
      <c r="CK33" s="24">
        <f t="shared" si="161"/>
        <v>0</v>
      </c>
      <c r="CL33" s="24">
        <f t="shared" si="162"/>
        <v>0</v>
      </c>
      <c r="CM33" s="60">
        <f t="shared" si="163"/>
        <v>0</v>
      </c>
      <c r="CN33" s="29">
        <f>+IF(CF33=0,0,_xlfn.XLOOKUP(CM33,CP30:CP33,CQ30:CQ33))</f>
        <v>0</v>
      </c>
      <c r="CO33" s="45"/>
      <c r="CP33" s="24">
        <f>+LARGE(CM30:CM33,4)</f>
        <v>0</v>
      </c>
      <c r="CQ33" s="24">
        <f>+CR33/$BW$1</f>
        <v>0</v>
      </c>
      <c r="CR33" s="23">
        <v>0</v>
      </c>
    </row>
    <row r="34" spans="1:102" x14ac:dyDescent="0.2">
      <c r="A34" s="38" t="s">
        <v>144</v>
      </c>
      <c r="B34" s="39">
        <v>46198</v>
      </c>
      <c r="C34" s="40"/>
      <c r="D34" s="41"/>
      <c r="E34" s="42" t="s">
        <v>66</v>
      </c>
      <c r="F34" s="43">
        <v>2</v>
      </c>
      <c r="G34" s="43">
        <v>2</v>
      </c>
      <c r="H34" s="44" t="s">
        <v>63</v>
      </c>
      <c r="J34" s="24" t="str">
        <f t="shared" si="131"/>
        <v/>
      </c>
      <c r="K34" s="24" t="str">
        <f t="shared" si="132"/>
        <v>Turquia</v>
      </c>
      <c r="L34" s="24" t="str">
        <f t="shared" si="133"/>
        <v>Estados Unidos</v>
      </c>
      <c r="M34" s="24" t="str">
        <f t="shared" si="134"/>
        <v/>
      </c>
      <c r="AL34" s="25" t="s">
        <v>122</v>
      </c>
      <c r="AM34" s="52" t="str">
        <f>+IF(SUM(AA30:AA33)=12,"si","no")</f>
        <v>si</v>
      </c>
      <c r="BE34" s="25" t="str">
        <f>+IF(OR(BF34="-",BI34="-",BF28=0),"-","OK")</f>
        <v>-</v>
      </c>
      <c r="BF34" s="57" t="str">
        <f>+IF(_xlfn.XLOOKUP($E34,$AY:$AY,$AZ:$AZ,"-",0)=BF28,$E34,"-")</f>
        <v>-</v>
      </c>
      <c r="BG34" s="58">
        <f t="shared" si="127"/>
        <v>2</v>
      </c>
      <c r="BH34" s="59">
        <f t="shared" si="128"/>
        <v>2</v>
      </c>
      <c r="BI34" s="57" t="str">
        <f>+IF(_xlfn.XLOOKUP($H34,$AY:$AY,$AZ:$AZ,"-",0)=BF28,$H34,"-")</f>
        <v>-</v>
      </c>
      <c r="BY34" s="25" t="str">
        <f t="shared" si="154"/>
        <v>-</v>
      </c>
      <c r="BZ34" s="57" t="str">
        <f>+IF(_xlfn.XLOOKUP($E34,$AY:$AY,$AZ:$AZ,"-",0)=BZ28,$E34,"-")</f>
        <v>-</v>
      </c>
      <c r="CA34" s="58">
        <f t="shared" si="129"/>
        <v>2</v>
      </c>
      <c r="CB34" s="59">
        <f t="shared" si="130"/>
        <v>2</v>
      </c>
      <c r="CC34" s="57" t="str">
        <f>+IF(_xlfn.XLOOKUP($H34,$AY:$AY,$AZ:$AZ,"-",0)=BZ28,$H34,"-")</f>
        <v>Estados Unidos</v>
      </c>
    </row>
    <row r="35" spans="1:102" x14ac:dyDescent="0.2">
      <c r="A35" s="38" t="s">
        <v>145</v>
      </c>
      <c r="B35" s="39">
        <v>46198</v>
      </c>
      <c r="C35" s="40"/>
      <c r="D35" s="41"/>
      <c r="E35" s="42" t="s">
        <v>71</v>
      </c>
      <c r="F35" s="43">
        <v>1</v>
      </c>
      <c r="G35" s="43">
        <v>0</v>
      </c>
      <c r="H35" s="44" t="s">
        <v>73</v>
      </c>
      <c r="J35" s="24" t="str">
        <f t="shared" si="131"/>
        <v>Paraguay</v>
      </c>
      <c r="K35" s="24" t="str">
        <f t="shared" si="132"/>
        <v/>
      </c>
      <c r="L35" s="24" t="str">
        <f t="shared" si="133"/>
        <v/>
      </c>
      <c r="M35" s="24" t="str">
        <f t="shared" si="134"/>
        <v>Australia</v>
      </c>
      <c r="Y35" s="53" t="s">
        <v>124</v>
      </c>
      <c r="AR35" s="23">
        <f>+IF(AND(AM34="si",OR(AR30=1,AR31=1,AR32=1)),1,0)</f>
        <v>0</v>
      </c>
      <c r="BE35" s="25" t="str">
        <f>+IF(OR(BF35="-",BI35="-",BF28=0),"-","OK")</f>
        <v>-</v>
      </c>
      <c r="BF35" s="57" t="str">
        <f>+IF(_xlfn.XLOOKUP($E35,$AY:$AY,$AZ:$AZ,"-",0)=BF28,$E35,"-")</f>
        <v>-</v>
      </c>
      <c r="BG35" s="58">
        <f t="shared" si="127"/>
        <v>1</v>
      </c>
      <c r="BH35" s="59">
        <f t="shared" si="128"/>
        <v>0</v>
      </c>
      <c r="BI35" s="57" t="str">
        <f>+IF(_xlfn.XLOOKUP($H35,$AY:$AY,$AZ:$AZ,"-",0)=BF28,$H35,"-")</f>
        <v>-</v>
      </c>
      <c r="BY35" s="25" t="str">
        <f t="shared" si="154"/>
        <v>-</v>
      </c>
      <c r="BZ35" s="57" t="str">
        <f>+IF(_xlfn.XLOOKUP($E35,$AY:$AY,$AZ:$AZ,"-",0)=BZ28,$E35,"-")</f>
        <v>-</v>
      </c>
      <c r="CA35" s="58">
        <f t="shared" si="129"/>
        <v>1</v>
      </c>
      <c r="CB35" s="59">
        <f t="shared" si="130"/>
        <v>0</v>
      </c>
      <c r="CC35" s="57" t="str">
        <f>+IF(_xlfn.XLOOKUP($H35,$AY:$AY,$AZ:$AZ,"-",0)=BZ28,$H35,"-")</f>
        <v>-</v>
      </c>
    </row>
    <row r="36" spans="1:102" s="83" customFormat="1" x14ac:dyDescent="0.2">
      <c r="A36" s="81"/>
      <c r="B36" s="82"/>
      <c r="C36" s="81"/>
      <c r="E36" s="84"/>
      <c r="F36" s="81"/>
      <c r="G36" s="81"/>
      <c r="H36" s="85"/>
      <c r="J36" s="81"/>
      <c r="K36" s="81"/>
      <c r="L36" s="81"/>
      <c r="M36" s="81"/>
      <c r="AV36" s="86"/>
      <c r="AW36" s="86"/>
      <c r="BE36" s="81"/>
      <c r="CW36" s="81"/>
      <c r="CX36" s="81"/>
    </row>
    <row r="37" spans="1:102" x14ac:dyDescent="0.2">
      <c r="A37" s="23"/>
      <c r="BF37" s="28" t="str">
        <f>+IF(BA39&gt;1,AZ39,IF(BA40&gt;1,AZ40,IF(BA41&gt;1,AZ41,IF(BA42&gt;1,AZ42,"-"))))</f>
        <v>-</v>
      </c>
      <c r="BW37" s="23">
        <v>10</v>
      </c>
      <c r="BZ37" s="29">
        <f>+IF(BC39&gt;1,BB39,IF(BC40&gt;1,BB40,IF(BC41&gt;1,BB41,IF(BC42&gt;1,BB42,"-"))))</f>
        <v>0</v>
      </c>
      <c r="CQ37" s="23">
        <v>10</v>
      </c>
    </row>
    <row r="38" spans="1:102" x14ac:dyDescent="0.2">
      <c r="A38" s="322" t="s">
        <v>100</v>
      </c>
      <c r="B38" s="323" t="s">
        <v>101</v>
      </c>
      <c r="C38" s="323" t="s">
        <v>102</v>
      </c>
      <c r="D38" s="324"/>
      <c r="E38" s="325" t="s">
        <v>146</v>
      </c>
      <c r="F38" s="326"/>
      <c r="G38" s="326"/>
      <c r="H38" s="327"/>
      <c r="J38" s="24" t="s">
        <v>104</v>
      </c>
      <c r="K38" s="24" t="s">
        <v>105</v>
      </c>
      <c r="L38" s="24" t="s">
        <v>105</v>
      </c>
      <c r="M38" s="24" t="s">
        <v>106</v>
      </c>
      <c r="O38" s="26" t="str">
        <f>+E38</f>
        <v>Grupo E</v>
      </c>
      <c r="P38" s="24" t="s">
        <v>104</v>
      </c>
      <c r="Q38" s="24" t="s">
        <v>105</v>
      </c>
      <c r="R38" s="24" t="s">
        <v>106</v>
      </c>
      <c r="S38" s="24" t="s">
        <v>107</v>
      </c>
      <c r="T38" s="24" t="s">
        <v>108</v>
      </c>
      <c r="U38" s="24" t="s">
        <v>109</v>
      </c>
      <c r="V38" s="24" t="s">
        <v>0</v>
      </c>
      <c r="W38" s="24"/>
      <c r="Y38" s="492" t="s">
        <v>146</v>
      </c>
      <c r="Z38" s="493"/>
      <c r="AA38" s="328" t="s">
        <v>110</v>
      </c>
      <c r="AB38" s="329" t="s">
        <v>104</v>
      </c>
      <c r="AC38" s="329" t="s">
        <v>105</v>
      </c>
      <c r="AD38" s="329" t="s">
        <v>106</v>
      </c>
      <c r="AE38" s="329" t="s">
        <v>107</v>
      </c>
      <c r="AF38" s="329" t="s">
        <v>108</v>
      </c>
      <c r="AG38" s="329" t="s">
        <v>109</v>
      </c>
      <c r="AH38" s="330" t="s">
        <v>0</v>
      </c>
      <c r="AI38" s="94"/>
      <c r="AL38" s="24" t="s">
        <v>0</v>
      </c>
      <c r="AM38" s="24" t="s">
        <v>111</v>
      </c>
      <c r="AN38" s="24"/>
      <c r="AO38" s="24"/>
      <c r="AP38" s="24"/>
      <c r="AQ38" s="24"/>
      <c r="AR38" s="24"/>
      <c r="AS38" s="24"/>
      <c r="AT38" s="24"/>
      <c r="AU38" s="24"/>
      <c r="AY38" s="24" t="s">
        <v>112</v>
      </c>
      <c r="AZ38" s="24" t="s">
        <v>0</v>
      </c>
      <c r="BA38" s="24" t="s">
        <v>113</v>
      </c>
      <c r="BB38" s="24"/>
      <c r="BC38" s="24"/>
      <c r="BD38" s="24"/>
      <c r="BK38" s="26"/>
      <c r="BL38" s="26" t="s">
        <v>110</v>
      </c>
      <c r="BM38" s="24" t="s">
        <v>104</v>
      </c>
      <c r="BN38" s="24" t="s">
        <v>105</v>
      </c>
      <c r="BO38" s="24" t="s">
        <v>106</v>
      </c>
      <c r="BP38" s="24" t="s">
        <v>107</v>
      </c>
      <c r="BQ38" s="24" t="s">
        <v>108</v>
      </c>
      <c r="BR38" s="24" t="s">
        <v>109</v>
      </c>
      <c r="BS38" s="24" t="s">
        <v>0</v>
      </c>
      <c r="BT38" s="24" t="s">
        <v>114</v>
      </c>
      <c r="BU38" s="24"/>
      <c r="BV38" s="24" t="s">
        <v>115</v>
      </c>
      <c r="BW38" s="24" t="s">
        <v>114</v>
      </c>
      <c r="CE38" s="26"/>
      <c r="CF38" s="26" t="s">
        <v>110</v>
      </c>
      <c r="CG38" s="24" t="s">
        <v>104</v>
      </c>
      <c r="CH38" s="24" t="s">
        <v>105</v>
      </c>
      <c r="CI38" s="24" t="s">
        <v>106</v>
      </c>
      <c r="CJ38" s="24" t="s">
        <v>107</v>
      </c>
      <c r="CK38" s="24" t="s">
        <v>108</v>
      </c>
      <c r="CL38" s="24" t="s">
        <v>109</v>
      </c>
      <c r="CM38" s="24" t="s">
        <v>0</v>
      </c>
      <c r="CN38" s="24" t="s">
        <v>114</v>
      </c>
      <c r="CO38" s="24"/>
      <c r="CP38" s="24" t="s">
        <v>115</v>
      </c>
      <c r="CQ38" s="24" t="s">
        <v>114</v>
      </c>
    </row>
    <row r="39" spans="1:102" x14ac:dyDescent="0.2">
      <c r="A39" s="38" t="s">
        <v>147</v>
      </c>
      <c r="B39" s="39">
        <v>46187</v>
      </c>
      <c r="C39" s="40"/>
      <c r="D39" s="41"/>
      <c r="E39" s="42" t="s">
        <v>56</v>
      </c>
      <c r="F39" s="43">
        <v>4</v>
      </c>
      <c r="G39" s="43">
        <v>0</v>
      </c>
      <c r="H39" s="44" t="s">
        <v>93</v>
      </c>
      <c r="J39" s="24" t="str">
        <f>IF(OR(ISBLANK(F39),ISBLANK(G39)),"",IF(F39&gt;G39,E39,IF(G39&gt;F39,H39,"")))</f>
        <v>Alemania</v>
      </c>
      <c r="K39" s="24" t="str">
        <f>IF(OR(ISBLANK(F39),ISBLANK(G39)),"",IF(F39=G39,E39,""))</f>
        <v/>
      </c>
      <c r="L39" s="24" t="str">
        <f>IF(OR(ISBLANK(F39),ISBLANK(G39)),"",IF(F39=G39,H39,""))</f>
        <v/>
      </c>
      <c r="M39" s="24" t="str">
        <f>IF(OR(ISBLANK(F39),ISBLANK(G39)),"",IF(F39&lt;G39,E39,IF(G39&lt;F39,H39,"")))</f>
        <v>Curazao</v>
      </c>
      <c r="O39" s="26" t="str">
        <f>+E39</f>
        <v>Alemania</v>
      </c>
      <c r="P39" s="24">
        <f>+COUNTIF(J39:J44,"="&amp;$O39)</f>
        <v>3</v>
      </c>
      <c r="Q39" s="24">
        <f>+COUNTIF(K39:L44,"="&amp;$O39)</f>
        <v>0</v>
      </c>
      <c r="R39" s="24">
        <f>+COUNTIF(M39:M44,"="&amp;$O39)</f>
        <v>0</v>
      </c>
      <c r="S39" s="24">
        <f>+T39-U39</f>
        <v>8</v>
      </c>
      <c r="T39" s="24">
        <f t="shared" ref="T39" si="168">+SUMIF(E39:E44,$O39,F39:F44)+SUMIF(H39:H44,$O39,G39:G44)</f>
        <v>9</v>
      </c>
      <c r="U39" s="24">
        <f t="shared" ref="U39" si="169">+SUMIF(E39:E44,$O39,G39:G44)+SUMIF(H39:H44,$O39,F39:F44)</f>
        <v>1</v>
      </c>
      <c r="V39" s="45">
        <f>+P39*3+Q39*1+BT39+CN39+S39/1000+T39/10000+AV39/1000000+ROW()/10000000</f>
        <v>9.0089038999999982</v>
      </c>
      <c r="W39" s="26" t="str">
        <f>+O39</f>
        <v>Alemania</v>
      </c>
      <c r="Y39" s="46" t="str">
        <f>+CONCATENATE("1",RIGHT(E38,1))</f>
        <v>1E</v>
      </c>
      <c r="Z39" s="47" t="str">
        <f>+VLOOKUP(AL39,V39:W42,2,FALSE)</f>
        <v>Alemania</v>
      </c>
      <c r="AA39" s="48">
        <f>+SUM(AB39:AD39)</f>
        <v>3</v>
      </c>
      <c r="AB39" s="49">
        <f t="shared" ref="AB39:AG42" si="170">+VLOOKUP($Z39,$O$39:$U$42,COLUMN()-26,FALSE)</f>
        <v>3</v>
      </c>
      <c r="AC39" s="49">
        <f t="shared" si="170"/>
        <v>0</v>
      </c>
      <c r="AD39" s="49">
        <f t="shared" si="170"/>
        <v>0</v>
      </c>
      <c r="AE39" s="49">
        <f t="shared" si="170"/>
        <v>8</v>
      </c>
      <c r="AF39" s="49">
        <f t="shared" si="170"/>
        <v>9</v>
      </c>
      <c r="AG39" s="49">
        <f t="shared" si="170"/>
        <v>1</v>
      </c>
      <c r="AH39" s="50">
        <f>+VLOOKUP($Z39,$O$39:$V$42,COLUMN()-26,FALSE)</f>
        <v>9.0089038999999982</v>
      </c>
      <c r="AI39" s="51"/>
      <c r="AL39" s="45">
        <f>+LARGE(V39:V42,1)</f>
        <v>9.0089038999999982</v>
      </c>
      <c r="AM39" s="52">
        <f>+(AH39-AL39)*100000000000000000000</f>
        <v>0</v>
      </c>
      <c r="AP39" s="53" t="str">
        <f>+O39</f>
        <v>Alemania</v>
      </c>
      <c r="AQ39" s="23">
        <f>+P39*3+Q39*1+BT39+CN39+S39/1000+T39/10000</f>
        <v>9.0088999999999988</v>
      </c>
      <c r="AR39" s="23" t="b">
        <f>+IF(OR(AQ39=AQ40,AQ39=AQ41,AQ39=AQ42),1)</f>
        <v>0</v>
      </c>
      <c r="AS39" s="54">
        <f>+AV39</f>
        <v>0</v>
      </c>
      <c r="AT39" s="54">
        <f>+IF(AND(AM43="si",OR(AR39=1,AR40=1,AR41=1)),1,0)</f>
        <v>0</v>
      </c>
      <c r="AU39" s="55" t="str">
        <f>+O39</f>
        <v>Alemania</v>
      </c>
      <c r="AV39" s="56"/>
      <c r="AX39" s="23" t="str">
        <f>+Y38</f>
        <v>Grupo E</v>
      </c>
      <c r="AY39" s="24" t="str">
        <f>+O39</f>
        <v>Alemania</v>
      </c>
      <c r="AZ39" s="29">
        <f>+P39*3+Q39</f>
        <v>9</v>
      </c>
      <c r="BA39" s="29">
        <f>+COUNTIFS($AX$1:AX39,AX39,$AZ$1:AZ39,AZ39)</f>
        <v>1</v>
      </c>
      <c r="BB39" s="29">
        <f>+IF(AZ39=BF37,ROW()*0.001,AZ39)</f>
        <v>9</v>
      </c>
      <c r="BC39" s="29">
        <f>+COUNTIFS($AX$1:AZ39,AZ39,$AZ$1:BB39,BB39)</f>
        <v>1</v>
      </c>
      <c r="BD39" s="29"/>
      <c r="BE39" s="25" t="str">
        <f>+IF(OR(BF39="-",BI39="-",BF37=0),"-","OK")</f>
        <v>-</v>
      </c>
      <c r="BF39" s="57" t="str">
        <f>+IF(_xlfn.XLOOKUP($E39,$AY:$AY,$AZ:$AZ,"-",0)=BF37,$E39,"-")</f>
        <v>-</v>
      </c>
      <c r="BG39" s="58">
        <f t="shared" ref="BG39:BG44" si="171">+$F39</f>
        <v>4</v>
      </c>
      <c r="BH39" s="59">
        <f t="shared" ref="BH39:BH44" si="172">+$G39</f>
        <v>0</v>
      </c>
      <c r="BI39" s="57" t="str">
        <f>+IF(_xlfn.XLOOKUP($H39,$AY:$AY,$AZ:$AZ,"-",0)=BF37,$H39,"-")</f>
        <v>-</v>
      </c>
      <c r="BK39" s="26" t="str">
        <f>+O39</f>
        <v>Alemania</v>
      </c>
      <c r="BL39" s="26">
        <f>+COUNTIFS($BE:$BE,"OK",$BI:$BI,BK39)+COUNTIFS($BE:$BE,"OK",$BF:$BF,BK39)</f>
        <v>0</v>
      </c>
      <c r="BM39" s="24">
        <f>+COUNTIFS(J:J,$BK39,$BE:$BE,"OK")</f>
        <v>0</v>
      </c>
      <c r="BN39" s="24">
        <f>+COUNTIFS(K:K,$BK39,$BE:$BE,"OK")+COUNTIFS(L:L,$BK39,$BE:$BE,"OK")</f>
        <v>0</v>
      </c>
      <c r="BO39" s="24">
        <f>+COUNTIFS(M:M,$BK39,$BE:$BE,"OK")</f>
        <v>0</v>
      </c>
      <c r="BP39" s="24">
        <f>+BQ39-BR39</f>
        <v>0</v>
      </c>
      <c r="BQ39" s="24">
        <f>+SUMIFS(BG:BG,$BE:$BE,"OK",BF:BF,$BK39)+SUMIFS(BH:BH,$BE:$BE,"OK",BI:BI,$BK39)</f>
        <v>0</v>
      </c>
      <c r="BR39" s="24">
        <f>+SUMIFS(BH:BH,$BE:$BE,"OK",BF:BF,$BK39)+SUMIFS(BG:BG,$BE:$BE,"OK",BI:BI,$BK39)</f>
        <v>0</v>
      </c>
      <c r="BS39" s="60">
        <f>+BM39*3+BN39*1+BP39/100+BQ39/10000</f>
        <v>0</v>
      </c>
      <c r="BT39" s="29">
        <f>+IF(BL39=0,0,_xlfn.XLOOKUP(BS39,BV39:BV42,BW39:BW42))</f>
        <v>0</v>
      </c>
      <c r="BU39" s="45"/>
      <c r="BV39" s="24">
        <f>+LARGE(BS39:BS42,1)</f>
        <v>0</v>
      </c>
      <c r="BW39" s="24">
        <f>+BX39/$BW$1</f>
        <v>0.3</v>
      </c>
      <c r="BX39" s="23">
        <v>3</v>
      </c>
      <c r="BY39" s="25" t="str">
        <f>+IF(OR(BZ39="-",CC39="-"),"-","OK")</f>
        <v>-</v>
      </c>
      <c r="BZ39" s="57" t="str">
        <f>+IF(_xlfn.XLOOKUP($E39,$AY:$AY,$AZ:$AZ,"-",0)=BZ37,$E39,"-")</f>
        <v>-</v>
      </c>
      <c r="CA39" s="58">
        <f t="shared" ref="CA39:CA44" si="173">+$F39</f>
        <v>4</v>
      </c>
      <c r="CB39" s="59">
        <f t="shared" ref="CB39:CB44" si="174">+$G39</f>
        <v>0</v>
      </c>
      <c r="CC39" s="57" t="str">
        <f>+IF(_xlfn.XLOOKUP($H39,$AY:$AY,$AZ:$AZ,"-",0)=BZ37,$H39,"-")</f>
        <v>Curazao</v>
      </c>
      <c r="CE39" s="26" t="str">
        <f>+BK39</f>
        <v>Alemania</v>
      </c>
      <c r="CF39" s="26">
        <f>+COUNTIFS($BY:$BY,"OK",$CC:$CC,CE39)+COUNTIFS($BY:$BY,"OK",$BZ:$BZ,CE39)</f>
        <v>0</v>
      </c>
      <c r="CG39" s="24">
        <f>+COUNTIFS(P:P,$BK39,$BY:$BY,"OK")</f>
        <v>0</v>
      </c>
      <c r="CH39" s="24">
        <f>+COUNTIFS(K:K,$BK39,$BY:$BY,"OK")+COUNTIFS(L:L,$BK39,$BY:$BY,"OK")</f>
        <v>0</v>
      </c>
      <c r="CI39" s="24">
        <f>+COUNTIFS(M:M,$CE39,$BY:$BY,"OK")</f>
        <v>0</v>
      </c>
      <c r="CJ39" s="24">
        <f>+CK39-CL39</f>
        <v>0</v>
      </c>
      <c r="CK39" s="24">
        <f>+SUMIFS(CA:CA,$BY:$BY,"OK",BZ:BZ,$BK39)+SUMIFS(CB:CB,$BY:$BY,"OK",CC:CC,$BK39)</f>
        <v>0</v>
      </c>
      <c r="CL39" s="24">
        <f>+SUMIFS(CB:CB,$BY:$BY,"OK",BZ:BZ,$BK39)+SUMIFS(CA:CA,$BY:$BY,"OK",CC:CC,$BK39)</f>
        <v>0</v>
      </c>
      <c r="CM39" s="60">
        <f>+CG39*3+CH39*1+CJ39/100+CK39/10000</f>
        <v>0</v>
      </c>
      <c r="CN39" s="29">
        <f>+IF(CF39=0,0,_xlfn.XLOOKUP(CM39,CP39:CP42,CQ39:CQ42))</f>
        <v>0</v>
      </c>
      <c r="CO39" s="45"/>
      <c r="CP39" s="24">
        <f>+LARGE(CM39:CM42,1)</f>
        <v>0</v>
      </c>
      <c r="CQ39" s="24">
        <f>+CR39/$BW$1</f>
        <v>0.3</v>
      </c>
      <c r="CR39" s="23">
        <v>3</v>
      </c>
    </row>
    <row r="40" spans="1:102" x14ac:dyDescent="0.2">
      <c r="A40" s="38" t="s">
        <v>148</v>
      </c>
      <c r="B40" s="39">
        <v>46187</v>
      </c>
      <c r="C40" s="40"/>
      <c r="D40" s="41"/>
      <c r="E40" s="42" t="s">
        <v>78</v>
      </c>
      <c r="F40" s="43">
        <v>1</v>
      </c>
      <c r="G40" s="43">
        <v>2</v>
      </c>
      <c r="H40" s="44" t="s">
        <v>67</v>
      </c>
      <c r="J40" s="24" t="str">
        <f t="shared" ref="J40:J44" si="175">IF(OR(ISBLANK(F40),ISBLANK(G40)),"",IF(F40&gt;G40,E40,IF(G40&gt;F40,H40,"")))</f>
        <v>Ecuador</v>
      </c>
      <c r="K40" s="24" t="str">
        <f t="shared" ref="K40:K44" si="176">IF(OR(ISBLANK(F40),ISBLANK(G40)),"",IF(F40=G40,E40,""))</f>
        <v/>
      </c>
      <c r="L40" s="24" t="str">
        <f t="shared" ref="L40:L44" si="177">IF(OR(ISBLANK(F40),ISBLANK(G40)),"",IF(F40=G40,H40,""))</f>
        <v/>
      </c>
      <c r="M40" s="24" t="str">
        <f t="shared" ref="M40:M44" si="178">IF(OR(ISBLANK(F40),ISBLANK(G40)),"",IF(F40&lt;G40,E40,IF(G40&lt;F40,H40,"")))</f>
        <v>Costa de Marfil</v>
      </c>
      <c r="O40" s="26" t="str">
        <f>+H39</f>
        <v>Curazao</v>
      </c>
      <c r="P40" s="24">
        <f>+COUNTIF(J39:J44,"="&amp;$O40)</f>
        <v>0</v>
      </c>
      <c r="Q40" s="24">
        <f>+COUNTIF(K39:L44,"="&amp;$O40)</f>
        <v>0</v>
      </c>
      <c r="R40" s="24">
        <f>+COUNTIF(M39:M44,"="&amp;$O40)</f>
        <v>3</v>
      </c>
      <c r="S40" s="24">
        <f t="shared" ref="S40:S42" si="179">+T40-U40</f>
        <v>-9</v>
      </c>
      <c r="T40" s="24">
        <f t="shared" ref="T40" si="180">+SUMIF(E39:E44,$O40,F39:F44)+SUMIF(H39:H44,$O40,G39:G44)</f>
        <v>0</v>
      </c>
      <c r="U40" s="24">
        <f t="shared" ref="U40" si="181">+SUMIF(E39:E44,$O40,G39:G44)+SUMIF(H39:H44,$O40,F39:F44)</f>
        <v>9</v>
      </c>
      <c r="V40" s="45">
        <f t="shared" ref="V40:V42" si="182">+P40*3+Q40*1+BT40+CN40+S40/1000+T40/10000+AV40/1000000+ROW()/10000000</f>
        <v>-8.9959999999999988E-3</v>
      </c>
      <c r="W40" s="26" t="str">
        <f t="shared" ref="W40:W42" si="183">+O40</f>
        <v>Curazao</v>
      </c>
      <c r="Y40" s="61" t="str">
        <f>+CONCATENATE("2",RIGHT(E38,1))</f>
        <v>2E</v>
      </c>
      <c r="Z40" s="62" t="str">
        <f>+VLOOKUP(AL40,V39:W42,2,FALSE)</f>
        <v>Ecuador</v>
      </c>
      <c r="AA40" s="63">
        <f t="shared" ref="AA40:AA42" si="184">+SUM(AB40:AD40)</f>
        <v>3</v>
      </c>
      <c r="AB40" s="64">
        <f t="shared" si="170"/>
        <v>2</v>
      </c>
      <c r="AC40" s="64">
        <f t="shared" si="170"/>
        <v>0</v>
      </c>
      <c r="AD40" s="64">
        <f t="shared" si="170"/>
        <v>1</v>
      </c>
      <c r="AE40" s="64">
        <f t="shared" si="170"/>
        <v>2</v>
      </c>
      <c r="AF40" s="64">
        <f t="shared" si="170"/>
        <v>6</v>
      </c>
      <c r="AG40" s="64">
        <f t="shared" si="170"/>
        <v>4</v>
      </c>
      <c r="AH40" s="65">
        <f>+VLOOKUP($Z40,$O$39:$V$42,COLUMN()-26,FALSE)</f>
        <v>6.0026042000000004</v>
      </c>
      <c r="AI40" s="51"/>
      <c r="AL40" s="45">
        <f>+LARGE(V39:V42,2)</f>
        <v>6.0026042000000004</v>
      </c>
      <c r="AM40" s="52">
        <f t="shared" ref="AM40:AM42" si="185">+(AH40-AL40)*100000000000000000000</f>
        <v>0</v>
      </c>
      <c r="AP40" s="53" t="str">
        <f>+O40</f>
        <v>Curazao</v>
      </c>
      <c r="AQ40" s="23">
        <f>+P40*3+Q40*1+BT40+CN40+S40/1000+T40/10000</f>
        <v>-8.9999999999999993E-3</v>
      </c>
      <c r="AR40" s="23" t="b">
        <f>+IF(OR(AQ40=AQ41,AQ40=AQ42),1)</f>
        <v>0</v>
      </c>
      <c r="AS40" s="54">
        <f t="shared" ref="AS40:AS42" si="186">+AV40</f>
        <v>0</v>
      </c>
      <c r="AT40" s="54">
        <f>+IF(AND(AM43="si",OR(AR39=1,AR40=1,AR41=1)),1,0)</f>
        <v>0</v>
      </c>
      <c r="AU40" s="66" t="str">
        <f t="shared" ref="AU40:AU42" si="187">+O40</f>
        <v>Curazao</v>
      </c>
      <c r="AV40" s="67"/>
      <c r="AX40" s="23" t="str">
        <f>+Y38</f>
        <v>Grupo E</v>
      </c>
      <c r="AY40" s="24" t="str">
        <f t="shared" ref="AY40:AY42" si="188">+O40</f>
        <v>Curazao</v>
      </c>
      <c r="AZ40" s="29">
        <f t="shared" ref="AZ40:AZ42" si="189">+P40*3+Q40</f>
        <v>0</v>
      </c>
      <c r="BA40" s="29">
        <f>+COUNTIFS($AX$1:AX40,AX40,$AZ$1:AZ40,AZ40)</f>
        <v>1</v>
      </c>
      <c r="BB40" s="29">
        <f>+IF(AZ40=BF37,ROW()*0.001,AZ40)</f>
        <v>0</v>
      </c>
      <c r="BC40" s="29">
        <f>+COUNTIFS($AX$1:AZ40,AZ40,$AZ$1:BB40,BB40)</f>
        <v>4</v>
      </c>
      <c r="BD40" s="29"/>
      <c r="BE40" s="25" t="str">
        <f>+IF(OR(BF40="-",BI40="-",BF37=0),"-","OK")</f>
        <v>-</v>
      </c>
      <c r="BF40" s="57" t="str">
        <f>+IF(_xlfn.XLOOKUP($E40,$AY:$AY,$AZ:$AZ,"-",0)=BF37,$E40,"-")</f>
        <v>-</v>
      </c>
      <c r="BG40" s="58">
        <f t="shared" si="171"/>
        <v>1</v>
      </c>
      <c r="BH40" s="59">
        <f t="shared" si="172"/>
        <v>2</v>
      </c>
      <c r="BI40" s="57" t="str">
        <f>+IF(_xlfn.XLOOKUP($H40,$AY:$AY,$AZ:$AZ,"-",0)=BF37,$H40,"-")</f>
        <v>-</v>
      </c>
      <c r="BK40" s="26" t="str">
        <f t="shared" ref="BK40:BK42" si="190">+O40</f>
        <v>Curazao</v>
      </c>
      <c r="BL40" s="26">
        <f t="shared" ref="BL40:BL42" si="191">+COUNTIFS($BE:$BE,"OK",$BI:$BI,BK40)+COUNTIFS($BE:$BE,"OK",$BF:$BF,BK40)</f>
        <v>0</v>
      </c>
      <c r="BM40" s="24">
        <f t="shared" ref="BM40:BM42" si="192">+COUNTIFS(J:J,$BK40,$BE:$BE,"OK")</f>
        <v>0</v>
      </c>
      <c r="BN40" s="24">
        <f t="shared" ref="BN40:BN42" si="193">+COUNTIFS(K:K,$BK40,$BE:$BE,"OK")+COUNTIFS(L:L,$BK40,$BE:$BE,"OK")</f>
        <v>0</v>
      </c>
      <c r="BO40" s="24">
        <f t="shared" ref="BO40:BO42" si="194">+COUNTIFS(M:M,$BK40,$BE:$BE,"OK")</f>
        <v>0</v>
      </c>
      <c r="BP40" s="24">
        <f t="shared" ref="BP40:BP42" si="195">+BQ40-BR40</f>
        <v>0</v>
      </c>
      <c r="BQ40" s="24">
        <f>+SUMIFS(BG:BG,$BE:$BE,"OK",BF:BF,$BK40)+SUMIFS(BH:BH,$BE:$BE,"OK",BI:BI,$BK40)</f>
        <v>0</v>
      </c>
      <c r="BR40" s="24">
        <f t="shared" ref="BR40:BR42" si="196">+SUMIFS(BH:BH,$BE:$BE,"OK",BF:BF,$BK40)+SUMIFS(BG:BG,$BE:$BE,"OK",BI:BI,$BK40)</f>
        <v>0</v>
      </c>
      <c r="BS40" s="60">
        <f t="shared" ref="BS40:BS42" si="197">+BM40*3+BN40*1+BP40/100+BQ40/10000</f>
        <v>0</v>
      </c>
      <c r="BT40" s="29">
        <f>+IF(BL40=0,0,_xlfn.XLOOKUP(BS40,BV39:BV42,BW39:BW42))</f>
        <v>0</v>
      </c>
      <c r="BU40" s="45"/>
      <c r="BV40" s="24">
        <f>+LARGE(BS39:BS42,2)</f>
        <v>0</v>
      </c>
      <c r="BW40" s="24">
        <f>+BX40/$BW$1</f>
        <v>0.2</v>
      </c>
      <c r="BX40" s="23">
        <v>2</v>
      </c>
      <c r="BY40" s="25" t="str">
        <f t="shared" ref="BY40:BY44" si="198">+IF(OR(BZ40="-",CC40="-"),"-","OK")</f>
        <v>-</v>
      </c>
      <c r="BZ40" s="57" t="str">
        <f>+IF(_xlfn.XLOOKUP($E40,$AY:$AY,$AZ:$AZ,"-",0)=BZ37,$E40,"-")</f>
        <v>-</v>
      </c>
      <c r="CA40" s="58">
        <f t="shared" si="173"/>
        <v>1</v>
      </c>
      <c r="CB40" s="59">
        <f t="shared" si="174"/>
        <v>2</v>
      </c>
      <c r="CC40" s="57" t="str">
        <f>+IF(_xlfn.XLOOKUP($H40,$AY:$AY,$AZ:$AZ,"-",0)=BZ37,$H40,"-")</f>
        <v>-</v>
      </c>
      <c r="CE40" s="26" t="str">
        <f t="shared" ref="CE40:CE42" si="199">+BK40</f>
        <v>Curazao</v>
      </c>
      <c r="CF40" s="26">
        <f t="shared" ref="CF40:CF42" si="200">+COUNTIFS($BY:$BY,"OK",$CC:$CC,CE40)+COUNTIFS($BY:$BY,"OK",$BZ:$BZ,CE40)</f>
        <v>0</v>
      </c>
      <c r="CG40" s="24">
        <f t="shared" ref="CG40:CG42" si="201">+COUNTIFS(P:P,$BK40,$BY:$BY,"OK")</f>
        <v>0</v>
      </c>
      <c r="CH40" s="24">
        <f t="shared" ref="CH40:CH42" si="202">+COUNTIFS(K:K,$BK40,$BY:$BY,"OK")+COUNTIFS(L:L,$BK40,$BY:$BY,"OK")</f>
        <v>0</v>
      </c>
      <c r="CI40" s="24">
        <f t="shared" ref="CI40:CI42" si="203">+COUNTIFS(M:M,$CE40,$BY:$BY,"OK")</f>
        <v>0</v>
      </c>
      <c r="CJ40" s="24">
        <f t="shared" ref="CJ40:CJ42" si="204">+CK40-CL40</f>
        <v>0</v>
      </c>
      <c r="CK40" s="24">
        <f t="shared" ref="CK40:CK42" si="205">+SUMIFS(CA:CA,$BY:$BY,"OK",BZ:BZ,$BK40)+SUMIFS(CB:CB,$BY:$BY,"OK",CC:CC,$BK40)</f>
        <v>0</v>
      </c>
      <c r="CL40" s="24">
        <f t="shared" ref="CL40:CL42" si="206">+SUMIFS(CB:CB,$BY:$BY,"OK",BZ:BZ,$BK40)+SUMIFS(CA:CA,$BY:$BY,"OK",CC:CC,$BK40)</f>
        <v>0</v>
      </c>
      <c r="CM40" s="60">
        <f t="shared" ref="CM40:CM42" si="207">+CG40*3+CH40*1+CJ40/100+CK40/10000</f>
        <v>0</v>
      </c>
      <c r="CN40" s="29">
        <f>+IF(CF40=0,0,_xlfn.XLOOKUP(CM40,CP39:CP42,CQ39:CQ42))</f>
        <v>0</v>
      </c>
      <c r="CO40" s="45"/>
      <c r="CP40" s="24">
        <f>+LARGE(CM39:CM42,2)</f>
        <v>0</v>
      </c>
      <c r="CQ40" s="24">
        <f>+CR40/$BW$1</f>
        <v>0.2</v>
      </c>
      <c r="CR40" s="23">
        <v>2</v>
      </c>
    </row>
    <row r="41" spans="1:102" x14ac:dyDescent="0.2">
      <c r="A41" s="38" t="s">
        <v>149</v>
      </c>
      <c r="B41" s="39">
        <v>46193</v>
      </c>
      <c r="C41" s="40"/>
      <c r="D41" s="41"/>
      <c r="E41" s="42" t="s">
        <v>56</v>
      </c>
      <c r="F41" s="43">
        <v>2</v>
      </c>
      <c r="G41" s="43">
        <v>0</v>
      </c>
      <c r="H41" s="44" t="s">
        <v>78</v>
      </c>
      <c r="J41" s="24" t="str">
        <f t="shared" si="175"/>
        <v>Alemania</v>
      </c>
      <c r="K41" s="24" t="str">
        <f t="shared" si="176"/>
        <v/>
      </c>
      <c r="L41" s="24" t="str">
        <f t="shared" si="177"/>
        <v/>
      </c>
      <c r="M41" s="24" t="str">
        <f t="shared" si="178"/>
        <v>Costa de Marfil</v>
      </c>
      <c r="O41" s="26" t="str">
        <f>+E40</f>
        <v>Costa de Marfil</v>
      </c>
      <c r="P41" s="24">
        <f>+COUNTIF(J39:J44,"="&amp;$O41)</f>
        <v>1</v>
      </c>
      <c r="Q41" s="24">
        <f>+COUNTIF(K39:L44,"="&amp;$O41)</f>
        <v>0</v>
      </c>
      <c r="R41" s="24">
        <f>+COUNTIF(M39:M44,"="&amp;$O41)</f>
        <v>2</v>
      </c>
      <c r="S41" s="24">
        <f t="shared" si="179"/>
        <v>-1</v>
      </c>
      <c r="T41" s="24">
        <f t="shared" ref="T41" si="208">+SUMIF(E39:E44,$O41,F39:F44)+SUMIF(H39:H44,$O41,G39:G44)</f>
        <v>3</v>
      </c>
      <c r="U41" s="24">
        <f t="shared" ref="U41" si="209">+SUMIF(E39:E44,$O41,G39:G44)+SUMIF(H39:H44,$O41,F39:F44)</f>
        <v>4</v>
      </c>
      <c r="V41" s="45">
        <f t="shared" si="182"/>
        <v>2.9993041000000003</v>
      </c>
      <c r="W41" s="26" t="str">
        <f t="shared" si="183"/>
        <v>Costa de Marfil</v>
      </c>
      <c r="Y41" s="68" t="str">
        <f>+CONCATENATE("3",RIGHT(E38,1))</f>
        <v>3E</v>
      </c>
      <c r="Z41" s="69" t="str">
        <f>+VLOOKUP(AL41,V39:W42,2,FALSE)</f>
        <v>Costa de Marfil</v>
      </c>
      <c r="AA41" s="70">
        <f t="shared" si="184"/>
        <v>3</v>
      </c>
      <c r="AB41" s="71">
        <f t="shared" si="170"/>
        <v>1</v>
      </c>
      <c r="AC41" s="71">
        <f t="shared" si="170"/>
        <v>0</v>
      </c>
      <c r="AD41" s="71">
        <f t="shared" si="170"/>
        <v>2</v>
      </c>
      <c r="AE41" s="71">
        <f t="shared" si="170"/>
        <v>-1</v>
      </c>
      <c r="AF41" s="71">
        <f t="shared" si="170"/>
        <v>3</v>
      </c>
      <c r="AG41" s="71">
        <f t="shared" si="170"/>
        <v>4</v>
      </c>
      <c r="AH41" s="72">
        <f>+VLOOKUP($Z41,$O$39:$V$42,COLUMN()-26,FALSE)</f>
        <v>2.9993041000000003</v>
      </c>
      <c r="AI41" s="73">
        <f>+(COUNTIFS($CV$2:$CV$13,Z41,$CX$2:$CX$13,"IN")+COUNTIFS($CV$2:$CV$13,Z41,$CW$2:$CW$13,"IN"))*IF(SUM(AA39:AA42)=12,1,0)</f>
        <v>1</v>
      </c>
      <c r="AL41" s="45">
        <f>+LARGE(V39:V42,3)</f>
        <v>2.9993041000000003</v>
      </c>
      <c r="AM41" s="52">
        <f t="shared" si="185"/>
        <v>0</v>
      </c>
      <c r="AP41" s="53" t="str">
        <f>+O41</f>
        <v>Costa de Marfil</v>
      </c>
      <c r="AQ41" s="23">
        <f>+P41*3+Q41*1+BT41+CN41+S41/1000+T41/10000</f>
        <v>2.9993000000000003</v>
      </c>
      <c r="AR41" s="23" t="b">
        <f>+IF(OR(AQ41=AQ42),1)</f>
        <v>0</v>
      </c>
      <c r="AS41" s="54">
        <f t="shared" si="186"/>
        <v>0</v>
      </c>
      <c r="AT41" s="54">
        <f>+IF(AND(AM43="si",OR(AR39=1,AR40=1,AR41=1)),1,0)</f>
        <v>0</v>
      </c>
      <c r="AU41" s="66" t="str">
        <f t="shared" si="187"/>
        <v>Costa de Marfil</v>
      </c>
      <c r="AV41" s="67"/>
      <c r="AX41" s="23" t="str">
        <f>+Y38</f>
        <v>Grupo E</v>
      </c>
      <c r="AY41" s="24" t="str">
        <f t="shared" si="188"/>
        <v>Costa de Marfil</v>
      </c>
      <c r="AZ41" s="29">
        <f t="shared" si="189"/>
        <v>3</v>
      </c>
      <c r="BA41" s="29">
        <f>+COUNTIFS($AX$1:AX41,AX41,$AZ$1:AZ41,AZ41)</f>
        <v>1</v>
      </c>
      <c r="BB41" s="29">
        <f>+IF(AZ41=BF37,ROW()*0.001,AZ41)</f>
        <v>3</v>
      </c>
      <c r="BC41" s="29">
        <f>+COUNTIFS($AX$1:AZ41,AZ41,$AZ$1:BB41,BB41)</f>
        <v>2</v>
      </c>
      <c r="BD41" s="29"/>
      <c r="BE41" s="25" t="str">
        <f>+IF(OR(BF41="-",BI41="-",BF37=0),"-","OK")</f>
        <v>-</v>
      </c>
      <c r="BF41" s="57" t="str">
        <f>+IF(_xlfn.XLOOKUP($E41,$AY:$AY,$AZ:$AZ,"-",0)=BF37,$E41,"-")</f>
        <v>-</v>
      </c>
      <c r="BG41" s="58">
        <f t="shared" si="171"/>
        <v>2</v>
      </c>
      <c r="BH41" s="59">
        <f t="shared" si="172"/>
        <v>0</v>
      </c>
      <c r="BI41" s="57" t="str">
        <f>+IF(_xlfn.XLOOKUP($H41,$AY:$AY,$AZ:$AZ,"-",0)=BF37,$H41,"-")</f>
        <v>-</v>
      </c>
      <c r="BK41" s="26" t="str">
        <f t="shared" si="190"/>
        <v>Costa de Marfil</v>
      </c>
      <c r="BL41" s="26">
        <f t="shared" si="191"/>
        <v>0</v>
      </c>
      <c r="BM41" s="24">
        <f t="shared" si="192"/>
        <v>0</v>
      </c>
      <c r="BN41" s="24">
        <f t="shared" si="193"/>
        <v>0</v>
      </c>
      <c r="BO41" s="24">
        <f t="shared" si="194"/>
        <v>0</v>
      </c>
      <c r="BP41" s="24">
        <f t="shared" si="195"/>
        <v>0</v>
      </c>
      <c r="BQ41" s="24">
        <f>+SUMIFS(BG:BG,$BE:$BE,"OK",BF:BF,$BK41)+SUMIFS(BH:BH,$BE:$BE,"OK",BI:BI,$BK41)</f>
        <v>0</v>
      </c>
      <c r="BR41" s="24">
        <f t="shared" si="196"/>
        <v>0</v>
      </c>
      <c r="BS41" s="60">
        <f t="shared" si="197"/>
        <v>0</v>
      </c>
      <c r="BT41" s="29">
        <f>+IF(BL41=0,0,_xlfn.XLOOKUP(BS41,BV39:BV42,BW39:BW42))</f>
        <v>0</v>
      </c>
      <c r="BU41" s="45"/>
      <c r="BV41" s="24">
        <f>+LARGE(BS39:BS42,3)</f>
        <v>0</v>
      </c>
      <c r="BW41" s="24">
        <f>+BX41/$BW$1</f>
        <v>0.1</v>
      </c>
      <c r="BX41" s="23">
        <v>1</v>
      </c>
      <c r="BY41" s="25" t="str">
        <f t="shared" si="198"/>
        <v>-</v>
      </c>
      <c r="BZ41" s="57" t="str">
        <f>+IF(_xlfn.XLOOKUP($E41,$AY:$AY,$AZ:$AZ,"-",0)=BZ37,$E41,"-")</f>
        <v>-</v>
      </c>
      <c r="CA41" s="58">
        <f t="shared" si="173"/>
        <v>2</v>
      </c>
      <c r="CB41" s="59">
        <f t="shared" si="174"/>
        <v>0</v>
      </c>
      <c r="CC41" s="57" t="str">
        <f>+IF(_xlfn.XLOOKUP($H41,$AY:$AY,$AZ:$AZ,"-",0)=BZ37,$H41,"-")</f>
        <v>-</v>
      </c>
      <c r="CE41" s="26" t="str">
        <f t="shared" si="199"/>
        <v>Costa de Marfil</v>
      </c>
      <c r="CF41" s="26">
        <f t="shared" si="200"/>
        <v>0</v>
      </c>
      <c r="CG41" s="24">
        <f t="shared" si="201"/>
        <v>0</v>
      </c>
      <c r="CH41" s="24">
        <f t="shared" si="202"/>
        <v>0</v>
      </c>
      <c r="CI41" s="24">
        <f t="shared" si="203"/>
        <v>0</v>
      </c>
      <c r="CJ41" s="24">
        <f t="shared" si="204"/>
        <v>0</v>
      </c>
      <c r="CK41" s="24">
        <f t="shared" si="205"/>
        <v>0</v>
      </c>
      <c r="CL41" s="24">
        <f t="shared" si="206"/>
        <v>0</v>
      </c>
      <c r="CM41" s="60">
        <f t="shared" si="207"/>
        <v>0</v>
      </c>
      <c r="CN41" s="29">
        <f>+IF(CF41=0,0,_xlfn.XLOOKUP(CM41,CP39:CP42,CQ39:CQ42))</f>
        <v>0</v>
      </c>
      <c r="CO41" s="45"/>
      <c r="CP41" s="24">
        <f>+LARGE(CM39:CM42,3)</f>
        <v>0</v>
      </c>
      <c r="CQ41" s="24">
        <f>+CR41/$BW$1</f>
        <v>0.1</v>
      </c>
      <c r="CR41" s="23">
        <v>1</v>
      </c>
    </row>
    <row r="42" spans="1:102" x14ac:dyDescent="0.2">
      <c r="A42" s="38" t="s">
        <v>150</v>
      </c>
      <c r="B42" s="39">
        <v>46193</v>
      </c>
      <c r="C42" s="40"/>
      <c r="D42" s="41"/>
      <c r="E42" s="42" t="s">
        <v>67</v>
      </c>
      <c r="F42" s="43">
        <v>3</v>
      </c>
      <c r="G42" s="43">
        <v>0</v>
      </c>
      <c r="H42" s="44" t="s">
        <v>93</v>
      </c>
      <c r="J42" s="24" t="str">
        <f t="shared" si="175"/>
        <v>Ecuador</v>
      </c>
      <c r="K42" s="24" t="str">
        <f t="shared" si="176"/>
        <v/>
      </c>
      <c r="L42" s="24" t="str">
        <f t="shared" si="177"/>
        <v/>
      </c>
      <c r="M42" s="24" t="str">
        <f t="shared" si="178"/>
        <v>Curazao</v>
      </c>
      <c r="O42" s="26" t="str">
        <f>+H40</f>
        <v>Ecuador</v>
      </c>
      <c r="P42" s="24">
        <f>+COUNTIF(J39:J44,"="&amp;$O42)</f>
        <v>2</v>
      </c>
      <c r="Q42" s="24">
        <f>+COUNTIF(K39:L44,"="&amp;$O42)</f>
        <v>0</v>
      </c>
      <c r="R42" s="24">
        <f>+COUNTIF(M39:M44,"="&amp;$O42)</f>
        <v>1</v>
      </c>
      <c r="S42" s="24">
        <f t="shared" si="179"/>
        <v>2</v>
      </c>
      <c r="T42" s="24">
        <f t="shared" ref="T42" si="210">+SUMIF(E39:E44,$O42,F39:F44)+SUMIF(H39:H44,$O42,G39:G44)</f>
        <v>6</v>
      </c>
      <c r="U42" s="24">
        <f t="shared" ref="U42" si="211">+SUMIF(E39:E44,$O42,G39:G44)+SUMIF(H39:H44,$O42,F39:F44)</f>
        <v>4</v>
      </c>
      <c r="V42" s="45">
        <f t="shared" si="182"/>
        <v>6.0026042000000004</v>
      </c>
      <c r="W42" s="26" t="str">
        <f t="shared" si="183"/>
        <v>Ecuador</v>
      </c>
      <c r="Y42" s="74" t="str">
        <f>+CONCATENATE("4",RIGHT(E38,1))</f>
        <v>4E</v>
      </c>
      <c r="Z42" s="75" t="str">
        <f>+VLOOKUP(AL42,V39:W42,2,FALSE)</f>
        <v>Curazao</v>
      </c>
      <c r="AA42" s="76">
        <f t="shared" si="184"/>
        <v>3</v>
      </c>
      <c r="AB42" s="77">
        <f t="shared" si="170"/>
        <v>0</v>
      </c>
      <c r="AC42" s="77">
        <f t="shared" si="170"/>
        <v>0</v>
      </c>
      <c r="AD42" s="77">
        <f t="shared" si="170"/>
        <v>3</v>
      </c>
      <c r="AE42" s="77">
        <f t="shared" si="170"/>
        <v>-9</v>
      </c>
      <c r="AF42" s="77">
        <f t="shared" si="170"/>
        <v>0</v>
      </c>
      <c r="AG42" s="77">
        <f t="shared" si="170"/>
        <v>9</v>
      </c>
      <c r="AH42" s="78">
        <f>+VLOOKUP($Z42,$O$39:$V$42,COLUMN()-26,FALSE)</f>
        <v>-8.9959999999999988E-3</v>
      </c>
      <c r="AI42" s="73"/>
      <c r="AL42" s="45">
        <f>+LARGE(V39:V42,4)</f>
        <v>-8.9959999999999988E-3</v>
      </c>
      <c r="AM42" s="52">
        <f t="shared" si="185"/>
        <v>0</v>
      </c>
      <c r="AP42" s="53" t="str">
        <f>+O42</f>
        <v>Ecuador</v>
      </c>
      <c r="AQ42" s="23">
        <f>+P42*3+Q42*1+BT42+CN42+S42/1000+T42/10000</f>
        <v>6.0026000000000002</v>
      </c>
      <c r="AS42" s="54">
        <f t="shared" si="186"/>
        <v>0</v>
      </c>
      <c r="AT42" s="54">
        <f>+IF(AND(AM43="si",OR(AR39=1,AR40=1,AR41=1)),1,0)</f>
        <v>0</v>
      </c>
      <c r="AU42" s="79" t="str">
        <f t="shared" si="187"/>
        <v>Ecuador</v>
      </c>
      <c r="AV42" s="80"/>
      <c r="AX42" s="23" t="str">
        <f>+Y38</f>
        <v>Grupo E</v>
      </c>
      <c r="AY42" s="24" t="str">
        <f t="shared" si="188"/>
        <v>Ecuador</v>
      </c>
      <c r="AZ42" s="29">
        <f t="shared" si="189"/>
        <v>6</v>
      </c>
      <c r="BA42" s="29">
        <f>+COUNTIFS($AX$1:AX42,AX42,$AZ$1:AZ42,AZ42)</f>
        <v>1</v>
      </c>
      <c r="BB42" s="29">
        <f>+IF(AZ42=BF37,ROW()*0.001,AZ42)</f>
        <v>6</v>
      </c>
      <c r="BC42" s="29">
        <f>+COUNTIFS($AX$1:AZ42,AZ42,$AZ$1:BB42,BB42)</f>
        <v>1</v>
      </c>
      <c r="BD42" s="29"/>
      <c r="BE42" s="25" t="str">
        <f>+IF(OR(BF42="-",BI42="-",BF37=0),"-","OK")</f>
        <v>-</v>
      </c>
      <c r="BF42" s="57" t="str">
        <f>+IF(_xlfn.XLOOKUP($E42,$AY:$AY,$AZ:$AZ,"-",0)=BF37,$E42,"-")</f>
        <v>-</v>
      </c>
      <c r="BG42" s="58">
        <f t="shared" si="171"/>
        <v>3</v>
      </c>
      <c r="BH42" s="59">
        <f t="shared" si="172"/>
        <v>0</v>
      </c>
      <c r="BI42" s="57" t="str">
        <f>+IF(_xlfn.XLOOKUP($H42,$AY:$AY,$AZ:$AZ,"-",0)=BF37,$H42,"-")</f>
        <v>-</v>
      </c>
      <c r="BK42" s="26" t="str">
        <f t="shared" si="190"/>
        <v>Ecuador</v>
      </c>
      <c r="BL42" s="26">
        <f t="shared" si="191"/>
        <v>0</v>
      </c>
      <c r="BM42" s="24">
        <f t="shared" si="192"/>
        <v>0</v>
      </c>
      <c r="BN42" s="24">
        <f t="shared" si="193"/>
        <v>0</v>
      </c>
      <c r="BO42" s="24">
        <f t="shared" si="194"/>
        <v>0</v>
      </c>
      <c r="BP42" s="24">
        <f t="shared" si="195"/>
        <v>0</v>
      </c>
      <c r="BQ42" s="24">
        <f>+SUMIFS(BG:BG,$BE:$BE,"OK",BF:BF,$BK42)+SUMIFS(BH:BH,$BE:$BE,"OK",BI:BI,$BK42)</f>
        <v>0</v>
      </c>
      <c r="BR42" s="24">
        <f t="shared" si="196"/>
        <v>0</v>
      </c>
      <c r="BS42" s="60">
        <f t="shared" si="197"/>
        <v>0</v>
      </c>
      <c r="BT42" s="29">
        <f>+IF(BL42=0,0,_xlfn.XLOOKUP(BS42,BV39:BV42,BW39:BW42))</f>
        <v>0</v>
      </c>
      <c r="BU42" s="45"/>
      <c r="BV42" s="24">
        <f>+LARGE(BS39:BS42,4)</f>
        <v>0</v>
      </c>
      <c r="BW42" s="24">
        <f>+BX42/$BW$1</f>
        <v>0</v>
      </c>
      <c r="BX42" s="23">
        <v>0</v>
      </c>
      <c r="BY42" s="25" t="str">
        <f t="shared" si="198"/>
        <v>-</v>
      </c>
      <c r="BZ42" s="57" t="str">
        <f>+IF(_xlfn.XLOOKUP($E42,$AY:$AY,$AZ:$AZ,"-",0)=BZ37,$E42,"-")</f>
        <v>-</v>
      </c>
      <c r="CA42" s="58">
        <f t="shared" si="173"/>
        <v>3</v>
      </c>
      <c r="CB42" s="59">
        <f t="shared" si="174"/>
        <v>0</v>
      </c>
      <c r="CC42" s="57" t="str">
        <f>+IF(_xlfn.XLOOKUP($H42,$AY:$AY,$AZ:$AZ,"-",0)=BZ37,$H42,"-")</f>
        <v>Curazao</v>
      </c>
      <c r="CE42" s="26" t="str">
        <f t="shared" si="199"/>
        <v>Ecuador</v>
      </c>
      <c r="CF42" s="26">
        <f t="shared" si="200"/>
        <v>0</v>
      </c>
      <c r="CG42" s="24">
        <f t="shared" si="201"/>
        <v>0</v>
      </c>
      <c r="CH42" s="24">
        <f t="shared" si="202"/>
        <v>0</v>
      </c>
      <c r="CI42" s="24">
        <f t="shared" si="203"/>
        <v>0</v>
      </c>
      <c r="CJ42" s="24">
        <f t="shared" si="204"/>
        <v>0</v>
      </c>
      <c r="CK42" s="24">
        <f t="shared" si="205"/>
        <v>0</v>
      </c>
      <c r="CL42" s="24">
        <f t="shared" si="206"/>
        <v>0</v>
      </c>
      <c r="CM42" s="60">
        <f t="shared" si="207"/>
        <v>0</v>
      </c>
      <c r="CN42" s="29">
        <f>+IF(CF42=0,0,_xlfn.XLOOKUP(CM42,CP39:CP42,CQ39:CQ42))</f>
        <v>0</v>
      </c>
      <c r="CO42" s="45"/>
      <c r="CP42" s="24">
        <f>+LARGE(CM39:CM42,4)</f>
        <v>0</v>
      </c>
      <c r="CQ42" s="24">
        <f>+CR42/$BW$1</f>
        <v>0</v>
      </c>
      <c r="CR42" s="23">
        <v>0</v>
      </c>
    </row>
    <row r="43" spans="1:102" x14ac:dyDescent="0.2">
      <c r="A43" s="38" t="s">
        <v>151</v>
      </c>
      <c r="B43" s="39">
        <v>46198</v>
      </c>
      <c r="C43" s="40"/>
      <c r="D43" s="41"/>
      <c r="E43" s="42" t="s">
        <v>67</v>
      </c>
      <c r="F43" s="43">
        <v>1</v>
      </c>
      <c r="G43" s="43">
        <v>3</v>
      </c>
      <c r="H43" s="44" t="s">
        <v>56</v>
      </c>
      <c r="J43" s="24" t="str">
        <f t="shared" si="175"/>
        <v>Alemania</v>
      </c>
      <c r="K43" s="24" t="str">
        <f t="shared" si="176"/>
        <v/>
      </c>
      <c r="L43" s="24" t="str">
        <f t="shared" si="177"/>
        <v/>
      </c>
      <c r="M43" s="24" t="str">
        <f t="shared" si="178"/>
        <v>Ecuador</v>
      </c>
      <c r="AL43" s="25" t="s">
        <v>122</v>
      </c>
      <c r="AM43" s="52" t="str">
        <f>+IF(SUM(AA39:AA42)=12,"si","no")</f>
        <v>si</v>
      </c>
      <c r="BE43" s="25" t="str">
        <f>+IF(OR(BF43="-",BI43="-",BF37=0),"-","OK")</f>
        <v>-</v>
      </c>
      <c r="BF43" s="57" t="str">
        <f>+IF(_xlfn.XLOOKUP($E43,$AY:$AY,$AZ:$AZ,"-",0)=BF37,$E43,"-")</f>
        <v>-</v>
      </c>
      <c r="BG43" s="58">
        <f t="shared" si="171"/>
        <v>1</v>
      </c>
      <c r="BH43" s="59">
        <f t="shared" si="172"/>
        <v>3</v>
      </c>
      <c r="BI43" s="57" t="str">
        <f>+IF(_xlfn.XLOOKUP($H43,$AY:$AY,$AZ:$AZ,"-",0)=BF37,$H43,"-")</f>
        <v>-</v>
      </c>
      <c r="BY43" s="25" t="str">
        <f t="shared" si="198"/>
        <v>-</v>
      </c>
      <c r="BZ43" s="57" t="str">
        <f>+IF(_xlfn.XLOOKUP($E43,$AY:$AY,$AZ:$AZ,"-",0)=BZ37,$E43,"-")</f>
        <v>-</v>
      </c>
      <c r="CA43" s="58">
        <f t="shared" si="173"/>
        <v>1</v>
      </c>
      <c r="CB43" s="59">
        <f t="shared" si="174"/>
        <v>3</v>
      </c>
      <c r="CC43" s="57" t="str">
        <f>+IF(_xlfn.XLOOKUP($H43,$AY:$AY,$AZ:$AZ,"-",0)=BZ37,$H43,"-")</f>
        <v>-</v>
      </c>
    </row>
    <row r="44" spans="1:102" x14ac:dyDescent="0.2">
      <c r="A44" s="38" t="s">
        <v>152</v>
      </c>
      <c r="B44" s="39">
        <v>46198</v>
      </c>
      <c r="C44" s="40"/>
      <c r="D44" s="41"/>
      <c r="E44" s="42" t="s">
        <v>93</v>
      </c>
      <c r="F44" s="43">
        <v>0</v>
      </c>
      <c r="G44" s="43">
        <v>2</v>
      </c>
      <c r="H44" s="44" t="s">
        <v>78</v>
      </c>
      <c r="J44" s="24" t="str">
        <f t="shared" si="175"/>
        <v>Costa de Marfil</v>
      </c>
      <c r="K44" s="24" t="str">
        <f t="shared" si="176"/>
        <v/>
      </c>
      <c r="L44" s="24" t="str">
        <f t="shared" si="177"/>
        <v/>
      </c>
      <c r="M44" s="24" t="str">
        <f t="shared" si="178"/>
        <v>Curazao</v>
      </c>
      <c r="Y44" s="53" t="s">
        <v>124</v>
      </c>
      <c r="AR44" s="23">
        <f>+IF(AND(AM43="si",OR(AR39=1,AR40=1,AR41=1)),1,0)</f>
        <v>0</v>
      </c>
      <c r="BE44" s="25" t="str">
        <f>+IF(OR(BF44="-",BI44="-",BF37=0),"-","OK")</f>
        <v>-</v>
      </c>
      <c r="BF44" s="57" t="str">
        <f>+IF(_xlfn.XLOOKUP($E44,$AY:$AY,$AZ:$AZ,"-",0)=BF37,$E44,"-")</f>
        <v>-</v>
      </c>
      <c r="BG44" s="58">
        <f t="shared" si="171"/>
        <v>0</v>
      </c>
      <c r="BH44" s="59">
        <f t="shared" si="172"/>
        <v>2</v>
      </c>
      <c r="BI44" s="57" t="str">
        <f>+IF(_xlfn.XLOOKUP($H44,$AY:$AY,$AZ:$AZ,"-",0)=BF37,$H44,"-")</f>
        <v>-</v>
      </c>
      <c r="BY44" s="25" t="str">
        <f t="shared" si="198"/>
        <v>-</v>
      </c>
      <c r="BZ44" s="57" t="str">
        <f>+IF(_xlfn.XLOOKUP($E44,$AY:$AY,$AZ:$AZ,"-",0)=BZ37,$E44,"-")</f>
        <v>Curazao</v>
      </c>
      <c r="CA44" s="58">
        <f t="shared" si="173"/>
        <v>0</v>
      </c>
      <c r="CB44" s="59">
        <f t="shared" si="174"/>
        <v>2</v>
      </c>
      <c r="CC44" s="57" t="str">
        <f>+IF(_xlfn.XLOOKUP($H44,$AY:$AY,$AZ:$AZ,"-",0)=BZ37,$H44,"-")</f>
        <v>-</v>
      </c>
    </row>
    <row r="45" spans="1:102" s="83" customFormat="1" x14ac:dyDescent="0.2">
      <c r="A45" s="81"/>
      <c r="B45" s="82"/>
      <c r="C45" s="81"/>
      <c r="E45" s="84"/>
      <c r="F45" s="81"/>
      <c r="G45" s="81"/>
      <c r="H45" s="85"/>
      <c r="J45" s="81"/>
      <c r="K45" s="81"/>
      <c r="L45" s="81"/>
      <c r="M45" s="81"/>
      <c r="AV45" s="86"/>
      <c r="AW45" s="86"/>
      <c r="BE45" s="81"/>
      <c r="CW45" s="81"/>
      <c r="CX45" s="81"/>
    </row>
    <row r="46" spans="1:102" x14ac:dyDescent="0.2">
      <c r="A46" s="23"/>
      <c r="BF46" s="28" t="str">
        <f>+IF(BA48&gt;1,AZ48,IF(BA49&gt;1,AZ49,IF(BA50&gt;1,AZ50,IF(BA51&gt;1,AZ51,"-"))))</f>
        <v>-</v>
      </c>
      <c r="BW46" s="23">
        <v>10</v>
      </c>
      <c r="BZ46" s="29">
        <f>+IF(BC48&gt;1,BB48,IF(BC49&gt;1,BB49,IF(BC50&gt;1,BB50,IF(BC51&gt;1,BB51,"-"))))</f>
        <v>9</v>
      </c>
      <c r="CQ46" s="23">
        <v>10</v>
      </c>
    </row>
    <row r="47" spans="1:102" x14ac:dyDescent="0.2">
      <c r="A47" s="331" t="s">
        <v>100</v>
      </c>
      <c r="B47" s="332" t="s">
        <v>101</v>
      </c>
      <c r="C47" s="332" t="s">
        <v>102</v>
      </c>
      <c r="D47" s="333"/>
      <c r="E47" s="334" t="s">
        <v>153</v>
      </c>
      <c r="F47" s="335"/>
      <c r="G47" s="335"/>
      <c r="H47" s="336"/>
      <c r="J47" s="24" t="s">
        <v>104</v>
      </c>
      <c r="K47" s="24" t="s">
        <v>105</v>
      </c>
      <c r="L47" s="24" t="s">
        <v>105</v>
      </c>
      <c r="M47" s="24" t="s">
        <v>106</v>
      </c>
      <c r="O47" s="26" t="str">
        <f>+E47</f>
        <v>Grupo F</v>
      </c>
      <c r="P47" s="24" t="s">
        <v>104</v>
      </c>
      <c r="Q47" s="24" t="s">
        <v>105</v>
      </c>
      <c r="R47" s="24" t="s">
        <v>106</v>
      </c>
      <c r="S47" s="24" t="s">
        <v>107</v>
      </c>
      <c r="T47" s="24" t="s">
        <v>108</v>
      </c>
      <c r="U47" s="24" t="s">
        <v>109</v>
      </c>
      <c r="V47" s="24" t="s">
        <v>0</v>
      </c>
      <c r="W47" s="24"/>
      <c r="Y47" s="494" t="s">
        <v>153</v>
      </c>
      <c r="Z47" s="495"/>
      <c r="AA47" s="337" t="s">
        <v>110</v>
      </c>
      <c r="AB47" s="338" t="s">
        <v>104</v>
      </c>
      <c r="AC47" s="338" t="s">
        <v>105</v>
      </c>
      <c r="AD47" s="338" t="s">
        <v>106</v>
      </c>
      <c r="AE47" s="338" t="s">
        <v>107</v>
      </c>
      <c r="AF47" s="338" t="s">
        <v>108</v>
      </c>
      <c r="AG47" s="338" t="s">
        <v>109</v>
      </c>
      <c r="AH47" s="339" t="s">
        <v>0</v>
      </c>
      <c r="AI47" s="95"/>
      <c r="AL47" s="24" t="s">
        <v>0</v>
      </c>
      <c r="AM47" s="24" t="s">
        <v>111</v>
      </c>
      <c r="AN47" s="24"/>
      <c r="AO47" s="24"/>
      <c r="AP47" s="24"/>
      <c r="AQ47" s="24"/>
      <c r="AR47" s="24"/>
      <c r="AS47" s="24"/>
      <c r="AT47" s="24"/>
      <c r="AU47" s="24"/>
      <c r="AY47" s="24" t="s">
        <v>112</v>
      </c>
      <c r="AZ47" s="24" t="s">
        <v>0</v>
      </c>
      <c r="BA47" s="24" t="s">
        <v>113</v>
      </c>
      <c r="BB47" s="24"/>
      <c r="BC47" s="24"/>
      <c r="BD47" s="24"/>
      <c r="BK47" s="26"/>
      <c r="BL47" s="26" t="s">
        <v>110</v>
      </c>
      <c r="BM47" s="24" t="s">
        <v>104</v>
      </c>
      <c r="BN47" s="24" t="s">
        <v>105</v>
      </c>
      <c r="BO47" s="24" t="s">
        <v>106</v>
      </c>
      <c r="BP47" s="24" t="s">
        <v>107</v>
      </c>
      <c r="BQ47" s="24" t="s">
        <v>108</v>
      </c>
      <c r="BR47" s="24" t="s">
        <v>109</v>
      </c>
      <c r="BS47" s="24" t="s">
        <v>0</v>
      </c>
      <c r="BT47" s="24" t="s">
        <v>114</v>
      </c>
      <c r="BU47" s="24"/>
      <c r="BV47" s="24" t="s">
        <v>115</v>
      </c>
      <c r="BW47" s="24" t="s">
        <v>114</v>
      </c>
      <c r="CE47" s="26"/>
      <c r="CF47" s="26" t="s">
        <v>110</v>
      </c>
      <c r="CG47" s="24" t="s">
        <v>104</v>
      </c>
      <c r="CH47" s="24" t="s">
        <v>105</v>
      </c>
      <c r="CI47" s="24" t="s">
        <v>106</v>
      </c>
      <c r="CJ47" s="24" t="s">
        <v>107</v>
      </c>
      <c r="CK47" s="24" t="s">
        <v>108</v>
      </c>
      <c r="CL47" s="24" t="s">
        <v>109</v>
      </c>
      <c r="CM47" s="24" t="s">
        <v>0</v>
      </c>
      <c r="CN47" s="24" t="s">
        <v>114</v>
      </c>
      <c r="CO47" s="24"/>
      <c r="CP47" s="24" t="s">
        <v>115</v>
      </c>
      <c r="CQ47" s="24" t="s">
        <v>114</v>
      </c>
    </row>
    <row r="48" spans="1:102" x14ac:dyDescent="0.2">
      <c r="A48" s="38" t="s">
        <v>154</v>
      </c>
      <c r="B48" s="39">
        <v>46190</v>
      </c>
      <c r="C48" s="40"/>
      <c r="D48" s="41"/>
      <c r="E48" s="42" t="s">
        <v>54</v>
      </c>
      <c r="F48" s="43">
        <v>2</v>
      </c>
      <c r="G48" s="43">
        <v>1</v>
      </c>
      <c r="H48" s="44" t="s">
        <v>64</v>
      </c>
      <c r="J48" s="24" t="str">
        <f>IF(OR(ISBLANK(F48),ISBLANK(G48)),"",IF(F48&gt;G48,E48,IF(G48&gt;F48,H48,"")))</f>
        <v>Paises Bajos</v>
      </c>
      <c r="K48" s="24" t="str">
        <f>IF(OR(ISBLANK(F48),ISBLANK(G48)),"",IF(F48=G48,E48,""))</f>
        <v/>
      </c>
      <c r="L48" s="24" t="str">
        <f>IF(OR(ISBLANK(F48),ISBLANK(G48)),"",IF(F48=G48,H48,""))</f>
        <v/>
      </c>
      <c r="M48" s="24" t="str">
        <f>IF(OR(ISBLANK(F48),ISBLANK(G48)),"",IF(F48&lt;G48,E48,IF(G48&lt;F48,H48,"")))</f>
        <v>Japon</v>
      </c>
      <c r="O48" s="26" t="str">
        <f>+E48</f>
        <v>Paises Bajos</v>
      </c>
      <c r="P48" s="24">
        <f>+COUNTIF(J48:J53,"="&amp;$O48)</f>
        <v>3</v>
      </c>
      <c r="Q48" s="24">
        <f>+COUNTIF(K48:L53,"="&amp;$O48)</f>
        <v>0</v>
      </c>
      <c r="R48" s="24">
        <f>+COUNTIF(M48:M53,"="&amp;$O48)</f>
        <v>0</v>
      </c>
      <c r="S48" s="24">
        <f>+T48-U48</f>
        <v>6</v>
      </c>
      <c r="T48" s="24">
        <f t="shared" ref="T48" si="212">+SUMIF(E48:E53,$O48,F48:F53)+SUMIF(H48:H53,$O48,G48:G53)</f>
        <v>7</v>
      </c>
      <c r="U48" s="24">
        <f t="shared" ref="U48" si="213">+SUMIF(E48:E53,$O48,G48:G53)+SUMIF(H48:H53,$O48,F48:F53)</f>
        <v>1</v>
      </c>
      <c r="V48" s="45">
        <f>+P48*3+Q48*1+BT48+CN48+S48/1000+T48/10000+AV48/1000000+ROW()/10000000</f>
        <v>9.0067047999999996</v>
      </c>
      <c r="W48" s="26" t="str">
        <f>+O48</f>
        <v>Paises Bajos</v>
      </c>
      <c r="Y48" s="46" t="str">
        <f>+CONCATENATE("1",RIGHT(E47,1))</f>
        <v>1F</v>
      </c>
      <c r="Z48" s="47" t="str">
        <f>+VLOOKUP(AL48,V48:W51,2,FALSE)</f>
        <v>Paises Bajos</v>
      </c>
      <c r="AA48" s="48">
        <f>+SUM(AB48:AD48)</f>
        <v>3</v>
      </c>
      <c r="AB48" s="49">
        <f t="shared" ref="AB48:AG51" si="214">+VLOOKUP($Z48,$O$48:$U$51,COLUMN()-26,FALSE)</f>
        <v>3</v>
      </c>
      <c r="AC48" s="49">
        <f t="shared" si="214"/>
        <v>0</v>
      </c>
      <c r="AD48" s="49">
        <f t="shared" si="214"/>
        <v>0</v>
      </c>
      <c r="AE48" s="49">
        <f t="shared" si="214"/>
        <v>6</v>
      </c>
      <c r="AF48" s="49">
        <f t="shared" si="214"/>
        <v>7</v>
      </c>
      <c r="AG48" s="49">
        <f t="shared" si="214"/>
        <v>1</v>
      </c>
      <c r="AH48" s="50">
        <f>+VLOOKUP($Z48,$O$48:$V$51,COLUMN()-26,FALSE)</f>
        <v>9.0067047999999996</v>
      </c>
      <c r="AI48" s="51"/>
      <c r="AL48" s="45">
        <f>+LARGE(V48:V51,1)</f>
        <v>9.0067047999999996</v>
      </c>
      <c r="AM48" s="52">
        <f>+(AH48-AL48)*100000000000000000000</f>
        <v>0</v>
      </c>
      <c r="AP48" s="53" t="str">
        <f>+O48</f>
        <v>Paises Bajos</v>
      </c>
      <c r="AQ48" s="23">
        <f>+P48*3+Q48*1+BT48+CN48+S48/1000+T48/10000</f>
        <v>9.0067000000000004</v>
      </c>
      <c r="AR48" s="23" t="b">
        <f>+IF(OR(AQ48=AQ49,AQ48=AQ50,AQ48=AQ51),1)</f>
        <v>0</v>
      </c>
      <c r="AS48" s="54">
        <f>+AV48</f>
        <v>0</v>
      </c>
      <c r="AT48" s="54">
        <f>+IF(AND(AM52="si",OR(AR48=1,AR49=1,AR50=1)),1,0)</f>
        <v>0</v>
      </c>
      <c r="AU48" s="55" t="str">
        <f>+O48</f>
        <v>Paises Bajos</v>
      </c>
      <c r="AV48" s="56"/>
      <c r="AX48" s="23" t="str">
        <f>+Y47</f>
        <v>Grupo F</v>
      </c>
      <c r="AY48" s="24" t="str">
        <f>+O48</f>
        <v>Paises Bajos</v>
      </c>
      <c r="AZ48" s="29">
        <f>+P48*3+Q48</f>
        <v>9</v>
      </c>
      <c r="BA48" s="29">
        <f>+COUNTIFS($AX$1:AX48,AX48,$AZ$1:AZ48,AZ48)</f>
        <v>1</v>
      </c>
      <c r="BB48" s="29">
        <f>+IF(AZ48=BF46,ROW()*0.001,AZ48)</f>
        <v>9</v>
      </c>
      <c r="BC48" s="29">
        <f>+COUNTIFS($AX$1:AZ48,AZ48,$AZ$1:BB48,BB48)</f>
        <v>2</v>
      </c>
      <c r="BD48" s="29"/>
      <c r="BE48" s="25" t="str">
        <f>+IF(OR(BF48="-",BI48="-",BF46=0),"-","OK")</f>
        <v>-</v>
      </c>
      <c r="BF48" s="57" t="str">
        <f>+IF(_xlfn.XLOOKUP($E48,$AY:$AY,$AZ:$AZ,"-",0)=BF46,$E48,"-")</f>
        <v>-</v>
      </c>
      <c r="BG48" s="58">
        <f t="shared" ref="BG48:BG53" si="215">+$F48</f>
        <v>2</v>
      </c>
      <c r="BH48" s="59">
        <f t="shared" ref="BH48:BH53" si="216">+$G48</f>
        <v>1</v>
      </c>
      <c r="BI48" s="57" t="str">
        <f>+IF(_xlfn.XLOOKUP($H48,$AY:$AY,$AZ:$AZ,"-",0)=BF46,$H48,"-")</f>
        <v>-</v>
      </c>
      <c r="BK48" s="26" t="str">
        <f>+O48</f>
        <v>Paises Bajos</v>
      </c>
      <c r="BL48" s="26">
        <f>+COUNTIFS($BE:$BE,"OK",$BI:$BI,BK48)+COUNTIFS($BE:$BE,"OK",$BF:$BF,BK48)</f>
        <v>0</v>
      </c>
      <c r="BM48" s="24">
        <f>+COUNTIFS(J:J,$BK48,$BE:$BE,"OK")</f>
        <v>0</v>
      </c>
      <c r="BN48" s="24">
        <f>+COUNTIFS(K:K,$BK48,$BE:$BE,"OK")+COUNTIFS(L:L,$BK48,$BE:$BE,"OK")</f>
        <v>0</v>
      </c>
      <c r="BO48" s="24">
        <f>+COUNTIFS(M:M,$BK48,$BE:$BE,"OK")</f>
        <v>0</v>
      </c>
      <c r="BP48" s="24">
        <f>+BQ48-BR48</f>
        <v>0</v>
      </c>
      <c r="BQ48" s="24">
        <f>+SUMIFS(BG:BG,$BE:$BE,"OK",BF:BF,$BK48)+SUMIFS(BH:BH,$BE:$BE,"OK",BI:BI,$BK48)</f>
        <v>0</v>
      </c>
      <c r="BR48" s="24">
        <f>+SUMIFS(BH:BH,$BE:$BE,"OK",BF:BF,$BK48)+SUMIFS(BG:BG,$BE:$BE,"OK",BI:BI,$BK48)</f>
        <v>0</v>
      </c>
      <c r="BS48" s="60">
        <f>+BM48*3+BN48*1+BP48/100+BQ48/10000</f>
        <v>0</v>
      </c>
      <c r="BT48" s="29">
        <f>+IF(BL48=0,0,_xlfn.XLOOKUP(BS48,BV48:BV51,BW48:BW51))</f>
        <v>0</v>
      </c>
      <c r="BU48" s="45"/>
      <c r="BV48" s="24">
        <f>+LARGE(BS48:BS51,1)</f>
        <v>0</v>
      </c>
      <c r="BW48" s="24">
        <f>+BX48/$BW$1</f>
        <v>0.3</v>
      </c>
      <c r="BX48" s="23">
        <v>3</v>
      </c>
      <c r="BY48" s="25" t="str">
        <f>+IF(OR(BZ48="-",CC48="-"),"-","OK")</f>
        <v>-</v>
      </c>
      <c r="BZ48" s="57" t="str">
        <f>+IF(_xlfn.XLOOKUP($E48,$AY:$AY,$AZ:$AZ,"-",0)=BZ46,$E48,"-")</f>
        <v>Paises Bajos</v>
      </c>
      <c r="CA48" s="58">
        <f t="shared" ref="CA48:CA53" si="217">+$F48</f>
        <v>2</v>
      </c>
      <c r="CB48" s="59">
        <f t="shared" ref="CB48:CB53" si="218">+$G48</f>
        <v>1</v>
      </c>
      <c r="CC48" s="57" t="str">
        <f>+IF(_xlfn.XLOOKUP($H48,$AY:$AY,$AZ:$AZ,"-",0)=BZ46,$H48,"-")</f>
        <v>-</v>
      </c>
      <c r="CE48" s="26" t="str">
        <f>+BK48</f>
        <v>Paises Bajos</v>
      </c>
      <c r="CF48" s="26">
        <f>+COUNTIFS($BY:$BY,"OK",$CC:$CC,CE48)+COUNTIFS($BY:$BY,"OK",$BZ:$BZ,CE48)</f>
        <v>0</v>
      </c>
      <c r="CG48" s="24">
        <f>+COUNTIFS(P:P,$BK48,$BY:$BY,"OK")</f>
        <v>0</v>
      </c>
      <c r="CH48" s="24">
        <f>+COUNTIFS(K:K,$BK48,$BY:$BY,"OK")+COUNTIFS(L:L,$BK48,$BY:$BY,"OK")</f>
        <v>0</v>
      </c>
      <c r="CI48" s="24">
        <f>+COUNTIFS(M:M,$CE48,$BY:$BY,"OK")</f>
        <v>0</v>
      </c>
      <c r="CJ48" s="24">
        <f>+CK48-CL48</f>
        <v>0</v>
      </c>
      <c r="CK48" s="24">
        <f>+SUMIFS(CA:CA,$BY:$BY,"OK",BZ:BZ,$BK48)+SUMIFS(CB:CB,$BY:$BY,"OK",CC:CC,$BK48)</f>
        <v>0</v>
      </c>
      <c r="CL48" s="24">
        <f>+SUMIFS(CB:CB,$BY:$BY,"OK",BZ:BZ,$BK48)+SUMIFS(CA:CA,$BY:$BY,"OK",CC:CC,$BK48)</f>
        <v>0</v>
      </c>
      <c r="CM48" s="60">
        <f>+CG48*3+CH48*1+CJ48/100+CK48/10000</f>
        <v>0</v>
      </c>
      <c r="CN48" s="29">
        <f>+IF(CF48=0,0,_xlfn.XLOOKUP(CM48,CP48:CP51,CQ48:CQ51))</f>
        <v>0</v>
      </c>
      <c r="CO48" s="45"/>
      <c r="CP48" s="24">
        <f>+LARGE(CM48:CM51,1)</f>
        <v>0</v>
      </c>
      <c r="CQ48" s="24">
        <f>+CR48/$BW$1</f>
        <v>0.3</v>
      </c>
      <c r="CR48" s="23">
        <v>3</v>
      </c>
    </row>
    <row r="49" spans="1:102" x14ac:dyDescent="0.2">
      <c r="A49" s="38" t="s">
        <v>155</v>
      </c>
      <c r="B49" s="39">
        <v>46187</v>
      </c>
      <c r="C49" s="40"/>
      <c r="D49" s="41"/>
      <c r="E49" s="42" t="s">
        <v>70</v>
      </c>
      <c r="F49" s="43">
        <v>1</v>
      </c>
      <c r="G49" s="43">
        <v>0</v>
      </c>
      <c r="H49" s="44" t="s">
        <v>81</v>
      </c>
      <c r="J49" s="24" t="str">
        <f t="shared" ref="J49:J53" si="219">IF(OR(ISBLANK(F49),ISBLANK(G49)),"",IF(F49&gt;G49,E49,IF(G49&gt;F49,H49,"")))</f>
        <v>Suecia</v>
      </c>
      <c r="K49" s="24" t="str">
        <f t="shared" ref="K49:K53" si="220">IF(OR(ISBLANK(F49),ISBLANK(G49)),"",IF(F49=G49,E49,""))</f>
        <v/>
      </c>
      <c r="L49" s="24" t="str">
        <f t="shared" ref="L49:L53" si="221">IF(OR(ISBLANK(F49),ISBLANK(G49)),"",IF(F49=G49,H49,""))</f>
        <v/>
      </c>
      <c r="M49" s="24" t="str">
        <f t="shared" ref="M49:M53" si="222">IF(OR(ISBLANK(F49),ISBLANK(G49)),"",IF(F49&lt;G49,E49,IF(G49&lt;F49,H49,"")))</f>
        <v>Tunez</v>
      </c>
      <c r="O49" s="26" t="str">
        <f>+H48</f>
        <v>Japon</v>
      </c>
      <c r="P49" s="24">
        <f>+COUNTIF(J48:J53,"="&amp;$O49)</f>
        <v>1</v>
      </c>
      <c r="Q49" s="24">
        <f>+COUNTIF(K48:L53,"="&amp;$O49)</f>
        <v>0</v>
      </c>
      <c r="R49" s="24">
        <f>+COUNTIF(M48:M53,"="&amp;$O49)</f>
        <v>2</v>
      </c>
      <c r="S49" s="24">
        <f t="shared" ref="S49:S51" si="223">+T49-U49</f>
        <v>0</v>
      </c>
      <c r="T49" s="24">
        <f t="shared" ref="T49" si="224">+SUMIF(E48:E53,$O49,F48:F53)+SUMIF(H48:H53,$O49,G48:G53)</f>
        <v>4</v>
      </c>
      <c r="U49" s="24">
        <f t="shared" ref="U49" si="225">+SUMIF(E48:E53,$O49,G48:G53)+SUMIF(H48:H53,$O49,F48:F53)</f>
        <v>4</v>
      </c>
      <c r="V49" s="45">
        <f t="shared" ref="V49:V51" si="226">+P49*3+Q49*1+BT49+CN49+S49/1000+T49/10000+AV49/1000000+ROW()/10000000</f>
        <v>3.0004048999999999</v>
      </c>
      <c r="W49" s="26" t="str">
        <f t="shared" ref="W49:W51" si="227">+O49</f>
        <v>Japon</v>
      </c>
      <c r="Y49" s="61" t="str">
        <f>+CONCATENATE("2",RIGHT(E47,1))</f>
        <v>2F</v>
      </c>
      <c r="Z49" s="62" t="str">
        <f>+VLOOKUP(AL49,V48:W51,2,FALSE)</f>
        <v>Suecia</v>
      </c>
      <c r="AA49" s="63">
        <f t="shared" ref="AA49:AA51" si="228">+SUM(AB49:AD49)</f>
        <v>3</v>
      </c>
      <c r="AB49" s="64">
        <f t="shared" si="214"/>
        <v>2</v>
      </c>
      <c r="AC49" s="64">
        <f t="shared" si="214"/>
        <v>0</v>
      </c>
      <c r="AD49" s="64">
        <f t="shared" si="214"/>
        <v>1</v>
      </c>
      <c r="AE49" s="64">
        <f t="shared" si="214"/>
        <v>0</v>
      </c>
      <c r="AF49" s="64">
        <f t="shared" si="214"/>
        <v>3</v>
      </c>
      <c r="AG49" s="64">
        <f t="shared" si="214"/>
        <v>3</v>
      </c>
      <c r="AH49" s="65">
        <f>+VLOOKUP($Z49,$O$48:$V$51,COLUMN()-26,FALSE)</f>
        <v>6.000305</v>
      </c>
      <c r="AI49" s="51"/>
      <c r="AL49" s="45">
        <f>+LARGE(V48:V51,2)</f>
        <v>6.000305</v>
      </c>
      <c r="AM49" s="52">
        <f t="shared" ref="AM49:AM51" si="229">+(AH49-AL49)*100000000000000000000</f>
        <v>0</v>
      </c>
      <c r="AP49" s="53" t="str">
        <f>+O49</f>
        <v>Japon</v>
      </c>
      <c r="AQ49" s="23">
        <f>+P49*3+Q49*1+BT49+CN49+S49/1000+T49/10000</f>
        <v>3.0004</v>
      </c>
      <c r="AR49" s="23" t="b">
        <f>+IF(OR(AQ49=AQ50,AQ49=AQ51),1)</f>
        <v>0</v>
      </c>
      <c r="AS49" s="54">
        <f t="shared" ref="AS49:AS51" si="230">+AV49</f>
        <v>0</v>
      </c>
      <c r="AT49" s="54">
        <f>+IF(AND(AM52="si",OR(AR48=1,AR49=1,AR50=1)),1,0)</f>
        <v>0</v>
      </c>
      <c r="AU49" s="66" t="str">
        <f t="shared" ref="AU49:AU51" si="231">+O49</f>
        <v>Japon</v>
      </c>
      <c r="AV49" s="67"/>
      <c r="AX49" s="23" t="str">
        <f>+Y47</f>
        <v>Grupo F</v>
      </c>
      <c r="AY49" s="24" t="str">
        <f t="shared" ref="AY49:AY51" si="232">+O49</f>
        <v>Japon</v>
      </c>
      <c r="AZ49" s="29">
        <f t="shared" ref="AZ49:AZ51" si="233">+P49*3+Q49</f>
        <v>3</v>
      </c>
      <c r="BA49" s="29">
        <f>+COUNTIFS($AX$1:AX49,AX49,$AZ$1:AZ49,AZ49)</f>
        <v>1</v>
      </c>
      <c r="BB49" s="29">
        <f>+IF(AZ49=BF46,ROW()*0.001,AZ49)</f>
        <v>3</v>
      </c>
      <c r="BC49" s="29">
        <f>+COUNTIFS($AX$1:AZ49,AZ49,$AZ$1:BB49,BB49)</f>
        <v>3</v>
      </c>
      <c r="BD49" s="29"/>
      <c r="BE49" s="25" t="str">
        <f>+IF(OR(BF49="-",BI49="-",BF46=0),"-","OK")</f>
        <v>-</v>
      </c>
      <c r="BF49" s="57" t="str">
        <f>+IF(_xlfn.XLOOKUP($E49,$AY:$AY,$AZ:$AZ,"-",0)=BF46,$E49,"-")</f>
        <v>-</v>
      </c>
      <c r="BG49" s="58">
        <f t="shared" si="215"/>
        <v>1</v>
      </c>
      <c r="BH49" s="59">
        <f t="shared" si="216"/>
        <v>0</v>
      </c>
      <c r="BI49" s="57" t="str">
        <f>+IF(_xlfn.XLOOKUP($H49,$AY:$AY,$AZ:$AZ,"-",0)=BF46,$H49,"-")</f>
        <v>-</v>
      </c>
      <c r="BK49" s="26" t="str">
        <f t="shared" ref="BK49:BK51" si="234">+O49</f>
        <v>Japon</v>
      </c>
      <c r="BL49" s="26">
        <f t="shared" ref="BL49:BL51" si="235">+COUNTIFS($BE:$BE,"OK",$BI:$BI,BK49)+COUNTIFS($BE:$BE,"OK",$BF:$BF,BK49)</f>
        <v>0</v>
      </c>
      <c r="BM49" s="24">
        <f t="shared" ref="BM49:BM51" si="236">+COUNTIFS(J:J,$BK49,$BE:$BE,"OK")</f>
        <v>0</v>
      </c>
      <c r="BN49" s="24">
        <f t="shared" ref="BN49:BN51" si="237">+COUNTIFS(K:K,$BK49,$BE:$BE,"OK")+COUNTIFS(L:L,$BK49,$BE:$BE,"OK")</f>
        <v>0</v>
      </c>
      <c r="BO49" s="24">
        <f t="shared" ref="BO49:BO51" si="238">+COUNTIFS(M:M,$BK49,$BE:$BE,"OK")</f>
        <v>0</v>
      </c>
      <c r="BP49" s="24">
        <f t="shared" ref="BP49:BP51" si="239">+BQ49-BR49</f>
        <v>0</v>
      </c>
      <c r="BQ49" s="24">
        <f>+SUMIFS(BG:BG,$BE:$BE,"OK",BF:BF,$BK49)+SUMIFS(BH:BH,$BE:$BE,"OK",BI:BI,$BK49)</f>
        <v>0</v>
      </c>
      <c r="BR49" s="24">
        <f t="shared" ref="BR49:BR51" si="240">+SUMIFS(BH:BH,$BE:$BE,"OK",BF:BF,$BK49)+SUMIFS(BG:BG,$BE:$BE,"OK",BI:BI,$BK49)</f>
        <v>0</v>
      </c>
      <c r="BS49" s="60">
        <f t="shared" ref="BS49:BS51" si="241">+BM49*3+BN49*1+BP49/100+BQ49/10000</f>
        <v>0</v>
      </c>
      <c r="BT49" s="29">
        <f>+IF(BL49=0,0,_xlfn.XLOOKUP(BS49,BV48:BV51,BW48:BW51))</f>
        <v>0</v>
      </c>
      <c r="BU49" s="45"/>
      <c r="BV49" s="24">
        <f>+LARGE(BS48:BS51,2)</f>
        <v>0</v>
      </c>
      <c r="BW49" s="24">
        <f>+BX49/$BW$1</f>
        <v>0.2</v>
      </c>
      <c r="BX49" s="23">
        <v>2</v>
      </c>
      <c r="BY49" s="25" t="str">
        <f t="shared" ref="BY49:BY53" si="242">+IF(OR(BZ49="-",CC49="-"),"-","OK")</f>
        <v>-</v>
      </c>
      <c r="BZ49" s="57" t="str">
        <f>+IF(_xlfn.XLOOKUP($E49,$AY:$AY,$AZ:$AZ,"-",0)=BZ46,$E49,"-")</f>
        <v>-</v>
      </c>
      <c r="CA49" s="58">
        <f t="shared" si="217"/>
        <v>1</v>
      </c>
      <c r="CB49" s="59">
        <f t="shared" si="218"/>
        <v>0</v>
      </c>
      <c r="CC49" s="57" t="str">
        <f>+IF(_xlfn.XLOOKUP($H49,$AY:$AY,$AZ:$AZ,"-",0)=BZ46,$H49,"-")</f>
        <v>-</v>
      </c>
      <c r="CE49" s="26" t="str">
        <f t="shared" ref="CE49:CE51" si="243">+BK49</f>
        <v>Japon</v>
      </c>
      <c r="CF49" s="26">
        <f t="shared" ref="CF49:CF51" si="244">+COUNTIFS($BY:$BY,"OK",$CC:$CC,CE49)+COUNTIFS($BY:$BY,"OK",$BZ:$BZ,CE49)</f>
        <v>0</v>
      </c>
      <c r="CG49" s="24">
        <f t="shared" ref="CG49:CG51" si="245">+COUNTIFS(P:P,$BK49,$BY:$BY,"OK")</f>
        <v>0</v>
      </c>
      <c r="CH49" s="24">
        <f t="shared" ref="CH49:CH51" si="246">+COUNTIFS(K:K,$BK49,$BY:$BY,"OK")+COUNTIFS(L:L,$BK49,$BY:$BY,"OK")</f>
        <v>0</v>
      </c>
      <c r="CI49" s="24">
        <f t="shared" ref="CI49:CI51" si="247">+COUNTIFS(M:M,$CE49,$BY:$BY,"OK")</f>
        <v>0</v>
      </c>
      <c r="CJ49" s="24">
        <f t="shared" ref="CJ49:CJ51" si="248">+CK49-CL49</f>
        <v>0</v>
      </c>
      <c r="CK49" s="24">
        <f t="shared" ref="CK49:CK51" si="249">+SUMIFS(CA:CA,$BY:$BY,"OK",BZ:BZ,$BK49)+SUMIFS(CB:CB,$BY:$BY,"OK",CC:CC,$BK49)</f>
        <v>0</v>
      </c>
      <c r="CL49" s="24">
        <f t="shared" ref="CL49:CL51" si="250">+SUMIFS(CB:CB,$BY:$BY,"OK",BZ:BZ,$BK49)+SUMIFS(CA:CA,$BY:$BY,"OK",CC:CC,$BK49)</f>
        <v>0</v>
      </c>
      <c r="CM49" s="60">
        <f t="shared" ref="CM49:CM51" si="251">+CG49*3+CH49*1+CJ49/100+CK49/10000</f>
        <v>0</v>
      </c>
      <c r="CN49" s="29">
        <f>+IF(CF49=0,0,_xlfn.XLOOKUP(CM49,CP48:CP51,CQ48:CQ51))</f>
        <v>0</v>
      </c>
      <c r="CO49" s="45"/>
      <c r="CP49" s="24">
        <f>+LARGE(CM48:CM51,2)</f>
        <v>0</v>
      </c>
      <c r="CQ49" s="24">
        <f>+CR49/$BW$1</f>
        <v>0.2</v>
      </c>
      <c r="CR49" s="23">
        <v>2</v>
      </c>
    </row>
    <row r="50" spans="1:102" x14ac:dyDescent="0.2">
      <c r="A50" s="38" t="s">
        <v>156</v>
      </c>
      <c r="B50" s="39">
        <v>46193</v>
      </c>
      <c r="C50" s="40"/>
      <c r="D50" s="41"/>
      <c r="E50" s="42" t="s">
        <v>54</v>
      </c>
      <c r="F50" s="43">
        <v>2</v>
      </c>
      <c r="G50" s="43">
        <v>0</v>
      </c>
      <c r="H50" s="44" t="s">
        <v>70</v>
      </c>
      <c r="J50" s="24" t="str">
        <f t="shared" si="219"/>
        <v>Paises Bajos</v>
      </c>
      <c r="K50" s="24" t="str">
        <f t="shared" si="220"/>
        <v/>
      </c>
      <c r="L50" s="24" t="str">
        <f t="shared" si="221"/>
        <v/>
      </c>
      <c r="M50" s="24" t="str">
        <f t="shared" si="222"/>
        <v>Suecia</v>
      </c>
      <c r="O50" s="26" t="str">
        <f>+E49</f>
        <v>Suecia</v>
      </c>
      <c r="P50" s="24">
        <f>+COUNTIF(J48:J53,"="&amp;$O50)</f>
        <v>2</v>
      </c>
      <c r="Q50" s="24">
        <f>+COUNTIF(K48:L53,"="&amp;$O50)</f>
        <v>0</v>
      </c>
      <c r="R50" s="24">
        <f>+COUNTIF(M48:M53,"="&amp;$O50)</f>
        <v>1</v>
      </c>
      <c r="S50" s="24">
        <f t="shared" si="223"/>
        <v>0</v>
      </c>
      <c r="T50" s="24">
        <f t="shared" ref="T50" si="252">+SUMIF(E48:E53,$O50,F48:F53)+SUMIF(H48:H53,$O50,G48:G53)</f>
        <v>3</v>
      </c>
      <c r="U50" s="24">
        <f t="shared" ref="U50" si="253">+SUMIF(E48:E53,$O50,G48:G53)+SUMIF(H48:H53,$O50,F48:F53)</f>
        <v>3</v>
      </c>
      <c r="V50" s="45">
        <f t="shared" si="226"/>
        <v>6.000305</v>
      </c>
      <c r="W50" s="26" t="str">
        <f t="shared" si="227"/>
        <v>Suecia</v>
      </c>
      <c r="Y50" s="68" t="str">
        <f>+CONCATENATE("3",RIGHT(E47,1))</f>
        <v>3F</v>
      </c>
      <c r="Z50" s="69" t="str">
        <f>+VLOOKUP(AL50,V48:W51,2,FALSE)</f>
        <v>Japon</v>
      </c>
      <c r="AA50" s="70">
        <f t="shared" si="228"/>
        <v>3</v>
      </c>
      <c r="AB50" s="71">
        <f t="shared" si="214"/>
        <v>1</v>
      </c>
      <c r="AC50" s="71">
        <f t="shared" si="214"/>
        <v>0</v>
      </c>
      <c r="AD50" s="71">
        <f t="shared" si="214"/>
        <v>2</v>
      </c>
      <c r="AE50" s="71">
        <f t="shared" si="214"/>
        <v>0</v>
      </c>
      <c r="AF50" s="71">
        <f t="shared" si="214"/>
        <v>4</v>
      </c>
      <c r="AG50" s="71">
        <f t="shared" si="214"/>
        <v>4</v>
      </c>
      <c r="AH50" s="72">
        <f>+VLOOKUP($Z50,$O$48:$V$51,COLUMN()-26,FALSE)</f>
        <v>3.0004048999999999</v>
      </c>
      <c r="AI50" s="73">
        <f>+(COUNTIFS($CV$2:$CV$13,Z50,$CX$2:$CX$13,"IN")+COUNTIFS($CV$2:$CV$13,Z50,$CW$2:$CW$13,"IN"))*IF(SUM(AA48:AA51)=12,1,0)</f>
        <v>1</v>
      </c>
      <c r="AL50" s="45">
        <f>+LARGE(V48:V51,3)</f>
        <v>3.0004048999999999</v>
      </c>
      <c r="AM50" s="52">
        <f t="shared" si="229"/>
        <v>0</v>
      </c>
      <c r="AP50" s="53" t="str">
        <f>+O50</f>
        <v>Suecia</v>
      </c>
      <c r="AQ50" s="23">
        <f>+P50*3+Q50*1+BT50+CN50+S50/1000+T50/10000</f>
        <v>6.0003000000000002</v>
      </c>
      <c r="AR50" s="23" t="b">
        <f>+IF(OR(AQ50=AQ51),1)</f>
        <v>0</v>
      </c>
      <c r="AS50" s="54">
        <f t="shared" si="230"/>
        <v>0</v>
      </c>
      <c r="AT50" s="54">
        <f>+IF(AND(AM52="si",OR(AR48=1,AR49=1,AR50=1)),1,0)</f>
        <v>0</v>
      </c>
      <c r="AU50" s="66" t="str">
        <f t="shared" si="231"/>
        <v>Suecia</v>
      </c>
      <c r="AV50" s="67"/>
      <c r="AX50" s="23" t="str">
        <f>+Y47</f>
        <v>Grupo F</v>
      </c>
      <c r="AY50" s="24" t="str">
        <f t="shared" si="232"/>
        <v>Suecia</v>
      </c>
      <c r="AZ50" s="29">
        <f t="shared" si="233"/>
        <v>6</v>
      </c>
      <c r="BA50" s="29">
        <f>+COUNTIFS($AX$1:AX50,AX50,$AZ$1:AZ50,AZ50)</f>
        <v>1</v>
      </c>
      <c r="BB50" s="29">
        <f>+IF(AZ50=BF46,ROW()*0.001,AZ50)</f>
        <v>6</v>
      </c>
      <c r="BC50" s="29">
        <f>+COUNTIFS($AX$1:AZ50,AZ50,$AZ$1:BB50,BB50)</f>
        <v>2</v>
      </c>
      <c r="BD50" s="29"/>
      <c r="BE50" s="25" t="str">
        <f>+IF(OR(BF50="-",BI50="-",BF46=0),"-","OK")</f>
        <v>-</v>
      </c>
      <c r="BF50" s="57" t="str">
        <f>+IF(_xlfn.XLOOKUP($E50,$AY:$AY,$AZ:$AZ,"-",0)=BF46,$E50,"-")</f>
        <v>-</v>
      </c>
      <c r="BG50" s="58">
        <f t="shared" si="215"/>
        <v>2</v>
      </c>
      <c r="BH50" s="59">
        <f t="shared" si="216"/>
        <v>0</v>
      </c>
      <c r="BI50" s="57" t="str">
        <f>+IF(_xlfn.XLOOKUP($H50,$AY:$AY,$AZ:$AZ,"-",0)=BF46,$H50,"-")</f>
        <v>-</v>
      </c>
      <c r="BK50" s="26" t="str">
        <f t="shared" si="234"/>
        <v>Suecia</v>
      </c>
      <c r="BL50" s="26">
        <f t="shared" si="235"/>
        <v>0</v>
      </c>
      <c r="BM50" s="24">
        <f t="shared" si="236"/>
        <v>0</v>
      </c>
      <c r="BN50" s="24">
        <f t="shared" si="237"/>
        <v>0</v>
      </c>
      <c r="BO50" s="24">
        <f t="shared" si="238"/>
        <v>0</v>
      </c>
      <c r="BP50" s="24">
        <f t="shared" si="239"/>
        <v>0</v>
      </c>
      <c r="BQ50" s="24">
        <f>+SUMIFS(BG:BG,$BE:$BE,"OK",BF:BF,$BK50)+SUMIFS(BH:BH,$BE:$BE,"OK",BI:BI,$BK50)</f>
        <v>0</v>
      </c>
      <c r="BR50" s="24">
        <f t="shared" si="240"/>
        <v>0</v>
      </c>
      <c r="BS50" s="60">
        <f t="shared" si="241"/>
        <v>0</v>
      </c>
      <c r="BT50" s="29">
        <f>+IF(BL50=0,0,_xlfn.XLOOKUP(BS50,BV48:BV51,BW48:BW51))</f>
        <v>0</v>
      </c>
      <c r="BU50" s="45"/>
      <c r="BV50" s="24">
        <f>+LARGE(BS48:BS51,3)</f>
        <v>0</v>
      </c>
      <c r="BW50" s="24">
        <f>+BX50/$BW$1</f>
        <v>0.1</v>
      </c>
      <c r="BX50" s="23">
        <v>1</v>
      </c>
      <c r="BY50" s="25" t="str">
        <f t="shared" si="242"/>
        <v>-</v>
      </c>
      <c r="BZ50" s="57" t="str">
        <f>+IF(_xlfn.XLOOKUP($E50,$AY:$AY,$AZ:$AZ,"-",0)=BZ46,$E50,"-")</f>
        <v>Paises Bajos</v>
      </c>
      <c r="CA50" s="58">
        <f t="shared" si="217"/>
        <v>2</v>
      </c>
      <c r="CB50" s="59">
        <f t="shared" si="218"/>
        <v>0</v>
      </c>
      <c r="CC50" s="57" t="str">
        <f>+IF(_xlfn.XLOOKUP($H50,$AY:$AY,$AZ:$AZ,"-",0)=BZ46,$H50,"-")</f>
        <v>-</v>
      </c>
      <c r="CE50" s="26" t="str">
        <f t="shared" si="243"/>
        <v>Suecia</v>
      </c>
      <c r="CF50" s="26">
        <f t="shared" si="244"/>
        <v>0</v>
      </c>
      <c r="CG50" s="24">
        <f t="shared" si="245"/>
        <v>0</v>
      </c>
      <c r="CH50" s="24">
        <f t="shared" si="246"/>
        <v>0</v>
      </c>
      <c r="CI50" s="24">
        <f t="shared" si="247"/>
        <v>0</v>
      </c>
      <c r="CJ50" s="24">
        <f t="shared" si="248"/>
        <v>0</v>
      </c>
      <c r="CK50" s="24">
        <f t="shared" si="249"/>
        <v>0</v>
      </c>
      <c r="CL50" s="24">
        <f t="shared" si="250"/>
        <v>0</v>
      </c>
      <c r="CM50" s="60">
        <f t="shared" si="251"/>
        <v>0</v>
      </c>
      <c r="CN50" s="29">
        <f>+IF(CF50=0,0,_xlfn.XLOOKUP(CM50,CP48:CP51,CQ48:CQ51))</f>
        <v>0</v>
      </c>
      <c r="CO50" s="45"/>
      <c r="CP50" s="24">
        <f>+LARGE(CM48:CM51,3)</f>
        <v>0</v>
      </c>
      <c r="CQ50" s="24">
        <f>+CR50/$BW$1</f>
        <v>0.1</v>
      </c>
      <c r="CR50" s="23">
        <v>1</v>
      </c>
    </row>
    <row r="51" spans="1:102" x14ac:dyDescent="0.2">
      <c r="A51" s="38" t="s">
        <v>157</v>
      </c>
      <c r="B51" s="39">
        <v>46194</v>
      </c>
      <c r="C51" s="40"/>
      <c r="D51" s="41"/>
      <c r="E51" s="42" t="s">
        <v>81</v>
      </c>
      <c r="F51" s="43">
        <v>0</v>
      </c>
      <c r="G51" s="43">
        <v>2</v>
      </c>
      <c r="H51" s="44" t="s">
        <v>64</v>
      </c>
      <c r="J51" s="24" t="str">
        <f t="shared" si="219"/>
        <v>Japon</v>
      </c>
      <c r="K51" s="24" t="str">
        <f t="shared" si="220"/>
        <v/>
      </c>
      <c r="L51" s="24" t="str">
        <f t="shared" si="221"/>
        <v/>
      </c>
      <c r="M51" s="24" t="str">
        <f t="shared" si="222"/>
        <v>Tunez</v>
      </c>
      <c r="O51" s="26" t="str">
        <f>+H49</f>
        <v>Tunez</v>
      </c>
      <c r="P51" s="24">
        <f>+COUNTIF(J48:J53,"="&amp;$O51)</f>
        <v>0</v>
      </c>
      <c r="Q51" s="24">
        <f>+COUNTIF(K48:L53,"="&amp;$O51)</f>
        <v>0</v>
      </c>
      <c r="R51" s="24">
        <f>+COUNTIF(M48:M53,"="&amp;$O51)</f>
        <v>3</v>
      </c>
      <c r="S51" s="24">
        <f t="shared" si="223"/>
        <v>-6</v>
      </c>
      <c r="T51" s="24">
        <f t="shared" ref="T51" si="254">+SUMIF(E48:E53,$O51,F48:F53)+SUMIF(H48:H53,$O51,G48:G53)</f>
        <v>0</v>
      </c>
      <c r="U51" s="24">
        <f t="shared" ref="U51" si="255">+SUMIF(E48:E53,$O51,G48:G53)+SUMIF(H48:H53,$O51,F48:F53)</f>
        <v>6</v>
      </c>
      <c r="V51" s="45">
        <f t="shared" si="226"/>
        <v>-5.9949000000000001E-3</v>
      </c>
      <c r="W51" s="26" t="str">
        <f t="shared" si="227"/>
        <v>Tunez</v>
      </c>
      <c r="Y51" s="74" t="str">
        <f>+CONCATENATE("4",RIGHT(E47,1))</f>
        <v>4F</v>
      </c>
      <c r="Z51" s="75" t="str">
        <f>+VLOOKUP(AL51,V48:W51,2,FALSE)</f>
        <v>Tunez</v>
      </c>
      <c r="AA51" s="76">
        <f t="shared" si="228"/>
        <v>3</v>
      </c>
      <c r="AB51" s="77">
        <f t="shared" si="214"/>
        <v>0</v>
      </c>
      <c r="AC51" s="77">
        <f t="shared" si="214"/>
        <v>0</v>
      </c>
      <c r="AD51" s="77">
        <f t="shared" si="214"/>
        <v>3</v>
      </c>
      <c r="AE51" s="77">
        <f t="shared" si="214"/>
        <v>-6</v>
      </c>
      <c r="AF51" s="77">
        <f t="shared" si="214"/>
        <v>0</v>
      </c>
      <c r="AG51" s="77">
        <f t="shared" si="214"/>
        <v>6</v>
      </c>
      <c r="AH51" s="78">
        <f>+VLOOKUP($Z51,$O$48:$V$51,COLUMN()-26,FALSE)</f>
        <v>-5.9949000000000001E-3</v>
      </c>
      <c r="AI51" s="73"/>
      <c r="AL51" s="45">
        <f>+LARGE(V48:V51,4)</f>
        <v>-5.9949000000000001E-3</v>
      </c>
      <c r="AM51" s="52">
        <f t="shared" si="229"/>
        <v>0</v>
      </c>
      <c r="AP51" s="53" t="str">
        <f>+O51</f>
        <v>Tunez</v>
      </c>
      <c r="AQ51" s="23">
        <f>+P51*3+Q51*1+BT51+CN51+S51/1000+T51/10000</f>
        <v>-6.0000000000000001E-3</v>
      </c>
      <c r="AS51" s="54">
        <f t="shared" si="230"/>
        <v>0</v>
      </c>
      <c r="AT51" s="54">
        <f>+IF(AND(AM52="si",OR(AR48=1,AR49=1,AR50=1)),1,0)</f>
        <v>0</v>
      </c>
      <c r="AU51" s="79" t="str">
        <f t="shared" si="231"/>
        <v>Tunez</v>
      </c>
      <c r="AV51" s="80"/>
      <c r="AX51" s="23" t="str">
        <f>+Y47</f>
        <v>Grupo F</v>
      </c>
      <c r="AY51" s="24" t="str">
        <f t="shared" si="232"/>
        <v>Tunez</v>
      </c>
      <c r="AZ51" s="29">
        <f t="shared" si="233"/>
        <v>0</v>
      </c>
      <c r="BA51" s="29">
        <f>+COUNTIFS($AX$1:AX51,AX51,$AZ$1:AZ51,AZ51)</f>
        <v>1</v>
      </c>
      <c r="BB51" s="29">
        <f>+IF(AZ51=BF46,ROW()*0.001,AZ51)</f>
        <v>0</v>
      </c>
      <c r="BC51" s="29">
        <f>+COUNTIFS($AX$1:AZ51,AZ51,$AZ$1:BB51,BB51)</f>
        <v>5</v>
      </c>
      <c r="BD51" s="29"/>
      <c r="BE51" s="25" t="str">
        <f>+IF(OR(BF51="-",BI51="-",BF46=0),"-","OK")</f>
        <v>-</v>
      </c>
      <c r="BF51" s="57" t="str">
        <f>+IF(_xlfn.XLOOKUP($E51,$AY:$AY,$AZ:$AZ,"-",0)=BF46,$E51,"-")</f>
        <v>-</v>
      </c>
      <c r="BG51" s="58">
        <f t="shared" si="215"/>
        <v>0</v>
      </c>
      <c r="BH51" s="59">
        <f t="shared" si="216"/>
        <v>2</v>
      </c>
      <c r="BI51" s="57" t="str">
        <f>+IF(_xlfn.XLOOKUP($H51,$AY:$AY,$AZ:$AZ,"-",0)=BF46,$H51,"-")</f>
        <v>-</v>
      </c>
      <c r="BK51" s="26" t="str">
        <f t="shared" si="234"/>
        <v>Tunez</v>
      </c>
      <c r="BL51" s="26">
        <f t="shared" si="235"/>
        <v>0</v>
      </c>
      <c r="BM51" s="24">
        <f t="shared" si="236"/>
        <v>0</v>
      </c>
      <c r="BN51" s="24">
        <f t="shared" si="237"/>
        <v>0</v>
      </c>
      <c r="BO51" s="24">
        <f t="shared" si="238"/>
        <v>0</v>
      </c>
      <c r="BP51" s="24">
        <f t="shared" si="239"/>
        <v>0</v>
      </c>
      <c r="BQ51" s="24">
        <f>+SUMIFS(BG:BG,$BE:$BE,"OK",BF:BF,$BK51)+SUMIFS(BH:BH,$BE:$BE,"OK",BI:BI,$BK51)</f>
        <v>0</v>
      </c>
      <c r="BR51" s="24">
        <f t="shared" si="240"/>
        <v>0</v>
      </c>
      <c r="BS51" s="60">
        <f t="shared" si="241"/>
        <v>0</v>
      </c>
      <c r="BT51" s="29">
        <f>+IF(BL51=0,0,_xlfn.XLOOKUP(BS51,BV48:BV51,BW48:BW51))</f>
        <v>0</v>
      </c>
      <c r="BU51" s="45"/>
      <c r="BV51" s="24">
        <f>+LARGE(BS48:BS51,4)</f>
        <v>0</v>
      </c>
      <c r="BW51" s="24">
        <f>+BX51/$BW$1</f>
        <v>0</v>
      </c>
      <c r="BX51" s="23">
        <v>0</v>
      </c>
      <c r="BY51" s="25" t="str">
        <f t="shared" si="242"/>
        <v>-</v>
      </c>
      <c r="BZ51" s="57" t="str">
        <f>+IF(_xlfn.XLOOKUP($E51,$AY:$AY,$AZ:$AZ,"-",0)=BZ46,$E51,"-")</f>
        <v>-</v>
      </c>
      <c r="CA51" s="58">
        <f t="shared" si="217"/>
        <v>0</v>
      </c>
      <c r="CB51" s="59">
        <f t="shared" si="218"/>
        <v>2</v>
      </c>
      <c r="CC51" s="57" t="str">
        <f>+IF(_xlfn.XLOOKUP($H51,$AY:$AY,$AZ:$AZ,"-",0)=BZ46,$H51,"-")</f>
        <v>-</v>
      </c>
      <c r="CE51" s="26" t="str">
        <f t="shared" si="243"/>
        <v>Tunez</v>
      </c>
      <c r="CF51" s="26">
        <f t="shared" si="244"/>
        <v>0</v>
      </c>
      <c r="CG51" s="24">
        <f t="shared" si="245"/>
        <v>0</v>
      </c>
      <c r="CH51" s="24">
        <f t="shared" si="246"/>
        <v>0</v>
      </c>
      <c r="CI51" s="24">
        <f t="shared" si="247"/>
        <v>0</v>
      </c>
      <c r="CJ51" s="24">
        <f t="shared" si="248"/>
        <v>0</v>
      </c>
      <c r="CK51" s="24">
        <f t="shared" si="249"/>
        <v>0</v>
      </c>
      <c r="CL51" s="24">
        <f t="shared" si="250"/>
        <v>0</v>
      </c>
      <c r="CM51" s="60">
        <f t="shared" si="251"/>
        <v>0</v>
      </c>
      <c r="CN51" s="29">
        <f>+IF(CF51=0,0,_xlfn.XLOOKUP(CM51,CP48:CP51,CQ48:CQ51))</f>
        <v>0</v>
      </c>
      <c r="CO51" s="45"/>
      <c r="CP51" s="24">
        <f>+LARGE(CM48:CM51,4)</f>
        <v>0</v>
      </c>
      <c r="CQ51" s="24">
        <f>+CR51/$BW$1</f>
        <v>0</v>
      </c>
      <c r="CR51" s="23">
        <v>0</v>
      </c>
    </row>
    <row r="52" spans="1:102" x14ac:dyDescent="0.2">
      <c r="A52" s="38" t="s">
        <v>158</v>
      </c>
      <c r="B52" s="39">
        <v>46198</v>
      </c>
      <c r="C52" s="40"/>
      <c r="D52" s="41"/>
      <c r="E52" s="42" t="s">
        <v>64</v>
      </c>
      <c r="F52" s="43">
        <v>1</v>
      </c>
      <c r="G52" s="43">
        <v>2</v>
      </c>
      <c r="H52" s="44" t="s">
        <v>70</v>
      </c>
      <c r="J52" s="24" t="str">
        <f t="shared" si="219"/>
        <v>Suecia</v>
      </c>
      <c r="K52" s="24" t="str">
        <f t="shared" si="220"/>
        <v/>
      </c>
      <c r="L52" s="24" t="str">
        <f t="shared" si="221"/>
        <v/>
      </c>
      <c r="M52" s="24" t="str">
        <f t="shared" si="222"/>
        <v>Japon</v>
      </c>
      <c r="AL52" s="25" t="s">
        <v>122</v>
      </c>
      <c r="AM52" s="52" t="str">
        <f>+IF(SUM(AA48:AA51)=12,"si","no")</f>
        <v>si</v>
      </c>
      <c r="BE52" s="25" t="str">
        <f>+IF(OR(BF52="-",BI52="-",BF46=0),"-","OK")</f>
        <v>-</v>
      </c>
      <c r="BF52" s="57" t="str">
        <f>+IF(_xlfn.XLOOKUP($E52,$AY:$AY,$AZ:$AZ,"-",0)=BF46,$E52,"-")</f>
        <v>-</v>
      </c>
      <c r="BG52" s="58">
        <f t="shared" si="215"/>
        <v>1</v>
      </c>
      <c r="BH52" s="59">
        <f t="shared" si="216"/>
        <v>2</v>
      </c>
      <c r="BI52" s="57" t="str">
        <f>+IF(_xlfn.XLOOKUP($H52,$AY:$AY,$AZ:$AZ,"-",0)=BF46,$H52,"-")</f>
        <v>-</v>
      </c>
      <c r="BY52" s="25" t="str">
        <f t="shared" si="242"/>
        <v>-</v>
      </c>
      <c r="BZ52" s="57" t="str">
        <f>+IF(_xlfn.XLOOKUP($E52,$AY:$AY,$AZ:$AZ,"-",0)=BZ46,$E52,"-")</f>
        <v>-</v>
      </c>
      <c r="CA52" s="58">
        <f t="shared" si="217"/>
        <v>1</v>
      </c>
      <c r="CB52" s="59">
        <f t="shared" si="218"/>
        <v>2</v>
      </c>
      <c r="CC52" s="57" t="str">
        <f>+IF(_xlfn.XLOOKUP($H52,$AY:$AY,$AZ:$AZ,"-",0)=BZ46,$H52,"-")</f>
        <v>-</v>
      </c>
    </row>
    <row r="53" spans="1:102" x14ac:dyDescent="0.2">
      <c r="A53" s="38" t="s">
        <v>159</v>
      </c>
      <c r="B53" s="39">
        <v>46198</v>
      </c>
      <c r="C53" s="40"/>
      <c r="D53" s="41"/>
      <c r="E53" s="42" t="s">
        <v>81</v>
      </c>
      <c r="F53" s="43">
        <v>0</v>
      </c>
      <c r="G53" s="43">
        <v>3</v>
      </c>
      <c r="H53" s="44" t="s">
        <v>54</v>
      </c>
      <c r="J53" s="24" t="str">
        <f t="shared" si="219"/>
        <v>Paises Bajos</v>
      </c>
      <c r="K53" s="24" t="str">
        <f t="shared" si="220"/>
        <v/>
      </c>
      <c r="L53" s="24" t="str">
        <f t="shared" si="221"/>
        <v/>
      </c>
      <c r="M53" s="24" t="str">
        <f t="shared" si="222"/>
        <v>Tunez</v>
      </c>
      <c r="Y53" s="53" t="s">
        <v>124</v>
      </c>
      <c r="AR53" s="23">
        <f>+IF(AND(AM52="si",OR(AR48=1,AR49=1,AR50=1)),1,0)</f>
        <v>0</v>
      </c>
      <c r="BE53" s="25" t="str">
        <f>+IF(OR(BF53="-",BI53="-",BF46=0),"-","OK")</f>
        <v>-</v>
      </c>
      <c r="BF53" s="57" t="str">
        <f>+IF(_xlfn.XLOOKUP($E53,$AY:$AY,$AZ:$AZ,"-",0)=BF46,$E53,"-")</f>
        <v>-</v>
      </c>
      <c r="BG53" s="58">
        <f t="shared" si="215"/>
        <v>0</v>
      </c>
      <c r="BH53" s="59">
        <f t="shared" si="216"/>
        <v>3</v>
      </c>
      <c r="BI53" s="57" t="str">
        <f>+IF(_xlfn.XLOOKUP($H53,$AY:$AY,$AZ:$AZ,"-",0)=BF46,$H53,"-")</f>
        <v>-</v>
      </c>
      <c r="BY53" s="25" t="str">
        <f t="shared" si="242"/>
        <v>-</v>
      </c>
      <c r="BZ53" s="57" t="str">
        <f>+IF(_xlfn.XLOOKUP($E53,$AY:$AY,$AZ:$AZ,"-",0)=BZ46,$E53,"-")</f>
        <v>-</v>
      </c>
      <c r="CA53" s="58">
        <f t="shared" si="217"/>
        <v>0</v>
      </c>
      <c r="CB53" s="59">
        <f t="shared" si="218"/>
        <v>3</v>
      </c>
      <c r="CC53" s="57" t="str">
        <f>+IF(_xlfn.XLOOKUP($H53,$AY:$AY,$AZ:$AZ,"-",0)=BZ46,$H53,"-")</f>
        <v>Paises Bajos</v>
      </c>
    </row>
    <row r="54" spans="1:102" s="83" customFormat="1" x14ac:dyDescent="0.2">
      <c r="A54" s="81"/>
      <c r="B54" s="82"/>
      <c r="C54" s="81"/>
      <c r="E54" s="84"/>
      <c r="F54" s="81"/>
      <c r="G54" s="81"/>
      <c r="H54" s="85"/>
      <c r="J54" s="81"/>
      <c r="K54" s="81"/>
      <c r="L54" s="81"/>
      <c r="M54" s="81"/>
      <c r="AV54" s="86"/>
      <c r="AW54" s="86"/>
      <c r="BE54" s="81"/>
      <c r="CW54" s="81"/>
      <c r="CX54" s="81"/>
    </row>
    <row r="55" spans="1:102" x14ac:dyDescent="0.2">
      <c r="A55" s="23"/>
      <c r="BF55" s="28">
        <f>+IF(BA57&gt;1,AZ57,IF(BA58&gt;1,AZ58,IF(BA59&gt;1,AZ59,IF(BA60&gt;1,AZ60,"-"))))</f>
        <v>4</v>
      </c>
      <c r="BW55" s="23">
        <v>10</v>
      </c>
      <c r="BZ55" s="29">
        <f>+IF(BC57&gt;1,BB57,IF(BC58&gt;1,BB58,IF(BC59&gt;1,BB59,IF(BC60&gt;1,BB60,"-"))))</f>
        <v>0</v>
      </c>
      <c r="CQ55" s="23">
        <v>10</v>
      </c>
    </row>
    <row r="56" spans="1:102" x14ac:dyDescent="0.2">
      <c r="A56" s="340" t="s">
        <v>100</v>
      </c>
      <c r="B56" s="341" t="s">
        <v>101</v>
      </c>
      <c r="C56" s="341" t="s">
        <v>102</v>
      </c>
      <c r="D56" s="342"/>
      <c r="E56" s="343" t="s">
        <v>160</v>
      </c>
      <c r="F56" s="344"/>
      <c r="G56" s="344"/>
      <c r="H56" s="345"/>
      <c r="J56" s="24" t="s">
        <v>104</v>
      </c>
      <c r="K56" s="24" t="s">
        <v>105</v>
      </c>
      <c r="L56" s="24" t="s">
        <v>105</v>
      </c>
      <c r="M56" s="24" t="s">
        <v>106</v>
      </c>
      <c r="O56" s="26" t="str">
        <f>+E56</f>
        <v>Grupo G</v>
      </c>
      <c r="P56" s="24" t="s">
        <v>104</v>
      </c>
      <c r="Q56" s="24" t="s">
        <v>105</v>
      </c>
      <c r="R56" s="24" t="s">
        <v>106</v>
      </c>
      <c r="S56" s="24" t="s">
        <v>107</v>
      </c>
      <c r="T56" s="24" t="s">
        <v>108</v>
      </c>
      <c r="U56" s="24" t="s">
        <v>109</v>
      </c>
      <c r="V56" s="24" t="s">
        <v>0</v>
      </c>
      <c r="W56" s="24"/>
      <c r="Y56" s="508" t="s">
        <v>160</v>
      </c>
      <c r="Z56" s="509"/>
      <c r="AA56" s="346" t="s">
        <v>110</v>
      </c>
      <c r="AB56" s="347" t="s">
        <v>104</v>
      </c>
      <c r="AC56" s="347" t="s">
        <v>105</v>
      </c>
      <c r="AD56" s="347" t="s">
        <v>106</v>
      </c>
      <c r="AE56" s="347" t="s">
        <v>107</v>
      </c>
      <c r="AF56" s="347" t="s">
        <v>108</v>
      </c>
      <c r="AG56" s="347" t="s">
        <v>109</v>
      </c>
      <c r="AH56" s="348" t="s">
        <v>0</v>
      </c>
      <c r="AI56" s="102"/>
      <c r="AL56" s="24" t="s">
        <v>0</v>
      </c>
      <c r="AM56" s="24" t="s">
        <v>111</v>
      </c>
      <c r="AN56" s="24"/>
      <c r="AO56" s="24"/>
      <c r="AP56" s="24"/>
      <c r="AQ56" s="24"/>
      <c r="AR56" s="24"/>
      <c r="AS56" s="24"/>
      <c r="AT56" s="24"/>
      <c r="AU56" s="24"/>
      <c r="AY56" s="24" t="s">
        <v>112</v>
      </c>
      <c r="AZ56" s="24" t="s">
        <v>0</v>
      </c>
      <c r="BA56" s="24" t="s">
        <v>113</v>
      </c>
      <c r="BB56" s="24"/>
      <c r="BC56" s="24"/>
      <c r="BD56" s="24"/>
      <c r="BK56" s="26"/>
      <c r="BL56" s="26" t="s">
        <v>110</v>
      </c>
      <c r="BM56" s="24" t="s">
        <v>104</v>
      </c>
      <c r="BN56" s="24" t="s">
        <v>105</v>
      </c>
      <c r="BO56" s="24" t="s">
        <v>106</v>
      </c>
      <c r="BP56" s="24" t="s">
        <v>107</v>
      </c>
      <c r="BQ56" s="24" t="s">
        <v>108</v>
      </c>
      <c r="BR56" s="24" t="s">
        <v>109</v>
      </c>
      <c r="BS56" s="24" t="s">
        <v>0</v>
      </c>
      <c r="BT56" s="24" t="s">
        <v>114</v>
      </c>
      <c r="BU56" s="24"/>
      <c r="BV56" s="24" t="s">
        <v>115</v>
      </c>
      <c r="BW56" s="24" t="s">
        <v>114</v>
      </c>
      <c r="CE56" s="26"/>
      <c r="CF56" s="26" t="s">
        <v>110</v>
      </c>
      <c r="CG56" s="24" t="s">
        <v>104</v>
      </c>
      <c r="CH56" s="24" t="s">
        <v>105</v>
      </c>
      <c r="CI56" s="24" t="s">
        <v>106</v>
      </c>
      <c r="CJ56" s="24" t="s">
        <v>107</v>
      </c>
      <c r="CK56" s="24" t="s">
        <v>108</v>
      </c>
      <c r="CL56" s="24" t="s">
        <v>109</v>
      </c>
      <c r="CM56" s="24" t="s">
        <v>0</v>
      </c>
      <c r="CN56" s="24" t="s">
        <v>114</v>
      </c>
      <c r="CO56" s="24"/>
      <c r="CP56" s="24" t="s">
        <v>115</v>
      </c>
      <c r="CQ56" s="24" t="s">
        <v>114</v>
      </c>
    </row>
    <row r="57" spans="1:102" x14ac:dyDescent="0.2">
      <c r="A57" s="38" t="s">
        <v>161</v>
      </c>
      <c r="B57" s="39">
        <v>46188</v>
      </c>
      <c r="C57" s="40"/>
      <c r="D57" s="41"/>
      <c r="E57" s="42" t="s">
        <v>86</v>
      </c>
      <c r="F57" s="43">
        <v>1</v>
      </c>
      <c r="G57" s="43">
        <v>0</v>
      </c>
      <c r="H57" s="44" t="s">
        <v>95</v>
      </c>
      <c r="J57" s="24" t="str">
        <f>IF(OR(ISBLANK(F57),ISBLANK(G57)),"",IF(F57&gt;G57,E57,IF(G57&gt;F57,H57,"")))</f>
        <v>Iran</v>
      </c>
      <c r="K57" s="24" t="str">
        <f>IF(OR(ISBLANK(F57),ISBLANK(G57)),"",IF(F57=G57,E57,""))</f>
        <v/>
      </c>
      <c r="L57" s="24" t="str">
        <f>IF(OR(ISBLANK(F57),ISBLANK(G57)),"",IF(F57=G57,H57,""))</f>
        <v/>
      </c>
      <c r="M57" s="24" t="str">
        <f>IF(OR(ISBLANK(F57),ISBLANK(G57)),"",IF(F57&lt;G57,E57,IF(G57&lt;F57,H57,"")))</f>
        <v>Nueva Zelanda</v>
      </c>
      <c r="O57" s="26" t="str">
        <f>+E57</f>
        <v>Iran</v>
      </c>
      <c r="P57" s="24">
        <f>+COUNTIF(J57:J62,"="&amp;$O57)</f>
        <v>1</v>
      </c>
      <c r="Q57" s="24">
        <f>+COUNTIF(K57:L62,"="&amp;$O57)</f>
        <v>1</v>
      </c>
      <c r="R57" s="24">
        <f>+COUNTIF(M57:M62,"="&amp;$O57)</f>
        <v>1</v>
      </c>
      <c r="S57" s="24">
        <f>+T57-U57</f>
        <v>-2</v>
      </c>
      <c r="T57" s="24">
        <f t="shared" ref="T57" si="256">+SUMIF(E57:E62,$O57,F57:F62)+SUMIF(H57:H62,$O57,G57:G62)</f>
        <v>2</v>
      </c>
      <c r="U57" s="24">
        <f t="shared" ref="U57" si="257">+SUMIF(E57:E62,$O57,G57:G62)+SUMIF(H57:H62,$O57,F57:F62)</f>
        <v>4</v>
      </c>
      <c r="V57" s="45">
        <f>+P57*3+Q57*1+BT57+CN57+S57/1000+T57/10000+AV57/1000000+ROW()/10000000</f>
        <v>4.2982057000000005</v>
      </c>
      <c r="W57" s="26" t="str">
        <f>+O57</f>
        <v>Iran</v>
      </c>
      <c r="Y57" s="46" t="str">
        <f>+CONCATENATE("1",RIGHT(E56,1))</f>
        <v>1G</v>
      </c>
      <c r="Z57" s="47" t="str">
        <f>+VLOOKUP(AL57,V57:W60,2,FALSE)</f>
        <v>Belgica</v>
      </c>
      <c r="AA57" s="48">
        <f>+SUM(AB57:AD57)</f>
        <v>3</v>
      </c>
      <c r="AB57" s="49">
        <f t="shared" ref="AB57:AG60" si="258">+VLOOKUP($Z57,$O$57:$U$60,COLUMN()-26,FALSE)</f>
        <v>3</v>
      </c>
      <c r="AC57" s="49">
        <f t="shared" si="258"/>
        <v>0</v>
      </c>
      <c r="AD57" s="49">
        <f t="shared" si="258"/>
        <v>0</v>
      </c>
      <c r="AE57" s="49">
        <f t="shared" si="258"/>
        <v>8</v>
      </c>
      <c r="AF57" s="49">
        <f t="shared" si="258"/>
        <v>9</v>
      </c>
      <c r="AG57" s="49">
        <f t="shared" si="258"/>
        <v>1</v>
      </c>
      <c r="AH57" s="50">
        <f>+VLOOKUP($Z57,$O$57:$V$60,COLUMN()-26,FALSE)</f>
        <v>9.0089058999999985</v>
      </c>
      <c r="AI57" s="51"/>
      <c r="AL57" s="45">
        <f>+LARGE(V57:V60,1)</f>
        <v>9.0089058999999985</v>
      </c>
      <c r="AM57" s="52">
        <f>+(AH57-AL57)*100000000000000000000</f>
        <v>0</v>
      </c>
      <c r="AP57" s="53" t="str">
        <f>+O57</f>
        <v>Iran</v>
      </c>
      <c r="AQ57" s="23">
        <f>+P57*3+Q57*1+BT57+CN57+S57/1000+T57/10000</f>
        <v>4.2982000000000005</v>
      </c>
      <c r="AR57" s="23" t="b">
        <f>+IF(OR(AQ57=AQ58,AQ57=AQ59,AQ57=AQ60),1)</f>
        <v>0</v>
      </c>
      <c r="AS57" s="54">
        <f>+AV57</f>
        <v>0</v>
      </c>
      <c r="AT57" s="54">
        <f>+IF(AND(AM61="si",OR(AR57=1,AR58=1,AR59=1)),1,0)</f>
        <v>0</v>
      </c>
      <c r="AU57" s="55" t="str">
        <f>+O57</f>
        <v>Iran</v>
      </c>
      <c r="AV57" s="56"/>
      <c r="AX57" s="23" t="str">
        <f>+Y56</f>
        <v>Grupo G</v>
      </c>
      <c r="AY57" s="24" t="str">
        <f>+O57</f>
        <v>Iran</v>
      </c>
      <c r="AZ57" s="29">
        <f>+P57*3+Q57</f>
        <v>4</v>
      </c>
      <c r="BA57" s="29">
        <f>+COUNTIFS($AX$1:AX57,AX57,$AZ$1:AZ57,AZ57)</f>
        <v>1</v>
      </c>
      <c r="BB57" s="29">
        <f>+IF(AZ57=BF55,ROW()*0.001,AZ57)</f>
        <v>5.7000000000000002E-2</v>
      </c>
      <c r="BC57" s="29">
        <f>+COUNTIFS($AX$1:AZ57,AZ57,$AZ$1:BB57,BB57)</f>
        <v>1</v>
      </c>
      <c r="BD57" s="29"/>
      <c r="BE57" s="25" t="str">
        <f>+IF(OR(BF57="-",BI57="-",BF55=0),"-","OK")</f>
        <v>-</v>
      </c>
      <c r="BF57" s="57" t="str">
        <f>+IF(_xlfn.XLOOKUP($E57,$AY:$AY,$AZ:$AZ,"-",0)=BF55,$E57,"-")</f>
        <v>Iran</v>
      </c>
      <c r="BG57" s="58">
        <f t="shared" ref="BG57:BG62" si="259">+$F57</f>
        <v>1</v>
      </c>
      <c r="BH57" s="59">
        <f t="shared" ref="BH57:BH62" si="260">+$G57</f>
        <v>0</v>
      </c>
      <c r="BI57" s="57" t="str">
        <f>+IF(_xlfn.XLOOKUP($H57,$AY:$AY,$AZ:$AZ,"-",0)=BF55,$H57,"-")</f>
        <v>-</v>
      </c>
      <c r="BK57" s="26" t="str">
        <f>+O57</f>
        <v>Iran</v>
      </c>
      <c r="BL57" s="26">
        <f>+COUNTIFS($BE:$BE,"OK",$BI:$BI,BK57)+COUNTIFS($BE:$BE,"OK",$BF:$BF,BK57)</f>
        <v>1</v>
      </c>
      <c r="BM57" s="24">
        <f>+COUNTIFS(J:J,$BK57,$BE:$BE,"OK")</f>
        <v>0</v>
      </c>
      <c r="BN57" s="24">
        <f>+COUNTIFS(K:K,$BK57,$BE:$BE,"OK")+COUNTIFS(L:L,$BK57,$BE:$BE,"OK")</f>
        <v>1</v>
      </c>
      <c r="BO57" s="24">
        <f>+COUNTIFS(M:M,$BK57,$BE:$BE,"OK")</f>
        <v>0</v>
      </c>
      <c r="BP57" s="24">
        <f>+BQ57-BR57</f>
        <v>0</v>
      </c>
      <c r="BQ57" s="24">
        <f>+SUMIFS(BG:BG,$BE:$BE,"OK",BF:BF,$BK57)+SUMIFS(BH:BH,$BE:$BE,"OK",BI:BI,$BK57)</f>
        <v>1</v>
      </c>
      <c r="BR57" s="24">
        <f>+SUMIFS(BH:BH,$BE:$BE,"OK",BF:BF,$BK57)+SUMIFS(BG:BG,$BE:$BE,"OK",BI:BI,$BK57)</f>
        <v>1</v>
      </c>
      <c r="BS57" s="60">
        <f>+BM57*3+BN57*1+BP57/100+BQ57/10000</f>
        <v>1.0001</v>
      </c>
      <c r="BT57" s="29">
        <f>+IF(BL57=0,0,_xlfn.XLOOKUP(BS57,BV57:BV60,BW57:BW60))</f>
        <v>0.3</v>
      </c>
      <c r="BU57" s="45"/>
      <c r="BV57" s="24">
        <f>+LARGE(BS57:BS60,1)</f>
        <v>1.0001</v>
      </c>
      <c r="BW57" s="24">
        <f>+BX57/$BW$1</f>
        <v>0.3</v>
      </c>
      <c r="BX57" s="23">
        <v>3</v>
      </c>
      <c r="BY57" s="25" t="str">
        <f>+IF(OR(BZ57="-",CC57="-"),"-","OK")</f>
        <v>-</v>
      </c>
      <c r="BZ57" s="57" t="str">
        <f>+IF(_xlfn.XLOOKUP($E57,$AY:$AY,$AZ:$AZ,"-",0)=BZ55,$E57,"-")</f>
        <v>-</v>
      </c>
      <c r="CA57" s="58">
        <f t="shared" ref="CA57:CA62" si="261">+$F57</f>
        <v>1</v>
      </c>
      <c r="CB57" s="59">
        <f t="shared" ref="CB57:CB62" si="262">+$G57</f>
        <v>0</v>
      </c>
      <c r="CC57" s="57" t="str">
        <f>+IF(_xlfn.XLOOKUP($H57,$AY:$AY,$AZ:$AZ,"-",0)=BZ55,$H57,"-")</f>
        <v>Nueva Zelanda</v>
      </c>
      <c r="CE57" s="26" t="str">
        <f>+BK57</f>
        <v>Iran</v>
      </c>
      <c r="CF57" s="26">
        <f>+COUNTIFS($BY:$BY,"OK",$CC:$CC,CE57)+COUNTIFS($BY:$BY,"OK",$BZ:$BZ,CE57)</f>
        <v>0</v>
      </c>
      <c r="CG57" s="24">
        <f>+COUNTIFS(P:P,$BK57,$BY:$BY,"OK")</f>
        <v>0</v>
      </c>
      <c r="CH57" s="24">
        <f>+COUNTIFS(K:K,$BK57,$BY:$BY,"OK")+COUNTIFS(L:L,$BK57,$BY:$BY,"OK")</f>
        <v>0</v>
      </c>
      <c r="CI57" s="24">
        <f>+COUNTIFS(M:M,$CE57,$BY:$BY,"OK")</f>
        <v>0</v>
      </c>
      <c r="CJ57" s="24">
        <f>+CK57-CL57</f>
        <v>0</v>
      </c>
      <c r="CK57" s="24">
        <f>+SUMIFS(CA:CA,$BY:$BY,"OK",BZ:BZ,$BK57)+SUMIFS(CB:CB,$BY:$BY,"OK",CC:CC,$BK57)</f>
        <v>0</v>
      </c>
      <c r="CL57" s="24">
        <f>+SUMIFS(CB:CB,$BY:$BY,"OK",BZ:BZ,$BK57)+SUMIFS(CA:CA,$BY:$BY,"OK",CC:CC,$BK57)</f>
        <v>0</v>
      </c>
      <c r="CM57" s="60">
        <f>+CG57*3+CH57*1+CJ57/100+CK57/10000</f>
        <v>0</v>
      </c>
      <c r="CN57" s="29">
        <f>+IF(CF57=0,0,_xlfn.XLOOKUP(CM57,CP57:CP60,CQ57:CQ60))</f>
        <v>0</v>
      </c>
      <c r="CO57" s="45"/>
      <c r="CP57" s="24">
        <f>+LARGE(CM57:CM60,1)</f>
        <v>0</v>
      </c>
      <c r="CQ57" s="24">
        <f>+CR57/$BW$1</f>
        <v>0.3</v>
      </c>
      <c r="CR57" s="23">
        <v>3</v>
      </c>
    </row>
    <row r="58" spans="1:102" x14ac:dyDescent="0.2">
      <c r="A58" s="38" t="s">
        <v>162</v>
      </c>
      <c r="B58" s="39">
        <v>46188</v>
      </c>
      <c r="C58" s="40"/>
      <c r="D58" s="41"/>
      <c r="E58" s="42" t="s">
        <v>55</v>
      </c>
      <c r="F58" s="43">
        <v>2</v>
      </c>
      <c r="G58" s="43">
        <v>1</v>
      </c>
      <c r="H58" s="44" t="s">
        <v>75</v>
      </c>
      <c r="J58" s="24" t="str">
        <f t="shared" ref="J58:J62" si="263">IF(OR(ISBLANK(F58),ISBLANK(G58)),"",IF(F58&gt;G58,E58,IF(G58&gt;F58,H58,"")))</f>
        <v>Belgica</v>
      </c>
      <c r="K58" s="24" t="str">
        <f t="shared" ref="K58:K62" si="264">IF(OR(ISBLANK(F58),ISBLANK(G58)),"",IF(F58=G58,E58,""))</f>
        <v/>
      </c>
      <c r="L58" s="24" t="str">
        <f t="shared" ref="L58:L62" si="265">IF(OR(ISBLANK(F58),ISBLANK(G58)),"",IF(F58=G58,H58,""))</f>
        <v/>
      </c>
      <c r="M58" s="24" t="str">
        <f t="shared" ref="M58:M62" si="266">IF(OR(ISBLANK(F58),ISBLANK(G58)),"",IF(F58&lt;G58,E58,IF(G58&lt;F58,H58,"")))</f>
        <v>Egipto</v>
      </c>
      <c r="O58" s="26" t="str">
        <f>+H57</f>
        <v>Nueva Zelanda</v>
      </c>
      <c r="P58" s="24">
        <f>+COUNTIF(J57:J62,"="&amp;$O58)</f>
        <v>0</v>
      </c>
      <c r="Q58" s="24">
        <f>+COUNTIF(K57:L62,"="&amp;$O58)</f>
        <v>0</v>
      </c>
      <c r="R58" s="24">
        <f>+COUNTIF(M57:M62,"="&amp;$O58)</f>
        <v>3</v>
      </c>
      <c r="S58" s="24">
        <f t="shared" ref="S58:S60" si="267">+T58-U58</f>
        <v>-7</v>
      </c>
      <c r="T58" s="24">
        <f t="shared" ref="T58" si="268">+SUMIF(E57:E62,$O58,F57:F62)+SUMIF(H57:H62,$O58,G57:G62)</f>
        <v>0</v>
      </c>
      <c r="U58" s="24">
        <f t="shared" ref="U58" si="269">+SUMIF(E57:E62,$O58,G57:G62)+SUMIF(H57:H62,$O58,F57:F62)</f>
        <v>7</v>
      </c>
      <c r="V58" s="45">
        <f t="shared" ref="V58:V60" si="270">+P58*3+Q58*1+BT58+CN58+S58/1000+T58/10000+AV58/1000000+ROW()/10000000</f>
        <v>-6.9941999999999999E-3</v>
      </c>
      <c r="W58" s="26" t="str">
        <f t="shared" ref="W58:W60" si="271">+O58</f>
        <v>Nueva Zelanda</v>
      </c>
      <c r="Y58" s="61" t="str">
        <f>+CONCATENATE("2",RIGHT(E56,1))</f>
        <v>2G</v>
      </c>
      <c r="Z58" s="62" t="str">
        <f>+VLOOKUP(AL58,V57:W60,2,FALSE)</f>
        <v>Egipto</v>
      </c>
      <c r="AA58" s="63">
        <f t="shared" ref="AA58:AA60" si="272">+SUM(AB58:AD58)</f>
        <v>3</v>
      </c>
      <c r="AB58" s="64">
        <f t="shared" si="258"/>
        <v>1</v>
      </c>
      <c r="AC58" s="64">
        <f t="shared" si="258"/>
        <v>1</v>
      </c>
      <c r="AD58" s="64">
        <f t="shared" si="258"/>
        <v>1</v>
      </c>
      <c r="AE58" s="64">
        <f t="shared" si="258"/>
        <v>1</v>
      </c>
      <c r="AF58" s="64">
        <f t="shared" si="258"/>
        <v>4</v>
      </c>
      <c r="AG58" s="64">
        <f t="shared" si="258"/>
        <v>3</v>
      </c>
      <c r="AH58" s="65">
        <f>+VLOOKUP($Z58,$O$57:$V$60,COLUMN()-26,FALSE)</f>
        <v>4.3014060000000001</v>
      </c>
      <c r="AI58" s="51"/>
      <c r="AL58" s="45">
        <f>+LARGE(V57:V60,2)</f>
        <v>4.3014060000000001</v>
      </c>
      <c r="AM58" s="52">
        <f t="shared" ref="AM58:AM60" si="273">+(AH58-AL58)*100000000000000000000</f>
        <v>0</v>
      </c>
      <c r="AP58" s="53" t="str">
        <f>+O58</f>
        <v>Nueva Zelanda</v>
      </c>
      <c r="AQ58" s="23">
        <f>+P58*3+Q58*1+BT58+CN58+S58/1000+T58/10000</f>
        <v>-7.0000000000000001E-3</v>
      </c>
      <c r="AR58" s="23" t="b">
        <f>+IF(OR(AQ58=AQ59,AQ58=AQ60),1)</f>
        <v>0</v>
      </c>
      <c r="AS58" s="54">
        <f t="shared" ref="AS58:AS60" si="274">+AV58</f>
        <v>0</v>
      </c>
      <c r="AT58" s="54">
        <f>+IF(AND(AM61="si",OR(AR57=1,AR58=1,AR59=1)),1,0)</f>
        <v>0</v>
      </c>
      <c r="AU58" s="66" t="str">
        <f t="shared" ref="AU58:AU60" si="275">+O58</f>
        <v>Nueva Zelanda</v>
      </c>
      <c r="AV58" s="67"/>
      <c r="AX58" s="23" t="str">
        <f>+Y56</f>
        <v>Grupo G</v>
      </c>
      <c r="AY58" s="24" t="str">
        <f t="shared" ref="AY58:AY60" si="276">+O58</f>
        <v>Nueva Zelanda</v>
      </c>
      <c r="AZ58" s="29">
        <f t="shared" ref="AZ58:AZ60" si="277">+P58*3+Q58</f>
        <v>0</v>
      </c>
      <c r="BA58" s="29">
        <f>+COUNTIFS($AX$1:AX58,AX58,$AZ$1:AZ58,AZ58)</f>
        <v>1</v>
      </c>
      <c r="BB58" s="29">
        <f>+IF(AZ58=BF55,ROW()*0.001,AZ58)</f>
        <v>0</v>
      </c>
      <c r="BC58" s="29">
        <f>+COUNTIFS($AX$1:AZ58,AZ58,$AZ$1:BB58,BB58)</f>
        <v>6</v>
      </c>
      <c r="BD58" s="29"/>
      <c r="BE58" s="25" t="str">
        <f>+IF(OR(BF58="-",BI58="-",BF55=0),"-","OK")</f>
        <v>-</v>
      </c>
      <c r="BF58" s="57" t="str">
        <f>+IF(_xlfn.XLOOKUP($E58,$AY:$AY,$AZ:$AZ,"-",0)=BF55,$E58,"-")</f>
        <v>-</v>
      </c>
      <c r="BG58" s="58">
        <f t="shared" si="259"/>
        <v>2</v>
      </c>
      <c r="BH58" s="59">
        <f t="shared" si="260"/>
        <v>1</v>
      </c>
      <c r="BI58" s="57" t="str">
        <f>+IF(_xlfn.XLOOKUP($H58,$AY:$AY,$AZ:$AZ,"-",0)=BF55,$H58,"-")</f>
        <v>Egipto</v>
      </c>
      <c r="BK58" s="26" t="str">
        <f t="shared" ref="BK58:BK60" si="278">+O58</f>
        <v>Nueva Zelanda</v>
      </c>
      <c r="BL58" s="26">
        <f t="shared" ref="BL58:BL60" si="279">+COUNTIFS($BE:$BE,"OK",$BI:$BI,BK58)+COUNTIFS($BE:$BE,"OK",$BF:$BF,BK58)</f>
        <v>0</v>
      </c>
      <c r="BM58" s="24">
        <f t="shared" ref="BM58:BM60" si="280">+COUNTIFS(J:J,$BK58,$BE:$BE,"OK")</f>
        <v>0</v>
      </c>
      <c r="BN58" s="24">
        <f t="shared" ref="BN58:BN60" si="281">+COUNTIFS(K:K,$BK58,$BE:$BE,"OK")+COUNTIFS(L:L,$BK58,$BE:$BE,"OK")</f>
        <v>0</v>
      </c>
      <c r="BO58" s="24">
        <f t="shared" ref="BO58:BO60" si="282">+COUNTIFS(M:M,$BK58,$BE:$BE,"OK")</f>
        <v>0</v>
      </c>
      <c r="BP58" s="24">
        <f t="shared" ref="BP58:BP60" si="283">+BQ58-BR58</f>
        <v>0</v>
      </c>
      <c r="BQ58" s="24">
        <f>+SUMIFS(BG:BG,$BE:$BE,"OK",BF:BF,$BK58)+SUMIFS(BH:BH,$BE:$BE,"OK",BI:BI,$BK58)</f>
        <v>0</v>
      </c>
      <c r="BR58" s="24">
        <f t="shared" ref="BR58:BR60" si="284">+SUMIFS(BH:BH,$BE:$BE,"OK",BF:BF,$BK58)+SUMIFS(BG:BG,$BE:$BE,"OK",BI:BI,$BK58)</f>
        <v>0</v>
      </c>
      <c r="BS58" s="60">
        <f t="shared" ref="BS58:BS60" si="285">+BM58*3+BN58*1+BP58/100+BQ58/10000</f>
        <v>0</v>
      </c>
      <c r="BT58" s="29">
        <f>+IF(BL58=0,0,_xlfn.XLOOKUP(BS58,BV57:BV60,BW57:BW60))</f>
        <v>0</v>
      </c>
      <c r="BU58" s="45"/>
      <c r="BV58" s="24">
        <f>+LARGE(BS57:BS60,2)</f>
        <v>1.0001</v>
      </c>
      <c r="BW58" s="24">
        <f>+BX58/$BW$1</f>
        <v>0.2</v>
      </c>
      <c r="BX58" s="23">
        <v>2</v>
      </c>
      <c r="BY58" s="25" t="str">
        <f t="shared" ref="BY58:BY62" si="286">+IF(OR(BZ58="-",CC58="-"),"-","OK")</f>
        <v>-</v>
      </c>
      <c r="BZ58" s="57" t="str">
        <f>+IF(_xlfn.XLOOKUP($E58,$AY:$AY,$AZ:$AZ,"-",0)=BZ55,$E58,"-")</f>
        <v>-</v>
      </c>
      <c r="CA58" s="58">
        <f t="shared" si="261"/>
        <v>2</v>
      </c>
      <c r="CB58" s="59">
        <f t="shared" si="262"/>
        <v>1</v>
      </c>
      <c r="CC58" s="57" t="str">
        <f>+IF(_xlfn.XLOOKUP($H58,$AY:$AY,$AZ:$AZ,"-",0)=BZ55,$H58,"-")</f>
        <v>-</v>
      </c>
      <c r="CE58" s="26" t="str">
        <f t="shared" ref="CE58:CE60" si="287">+BK58</f>
        <v>Nueva Zelanda</v>
      </c>
      <c r="CF58" s="26">
        <f t="shared" ref="CF58:CF60" si="288">+COUNTIFS($BY:$BY,"OK",$CC:$CC,CE58)+COUNTIFS($BY:$BY,"OK",$BZ:$BZ,CE58)</f>
        <v>0</v>
      </c>
      <c r="CG58" s="24">
        <f t="shared" ref="CG58:CG60" si="289">+COUNTIFS(P:P,$BK58,$BY:$BY,"OK")</f>
        <v>0</v>
      </c>
      <c r="CH58" s="24">
        <f t="shared" ref="CH58:CH60" si="290">+COUNTIFS(K:K,$BK58,$BY:$BY,"OK")+COUNTIFS(L:L,$BK58,$BY:$BY,"OK")</f>
        <v>0</v>
      </c>
      <c r="CI58" s="24">
        <f t="shared" ref="CI58:CI60" si="291">+COUNTIFS(M:M,$CE58,$BY:$BY,"OK")</f>
        <v>0</v>
      </c>
      <c r="CJ58" s="24">
        <f t="shared" ref="CJ58:CJ60" si="292">+CK58-CL58</f>
        <v>0</v>
      </c>
      <c r="CK58" s="24">
        <f t="shared" ref="CK58:CK60" si="293">+SUMIFS(CA:CA,$BY:$BY,"OK",BZ:BZ,$BK58)+SUMIFS(CB:CB,$BY:$BY,"OK",CC:CC,$BK58)</f>
        <v>0</v>
      </c>
      <c r="CL58" s="24">
        <f t="shared" ref="CL58:CL60" si="294">+SUMIFS(CB:CB,$BY:$BY,"OK",BZ:BZ,$BK58)+SUMIFS(CA:CA,$BY:$BY,"OK",CC:CC,$BK58)</f>
        <v>0</v>
      </c>
      <c r="CM58" s="60">
        <f t="shared" ref="CM58:CM60" si="295">+CG58*3+CH58*1+CJ58/100+CK58/10000</f>
        <v>0</v>
      </c>
      <c r="CN58" s="29">
        <f>+IF(CF58=0,0,_xlfn.XLOOKUP(CM58,CP57:CP60,CQ57:CQ60))</f>
        <v>0</v>
      </c>
      <c r="CO58" s="45"/>
      <c r="CP58" s="24">
        <f>+LARGE(CM57:CM60,2)</f>
        <v>0</v>
      </c>
      <c r="CQ58" s="24">
        <f>+CR58/$BW$1</f>
        <v>0.2</v>
      </c>
      <c r="CR58" s="23">
        <v>2</v>
      </c>
    </row>
    <row r="59" spans="1:102" x14ac:dyDescent="0.2">
      <c r="A59" s="38" t="s">
        <v>163</v>
      </c>
      <c r="B59" s="39">
        <v>46194</v>
      </c>
      <c r="C59" s="40"/>
      <c r="D59" s="41"/>
      <c r="E59" s="42" t="s">
        <v>55</v>
      </c>
      <c r="F59" s="43">
        <v>3</v>
      </c>
      <c r="G59" s="43">
        <v>0</v>
      </c>
      <c r="H59" s="44" t="s">
        <v>86</v>
      </c>
      <c r="J59" s="24" t="str">
        <f t="shared" si="263"/>
        <v>Belgica</v>
      </c>
      <c r="K59" s="24" t="str">
        <f t="shared" si="264"/>
        <v/>
      </c>
      <c r="L59" s="24" t="str">
        <f t="shared" si="265"/>
        <v/>
      </c>
      <c r="M59" s="24" t="str">
        <f t="shared" si="266"/>
        <v>Iran</v>
      </c>
      <c r="O59" s="26" t="str">
        <f>+E58</f>
        <v>Belgica</v>
      </c>
      <c r="P59" s="24">
        <f>+COUNTIF(J57:J62,"="&amp;$O59)</f>
        <v>3</v>
      </c>
      <c r="Q59" s="24">
        <f>+COUNTIF(K57:L62,"="&amp;$O59)</f>
        <v>0</v>
      </c>
      <c r="R59" s="24">
        <f>+COUNTIF(M57:M62,"="&amp;$O59)</f>
        <v>0</v>
      </c>
      <c r="S59" s="24">
        <f t="shared" si="267"/>
        <v>8</v>
      </c>
      <c r="T59" s="24">
        <f t="shared" ref="T59" si="296">+SUMIF(E57:E62,$O59,F57:F62)+SUMIF(H57:H62,$O59,G57:G62)</f>
        <v>9</v>
      </c>
      <c r="U59" s="24">
        <f t="shared" ref="U59" si="297">+SUMIF(E57:E62,$O59,G57:G62)+SUMIF(H57:H62,$O59,F57:F62)</f>
        <v>1</v>
      </c>
      <c r="V59" s="45">
        <f t="shared" si="270"/>
        <v>9.0089058999999985</v>
      </c>
      <c r="W59" s="26" t="str">
        <f t="shared" si="271"/>
        <v>Belgica</v>
      </c>
      <c r="Y59" s="68" t="str">
        <f>+CONCATENATE("3",RIGHT(E56,1))</f>
        <v>3G</v>
      </c>
      <c r="Z59" s="69" t="str">
        <f>+VLOOKUP(AL59,V57:W60,2,FALSE)</f>
        <v>Iran</v>
      </c>
      <c r="AA59" s="70">
        <f t="shared" si="272"/>
        <v>3</v>
      </c>
      <c r="AB59" s="71">
        <f t="shared" si="258"/>
        <v>1</v>
      </c>
      <c r="AC59" s="71">
        <f t="shared" si="258"/>
        <v>1</v>
      </c>
      <c r="AD59" s="71">
        <f t="shared" si="258"/>
        <v>1</v>
      </c>
      <c r="AE59" s="71">
        <f t="shared" si="258"/>
        <v>-2</v>
      </c>
      <c r="AF59" s="71">
        <f t="shared" si="258"/>
        <v>2</v>
      </c>
      <c r="AG59" s="71">
        <f t="shared" si="258"/>
        <v>4</v>
      </c>
      <c r="AH59" s="72">
        <f>+VLOOKUP($Z59,$O$57:$V$60,COLUMN()-26,FALSE)</f>
        <v>4.2982057000000005</v>
      </c>
      <c r="AI59" s="73">
        <f>+(COUNTIFS($CV$2:$CV$13,Z59,$CX$2:$CX$13,"IN")+COUNTIFS($CV$2:$CV$13,Z59,$CW$2:$CW$13,"IN"))*IF(SUM(AA57:AA60)=12,1,0)</f>
        <v>1</v>
      </c>
      <c r="AL59" s="45">
        <f>+LARGE(V57:V60,3)</f>
        <v>4.2982057000000005</v>
      </c>
      <c r="AM59" s="52">
        <f t="shared" si="273"/>
        <v>0</v>
      </c>
      <c r="AP59" s="53" t="str">
        <f>+O59</f>
        <v>Belgica</v>
      </c>
      <c r="AQ59" s="23">
        <f>+P59*3+Q59*1+BT59+CN59+S59/1000+T59/10000</f>
        <v>9.0088999999999988</v>
      </c>
      <c r="AR59" s="23" t="b">
        <f>+IF(OR(AQ59=AQ60),1)</f>
        <v>0</v>
      </c>
      <c r="AS59" s="54">
        <f t="shared" si="274"/>
        <v>0</v>
      </c>
      <c r="AT59" s="54">
        <f>+IF(AND(AM61="si",OR(AR57=1,AR58=1,AR59=1)),1,0)</f>
        <v>0</v>
      </c>
      <c r="AU59" s="66" t="str">
        <f t="shared" si="275"/>
        <v>Belgica</v>
      </c>
      <c r="AV59" s="67"/>
      <c r="AX59" s="23" t="str">
        <f>+Y56</f>
        <v>Grupo G</v>
      </c>
      <c r="AY59" s="24" t="str">
        <f t="shared" si="276"/>
        <v>Belgica</v>
      </c>
      <c r="AZ59" s="29">
        <f t="shared" si="277"/>
        <v>9</v>
      </c>
      <c r="BA59" s="29">
        <f>+COUNTIFS($AX$1:AX59,AX59,$AZ$1:AZ59,AZ59)</f>
        <v>1</v>
      </c>
      <c r="BB59" s="29">
        <f>+IF(AZ59=BF55,ROW()*0.001,AZ59)</f>
        <v>9</v>
      </c>
      <c r="BC59" s="29">
        <f>+COUNTIFS($AX$1:AZ59,AZ59,$AZ$1:BB59,BB59)</f>
        <v>3</v>
      </c>
      <c r="BD59" s="29"/>
      <c r="BE59" s="25" t="str">
        <f>+IF(OR(BF59="-",BI59="-",BF55=0),"-","OK")</f>
        <v>-</v>
      </c>
      <c r="BF59" s="57" t="str">
        <f>+IF(_xlfn.XLOOKUP($E59,$AY:$AY,$AZ:$AZ,"-",0)=BF55,$E59,"-")</f>
        <v>-</v>
      </c>
      <c r="BG59" s="58">
        <f t="shared" si="259"/>
        <v>3</v>
      </c>
      <c r="BH59" s="59">
        <f t="shared" si="260"/>
        <v>0</v>
      </c>
      <c r="BI59" s="57" t="str">
        <f>+IF(_xlfn.XLOOKUP($H59,$AY:$AY,$AZ:$AZ,"-",0)=BF55,$H59,"-")</f>
        <v>Iran</v>
      </c>
      <c r="BK59" s="26" t="str">
        <f t="shared" si="278"/>
        <v>Belgica</v>
      </c>
      <c r="BL59" s="26">
        <f t="shared" si="279"/>
        <v>0</v>
      </c>
      <c r="BM59" s="24">
        <f t="shared" si="280"/>
        <v>0</v>
      </c>
      <c r="BN59" s="24">
        <f t="shared" si="281"/>
        <v>0</v>
      </c>
      <c r="BO59" s="24">
        <f t="shared" si="282"/>
        <v>0</v>
      </c>
      <c r="BP59" s="24">
        <f t="shared" si="283"/>
        <v>0</v>
      </c>
      <c r="BQ59" s="24">
        <f>+SUMIFS(BG:BG,$BE:$BE,"OK",BF:BF,$BK59)+SUMIFS(BH:BH,$BE:$BE,"OK",BI:BI,$BK59)</f>
        <v>0</v>
      </c>
      <c r="BR59" s="24">
        <f t="shared" si="284"/>
        <v>0</v>
      </c>
      <c r="BS59" s="60">
        <f t="shared" si="285"/>
        <v>0</v>
      </c>
      <c r="BT59" s="29">
        <f>+IF(BL59=0,0,_xlfn.XLOOKUP(BS59,BV57:BV60,BW57:BW60))</f>
        <v>0</v>
      </c>
      <c r="BU59" s="45"/>
      <c r="BV59" s="24">
        <f>+LARGE(BS57:BS60,3)</f>
        <v>0</v>
      </c>
      <c r="BW59" s="24">
        <f>+BX59/$BW$1</f>
        <v>0.1</v>
      </c>
      <c r="BX59" s="23">
        <v>1</v>
      </c>
      <c r="BY59" s="25" t="str">
        <f t="shared" si="286"/>
        <v>-</v>
      </c>
      <c r="BZ59" s="57" t="str">
        <f>+IF(_xlfn.XLOOKUP($E59,$AY:$AY,$AZ:$AZ,"-",0)=BZ55,$E59,"-")</f>
        <v>-</v>
      </c>
      <c r="CA59" s="58">
        <f t="shared" si="261"/>
        <v>3</v>
      </c>
      <c r="CB59" s="59">
        <f t="shared" si="262"/>
        <v>0</v>
      </c>
      <c r="CC59" s="57" t="str">
        <f>+IF(_xlfn.XLOOKUP($H59,$AY:$AY,$AZ:$AZ,"-",0)=BZ55,$H59,"-")</f>
        <v>-</v>
      </c>
      <c r="CE59" s="26" t="str">
        <f t="shared" si="287"/>
        <v>Belgica</v>
      </c>
      <c r="CF59" s="26">
        <f t="shared" si="288"/>
        <v>0</v>
      </c>
      <c r="CG59" s="24">
        <f t="shared" si="289"/>
        <v>0</v>
      </c>
      <c r="CH59" s="24">
        <f t="shared" si="290"/>
        <v>0</v>
      </c>
      <c r="CI59" s="24">
        <f t="shared" si="291"/>
        <v>0</v>
      </c>
      <c r="CJ59" s="24">
        <f t="shared" si="292"/>
        <v>0</v>
      </c>
      <c r="CK59" s="24">
        <f t="shared" si="293"/>
        <v>0</v>
      </c>
      <c r="CL59" s="24">
        <f t="shared" si="294"/>
        <v>0</v>
      </c>
      <c r="CM59" s="60">
        <f t="shared" si="295"/>
        <v>0</v>
      </c>
      <c r="CN59" s="29">
        <f>+IF(CF59=0,0,_xlfn.XLOOKUP(CM59,CP57:CP60,CQ57:CQ60))</f>
        <v>0</v>
      </c>
      <c r="CO59" s="45"/>
      <c r="CP59" s="24">
        <f>+LARGE(CM57:CM60,3)</f>
        <v>0</v>
      </c>
      <c r="CQ59" s="24">
        <f>+CR59/$BW$1</f>
        <v>0.1</v>
      </c>
      <c r="CR59" s="23">
        <v>1</v>
      </c>
    </row>
    <row r="60" spans="1:102" x14ac:dyDescent="0.2">
      <c r="A60" s="38" t="s">
        <v>164</v>
      </c>
      <c r="B60" s="39">
        <v>46194</v>
      </c>
      <c r="C60" s="40"/>
      <c r="D60" s="41"/>
      <c r="E60" s="42" t="s">
        <v>95</v>
      </c>
      <c r="F60" s="43">
        <v>0</v>
      </c>
      <c r="G60" s="43">
        <v>2</v>
      </c>
      <c r="H60" s="44" t="s">
        <v>75</v>
      </c>
      <c r="J60" s="24" t="str">
        <f t="shared" si="263"/>
        <v>Egipto</v>
      </c>
      <c r="K60" s="24" t="str">
        <f t="shared" si="264"/>
        <v/>
      </c>
      <c r="L60" s="24" t="str">
        <f t="shared" si="265"/>
        <v/>
      </c>
      <c r="M60" s="24" t="str">
        <f t="shared" si="266"/>
        <v>Nueva Zelanda</v>
      </c>
      <c r="O60" s="26" t="str">
        <f>+H58</f>
        <v>Egipto</v>
      </c>
      <c r="P60" s="24">
        <f>+COUNTIF(J57:J62,"="&amp;$O60)</f>
        <v>1</v>
      </c>
      <c r="Q60" s="24">
        <f>+COUNTIF(K57:L62,"="&amp;$O60)</f>
        <v>1</v>
      </c>
      <c r="R60" s="24">
        <f>+COUNTIF(M57:M62,"="&amp;$O60)</f>
        <v>1</v>
      </c>
      <c r="S60" s="24">
        <f t="shared" si="267"/>
        <v>1</v>
      </c>
      <c r="T60" s="24">
        <f t="shared" ref="T60" si="298">+SUMIF(E57:E62,$O60,F57:F62)+SUMIF(H57:H62,$O60,G57:G62)</f>
        <v>4</v>
      </c>
      <c r="U60" s="24">
        <f t="shared" ref="U60" si="299">+SUMIF(E57:E62,$O60,G57:G62)+SUMIF(H57:H62,$O60,F57:F62)</f>
        <v>3</v>
      </c>
      <c r="V60" s="45">
        <f t="shared" si="270"/>
        <v>4.3014060000000001</v>
      </c>
      <c r="W60" s="26" t="str">
        <f t="shared" si="271"/>
        <v>Egipto</v>
      </c>
      <c r="Y60" s="74" t="str">
        <f>+CONCATENATE("4",RIGHT(E56,1))</f>
        <v>4G</v>
      </c>
      <c r="Z60" s="75" t="str">
        <f>+VLOOKUP(AL60,V57:W60,2,FALSE)</f>
        <v>Nueva Zelanda</v>
      </c>
      <c r="AA60" s="76">
        <f t="shared" si="272"/>
        <v>3</v>
      </c>
      <c r="AB60" s="77">
        <f t="shared" si="258"/>
        <v>0</v>
      </c>
      <c r="AC60" s="77">
        <f t="shared" si="258"/>
        <v>0</v>
      </c>
      <c r="AD60" s="77">
        <f t="shared" si="258"/>
        <v>3</v>
      </c>
      <c r="AE60" s="77">
        <f t="shared" si="258"/>
        <v>-7</v>
      </c>
      <c r="AF60" s="77">
        <f t="shared" si="258"/>
        <v>0</v>
      </c>
      <c r="AG60" s="77">
        <f t="shared" si="258"/>
        <v>7</v>
      </c>
      <c r="AH60" s="78">
        <f>+VLOOKUP($Z60,$O$57:$V$60,COLUMN()-26,FALSE)</f>
        <v>-6.9941999999999999E-3</v>
      </c>
      <c r="AI60" s="73"/>
      <c r="AL60" s="45">
        <f>+LARGE(V57:V60,4)</f>
        <v>-6.9941999999999999E-3</v>
      </c>
      <c r="AM60" s="52">
        <f t="shared" si="273"/>
        <v>0</v>
      </c>
      <c r="AP60" s="53" t="str">
        <f>+O60</f>
        <v>Egipto</v>
      </c>
      <c r="AQ60" s="23">
        <f>+P60*3+Q60*1+BT60+CN60+S60/1000+T60/10000</f>
        <v>4.3014000000000001</v>
      </c>
      <c r="AS60" s="54">
        <f t="shared" si="274"/>
        <v>0</v>
      </c>
      <c r="AT60" s="54">
        <f>+IF(AND(AM61="si",OR(AR57=1,AR58=1,AR59=1)),1,0)</f>
        <v>0</v>
      </c>
      <c r="AU60" s="79" t="str">
        <f t="shared" si="275"/>
        <v>Egipto</v>
      </c>
      <c r="AV60" s="80"/>
      <c r="AX60" s="23" t="str">
        <f>+Y56</f>
        <v>Grupo G</v>
      </c>
      <c r="AY60" s="24" t="str">
        <f t="shared" si="276"/>
        <v>Egipto</v>
      </c>
      <c r="AZ60" s="29">
        <f t="shared" si="277"/>
        <v>4</v>
      </c>
      <c r="BA60" s="29">
        <f>+COUNTIFS($AX$1:AX60,AX60,$AZ$1:AZ60,AZ60)</f>
        <v>2</v>
      </c>
      <c r="BB60" s="29">
        <f>+IF(AZ60=BF55,ROW()*0.001,AZ60)</f>
        <v>0.06</v>
      </c>
      <c r="BC60" s="29">
        <f>+COUNTIFS($AX$1:AZ60,AZ60,$AZ$1:BB60,BB60)</f>
        <v>1</v>
      </c>
      <c r="BD60" s="29"/>
      <c r="BE60" s="25" t="str">
        <f>+IF(OR(BF60="-",BI60="-",BF55=0),"-","OK")</f>
        <v>-</v>
      </c>
      <c r="BF60" s="57" t="str">
        <f>+IF(_xlfn.XLOOKUP($E60,$AY:$AY,$AZ:$AZ,"-",0)=BF55,$E60,"-")</f>
        <v>-</v>
      </c>
      <c r="BG60" s="58">
        <f t="shared" si="259"/>
        <v>0</v>
      </c>
      <c r="BH60" s="59">
        <f t="shared" si="260"/>
        <v>2</v>
      </c>
      <c r="BI60" s="57" t="str">
        <f>+IF(_xlfn.XLOOKUP($H60,$AY:$AY,$AZ:$AZ,"-",0)=BF55,$H60,"-")</f>
        <v>Egipto</v>
      </c>
      <c r="BK60" s="26" t="str">
        <f t="shared" si="278"/>
        <v>Egipto</v>
      </c>
      <c r="BL60" s="26">
        <f t="shared" si="279"/>
        <v>1</v>
      </c>
      <c r="BM60" s="24">
        <f t="shared" si="280"/>
        <v>0</v>
      </c>
      <c r="BN60" s="24">
        <f t="shared" si="281"/>
        <v>1</v>
      </c>
      <c r="BO60" s="24">
        <f t="shared" si="282"/>
        <v>0</v>
      </c>
      <c r="BP60" s="24">
        <f t="shared" si="283"/>
        <v>0</v>
      </c>
      <c r="BQ60" s="24">
        <f>+SUMIFS(BG:BG,$BE:$BE,"OK",BF:BF,$BK60)+SUMIFS(BH:BH,$BE:$BE,"OK",BI:BI,$BK60)</f>
        <v>1</v>
      </c>
      <c r="BR60" s="24">
        <f t="shared" si="284"/>
        <v>1</v>
      </c>
      <c r="BS60" s="60">
        <f t="shared" si="285"/>
        <v>1.0001</v>
      </c>
      <c r="BT60" s="29">
        <f>+IF(BL60=0,0,_xlfn.XLOOKUP(BS60,BV57:BV60,BW57:BW60))</f>
        <v>0.3</v>
      </c>
      <c r="BU60" s="45"/>
      <c r="BV60" s="24">
        <f>+LARGE(BS57:BS60,4)</f>
        <v>0</v>
      </c>
      <c r="BW60" s="24">
        <f>+BX60/$BW$1</f>
        <v>0</v>
      </c>
      <c r="BX60" s="23">
        <v>0</v>
      </c>
      <c r="BY60" s="25" t="str">
        <f t="shared" si="286"/>
        <v>-</v>
      </c>
      <c r="BZ60" s="57" t="str">
        <f>+IF(_xlfn.XLOOKUP($E60,$AY:$AY,$AZ:$AZ,"-",0)=BZ55,$E60,"-")</f>
        <v>Nueva Zelanda</v>
      </c>
      <c r="CA60" s="58">
        <f t="shared" si="261"/>
        <v>0</v>
      </c>
      <c r="CB60" s="59">
        <f t="shared" si="262"/>
        <v>2</v>
      </c>
      <c r="CC60" s="57" t="str">
        <f>+IF(_xlfn.XLOOKUP($H60,$AY:$AY,$AZ:$AZ,"-",0)=BZ55,$H60,"-")</f>
        <v>-</v>
      </c>
      <c r="CE60" s="26" t="str">
        <f t="shared" si="287"/>
        <v>Egipto</v>
      </c>
      <c r="CF60" s="26">
        <f t="shared" si="288"/>
        <v>0</v>
      </c>
      <c r="CG60" s="24">
        <f t="shared" si="289"/>
        <v>0</v>
      </c>
      <c r="CH60" s="24">
        <f t="shared" si="290"/>
        <v>0</v>
      </c>
      <c r="CI60" s="24">
        <f t="shared" si="291"/>
        <v>0</v>
      </c>
      <c r="CJ60" s="24">
        <f t="shared" si="292"/>
        <v>0</v>
      </c>
      <c r="CK60" s="24">
        <f t="shared" si="293"/>
        <v>0</v>
      </c>
      <c r="CL60" s="24">
        <f t="shared" si="294"/>
        <v>0</v>
      </c>
      <c r="CM60" s="60">
        <f t="shared" si="295"/>
        <v>0</v>
      </c>
      <c r="CN60" s="29">
        <f>+IF(CF60=0,0,_xlfn.XLOOKUP(CM60,CP57:CP60,CQ57:CQ60))</f>
        <v>0</v>
      </c>
      <c r="CO60" s="45"/>
      <c r="CP60" s="24">
        <f>+LARGE(CM57:CM60,4)</f>
        <v>0</v>
      </c>
      <c r="CQ60" s="24">
        <f>+CR60/$BW$1</f>
        <v>0</v>
      </c>
      <c r="CR60" s="23">
        <v>0</v>
      </c>
    </row>
    <row r="61" spans="1:102" x14ac:dyDescent="0.2">
      <c r="A61" s="38" t="s">
        <v>165</v>
      </c>
      <c r="B61" s="39">
        <v>46200</v>
      </c>
      <c r="C61" s="40"/>
      <c r="D61" s="41"/>
      <c r="E61" s="42" t="s">
        <v>95</v>
      </c>
      <c r="F61" s="43">
        <v>0</v>
      </c>
      <c r="G61" s="43">
        <v>4</v>
      </c>
      <c r="H61" s="44" t="s">
        <v>55</v>
      </c>
      <c r="J61" s="24" t="str">
        <f t="shared" si="263"/>
        <v>Belgica</v>
      </c>
      <c r="K61" s="24" t="str">
        <f t="shared" si="264"/>
        <v/>
      </c>
      <c r="L61" s="24" t="str">
        <f t="shared" si="265"/>
        <v/>
      </c>
      <c r="M61" s="24" t="str">
        <f t="shared" si="266"/>
        <v>Nueva Zelanda</v>
      </c>
      <c r="AL61" s="25" t="s">
        <v>122</v>
      </c>
      <c r="AM61" s="52" t="str">
        <f>+IF(SUM(AA57:AA60)=12,"si","no")</f>
        <v>si</v>
      </c>
      <c r="BE61" s="25" t="str">
        <f>+IF(OR(BF61="-",BI61="-",BF55=0),"-","OK")</f>
        <v>-</v>
      </c>
      <c r="BF61" s="57" t="str">
        <f>+IF(_xlfn.XLOOKUP($E61,$AY:$AY,$AZ:$AZ,"-",0)=BF55,$E61,"-")</f>
        <v>-</v>
      </c>
      <c r="BG61" s="58">
        <f t="shared" si="259"/>
        <v>0</v>
      </c>
      <c r="BH61" s="59">
        <f t="shared" si="260"/>
        <v>4</v>
      </c>
      <c r="BI61" s="57" t="str">
        <f>+IF(_xlfn.XLOOKUP($H61,$AY:$AY,$AZ:$AZ,"-",0)=BF55,$H61,"-")</f>
        <v>-</v>
      </c>
      <c r="BY61" s="25" t="str">
        <f t="shared" si="286"/>
        <v>-</v>
      </c>
      <c r="BZ61" s="57" t="str">
        <f>+IF(_xlfn.XLOOKUP($E61,$AY:$AY,$AZ:$AZ,"-",0)=BZ55,$E61,"-")</f>
        <v>Nueva Zelanda</v>
      </c>
      <c r="CA61" s="58">
        <f t="shared" si="261"/>
        <v>0</v>
      </c>
      <c r="CB61" s="59">
        <f t="shared" si="262"/>
        <v>4</v>
      </c>
      <c r="CC61" s="57" t="str">
        <f>+IF(_xlfn.XLOOKUP($H61,$AY:$AY,$AZ:$AZ,"-",0)=BZ55,$H61,"-")</f>
        <v>-</v>
      </c>
    </row>
    <row r="62" spans="1:102" x14ac:dyDescent="0.2">
      <c r="A62" s="38" t="s">
        <v>166</v>
      </c>
      <c r="B62" s="39">
        <v>46200</v>
      </c>
      <c r="C62" s="40"/>
      <c r="D62" s="41"/>
      <c r="E62" s="42" t="s">
        <v>75</v>
      </c>
      <c r="F62" s="43">
        <v>1</v>
      </c>
      <c r="G62" s="43">
        <v>1</v>
      </c>
      <c r="H62" s="44" t="s">
        <v>86</v>
      </c>
      <c r="J62" s="24" t="str">
        <f t="shared" si="263"/>
        <v/>
      </c>
      <c r="K62" s="24" t="str">
        <f t="shared" si="264"/>
        <v>Egipto</v>
      </c>
      <c r="L62" s="24" t="str">
        <f t="shared" si="265"/>
        <v>Iran</v>
      </c>
      <c r="M62" s="24" t="str">
        <f t="shared" si="266"/>
        <v/>
      </c>
      <c r="Y62" s="53" t="s">
        <v>124</v>
      </c>
      <c r="AR62" s="23">
        <f>+IF(AND(AM61="si",OR(AR57=1,AR58=1,AR59=1)),1,0)</f>
        <v>0</v>
      </c>
      <c r="BE62" s="25" t="str">
        <f>+IF(OR(BF62="-",BI62="-",BF55=0),"-","OK")</f>
        <v>OK</v>
      </c>
      <c r="BF62" s="57" t="str">
        <f>+IF(_xlfn.XLOOKUP($E62,$AY:$AY,$AZ:$AZ,"-",0)=BF55,$E62,"-")</f>
        <v>Egipto</v>
      </c>
      <c r="BG62" s="58">
        <f t="shared" si="259"/>
        <v>1</v>
      </c>
      <c r="BH62" s="59">
        <f t="shared" si="260"/>
        <v>1</v>
      </c>
      <c r="BI62" s="57" t="str">
        <f>+IF(_xlfn.XLOOKUP($H62,$AY:$AY,$AZ:$AZ,"-",0)=BF55,$H62,"-")</f>
        <v>Iran</v>
      </c>
      <c r="BY62" s="25" t="str">
        <f t="shared" si="286"/>
        <v>-</v>
      </c>
      <c r="BZ62" s="57" t="str">
        <f>+IF(_xlfn.XLOOKUP($E62,$AY:$AY,$AZ:$AZ,"-",0)=BZ55,$E62,"-")</f>
        <v>-</v>
      </c>
      <c r="CA62" s="58">
        <f t="shared" si="261"/>
        <v>1</v>
      </c>
      <c r="CB62" s="59">
        <f t="shared" si="262"/>
        <v>1</v>
      </c>
      <c r="CC62" s="57" t="str">
        <f>+IF(_xlfn.XLOOKUP($H62,$AY:$AY,$AZ:$AZ,"-",0)=BZ55,$H62,"-")</f>
        <v>-</v>
      </c>
    </row>
    <row r="63" spans="1:102" s="83" customFormat="1" x14ac:dyDescent="0.2">
      <c r="A63" s="81"/>
      <c r="B63" s="82"/>
      <c r="C63" s="81"/>
      <c r="E63" s="84"/>
      <c r="F63" s="81"/>
      <c r="G63" s="81"/>
      <c r="H63" s="85"/>
      <c r="J63" s="81"/>
      <c r="K63" s="81"/>
      <c r="L63" s="81"/>
      <c r="M63" s="81"/>
      <c r="AV63" s="86"/>
      <c r="AW63" s="86"/>
      <c r="BE63" s="81"/>
      <c r="CW63" s="81"/>
      <c r="CX63" s="81"/>
    </row>
    <row r="64" spans="1:102" x14ac:dyDescent="0.2">
      <c r="A64" s="23"/>
      <c r="BF64" s="28">
        <f>+IF(BA66&gt;1,AZ66,IF(BA67&gt;1,AZ67,IF(BA68&gt;1,AZ68,IF(BA69&gt;1,AZ69,"-"))))</f>
        <v>7</v>
      </c>
      <c r="BW64" s="23">
        <v>10</v>
      </c>
      <c r="BZ64" s="29">
        <f>+IF(BC66&gt;1,BB66,IF(BC67&gt;1,BB67,IF(BC68&gt;1,BB68,IF(BC69&gt;1,BB69,"-"))))</f>
        <v>3</v>
      </c>
      <c r="CQ64" s="23">
        <v>10</v>
      </c>
    </row>
    <row r="65" spans="1:102" x14ac:dyDescent="0.2">
      <c r="A65" s="349" t="s">
        <v>100</v>
      </c>
      <c r="B65" s="350" t="s">
        <v>101</v>
      </c>
      <c r="C65" s="350" t="s">
        <v>102</v>
      </c>
      <c r="D65" s="351"/>
      <c r="E65" s="352" t="s">
        <v>167</v>
      </c>
      <c r="F65" s="353"/>
      <c r="G65" s="353"/>
      <c r="H65" s="354"/>
      <c r="J65" s="24" t="s">
        <v>104</v>
      </c>
      <c r="K65" s="24" t="s">
        <v>105</v>
      </c>
      <c r="L65" s="24" t="s">
        <v>105</v>
      </c>
      <c r="M65" s="24" t="s">
        <v>106</v>
      </c>
      <c r="O65" s="26" t="str">
        <f>+E65</f>
        <v>Grupo H</v>
      </c>
      <c r="P65" s="24" t="s">
        <v>104</v>
      </c>
      <c r="Q65" s="24" t="s">
        <v>105</v>
      </c>
      <c r="R65" s="24" t="s">
        <v>106</v>
      </c>
      <c r="S65" s="24" t="s">
        <v>107</v>
      </c>
      <c r="T65" s="24" t="s">
        <v>108</v>
      </c>
      <c r="U65" s="24" t="s">
        <v>109</v>
      </c>
      <c r="V65" s="24" t="s">
        <v>0</v>
      </c>
      <c r="W65" s="24"/>
      <c r="Y65" s="510" t="s">
        <v>167</v>
      </c>
      <c r="Z65" s="511"/>
      <c r="AA65" s="355" t="s">
        <v>110</v>
      </c>
      <c r="AB65" s="356" t="s">
        <v>104</v>
      </c>
      <c r="AC65" s="356" t="s">
        <v>105</v>
      </c>
      <c r="AD65" s="356" t="s">
        <v>106</v>
      </c>
      <c r="AE65" s="356" t="s">
        <v>107</v>
      </c>
      <c r="AF65" s="356" t="s">
        <v>108</v>
      </c>
      <c r="AG65" s="356" t="s">
        <v>109</v>
      </c>
      <c r="AH65" s="357" t="s">
        <v>0</v>
      </c>
      <c r="AI65" s="103"/>
      <c r="AL65" s="24" t="s">
        <v>0</v>
      </c>
      <c r="AM65" s="24" t="s">
        <v>111</v>
      </c>
      <c r="AN65" s="24"/>
      <c r="AO65" s="24"/>
      <c r="AP65" s="24"/>
      <c r="AQ65" s="24"/>
      <c r="AR65" s="24"/>
      <c r="AS65" s="24"/>
      <c r="AT65" s="24"/>
      <c r="AU65" s="24"/>
      <c r="AY65" s="24" t="s">
        <v>112</v>
      </c>
      <c r="AZ65" s="24" t="s">
        <v>0</v>
      </c>
      <c r="BA65" s="24" t="s">
        <v>113</v>
      </c>
      <c r="BB65" s="24"/>
      <c r="BC65" s="24"/>
      <c r="BD65" s="24"/>
      <c r="BK65" s="26"/>
      <c r="BL65" s="26" t="s">
        <v>110</v>
      </c>
      <c r="BM65" s="24" t="s">
        <v>104</v>
      </c>
      <c r="BN65" s="24" t="s">
        <v>105</v>
      </c>
      <c r="BO65" s="24" t="s">
        <v>106</v>
      </c>
      <c r="BP65" s="24" t="s">
        <v>107</v>
      </c>
      <c r="BQ65" s="24" t="s">
        <v>108</v>
      </c>
      <c r="BR65" s="24" t="s">
        <v>109</v>
      </c>
      <c r="BS65" s="24" t="s">
        <v>0</v>
      </c>
      <c r="BT65" s="24" t="s">
        <v>114</v>
      </c>
      <c r="BU65" s="24"/>
      <c r="BV65" s="24" t="s">
        <v>115</v>
      </c>
      <c r="BW65" s="24" t="s">
        <v>114</v>
      </c>
      <c r="CE65" s="26"/>
      <c r="CF65" s="26" t="s">
        <v>110</v>
      </c>
      <c r="CG65" s="24" t="s">
        <v>104</v>
      </c>
      <c r="CH65" s="24" t="s">
        <v>105</v>
      </c>
      <c r="CI65" s="24" t="s">
        <v>106</v>
      </c>
      <c r="CJ65" s="24" t="s">
        <v>107</v>
      </c>
      <c r="CK65" s="24" t="s">
        <v>108</v>
      </c>
      <c r="CL65" s="24" t="s">
        <v>109</v>
      </c>
      <c r="CM65" s="24" t="s">
        <v>0</v>
      </c>
      <c r="CN65" s="24" t="s">
        <v>114</v>
      </c>
      <c r="CO65" s="24"/>
      <c r="CP65" s="24" t="s">
        <v>115</v>
      </c>
      <c r="CQ65" s="24" t="s">
        <v>114</v>
      </c>
    </row>
    <row r="66" spans="1:102" x14ac:dyDescent="0.2">
      <c r="A66" s="38" t="s">
        <v>168</v>
      </c>
      <c r="B66" s="39">
        <v>46188</v>
      </c>
      <c r="C66" s="40"/>
      <c r="D66" s="41"/>
      <c r="E66" s="42" t="s">
        <v>49</v>
      </c>
      <c r="F66" s="43">
        <v>3</v>
      </c>
      <c r="G66" s="43">
        <v>0</v>
      </c>
      <c r="H66" s="44" t="s">
        <v>92</v>
      </c>
      <c r="J66" s="24" t="str">
        <f>IF(OR(ISBLANK(F66),ISBLANK(G66)),"",IF(F66&gt;G66,E66,IF(G66&gt;F66,H66,"")))</f>
        <v>España</v>
      </c>
      <c r="K66" s="24" t="str">
        <f>IF(OR(ISBLANK(F66),ISBLANK(G66)),"",IF(F66=G66,E66,""))</f>
        <v/>
      </c>
      <c r="L66" s="24" t="str">
        <f>IF(OR(ISBLANK(F66),ISBLANK(G66)),"",IF(F66=G66,H66,""))</f>
        <v/>
      </c>
      <c r="M66" s="24" t="str">
        <f>IF(OR(ISBLANK(F66),ISBLANK(G66)),"",IF(F66&lt;G66,E66,IF(G66&lt;F66,H66,"")))</f>
        <v>Cabo Verde</v>
      </c>
      <c r="O66" s="26" t="str">
        <f>+E66</f>
        <v>España</v>
      </c>
      <c r="P66" s="24">
        <f>+COUNTIF(J66:J71,"="&amp;$O66)</f>
        <v>2</v>
      </c>
      <c r="Q66" s="24">
        <f>+COUNTIF(K66:L71,"="&amp;$O66)</f>
        <v>1</v>
      </c>
      <c r="R66" s="24">
        <f>+COUNTIF(M66:M71,"="&amp;$O66)</f>
        <v>0</v>
      </c>
      <c r="S66" s="24">
        <f>+T66-U66</f>
        <v>6</v>
      </c>
      <c r="T66" s="24">
        <f t="shared" ref="T66" si="300">+SUMIF(E66:E71,$O66,F66:F71)+SUMIF(H66:H71,$O66,G66:G71)</f>
        <v>7</v>
      </c>
      <c r="U66" s="24">
        <f t="shared" ref="U66" si="301">+SUMIF(E66:E71,$O66,G66:G71)+SUMIF(H66:H71,$O66,F66:F71)</f>
        <v>1</v>
      </c>
      <c r="V66" s="45">
        <f>+P66*3+Q66*1+BT66+CN66+S66/1000+T66/10000+AV66/1000000+ROW()/10000000</f>
        <v>7.3067066000000001</v>
      </c>
      <c r="W66" s="26" t="str">
        <f>+O66</f>
        <v>España</v>
      </c>
      <c r="Y66" s="46" t="str">
        <f>+CONCATENATE("1",RIGHT(E65,1))</f>
        <v>1H</v>
      </c>
      <c r="Z66" s="47" t="str">
        <f>+VLOOKUP(AL66,V66:W69,2,FALSE)</f>
        <v>España</v>
      </c>
      <c r="AA66" s="48">
        <f>+SUM(AB66:AD66)</f>
        <v>3</v>
      </c>
      <c r="AB66" s="49">
        <f t="shared" ref="AB66:AG69" si="302">+VLOOKUP($Z66,$O$66:$U$69,COLUMN()-26,FALSE)</f>
        <v>2</v>
      </c>
      <c r="AC66" s="49">
        <f t="shared" si="302"/>
        <v>1</v>
      </c>
      <c r="AD66" s="49">
        <f t="shared" si="302"/>
        <v>0</v>
      </c>
      <c r="AE66" s="49">
        <f t="shared" si="302"/>
        <v>6</v>
      </c>
      <c r="AF66" s="49">
        <f t="shared" si="302"/>
        <v>7</v>
      </c>
      <c r="AG66" s="49">
        <f t="shared" si="302"/>
        <v>1</v>
      </c>
      <c r="AH66" s="50">
        <f>+VLOOKUP($Z66,$O$66:$V$69,COLUMN()-26,FALSE)</f>
        <v>7.3067066000000001</v>
      </c>
      <c r="AI66" s="51"/>
      <c r="AL66" s="45">
        <f>+LARGE(V66:V69,1)</f>
        <v>7.3067066000000001</v>
      </c>
      <c r="AM66" s="52">
        <f>+(AH66-AL66)*100000000000000000000</f>
        <v>0</v>
      </c>
      <c r="AP66" s="53" t="str">
        <f>+O66</f>
        <v>España</v>
      </c>
      <c r="AQ66" s="23">
        <f>+P66*3+Q66*1+BT66+CN66+S66/1000+T66/10000</f>
        <v>7.3067000000000002</v>
      </c>
      <c r="AR66" s="23" t="b">
        <f>+IF(OR(AQ66=AQ67,AQ66=AQ68,AQ66=AQ69),1)</f>
        <v>0</v>
      </c>
      <c r="AS66" s="54">
        <f>+AV66</f>
        <v>0</v>
      </c>
      <c r="AT66" s="54">
        <f>+IF(AND(AM70="si",OR(AR66=1,AR67=1,AR68=1)),1,0)</f>
        <v>0</v>
      </c>
      <c r="AU66" s="55" t="str">
        <f>+O66</f>
        <v>España</v>
      </c>
      <c r="AV66" s="56"/>
      <c r="AX66" s="23" t="str">
        <f>+Y65</f>
        <v>Grupo H</v>
      </c>
      <c r="AY66" s="24" t="str">
        <f>+O66</f>
        <v>España</v>
      </c>
      <c r="AZ66" s="29">
        <f>+P66*3+Q66</f>
        <v>7</v>
      </c>
      <c r="BA66" s="29">
        <f>+COUNTIFS($AX$1:AX66,AX66,$AZ$1:AZ66,AZ66)</f>
        <v>1</v>
      </c>
      <c r="BB66" s="29">
        <f>+IF(AZ66=BF64,ROW()*0.001,AZ66)</f>
        <v>6.6000000000000003E-2</v>
      </c>
      <c r="BC66" s="29">
        <f>+COUNTIFS($AX$1:AZ66,AZ66,$AZ$1:BB66,BB66)</f>
        <v>1</v>
      </c>
      <c r="BD66" s="29"/>
      <c r="BE66" s="25" t="str">
        <f>+IF(OR(BF66="-",BI66="-",BF64=0),"-","OK")</f>
        <v>-</v>
      </c>
      <c r="BF66" s="57" t="str">
        <f>+IF(_xlfn.XLOOKUP($E66,$AY:$AY,$AZ:$AZ,"-",0)=BF64,$E66,"-")</f>
        <v>España</v>
      </c>
      <c r="BG66" s="58">
        <f t="shared" ref="BG66:BG71" si="303">+$F66</f>
        <v>3</v>
      </c>
      <c r="BH66" s="59">
        <f t="shared" ref="BH66:BH71" si="304">+$G66</f>
        <v>0</v>
      </c>
      <c r="BI66" s="57" t="str">
        <f>+IF(_xlfn.XLOOKUP($H66,$AY:$AY,$AZ:$AZ,"-",0)=BF64,$H66,"-")</f>
        <v>-</v>
      </c>
      <c r="BK66" s="26" t="str">
        <f>+O66</f>
        <v>España</v>
      </c>
      <c r="BL66" s="26">
        <f>+COUNTIFS($BE:$BE,"OK",$BI:$BI,BK66)+COUNTIFS($BE:$BE,"OK",$BF:$BF,BK66)</f>
        <v>1</v>
      </c>
      <c r="BM66" s="24">
        <f>+COUNTIFS(J:J,$BK66,$BE:$BE,"OK")</f>
        <v>0</v>
      </c>
      <c r="BN66" s="24">
        <f>+COUNTIFS(K:K,$BK66,$BE:$BE,"OK")+COUNTIFS(L:L,$BK66,$BE:$BE,"OK")</f>
        <v>1</v>
      </c>
      <c r="BO66" s="24">
        <f>+COUNTIFS(M:M,$BK66,$BE:$BE,"OK")</f>
        <v>0</v>
      </c>
      <c r="BP66" s="24">
        <f>+BQ66-BR66</f>
        <v>0</v>
      </c>
      <c r="BQ66" s="24">
        <f>+SUMIFS(BG:BG,$BE:$BE,"OK",BF:BF,$BK66)+SUMIFS(BH:BH,$BE:$BE,"OK",BI:BI,$BK66)</f>
        <v>1</v>
      </c>
      <c r="BR66" s="24">
        <f>+SUMIFS(BH:BH,$BE:$BE,"OK",BF:BF,$BK66)+SUMIFS(BG:BG,$BE:$BE,"OK",BI:BI,$BK66)</f>
        <v>1</v>
      </c>
      <c r="BS66" s="60">
        <f>+BM66*3+BN66*1+BP66/100+BQ66/10000</f>
        <v>1.0001</v>
      </c>
      <c r="BT66" s="60">
        <f>+IF(BL66=0,0,_xlfn.XLOOKUP(BS66,BV66:BV69,BW66:BW69))</f>
        <v>0.3</v>
      </c>
      <c r="BU66" s="45"/>
      <c r="BV66" s="24">
        <f>+LARGE(BS66:BS69,1)</f>
        <v>1.0001</v>
      </c>
      <c r="BW66" s="24">
        <f>+BX66/$BW$1</f>
        <v>0.3</v>
      </c>
      <c r="BX66" s="23">
        <v>3</v>
      </c>
      <c r="BY66" s="25" t="str">
        <f>+IF(OR(BZ66="-",CC66="-"),"-","OK")</f>
        <v>-</v>
      </c>
      <c r="BZ66" s="57" t="str">
        <f>+IF(_xlfn.XLOOKUP($E66,$AY:$AY,$AZ:$AZ,"-",0)=BZ64,$E66,"-")</f>
        <v>-</v>
      </c>
      <c r="CA66" s="58">
        <f t="shared" ref="CA66:CA71" si="305">+$F66</f>
        <v>3</v>
      </c>
      <c r="CB66" s="59">
        <f t="shared" ref="CB66:CB71" si="306">+$G66</f>
        <v>0</v>
      </c>
      <c r="CC66" s="57" t="str">
        <f>+IF(_xlfn.XLOOKUP($H66,$AY:$AY,$AZ:$AZ,"-",0)=BZ64,$H66,"-")</f>
        <v>Cabo Verde</v>
      </c>
      <c r="CE66" s="26" t="str">
        <f>+BK66</f>
        <v>España</v>
      </c>
      <c r="CF66" s="26">
        <f>+COUNTIFS($BY:$BY,"OK",$CC:$CC,CE66)+COUNTIFS($BY:$BY,"OK",$BZ:$BZ,CE66)</f>
        <v>0</v>
      </c>
      <c r="CG66" s="24">
        <f>+COUNTIFS(P:P,$BK66,$BY:$BY,"OK")</f>
        <v>0</v>
      </c>
      <c r="CH66" s="24">
        <f>+COUNTIFS(K:K,$BK66,$BY:$BY,"OK")+COUNTIFS(L:L,$BK66,$BY:$BY,"OK")</f>
        <v>0</v>
      </c>
      <c r="CI66" s="24">
        <f>+COUNTIFS(M:M,$CE66,$BY:$BY,"OK")</f>
        <v>0</v>
      </c>
      <c r="CJ66" s="24">
        <f>+CK66-CL66</f>
        <v>0</v>
      </c>
      <c r="CK66" s="24">
        <f>+SUMIFS(CA:CA,$BY:$BY,"OK",BZ:BZ,$BK66)+SUMIFS(CB:CB,$BY:$BY,"OK",CC:CC,$BK66)</f>
        <v>0</v>
      </c>
      <c r="CL66" s="24">
        <f>+SUMIFS(CB:CB,$BY:$BY,"OK",BZ:BZ,$BK66)+SUMIFS(CA:CA,$BY:$BY,"OK",CC:CC,$BK66)</f>
        <v>0</v>
      </c>
      <c r="CM66" s="60">
        <f>+CG66*3+CH66*1+CJ66/100+CK66/10000</f>
        <v>0</v>
      </c>
      <c r="CN66" s="104">
        <f>+IF(CF66=0,0,_xlfn.XLOOKUP(CM66,CP66:CP69,CQ66:CQ69))</f>
        <v>0</v>
      </c>
      <c r="CO66" s="45"/>
      <c r="CP66" s="24">
        <f>+LARGE(CM66:CM69,1)</f>
        <v>0</v>
      </c>
      <c r="CQ66" s="24">
        <f>+CR66/$BW$1</f>
        <v>0.3</v>
      </c>
      <c r="CR66" s="23">
        <v>3</v>
      </c>
    </row>
    <row r="67" spans="1:102" x14ac:dyDescent="0.2">
      <c r="A67" s="38" t="s">
        <v>169</v>
      </c>
      <c r="B67" s="39">
        <v>46188</v>
      </c>
      <c r="C67" s="40"/>
      <c r="D67" s="41"/>
      <c r="E67" s="42" t="s">
        <v>83</v>
      </c>
      <c r="F67" s="43">
        <v>0</v>
      </c>
      <c r="G67" s="43">
        <v>2</v>
      </c>
      <c r="H67" s="44" t="s">
        <v>58</v>
      </c>
      <c r="J67" s="24" t="str">
        <f t="shared" ref="J67:J71" si="307">IF(OR(ISBLANK(F67),ISBLANK(G67)),"",IF(F67&gt;G67,E67,IF(G67&gt;F67,H67,"")))</f>
        <v>Uruguay</v>
      </c>
      <c r="K67" s="24" t="str">
        <f t="shared" ref="K67:K71" si="308">IF(OR(ISBLANK(F67),ISBLANK(G67)),"",IF(F67=G67,E67,""))</f>
        <v/>
      </c>
      <c r="L67" s="24" t="str">
        <f t="shared" ref="L67:L71" si="309">IF(OR(ISBLANK(F67),ISBLANK(G67)),"",IF(F67=G67,H67,""))</f>
        <v/>
      </c>
      <c r="M67" s="24" t="str">
        <f t="shared" ref="M67:M71" si="310">IF(OR(ISBLANK(F67),ISBLANK(G67)),"",IF(F67&lt;G67,E67,IF(G67&lt;F67,H67,"")))</f>
        <v>Arabia Saudita</v>
      </c>
      <c r="O67" s="26" t="str">
        <f>+H66</f>
        <v>Cabo Verde</v>
      </c>
      <c r="P67" s="24">
        <f>+COUNTIF(J66:J71,"="&amp;$O67)</f>
        <v>1</v>
      </c>
      <c r="Q67" s="24">
        <f>+COUNTIF(K66:L71,"="&amp;$O67)</f>
        <v>0</v>
      </c>
      <c r="R67" s="24">
        <f>+COUNTIF(M66:M71,"="&amp;$O67)</f>
        <v>2</v>
      </c>
      <c r="S67" s="24">
        <f t="shared" ref="S67:S69" si="311">+T67-U67</f>
        <v>-4</v>
      </c>
      <c r="T67" s="24">
        <f t="shared" ref="T67" si="312">+SUMIF(E66:E71,$O67,F66:F71)+SUMIF(H66:H71,$O67,G66:G71)</f>
        <v>1</v>
      </c>
      <c r="U67" s="24">
        <f t="shared" ref="U67" si="313">+SUMIF(E66:E71,$O67,G66:G71)+SUMIF(H66:H71,$O67,F66:F71)</f>
        <v>5</v>
      </c>
      <c r="V67" s="45">
        <f t="shared" ref="V67:V69" si="314">+P67*3+Q67*1+BT67+CN67+S67/1000+T67/10000+AV67/1000000+ROW()/10000000</f>
        <v>2.9961067000000003</v>
      </c>
      <c r="W67" s="26" t="str">
        <f t="shared" ref="W67:W69" si="315">+O67</f>
        <v>Cabo Verde</v>
      </c>
      <c r="Y67" s="61" t="str">
        <f>+CONCATENATE("2",RIGHT(E65,1))</f>
        <v>2H</v>
      </c>
      <c r="Z67" s="62" t="str">
        <f>+VLOOKUP(AL67,V66:W69,2,FALSE)</f>
        <v>Uruguay</v>
      </c>
      <c r="AA67" s="63">
        <f t="shared" ref="AA67:AA69" si="316">+SUM(AB67:AD67)</f>
        <v>3</v>
      </c>
      <c r="AB67" s="64">
        <f t="shared" si="302"/>
        <v>2</v>
      </c>
      <c r="AC67" s="64">
        <f t="shared" si="302"/>
        <v>1</v>
      </c>
      <c r="AD67" s="64">
        <f t="shared" si="302"/>
        <v>0</v>
      </c>
      <c r="AE67" s="64">
        <f t="shared" si="302"/>
        <v>4</v>
      </c>
      <c r="AF67" s="64">
        <f t="shared" si="302"/>
        <v>5</v>
      </c>
      <c r="AG67" s="64">
        <f t="shared" si="302"/>
        <v>1</v>
      </c>
      <c r="AH67" s="65">
        <f>+VLOOKUP($Z67,$O$66:$V$69,COLUMN()-26,FALSE)</f>
        <v>7.3045068999999989</v>
      </c>
      <c r="AI67" s="51"/>
      <c r="AL67" s="45">
        <f>+LARGE(V66:V69,2)</f>
        <v>7.3045068999999989</v>
      </c>
      <c r="AM67" s="52">
        <f t="shared" ref="AM67:AM69" si="317">+(AH67-AL67)*100000000000000000000</f>
        <v>0</v>
      </c>
      <c r="AP67" s="53" t="str">
        <f>+O67</f>
        <v>Cabo Verde</v>
      </c>
      <c r="AQ67" s="23">
        <f>+P67*3+Q67*1+BT67+CN67+S67/1000+T67/10000</f>
        <v>2.9961000000000002</v>
      </c>
      <c r="AR67" s="23" t="b">
        <f>+IF(OR(AQ67=AQ68,AQ67=AQ69),1)</f>
        <v>0</v>
      </c>
      <c r="AS67" s="54">
        <f t="shared" ref="AS67:AS69" si="318">+AV67</f>
        <v>0</v>
      </c>
      <c r="AT67" s="54">
        <f>+IF(AND(AM70="si",OR(AR66=1,AR67=1,AR68=1)),1,0)</f>
        <v>0</v>
      </c>
      <c r="AU67" s="66" t="str">
        <f t="shared" ref="AU67:AU69" si="319">+O67</f>
        <v>Cabo Verde</v>
      </c>
      <c r="AV67" s="67"/>
      <c r="AX67" s="23" t="str">
        <f>+Y65</f>
        <v>Grupo H</v>
      </c>
      <c r="AY67" s="24" t="str">
        <f t="shared" ref="AY67:AY69" si="320">+O67</f>
        <v>Cabo Verde</v>
      </c>
      <c r="AZ67" s="29">
        <f t="shared" ref="AZ67:AZ69" si="321">+P67*3+Q67</f>
        <v>3</v>
      </c>
      <c r="BA67" s="29">
        <f>+COUNTIFS($AX$1:AX67,AX67,$AZ$1:AZ67,AZ67)</f>
        <v>1</v>
      </c>
      <c r="BB67" s="29">
        <f>+IF(AZ67=BF64,ROW()*0.001,AZ67)</f>
        <v>3</v>
      </c>
      <c r="BC67" s="29">
        <f>+COUNTIFS($AX$1:AZ67,AZ67,$AZ$1:BB67,BB67)</f>
        <v>4</v>
      </c>
      <c r="BD67" s="29"/>
      <c r="BE67" s="25" t="str">
        <f>+IF(OR(BF67="-",BI67="-",BF64=0),"-","OK")</f>
        <v>-</v>
      </c>
      <c r="BF67" s="57" t="str">
        <f>+IF(_xlfn.XLOOKUP($E67,$AY:$AY,$AZ:$AZ,"-",0)=BF64,$E67,"-")</f>
        <v>-</v>
      </c>
      <c r="BG67" s="58">
        <f t="shared" si="303"/>
        <v>0</v>
      </c>
      <c r="BH67" s="59">
        <f t="shared" si="304"/>
        <v>2</v>
      </c>
      <c r="BI67" s="57" t="str">
        <f>+IF(_xlfn.XLOOKUP($H67,$AY:$AY,$AZ:$AZ,"-",0)=BF64,$H67,"-")</f>
        <v>Uruguay</v>
      </c>
      <c r="BK67" s="26" t="str">
        <f t="shared" ref="BK67:BK69" si="322">+O67</f>
        <v>Cabo Verde</v>
      </c>
      <c r="BL67" s="26">
        <f t="shared" ref="BL67:BL69" si="323">+COUNTIFS($BE:$BE,"OK",$BI:$BI,BK67)+COUNTIFS($BE:$BE,"OK",$BF:$BF,BK67)</f>
        <v>0</v>
      </c>
      <c r="BM67" s="24">
        <f t="shared" ref="BM67:BM69" si="324">+COUNTIFS(J:J,$BK67,$BE:$BE,"OK")</f>
        <v>0</v>
      </c>
      <c r="BN67" s="24">
        <f t="shared" ref="BN67:BN69" si="325">+COUNTIFS(K:K,$BK67,$BE:$BE,"OK")+COUNTIFS(L:L,$BK67,$BE:$BE,"OK")</f>
        <v>0</v>
      </c>
      <c r="BO67" s="24">
        <f t="shared" ref="BO67:BO69" si="326">+COUNTIFS(M:M,$BK67,$BE:$BE,"OK")</f>
        <v>0</v>
      </c>
      <c r="BP67" s="24">
        <f t="shared" ref="BP67:BP69" si="327">+BQ67-BR67</f>
        <v>0</v>
      </c>
      <c r="BQ67" s="24">
        <f>+SUMIFS(BG:BG,$BE:$BE,"OK",BF:BF,$BK67)+SUMIFS(BH:BH,$BE:$BE,"OK",BI:BI,$BK67)</f>
        <v>0</v>
      </c>
      <c r="BR67" s="24">
        <f t="shared" ref="BR67:BR69" si="328">+SUMIFS(BH:BH,$BE:$BE,"OK",BF:BF,$BK67)+SUMIFS(BG:BG,$BE:$BE,"OK",BI:BI,$BK67)</f>
        <v>0</v>
      </c>
      <c r="BS67" s="60">
        <f t="shared" ref="BS67:BS69" si="329">+BM67*3+BN67*1+BP67/100+BQ67/10000</f>
        <v>0</v>
      </c>
      <c r="BT67" s="29">
        <f>+IF(BL67=0,0,_xlfn.XLOOKUP(BS67,BV66:BV69,BW66:BW69))</f>
        <v>0</v>
      </c>
      <c r="BU67" s="45"/>
      <c r="BV67" s="24">
        <f>+LARGE(BS66:BS69,2)</f>
        <v>1.0001</v>
      </c>
      <c r="BW67" s="24">
        <f>+BX67/$BW$1</f>
        <v>0.2</v>
      </c>
      <c r="BX67" s="23">
        <v>2</v>
      </c>
      <c r="BY67" s="25" t="str">
        <f t="shared" ref="BY67:BY71" si="330">+IF(OR(BZ67="-",CC67="-"),"-","OK")</f>
        <v>-</v>
      </c>
      <c r="BZ67" s="57" t="str">
        <f>+IF(_xlfn.XLOOKUP($E67,$AY:$AY,$AZ:$AZ,"-",0)=BZ64,$E67,"-")</f>
        <v>-</v>
      </c>
      <c r="CA67" s="58">
        <f t="shared" si="305"/>
        <v>0</v>
      </c>
      <c r="CB67" s="59">
        <f t="shared" si="306"/>
        <v>2</v>
      </c>
      <c r="CC67" s="57" t="str">
        <f>+IF(_xlfn.XLOOKUP($H67,$AY:$AY,$AZ:$AZ,"-",0)=BZ64,$H67,"-")</f>
        <v>-</v>
      </c>
      <c r="CE67" s="26" t="str">
        <f t="shared" ref="CE67:CE69" si="331">+BK67</f>
        <v>Cabo Verde</v>
      </c>
      <c r="CF67" s="26">
        <f t="shared" ref="CF67:CF69" si="332">+COUNTIFS($BY:$BY,"OK",$CC:$CC,CE67)+COUNTIFS($BY:$BY,"OK",$BZ:$BZ,CE67)</f>
        <v>0</v>
      </c>
      <c r="CG67" s="24">
        <f t="shared" ref="CG67:CG69" si="333">+COUNTIFS(P:P,$BK67,$BY:$BY,"OK")</f>
        <v>0</v>
      </c>
      <c r="CH67" s="24">
        <f t="shared" ref="CH67:CH69" si="334">+COUNTIFS(K:K,$BK67,$BY:$BY,"OK")+COUNTIFS(L:L,$BK67,$BY:$BY,"OK")</f>
        <v>0</v>
      </c>
      <c r="CI67" s="24">
        <f t="shared" ref="CI67:CI69" si="335">+COUNTIFS(M:M,$CE67,$BY:$BY,"OK")</f>
        <v>0</v>
      </c>
      <c r="CJ67" s="24">
        <f t="shared" ref="CJ67:CJ69" si="336">+CK67-CL67</f>
        <v>0</v>
      </c>
      <c r="CK67" s="24">
        <f t="shared" ref="CK67:CK69" si="337">+SUMIFS(CA:CA,$BY:$BY,"OK",BZ:BZ,$BK67)+SUMIFS(CB:CB,$BY:$BY,"OK",CC:CC,$BK67)</f>
        <v>0</v>
      </c>
      <c r="CL67" s="24">
        <f t="shared" ref="CL67:CL69" si="338">+SUMIFS(CB:CB,$BY:$BY,"OK",BZ:BZ,$BK67)+SUMIFS(CA:CA,$BY:$BY,"OK",CC:CC,$BK67)</f>
        <v>0</v>
      </c>
      <c r="CM67" s="60">
        <f t="shared" ref="CM67:CM69" si="339">+CG67*3+CH67*1+CJ67/100+CK67/10000</f>
        <v>0</v>
      </c>
      <c r="CN67" s="29">
        <f>+IF(CF67=0,0,_xlfn.XLOOKUP(CM67,CP66:CP69,CQ66:CQ69))</f>
        <v>0</v>
      </c>
      <c r="CO67" s="45"/>
      <c r="CP67" s="24">
        <f>+LARGE(CM66:CM69,2)</f>
        <v>0</v>
      </c>
      <c r="CQ67" s="24">
        <f>+CR67/$BW$1</f>
        <v>0.2</v>
      </c>
      <c r="CR67" s="23">
        <v>2</v>
      </c>
    </row>
    <row r="68" spans="1:102" x14ac:dyDescent="0.2">
      <c r="A68" s="38" t="s">
        <v>170</v>
      </c>
      <c r="B68" s="39">
        <v>46194</v>
      </c>
      <c r="C68" s="40"/>
      <c r="D68" s="41"/>
      <c r="E68" s="42" t="s">
        <v>49</v>
      </c>
      <c r="F68" s="43">
        <v>3</v>
      </c>
      <c r="G68" s="43">
        <v>0</v>
      </c>
      <c r="H68" s="44" t="s">
        <v>83</v>
      </c>
      <c r="J68" s="24" t="str">
        <f t="shared" si="307"/>
        <v>España</v>
      </c>
      <c r="K68" s="24" t="str">
        <f t="shared" si="308"/>
        <v/>
      </c>
      <c r="L68" s="24" t="str">
        <f t="shared" si="309"/>
        <v/>
      </c>
      <c r="M68" s="24" t="str">
        <f t="shared" si="310"/>
        <v>Arabia Saudita</v>
      </c>
      <c r="O68" s="26" t="str">
        <f>+E67</f>
        <v>Arabia Saudita</v>
      </c>
      <c r="P68" s="24">
        <f>+COUNTIF(J66:J71,"="&amp;$O68)</f>
        <v>0</v>
      </c>
      <c r="Q68" s="24">
        <f>+COUNTIF(K66:L71,"="&amp;$O68)</f>
        <v>0</v>
      </c>
      <c r="R68" s="24">
        <f>+COUNTIF(M66:M71,"="&amp;$O68)</f>
        <v>3</v>
      </c>
      <c r="S68" s="24">
        <f t="shared" si="311"/>
        <v>-6</v>
      </c>
      <c r="T68" s="24">
        <f t="shared" ref="T68" si="340">+SUMIF(E66:E71,$O68,F66:F71)+SUMIF(H66:H71,$O68,G66:G71)</f>
        <v>0</v>
      </c>
      <c r="U68" s="24">
        <f t="shared" ref="U68" si="341">+SUMIF(E66:E71,$O68,G66:G71)+SUMIF(H66:H71,$O68,F66:F71)</f>
        <v>6</v>
      </c>
      <c r="V68" s="45">
        <f t="shared" si="314"/>
        <v>-5.9931999999999997E-3</v>
      </c>
      <c r="W68" s="26" t="str">
        <f t="shared" si="315"/>
        <v>Arabia Saudita</v>
      </c>
      <c r="Y68" s="68" t="str">
        <f>+CONCATENATE("3",RIGHT(E65,1))</f>
        <v>3H</v>
      </c>
      <c r="Z68" s="69" t="str">
        <f>+VLOOKUP(AL68,V66:W69,2,FALSE)</f>
        <v>Cabo Verde</v>
      </c>
      <c r="AA68" s="70">
        <f t="shared" si="316"/>
        <v>3</v>
      </c>
      <c r="AB68" s="71">
        <f t="shared" si="302"/>
        <v>1</v>
      </c>
      <c r="AC68" s="71">
        <f t="shared" si="302"/>
        <v>0</v>
      </c>
      <c r="AD68" s="71">
        <f t="shared" si="302"/>
        <v>2</v>
      </c>
      <c r="AE68" s="71">
        <f t="shared" si="302"/>
        <v>-4</v>
      </c>
      <c r="AF68" s="71">
        <f t="shared" si="302"/>
        <v>1</v>
      </c>
      <c r="AG68" s="71">
        <f t="shared" si="302"/>
        <v>5</v>
      </c>
      <c r="AH68" s="72">
        <f>+VLOOKUP($Z68,$O$66:$V$69,COLUMN()-26,FALSE)</f>
        <v>2.9961067000000003</v>
      </c>
      <c r="AI68" s="73">
        <f>+(COUNTIFS($CV$2:$CV$13,Z68,$CX$2:$CX$13,"IN")+COUNTIFS($CV$2:$CV$13,Z68,$CW$2:$CW$13,"IN"))*IF(SUM(AA66:AA69)=12,1,0)</f>
        <v>0</v>
      </c>
      <c r="AL68" s="45">
        <f>+LARGE(V66:V69,3)</f>
        <v>2.9961067000000003</v>
      </c>
      <c r="AM68" s="52">
        <f t="shared" si="317"/>
        <v>0</v>
      </c>
      <c r="AP68" s="53" t="str">
        <f>+O68</f>
        <v>Arabia Saudita</v>
      </c>
      <c r="AQ68" s="23">
        <f>+P68*3+Q68*1+BT68+CN68+S68/1000+T68/10000</f>
        <v>-6.0000000000000001E-3</v>
      </c>
      <c r="AR68" s="23" t="b">
        <f>+IF(OR(AQ68=AQ69),1)</f>
        <v>0</v>
      </c>
      <c r="AS68" s="54">
        <f t="shared" si="318"/>
        <v>0</v>
      </c>
      <c r="AT68" s="54">
        <f>+IF(AND(AM70="si",OR(AR66=1,AR67=1,AR68=1)),1,0)</f>
        <v>0</v>
      </c>
      <c r="AU68" s="66" t="str">
        <f t="shared" si="319"/>
        <v>Arabia Saudita</v>
      </c>
      <c r="AV68" s="67"/>
      <c r="AX68" s="23" t="str">
        <f>+Y65</f>
        <v>Grupo H</v>
      </c>
      <c r="AY68" s="24" t="str">
        <f t="shared" si="320"/>
        <v>Arabia Saudita</v>
      </c>
      <c r="AZ68" s="29">
        <f t="shared" si="321"/>
        <v>0</v>
      </c>
      <c r="BA68" s="29">
        <f>+COUNTIFS($AX$1:AX68,AX68,$AZ$1:AZ68,AZ68)</f>
        <v>1</v>
      </c>
      <c r="BB68" s="29">
        <f>+IF(AZ68=BF64,ROW()*0.001,AZ68)</f>
        <v>0</v>
      </c>
      <c r="BC68" s="29">
        <f>+COUNTIFS($AX$1:AZ68,AZ68,$AZ$1:BB68,BB68)</f>
        <v>7</v>
      </c>
      <c r="BD68" s="29"/>
      <c r="BE68" s="25" t="str">
        <f>+IF(OR(BF68="-",BI68="-",BF64=0),"-","OK")</f>
        <v>-</v>
      </c>
      <c r="BF68" s="57" t="str">
        <f>+IF(_xlfn.XLOOKUP($E68,$AY:$AY,$AZ:$AZ,"-",0)=BF64,$E68,"-")</f>
        <v>España</v>
      </c>
      <c r="BG68" s="58">
        <f t="shared" si="303"/>
        <v>3</v>
      </c>
      <c r="BH68" s="59">
        <f t="shared" si="304"/>
        <v>0</v>
      </c>
      <c r="BI68" s="57" t="str">
        <f>+IF(_xlfn.XLOOKUP($H68,$AY:$AY,$AZ:$AZ,"-",0)=BF64,$H68,"-")</f>
        <v>-</v>
      </c>
      <c r="BK68" s="26" t="str">
        <f t="shared" si="322"/>
        <v>Arabia Saudita</v>
      </c>
      <c r="BL68" s="26">
        <f t="shared" si="323"/>
        <v>0</v>
      </c>
      <c r="BM68" s="24">
        <f t="shared" si="324"/>
        <v>0</v>
      </c>
      <c r="BN68" s="24">
        <f t="shared" si="325"/>
        <v>0</v>
      </c>
      <c r="BO68" s="24">
        <f t="shared" si="326"/>
        <v>0</v>
      </c>
      <c r="BP68" s="24">
        <f t="shared" si="327"/>
        <v>0</v>
      </c>
      <c r="BQ68" s="24">
        <f>+SUMIFS(BG:BG,$BE:$BE,"OK",BF:BF,$BK68)+SUMIFS(BH:BH,$BE:$BE,"OK",BI:BI,$BK68)</f>
        <v>0</v>
      </c>
      <c r="BR68" s="24">
        <f t="shared" si="328"/>
        <v>0</v>
      </c>
      <c r="BS68" s="60">
        <f t="shared" si="329"/>
        <v>0</v>
      </c>
      <c r="BT68" s="29">
        <f>+IF(BL68=0,0,_xlfn.XLOOKUP(BS68,BV66:BV69,BW66:BW69))</f>
        <v>0</v>
      </c>
      <c r="BU68" s="45"/>
      <c r="BV68" s="24">
        <f>+LARGE(BS66:BS69,3)</f>
        <v>0</v>
      </c>
      <c r="BW68" s="24">
        <f>+BX68/$BW$1</f>
        <v>0.1</v>
      </c>
      <c r="BX68" s="23">
        <v>1</v>
      </c>
      <c r="BY68" s="25" t="str">
        <f t="shared" si="330"/>
        <v>-</v>
      </c>
      <c r="BZ68" s="57" t="str">
        <f>+IF(_xlfn.XLOOKUP($E68,$AY:$AY,$AZ:$AZ,"-",0)=BZ64,$E68,"-")</f>
        <v>-</v>
      </c>
      <c r="CA68" s="58">
        <f t="shared" si="305"/>
        <v>3</v>
      </c>
      <c r="CB68" s="59">
        <f t="shared" si="306"/>
        <v>0</v>
      </c>
      <c r="CC68" s="57" t="str">
        <f>+IF(_xlfn.XLOOKUP($H68,$AY:$AY,$AZ:$AZ,"-",0)=BZ64,$H68,"-")</f>
        <v>-</v>
      </c>
      <c r="CE68" s="26" t="str">
        <f t="shared" si="331"/>
        <v>Arabia Saudita</v>
      </c>
      <c r="CF68" s="26">
        <f t="shared" si="332"/>
        <v>0</v>
      </c>
      <c r="CG68" s="24">
        <f t="shared" si="333"/>
        <v>0</v>
      </c>
      <c r="CH68" s="24">
        <f t="shared" si="334"/>
        <v>0</v>
      </c>
      <c r="CI68" s="24">
        <f t="shared" si="335"/>
        <v>0</v>
      </c>
      <c r="CJ68" s="24">
        <f t="shared" si="336"/>
        <v>0</v>
      </c>
      <c r="CK68" s="24">
        <f t="shared" si="337"/>
        <v>0</v>
      </c>
      <c r="CL68" s="24">
        <f t="shared" si="338"/>
        <v>0</v>
      </c>
      <c r="CM68" s="60">
        <f t="shared" si="339"/>
        <v>0</v>
      </c>
      <c r="CN68" s="29">
        <f>+IF(CF68=0,0,_xlfn.XLOOKUP(CM68,CP66:CP69,CQ66:CQ69))</f>
        <v>0</v>
      </c>
      <c r="CO68" s="45"/>
      <c r="CP68" s="24">
        <f>+LARGE(CM66:CM69,3)</f>
        <v>0</v>
      </c>
      <c r="CQ68" s="24">
        <f>+CR68/$BW$1</f>
        <v>0.1</v>
      </c>
      <c r="CR68" s="23">
        <v>1</v>
      </c>
    </row>
    <row r="69" spans="1:102" x14ac:dyDescent="0.2">
      <c r="A69" s="38" t="s">
        <v>171</v>
      </c>
      <c r="B69" s="39">
        <v>46194</v>
      </c>
      <c r="C69" s="40"/>
      <c r="D69" s="41"/>
      <c r="E69" s="42" t="s">
        <v>58</v>
      </c>
      <c r="F69" s="43">
        <v>2</v>
      </c>
      <c r="G69" s="43">
        <v>0</v>
      </c>
      <c r="H69" s="44" t="s">
        <v>92</v>
      </c>
      <c r="J69" s="24" t="str">
        <f t="shared" si="307"/>
        <v>Uruguay</v>
      </c>
      <c r="K69" s="24" t="str">
        <f t="shared" si="308"/>
        <v/>
      </c>
      <c r="L69" s="24" t="str">
        <f t="shared" si="309"/>
        <v/>
      </c>
      <c r="M69" s="24" t="str">
        <f t="shared" si="310"/>
        <v>Cabo Verde</v>
      </c>
      <c r="O69" s="26" t="str">
        <f>+H67</f>
        <v>Uruguay</v>
      </c>
      <c r="P69" s="24">
        <f>+COUNTIF(J66:J71,"="&amp;$O69)</f>
        <v>2</v>
      </c>
      <c r="Q69" s="24">
        <f>+COUNTIF(K66:L71,"="&amp;$O69)</f>
        <v>1</v>
      </c>
      <c r="R69" s="24">
        <f>+COUNTIF(M66:M71,"="&amp;$O69)</f>
        <v>0</v>
      </c>
      <c r="S69" s="24">
        <f t="shared" si="311"/>
        <v>4</v>
      </c>
      <c r="T69" s="24">
        <f t="shared" ref="T69" si="342">+SUMIF(E66:E71,$O69,F66:F71)+SUMIF(H66:H71,$O69,G66:G71)</f>
        <v>5</v>
      </c>
      <c r="U69" s="24">
        <f t="shared" ref="U69" si="343">+SUMIF(E66:E71,$O69,G66:G71)+SUMIF(H66:H71,$O69,F66:F71)</f>
        <v>1</v>
      </c>
      <c r="V69" s="45">
        <f t="shared" si="314"/>
        <v>7.3045068999999989</v>
      </c>
      <c r="W69" s="26" t="str">
        <f t="shared" si="315"/>
        <v>Uruguay</v>
      </c>
      <c r="Y69" s="74" t="str">
        <f>+CONCATENATE("4",RIGHT(E65,1))</f>
        <v>4H</v>
      </c>
      <c r="Z69" s="75" t="str">
        <f>+VLOOKUP(AL69,V66:W69,2,FALSE)</f>
        <v>Arabia Saudita</v>
      </c>
      <c r="AA69" s="76">
        <f t="shared" si="316"/>
        <v>3</v>
      </c>
      <c r="AB69" s="77">
        <f t="shared" si="302"/>
        <v>0</v>
      </c>
      <c r="AC69" s="77">
        <f t="shared" si="302"/>
        <v>0</v>
      </c>
      <c r="AD69" s="77">
        <f t="shared" si="302"/>
        <v>3</v>
      </c>
      <c r="AE69" s="77">
        <f t="shared" si="302"/>
        <v>-6</v>
      </c>
      <c r="AF69" s="77">
        <f t="shared" si="302"/>
        <v>0</v>
      </c>
      <c r="AG69" s="77">
        <f t="shared" si="302"/>
        <v>6</v>
      </c>
      <c r="AH69" s="78">
        <f>+VLOOKUP($Z69,$O$66:$V$69,COLUMN()-26,FALSE)</f>
        <v>-5.9931999999999997E-3</v>
      </c>
      <c r="AI69" s="73"/>
      <c r="AL69" s="45">
        <f>+LARGE(V66:V69,4)</f>
        <v>-5.9931999999999997E-3</v>
      </c>
      <c r="AM69" s="52">
        <f t="shared" si="317"/>
        <v>0</v>
      </c>
      <c r="AP69" s="53" t="str">
        <f>+O69</f>
        <v>Uruguay</v>
      </c>
      <c r="AQ69" s="23">
        <f>+P69*3+Q69*1+BT69+CN69+S69/1000+T69/10000</f>
        <v>7.3044999999999991</v>
      </c>
      <c r="AS69" s="54">
        <f t="shared" si="318"/>
        <v>0</v>
      </c>
      <c r="AT69" s="54">
        <f>+IF(AND(AM70="si",OR(AR66=1,AR67=1,AR68=1)),1,0)</f>
        <v>0</v>
      </c>
      <c r="AU69" s="79" t="str">
        <f t="shared" si="319"/>
        <v>Uruguay</v>
      </c>
      <c r="AV69" s="80"/>
      <c r="AX69" s="23" t="str">
        <f>+Y65</f>
        <v>Grupo H</v>
      </c>
      <c r="AY69" s="24" t="str">
        <f t="shared" si="320"/>
        <v>Uruguay</v>
      </c>
      <c r="AZ69" s="29">
        <f t="shared" si="321"/>
        <v>7</v>
      </c>
      <c r="BA69" s="29">
        <f>+COUNTIFS($AX$1:AX69,AX69,$AZ$1:AZ69,AZ69)</f>
        <v>2</v>
      </c>
      <c r="BB69" s="29">
        <f>+IF(AZ69=BF64,ROW()*0.001,AZ69)</f>
        <v>6.9000000000000006E-2</v>
      </c>
      <c r="BC69" s="29">
        <f>+COUNTIFS($AX$1:AZ69,AZ69,$AZ$1:BB69,BB69)</f>
        <v>1</v>
      </c>
      <c r="BD69" s="29"/>
      <c r="BE69" s="25" t="str">
        <f>+IF(OR(BF69="-",BI69="-",BF64=0),"-","OK")</f>
        <v>-</v>
      </c>
      <c r="BF69" s="57" t="str">
        <f>+IF(_xlfn.XLOOKUP($E69,$AY:$AY,$AZ:$AZ,"-",0)=BF64,$E69,"-")</f>
        <v>Uruguay</v>
      </c>
      <c r="BG69" s="58">
        <f t="shared" si="303"/>
        <v>2</v>
      </c>
      <c r="BH69" s="59">
        <f t="shared" si="304"/>
        <v>0</v>
      </c>
      <c r="BI69" s="57" t="str">
        <f>+IF(_xlfn.XLOOKUP($H69,$AY:$AY,$AZ:$AZ,"-",0)=BF64,$H69,"-")</f>
        <v>-</v>
      </c>
      <c r="BK69" s="26" t="str">
        <f t="shared" si="322"/>
        <v>Uruguay</v>
      </c>
      <c r="BL69" s="26">
        <f t="shared" si="323"/>
        <v>1</v>
      </c>
      <c r="BM69" s="24">
        <f t="shared" si="324"/>
        <v>0</v>
      </c>
      <c r="BN69" s="24">
        <f t="shared" si="325"/>
        <v>1</v>
      </c>
      <c r="BO69" s="24">
        <f t="shared" si="326"/>
        <v>0</v>
      </c>
      <c r="BP69" s="24">
        <f t="shared" si="327"/>
        <v>0</v>
      </c>
      <c r="BQ69" s="24">
        <f>+SUMIFS(BG:BG,$BE:$BE,"OK",BF:BF,$BK69)+SUMIFS(BH:BH,$BE:$BE,"OK",BI:BI,$BK69)</f>
        <v>1</v>
      </c>
      <c r="BR69" s="24">
        <f t="shared" si="328"/>
        <v>1</v>
      </c>
      <c r="BS69" s="60">
        <f t="shared" si="329"/>
        <v>1.0001</v>
      </c>
      <c r="BT69" s="60">
        <f>+IF(BL69=0,0,_xlfn.XLOOKUP(BS69,BV66:BV69,BW66:BW69))</f>
        <v>0.3</v>
      </c>
      <c r="BU69" s="45"/>
      <c r="BV69" s="24">
        <f>+LARGE(BS66:BS69,4)</f>
        <v>0</v>
      </c>
      <c r="BW69" s="24">
        <f>+BX69/$BW$1</f>
        <v>0</v>
      </c>
      <c r="BX69" s="23">
        <v>0</v>
      </c>
      <c r="BY69" s="25" t="str">
        <f t="shared" si="330"/>
        <v>-</v>
      </c>
      <c r="BZ69" s="57" t="str">
        <f>+IF(_xlfn.XLOOKUP($E69,$AY:$AY,$AZ:$AZ,"-",0)=BZ64,$E69,"-")</f>
        <v>-</v>
      </c>
      <c r="CA69" s="58">
        <f t="shared" si="305"/>
        <v>2</v>
      </c>
      <c r="CB69" s="59">
        <f t="shared" si="306"/>
        <v>0</v>
      </c>
      <c r="CC69" s="57" t="str">
        <f>+IF(_xlfn.XLOOKUP($H69,$AY:$AY,$AZ:$AZ,"-",0)=BZ64,$H69,"-")</f>
        <v>Cabo Verde</v>
      </c>
      <c r="CE69" s="26" t="str">
        <f t="shared" si="331"/>
        <v>Uruguay</v>
      </c>
      <c r="CF69" s="26">
        <f t="shared" si="332"/>
        <v>0</v>
      </c>
      <c r="CG69" s="24">
        <f t="shared" si="333"/>
        <v>0</v>
      </c>
      <c r="CH69" s="24">
        <f t="shared" si="334"/>
        <v>0</v>
      </c>
      <c r="CI69" s="24">
        <f t="shared" si="335"/>
        <v>0</v>
      </c>
      <c r="CJ69" s="24">
        <f t="shared" si="336"/>
        <v>0</v>
      </c>
      <c r="CK69" s="24">
        <f t="shared" si="337"/>
        <v>0</v>
      </c>
      <c r="CL69" s="24">
        <f t="shared" si="338"/>
        <v>0</v>
      </c>
      <c r="CM69" s="60">
        <f t="shared" si="339"/>
        <v>0</v>
      </c>
      <c r="CN69" s="104">
        <f>+IF(CF69=0,0,_xlfn.XLOOKUP(CM69,CP66:CP69,CQ66:CQ69))</f>
        <v>0</v>
      </c>
      <c r="CO69" s="45"/>
      <c r="CP69" s="24">
        <f>+LARGE(CM66:CM69,4)</f>
        <v>0</v>
      </c>
      <c r="CQ69" s="24">
        <f>+CR69/$BW$1</f>
        <v>0</v>
      </c>
      <c r="CR69" s="23">
        <v>0</v>
      </c>
    </row>
    <row r="70" spans="1:102" x14ac:dyDescent="0.2">
      <c r="A70" s="38" t="s">
        <v>172</v>
      </c>
      <c r="B70" s="39">
        <v>46199</v>
      </c>
      <c r="C70" s="40"/>
      <c r="D70" s="41"/>
      <c r="E70" s="42" t="s">
        <v>58</v>
      </c>
      <c r="F70" s="43">
        <v>1</v>
      </c>
      <c r="G70" s="43">
        <v>1</v>
      </c>
      <c r="H70" s="44" t="s">
        <v>49</v>
      </c>
      <c r="J70" s="24" t="str">
        <f t="shared" si="307"/>
        <v/>
      </c>
      <c r="K70" s="24" t="str">
        <f t="shared" si="308"/>
        <v>Uruguay</v>
      </c>
      <c r="L70" s="24" t="str">
        <f t="shared" si="309"/>
        <v>España</v>
      </c>
      <c r="M70" s="24" t="str">
        <f t="shared" si="310"/>
        <v/>
      </c>
      <c r="AL70" s="25" t="s">
        <v>122</v>
      </c>
      <c r="AM70" s="52" t="str">
        <f>+IF(SUM(AA66:AA69)=12,"si","no")</f>
        <v>si</v>
      </c>
      <c r="BE70" s="25" t="str">
        <f>+IF(OR(BF70="-",BI70="-",BF64=0),"-","OK")</f>
        <v>OK</v>
      </c>
      <c r="BF70" s="57" t="str">
        <f>+IF(_xlfn.XLOOKUP($E70,$AY:$AY,$AZ:$AZ,"-",0)=BF64,$E70,"-")</f>
        <v>Uruguay</v>
      </c>
      <c r="BG70" s="58">
        <f t="shared" si="303"/>
        <v>1</v>
      </c>
      <c r="BH70" s="59">
        <f t="shared" si="304"/>
        <v>1</v>
      </c>
      <c r="BI70" s="57" t="str">
        <f>+IF(_xlfn.XLOOKUP($H70,$AY:$AY,$AZ:$AZ,"-",0)=BF64,$H70,"-")</f>
        <v>España</v>
      </c>
      <c r="BY70" s="25" t="str">
        <f t="shared" si="330"/>
        <v>-</v>
      </c>
      <c r="BZ70" s="57" t="str">
        <f>+IF(_xlfn.XLOOKUP($E70,$AY:$AY,$AZ:$AZ,"-",0)=BZ64,$E70,"-")</f>
        <v>-</v>
      </c>
      <c r="CA70" s="58">
        <f t="shared" si="305"/>
        <v>1</v>
      </c>
      <c r="CB70" s="59">
        <f t="shared" si="306"/>
        <v>1</v>
      </c>
      <c r="CC70" s="57" t="str">
        <f>+IF(_xlfn.XLOOKUP($H70,$AY:$AY,$AZ:$AZ,"-",0)=BZ64,$H70,"-")</f>
        <v>-</v>
      </c>
    </row>
    <row r="71" spans="1:102" x14ac:dyDescent="0.2">
      <c r="A71" s="38" t="s">
        <v>173</v>
      </c>
      <c r="B71" s="39">
        <v>46199</v>
      </c>
      <c r="C71" s="40"/>
      <c r="D71" s="41"/>
      <c r="E71" s="42" t="s">
        <v>92</v>
      </c>
      <c r="F71" s="43">
        <v>1</v>
      </c>
      <c r="G71" s="43">
        <v>0</v>
      </c>
      <c r="H71" s="44" t="s">
        <v>83</v>
      </c>
      <c r="J71" s="24" t="str">
        <f t="shared" si="307"/>
        <v>Cabo Verde</v>
      </c>
      <c r="K71" s="24" t="str">
        <f t="shared" si="308"/>
        <v/>
      </c>
      <c r="L71" s="24" t="str">
        <f t="shared" si="309"/>
        <v/>
      </c>
      <c r="M71" s="24" t="str">
        <f t="shared" si="310"/>
        <v>Arabia Saudita</v>
      </c>
      <c r="Y71" s="53" t="s">
        <v>124</v>
      </c>
      <c r="AR71" s="23">
        <f>+IF(AND(AM70="si",OR(AR66=1,AR67=1,AR68=1)),1,0)</f>
        <v>0</v>
      </c>
      <c r="BE71" s="25" t="str">
        <f>+IF(OR(BF71="-",BI71="-",BF64=0),"-","OK")</f>
        <v>-</v>
      </c>
      <c r="BF71" s="57" t="str">
        <f>+IF(_xlfn.XLOOKUP($E71,$AY:$AY,$AZ:$AZ,"-",0)=BF64,$E71,"-")</f>
        <v>-</v>
      </c>
      <c r="BG71" s="58">
        <f t="shared" si="303"/>
        <v>1</v>
      </c>
      <c r="BH71" s="59">
        <f t="shared" si="304"/>
        <v>0</v>
      </c>
      <c r="BI71" s="57" t="str">
        <f>+IF(_xlfn.XLOOKUP($H71,$AY:$AY,$AZ:$AZ,"-",0)=BF64,$H71,"-")</f>
        <v>-</v>
      </c>
      <c r="BY71" s="25" t="str">
        <f t="shared" si="330"/>
        <v>-</v>
      </c>
      <c r="BZ71" s="57" t="str">
        <f>+IF(_xlfn.XLOOKUP($E71,$AY:$AY,$AZ:$AZ,"-",0)=BZ64,$E71,"-")</f>
        <v>Cabo Verde</v>
      </c>
      <c r="CA71" s="58">
        <f t="shared" si="305"/>
        <v>1</v>
      </c>
      <c r="CB71" s="59">
        <f t="shared" si="306"/>
        <v>0</v>
      </c>
      <c r="CC71" s="57" t="str">
        <f>+IF(_xlfn.XLOOKUP($H71,$AY:$AY,$AZ:$AZ,"-",0)=BZ64,$H71,"-")</f>
        <v>-</v>
      </c>
    </row>
    <row r="72" spans="1:102" s="83" customFormat="1" x14ac:dyDescent="0.2">
      <c r="A72" s="81"/>
      <c r="B72" s="82"/>
      <c r="C72" s="81"/>
      <c r="E72" s="84"/>
      <c r="F72" s="81"/>
      <c r="G72" s="81"/>
      <c r="H72" s="85"/>
      <c r="J72" s="81"/>
      <c r="K72" s="81"/>
      <c r="L72" s="81"/>
      <c r="M72" s="81"/>
      <c r="AV72" s="86"/>
      <c r="AW72" s="86"/>
      <c r="BE72" s="81"/>
      <c r="CW72" s="81"/>
      <c r="CX72" s="81"/>
    </row>
    <row r="73" spans="1:102" x14ac:dyDescent="0.2">
      <c r="A73" s="23"/>
      <c r="BF73" s="28">
        <f>+IF(BA75&gt;1,AZ75,IF(BA76&gt;1,AZ76,IF(BA77&gt;1,AZ77,IF(BA78&gt;1,AZ78,"-"))))</f>
        <v>4</v>
      </c>
      <c r="BW73" s="23">
        <v>10</v>
      </c>
      <c r="BZ73" s="29">
        <f>+IF(BC75&gt;1,BB75,IF(BC76&gt;1,BB76,IF(BC77&gt;1,BB77,IF(BC78&gt;1,BB78,"-"))))</f>
        <v>9</v>
      </c>
      <c r="CQ73" s="23">
        <v>10</v>
      </c>
    </row>
    <row r="74" spans="1:102" x14ac:dyDescent="0.2">
      <c r="A74" s="358" t="s">
        <v>100</v>
      </c>
      <c r="B74" s="359" t="s">
        <v>101</v>
      </c>
      <c r="C74" s="359" t="s">
        <v>102</v>
      </c>
      <c r="D74" s="360"/>
      <c r="E74" s="361" t="s">
        <v>174</v>
      </c>
      <c r="F74" s="362"/>
      <c r="G74" s="362"/>
      <c r="H74" s="363"/>
      <c r="J74" s="24" t="s">
        <v>104</v>
      </c>
      <c r="K74" s="24" t="s">
        <v>105</v>
      </c>
      <c r="L74" s="24" t="s">
        <v>105</v>
      </c>
      <c r="M74" s="24" t="s">
        <v>106</v>
      </c>
      <c r="O74" s="26" t="str">
        <f>+E74</f>
        <v>Grupo I</v>
      </c>
      <c r="P74" s="24" t="s">
        <v>104</v>
      </c>
      <c r="Q74" s="24" t="s">
        <v>105</v>
      </c>
      <c r="R74" s="24" t="s">
        <v>106</v>
      </c>
      <c r="S74" s="24" t="s">
        <v>107</v>
      </c>
      <c r="T74" s="24" t="s">
        <v>108</v>
      </c>
      <c r="U74" s="24" t="s">
        <v>109</v>
      </c>
      <c r="V74" s="24" t="s">
        <v>0</v>
      </c>
      <c r="W74" s="24"/>
      <c r="Y74" s="512" t="s">
        <v>174</v>
      </c>
      <c r="Z74" s="513"/>
      <c r="AA74" s="364" t="s">
        <v>110</v>
      </c>
      <c r="AB74" s="365" t="s">
        <v>104</v>
      </c>
      <c r="AC74" s="365" t="s">
        <v>105</v>
      </c>
      <c r="AD74" s="365" t="s">
        <v>106</v>
      </c>
      <c r="AE74" s="365" t="s">
        <v>107</v>
      </c>
      <c r="AF74" s="365" t="s">
        <v>108</v>
      </c>
      <c r="AG74" s="365" t="s">
        <v>109</v>
      </c>
      <c r="AH74" s="366" t="s">
        <v>0</v>
      </c>
      <c r="AI74" s="103"/>
      <c r="AL74" s="24" t="s">
        <v>0</v>
      </c>
      <c r="AM74" s="24" t="s">
        <v>111</v>
      </c>
      <c r="AN74" s="24"/>
      <c r="AO74" s="24"/>
      <c r="AP74" s="24"/>
      <c r="AQ74" s="24"/>
      <c r="AR74" s="24"/>
      <c r="AS74" s="24"/>
      <c r="AT74" s="24"/>
      <c r="AU74" s="24"/>
      <c r="AY74" s="24" t="s">
        <v>112</v>
      </c>
      <c r="AZ74" s="24" t="s">
        <v>0</v>
      </c>
      <c r="BA74" s="24" t="s">
        <v>113</v>
      </c>
      <c r="BB74" s="24"/>
      <c r="BC74" s="24"/>
      <c r="BD74" s="24"/>
      <c r="BK74" s="26"/>
      <c r="BL74" s="26" t="s">
        <v>110</v>
      </c>
      <c r="BM74" s="24" t="s">
        <v>104</v>
      </c>
      <c r="BN74" s="24" t="s">
        <v>105</v>
      </c>
      <c r="BO74" s="24" t="s">
        <v>106</v>
      </c>
      <c r="BP74" s="24" t="s">
        <v>107</v>
      </c>
      <c r="BQ74" s="24" t="s">
        <v>108</v>
      </c>
      <c r="BR74" s="24" t="s">
        <v>109</v>
      </c>
      <c r="BS74" s="24" t="s">
        <v>0</v>
      </c>
      <c r="BT74" s="24" t="s">
        <v>114</v>
      </c>
      <c r="BU74" s="24"/>
      <c r="BV74" s="24" t="s">
        <v>115</v>
      </c>
      <c r="BW74" s="24" t="s">
        <v>114</v>
      </c>
      <c r="CE74" s="26"/>
      <c r="CF74" s="26" t="s">
        <v>110</v>
      </c>
      <c r="CG74" s="24" t="s">
        <v>104</v>
      </c>
      <c r="CH74" s="24" t="s">
        <v>105</v>
      </c>
      <c r="CI74" s="24" t="s">
        <v>106</v>
      </c>
      <c r="CJ74" s="24" t="s">
        <v>107</v>
      </c>
      <c r="CK74" s="24" t="s">
        <v>108</v>
      </c>
      <c r="CL74" s="24" t="s">
        <v>109</v>
      </c>
      <c r="CM74" s="24" t="s">
        <v>0</v>
      </c>
      <c r="CN74" s="24" t="s">
        <v>114</v>
      </c>
      <c r="CO74" s="24"/>
      <c r="CP74" s="24" t="s">
        <v>115</v>
      </c>
      <c r="CQ74" s="24" t="s">
        <v>114</v>
      </c>
    </row>
    <row r="75" spans="1:102" x14ac:dyDescent="0.2">
      <c r="A75" s="38" t="s">
        <v>175</v>
      </c>
      <c r="B75" s="39">
        <v>46189</v>
      </c>
      <c r="C75" s="40"/>
      <c r="D75" s="41"/>
      <c r="E75" s="42" t="s">
        <v>48</v>
      </c>
      <c r="F75" s="43">
        <v>2</v>
      </c>
      <c r="G75" s="43">
        <v>1</v>
      </c>
      <c r="H75" s="44" t="s">
        <v>61</v>
      </c>
      <c r="J75" s="24" t="str">
        <f>IF(OR(ISBLANK(F75),ISBLANK(G75)),"",IF(F75&gt;G75,E75,IF(G75&gt;F75,H75,"")))</f>
        <v>Francia</v>
      </c>
      <c r="K75" s="24" t="str">
        <f>IF(OR(ISBLANK(F75),ISBLANK(G75)),"",IF(F75=G75,E75,""))</f>
        <v/>
      </c>
      <c r="L75" s="24" t="str">
        <f>IF(OR(ISBLANK(F75),ISBLANK(G75)),"",IF(F75=G75,H75,""))</f>
        <v/>
      </c>
      <c r="M75" s="24" t="str">
        <f>IF(OR(ISBLANK(F75),ISBLANK(G75)),"",IF(F75&lt;G75,E75,IF(G75&lt;F75,H75,"")))</f>
        <v>Senegal</v>
      </c>
      <c r="O75" s="26" t="str">
        <f>+E75</f>
        <v>Francia</v>
      </c>
      <c r="P75" s="24">
        <f>+COUNTIF(J75:J80,"="&amp;$O75)</f>
        <v>3</v>
      </c>
      <c r="Q75" s="24">
        <f>+COUNTIF(K75:L80,"="&amp;$O75)</f>
        <v>0</v>
      </c>
      <c r="R75" s="24">
        <f>+COUNTIF(M75:M80,"="&amp;$O75)</f>
        <v>0</v>
      </c>
      <c r="S75" s="24">
        <f>+T75-U75</f>
        <v>6</v>
      </c>
      <c r="T75" s="24">
        <f t="shared" ref="T75" si="344">+SUMIF(E75:E80,$O75,F75:F80)+SUMIF(H75:H80,$O75,G75:G80)</f>
        <v>8</v>
      </c>
      <c r="U75" s="24">
        <f t="shared" ref="U75" si="345">+SUMIF(E75:E80,$O75,G75:G80)+SUMIF(H75:H80,$O75,F75:F80)</f>
        <v>2</v>
      </c>
      <c r="V75" s="45">
        <f>+P75*3+Q75*1+BT75+CN75+S75/1000+T75/10000+AV75/1000000+ROW()/10000000</f>
        <v>9.0068075000000007</v>
      </c>
      <c r="W75" s="26" t="str">
        <f>+O75</f>
        <v>Francia</v>
      </c>
      <c r="Y75" s="46" t="str">
        <f>+CONCATENATE("1",RIGHT(E74,1))</f>
        <v>1I</v>
      </c>
      <c r="Z75" s="47" t="str">
        <f>+VLOOKUP(AL75,V75:W78,2,FALSE)</f>
        <v>Francia</v>
      </c>
      <c r="AA75" s="48">
        <f>+SUM(AB75:AD75)</f>
        <v>3</v>
      </c>
      <c r="AB75" s="49">
        <f>+_xlfn.XLOOKUP($Z75,$O:$O,P:P,"Error",0)</f>
        <v>3</v>
      </c>
      <c r="AC75" s="49">
        <f t="shared" ref="AC75:AC78" si="346">+_xlfn.XLOOKUP($Z75,$O:$O,Q:Q,"Error",0)</f>
        <v>0</v>
      </c>
      <c r="AD75" s="49">
        <f t="shared" ref="AD75:AD78" si="347">+_xlfn.XLOOKUP($Z75,$O:$O,R:R,"Error",0)</f>
        <v>0</v>
      </c>
      <c r="AE75" s="49">
        <f t="shared" ref="AE75:AE78" si="348">+_xlfn.XLOOKUP($Z75,$O:$O,S:S,"Error",0)</f>
        <v>6</v>
      </c>
      <c r="AF75" s="49">
        <f t="shared" ref="AF75:AF78" si="349">+_xlfn.XLOOKUP($Z75,$O:$O,T:T,"Error",0)</f>
        <v>8</v>
      </c>
      <c r="AG75" s="49">
        <f t="shared" ref="AG75:AG78" si="350">+_xlfn.XLOOKUP($Z75,$O:$O,U:U,"Error",0)</f>
        <v>2</v>
      </c>
      <c r="AH75" s="50">
        <f t="shared" ref="AH75:AH78" si="351">+_xlfn.XLOOKUP($Z75,$O:$O,V:V,"Error",0)</f>
        <v>9.0068075000000007</v>
      </c>
      <c r="AI75" s="51"/>
      <c r="AL75" s="45">
        <f>+LARGE(V75:V78,1)</f>
        <v>9.0068075000000007</v>
      </c>
      <c r="AM75" s="52">
        <f>+(AH75-AL75)*100000000000000000000</f>
        <v>0</v>
      </c>
      <c r="AP75" s="53" t="str">
        <f>+O75</f>
        <v>Francia</v>
      </c>
      <c r="AQ75" s="23">
        <f>+P75*3+Q75*1+BT75+CN75+S75/1000+T75/10000</f>
        <v>9.0068000000000001</v>
      </c>
      <c r="AR75" s="23" t="b">
        <f>+IF(OR(AQ75=AQ76,AQ75=AQ77,AQ75=AQ78),1)</f>
        <v>0</v>
      </c>
      <c r="AS75" s="54">
        <f>+AV75</f>
        <v>0</v>
      </c>
      <c r="AT75" s="54">
        <f>+IF(AND(AM79="si",OR(AR75=1,AR76=1,AR77=1)),1,0)</f>
        <v>0</v>
      </c>
      <c r="AU75" s="55" t="str">
        <f>+O75</f>
        <v>Francia</v>
      </c>
      <c r="AV75" s="56"/>
      <c r="AX75" s="23" t="str">
        <f>+Y74</f>
        <v>Grupo I</v>
      </c>
      <c r="AY75" s="24" t="str">
        <f>+O75</f>
        <v>Francia</v>
      </c>
      <c r="AZ75" s="29">
        <f>+P75*3+Q75</f>
        <v>9</v>
      </c>
      <c r="BA75" s="29">
        <f>+COUNTIFS($AX$1:AX75,AX75,$AZ$1:AZ75,AZ75)</f>
        <v>1</v>
      </c>
      <c r="BB75" s="29">
        <f>+IF(AZ75=BF73,ROW()*0.001,AZ75)</f>
        <v>9</v>
      </c>
      <c r="BC75" s="29">
        <f>+COUNTIFS($AX$1:AZ75,AZ75,$AZ$1:BB75,BB75)</f>
        <v>4</v>
      </c>
      <c r="BD75" s="29"/>
      <c r="BE75" s="25" t="str">
        <f>+IF(OR(BF75="-",BI75="-",BF73=0),"-","OK")</f>
        <v>-</v>
      </c>
      <c r="BF75" s="57" t="str">
        <f>+IF(_xlfn.XLOOKUP($E75,$AY:$AY,$AZ:$AZ,"-",0)=BF73,$E75,"-")</f>
        <v>-</v>
      </c>
      <c r="BG75" s="58">
        <f t="shared" ref="BG75:BG80" si="352">+$F75</f>
        <v>2</v>
      </c>
      <c r="BH75" s="59">
        <f t="shared" ref="BH75:BH80" si="353">+$G75</f>
        <v>1</v>
      </c>
      <c r="BI75" s="57" t="str">
        <f>+IF(_xlfn.XLOOKUP($H75,$AY:$AY,$AZ:$AZ,"-",0)=BF73,$H75,"-")</f>
        <v>Senegal</v>
      </c>
      <c r="BK75" s="26" t="str">
        <f>+O75</f>
        <v>Francia</v>
      </c>
      <c r="BL75" s="26">
        <f>+COUNTIFS($BE:$BE,"OK",$BI:$BI,BK75)+COUNTIFS($BE:$BE,"OK",$BF:$BF,BK75)</f>
        <v>0</v>
      </c>
      <c r="BM75" s="24">
        <f>+COUNTIFS(J:J,$BK75,$BE:$BE,"OK")</f>
        <v>0</v>
      </c>
      <c r="BN75" s="24">
        <f>+COUNTIFS(K:K,$BK75,$BE:$BE,"OK")+COUNTIFS(L:L,$BK75,$BE:$BE,"OK")</f>
        <v>0</v>
      </c>
      <c r="BO75" s="24">
        <f>+COUNTIFS(M:M,$BK75,$BE:$BE,"OK")</f>
        <v>0</v>
      </c>
      <c r="BP75" s="24">
        <f>+BQ75-BR75</f>
        <v>0</v>
      </c>
      <c r="BQ75" s="24">
        <f>+SUMIFS(BG:BG,$BE:$BE,"OK",BF:BF,$BK75)+SUMIFS(BH:BH,$BE:$BE,"OK",BI:BI,$BK75)</f>
        <v>0</v>
      </c>
      <c r="BR75" s="24">
        <f>+SUMIFS(BH:BH,$BE:$BE,"OK",BF:BF,$BK75)+SUMIFS(BG:BG,$BE:$BE,"OK",BI:BI,$BK75)</f>
        <v>0</v>
      </c>
      <c r="BS75" s="60">
        <f>+BM75*3+BN75*1+BP75/100+BQ75/10000</f>
        <v>0</v>
      </c>
      <c r="BT75" s="29">
        <f>+IF(BL75=0,0,_xlfn.XLOOKUP(BS75,BV75:BV78,BW75:BW78))</f>
        <v>0</v>
      </c>
      <c r="BU75" s="45"/>
      <c r="BV75" s="24">
        <f>+LARGE(BS75:BS78,1)</f>
        <v>1.0001</v>
      </c>
      <c r="BW75" s="24">
        <f>+BX75/$BW$1</f>
        <v>0.3</v>
      </c>
      <c r="BX75" s="23">
        <v>3</v>
      </c>
      <c r="BY75" s="25" t="str">
        <f>+IF(OR(BZ75="-",CC75="-"),"-","OK")</f>
        <v>-</v>
      </c>
      <c r="BZ75" s="57" t="str">
        <f>+IF(_xlfn.XLOOKUP($E75,$AY:$AY,$AZ:$AZ,"-",0)=BZ73,$E75,"-")</f>
        <v>Francia</v>
      </c>
      <c r="CA75" s="58">
        <f t="shared" ref="CA75:CA80" si="354">+$F75</f>
        <v>2</v>
      </c>
      <c r="CB75" s="59">
        <f t="shared" ref="CB75:CB80" si="355">+$G75</f>
        <v>1</v>
      </c>
      <c r="CC75" s="57" t="str">
        <f>+IF(_xlfn.XLOOKUP($H75,$AY:$AY,$AZ:$AZ,"-",0)=BZ73,$H75,"-")</f>
        <v>-</v>
      </c>
      <c r="CE75" s="26" t="str">
        <f>+BK75</f>
        <v>Francia</v>
      </c>
      <c r="CF75" s="26">
        <f>+COUNTIFS($BY:$BY,"OK",$CC:$CC,CE75)+COUNTIFS($BY:$BY,"OK",$BZ:$BZ,CE75)</f>
        <v>0</v>
      </c>
      <c r="CG75" s="24">
        <f>+COUNTIFS(P:P,$BK75,$BY:$BY,"OK")</f>
        <v>0</v>
      </c>
      <c r="CH75" s="24">
        <f>+COUNTIFS(K:K,$BK75,$BY:$BY,"OK")+COUNTIFS(L:L,$BK75,$BY:$BY,"OK")</f>
        <v>0</v>
      </c>
      <c r="CI75" s="24">
        <f>+COUNTIFS(M:M,$CE75,$BY:$BY,"OK")</f>
        <v>0</v>
      </c>
      <c r="CJ75" s="24">
        <f>+CK75-CL75</f>
        <v>0</v>
      </c>
      <c r="CK75" s="24">
        <f>+SUMIFS(CA:CA,$BY:$BY,"OK",BZ:BZ,$BK75)+SUMIFS(CB:CB,$BY:$BY,"OK",CC:CC,$BK75)</f>
        <v>0</v>
      </c>
      <c r="CL75" s="24">
        <f>+SUMIFS(CB:CB,$BY:$BY,"OK",BZ:BZ,$BK75)+SUMIFS(CA:CA,$BY:$BY,"OK",CC:CC,$BK75)</f>
        <v>0</v>
      </c>
      <c r="CM75" s="60">
        <f>+CG75*3+CH75*1+CJ75/100+CK75/10000</f>
        <v>0</v>
      </c>
      <c r="CN75" s="29">
        <f>+IF(CF75=0,0,_xlfn.XLOOKUP(CM75,CP75:CP78,CQ75:CQ78))</f>
        <v>0</v>
      </c>
      <c r="CO75" s="45"/>
      <c r="CP75" s="24">
        <f>+LARGE(CM75:CM78,1)</f>
        <v>0</v>
      </c>
      <c r="CQ75" s="24">
        <f>+CR75/$BW$1</f>
        <v>0.3</v>
      </c>
      <c r="CR75" s="23">
        <v>3</v>
      </c>
    </row>
    <row r="76" spans="1:102" x14ac:dyDescent="0.2">
      <c r="A76" s="38" t="s">
        <v>176</v>
      </c>
      <c r="B76" s="39">
        <v>46189</v>
      </c>
      <c r="C76" s="40"/>
      <c r="D76" s="41"/>
      <c r="E76" s="42" t="s">
        <v>90</v>
      </c>
      <c r="F76" s="43">
        <v>0</v>
      </c>
      <c r="G76" s="43">
        <v>3</v>
      </c>
      <c r="H76" s="44" t="s">
        <v>69</v>
      </c>
      <c r="J76" s="24" t="str">
        <f t="shared" ref="J76:J80" si="356">IF(OR(ISBLANK(F76),ISBLANK(G76)),"",IF(F76&gt;G76,E76,IF(G76&gt;F76,H76,"")))</f>
        <v>Noruega</v>
      </c>
      <c r="K76" s="24" t="str">
        <f t="shared" ref="K76:K80" si="357">IF(OR(ISBLANK(F76),ISBLANK(G76)),"",IF(F76=G76,E76,""))</f>
        <v/>
      </c>
      <c r="L76" s="24" t="str">
        <f t="shared" ref="L76:L80" si="358">IF(OR(ISBLANK(F76),ISBLANK(G76)),"",IF(F76=G76,H76,""))</f>
        <v/>
      </c>
      <c r="M76" s="24" t="str">
        <f t="shared" ref="M76:M80" si="359">IF(OR(ISBLANK(F76),ISBLANK(G76)),"",IF(F76&lt;G76,E76,IF(G76&lt;F76,H76,"")))</f>
        <v>Irak</v>
      </c>
      <c r="O76" s="26" t="str">
        <f>+H75</f>
        <v>Senegal</v>
      </c>
      <c r="P76" s="24">
        <f>+COUNTIF(J75:J80,"="&amp;$O76)</f>
        <v>1</v>
      </c>
      <c r="Q76" s="24">
        <f>+COUNTIF(K75:L80,"="&amp;$O76)</f>
        <v>1</v>
      </c>
      <c r="R76" s="24">
        <f>+COUNTIF(M75:M80,"="&amp;$O76)</f>
        <v>1</v>
      </c>
      <c r="S76" s="24">
        <f t="shared" ref="S76:S78" si="360">+T76-U76</f>
        <v>1</v>
      </c>
      <c r="T76" s="24">
        <f t="shared" ref="T76" si="361">+SUMIF(E75:E80,$O76,F75:F80)+SUMIF(H75:H80,$O76,G75:G80)</f>
        <v>4</v>
      </c>
      <c r="U76" s="24">
        <f t="shared" ref="U76" si="362">+SUMIF(E75:E80,$O76,G75:G80)+SUMIF(H75:H80,$O76,F75:F80)</f>
        <v>3</v>
      </c>
      <c r="V76" s="45">
        <f t="shared" ref="V76:V78" si="363">+P76*3+Q76*1+BT76+CN76+S76/1000+T76/10000+AV76/1000000+ROW()/10000000</f>
        <v>4.3014076000000001</v>
      </c>
      <c r="W76" s="26" t="str">
        <f t="shared" ref="W76:W78" si="364">+O76</f>
        <v>Senegal</v>
      </c>
      <c r="Y76" s="61" t="str">
        <f>+CONCATENATE("2",RIGHT(E74,1))</f>
        <v>2I</v>
      </c>
      <c r="Z76" s="62" t="str">
        <f>+VLOOKUP(AL76,V75:W78,2,FALSE)</f>
        <v>Noruega</v>
      </c>
      <c r="AA76" s="63">
        <f t="shared" ref="AA76:AA78" si="365">+SUM(AB76:AD76)</f>
        <v>3</v>
      </c>
      <c r="AB76" s="64">
        <f t="shared" ref="AB76:AB78" si="366">+_xlfn.XLOOKUP($Z76,$O:$O,P:P,"Error",0)</f>
        <v>1</v>
      </c>
      <c r="AC76" s="64">
        <f t="shared" si="346"/>
        <v>1</v>
      </c>
      <c r="AD76" s="64">
        <f t="shared" si="347"/>
        <v>1</v>
      </c>
      <c r="AE76" s="64">
        <f t="shared" si="348"/>
        <v>2</v>
      </c>
      <c r="AF76" s="64">
        <f t="shared" si="349"/>
        <v>5</v>
      </c>
      <c r="AG76" s="64">
        <f t="shared" si="350"/>
        <v>3</v>
      </c>
      <c r="AH76" s="65">
        <f t="shared" si="351"/>
        <v>4.302507799999999</v>
      </c>
      <c r="AI76" s="51"/>
      <c r="AL76" s="45">
        <f>+LARGE(V75:V78,2)</f>
        <v>4.302507799999999</v>
      </c>
      <c r="AM76" s="52">
        <f t="shared" ref="AM76:AM78" si="367">+(AH76-AL76)*100000000000000000000</f>
        <v>0</v>
      </c>
      <c r="AP76" s="53" t="str">
        <f>+O76</f>
        <v>Senegal</v>
      </c>
      <c r="AQ76" s="23">
        <f>+P76*3+Q76*1+BT76+CN76+S76/1000+T76/10000</f>
        <v>4.3014000000000001</v>
      </c>
      <c r="AR76" s="23" t="b">
        <f>+IF(OR(AQ76=AQ77,AQ76=AQ78),1)</f>
        <v>0</v>
      </c>
      <c r="AS76" s="54">
        <f t="shared" ref="AS76:AS78" si="368">+AV76</f>
        <v>0</v>
      </c>
      <c r="AT76" s="54">
        <f>+IF(AND(AM79="si",OR(AR75=1,AR76=1,AR77=1)),1,0)</f>
        <v>0</v>
      </c>
      <c r="AU76" s="66" t="str">
        <f t="shared" ref="AU76:AU78" si="369">+O76</f>
        <v>Senegal</v>
      </c>
      <c r="AV76" s="67"/>
      <c r="AX76" s="23" t="str">
        <f>+Y74</f>
        <v>Grupo I</v>
      </c>
      <c r="AY76" s="24" t="str">
        <f t="shared" ref="AY76:AY78" si="370">+O76</f>
        <v>Senegal</v>
      </c>
      <c r="AZ76" s="29">
        <f t="shared" ref="AZ76:AZ78" si="371">+P76*3+Q76</f>
        <v>4</v>
      </c>
      <c r="BA76" s="29">
        <f>+COUNTIFS($AX$1:AX76,AX76,$AZ$1:AZ76,AZ76)</f>
        <v>1</v>
      </c>
      <c r="BB76" s="29">
        <f>+IF(AZ76=BF73,ROW()*0.001,AZ76)</f>
        <v>7.5999999999999998E-2</v>
      </c>
      <c r="BC76" s="29">
        <f>+COUNTIFS($AX$1:AZ76,AZ76,$AZ$1:BB76,BB76)</f>
        <v>1</v>
      </c>
      <c r="BD76" s="29"/>
      <c r="BE76" s="25" t="str">
        <f>+IF(OR(BF76="-",BI76="-",BF73=0),"-","OK")</f>
        <v>-</v>
      </c>
      <c r="BF76" s="57" t="str">
        <f>+IF(_xlfn.XLOOKUP($E76,$AY:$AY,$AZ:$AZ,"-",0)=BF73,$E76,"-")</f>
        <v>-</v>
      </c>
      <c r="BG76" s="58">
        <f t="shared" si="352"/>
        <v>0</v>
      </c>
      <c r="BH76" s="59">
        <f t="shared" si="353"/>
        <v>3</v>
      </c>
      <c r="BI76" s="57" t="str">
        <f>+IF(_xlfn.XLOOKUP($H76,$AY:$AY,$AZ:$AZ,"-",0)=BF73,$H76,"-")</f>
        <v>Noruega</v>
      </c>
      <c r="BK76" s="26" t="str">
        <f t="shared" ref="BK76:BK78" si="372">+O76</f>
        <v>Senegal</v>
      </c>
      <c r="BL76" s="26">
        <f t="shared" ref="BL76:BL78" si="373">+COUNTIFS($BE:$BE,"OK",$BI:$BI,BK76)+COUNTIFS($BE:$BE,"OK",$BF:$BF,BK76)</f>
        <v>1</v>
      </c>
      <c r="BM76" s="24">
        <f t="shared" ref="BM76:BM78" si="374">+COUNTIFS(J:J,$BK76,$BE:$BE,"OK")</f>
        <v>0</v>
      </c>
      <c r="BN76" s="24">
        <f t="shared" ref="BN76:BN78" si="375">+COUNTIFS(K:K,$BK76,$BE:$BE,"OK")+COUNTIFS(L:L,$BK76,$BE:$BE,"OK")</f>
        <v>1</v>
      </c>
      <c r="BO76" s="24">
        <f t="shared" ref="BO76:BO78" si="376">+COUNTIFS(M:M,$BK76,$BE:$BE,"OK")</f>
        <v>0</v>
      </c>
      <c r="BP76" s="24">
        <f t="shared" ref="BP76:BP78" si="377">+BQ76-BR76</f>
        <v>0</v>
      </c>
      <c r="BQ76" s="24">
        <f>+SUMIFS(BG:BG,$BE:$BE,"OK",BF:BF,$BK76)+SUMIFS(BH:BH,$BE:$BE,"OK",BI:BI,$BK76)</f>
        <v>1</v>
      </c>
      <c r="BR76" s="24">
        <f t="shared" ref="BR76:BR78" si="378">+SUMIFS(BH:BH,$BE:$BE,"OK",BF:BF,$BK76)+SUMIFS(BG:BG,$BE:$BE,"OK",BI:BI,$BK76)</f>
        <v>1</v>
      </c>
      <c r="BS76" s="60">
        <f t="shared" ref="BS76:BS78" si="379">+BM76*3+BN76*1+BP76/100+BQ76/10000</f>
        <v>1.0001</v>
      </c>
      <c r="BT76" s="29">
        <f>+IF(BL76=0,0,_xlfn.XLOOKUP(BS76,BV75:BV78,BW75:BW78))</f>
        <v>0.3</v>
      </c>
      <c r="BU76" s="45"/>
      <c r="BV76" s="24">
        <f>+LARGE(BS75:BS78,2)</f>
        <v>1.0001</v>
      </c>
      <c r="BW76" s="24">
        <f>+BX76/$BW$1</f>
        <v>0.2</v>
      </c>
      <c r="BX76" s="23">
        <v>2</v>
      </c>
      <c r="BY76" s="25" t="str">
        <f t="shared" ref="BY76:BY80" si="380">+IF(OR(BZ76="-",CC76="-"),"-","OK")</f>
        <v>-</v>
      </c>
      <c r="BZ76" s="57" t="str">
        <f>+IF(_xlfn.XLOOKUP($E76,$AY:$AY,$AZ:$AZ,"-",0)=BZ73,$E76,"-")</f>
        <v>-</v>
      </c>
      <c r="CA76" s="58">
        <f t="shared" si="354"/>
        <v>0</v>
      </c>
      <c r="CB76" s="59">
        <f t="shared" si="355"/>
        <v>3</v>
      </c>
      <c r="CC76" s="57" t="str">
        <f>+IF(_xlfn.XLOOKUP($H76,$AY:$AY,$AZ:$AZ,"-",0)=BZ73,$H76,"-")</f>
        <v>-</v>
      </c>
      <c r="CE76" s="26" t="str">
        <f t="shared" ref="CE76:CE78" si="381">+BK76</f>
        <v>Senegal</v>
      </c>
      <c r="CF76" s="26">
        <f t="shared" ref="CF76:CF78" si="382">+COUNTIFS($BY:$BY,"OK",$CC:$CC,CE76)+COUNTIFS($BY:$BY,"OK",$BZ:$BZ,CE76)</f>
        <v>0</v>
      </c>
      <c r="CG76" s="24">
        <f t="shared" ref="CG76:CG78" si="383">+COUNTIFS(P:P,$BK76,$BY:$BY,"OK")</f>
        <v>0</v>
      </c>
      <c r="CH76" s="24">
        <f t="shared" ref="CH76:CH78" si="384">+COUNTIFS(K:K,$BK76,$BY:$BY,"OK")+COUNTIFS(L:L,$BK76,$BY:$BY,"OK")</f>
        <v>0</v>
      </c>
      <c r="CI76" s="24">
        <f t="shared" ref="CI76:CI78" si="385">+COUNTIFS(M:M,$CE76,$BY:$BY,"OK")</f>
        <v>0</v>
      </c>
      <c r="CJ76" s="24">
        <f t="shared" ref="CJ76:CJ78" si="386">+CK76-CL76</f>
        <v>0</v>
      </c>
      <c r="CK76" s="24">
        <f t="shared" ref="CK76:CK78" si="387">+SUMIFS(CA:CA,$BY:$BY,"OK",BZ:BZ,$BK76)+SUMIFS(CB:CB,$BY:$BY,"OK",CC:CC,$BK76)</f>
        <v>0</v>
      </c>
      <c r="CL76" s="24">
        <f t="shared" ref="CL76:CL78" si="388">+SUMIFS(CB:CB,$BY:$BY,"OK",BZ:BZ,$BK76)+SUMIFS(CA:CA,$BY:$BY,"OK",CC:CC,$BK76)</f>
        <v>0</v>
      </c>
      <c r="CM76" s="60">
        <f t="shared" ref="CM76:CM78" si="389">+CG76*3+CH76*1+CJ76/100+CK76/10000</f>
        <v>0</v>
      </c>
      <c r="CN76" s="29">
        <f>+IF(CF76=0,0,_xlfn.XLOOKUP(CM76,CP75:CP78,CQ75:CQ78))</f>
        <v>0</v>
      </c>
      <c r="CO76" s="45"/>
      <c r="CP76" s="24">
        <f>+LARGE(CM75:CM78,2)</f>
        <v>0</v>
      </c>
      <c r="CQ76" s="24">
        <f>+CR76/$BW$1</f>
        <v>0.2</v>
      </c>
      <c r="CR76" s="23">
        <v>2</v>
      </c>
    </row>
    <row r="77" spans="1:102" x14ac:dyDescent="0.2">
      <c r="A77" s="38" t="s">
        <v>177</v>
      </c>
      <c r="B77" s="39">
        <v>46195</v>
      </c>
      <c r="C77" s="40"/>
      <c r="D77" s="41"/>
      <c r="E77" s="42" t="s">
        <v>48</v>
      </c>
      <c r="F77" s="43">
        <v>4</v>
      </c>
      <c r="G77" s="43">
        <v>0</v>
      </c>
      <c r="H77" s="44" t="s">
        <v>90</v>
      </c>
      <c r="J77" s="24" t="str">
        <f t="shared" si="356"/>
        <v>Francia</v>
      </c>
      <c r="K77" s="24" t="str">
        <f t="shared" si="357"/>
        <v/>
      </c>
      <c r="L77" s="24" t="str">
        <f t="shared" si="358"/>
        <v/>
      </c>
      <c r="M77" s="24" t="str">
        <f t="shared" si="359"/>
        <v>Irak</v>
      </c>
      <c r="O77" s="26" t="str">
        <f>+E76</f>
        <v>Irak</v>
      </c>
      <c r="P77" s="24">
        <f>+COUNTIF(J75:J80,"="&amp;$O77)</f>
        <v>0</v>
      </c>
      <c r="Q77" s="24">
        <f>+COUNTIF(K75:L80,"="&amp;$O77)</f>
        <v>0</v>
      </c>
      <c r="R77" s="24">
        <f>+COUNTIF(M75:M80,"="&amp;$O77)</f>
        <v>3</v>
      </c>
      <c r="S77" s="24">
        <f t="shared" si="360"/>
        <v>-9</v>
      </c>
      <c r="T77" s="24">
        <f t="shared" ref="T77" si="390">+SUMIF(E75:E80,$O77,F75:F80)+SUMIF(H75:H80,$O77,G75:G80)</f>
        <v>0</v>
      </c>
      <c r="U77" s="24">
        <f t="shared" ref="U77" si="391">+SUMIF(E75:E80,$O77,G75:G80)+SUMIF(H75:H80,$O77,F75:F80)</f>
        <v>9</v>
      </c>
      <c r="V77" s="45">
        <f t="shared" si="363"/>
        <v>-8.9922999999999999E-3</v>
      </c>
      <c r="W77" s="26" t="str">
        <f t="shared" si="364"/>
        <v>Irak</v>
      </c>
      <c r="Y77" s="68" t="str">
        <f>+CONCATENATE("3",RIGHT(E74,1))</f>
        <v>3I</v>
      </c>
      <c r="Z77" s="69" t="str">
        <f>+VLOOKUP(AL77,V75:W78,2,FALSE)</f>
        <v>Senegal</v>
      </c>
      <c r="AA77" s="70">
        <f t="shared" si="365"/>
        <v>3</v>
      </c>
      <c r="AB77" s="71">
        <f t="shared" si="366"/>
        <v>1</v>
      </c>
      <c r="AC77" s="71">
        <f t="shared" si="346"/>
        <v>1</v>
      </c>
      <c r="AD77" s="71">
        <f t="shared" si="347"/>
        <v>1</v>
      </c>
      <c r="AE77" s="71">
        <f t="shared" si="348"/>
        <v>1</v>
      </c>
      <c r="AF77" s="71">
        <f t="shared" si="349"/>
        <v>4</v>
      </c>
      <c r="AG77" s="71">
        <f t="shared" si="350"/>
        <v>3</v>
      </c>
      <c r="AH77" s="72">
        <f t="shared" si="351"/>
        <v>4.3014076000000001</v>
      </c>
      <c r="AI77" s="73">
        <f>+(COUNTIFS($CV$2:$CV$13,Z77,$CX$2:$CX$13,"IN")+COUNTIFS($CV$2:$CV$13,Z77,$CW$2:$CW$13,"IN"))*IF(SUM(AA75:AA78)=12,1,0)</f>
        <v>1</v>
      </c>
      <c r="AL77" s="45">
        <f>+LARGE(V75:V78,3)</f>
        <v>4.3014076000000001</v>
      </c>
      <c r="AM77" s="52">
        <f t="shared" si="367"/>
        <v>0</v>
      </c>
      <c r="AP77" s="53" t="str">
        <f>+O77</f>
        <v>Irak</v>
      </c>
      <c r="AQ77" s="23">
        <f>+P77*3+Q77*1+BT77+CN77+S77/1000+T77/10000</f>
        <v>-8.9999999999999993E-3</v>
      </c>
      <c r="AR77" s="23" t="b">
        <f>+IF(OR(AQ77=AQ78),1)</f>
        <v>0</v>
      </c>
      <c r="AS77" s="54">
        <f t="shared" si="368"/>
        <v>0</v>
      </c>
      <c r="AT77" s="54">
        <f>+IF(AND(AM79="si",OR(AR75=1,AR76=1,AR77=1)),1,0)</f>
        <v>0</v>
      </c>
      <c r="AU77" s="66" t="str">
        <f t="shared" si="369"/>
        <v>Irak</v>
      </c>
      <c r="AV77" s="67"/>
      <c r="AX77" s="23" t="str">
        <f>+Y74</f>
        <v>Grupo I</v>
      </c>
      <c r="AY77" s="24" t="str">
        <f t="shared" si="370"/>
        <v>Irak</v>
      </c>
      <c r="AZ77" s="29">
        <f t="shared" si="371"/>
        <v>0</v>
      </c>
      <c r="BA77" s="29">
        <f>+COUNTIFS($AX$1:AX77,AX77,$AZ$1:AZ77,AZ77)</f>
        <v>1</v>
      </c>
      <c r="BB77" s="29">
        <f>+IF(AZ77=BF73,ROW()*0.001,AZ77)</f>
        <v>0</v>
      </c>
      <c r="BC77" s="29">
        <f>+COUNTIFS($AX$1:AZ77,AZ77,$AZ$1:BB77,BB77)</f>
        <v>8</v>
      </c>
      <c r="BD77" s="29"/>
      <c r="BE77" s="25" t="str">
        <f>+IF(OR(BF77="-",BI77="-",BF73=0),"-","OK")</f>
        <v>-</v>
      </c>
      <c r="BF77" s="57" t="str">
        <f>+IF(_xlfn.XLOOKUP($E77,$AY:$AY,$AZ:$AZ,"-",0)=BF73,$E77,"-")</f>
        <v>-</v>
      </c>
      <c r="BG77" s="58">
        <f t="shared" si="352"/>
        <v>4</v>
      </c>
      <c r="BH77" s="59">
        <f t="shared" si="353"/>
        <v>0</v>
      </c>
      <c r="BI77" s="57" t="str">
        <f>+IF(_xlfn.XLOOKUP($H77,$AY:$AY,$AZ:$AZ,"-",0)=BF73,$H77,"-")</f>
        <v>-</v>
      </c>
      <c r="BK77" s="26" t="str">
        <f t="shared" si="372"/>
        <v>Irak</v>
      </c>
      <c r="BL77" s="26">
        <f t="shared" si="373"/>
        <v>0</v>
      </c>
      <c r="BM77" s="24">
        <f t="shared" si="374"/>
        <v>0</v>
      </c>
      <c r="BN77" s="24">
        <f t="shared" si="375"/>
        <v>0</v>
      </c>
      <c r="BO77" s="24">
        <f t="shared" si="376"/>
        <v>0</v>
      </c>
      <c r="BP77" s="24">
        <f t="shared" si="377"/>
        <v>0</v>
      </c>
      <c r="BQ77" s="24">
        <f>+SUMIFS(BG:BG,$BE:$BE,"OK",BF:BF,$BK77)+SUMIFS(BH:BH,$BE:$BE,"OK",BI:BI,$BK77)</f>
        <v>0</v>
      </c>
      <c r="BR77" s="24">
        <f t="shared" si="378"/>
        <v>0</v>
      </c>
      <c r="BS77" s="60">
        <f t="shared" si="379"/>
        <v>0</v>
      </c>
      <c r="BT77" s="29">
        <f>+IF(BL77=0,0,_xlfn.XLOOKUP(BS77,BV75:BV78,BW75:BW78))</f>
        <v>0</v>
      </c>
      <c r="BU77" s="45"/>
      <c r="BV77" s="24">
        <f>+LARGE(BS75:BS78,3)</f>
        <v>0</v>
      </c>
      <c r="BW77" s="24">
        <f>+BX77/$BW$1</f>
        <v>0.1</v>
      </c>
      <c r="BX77" s="23">
        <v>1</v>
      </c>
      <c r="BY77" s="25" t="str">
        <f t="shared" si="380"/>
        <v>-</v>
      </c>
      <c r="BZ77" s="57" t="str">
        <f>+IF(_xlfn.XLOOKUP($E77,$AY:$AY,$AZ:$AZ,"-",0)=BZ73,$E77,"-")</f>
        <v>Francia</v>
      </c>
      <c r="CA77" s="58">
        <f t="shared" si="354"/>
        <v>4</v>
      </c>
      <c r="CB77" s="59">
        <f t="shared" si="355"/>
        <v>0</v>
      </c>
      <c r="CC77" s="57" t="str">
        <f>+IF(_xlfn.XLOOKUP($H77,$AY:$AY,$AZ:$AZ,"-",0)=BZ73,$H77,"-")</f>
        <v>-</v>
      </c>
      <c r="CE77" s="26" t="str">
        <f t="shared" si="381"/>
        <v>Irak</v>
      </c>
      <c r="CF77" s="26">
        <f t="shared" si="382"/>
        <v>0</v>
      </c>
      <c r="CG77" s="24">
        <f t="shared" si="383"/>
        <v>0</v>
      </c>
      <c r="CH77" s="24">
        <f t="shared" si="384"/>
        <v>0</v>
      </c>
      <c r="CI77" s="24">
        <f t="shared" si="385"/>
        <v>0</v>
      </c>
      <c r="CJ77" s="24">
        <f t="shared" si="386"/>
        <v>0</v>
      </c>
      <c r="CK77" s="24">
        <f t="shared" si="387"/>
        <v>0</v>
      </c>
      <c r="CL77" s="24">
        <f t="shared" si="388"/>
        <v>0</v>
      </c>
      <c r="CM77" s="60">
        <f t="shared" si="389"/>
        <v>0</v>
      </c>
      <c r="CN77" s="29">
        <f>+IF(CF77=0,0,_xlfn.XLOOKUP(CM77,CP75:CP78,CQ75:CQ78))</f>
        <v>0</v>
      </c>
      <c r="CO77" s="45"/>
      <c r="CP77" s="24">
        <f>+LARGE(CM75:CM78,3)</f>
        <v>0</v>
      </c>
      <c r="CQ77" s="24">
        <f>+CR77/$BW$1</f>
        <v>0.1</v>
      </c>
      <c r="CR77" s="23">
        <v>1</v>
      </c>
    </row>
    <row r="78" spans="1:102" x14ac:dyDescent="0.2">
      <c r="A78" s="38" t="s">
        <v>178</v>
      </c>
      <c r="B78" s="39">
        <v>46195</v>
      </c>
      <c r="C78" s="40"/>
      <c r="D78" s="41"/>
      <c r="E78" s="42" t="s">
        <v>69</v>
      </c>
      <c r="F78" s="43">
        <v>1</v>
      </c>
      <c r="G78" s="43">
        <v>1</v>
      </c>
      <c r="H78" s="44" t="s">
        <v>61</v>
      </c>
      <c r="J78" s="24" t="str">
        <f t="shared" si="356"/>
        <v/>
      </c>
      <c r="K78" s="24" t="str">
        <f t="shared" si="357"/>
        <v>Noruega</v>
      </c>
      <c r="L78" s="24" t="str">
        <f t="shared" si="358"/>
        <v>Senegal</v>
      </c>
      <c r="M78" s="24" t="str">
        <f t="shared" si="359"/>
        <v/>
      </c>
      <c r="O78" s="26" t="str">
        <f>+H76</f>
        <v>Noruega</v>
      </c>
      <c r="P78" s="24">
        <f>+COUNTIF(J75:J80,"="&amp;$O78)</f>
        <v>1</v>
      </c>
      <c r="Q78" s="24">
        <f>+COUNTIF(K75:L80,"="&amp;$O78)</f>
        <v>1</v>
      </c>
      <c r="R78" s="24">
        <f>+COUNTIF(M75:M80,"="&amp;$O78)</f>
        <v>1</v>
      </c>
      <c r="S78" s="24">
        <f t="shared" si="360"/>
        <v>2</v>
      </c>
      <c r="T78" s="24">
        <f t="shared" ref="T78" si="392">+SUMIF(E75:E80,$O78,F75:F80)+SUMIF(H75:H80,$O78,G75:G80)</f>
        <v>5</v>
      </c>
      <c r="U78" s="24">
        <f t="shared" ref="U78" si="393">+SUMIF(E75:E80,$O78,G75:G80)+SUMIF(H75:H80,$O78,F75:F80)</f>
        <v>3</v>
      </c>
      <c r="V78" s="45">
        <f t="shared" si="363"/>
        <v>4.302507799999999</v>
      </c>
      <c r="W78" s="26" t="str">
        <f t="shared" si="364"/>
        <v>Noruega</v>
      </c>
      <c r="Y78" s="74" t="str">
        <f>+CONCATENATE("4",RIGHT(E74,1))</f>
        <v>4I</v>
      </c>
      <c r="Z78" s="75" t="str">
        <f>+VLOOKUP(AL78,V75:W78,2,FALSE)</f>
        <v>Irak</v>
      </c>
      <c r="AA78" s="76">
        <f t="shared" si="365"/>
        <v>3</v>
      </c>
      <c r="AB78" s="77">
        <f t="shared" si="366"/>
        <v>0</v>
      </c>
      <c r="AC78" s="77">
        <f t="shared" si="346"/>
        <v>0</v>
      </c>
      <c r="AD78" s="77">
        <f t="shared" si="347"/>
        <v>3</v>
      </c>
      <c r="AE78" s="77">
        <f t="shared" si="348"/>
        <v>-9</v>
      </c>
      <c r="AF78" s="77">
        <f t="shared" si="349"/>
        <v>0</v>
      </c>
      <c r="AG78" s="77">
        <f t="shared" si="350"/>
        <v>9</v>
      </c>
      <c r="AH78" s="78">
        <f t="shared" si="351"/>
        <v>-8.9922999999999999E-3</v>
      </c>
      <c r="AI78" s="73"/>
      <c r="AL78" s="45">
        <f>+LARGE(V75:V78,4)</f>
        <v>-8.9922999999999999E-3</v>
      </c>
      <c r="AM78" s="52">
        <f t="shared" si="367"/>
        <v>0</v>
      </c>
      <c r="AP78" s="53" t="str">
        <f>+O78</f>
        <v>Noruega</v>
      </c>
      <c r="AQ78" s="23">
        <f>+P78*3+Q78*1+BT78+CN78+S78/1000+T78/10000</f>
        <v>4.3024999999999993</v>
      </c>
      <c r="AS78" s="54">
        <f t="shared" si="368"/>
        <v>0</v>
      </c>
      <c r="AT78" s="54">
        <f>+IF(AND(AM79="si",OR(AR75=1,AR76=1,AR77=1)),1,0)</f>
        <v>0</v>
      </c>
      <c r="AU78" s="79" t="str">
        <f t="shared" si="369"/>
        <v>Noruega</v>
      </c>
      <c r="AV78" s="80"/>
      <c r="AX78" s="23" t="str">
        <f>+Y74</f>
        <v>Grupo I</v>
      </c>
      <c r="AY78" s="24" t="str">
        <f t="shared" si="370"/>
        <v>Noruega</v>
      </c>
      <c r="AZ78" s="29">
        <f t="shared" si="371"/>
        <v>4</v>
      </c>
      <c r="BA78" s="29">
        <f>+COUNTIFS($AX$1:AX78,AX78,$AZ$1:AZ78,AZ78)</f>
        <v>2</v>
      </c>
      <c r="BB78" s="29">
        <f>+IF(AZ78=BF73,ROW()*0.001,AZ78)</f>
        <v>7.8E-2</v>
      </c>
      <c r="BC78" s="29">
        <f>+COUNTIFS($AX$1:AZ78,AZ78,$AZ$1:BB78,BB78)</f>
        <v>1</v>
      </c>
      <c r="BD78" s="29"/>
      <c r="BE78" s="25" t="str">
        <f>+IF(OR(BF78="-",BI78="-",BF73=0),"-","OK")</f>
        <v>OK</v>
      </c>
      <c r="BF78" s="57" t="str">
        <f>+IF(_xlfn.XLOOKUP($E78,$AY:$AY,$AZ:$AZ,"-",0)=BF73,$E78,"-")</f>
        <v>Noruega</v>
      </c>
      <c r="BG78" s="58">
        <f t="shared" si="352"/>
        <v>1</v>
      </c>
      <c r="BH78" s="59">
        <f t="shared" si="353"/>
        <v>1</v>
      </c>
      <c r="BI78" s="57" t="str">
        <f>+IF(_xlfn.XLOOKUP($H78,$AY:$AY,$AZ:$AZ,"-",0)=BF73,$H78,"-")</f>
        <v>Senegal</v>
      </c>
      <c r="BK78" s="26" t="str">
        <f t="shared" si="372"/>
        <v>Noruega</v>
      </c>
      <c r="BL78" s="26">
        <f t="shared" si="373"/>
        <v>1</v>
      </c>
      <c r="BM78" s="24">
        <f t="shared" si="374"/>
        <v>0</v>
      </c>
      <c r="BN78" s="24">
        <f t="shared" si="375"/>
        <v>1</v>
      </c>
      <c r="BO78" s="24">
        <f t="shared" si="376"/>
        <v>0</v>
      </c>
      <c r="BP78" s="24">
        <f t="shared" si="377"/>
        <v>0</v>
      </c>
      <c r="BQ78" s="24">
        <f>+SUMIFS(BG:BG,$BE:$BE,"OK",BF:BF,$BK78)+SUMIFS(BH:BH,$BE:$BE,"OK",BI:BI,$BK78)</f>
        <v>1</v>
      </c>
      <c r="BR78" s="24">
        <f t="shared" si="378"/>
        <v>1</v>
      </c>
      <c r="BS78" s="60">
        <f t="shared" si="379"/>
        <v>1.0001</v>
      </c>
      <c r="BT78" s="29">
        <f>+IF(BL78=0,0,_xlfn.XLOOKUP(BS78,BV75:BV78,BW75:BW78))</f>
        <v>0.3</v>
      </c>
      <c r="BU78" s="45"/>
      <c r="BV78" s="24">
        <f>+LARGE(BS75:BS78,4)</f>
        <v>0</v>
      </c>
      <c r="BW78" s="24">
        <f>+BX78/$BW$1</f>
        <v>0</v>
      </c>
      <c r="BX78" s="23">
        <v>0</v>
      </c>
      <c r="BY78" s="25" t="str">
        <f t="shared" si="380"/>
        <v>-</v>
      </c>
      <c r="BZ78" s="57" t="str">
        <f>+IF(_xlfn.XLOOKUP($E78,$AY:$AY,$AZ:$AZ,"-",0)=BZ73,$E78,"-")</f>
        <v>-</v>
      </c>
      <c r="CA78" s="58">
        <f t="shared" si="354"/>
        <v>1</v>
      </c>
      <c r="CB78" s="59">
        <f t="shared" si="355"/>
        <v>1</v>
      </c>
      <c r="CC78" s="57" t="str">
        <f>+IF(_xlfn.XLOOKUP($H78,$AY:$AY,$AZ:$AZ,"-",0)=BZ73,$H78,"-")</f>
        <v>-</v>
      </c>
      <c r="CE78" s="26" t="str">
        <f t="shared" si="381"/>
        <v>Noruega</v>
      </c>
      <c r="CF78" s="26">
        <f t="shared" si="382"/>
        <v>0</v>
      </c>
      <c r="CG78" s="24">
        <f t="shared" si="383"/>
        <v>0</v>
      </c>
      <c r="CH78" s="24">
        <f t="shared" si="384"/>
        <v>0</v>
      </c>
      <c r="CI78" s="24">
        <f t="shared" si="385"/>
        <v>0</v>
      </c>
      <c r="CJ78" s="24">
        <f t="shared" si="386"/>
        <v>0</v>
      </c>
      <c r="CK78" s="24">
        <f t="shared" si="387"/>
        <v>0</v>
      </c>
      <c r="CL78" s="24">
        <f t="shared" si="388"/>
        <v>0</v>
      </c>
      <c r="CM78" s="60">
        <f t="shared" si="389"/>
        <v>0</v>
      </c>
      <c r="CN78" s="29">
        <f>+IF(CF78=0,0,_xlfn.XLOOKUP(CM78,CP75:CP78,CQ75:CQ78))</f>
        <v>0</v>
      </c>
      <c r="CO78" s="45"/>
      <c r="CP78" s="24">
        <f>+LARGE(CM75:CM78,4)</f>
        <v>0</v>
      </c>
      <c r="CQ78" s="24">
        <f>+CR78/$BW$1</f>
        <v>0</v>
      </c>
      <c r="CR78" s="23">
        <v>0</v>
      </c>
    </row>
    <row r="79" spans="1:102" x14ac:dyDescent="0.2">
      <c r="A79" s="38" t="s">
        <v>179</v>
      </c>
      <c r="B79" s="39">
        <v>46199</v>
      </c>
      <c r="C79" s="40"/>
      <c r="D79" s="41"/>
      <c r="E79" s="42" t="s">
        <v>69</v>
      </c>
      <c r="F79" s="43">
        <v>1</v>
      </c>
      <c r="G79" s="43">
        <v>2</v>
      </c>
      <c r="H79" s="44" t="s">
        <v>48</v>
      </c>
      <c r="J79" s="24" t="str">
        <f t="shared" si="356"/>
        <v>Francia</v>
      </c>
      <c r="K79" s="24" t="str">
        <f t="shared" si="357"/>
        <v/>
      </c>
      <c r="L79" s="24" t="str">
        <f t="shared" si="358"/>
        <v/>
      </c>
      <c r="M79" s="24" t="str">
        <f t="shared" si="359"/>
        <v>Noruega</v>
      </c>
      <c r="AL79" s="25" t="s">
        <v>122</v>
      </c>
      <c r="AM79" s="52" t="str">
        <f>+IF(SUM(AA75:AA78)=12,"si","no")</f>
        <v>si</v>
      </c>
      <c r="BE79" s="25" t="str">
        <f>+IF(OR(BF79="-",BI79="-",BF73=0),"-","OK")</f>
        <v>-</v>
      </c>
      <c r="BF79" s="57" t="str">
        <f>+IF(_xlfn.XLOOKUP($E79,$AY:$AY,$AZ:$AZ,"-",0)=BF73,$E79,"-")</f>
        <v>Noruega</v>
      </c>
      <c r="BG79" s="58">
        <f t="shared" si="352"/>
        <v>1</v>
      </c>
      <c r="BH79" s="59">
        <f t="shared" si="353"/>
        <v>2</v>
      </c>
      <c r="BI79" s="57" t="str">
        <f>+IF(_xlfn.XLOOKUP($H79,$AY:$AY,$AZ:$AZ,"-",0)=BF73,$H79,"-")</f>
        <v>-</v>
      </c>
      <c r="BY79" s="25" t="str">
        <f t="shared" si="380"/>
        <v>-</v>
      </c>
      <c r="BZ79" s="57" t="str">
        <f>+IF(_xlfn.XLOOKUP($E79,$AY:$AY,$AZ:$AZ,"-",0)=BZ73,$E79,"-")</f>
        <v>-</v>
      </c>
      <c r="CA79" s="58">
        <f t="shared" si="354"/>
        <v>1</v>
      </c>
      <c r="CB79" s="59">
        <f t="shared" si="355"/>
        <v>2</v>
      </c>
      <c r="CC79" s="57" t="str">
        <f>+IF(_xlfn.XLOOKUP($H79,$AY:$AY,$AZ:$AZ,"-",0)=BZ73,$H79,"-")</f>
        <v>Francia</v>
      </c>
    </row>
    <row r="80" spans="1:102" x14ac:dyDescent="0.2">
      <c r="A80" s="38" t="s">
        <v>180</v>
      </c>
      <c r="B80" s="39">
        <v>46199</v>
      </c>
      <c r="C80" s="40"/>
      <c r="D80" s="41"/>
      <c r="E80" s="42" t="s">
        <v>61</v>
      </c>
      <c r="F80" s="43">
        <v>2</v>
      </c>
      <c r="G80" s="43">
        <v>0</v>
      </c>
      <c r="H80" s="44" t="s">
        <v>90</v>
      </c>
      <c r="J80" s="24" t="str">
        <f t="shared" si="356"/>
        <v>Senegal</v>
      </c>
      <c r="K80" s="24" t="str">
        <f t="shared" si="357"/>
        <v/>
      </c>
      <c r="L80" s="24" t="str">
        <f t="shared" si="358"/>
        <v/>
      </c>
      <c r="M80" s="24" t="str">
        <f t="shared" si="359"/>
        <v>Irak</v>
      </c>
      <c r="Y80" s="53" t="s">
        <v>124</v>
      </c>
      <c r="AR80" s="23">
        <f>+IF(AND(AM79="si",OR(AR75=1,AR76=1,AR77=1)),1,0)</f>
        <v>0</v>
      </c>
      <c r="BE80" s="25" t="str">
        <f>+IF(OR(BF80="-",BI80="-",BF73=0),"-","OK")</f>
        <v>-</v>
      </c>
      <c r="BF80" s="57" t="str">
        <f>+IF(_xlfn.XLOOKUP($E80,$AY:$AY,$AZ:$AZ,"-",0)=BF73,$E80,"-")</f>
        <v>Senegal</v>
      </c>
      <c r="BG80" s="58">
        <f t="shared" si="352"/>
        <v>2</v>
      </c>
      <c r="BH80" s="59">
        <f t="shared" si="353"/>
        <v>0</v>
      </c>
      <c r="BI80" s="57" t="str">
        <f>+IF(_xlfn.XLOOKUP($H80,$AY:$AY,$AZ:$AZ,"-",0)=BF73,$H80,"-")</f>
        <v>-</v>
      </c>
      <c r="BY80" s="25" t="str">
        <f t="shared" si="380"/>
        <v>-</v>
      </c>
      <c r="BZ80" s="57" t="str">
        <f>+IF(_xlfn.XLOOKUP($E80,$AY:$AY,$AZ:$AZ,"-",0)=BZ73,$E80,"-")</f>
        <v>-</v>
      </c>
      <c r="CA80" s="58">
        <f t="shared" si="354"/>
        <v>2</v>
      </c>
      <c r="CB80" s="59">
        <f t="shared" si="355"/>
        <v>0</v>
      </c>
      <c r="CC80" s="57" t="str">
        <f>+IF(_xlfn.XLOOKUP($H80,$AY:$AY,$AZ:$AZ,"-",0)=BZ73,$H80,"-")</f>
        <v>-</v>
      </c>
    </row>
    <row r="81" spans="1:102" s="83" customFormat="1" x14ac:dyDescent="0.2">
      <c r="A81" s="81"/>
      <c r="B81" s="82"/>
      <c r="C81" s="81"/>
      <c r="E81" s="84"/>
      <c r="F81" s="81"/>
      <c r="G81" s="81"/>
      <c r="H81" s="85"/>
      <c r="J81" s="81"/>
      <c r="K81" s="81"/>
      <c r="L81" s="81"/>
      <c r="M81" s="81"/>
      <c r="AV81" s="86"/>
      <c r="AW81" s="86"/>
      <c r="BE81" s="81"/>
      <c r="CW81" s="81"/>
      <c r="CX81" s="81"/>
    </row>
    <row r="82" spans="1:102" x14ac:dyDescent="0.2">
      <c r="A82" s="23"/>
      <c r="BF82" s="28" t="str">
        <f>+IF(BA84&gt;1,AZ84,IF(BA85&gt;1,AZ85,IF(BA86&gt;1,AZ86,IF(BA87&gt;1,AZ87,"-"))))</f>
        <v>-</v>
      </c>
      <c r="BW82" s="23">
        <v>10</v>
      </c>
      <c r="BZ82" s="29">
        <f>+IF(BC84&gt;1,BB84,IF(BC85&gt;1,BB85,IF(BC86&gt;1,BB86,IF(BC87&gt;1,BB87,"-"))))</f>
        <v>9</v>
      </c>
      <c r="CQ82" s="23">
        <v>10</v>
      </c>
    </row>
    <row r="83" spans="1:102" x14ac:dyDescent="0.2">
      <c r="A83" s="367" t="s">
        <v>100</v>
      </c>
      <c r="B83" s="368" t="s">
        <v>101</v>
      </c>
      <c r="C83" s="368" t="s">
        <v>102</v>
      </c>
      <c r="D83" s="369"/>
      <c r="E83" s="370" t="s">
        <v>181</v>
      </c>
      <c r="F83" s="371"/>
      <c r="G83" s="371"/>
      <c r="H83" s="372"/>
      <c r="J83" s="24" t="s">
        <v>104</v>
      </c>
      <c r="K83" s="24" t="s">
        <v>105</v>
      </c>
      <c r="L83" s="24" t="s">
        <v>105</v>
      </c>
      <c r="M83" s="24" t="s">
        <v>106</v>
      </c>
      <c r="O83" s="26" t="str">
        <f>+E83</f>
        <v>Grupo J</v>
      </c>
      <c r="P83" s="24" t="s">
        <v>104</v>
      </c>
      <c r="Q83" s="24" t="s">
        <v>105</v>
      </c>
      <c r="R83" s="24" t="s">
        <v>106</v>
      </c>
      <c r="S83" s="24" t="s">
        <v>107</v>
      </c>
      <c r="T83" s="24" t="s">
        <v>108</v>
      </c>
      <c r="U83" s="24" t="s">
        <v>109</v>
      </c>
      <c r="V83" s="24" t="s">
        <v>0</v>
      </c>
      <c r="W83" s="24"/>
      <c r="Y83" s="502" t="s">
        <v>181</v>
      </c>
      <c r="Z83" s="503"/>
      <c r="AA83" s="373" t="s">
        <v>110</v>
      </c>
      <c r="AB83" s="374" t="s">
        <v>104</v>
      </c>
      <c r="AC83" s="374" t="s">
        <v>105</v>
      </c>
      <c r="AD83" s="374" t="s">
        <v>106</v>
      </c>
      <c r="AE83" s="374" t="s">
        <v>107</v>
      </c>
      <c r="AF83" s="374" t="s">
        <v>108</v>
      </c>
      <c r="AG83" s="374" t="s">
        <v>109</v>
      </c>
      <c r="AH83" s="375" t="s">
        <v>0</v>
      </c>
      <c r="AI83" s="103"/>
      <c r="AL83" s="24" t="s">
        <v>0</v>
      </c>
      <c r="AM83" s="24" t="s">
        <v>111</v>
      </c>
      <c r="AN83" s="24"/>
      <c r="AO83" s="24"/>
      <c r="AP83" s="24"/>
      <c r="AQ83" s="24"/>
      <c r="AR83" s="24"/>
      <c r="AS83" s="24"/>
      <c r="AT83" s="24"/>
      <c r="AU83" s="24"/>
      <c r="AY83" s="24" t="s">
        <v>112</v>
      </c>
      <c r="AZ83" s="24" t="s">
        <v>0</v>
      </c>
      <c r="BA83" s="24" t="s">
        <v>113</v>
      </c>
      <c r="BB83" s="24"/>
      <c r="BC83" s="24"/>
      <c r="BD83" s="24"/>
      <c r="BK83" s="26"/>
      <c r="BL83" s="26" t="s">
        <v>110</v>
      </c>
      <c r="BM83" s="24" t="s">
        <v>104</v>
      </c>
      <c r="BN83" s="24" t="s">
        <v>105</v>
      </c>
      <c r="BO83" s="24" t="s">
        <v>106</v>
      </c>
      <c r="BP83" s="24" t="s">
        <v>107</v>
      </c>
      <c r="BQ83" s="24" t="s">
        <v>108</v>
      </c>
      <c r="BR83" s="24" t="s">
        <v>109</v>
      </c>
      <c r="BS83" s="24" t="s">
        <v>0</v>
      </c>
      <c r="BT83" s="24" t="s">
        <v>114</v>
      </c>
      <c r="BU83" s="24"/>
      <c r="BV83" s="24" t="s">
        <v>115</v>
      </c>
      <c r="BW83" s="24" t="s">
        <v>114</v>
      </c>
      <c r="CE83" s="26"/>
      <c r="CF83" s="26" t="s">
        <v>110</v>
      </c>
      <c r="CG83" s="24" t="s">
        <v>104</v>
      </c>
      <c r="CH83" s="24" t="s">
        <v>105</v>
      </c>
      <c r="CI83" s="24" t="s">
        <v>106</v>
      </c>
      <c r="CJ83" s="24" t="s">
        <v>107</v>
      </c>
      <c r="CK83" s="24" t="s">
        <v>108</v>
      </c>
      <c r="CL83" s="24" t="s">
        <v>109</v>
      </c>
      <c r="CM83" s="24" t="s">
        <v>0</v>
      </c>
      <c r="CN83" s="24" t="s">
        <v>114</v>
      </c>
      <c r="CO83" s="24"/>
      <c r="CP83" s="24" t="s">
        <v>115</v>
      </c>
      <c r="CQ83" s="24" t="s">
        <v>114</v>
      </c>
    </row>
    <row r="84" spans="1:102" x14ac:dyDescent="0.2">
      <c r="A84" s="38" t="s">
        <v>182</v>
      </c>
      <c r="B84" s="39">
        <v>46189</v>
      </c>
      <c r="C84" s="40"/>
      <c r="D84" s="41"/>
      <c r="E84" s="42" t="s">
        <v>50</v>
      </c>
      <c r="F84" s="43">
        <v>3</v>
      </c>
      <c r="G84" s="43">
        <v>0</v>
      </c>
      <c r="H84" s="44" t="s">
        <v>74</v>
      </c>
      <c r="J84" s="24" t="str">
        <f>IF(OR(ISBLANK(F84),ISBLANK(G84)),"",IF(F84&gt;G84,E84,IF(G84&gt;F84,H84,"")))</f>
        <v>Argentina</v>
      </c>
      <c r="K84" s="24" t="str">
        <f>IF(OR(ISBLANK(F84),ISBLANK(G84)),"",IF(F84=G84,E84,""))</f>
        <v/>
      </c>
      <c r="L84" s="24" t="str">
        <f>IF(OR(ISBLANK(F84),ISBLANK(G84)),"",IF(F84=G84,H84,""))</f>
        <v/>
      </c>
      <c r="M84" s="24" t="str">
        <f>IF(OR(ISBLANK(F84),ISBLANK(G84)),"",IF(F84&lt;G84,E84,IF(G84&lt;F84,H84,"")))</f>
        <v>Argelia</v>
      </c>
      <c r="O84" s="26" t="str">
        <f>+E84</f>
        <v>Argentina</v>
      </c>
      <c r="P84" s="24">
        <f>+COUNTIF(J84:J89,"="&amp;$O84)</f>
        <v>3</v>
      </c>
      <c r="Q84" s="24">
        <f>+COUNTIF(K84:L89,"="&amp;$O84)</f>
        <v>0</v>
      </c>
      <c r="R84" s="24">
        <f>+COUNTIF(M84:M89,"="&amp;$O84)</f>
        <v>0</v>
      </c>
      <c r="S84" s="24">
        <f>+T84-U84</f>
        <v>8</v>
      </c>
      <c r="T84" s="24">
        <f t="shared" ref="T84" si="394">+SUMIF(E84:E89,$O84,F84:F89)+SUMIF(H84:H89,$O84,G84:G89)</f>
        <v>9</v>
      </c>
      <c r="U84" s="24">
        <f t="shared" ref="U84" si="395">+SUMIF(E84:E89,$O84,G84:G89)+SUMIF(H84:H89,$O84,F84:F89)</f>
        <v>1</v>
      </c>
      <c r="V84" s="45">
        <f>+P84*3+Q84*1+BT84+CN84+S84/1000+T84/10000+AV84/1000000+ROW()/10000000</f>
        <v>9.0089083999999993</v>
      </c>
      <c r="W84" s="26" t="str">
        <f>+O84</f>
        <v>Argentina</v>
      </c>
      <c r="Y84" s="46" t="str">
        <f>+CONCATENATE("1",RIGHT(E83,1))</f>
        <v>1J</v>
      </c>
      <c r="Z84" s="47" t="str">
        <f>+VLOOKUP(AL84,V84:W87,2,FALSE)</f>
        <v>Argentina</v>
      </c>
      <c r="AA84" s="48">
        <f>+SUM(AB84:AD84)</f>
        <v>3</v>
      </c>
      <c r="AB84" s="49">
        <f>+_xlfn.XLOOKUP($Z84,$O:$O,P:P,"Error",0)</f>
        <v>3</v>
      </c>
      <c r="AC84" s="49">
        <f t="shared" ref="AC84:AC87" si="396">+_xlfn.XLOOKUP($Z84,$O:$O,Q:Q,"Error",0)</f>
        <v>0</v>
      </c>
      <c r="AD84" s="49">
        <f t="shared" ref="AD84:AD87" si="397">+_xlfn.XLOOKUP($Z84,$O:$O,R:R,"Error",0)</f>
        <v>0</v>
      </c>
      <c r="AE84" s="49">
        <f t="shared" ref="AE84:AE87" si="398">+_xlfn.XLOOKUP($Z84,$O:$O,S:S,"Error",0)</f>
        <v>8</v>
      </c>
      <c r="AF84" s="49">
        <f t="shared" ref="AF84:AF87" si="399">+_xlfn.XLOOKUP($Z84,$O:$O,T:T,"Error",0)</f>
        <v>9</v>
      </c>
      <c r="AG84" s="49">
        <f t="shared" ref="AG84:AH87" si="400">+_xlfn.XLOOKUP($Z84,$O:$O,U:U,"Error",0)</f>
        <v>1</v>
      </c>
      <c r="AH84" s="50">
        <f t="shared" si="400"/>
        <v>9.0089083999999993</v>
      </c>
      <c r="AI84" s="51"/>
      <c r="AL84" s="45">
        <f>+LARGE(V84:V87,1)</f>
        <v>9.0089083999999993</v>
      </c>
      <c r="AM84" s="52">
        <f>+(AH84-AL84)*100000000000000000000</f>
        <v>0</v>
      </c>
      <c r="AP84" s="53" t="str">
        <f>+O84</f>
        <v>Argentina</v>
      </c>
      <c r="AQ84" s="23">
        <f>+P84*3+Q84*1+BT84+CN84+S84/1000+T84/10000</f>
        <v>9.0088999999999988</v>
      </c>
      <c r="AR84" s="23" t="b">
        <f>+IF(OR(AQ84=AQ85,AQ84=AQ86,AQ84=AQ87),1)</f>
        <v>0</v>
      </c>
      <c r="AS84" s="54">
        <f>+AV84</f>
        <v>0</v>
      </c>
      <c r="AT84" s="54">
        <f>+IF(AND(AM88="si",OR(AR84=1,AR85=1,AR86=1)),1,0)</f>
        <v>0</v>
      </c>
      <c r="AU84" s="55" t="str">
        <f>+O84</f>
        <v>Argentina</v>
      </c>
      <c r="AV84" s="56"/>
      <c r="AX84" s="23" t="str">
        <f>+Y83</f>
        <v>Grupo J</v>
      </c>
      <c r="AY84" s="24" t="str">
        <f>+O84</f>
        <v>Argentina</v>
      </c>
      <c r="AZ84" s="29">
        <f>+P84*3+Q84</f>
        <v>9</v>
      </c>
      <c r="BA84" s="29">
        <f>+COUNTIFS($AX$1:AX84,AX84,$AZ$1:AZ84,AZ84)</f>
        <v>1</v>
      </c>
      <c r="BB84" s="29">
        <f>+IF(AZ84=BF82,ROW()*0.001,AZ84)</f>
        <v>9</v>
      </c>
      <c r="BC84" s="29">
        <f>+COUNTIFS($AX$1:AZ84,AZ84,$AZ$1:BB84,BB84)</f>
        <v>5</v>
      </c>
      <c r="BD84" s="29"/>
      <c r="BE84" s="25" t="str">
        <f>+IF(OR(BF84="-",BI84="-",BF82=0),"-","OK")</f>
        <v>-</v>
      </c>
      <c r="BF84" s="57" t="str">
        <f>+IF(_xlfn.XLOOKUP($E84,$AY:$AY,$AZ:$AZ,"-",0)=BF82,$E84,"-")</f>
        <v>-</v>
      </c>
      <c r="BG84" s="58">
        <f t="shared" ref="BG84:BG89" si="401">+$F84</f>
        <v>3</v>
      </c>
      <c r="BH84" s="59">
        <f t="shared" ref="BH84:BH89" si="402">+$G84</f>
        <v>0</v>
      </c>
      <c r="BI84" s="57" t="str">
        <f>+IF(_xlfn.XLOOKUP($H84,$AY:$AY,$AZ:$AZ,"-",0)=BF82,$H84,"-")</f>
        <v>-</v>
      </c>
      <c r="BK84" s="26" t="str">
        <f>+O84</f>
        <v>Argentina</v>
      </c>
      <c r="BL84" s="26">
        <f>+COUNTIFS($BE:$BE,"OK",$BI:$BI,BK84)+COUNTIFS($BE:$BE,"OK",$BF:$BF,BK84)</f>
        <v>0</v>
      </c>
      <c r="BM84" s="24">
        <f>+COUNTIFS(J:J,$BK84,$BE:$BE,"OK")</f>
        <v>0</v>
      </c>
      <c r="BN84" s="24">
        <f>+COUNTIFS(K:K,$BK84,$BE:$BE,"OK")+COUNTIFS(L:L,$BK84,$BE:$BE,"OK")</f>
        <v>0</v>
      </c>
      <c r="BO84" s="24">
        <f>+COUNTIFS(M:M,$BK84,$BE:$BE,"OK")</f>
        <v>0</v>
      </c>
      <c r="BP84" s="24">
        <f>+BQ84-BR84</f>
        <v>0</v>
      </c>
      <c r="BQ84" s="24">
        <f>+SUMIFS(BG:BG,$BE:$BE,"OK",BF:BF,$BK84)+SUMIFS(BH:BH,$BE:$BE,"OK",BI:BI,$BK84)</f>
        <v>0</v>
      </c>
      <c r="BR84" s="24">
        <f>+SUMIFS(BH:BH,$BE:$BE,"OK",BF:BF,$BK84)+SUMIFS(BG:BG,$BE:$BE,"OK",BI:BI,$BK84)</f>
        <v>0</v>
      </c>
      <c r="BS84" s="60">
        <f>+BM84*3+BN84*1+BP84/100+BQ84/10000</f>
        <v>0</v>
      </c>
      <c r="BT84" s="29">
        <f>+IF(BL84=0,0,_xlfn.XLOOKUP(BS84,BV84:BV87,BW84:BW87))</f>
        <v>0</v>
      </c>
      <c r="BU84" s="45"/>
      <c r="BV84" s="24">
        <f>+LARGE(BS84:BS87,1)</f>
        <v>0</v>
      </c>
      <c r="BW84" s="24">
        <f>+BX84/$BW$1</f>
        <v>0.3</v>
      </c>
      <c r="BX84" s="23">
        <v>3</v>
      </c>
      <c r="BY84" s="25" t="str">
        <f t="shared" ref="BY84:BY89" si="403">+IF(OR(BZ84="-",CC84="-"),"-","OK")</f>
        <v>-</v>
      </c>
      <c r="BZ84" s="57" t="str">
        <f>+IF(_xlfn.XLOOKUP($E84,$AY:$AY,$AZ:$AZ,"-",0)=BZ82,$E84,"-")</f>
        <v>Argentina</v>
      </c>
      <c r="CA84" s="58">
        <f t="shared" ref="CA84:CA89" si="404">+$F84</f>
        <v>3</v>
      </c>
      <c r="CB84" s="59">
        <f t="shared" ref="CB84:CB89" si="405">+$G84</f>
        <v>0</v>
      </c>
      <c r="CC84" s="57" t="str">
        <f>+IF(_xlfn.XLOOKUP($H84,$AY:$AY,$AZ:$AZ,"-",0)=BZ82,$H84,"-")</f>
        <v>-</v>
      </c>
      <c r="CE84" s="26" t="str">
        <f>+BK84</f>
        <v>Argentina</v>
      </c>
      <c r="CF84" s="26">
        <f>+COUNTIFS($BY:$BY,"OK",$CC:$CC,CE84)+COUNTIFS($BY:$BY,"OK",$BZ:$BZ,CE84)</f>
        <v>0</v>
      </c>
      <c r="CG84" s="24">
        <f>+COUNTIFS(P:P,$BK84,$BY:$BY,"OK")</f>
        <v>0</v>
      </c>
      <c r="CH84" s="24">
        <f>+COUNTIFS(K:K,$BK84,$BY:$BY,"OK")+COUNTIFS(L:L,$BK84,$BY:$BY,"OK")</f>
        <v>0</v>
      </c>
      <c r="CI84" s="24">
        <f>+COUNTIFS(M:M,$CE84,$BY:$BY,"OK")</f>
        <v>0</v>
      </c>
      <c r="CJ84" s="24">
        <f>+CK84-CL84</f>
        <v>0</v>
      </c>
      <c r="CK84" s="24">
        <f>+SUMIFS(CA:CA,$BY:$BY,"OK",BZ:BZ,$BK84)+SUMIFS(CB:CB,$BY:$BY,"OK",CC:CC,$BK84)</f>
        <v>0</v>
      </c>
      <c r="CL84" s="24">
        <f>+SUMIFS(CB:CB,$BY:$BY,"OK",BZ:BZ,$BK84)+SUMIFS(CA:CA,$BY:$BY,"OK",CC:CC,$BK84)</f>
        <v>0</v>
      </c>
      <c r="CM84" s="60">
        <f>+CG84*3+CH84*1+CJ84/100+CK84/10000</f>
        <v>0</v>
      </c>
      <c r="CN84" s="29">
        <f>+IF(CF84=0,0,_xlfn.XLOOKUP(CM84,CP84:CP87,CQ84:CQ87))</f>
        <v>0</v>
      </c>
      <c r="CO84" s="45"/>
      <c r="CP84" s="24">
        <f>+LARGE(CM84:CM87,1)</f>
        <v>0</v>
      </c>
      <c r="CQ84" s="24">
        <f>+CR84/$BW$1</f>
        <v>0.3</v>
      </c>
      <c r="CR84" s="23">
        <v>3</v>
      </c>
    </row>
    <row r="85" spans="1:102" x14ac:dyDescent="0.2">
      <c r="A85" s="38" t="s">
        <v>183</v>
      </c>
      <c r="B85" s="39">
        <v>46190</v>
      </c>
      <c r="C85" s="40"/>
      <c r="D85" s="41"/>
      <c r="E85" s="42" t="s">
        <v>72</v>
      </c>
      <c r="F85" s="43">
        <v>2</v>
      </c>
      <c r="G85" s="43">
        <v>0</v>
      </c>
      <c r="H85" s="44" t="s">
        <v>91</v>
      </c>
      <c r="J85" s="24" t="str">
        <f t="shared" ref="J85:J89" si="406">IF(OR(ISBLANK(F85),ISBLANK(G85)),"",IF(F85&gt;G85,E85,IF(G85&gt;F85,H85,"")))</f>
        <v>Austria</v>
      </c>
      <c r="K85" s="24" t="str">
        <f t="shared" ref="K85:K89" si="407">IF(OR(ISBLANK(F85),ISBLANK(G85)),"",IF(F85=G85,E85,""))</f>
        <v/>
      </c>
      <c r="L85" s="24" t="str">
        <f t="shared" ref="L85:L89" si="408">IF(OR(ISBLANK(F85),ISBLANK(G85)),"",IF(F85=G85,H85,""))</f>
        <v/>
      </c>
      <c r="M85" s="24" t="str">
        <f t="shared" ref="M85:M89" si="409">IF(OR(ISBLANK(F85),ISBLANK(G85)),"",IF(F85&lt;G85,E85,IF(G85&lt;F85,H85,"")))</f>
        <v>Jordania</v>
      </c>
      <c r="O85" s="26" t="str">
        <f>+H84</f>
        <v>Argelia</v>
      </c>
      <c r="P85" s="24">
        <f>+COUNTIF(J84:J89,"="&amp;$O85)</f>
        <v>1</v>
      </c>
      <c r="Q85" s="24">
        <f>+COUNTIF(K84:L89,"="&amp;$O85)</f>
        <v>0</v>
      </c>
      <c r="R85" s="24">
        <f>+COUNTIF(M84:M89,"="&amp;$O85)</f>
        <v>2</v>
      </c>
      <c r="S85" s="24">
        <f t="shared" ref="S85:S87" si="410">+T85-U85</f>
        <v>-2</v>
      </c>
      <c r="T85" s="24">
        <f t="shared" ref="T85" si="411">+SUMIF(E84:E89,$O85,F84:F89)+SUMIF(H84:H89,$O85,G84:G89)</f>
        <v>3</v>
      </c>
      <c r="U85" s="24">
        <f t="shared" ref="U85" si="412">+SUMIF(E84:E89,$O85,G84:G89)+SUMIF(H84:H89,$O85,F84:F89)</f>
        <v>5</v>
      </c>
      <c r="V85" s="45">
        <f>+P85*3+Q85*1+BT85+CN85+S85/1000+T85/10000+AV85/1000000+ROW()/10000000</f>
        <v>2.9983085000000003</v>
      </c>
      <c r="W85" s="26" t="str">
        <f t="shared" ref="W85:W87" si="413">+O85</f>
        <v>Argelia</v>
      </c>
      <c r="Y85" s="61" t="str">
        <f>+CONCATENATE("2",RIGHT(E83,1))</f>
        <v>2J</v>
      </c>
      <c r="Z85" s="62" t="str">
        <f>+VLOOKUP(AL85,V84:W87,2,FALSE)</f>
        <v>Austria</v>
      </c>
      <c r="AA85" s="63">
        <f t="shared" ref="AA85:AA87" si="414">+SUM(AB85:AD85)</f>
        <v>3</v>
      </c>
      <c r="AB85" s="49">
        <f t="shared" ref="AB85:AB87" si="415">+_xlfn.XLOOKUP($Z85,$O:$O,P:P,"Error",0)</f>
        <v>2</v>
      </c>
      <c r="AC85" s="49">
        <f t="shared" si="396"/>
        <v>0</v>
      </c>
      <c r="AD85" s="49">
        <f t="shared" si="397"/>
        <v>1</v>
      </c>
      <c r="AE85" s="49">
        <f t="shared" si="398"/>
        <v>2</v>
      </c>
      <c r="AF85" s="49">
        <f t="shared" si="399"/>
        <v>5</v>
      </c>
      <c r="AG85" s="49">
        <f t="shared" si="400"/>
        <v>3</v>
      </c>
      <c r="AH85" s="65">
        <f t="shared" si="400"/>
        <v>6.0025085999999996</v>
      </c>
      <c r="AI85" s="51"/>
      <c r="AL85" s="45">
        <f>+LARGE(V84:V87,2)</f>
        <v>6.0025085999999996</v>
      </c>
      <c r="AM85" s="52">
        <f>+(AH85-AL85)*100000000000000000000</f>
        <v>0</v>
      </c>
      <c r="AP85" s="53" t="str">
        <f>+O85</f>
        <v>Argelia</v>
      </c>
      <c r="AQ85" s="23">
        <f>+P85*3+Q85*1+BT85+CN85+S85/1000+T85/10000</f>
        <v>2.9983000000000004</v>
      </c>
      <c r="AR85" s="23" t="b">
        <f>+IF(OR(AQ85=AQ86,AQ85=AQ87),1)</f>
        <v>0</v>
      </c>
      <c r="AS85" s="54">
        <f t="shared" ref="AS85:AS87" si="416">+AV85</f>
        <v>0</v>
      </c>
      <c r="AT85" s="54">
        <f>+IF(AND(AM88="si",OR(AR84=1,AR85=1,AR86=1)),1,0)</f>
        <v>0</v>
      </c>
      <c r="AU85" s="66" t="str">
        <f t="shared" ref="AU85:AU87" si="417">+O85</f>
        <v>Argelia</v>
      </c>
      <c r="AV85" s="67"/>
      <c r="AX85" s="23" t="str">
        <f>+Y83</f>
        <v>Grupo J</v>
      </c>
      <c r="AY85" s="24" t="str">
        <f>+O85</f>
        <v>Argelia</v>
      </c>
      <c r="AZ85" s="29">
        <f>+P85*3+Q85</f>
        <v>3</v>
      </c>
      <c r="BA85" s="29">
        <f>+COUNTIFS($AX$1:AX85,AX85,$AZ$1:AZ85,AZ85)</f>
        <v>1</v>
      </c>
      <c r="BB85" s="29">
        <f>+IF(AZ85=BF82,ROW()*0.001,AZ85)</f>
        <v>3</v>
      </c>
      <c r="BC85" s="29">
        <f>+COUNTIFS($AX$1:AZ85,AZ85,$AZ$1:BB85,BB85)</f>
        <v>5</v>
      </c>
      <c r="BD85" s="29"/>
      <c r="BE85" s="25" t="str">
        <f>+IF(OR(BF85="-",BI85="-",BF82=0),"-","OK")</f>
        <v>-</v>
      </c>
      <c r="BF85" s="57" t="str">
        <f>+IF(_xlfn.XLOOKUP($E85,$AY:$AY,$AZ:$AZ,"-",0)=BF82,$E85,"-")</f>
        <v>-</v>
      </c>
      <c r="BG85" s="58">
        <f t="shared" si="401"/>
        <v>2</v>
      </c>
      <c r="BH85" s="59">
        <f t="shared" si="402"/>
        <v>0</v>
      </c>
      <c r="BI85" s="57" t="str">
        <f>+IF(_xlfn.XLOOKUP($H85,$AY:$AY,$AZ:$AZ,"-",0)=BF82,$H85,"-")</f>
        <v>-</v>
      </c>
      <c r="BK85" s="26" t="str">
        <f>+O85</f>
        <v>Argelia</v>
      </c>
      <c r="BL85" s="26">
        <f>+COUNTIFS($BE:$BE,"OK",$BI:$BI,BK85)+COUNTIFS($BE:$BE,"OK",$BF:$BF,BK85)</f>
        <v>0</v>
      </c>
      <c r="BM85" s="24">
        <f>+COUNTIFS(J:J,$BK85,$BE:$BE,"OK")</f>
        <v>0</v>
      </c>
      <c r="BN85" s="24">
        <f>+COUNTIFS(K:K,$BK85,$BE:$BE,"OK")+COUNTIFS(L:L,$BK85,$BE:$BE,"OK")</f>
        <v>0</v>
      </c>
      <c r="BO85" s="24">
        <f>+COUNTIFS(M:M,$BK85,$BE:$BE,"OK")</f>
        <v>0</v>
      </c>
      <c r="BP85" s="24">
        <f>+BQ85-BR85</f>
        <v>0</v>
      </c>
      <c r="BQ85" s="24">
        <f>+SUMIFS(BG:BG,$BE:$BE,"OK",BF:BF,$BK85)+SUMIFS(BH:BH,$BE:$BE,"OK",BI:BI,$BK85)</f>
        <v>0</v>
      </c>
      <c r="BR85" s="24">
        <f>+SUMIFS(BH:BH,$BE:$BE,"OK",BF:BF,$BK85)+SUMIFS(BG:BG,$BE:$BE,"OK",BI:BI,$BK85)</f>
        <v>0</v>
      </c>
      <c r="BS85" s="60">
        <f>+BM85*3+BN85*1+BP85/100+BQ85/10000</f>
        <v>0</v>
      </c>
      <c r="BT85" s="29">
        <f>+IF(BL85=0,0,_xlfn.XLOOKUP(BS85,BV84:BV87,BW84:BW87))</f>
        <v>0</v>
      </c>
      <c r="BU85" s="45"/>
      <c r="BV85" s="24">
        <f>+LARGE(BS84:BS87,2)</f>
        <v>0</v>
      </c>
      <c r="BW85" s="24">
        <f>+BX85/$BW$1</f>
        <v>0.2</v>
      </c>
      <c r="BX85" s="23">
        <v>2</v>
      </c>
      <c r="BY85" s="25" t="str">
        <f t="shared" si="403"/>
        <v>-</v>
      </c>
      <c r="BZ85" s="57" t="str">
        <f>+IF(_xlfn.XLOOKUP($E85,$AY:$AY,$AZ:$AZ,"-",0)=BZ82,$E85,"-")</f>
        <v>-</v>
      </c>
      <c r="CA85" s="58">
        <f t="shared" si="404"/>
        <v>2</v>
      </c>
      <c r="CB85" s="59">
        <f t="shared" si="405"/>
        <v>0</v>
      </c>
      <c r="CC85" s="57" t="str">
        <f>+IF(_xlfn.XLOOKUP($H85,$AY:$AY,$AZ:$AZ,"-",0)=BZ82,$H85,"-")</f>
        <v>-</v>
      </c>
      <c r="CE85" s="26" t="str">
        <f t="shared" ref="CE85:CE87" si="418">+BK85</f>
        <v>Argelia</v>
      </c>
      <c r="CF85" s="26">
        <f>+COUNTIFS($BY:$BY,"OK",$CC:$CC,CE85)+COUNTIFS($BY:$BY,"OK",$BZ:$BZ,CE85)</f>
        <v>0</v>
      </c>
      <c r="CG85" s="24">
        <f>+COUNTIFS(P:P,$BK85,$BY:$BY,"OK")</f>
        <v>0</v>
      </c>
      <c r="CH85" s="24">
        <f>+COUNTIFS(K:K,$BK85,$BY:$BY,"OK")+COUNTIFS(L:L,$BK85,$BY:$BY,"OK")</f>
        <v>0</v>
      </c>
      <c r="CI85" s="24">
        <f>+COUNTIFS(M:M,$CE85,$BY:$BY,"OK")</f>
        <v>0</v>
      </c>
      <c r="CJ85" s="24">
        <f>+CK85-CL85</f>
        <v>0</v>
      </c>
      <c r="CK85" s="24">
        <f>+SUMIFS(CA:CA,$BY:$BY,"OK",BZ:BZ,$BK85)+SUMIFS(CB:CB,$BY:$BY,"OK",CC:CC,$BK85)</f>
        <v>0</v>
      </c>
      <c r="CL85" s="24">
        <f>+SUMIFS(CB:CB,$BY:$BY,"OK",BZ:BZ,$BK85)+SUMIFS(CA:CA,$BY:$BY,"OK",CC:CC,$BK85)</f>
        <v>0</v>
      </c>
      <c r="CM85" s="60">
        <f>+CG85*3+CH85*1+CJ85/100+CK85/10000</f>
        <v>0</v>
      </c>
      <c r="CN85" s="29">
        <f>+IF(CF85=0,0,_xlfn.XLOOKUP(CM85,CP84:CP87,CQ84:CQ87))</f>
        <v>0</v>
      </c>
      <c r="CO85" s="45"/>
      <c r="CP85" s="24">
        <f>+LARGE(CM84:CM87,2)</f>
        <v>0</v>
      </c>
      <c r="CQ85" s="24">
        <f>+CR85/$BW$1</f>
        <v>0.2</v>
      </c>
      <c r="CR85" s="23">
        <v>2</v>
      </c>
    </row>
    <row r="86" spans="1:102" x14ac:dyDescent="0.2">
      <c r="A86" s="38" t="s">
        <v>184</v>
      </c>
      <c r="B86" s="39">
        <v>46195</v>
      </c>
      <c r="C86" s="40"/>
      <c r="D86" s="41"/>
      <c r="E86" s="42" t="s">
        <v>50</v>
      </c>
      <c r="F86" s="43">
        <v>2</v>
      </c>
      <c r="G86" s="43">
        <v>1</v>
      </c>
      <c r="H86" s="44" t="s">
        <v>72</v>
      </c>
      <c r="J86" s="24" t="str">
        <f t="shared" si="406"/>
        <v>Argentina</v>
      </c>
      <c r="K86" s="24" t="str">
        <f t="shared" si="407"/>
        <v/>
      </c>
      <c r="L86" s="24" t="str">
        <f t="shared" si="408"/>
        <v/>
      </c>
      <c r="M86" s="24" t="str">
        <f t="shared" si="409"/>
        <v>Austria</v>
      </c>
      <c r="O86" s="26" t="str">
        <f>+E85</f>
        <v>Austria</v>
      </c>
      <c r="P86" s="24">
        <f>+COUNTIF(J84:J89,"="&amp;$O86)</f>
        <v>2</v>
      </c>
      <c r="Q86" s="24">
        <f>+COUNTIF(K84:L89,"="&amp;$O86)</f>
        <v>0</v>
      </c>
      <c r="R86" s="24">
        <f>+COUNTIF(M84:M89,"="&amp;$O86)</f>
        <v>1</v>
      </c>
      <c r="S86" s="24">
        <f t="shared" si="410"/>
        <v>2</v>
      </c>
      <c r="T86" s="24">
        <f t="shared" ref="T86" si="419">+SUMIF(E84:E89,$O86,F84:F89)+SUMIF(H84:H89,$O86,G84:G89)</f>
        <v>5</v>
      </c>
      <c r="U86" s="24">
        <f t="shared" ref="U86" si="420">+SUMIF(E84:E89,$O86,G84:G89)+SUMIF(H84:H89,$O86,F84:F89)</f>
        <v>3</v>
      </c>
      <c r="V86" s="45">
        <f>+P86*3+Q86*1+BT86+CN86+S86/1000+T86/10000+AV86/1000000+ROW()/10000000</f>
        <v>6.0025085999999996</v>
      </c>
      <c r="W86" s="26" t="str">
        <f t="shared" si="413"/>
        <v>Austria</v>
      </c>
      <c r="Y86" s="68" t="str">
        <f>+CONCATENATE("3",RIGHT(E83,1))</f>
        <v>3J</v>
      </c>
      <c r="Z86" s="69" t="str">
        <f>+VLOOKUP(AL86,V84:W87,2,FALSE)</f>
        <v>Argelia</v>
      </c>
      <c r="AA86" s="70">
        <f t="shared" si="414"/>
        <v>3</v>
      </c>
      <c r="AB86" s="71">
        <f t="shared" si="415"/>
        <v>1</v>
      </c>
      <c r="AC86" s="71">
        <f t="shared" si="396"/>
        <v>0</v>
      </c>
      <c r="AD86" s="71">
        <f t="shared" si="397"/>
        <v>2</v>
      </c>
      <c r="AE86" s="71">
        <f t="shared" si="398"/>
        <v>-2</v>
      </c>
      <c r="AF86" s="71">
        <f t="shared" si="399"/>
        <v>3</v>
      </c>
      <c r="AG86" s="71">
        <f t="shared" si="400"/>
        <v>5</v>
      </c>
      <c r="AH86" s="72">
        <f t="shared" si="400"/>
        <v>2.9983085000000003</v>
      </c>
      <c r="AI86" s="73">
        <f>+(COUNTIFS($CV$2:$CV$13,Z86,$CX$2:$CX$13,"IN")+COUNTIFS($CV$2:$CV$13,Z86,$CW$2:$CW$13,"IN"))*IF(SUM(AA84:AA87)=12,1,0)</f>
        <v>1</v>
      </c>
      <c r="AL86" s="45">
        <f>+LARGE(V84:V87,3)</f>
        <v>2.9983085000000003</v>
      </c>
      <c r="AM86" s="52">
        <f>+(AH86-AL86)*100000000000000000000</f>
        <v>0</v>
      </c>
      <c r="AP86" s="53" t="str">
        <f>+O86</f>
        <v>Austria</v>
      </c>
      <c r="AQ86" s="23">
        <f>+P86*3+Q86*1+BT86+CN86+S86/1000+T86/10000</f>
        <v>6.0024999999999995</v>
      </c>
      <c r="AR86" s="23" t="b">
        <f>+IF(OR(AQ86=AQ87),1)</f>
        <v>0</v>
      </c>
      <c r="AS86" s="54">
        <f t="shared" si="416"/>
        <v>0</v>
      </c>
      <c r="AT86" s="54">
        <f>+IF(AND(AM88="si",OR(AR84=1,AR85=1,AR86=1)),1,0)</f>
        <v>0</v>
      </c>
      <c r="AU86" s="66" t="str">
        <f t="shared" si="417"/>
        <v>Austria</v>
      </c>
      <c r="AV86" s="67"/>
      <c r="AX86" s="23" t="str">
        <f>+Y83</f>
        <v>Grupo J</v>
      </c>
      <c r="AY86" s="24" t="str">
        <f>+O86</f>
        <v>Austria</v>
      </c>
      <c r="AZ86" s="29">
        <f>+P86*3+Q86</f>
        <v>6</v>
      </c>
      <c r="BA86" s="29">
        <f>+COUNTIFS($AX$1:AX86,AX86,$AZ$1:AZ86,AZ86)</f>
        <v>1</v>
      </c>
      <c r="BB86" s="29">
        <f>+IF(AZ86=BF82,ROW()*0.001,AZ86)</f>
        <v>6</v>
      </c>
      <c r="BC86" s="29">
        <f>+COUNTIFS($AX$1:AZ86,AZ86,$AZ$1:BB86,BB86)</f>
        <v>3</v>
      </c>
      <c r="BD86" s="29"/>
      <c r="BE86" s="25" t="str">
        <f>+IF(OR(BF86="-",BI86="-",BF82=0),"-","OK")</f>
        <v>-</v>
      </c>
      <c r="BF86" s="57" t="str">
        <f>+IF(_xlfn.XLOOKUP($E86,$AY:$AY,$AZ:$AZ,"-",0)=BF82,$E86,"-")</f>
        <v>-</v>
      </c>
      <c r="BG86" s="58">
        <f t="shared" si="401"/>
        <v>2</v>
      </c>
      <c r="BH86" s="59">
        <f t="shared" si="402"/>
        <v>1</v>
      </c>
      <c r="BI86" s="57" t="str">
        <f>+IF(_xlfn.XLOOKUP($H86,$AY:$AY,$AZ:$AZ,"-",0)=BF82,$H86,"-")</f>
        <v>-</v>
      </c>
      <c r="BK86" s="26" t="str">
        <f>+O86</f>
        <v>Austria</v>
      </c>
      <c r="BL86" s="26">
        <f>+COUNTIFS($BE:$BE,"OK",$BI:$BI,BK86)+COUNTIFS($BE:$BE,"OK",$BF:$BF,BK86)</f>
        <v>0</v>
      </c>
      <c r="BM86" s="24">
        <f>+COUNTIFS(J:J,$BK86,$BE:$BE,"OK")</f>
        <v>0</v>
      </c>
      <c r="BN86" s="24">
        <f>+COUNTIFS(K:K,$BK86,$BE:$BE,"OK")+COUNTIFS(L:L,$BK86,$BE:$BE,"OK")</f>
        <v>0</v>
      </c>
      <c r="BO86" s="24">
        <f>+COUNTIFS(M:M,$BK86,$BE:$BE,"OK")</f>
        <v>0</v>
      </c>
      <c r="BP86" s="24">
        <f>+BQ86-BR86</f>
        <v>0</v>
      </c>
      <c r="BQ86" s="24">
        <f>+SUMIFS(BG:BG,$BE:$BE,"OK",BF:BF,$BK86)+SUMIFS(BH:BH,$BE:$BE,"OK",BI:BI,$BK86)</f>
        <v>0</v>
      </c>
      <c r="BR86" s="24">
        <f>+SUMIFS(BH:BH,$BE:$BE,"OK",BF:BF,$BK86)+SUMIFS(BG:BG,$BE:$BE,"OK",BI:BI,$BK86)</f>
        <v>0</v>
      </c>
      <c r="BS86" s="60">
        <f>+BM86*3+BN86*1+BP86/100+BQ86/10000</f>
        <v>0</v>
      </c>
      <c r="BT86" s="29">
        <f>+IF(BL86=0,0,_xlfn.XLOOKUP(BS86,BV84:BV87,BW84:BW87))</f>
        <v>0</v>
      </c>
      <c r="BU86" s="45"/>
      <c r="BV86" s="24">
        <f>+LARGE(BS84:BS87,3)</f>
        <v>0</v>
      </c>
      <c r="BW86" s="24">
        <f>+BX86/$BW$1</f>
        <v>0.1</v>
      </c>
      <c r="BX86" s="23">
        <v>1</v>
      </c>
      <c r="BY86" s="25" t="str">
        <f t="shared" si="403"/>
        <v>-</v>
      </c>
      <c r="BZ86" s="57" t="str">
        <f>+IF(_xlfn.XLOOKUP($E86,$AY:$AY,$AZ:$AZ,"-",0)=BZ82,$E86,"-")</f>
        <v>Argentina</v>
      </c>
      <c r="CA86" s="58">
        <f t="shared" si="404"/>
        <v>2</v>
      </c>
      <c r="CB86" s="59">
        <f t="shared" si="405"/>
        <v>1</v>
      </c>
      <c r="CC86" s="57" t="str">
        <f>+IF(_xlfn.XLOOKUP($H86,$AY:$AY,$AZ:$AZ,"-",0)=BZ82,$H86,"-")</f>
        <v>-</v>
      </c>
      <c r="CE86" s="26" t="str">
        <f t="shared" si="418"/>
        <v>Austria</v>
      </c>
      <c r="CF86" s="26">
        <f>+COUNTIFS($BY:$BY,"OK",$CC:$CC,CE86)+COUNTIFS($BY:$BY,"OK",$BZ:$BZ,CE86)</f>
        <v>0</v>
      </c>
      <c r="CG86" s="24">
        <f>+COUNTIFS(P:P,$BK86,$BY:$BY,"OK")</f>
        <v>0</v>
      </c>
      <c r="CH86" s="24">
        <f>+COUNTIFS(K:K,$BK86,$BY:$BY,"OK")+COUNTIFS(L:L,$BK86,$BY:$BY,"OK")</f>
        <v>0</v>
      </c>
      <c r="CI86" s="24">
        <f>+COUNTIFS(M:M,$CE86,$BY:$BY,"OK")</f>
        <v>0</v>
      </c>
      <c r="CJ86" s="24">
        <f>+CK86-CL86</f>
        <v>0</v>
      </c>
      <c r="CK86" s="24">
        <f>+SUMIFS(CA:CA,$BY:$BY,"OK",BZ:BZ,$BK86)+SUMIFS(CB:CB,$BY:$BY,"OK",CC:CC,$BK86)</f>
        <v>0</v>
      </c>
      <c r="CL86" s="24">
        <f>+SUMIFS(CB:CB,$BY:$BY,"OK",BZ:BZ,$BK86)+SUMIFS(CA:CA,$BY:$BY,"OK",CC:CC,$BK86)</f>
        <v>0</v>
      </c>
      <c r="CM86" s="60">
        <f>+CG86*3+CH86*1+CJ86/100+CK86/10000</f>
        <v>0</v>
      </c>
      <c r="CN86" s="29">
        <f>+IF(CF86=0,0,_xlfn.XLOOKUP(CM86,CP84:CP87,CQ84:CQ87))</f>
        <v>0</v>
      </c>
      <c r="CO86" s="45"/>
      <c r="CP86" s="24">
        <f>+LARGE(CM84:CM87,3)</f>
        <v>0</v>
      </c>
      <c r="CQ86" s="24">
        <f>+CR86/$BW$1</f>
        <v>0.1</v>
      </c>
      <c r="CR86" s="23">
        <v>1</v>
      </c>
    </row>
    <row r="87" spans="1:102" x14ac:dyDescent="0.2">
      <c r="A87" s="38" t="s">
        <v>185</v>
      </c>
      <c r="B87" s="39">
        <v>46196</v>
      </c>
      <c r="C87" s="40"/>
      <c r="D87" s="41"/>
      <c r="E87" s="42" t="s">
        <v>91</v>
      </c>
      <c r="F87" s="43">
        <v>0</v>
      </c>
      <c r="G87" s="43">
        <v>2</v>
      </c>
      <c r="H87" s="44" t="s">
        <v>74</v>
      </c>
      <c r="J87" s="24" t="str">
        <f t="shared" si="406"/>
        <v>Argelia</v>
      </c>
      <c r="K87" s="24" t="str">
        <f t="shared" si="407"/>
        <v/>
      </c>
      <c r="L87" s="24" t="str">
        <f t="shared" si="408"/>
        <v/>
      </c>
      <c r="M87" s="24" t="str">
        <f t="shared" si="409"/>
        <v>Jordania</v>
      </c>
      <c r="O87" s="26" t="str">
        <f>+H85</f>
        <v>Jordania</v>
      </c>
      <c r="P87" s="24">
        <f>+COUNTIF(J84:J89,"="&amp;$O87)</f>
        <v>0</v>
      </c>
      <c r="Q87" s="24">
        <f>+COUNTIF(K84:L89,"="&amp;$O87)</f>
        <v>0</v>
      </c>
      <c r="R87" s="24">
        <f>+COUNTIF(M84:M89,"="&amp;$O87)</f>
        <v>3</v>
      </c>
      <c r="S87" s="24">
        <f t="shared" si="410"/>
        <v>-8</v>
      </c>
      <c r="T87" s="24">
        <f t="shared" ref="T87" si="421">+SUMIF(E84:E89,$O87,F84:F89)+SUMIF(H84:H89,$O87,G84:G89)</f>
        <v>0</v>
      </c>
      <c r="U87" s="24">
        <f t="shared" ref="U87" si="422">+SUMIF(E84:E89,$O87,G84:G89)+SUMIF(H84:H89,$O87,F84:F89)</f>
        <v>8</v>
      </c>
      <c r="V87" s="45">
        <f>+P87*3+Q87*1+BT87+CN87+S87/1000+T87/10000+AV87/1000000+ROW()/10000000</f>
        <v>-7.9912999999999998E-3</v>
      </c>
      <c r="W87" s="26" t="str">
        <f t="shared" si="413"/>
        <v>Jordania</v>
      </c>
      <c r="Y87" s="74" t="str">
        <f>+CONCATENATE("4",RIGHT(E83,1))</f>
        <v>4J</v>
      </c>
      <c r="Z87" s="75" t="str">
        <f>+VLOOKUP(AL87,V84:W87,2,FALSE)</f>
        <v>Jordania</v>
      </c>
      <c r="AA87" s="76">
        <f t="shared" si="414"/>
        <v>3</v>
      </c>
      <c r="AB87" s="77">
        <f t="shared" si="415"/>
        <v>0</v>
      </c>
      <c r="AC87" s="77">
        <f t="shared" si="396"/>
        <v>0</v>
      </c>
      <c r="AD87" s="77">
        <f t="shared" si="397"/>
        <v>3</v>
      </c>
      <c r="AE87" s="77">
        <f t="shared" si="398"/>
        <v>-8</v>
      </c>
      <c r="AF87" s="77">
        <f t="shared" si="399"/>
        <v>0</v>
      </c>
      <c r="AG87" s="77">
        <f t="shared" si="400"/>
        <v>8</v>
      </c>
      <c r="AH87" s="78">
        <f t="shared" si="400"/>
        <v>-7.9912999999999998E-3</v>
      </c>
      <c r="AI87" s="73"/>
      <c r="AL87" s="45">
        <f>+LARGE(V84:V87,4)</f>
        <v>-7.9912999999999998E-3</v>
      </c>
      <c r="AM87" s="52">
        <f>+(AH87-AL87)*100000000000000000000</f>
        <v>0</v>
      </c>
      <c r="AP87" s="53" t="str">
        <f>+O87</f>
        <v>Jordania</v>
      </c>
      <c r="AQ87" s="23">
        <f>+P87*3+Q87*1+BT87+CN87+S87/1000+T87/10000</f>
        <v>-8.0000000000000002E-3</v>
      </c>
      <c r="AS87" s="54">
        <f t="shared" si="416"/>
        <v>0</v>
      </c>
      <c r="AT87" s="54">
        <f>+IF(AND(AM88="si",OR(AR84=1,AR85=1,AR86=1)),1,0)</f>
        <v>0</v>
      </c>
      <c r="AU87" s="79" t="str">
        <f t="shared" si="417"/>
        <v>Jordania</v>
      </c>
      <c r="AV87" s="80"/>
      <c r="AX87" s="23" t="str">
        <f>+Y83</f>
        <v>Grupo J</v>
      </c>
      <c r="AY87" s="24" t="str">
        <f>+O87</f>
        <v>Jordania</v>
      </c>
      <c r="AZ87" s="29">
        <f>+P87*3+Q87</f>
        <v>0</v>
      </c>
      <c r="BA87" s="29">
        <f>+COUNTIFS($AX$1:AX87,AX87,$AZ$1:AZ87,AZ87)</f>
        <v>1</v>
      </c>
      <c r="BB87" s="29">
        <f>+IF(AZ87=BF82,ROW()*0.001,AZ87)</f>
        <v>0</v>
      </c>
      <c r="BC87" s="29">
        <f>+COUNTIFS($AX$1:AZ87,AZ87,$AZ$1:BB87,BB87)</f>
        <v>9</v>
      </c>
      <c r="BD87" s="29"/>
      <c r="BE87" s="25" t="str">
        <f>+IF(OR(BF87="-",BI87="-",BF82=0),"-","OK")</f>
        <v>-</v>
      </c>
      <c r="BF87" s="57" t="str">
        <f>+IF(_xlfn.XLOOKUP($E87,$AY:$AY,$AZ:$AZ,"-",0)=BF82,$E87,"-")</f>
        <v>-</v>
      </c>
      <c r="BG87" s="58">
        <f t="shared" si="401"/>
        <v>0</v>
      </c>
      <c r="BH87" s="59">
        <f t="shared" si="402"/>
        <v>2</v>
      </c>
      <c r="BI87" s="57" t="str">
        <f>+IF(_xlfn.XLOOKUP($H87,$AY:$AY,$AZ:$AZ,"-",0)=BF82,$H87,"-")</f>
        <v>-</v>
      </c>
      <c r="BK87" s="26" t="str">
        <f>+O87</f>
        <v>Jordania</v>
      </c>
      <c r="BL87" s="26">
        <f>+COUNTIFS($BE:$BE,"OK",$BI:$BI,BK87)+COUNTIFS($BE:$BE,"OK",$BF:$BF,BK87)</f>
        <v>0</v>
      </c>
      <c r="BM87" s="24">
        <f>+COUNTIFS(J:J,$BK87,$BE:$BE,"OK")</f>
        <v>0</v>
      </c>
      <c r="BN87" s="24">
        <f>+COUNTIFS(K:K,$BK87,$BE:$BE,"OK")+COUNTIFS(L:L,$BK87,$BE:$BE,"OK")</f>
        <v>0</v>
      </c>
      <c r="BO87" s="24">
        <f>+COUNTIFS(M:M,$BK87,$BE:$BE,"OK")</f>
        <v>0</v>
      </c>
      <c r="BP87" s="24">
        <f>+BQ87-BR87</f>
        <v>0</v>
      </c>
      <c r="BQ87" s="24">
        <f>+SUMIFS(BG:BG,$BE:$BE,"OK",BF:BF,$BK87)+SUMIFS(BH:BH,$BE:$BE,"OK",BI:BI,$BK87)</f>
        <v>0</v>
      </c>
      <c r="BR87" s="24">
        <f>+SUMIFS(BH:BH,$BE:$BE,"OK",BF:BF,$BK87)+SUMIFS(BG:BG,$BE:$BE,"OK",BI:BI,$BK87)</f>
        <v>0</v>
      </c>
      <c r="BS87" s="60">
        <f>+BM87*3+BN87*1+BP87/100+BQ87/10000</f>
        <v>0</v>
      </c>
      <c r="BT87" s="29">
        <f>+IF(BL87=0,0,_xlfn.XLOOKUP(BS87,BV84:BV87,BW84:BW87))</f>
        <v>0</v>
      </c>
      <c r="BU87" s="45"/>
      <c r="BV87" s="24">
        <f>+LARGE(BS84:BS87,4)</f>
        <v>0</v>
      </c>
      <c r="BW87" s="24">
        <f>+BX87/$BW$1</f>
        <v>0</v>
      </c>
      <c r="BX87" s="23">
        <v>0</v>
      </c>
      <c r="BY87" s="25" t="str">
        <f t="shared" si="403"/>
        <v>-</v>
      </c>
      <c r="BZ87" s="57" t="str">
        <f>+IF(_xlfn.XLOOKUP($E87,$AY:$AY,$AZ:$AZ,"-",0)=BZ82,$E87,"-")</f>
        <v>-</v>
      </c>
      <c r="CA87" s="58">
        <f t="shared" si="404"/>
        <v>0</v>
      </c>
      <c r="CB87" s="59">
        <f t="shared" si="405"/>
        <v>2</v>
      </c>
      <c r="CC87" s="57" t="str">
        <f>+IF(_xlfn.XLOOKUP($H87,$AY:$AY,$AZ:$AZ,"-",0)=BZ82,$H87,"-")</f>
        <v>-</v>
      </c>
      <c r="CE87" s="26" t="str">
        <f t="shared" si="418"/>
        <v>Jordania</v>
      </c>
      <c r="CF87" s="26">
        <f>+COUNTIFS($BY:$BY,"OK",$CC:$CC,CE87)+COUNTIFS($BY:$BY,"OK",$BZ:$BZ,CE87)</f>
        <v>0</v>
      </c>
      <c r="CG87" s="24">
        <f>+COUNTIFS(P:P,$BK87,$BY:$BY,"OK")</f>
        <v>0</v>
      </c>
      <c r="CH87" s="24">
        <f>+COUNTIFS(K:K,$BK87,$BY:$BY,"OK")+COUNTIFS(L:L,$BK87,$BY:$BY,"OK")</f>
        <v>0</v>
      </c>
      <c r="CI87" s="24">
        <f>+COUNTIFS(M:M,$CE87,$BY:$BY,"OK")</f>
        <v>0</v>
      </c>
      <c r="CJ87" s="24">
        <f>+CK87-CL87</f>
        <v>0</v>
      </c>
      <c r="CK87" s="24">
        <f>+SUMIFS(CA:CA,$BY:$BY,"OK",BZ:BZ,$BK87)+SUMIFS(CB:CB,$BY:$BY,"OK",CC:CC,$BK87)</f>
        <v>0</v>
      </c>
      <c r="CL87" s="24">
        <f>+SUMIFS(CB:CB,$BY:$BY,"OK",BZ:BZ,$BK87)+SUMIFS(CA:CA,$BY:$BY,"OK",CC:CC,$BK87)</f>
        <v>0</v>
      </c>
      <c r="CM87" s="60">
        <f>+CG87*3+CH87*1+CJ87/100+CK87/10000</f>
        <v>0</v>
      </c>
      <c r="CN87" s="29">
        <f>+IF(CF87=0,0,_xlfn.XLOOKUP(CM87,CP84:CP87,CQ84:CQ87))</f>
        <v>0</v>
      </c>
      <c r="CO87" s="45"/>
      <c r="CP87" s="24">
        <f>+LARGE(CM84:CM87,4)</f>
        <v>0</v>
      </c>
      <c r="CQ87" s="24">
        <f>+CR87/$BW$1</f>
        <v>0</v>
      </c>
      <c r="CR87" s="23">
        <v>0</v>
      </c>
    </row>
    <row r="88" spans="1:102" x14ac:dyDescent="0.2">
      <c r="A88" s="38" t="s">
        <v>186</v>
      </c>
      <c r="B88" s="39">
        <v>46200</v>
      </c>
      <c r="C88" s="40"/>
      <c r="D88" s="41"/>
      <c r="E88" s="42" t="s">
        <v>91</v>
      </c>
      <c r="F88" s="43">
        <v>0</v>
      </c>
      <c r="G88" s="43">
        <v>4</v>
      </c>
      <c r="H88" s="44" t="s">
        <v>50</v>
      </c>
      <c r="J88" s="24" t="str">
        <f t="shared" si="406"/>
        <v>Argentina</v>
      </c>
      <c r="K88" s="24" t="str">
        <f t="shared" si="407"/>
        <v/>
      </c>
      <c r="L88" s="24" t="str">
        <f t="shared" si="408"/>
        <v/>
      </c>
      <c r="M88" s="24" t="str">
        <f t="shared" si="409"/>
        <v>Jordania</v>
      </c>
      <c r="AL88" s="25" t="s">
        <v>122</v>
      </c>
      <c r="AM88" s="52" t="str">
        <f>+IF(SUM(AA84:AA87)=12,"si","no")</f>
        <v>si</v>
      </c>
      <c r="BE88" s="25" t="str">
        <f>+IF(OR(BF88="-",BI88="-",BF82=0),"-","OK")</f>
        <v>-</v>
      </c>
      <c r="BF88" s="57" t="str">
        <f>+IF(_xlfn.XLOOKUP($E88,$AY:$AY,$AZ:$AZ,"-",0)=BF82,$E88,"-")</f>
        <v>-</v>
      </c>
      <c r="BG88" s="58">
        <f t="shared" si="401"/>
        <v>0</v>
      </c>
      <c r="BH88" s="59">
        <f t="shared" si="402"/>
        <v>4</v>
      </c>
      <c r="BI88" s="57" t="str">
        <f>+IF(_xlfn.XLOOKUP($H88,$AY:$AY,$AZ:$AZ,"-",0)=BF82,$H88,"-")</f>
        <v>-</v>
      </c>
      <c r="BY88" s="25" t="str">
        <f t="shared" si="403"/>
        <v>-</v>
      </c>
      <c r="BZ88" s="57" t="str">
        <f>+IF(_xlfn.XLOOKUP($E88,$AY:$AY,$AZ:$AZ,"-",0)=BZ82,$E88,"-")</f>
        <v>-</v>
      </c>
      <c r="CA88" s="58">
        <f t="shared" si="404"/>
        <v>0</v>
      </c>
      <c r="CB88" s="59">
        <f t="shared" si="405"/>
        <v>4</v>
      </c>
      <c r="CC88" s="57" t="str">
        <f>+IF(_xlfn.XLOOKUP($H88,$AY:$AY,$AZ:$AZ,"-",0)=BZ82,$H88,"-")</f>
        <v>Argentina</v>
      </c>
    </row>
    <row r="89" spans="1:102" x14ac:dyDescent="0.2">
      <c r="A89" s="38" t="s">
        <v>187</v>
      </c>
      <c r="B89" s="39">
        <v>46200</v>
      </c>
      <c r="C89" s="40"/>
      <c r="D89" s="41"/>
      <c r="E89" s="42" t="s">
        <v>74</v>
      </c>
      <c r="F89" s="43">
        <v>1</v>
      </c>
      <c r="G89" s="43">
        <v>2</v>
      </c>
      <c r="H89" s="44" t="s">
        <v>72</v>
      </c>
      <c r="J89" s="24" t="str">
        <f t="shared" si="406"/>
        <v>Austria</v>
      </c>
      <c r="K89" s="24" t="str">
        <f t="shared" si="407"/>
        <v/>
      </c>
      <c r="L89" s="24" t="str">
        <f t="shared" si="408"/>
        <v/>
      </c>
      <c r="M89" s="24" t="str">
        <f t="shared" si="409"/>
        <v>Argelia</v>
      </c>
      <c r="Y89" s="53" t="s">
        <v>124</v>
      </c>
      <c r="AR89" s="23">
        <f>+IF(AND(AM88="si",OR(AR84=1,AR85=1,AR86=1)),1,0)</f>
        <v>0</v>
      </c>
      <c r="BE89" s="25" t="str">
        <f>+IF(OR(BF89="-",BI89="-",BF82=0),"-","OK")</f>
        <v>-</v>
      </c>
      <c r="BF89" s="57" t="str">
        <f>+IF(_xlfn.XLOOKUP($E89,$AY:$AY,$AZ:$AZ,"-",0)=BF82,$E89,"-")</f>
        <v>-</v>
      </c>
      <c r="BG89" s="58">
        <f t="shared" si="401"/>
        <v>1</v>
      </c>
      <c r="BH89" s="59">
        <f t="shared" si="402"/>
        <v>2</v>
      </c>
      <c r="BI89" s="57" t="str">
        <f>+IF(_xlfn.XLOOKUP($H89,$AY:$AY,$AZ:$AZ,"-",0)=BF82,$H89,"-")</f>
        <v>-</v>
      </c>
      <c r="BY89" s="25" t="str">
        <f t="shared" si="403"/>
        <v>-</v>
      </c>
      <c r="BZ89" s="57" t="str">
        <f>+IF(_xlfn.XLOOKUP($E89,$AY:$AY,$AZ:$AZ,"-",0)=BZ82,$E89,"-")</f>
        <v>-</v>
      </c>
      <c r="CA89" s="58">
        <f t="shared" si="404"/>
        <v>1</v>
      </c>
      <c r="CB89" s="59">
        <f t="shared" si="405"/>
        <v>2</v>
      </c>
      <c r="CC89" s="57" t="str">
        <f>+IF(_xlfn.XLOOKUP($H89,$AY:$AY,$AZ:$AZ,"-",0)=BZ82,$H89,"-")</f>
        <v>-</v>
      </c>
    </row>
    <row r="90" spans="1:102" s="83" customFormat="1" x14ac:dyDescent="0.2">
      <c r="A90" s="81"/>
      <c r="B90" s="82"/>
      <c r="C90" s="81"/>
      <c r="E90" s="84"/>
      <c r="F90" s="81"/>
      <c r="G90" s="81"/>
      <c r="H90" s="85"/>
      <c r="J90" s="81"/>
      <c r="K90" s="81"/>
      <c r="L90" s="81"/>
      <c r="M90" s="81"/>
      <c r="AV90" s="86"/>
      <c r="AW90" s="86"/>
      <c r="BE90" s="81"/>
      <c r="CW90" s="81"/>
      <c r="CX90" s="81"/>
    </row>
    <row r="91" spans="1:102" x14ac:dyDescent="0.2">
      <c r="A91" s="23"/>
      <c r="BF91" s="28">
        <f>+IF(BA93&gt;1,AZ93,IF(BA94&gt;1,AZ94,IF(BA95&gt;1,AZ95,IF(BA96&gt;1,AZ96,"-"))))</f>
        <v>1</v>
      </c>
      <c r="BW91" s="23">
        <v>10</v>
      </c>
      <c r="BZ91" s="29">
        <f>+IF(BC93&gt;1,BB93,IF(BC94&gt;1,BB94,IF(BC95&gt;1,BB95,IF(BC96&gt;1,BB96,"-"))))</f>
        <v>9</v>
      </c>
      <c r="CQ91" s="23">
        <v>10</v>
      </c>
    </row>
    <row r="92" spans="1:102" x14ac:dyDescent="0.2">
      <c r="A92" s="96" t="s">
        <v>100</v>
      </c>
      <c r="B92" s="97" t="s">
        <v>101</v>
      </c>
      <c r="C92" s="97" t="s">
        <v>102</v>
      </c>
      <c r="D92" s="98"/>
      <c r="E92" s="155" t="s">
        <v>188</v>
      </c>
      <c r="F92" s="156"/>
      <c r="G92" s="156"/>
      <c r="H92" s="157"/>
      <c r="J92" s="24" t="s">
        <v>104</v>
      </c>
      <c r="K92" s="24" t="s">
        <v>105</v>
      </c>
      <c r="L92" s="24" t="s">
        <v>105</v>
      </c>
      <c r="M92" s="24" t="s">
        <v>106</v>
      </c>
      <c r="O92" s="26" t="str">
        <f>+E92</f>
        <v>Grupo K</v>
      </c>
      <c r="P92" s="24" t="s">
        <v>104</v>
      </c>
      <c r="Q92" s="24" t="s">
        <v>105</v>
      </c>
      <c r="R92" s="24" t="s">
        <v>106</v>
      </c>
      <c r="S92" s="24" t="s">
        <v>107</v>
      </c>
      <c r="T92" s="24" t="s">
        <v>108</v>
      </c>
      <c r="U92" s="24" t="s">
        <v>109</v>
      </c>
      <c r="V92" s="24" t="s">
        <v>0</v>
      </c>
      <c r="W92" s="24"/>
      <c r="Y92" s="504" t="s">
        <v>188</v>
      </c>
      <c r="Z92" s="505"/>
      <c r="AA92" s="99" t="s">
        <v>110</v>
      </c>
      <c r="AB92" s="100" t="s">
        <v>104</v>
      </c>
      <c r="AC92" s="100" t="s">
        <v>105</v>
      </c>
      <c r="AD92" s="100" t="s">
        <v>106</v>
      </c>
      <c r="AE92" s="100" t="s">
        <v>107</v>
      </c>
      <c r="AF92" s="100" t="s">
        <v>108</v>
      </c>
      <c r="AG92" s="100" t="s">
        <v>109</v>
      </c>
      <c r="AH92" s="101" t="s">
        <v>0</v>
      </c>
      <c r="AI92" s="103"/>
      <c r="AL92" s="24" t="s">
        <v>0</v>
      </c>
      <c r="AM92" s="24" t="s">
        <v>111</v>
      </c>
      <c r="AN92" s="24"/>
      <c r="AO92" s="24"/>
      <c r="AP92" s="24"/>
      <c r="AQ92" s="24"/>
      <c r="AR92" s="24"/>
      <c r="AS92" s="24"/>
      <c r="AT92" s="24"/>
      <c r="AU92" s="24"/>
      <c r="AY92" s="24" t="s">
        <v>112</v>
      </c>
      <c r="AZ92" s="24" t="s">
        <v>0</v>
      </c>
      <c r="BA92" s="24" t="s">
        <v>113</v>
      </c>
      <c r="BB92" s="24"/>
      <c r="BC92" s="24"/>
      <c r="BD92" s="24"/>
      <c r="BK92" s="26"/>
      <c r="BL92" s="26" t="s">
        <v>110</v>
      </c>
      <c r="BM92" s="24" t="s">
        <v>104</v>
      </c>
      <c r="BN92" s="24" t="s">
        <v>105</v>
      </c>
      <c r="BO92" s="24" t="s">
        <v>106</v>
      </c>
      <c r="BP92" s="24" t="s">
        <v>107</v>
      </c>
      <c r="BQ92" s="24" t="s">
        <v>108</v>
      </c>
      <c r="BR92" s="24" t="s">
        <v>109</v>
      </c>
      <c r="BS92" s="24" t="s">
        <v>0</v>
      </c>
      <c r="BT92" s="24" t="s">
        <v>114</v>
      </c>
      <c r="BU92" s="24"/>
      <c r="BV92" s="24" t="s">
        <v>115</v>
      </c>
      <c r="BW92" s="24" t="s">
        <v>114</v>
      </c>
      <c r="CE92" s="26"/>
      <c r="CF92" s="26" t="s">
        <v>110</v>
      </c>
      <c r="CG92" s="24" t="s">
        <v>104</v>
      </c>
      <c r="CH92" s="24" t="s">
        <v>105</v>
      </c>
      <c r="CI92" s="24" t="s">
        <v>106</v>
      </c>
      <c r="CJ92" s="24" t="s">
        <v>107</v>
      </c>
      <c r="CK92" s="24" t="s">
        <v>108</v>
      </c>
      <c r="CL92" s="24" t="s">
        <v>109</v>
      </c>
      <c r="CM92" s="24" t="s">
        <v>0</v>
      </c>
      <c r="CN92" s="24" t="s">
        <v>114</v>
      </c>
      <c r="CO92" s="24"/>
      <c r="CP92" s="24" t="s">
        <v>115</v>
      </c>
      <c r="CQ92" s="24" t="s">
        <v>114</v>
      </c>
    </row>
    <row r="93" spans="1:102" x14ac:dyDescent="0.2">
      <c r="A93" s="38" t="s">
        <v>189</v>
      </c>
      <c r="B93" s="39">
        <v>46190</v>
      </c>
      <c r="C93" s="40"/>
      <c r="D93" s="41"/>
      <c r="E93" s="42" t="s">
        <v>52</v>
      </c>
      <c r="F93" s="43">
        <v>3</v>
      </c>
      <c r="G93" s="43">
        <v>0</v>
      </c>
      <c r="H93" s="44" t="s">
        <v>87</v>
      </c>
      <c r="J93" s="24" t="str">
        <f>IF(OR(ISBLANK(F93),ISBLANK(G93)),"",IF(F93&gt;G93,E93,IF(G93&gt;F93,H93,"")))</f>
        <v>Portugal</v>
      </c>
      <c r="K93" s="24" t="str">
        <f>IF(OR(ISBLANK(F93),ISBLANK(G93)),"",IF(F93=G93,E93,""))</f>
        <v/>
      </c>
      <c r="L93" s="24" t="str">
        <f>IF(OR(ISBLANK(F93),ISBLANK(G93)),"",IF(F93=G93,H93,""))</f>
        <v/>
      </c>
      <c r="M93" s="24" t="str">
        <f>IF(OR(ISBLANK(F93),ISBLANK(G93)),"",IF(F93&lt;G93,E93,IF(G93&lt;F93,H93,"")))</f>
        <v>Congo</v>
      </c>
      <c r="O93" s="26" t="str">
        <f>+E93</f>
        <v>Portugal</v>
      </c>
      <c r="P93" s="24">
        <f>+COUNTIF(J93:J98,"="&amp;$O93)</f>
        <v>3</v>
      </c>
      <c r="Q93" s="24">
        <f>+COUNTIF(K93:L98,"="&amp;$O93)</f>
        <v>0</v>
      </c>
      <c r="R93" s="24">
        <f>+COUNTIF(M93:M98,"="&amp;$O93)</f>
        <v>0</v>
      </c>
      <c r="S93" s="24">
        <f>+T93-U93</f>
        <v>8</v>
      </c>
      <c r="T93" s="24">
        <f t="shared" ref="T93" si="423">+SUMIF(E93:E98,$O93,F93:F98)+SUMIF(H93:H98,$O93,G93:G98)</f>
        <v>9</v>
      </c>
      <c r="U93" s="24">
        <f t="shared" ref="U93" si="424">+SUMIF(E93:E98,$O93,G93:G98)+SUMIF(H93:H98,$O93,F93:F98)</f>
        <v>1</v>
      </c>
      <c r="V93" s="45">
        <f>+P93*3+Q93*1+BT93+CN93+S93/1000+T93/10000+AV93/1000000+ROW()/10000000</f>
        <v>9.0089092999999991</v>
      </c>
      <c r="W93" s="26" t="str">
        <f>+O93</f>
        <v>Portugal</v>
      </c>
      <c r="Y93" s="46" t="str">
        <f>+CONCATENATE("1",RIGHT(E92,1))</f>
        <v>1K</v>
      </c>
      <c r="Z93" s="47" t="str">
        <f>+VLOOKUP(AL93,V93:W96,2,FALSE)</f>
        <v>Portugal</v>
      </c>
      <c r="AA93" s="48">
        <f>+SUM(AB93:AD93)</f>
        <v>3</v>
      </c>
      <c r="AB93" s="49">
        <f>+_xlfn.XLOOKUP($Z93,$O:$O,P:P,"Error",0)</f>
        <v>3</v>
      </c>
      <c r="AC93" s="49">
        <f t="shared" ref="AC93:AC96" si="425">+_xlfn.XLOOKUP($Z93,$O:$O,Q:Q,"Error",0)</f>
        <v>0</v>
      </c>
      <c r="AD93" s="49">
        <f t="shared" ref="AD93:AD96" si="426">+_xlfn.XLOOKUP($Z93,$O:$O,R:R,"Error",0)</f>
        <v>0</v>
      </c>
      <c r="AE93" s="49">
        <f t="shared" ref="AE93:AE96" si="427">+_xlfn.XLOOKUP($Z93,$O:$O,S:S,"Error",0)</f>
        <v>8</v>
      </c>
      <c r="AF93" s="49">
        <f t="shared" ref="AF93:AF96" si="428">+_xlfn.XLOOKUP($Z93,$O:$O,T:T,"Error",0)</f>
        <v>9</v>
      </c>
      <c r="AG93" s="49">
        <f t="shared" ref="AG93:AH96" si="429">+_xlfn.XLOOKUP($Z93,$O:$O,U:U,"Error",0)</f>
        <v>1</v>
      </c>
      <c r="AH93" s="50">
        <f t="shared" si="429"/>
        <v>9.0089092999999991</v>
      </c>
      <c r="AI93" s="51"/>
      <c r="AL93" s="45">
        <f>+LARGE(V93:V96,1)</f>
        <v>9.0089092999999991</v>
      </c>
      <c r="AM93" s="52">
        <f>+(AH93-AL93)*100000000000000000000</f>
        <v>0</v>
      </c>
      <c r="AP93" s="53" t="str">
        <f>+O93</f>
        <v>Portugal</v>
      </c>
      <c r="AQ93" s="23">
        <f>+P93*3+Q93*1+BT93+CN93+S93/1000+T93/10000</f>
        <v>9.0088999999999988</v>
      </c>
      <c r="AR93" s="23" t="b">
        <f>+IF(OR(AQ93=AQ94,AQ93=AQ95,AQ93=AQ96),1)</f>
        <v>0</v>
      </c>
      <c r="AS93" s="54">
        <f>+AV93</f>
        <v>0</v>
      </c>
      <c r="AT93" s="54">
        <f>+IF(AND(AM97="si",OR(AR93=1,AR94=1,AR95=1)),1,0)</f>
        <v>0</v>
      </c>
      <c r="AU93" s="55" t="str">
        <f>+O93</f>
        <v>Portugal</v>
      </c>
      <c r="AV93" s="56"/>
      <c r="AX93" s="23" t="str">
        <f>+Y92</f>
        <v>Grupo K</v>
      </c>
      <c r="AY93" s="24" t="str">
        <f>+O93</f>
        <v>Portugal</v>
      </c>
      <c r="AZ93" s="29">
        <f>+P93*3+Q93</f>
        <v>9</v>
      </c>
      <c r="BA93" s="29">
        <f>+COUNTIFS($AX$1:AX93,AX93,$AZ$1:AZ93,AZ93)</f>
        <v>1</v>
      </c>
      <c r="BB93" s="29">
        <f>+IF(AZ93=BF91,ROW()*0.001,AZ93)</f>
        <v>9</v>
      </c>
      <c r="BC93" s="29">
        <f>+COUNTIFS($AX$1:AZ93,AZ93,$AZ$1:BB93,BB93)</f>
        <v>6</v>
      </c>
      <c r="BD93" s="29"/>
      <c r="BE93" s="25" t="str">
        <f>+IF(OR(BF93="-",BI93="-",BF91=0),"-","OK")</f>
        <v>-</v>
      </c>
      <c r="BF93" s="57" t="str">
        <f>+IF(_xlfn.XLOOKUP($E93,$AY:$AY,$AZ:$AZ,"-",0)=BF91,$E93,"-")</f>
        <v>-</v>
      </c>
      <c r="BG93" s="58">
        <f t="shared" ref="BG93:BG98" si="430">+$F93</f>
        <v>3</v>
      </c>
      <c r="BH93" s="59">
        <f t="shared" ref="BH93:BH98" si="431">+$G93</f>
        <v>0</v>
      </c>
      <c r="BI93" s="57" t="str">
        <f>+IF(_xlfn.XLOOKUP($H93,$AY:$AY,$AZ:$AZ,"-",0)=BF91,$H93,"-")</f>
        <v>Congo</v>
      </c>
      <c r="BK93" s="26" t="str">
        <f>+O93</f>
        <v>Portugal</v>
      </c>
      <c r="BL93" s="26">
        <f>+COUNTIFS($BE:$BE,"OK",$BI:$BI,BK93)+COUNTIFS($BE:$BE,"OK",$BF:$BF,BK93)</f>
        <v>0</v>
      </c>
      <c r="BM93" s="24">
        <f>+COUNTIFS(J:J,$BK93,$BE:$BE,"OK")</f>
        <v>0</v>
      </c>
      <c r="BN93" s="24">
        <f>+COUNTIFS(K:K,$BK93,$BE:$BE,"OK")+COUNTIFS(L:L,$BK93,$BE:$BE,"OK")</f>
        <v>0</v>
      </c>
      <c r="BO93" s="24">
        <f>+COUNTIFS(M:M,$BK93,$BE:$BE,"OK")</f>
        <v>0</v>
      </c>
      <c r="BP93" s="24">
        <f>+BQ93-BR93</f>
        <v>0</v>
      </c>
      <c r="BQ93" s="24">
        <f>+SUMIFS(BG:BG,$BE:$BE,"OK",BF:BF,$BK93)+SUMIFS(BH:BH,$BE:$BE,"OK",BI:BI,$BK93)</f>
        <v>0</v>
      </c>
      <c r="BR93" s="24">
        <f>+SUMIFS(BH:BH,$BE:$BE,"OK",BF:BF,$BK93)+SUMIFS(BG:BG,$BE:$BE,"OK",BI:BI,$BK93)</f>
        <v>0</v>
      </c>
      <c r="BS93" s="60">
        <f>+BM93*3+BN93*1+BP93/100+BQ93/10000</f>
        <v>0</v>
      </c>
      <c r="BT93" s="29">
        <f>+IF(BL93=0,0,_xlfn.XLOOKUP(BS93,BV93:BV96,BW93:BW96))</f>
        <v>0</v>
      </c>
      <c r="BU93" s="45"/>
      <c r="BV93" s="24">
        <f>+LARGE(BS93:BS96,1)</f>
        <v>1.0001</v>
      </c>
      <c r="BW93" s="24">
        <f>+BX93/$BW$1</f>
        <v>0.3</v>
      </c>
      <c r="BX93" s="23">
        <v>3</v>
      </c>
      <c r="BY93" s="25" t="str">
        <f t="shared" ref="BY93:BY98" si="432">+IF(OR(BZ93="-",CC93="-"),"-","OK")</f>
        <v>-</v>
      </c>
      <c r="BZ93" s="57" t="str">
        <f>+IF(_xlfn.XLOOKUP($E93,$AY:$AY,$AZ:$AZ,"-",0)=BZ91,$E93,"-")</f>
        <v>Portugal</v>
      </c>
      <c r="CA93" s="58">
        <f t="shared" ref="CA93:CA98" si="433">+$F93</f>
        <v>3</v>
      </c>
      <c r="CB93" s="59">
        <f t="shared" ref="CB93:CB98" si="434">+$G93</f>
        <v>0</v>
      </c>
      <c r="CC93" s="57" t="str">
        <f>+IF(_xlfn.XLOOKUP($H93,$AY:$AY,$AZ:$AZ,"-",0)=BZ91,$H93,"-")</f>
        <v>-</v>
      </c>
      <c r="CE93" s="26" t="str">
        <f>+BK93</f>
        <v>Portugal</v>
      </c>
      <c r="CF93" s="26">
        <f>+COUNTIFS($BY:$BY,"OK",$CC:$CC,CE93)+COUNTIFS($BY:$BY,"OK",$BZ:$BZ,CE93)</f>
        <v>0</v>
      </c>
      <c r="CG93" s="24">
        <f>+COUNTIFS(P:P,$BK93,$BY:$BY,"OK")</f>
        <v>0</v>
      </c>
      <c r="CH93" s="24">
        <f>+COUNTIFS(K:K,$BK93,$BY:$BY,"OK")+COUNTIFS(L:L,$BK93,$BY:$BY,"OK")</f>
        <v>0</v>
      </c>
      <c r="CI93" s="24">
        <f>+COUNTIFS(M:M,$CE93,$BY:$BY,"OK")</f>
        <v>0</v>
      </c>
      <c r="CJ93" s="24">
        <f>+CK93-CL93</f>
        <v>0</v>
      </c>
      <c r="CK93" s="24">
        <f>+SUMIFS(CA:CA,$BY:$BY,"OK",BZ:BZ,$BK93)+SUMIFS(CB:CB,$BY:$BY,"OK",CC:CC,$BK93)</f>
        <v>0</v>
      </c>
      <c r="CL93" s="24">
        <f>+SUMIFS(CB:CB,$BY:$BY,"OK",BZ:BZ,$BK93)+SUMIFS(CA:CA,$BY:$BY,"OK",CC:CC,$BK93)</f>
        <v>0</v>
      </c>
      <c r="CM93" s="60">
        <f>+CG93*3+CH93*1+CJ93/100+CK93/10000</f>
        <v>0</v>
      </c>
      <c r="CN93" s="29">
        <f>+IF(CF93=0,0,_xlfn.XLOOKUP(CM93,CP93:CP96,CQ93:CQ96))</f>
        <v>0</v>
      </c>
      <c r="CO93" s="45"/>
      <c r="CP93" s="24">
        <f>+LARGE(CM93:CM96,1)</f>
        <v>0</v>
      </c>
      <c r="CQ93" s="24">
        <f>+CR93/$BW$1</f>
        <v>0.3</v>
      </c>
      <c r="CR93" s="23">
        <v>3</v>
      </c>
    </row>
    <row r="94" spans="1:102" x14ac:dyDescent="0.2">
      <c r="A94" s="38" t="s">
        <v>190</v>
      </c>
      <c r="B94" s="39">
        <v>46190</v>
      </c>
      <c r="C94" s="40"/>
      <c r="D94" s="41"/>
      <c r="E94" s="42" t="s">
        <v>88</v>
      </c>
      <c r="F94" s="43">
        <v>0</v>
      </c>
      <c r="G94" s="43">
        <v>2</v>
      </c>
      <c r="H94" s="44" t="s">
        <v>60</v>
      </c>
      <c r="J94" s="24" t="str">
        <f t="shared" ref="J94:J98" si="435">IF(OR(ISBLANK(F94),ISBLANK(G94)),"",IF(F94&gt;G94,E94,IF(G94&gt;F94,H94,"")))</f>
        <v>Colombia</v>
      </c>
      <c r="K94" s="24" t="str">
        <f t="shared" ref="K94:K98" si="436">IF(OR(ISBLANK(F94),ISBLANK(G94)),"",IF(F94=G94,E94,""))</f>
        <v/>
      </c>
      <c r="L94" s="24" t="str">
        <f t="shared" ref="L94:L98" si="437">IF(OR(ISBLANK(F94),ISBLANK(G94)),"",IF(F94=G94,H94,""))</f>
        <v/>
      </c>
      <c r="M94" s="24" t="str">
        <f t="shared" ref="M94:M98" si="438">IF(OR(ISBLANK(F94),ISBLANK(G94)),"",IF(F94&lt;G94,E94,IF(G94&lt;F94,H94,"")))</f>
        <v>Uzbekistan</v>
      </c>
      <c r="O94" s="26" t="str">
        <f>+H93</f>
        <v>Congo</v>
      </c>
      <c r="P94" s="24">
        <f>+COUNTIF(J93:J98,"="&amp;$O94)</f>
        <v>0</v>
      </c>
      <c r="Q94" s="24">
        <f>+COUNTIF(K93:L98,"="&amp;$O94)</f>
        <v>1</v>
      </c>
      <c r="R94" s="24">
        <f>+COUNTIF(M93:M98,"="&amp;$O94)</f>
        <v>2</v>
      </c>
      <c r="S94" s="24">
        <f t="shared" ref="S94:S96" si="439">+T94-U94</f>
        <v>-5</v>
      </c>
      <c r="T94" s="24">
        <f t="shared" ref="T94" si="440">+SUMIF(E93:E98,$O94,F93:F98)+SUMIF(H93:H98,$O94,G93:G98)</f>
        <v>1</v>
      </c>
      <c r="U94" s="24">
        <f t="shared" ref="U94" si="441">+SUMIF(E93:E98,$O94,G93:G98)+SUMIF(H93:H98,$O94,F93:F98)</f>
        <v>6</v>
      </c>
      <c r="V94" s="45">
        <f t="shared" ref="V94:V96" si="442">+P94*3+Q94*1+BT94+CN94+S94/1000+T94/10000+AV94/1000000+ROW()/10000000</f>
        <v>1.2951094000000001</v>
      </c>
      <c r="W94" s="26" t="str">
        <f t="shared" ref="W94:W96" si="443">+O94</f>
        <v>Congo</v>
      </c>
      <c r="Y94" s="61" t="str">
        <f>+CONCATENATE("2",RIGHT(E92,1))</f>
        <v>2K</v>
      </c>
      <c r="Z94" s="62" t="str">
        <f>+VLOOKUP(AL94,V93:W96,2,FALSE)</f>
        <v>Colombia</v>
      </c>
      <c r="AA94" s="63">
        <f t="shared" ref="AA94:AA96" si="444">+SUM(AB94:AD94)</f>
        <v>3</v>
      </c>
      <c r="AB94" s="49">
        <f t="shared" ref="AB94:AB96" si="445">+_xlfn.XLOOKUP($Z94,$O:$O,P:P,"Error",0)</f>
        <v>2</v>
      </c>
      <c r="AC94" s="49">
        <f t="shared" si="425"/>
        <v>0</v>
      </c>
      <c r="AD94" s="49">
        <f t="shared" si="426"/>
        <v>1</v>
      </c>
      <c r="AE94" s="49">
        <f t="shared" si="427"/>
        <v>3</v>
      </c>
      <c r="AF94" s="49">
        <f t="shared" si="428"/>
        <v>5</v>
      </c>
      <c r="AG94" s="49">
        <f t="shared" si="429"/>
        <v>2</v>
      </c>
      <c r="AH94" s="65">
        <f t="shared" si="429"/>
        <v>6.0035096000000001</v>
      </c>
      <c r="AI94" s="51"/>
      <c r="AL94" s="45">
        <f>+LARGE(V93:V96,2)</f>
        <v>6.0035096000000001</v>
      </c>
      <c r="AM94" s="52">
        <f>+(AH94-AL94)*100000000000000000000</f>
        <v>0</v>
      </c>
      <c r="AP94" s="53" t="str">
        <f>+O94</f>
        <v>Congo</v>
      </c>
      <c r="AQ94" s="23">
        <f>+P94*3+Q94*1+BT94+CN94+S94/1000+T94/10000</f>
        <v>1.2951000000000001</v>
      </c>
      <c r="AR94" s="23" t="b">
        <f>+IF(OR(AQ94=AQ95,AQ94=AQ96),1)</f>
        <v>0</v>
      </c>
      <c r="AS94" s="54">
        <f t="shared" ref="AS94:AS96" si="446">+AV94</f>
        <v>0</v>
      </c>
      <c r="AT94" s="54">
        <f>+IF(AND(AM97="si",OR(AR93=1,AR94=1,AR95=1)),1,0)</f>
        <v>0</v>
      </c>
      <c r="AU94" s="66" t="str">
        <f t="shared" ref="AU94:AU96" si="447">+O94</f>
        <v>Congo</v>
      </c>
      <c r="AV94" s="67"/>
      <c r="AX94" s="23" t="str">
        <f>+Y92</f>
        <v>Grupo K</v>
      </c>
      <c r="AY94" s="24" t="str">
        <f>+O94</f>
        <v>Congo</v>
      </c>
      <c r="AZ94" s="29">
        <f>+P94*3+Q94</f>
        <v>1</v>
      </c>
      <c r="BA94" s="29">
        <f>+COUNTIFS($AX$1:AX94,AX94,$AZ$1:AZ94,AZ94)</f>
        <v>1</v>
      </c>
      <c r="BB94" s="29">
        <f>+IF(AZ94=BF91,ROW()*0.001,AZ94)</f>
        <v>9.4E-2</v>
      </c>
      <c r="BC94" s="29">
        <f>+COUNTIFS($AX$1:AZ94,AZ94,$AZ$1:BB94,BB94)</f>
        <v>1</v>
      </c>
      <c r="BD94" s="29"/>
      <c r="BE94" s="25" t="str">
        <f>+IF(OR(BF94="-",BI94="-",BF91=0),"-","OK")</f>
        <v>-</v>
      </c>
      <c r="BF94" s="57" t="str">
        <f>+IF(_xlfn.XLOOKUP($E94,$AY:$AY,$AZ:$AZ,"-",0)=BF91,$E94,"-")</f>
        <v>Uzbekistan</v>
      </c>
      <c r="BG94" s="58">
        <f t="shared" si="430"/>
        <v>0</v>
      </c>
      <c r="BH94" s="59">
        <f t="shared" si="431"/>
        <v>2</v>
      </c>
      <c r="BI94" s="57" t="str">
        <f>+IF(_xlfn.XLOOKUP($H94,$AY:$AY,$AZ:$AZ,"-",0)=BF91,$H94,"-")</f>
        <v>-</v>
      </c>
      <c r="BK94" s="26" t="str">
        <f>+O94</f>
        <v>Congo</v>
      </c>
      <c r="BL94" s="26">
        <f>+COUNTIFS($BE:$BE,"OK",$BI:$BI,BK94)+COUNTIFS($BE:$BE,"OK",$BF:$BF,BK94)</f>
        <v>1</v>
      </c>
      <c r="BM94" s="24">
        <f>+COUNTIFS(J:J,$BK94,$BE:$BE,"OK")</f>
        <v>0</v>
      </c>
      <c r="BN94" s="24">
        <f>+COUNTIFS(K:K,$BK94,$BE:$BE,"OK")+COUNTIFS(L:L,$BK94,$BE:$BE,"OK")</f>
        <v>1</v>
      </c>
      <c r="BO94" s="24">
        <f>+COUNTIFS(M:M,$BK94,$BE:$BE,"OK")</f>
        <v>0</v>
      </c>
      <c r="BP94" s="24">
        <f>+BQ94-BR94</f>
        <v>0</v>
      </c>
      <c r="BQ94" s="24">
        <f>+SUMIFS(BG:BG,$BE:$BE,"OK",BF:BF,$BK94)+SUMIFS(BH:BH,$BE:$BE,"OK",BI:BI,$BK94)</f>
        <v>1</v>
      </c>
      <c r="BR94" s="24">
        <f>+SUMIFS(BH:BH,$BE:$BE,"OK",BF:BF,$BK94)+SUMIFS(BG:BG,$BE:$BE,"OK",BI:BI,$BK94)</f>
        <v>1</v>
      </c>
      <c r="BS94" s="60">
        <f>+BM94*3+BN94*1+BP94/100+BQ94/10000</f>
        <v>1.0001</v>
      </c>
      <c r="BT94" s="29">
        <f>+IF(BL94=0,0,_xlfn.XLOOKUP(BS94,BV93:BV96,BW93:BW96))</f>
        <v>0.3</v>
      </c>
      <c r="BU94" s="45"/>
      <c r="BV94" s="24">
        <f>+LARGE(BS93:BS96,2)</f>
        <v>1.0001</v>
      </c>
      <c r="BW94" s="24">
        <f>+BX94/$BW$1</f>
        <v>0.2</v>
      </c>
      <c r="BX94" s="23">
        <v>2</v>
      </c>
      <c r="BY94" s="25" t="str">
        <f t="shared" si="432"/>
        <v>-</v>
      </c>
      <c r="BZ94" s="57" t="str">
        <f>+IF(_xlfn.XLOOKUP($E94,$AY:$AY,$AZ:$AZ,"-",0)=BZ91,$E94,"-")</f>
        <v>-</v>
      </c>
      <c r="CA94" s="58">
        <f t="shared" si="433"/>
        <v>0</v>
      </c>
      <c r="CB94" s="59">
        <f t="shared" si="434"/>
        <v>2</v>
      </c>
      <c r="CC94" s="57" t="str">
        <f>+IF(_xlfn.XLOOKUP($H94,$AY:$AY,$AZ:$AZ,"-",0)=BZ91,$H94,"-")</f>
        <v>-</v>
      </c>
      <c r="CE94" s="26" t="str">
        <f t="shared" ref="CE94:CE96" si="448">+BK94</f>
        <v>Congo</v>
      </c>
      <c r="CF94" s="26">
        <f>+COUNTIFS($BY:$BY,"OK",$CC:$CC,CE94)+COUNTIFS($BY:$BY,"OK",$BZ:$BZ,CE94)</f>
        <v>0</v>
      </c>
      <c r="CG94" s="24">
        <f>+COUNTIFS(P:P,$BK94,$BY:$BY,"OK")</f>
        <v>0</v>
      </c>
      <c r="CH94" s="24">
        <f>+COUNTIFS(K:K,$BK94,$BY:$BY,"OK")+COUNTIFS(L:L,$BK94,$BY:$BY,"OK")</f>
        <v>0</v>
      </c>
      <c r="CI94" s="24">
        <f>+COUNTIFS(M:M,$CE94,$BY:$BY,"OK")</f>
        <v>0</v>
      </c>
      <c r="CJ94" s="24">
        <f>+CK94-CL94</f>
        <v>0</v>
      </c>
      <c r="CK94" s="24">
        <f>+SUMIFS(CA:CA,$BY:$BY,"OK",BZ:BZ,$BK94)+SUMIFS(CB:CB,$BY:$BY,"OK",CC:CC,$BK94)</f>
        <v>0</v>
      </c>
      <c r="CL94" s="24">
        <f>+SUMIFS(CB:CB,$BY:$BY,"OK",BZ:BZ,$BK94)+SUMIFS(CA:CA,$BY:$BY,"OK",CC:CC,$BK94)</f>
        <v>0</v>
      </c>
      <c r="CM94" s="60">
        <f>+CG94*3+CH94*1+CJ94/100+CK94/10000</f>
        <v>0</v>
      </c>
      <c r="CN94" s="29">
        <f>+IF(CF94=0,0,_xlfn.XLOOKUP(CM94,CP93:CP96,CQ93:CQ96))</f>
        <v>0</v>
      </c>
      <c r="CO94" s="45"/>
      <c r="CP94" s="24">
        <f>+LARGE(CM93:CM96,2)</f>
        <v>0</v>
      </c>
      <c r="CQ94" s="24">
        <f>+CR94/$BW$1</f>
        <v>0.2</v>
      </c>
      <c r="CR94" s="23">
        <v>2</v>
      </c>
    </row>
    <row r="95" spans="1:102" x14ac:dyDescent="0.2">
      <c r="A95" s="38" t="s">
        <v>191</v>
      </c>
      <c r="B95" s="39">
        <v>46196</v>
      </c>
      <c r="C95" s="40"/>
      <c r="D95" s="41"/>
      <c r="E95" s="42" t="s">
        <v>52</v>
      </c>
      <c r="F95" s="43">
        <v>4</v>
      </c>
      <c r="G95" s="43">
        <v>0</v>
      </c>
      <c r="H95" s="44" t="s">
        <v>88</v>
      </c>
      <c r="J95" s="24" t="str">
        <f t="shared" si="435"/>
        <v>Portugal</v>
      </c>
      <c r="K95" s="24" t="str">
        <f t="shared" si="436"/>
        <v/>
      </c>
      <c r="L95" s="24" t="str">
        <f t="shared" si="437"/>
        <v/>
      </c>
      <c r="M95" s="24" t="str">
        <f t="shared" si="438"/>
        <v>Uzbekistan</v>
      </c>
      <c r="O95" s="26" t="str">
        <f>+E94</f>
        <v>Uzbekistan</v>
      </c>
      <c r="P95" s="24">
        <f>+COUNTIF(J93:J98,"="&amp;$O95)</f>
        <v>0</v>
      </c>
      <c r="Q95" s="24">
        <f>+COUNTIF(K93:L98,"="&amp;$O95)</f>
        <v>1</v>
      </c>
      <c r="R95" s="24">
        <f>+COUNTIF(M93:M98,"="&amp;$O95)</f>
        <v>2</v>
      </c>
      <c r="S95" s="24">
        <f t="shared" si="439"/>
        <v>-6</v>
      </c>
      <c r="T95" s="24">
        <f t="shared" ref="T95" si="449">+SUMIF(E93:E98,$O95,F93:F98)+SUMIF(H93:H98,$O95,G93:G98)</f>
        <v>1</v>
      </c>
      <c r="U95" s="24">
        <f t="shared" ref="U95" si="450">+SUMIF(E93:E98,$O95,G93:G98)+SUMIF(H93:H98,$O95,F93:F98)</f>
        <v>7</v>
      </c>
      <c r="V95" s="45">
        <f t="shared" si="442"/>
        <v>1.2941095</v>
      </c>
      <c r="W95" s="26" t="str">
        <f t="shared" si="443"/>
        <v>Uzbekistan</v>
      </c>
      <c r="Y95" s="68" t="str">
        <f>+CONCATENATE("3",RIGHT(E92,1))</f>
        <v>3K</v>
      </c>
      <c r="Z95" s="69" t="str">
        <f>+VLOOKUP(AL95,V93:W96,2,FALSE)</f>
        <v>Congo</v>
      </c>
      <c r="AA95" s="70">
        <f t="shared" si="444"/>
        <v>3</v>
      </c>
      <c r="AB95" s="71">
        <f t="shared" si="445"/>
        <v>0</v>
      </c>
      <c r="AC95" s="71">
        <f t="shared" si="425"/>
        <v>1</v>
      </c>
      <c r="AD95" s="71">
        <f t="shared" si="426"/>
        <v>2</v>
      </c>
      <c r="AE95" s="71">
        <f t="shared" si="427"/>
        <v>-5</v>
      </c>
      <c r="AF95" s="71">
        <f t="shared" si="428"/>
        <v>1</v>
      </c>
      <c r="AG95" s="71">
        <f t="shared" si="429"/>
        <v>6</v>
      </c>
      <c r="AH95" s="72">
        <f t="shared" si="429"/>
        <v>1.2951094000000001</v>
      </c>
      <c r="AI95" s="73">
        <f>+(COUNTIFS($CV$2:$CV$13,Z95,$CX$2:$CX$13,"IN")+COUNTIFS($CV$2:$CV$13,Z95,$CW$2:$CW$13,"IN"))*IF(SUM(AA93:AA96)=12,1,0)</f>
        <v>0</v>
      </c>
      <c r="AL95" s="45">
        <f>+LARGE(V93:V96,3)</f>
        <v>1.2951094000000001</v>
      </c>
      <c r="AM95" s="52">
        <f>+(AH95-AL95)*100000000000000000000</f>
        <v>0</v>
      </c>
      <c r="AP95" s="53" t="str">
        <f>+O95</f>
        <v>Uzbekistan</v>
      </c>
      <c r="AQ95" s="23">
        <f>+P95*3+Q95*1+BT95+CN95+S95/1000+T95/10000</f>
        <v>1.2941</v>
      </c>
      <c r="AR95" s="23" t="b">
        <f>+IF(OR(AQ95=AQ96),1)</f>
        <v>0</v>
      </c>
      <c r="AS95" s="54">
        <f t="shared" si="446"/>
        <v>0</v>
      </c>
      <c r="AT95" s="54">
        <f>+IF(AND(AM97="si",OR(AR93=1,AR94=1,AR95=1)),1,0)</f>
        <v>0</v>
      </c>
      <c r="AU95" s="66" t="str">
        <f t="shared" si="447"/>
        <v>Uzbekistan</v>
      </c>
      <c r="AV95" s="67"/>
      <c r="AX95" s="23" t="str">
        <f>+Y92</f>
        <v>Grupo K</v>
      </c>
      <c r="AY95" s="24" t="str">
        <f>+O95</f>
        <v>Uzbekistan</v>
      </c>
      <c r="AZ95" s="29">
        <f>+P95*3+Q95</f>
        <v>1</v>
      </c>
      <c r="BA95" s="29">
        <f>+COUNTIFS($AX$1:AX95,AX95,$AZ$1:AZ95,AZ95)</f>
        <v>2</v>
      </c>
      <c r="BB95" s="29">
        <f>+IF(AZ95=BF91,ROW()*0.001,AZ95)</f>
        <v>9.5000000000000001E-2</v>
      </c>
      <c r="BC95" s="29">
        <f>+COUNTIFS($AX$1:AZ95,AZ95,$AZ$1:BB95,BB95)</f>
        <v>1</v>
      </c>
      <c r="BD95" s="29"/>
      <c r="BE95" s="25" t="str">
        <f>+IF(OR(BF95="-",BI95="-",BF91=0),"-","OK")</f>
        <v>-</v>
      </c>
      <c r="BF95" s="57" t="str">
        <f>+IF(_xlfn.XLOOKUP($E95,$AY:$AY,$AZ:$AZ,"-",0)=BF91,$E95,"-")</f>
        <v>-</v>
      </c>
      <c r="BG95" s="58">
        <f t="shared" si="430"/>
        <v>4</v>
      </c>
      <c r="BH95" s="59">
        <f t="shared" si="431"/>
        <v>0</v>
      </c>
      <c r="BI95" s="57" t="str">
        <f>+IF(_xlfn.XLOOKUP($H95,$AY:$AY,$AZ:$AZ,"-",0)=BF91,$H95,"-")</f>
        <v>Uzbekistan</v>
      </c>
      <c r="BK95" s="26" t="str">
        <f>+O95</f>
        <v>Uzbekistan</v>
      </c>
      <c r="BL95" s="26">
        <f>+COUNTIFS($BE:$BE,"OK",$BI:$BI,BK95)+COUNTIFS($BE:$BE,"OK",$BF:$BF,BK95)</f>
        <v>1</v>
      </c>
      <c r="BM95" s="24">
        <f>+COUNTIFS(J:J,$BK95,$BE:$BE,"OK")</f>
        <v>0</v>
      </c>
      <c r="BN95" s="24">
        <f>+COUNTIFS(K:K,$BK95,$BE:$BE,"OK")+COUNTIFS(L:L,$BK95,$BE:$BE,"OK")</f>
        <v>1</v>
      </c>
      <c r="BO95" s="24">
        <f>+COUNTIFS(M:M,$BK95,$BE:$BE,"OK")</f>
        <v>0</v>
      </c>
      <c r="BP95" s="24">
        <f>+BQ95-BR95</f>
        <v>0</v>
      </c>
      <c r="BQ95" s="24">
        <f>+SUMIFS(BG:BG,$BE:$BE,"OK",BF:BF,$BK95)+SUMIFS(BH:BH,$BE:$BE,"OK",BI:BI,$BK95)</f>
        <v>1</v>
      </c>
      <c r="BR95" s="24">
        <f>+SUMIFS(BH:BH,$BE:$BE,"OK",BF:BF,$BK95)+SUMIFS(BG:BG,$BE:$BE,"OK",BI:BI,$BK95)</f>
        <v>1</v>
      </c>
      <c r="BS95" s="60">
        <f>+BM95*3+BN95*1+BP95/100+BQ95/10000</f>
        <v>1.0001</v>
      </c>
      <c r="BT95" s="29">
        <f>+IF(BL95=0,0,_xlfn.XLOOKUP(BS95,BV93:BV96,BW93:BW96))</f>
        <v>0.3</v>
      </c>
      <c r="BU95" s="45"/>
      <c r="BV95" s="24">
        <f>+LARGE(BS93:BS96,3)</f>
        <v>0</v>
      </c>
      <c r="BW95" s="24">
        <f>+BX95/$BW$1</f>
        <v>0.1</v>
      </c>
      <c r="BX95" s="23">
        <v>1</v>
      </c>
      <c r="BY95" s="25" t="str">
        <f t="shared" si="432"/>
        <v>-</v>
      </c>
      <c r="BZ95" s="57" t="str">
        <f>+IF(_xlfn.XLOOKUP($E95,$AY:$AY,$AZ:$AZ,"-",0)=BZ91,$E95,"-")</f>
        <v>Portugal</v>
      </c>
      <c r="CA95" s="58">
        <f t="shared" si="433"/>
        <v>4</v>
      </c>
      <c r="CB95" s="59">
        <f t="shared" si="434"/>
        <v>0</v>
      </c>
      <c r="CC95" s="57" t="str">
        <f>+IF(_xlfn.XLOOKUP($H95,$AY:$AY,$AZ:$AZ,"-",0)=BZ91,$H95,"-")</f>
        <v>-</v>
      </c>
      <c r="CE95" s="26" t="str">
        <f t="shared" si="448"/>
        <v>Uzbekistan</v>
      </c>
      <c r="CF95" s="26">
        <f>+COUNTIFS($BY:$BY,"OK",$CC:$CC,CE95)+COUNTIFS($BY:$BY,"OK",$BZ:$BZ,CE95)</f>
        <v>0</v>
      </c>
      <c r="CG95" s="24">
        <f>+COUNTIFS(P:P,$BK95,$BY:$BY,"OK")</f>
        <v>0</v>
      </c>
      <c r="CH95" s="24">
        <f>+COUNTIFS(K:K,$BK95,$BY:$BY,"OK")+COUNTIFS(L:L,$BK95,$BY:$BY,"OK")</f>
        <v>0</v>
      </c>
      <c r="CI95" s="24">
        <f>+COUNTIFS(M:M,$CE95,$BY:$BY,"OK")</f>
        <v>0</v>
      </c>
      <c r="CJ95" s="24">
        <f>+CK95-CL95</f>
        <v>0</v>
      </c>
      <c r="CK95" s="24">
        <f>+SUMIFS(CA:CA,$BY:$BY,"OK",BZ:BZ,$BK95)+SUMIFS(CB:CB,$BY:$BY,"OK",CC:CC,$BK95)</f>
        <v>0</v>
      </c>
      <c r="CL95" s="24">
        <f>+SUMIFS(CB:CB,$BY:$BY,"OK",BZ:BZ,$BK95)+SUMIFS(CA:CA,$BY:$BY,"OK",CC:CC,$BK95)</f>
        <v>0</v>
      </c>
      <c r="CM95" s="60">
        <f>+CG95*3+CH95*1+CJ95/100+CK95/10000</f>
        <v>0</v>
      </c>
      <c r="CN95" s="29">
        <f>+IF(CF95=0,0,_xlfn.XLOOKUP(CM95,CP93:CP96,CQ93:CQ96))</f>
        <v>0</v>
      </c>
      <c r="CO95" s="45"/>
      <c r="CP95" s="24">
        <f>+LARGE(CM93:CM96,3)</f>
        <v>0</v>
      </c>
      <c r="CQ95" s="24">
        <f>+CR95/$BW$1</f>
        <v>0.1</v>
      </c>
      <c r="CR95" s="23">
        <v>1</v>
      </c>
    </row>
    <row r="96" spans="1:102" x14ac:dyDescent="0.2">
      <c r="A96" s="38" t="s">
        <v>192</v>
      </c>
      <c r="B96" s="39">
        <v>46196</v>
      </c>
      <c r="C96" s="40"/>
      <c r="D96" s="41"/>
      <c r="E96" s="42" t="s">
        <v>60</v>
      </c>
      <c r="F96" s="43">
        <v>2</v>
      </c>
      <c r="G96" s="43">
        <v>0</v>
      </c>
      <c r="H96" s="44" t="s">
        <v>87</v>
      </c>
      <c r="J96" s="24" t="str">
        <f t="shared" si="435"/>
        <v>Colombia</v>
      </c>
      <c r="K96" s="24" t="str">
        <f t="shared" si="436"/>
        <v/>
      </c>
      <c r="L96" s="24" t="str">
        <f t="shared" si="437"/>
        <v/>
      </c>
      <c r="M96" s="24" t="str">
        <f t="shared" si="438"/>
        <v>Congo</v>
      </c>
      <c r="O96" s="26" t="str">
        <f>+H94</f>
        <v>Colombia</v>
      </c>
      <c r="P96" s="24">
        <f>+COUNTIF(J93:J98,"="&amp;$O96)</f>
        <v>2</v>
      </c>
      <c r="Q96" s="24">
        <f>+COUNTIF(K93:L98,"="&amp;$O96)</f>
        <v>0</v>
      </c>
      <c r="R96" s="24">
        <f>+COUNTIF(M93:M98,"="&amp;$O96)</f>
        <v>1</v>
      </c>
      <c r="S96" s="24">
        <f t="shared" si="439"/>
        <v>3</v>
      </c>
      <c r="T96" s="24">
        <f t="shared" ref="T96" si="451">+SUMIF(E93:E98,$O96,F93:F98)+SUMIF(H93:H98,$O96,G93:G98)</f>
        <v>5</v>
      </c>
      <c r="U96" s="24">
        <f t="shared" ref="U96" si="452">+SUMIF(E93:E98,$O96,G93:G98)+SUMIF(H93:H98,$O96,F93:F98)</f>
        <v>2</v>
      </c>
      <c r="V96" s="45">
        <f t="shared" si="442"/>
        <v>6.0035096000000001</v>
      </c>
      <c r="W96" s="26" t="str">
        <f t="shared" si="443"/>
        <v>Colombia</v>
      </c>
      <c r="Y96" s="74" t="str">
        <f>+CONCATENATE("4",RIGHT(E92,1))</f>
        <v>4K</v>
      </c>
      <c r="Z96" s="75" t="str">
        <f>+VLOOKUP(AL96,V93:W96,2,FALSE)</f>
        <v>Uzbekistan</v>
      </c>
      <c r="AA96" s="76">
        <f t="shared" si="444"/>
        <v>3</v>
      </c>
      <c r="AB96" s="77">
        <f t="shared" si="445"/>
        <v>0</v>
      </c>
      <c r="AC96" s="77">
        <f t="shared" si="425"/>
        <v>1</v>
      </c>
      <c r="AD96" s="77">
        <f t="shared" si="426"/>
        <v>2</v>
      </c>
      <c r="AE96" s="77">
        <f t="shared" si="427"/>
        <v>-6</v>
      </c>
      <c r="AF96" s="77">
        <f t="shared" si="428"/>
        <v>1</v>
      </c>
      <c r="AG96" s="77">
        <f t="shared" si="429"/>
        <v>7</v>
      </c>
      <c r="AH96" s="78">
        <f t="shared" si="429"/>
        <v>1.2941095</v>
      </c>
      <c r="AI96" s="73"/>
      <c r="AL96" s="45">
        <f>+LARGE(V93:V96,4)</f>
        <v>1.2941095</v>
      </c>
      <c r="AM96" s="52">
        <f>+(AH96-AL96)*100000000000000000000</f>
        <v>0</v>
      </c>
      <c r="AP96" s="53" t="str">
        <f>+O96</f>
        <v>Colombia</v>
      </c>
      <c r="AQ96" s="23">
        <f>+P96*3+Q96*1+BT96+CN96+S96/1000+T96/10000</f>
        <v>6.0034999999999998</v>
      </c>
      <c r="AS96" s="54">
        <f t="shared" si="446"/>
        <v>0</v>
      </c>
      <c r="AT96" s="54">
        <f>+IF(AND(AM97="si",OR(AR93=1,AR94=1,AR95=1)),1,0)</f>
        <v>0</v>
      </c>
      <c r="AU96" s="79" t="str">
        <f t="shared" si="447"/>
        <v>Colombia</v>
      </c>
      <c r="AV96" s="80"/>
      <c r="AX96" s="23" t="str">
        <f>+Y92</f>
        <v>Grupo K</v>
      </c>
      <c r="AY96" s="24" t="str">
        <f>+O96</f>
        <v>Colombia</v>
      </c>
      <c r="AZ96" s="29">
        <f>+P96*3+Q96</f>
        <v>6</v>
      </c>
      <c r="BA96" s="29">
        <f>+COUNTIFS($AX$1:AX96,AX96,$AZ$1:AZ96,AZ96)</f>
        <v>1</v>
      </c>
      <c r="BB96" s="29">
        <f>+IF(AZ96=BF91,ROW()*0.001,AZ96)</f>
        <v>6</v>
      </c>
      <c r="BC96" s="29">
        <f>+COUNTIFS($AX$1:AZ96,AZ96,$AZ$1:BB96,BB96)</f>
        <v>4</v>
      </c>
      <c r="BD96" s="29"/>
      <c r="BE96" s="25" t="str">
        <f>+IF(OR(BF96="-",BI96="-",BF91=0),"-","OK")</f>
        <v>-</v>
      </c>
      <c r="BF96" s="57" t="str">
        <f>+IF(_xlfn.XLOOKUP($E96,$AY:$AY,$AZ:$AZ,"-",0)=BF91,$E96,"-")</f>
        <v>-</v>
      </c>
      <c r="BG96" s="58">
        <f t="shared" si="430"/>
        <v>2</v>
      </c>
      <c r="BH96" s="59">
        <f t="shared" si="431"/>
        <v>0</v>
      </c>
      <c r="BI96" s="57" t="str">
        <f>+IF(_xlfn.XLOOKUP($H96,$AY:$AY,$AZ:$AZ,"-",0)=BF91,$H96,"-")</f>
        <v>Congo</v>
      </c>
      <c r="BK96" s="26" t="str">
        <f>+O96</f>
        <v>Colombia</v>
      </c>
      <c r="BL96" s="26">
        <f>+COUNTIFS($BE:$BE,"OK",$BI:$BI,BK96)+COUNTIFS($BE:$BE,"OK",$BF:$BF,BK96)</f>
        <v>0</v>
      </c>
      <c r="BM96" s="24">
        <f>+COUNTIFS(J:J,$BK96,$BE:$BE,"OK")</f>
        <v>0</v>
      </c>
      <c r="BN96" s="24">
        <f>+COUNTIFS(K:K,$BK96,$BE:$BE,"OK")+COUNTIFS(L:L,$BK96,$BE:$BE,"OK")</f>
        <v>0</v>
      </c>
      <c r="BO96" s="24">
        <f>+COUNTIFS(M:M,$BK96,$BE:$BE,"OK")</f>
        <v>0</v>
      </c>
      <c r="BP96" s="24">
        <f>+BQ96-BR96</f>
        <v>0</v>
      </c>
      <c r="BQ96" s="24">
        <f>+SUMIFS(BG:BG,$BE:$BE,"OK",BF:BF,$BK96)+SUMIFS(BH:BH,$BE:$BE,"OK",BI:BI,$BK96)</f>
        <v>0</v>
      </c>
      <c r="BR96" s="24">
        <f>+SUMIFS(BH:BH,$BE:$BE,"OK",BF:BF,$BK96)+SUMIFS(BG:BG,$BE:$BE,"OK",BI:BI,$BK96)</f>
        <v>0</v>
      </c>
      <c r="BS96" s="60">
        <f>+BM96*3+BN96*1+BP96/100+BQ96/10000</f>
        <v>0</v>
      </c>
      <c r="BT96" s="29">
        <f>+IF(BL96=0,0,_xlfn.XLOOKUP(BS96,BV93:BV96,BW93:BW96))</f>
        <v>0</v>
      </c>
      <c r="BU96" s="45"/>
      <c r="BV96" s="24">
        <f>+LARGE(BS93:BS96,4)</f>
        <v>0</v>
      </c>
      <c r="BW96" s="24">
        <f>+BX96/$BW$1</f>
        <v>0</v>
      </c>
      <c r="BX96" s="23">
        <v>0</v>
      </c>
      <c r="BY96" s="25" t="str">
        <f t="shared" si="432"/>
        <v>-</v>
      </c>
      <c r="BZ96" s="57" t="str">
        <f>+IF(_xlfn.XLOOKUP($E96,$AY:$AY,$AZ:$AZ,"-",0)=BZ91,$E96,"-")</f>
        <v>-</v>
      </c>
      <c r="CA96" s="58">
        <f t="shared" si="433"/>
        <v>2</v>
      </c>
      <c r="CB96" s="59">
        <f t="shared" si="434"/>
        <v>0</v>
      </c>
      <c r="CC96" s="57" t="str">
        <f>+IF(_xlfn.XLOOKUP($H96,$AY:$AY,$AZ:$AZ,"-",0)=BZ91,$H96,"-")</f>
        <v>-</v>
      </c>
      <c r="CE96" s="26" t="str">
        <f t="shared" si="448"/>
        <v>Colombia</v>
      </c>
      <c r="CF96" s="26">
        <f>+COUNTIFS($BY:$BY,"OK",$CC:$CC,CE96)+COUNTIFS($BY:$BY,"OK",$BZ:$BZ,CE96)</f>
        <v>0</v>
      </c>
      <c r="CG96" s="24">
        <f>+COUNTIFS(P:P,$BK96,$BY:$BY,"OK")</f>
        <v>0</v>
      </c>
      <c r="CH96" s="24">
        <f>+COUNTIFS(K:K,$BK96,$BY:$BY,"OK")+COUNTIFS(L:L,$BK96,$BY:$BY,"OK")</f>
        <v>0</v>
      </c>
      <c r="CI96" s="24">
        <f>+COUNTIFS(M:M,$CE96,$BY:$BY,"OK")</f>
        <v>0</v>
      </c>
      <c r="CJ96" s="24">
        <f>+CK96-CL96</f>
        <v>0</v>
      </c>
      <c r="CK96" s="24">
        <f>+SUMIFS(CA:CA,$BY:$BY,"OK",BZ:BZ,$BK96)+SUMIFS(CB:CB,$BY:$BY,"OK",CC:CC,$BK96)</f>
        <v>0</v>
      </c>
      <c r="CL96" s="24">
        <f>+SUMIFS(CB:CB,$BY:$BY,"OK",BZ:BZ,$BK96)+SUMIFS(CA:CA,$BY:$BY,"OK",CC:CC,$BK96)</f>
        <v>0</v>
      </c>
      <c r="CM96" s="60">
        <f>+CG96*3+CH96*1+CJ96/100+CK96/10000</f>
        <v>0</v>
      </c>
      <c r="CN96" s="29">
        <f>+IF(CF96=0,0,_xlfn.XLOOKUP(CM96,CP93:CP96,CQ93:CQ96))</f>
        <v>0</v>
      </c>
      <c r="CO96" s="45"/>
      <c r="CP96" s="24">
        <f>+LARGE(CM93:CM96,4)</f>
        <v>0</v>
      </c>
      <c r="CQ96" s="24">
        <f>+CR96/$BW$1</f>
        <v>0</v>
      </c>
      <c r="CR96" s="23">
        <v>0</v>
      </c>
    </row>
    <row r="97" spans="1:102" x14ac:dyDescent="0.2">
      <c r="A97" s="38" t="s">
        <v>193</v>
      </c>
      <c r="B97" s="39">
        <v>46200</v>
      </c>
      <c r="C97" s="40"/>
      <c r="D97" s="41"/>
      <c r="E97" s="42" t="s">
        <v>60</v>
      </c>
      <c r="F97" s="43">
        <v>1</v>
      </c>
      <c r="G97" s="43">
        <v>2</v>
      </c>
      <c r="H97" s="44" t="s">
        <v>52</v>
      </c>
      <c r="J97" s="24" t="str">
        <f t="shared" si="435"/>
        <v>Portugal</v>
      </c>
      <c r="K97" s="24" t="str">
        <f t="shared" si="436"/>
        <v/>
      </c>
      <c r="L97" s="24" t="str">
        <f t="shared" si="437"/>
        <v/>
      </c>
      <c r="M97" s="24" t="str">
        <f t="shared" si="438"/>
        <v>Colombia</v>
      </c>
      <c r="AL97" s="25" t="s">
        <v>122</v>
      </c>
      <c r="AM97" s="52" t="str">
        <f>+IF(SUM(AA93:AA96)=12,"si","no")</f>
        <v>si</v>
      </c>
      <c r="BE97" s="25" t="str">
        <f>+IF(OR(BF97="-",BI97="-",BF91=0),"-","OK")</f>
        <v>-</v>
      </c>
      <c r="BF97" s="57" t="str">
        <f>+IF(_xlfn.XLOOKUP($E97,$AY:$AY,$AZ:$AZ,"-",0)=BF91,$E97,"-")</f>
        <v>-</v>
      </c>
      <c r="BG97" s="58">
        <f t="shared" si="430"/>
        <v>1</v>
      </c>
      <c r="BH97" s="59">
        <f t="shared" si="431"/>
        <v>2</v>
      </c>
      <c r="BI97" s="57" t="str">
        <f>+IF(_xlfn.XLOOKUP($H97,$AY:$AY,$AZ:$AZ,"-",0)=BF91,$H97,"-")</f>
        <v>-</v>
      </c>
      <c r="BY97" s="25" t="str">
        <f t="shared" si="432"/>
        <v>-</v>
      </c>
      <c r="BZ97" s="57" t="str">
        <f>+IF(_xlfn.XLOOKUP($E97,$AY:$AY,$AZ:$AZ,"-",0)=BZ91,$E97,"-")</f>
        <v>-</v>
      </c>
      <c r="CA97" s="58">
        <f t="shared" si="433"/>
        <v>1</v>
      </c>
      <c r="CB97" s="59">
        <f t="shared" si="434"/>
        <v>2</v>
      </c>
      <c r="CC97" s="57" t="str">
        <f>+IF(_xlfn.XLOOKUP($H97,$AY:$AY,$AZ:$AZ,"-",0)=BZ91,$H97,"-")</f>
        <v>Portugal</v>
      </c>
    </row>
    <row r="98" spans="1:102" x14ac:dyDescent="0.2">
      <c r="A98" s="38" t="s">
        <v>194</v>
      </c>
      <c r="B98" s="39">
        <v>46200</v>
      </c>
      <c r="C98" s="40"/>
      <c r="D98" s="41"/>
      <c r="E98" s="42" t="s">
        <v>87</v>
      </c>
      <c r="F98" s="43">
        <v>1</v>
      </c>
      <c r="G98" s="43">
        <v>1</v>
      </c>
      <c r="H98" s="44" t="s">
        <v>88</v>
      </c>
      <c r="J98" s="24" t="str">
        <f t="shared" si="435"/>
        <v/>
      </c>
      <c r="K98" s="24" t="str">
        <f t="shared" si="436"/>
        <v>Congo</v>
      </c>
      <c r="L98" s="24" t="str">
        <f t="shared" si="437"/>
        <v>Uzbekistan</v>
      </c>
      <c r="M98" s="24" t="str">
        <f t="shared" si="438"/>
        <v/>
      </c>
      <c r="Y98" s="53" t="s">
        <v>124</v>
      </c>
      <c r="AR98" s="23">
        <f>+IF(AND(AM97="si",OR(AR93=1,AR94=1,AR95=1)),1,0)</f>
        <v>0</v>
      </c>
      <c r="BE98" s="25" t="str">
        <f>+IF(OR(BF98="-",BI98="-",BF91=0),"-","OK")</f>
        <v>OK</v>
      </c>
      <c r="BF98" s="57" t="str">
        <f>+IF(_xlfn.XLOOKUP($E98,$AY:$AY,$AZ:$AZ,"-",0)=BF91,$E98,"-")</f>
        <v>Congo</v>
      </c>
      <c r="BG98" s="58">
        <f t="shared" si="430"/>
        <v>1</v>
      </c>
      <c r="BH98" s="59">
        <f t="shared" si="431"/>
        <v>1</v>
      </c>
      <c r="BI98" s="57" t="str">
        <f>+IF(_xlfn.XLOOKUP($H98,$AY:$AY,$AZ:$AZ,"-",0)=BF91,$H98,"-")</f>
        <v>Uzbekistan</v>
      </c>
      <c r="BY98" s="25" t="str">
        <f t="shared" si="432"/>
        <v>-</v>
      </c>
      <c r="BZ98" s="57" t="str">
        <f>+IF(_xlfn.XLOOKUP($E98,$AY:$AY,$AZ:$AZ,"-",0)=BZ91,$E98,"-")</f>
        <v>-</v>
      </c>
      <c r="CA98" s="58">
        <f t="shared" si="433"/>
        <v>1</v>
      </c>
      <c r="CB98" s="59">
        <f t="shared" si="434"/>
        <v>1</v>
      </c>
      <c r="CC98" s="57" t="str">
        <f>+IF(_xlfn.XLOOKUP($H98,$AY:$AY,$AZ:$AZ,"-",0)=BZ91,$H98,"-")</f>
        <v>-</v>
      </c>
    </row>
    <row r="99" spans="1:102" s="83" customFormat="1" x14ac:dyDescent="0.2">
      <c r="A99" s="81"/>
      <c r="B99" s="82"/>
      <c r="C99" s="81"/>
      <c r="E99" s="84"/>
      <c r="F99" s="81"/>
      <c r="G99" s="81"/>
      <c r="H99" s="85"/>
      <c r="J99" s="81"/>
      <c r="K99" s="81"/>
      <c r="L99" s="81"/>
      <c r="M99" s="81"/>
      <c r="AV99" s="86"/>
      <c r="AW99" s="86"/>
      <c r="BE99" s="81"/>
      <c r="CW99" s="81"/>
      <c r="CX99" s="81"/>
    </row>
    <row r="100" spans="1:102" x14ac:dyDescent="0.2">
      <c r="A100" s="23"/>
      <c r="BF100" s="28" t="str">
        <f>+IF(BA102&gt;1,AZ102,IF(BA103&gt;1,AZ103,IF(BA104&gt;1,AZ104,IF(BA105&gt;1,AZ105,"-"))))</f>
        <v>-</v>
      </c>
      <c r="BW100" s="23">
        <v>10</v>
      </c>
      <c r="BZ100" s="29">
        <f>+IF(BC102&gt;1,BB102,IF(BC103&gt;1,BB103,IF(BC104&gt;1,BB104,IF(BC105&gt;1,BB105,"-"))))</f>
        <v>9</v>
      </c>
      <c r="CQ100" s="23">
        <v>10</v>
      </c>
    </row>
    <row r="101" spans="1:102" x14ac:dyDescent="0.2">
      <c r="A101" s="376" t="s">
        <v>100</v>
      </c>
      <c r="B101" s="377" t="s">
        <v>101</v>
      </c>
      <c r="C101" s="377" t="s">
        <v>102</v>
      </c>
      <c r="D101" s="378"/>
      <c r="E101" s="379" t="s">
        <v>195</v>
      </c>
      <c r="F101" s="380"/>
      <c r="G101" s="380"/>
      <c r="H101" s="381"/>
      <c r="J101" s="24" t="s">
        <v>104</v>
      </c>
      <c r="K101" s="24" t="s">
        <v>105</v>
      </c>
      <c r="L101" s="24" t="s">
        <v>105</v>
      </c>
      <c r="M101" s="24" t="s">
        <v>106</v>
      </c>
      <c r="O101" s="26" t="str">
        <f>+E101</f>
        <v>Grupo L</v>
      </c>
      <c r="P101" s="24" t="s">
        <v>104</v>
      </c>
      <c r="Q101" s="24" t="s">
        <v>105</v>
      </c>
      <c r="R101" s="24" t="s">
        <v>106</v>
      </c>
      <c r="S101" s="24" t="s">
        <v>107</v>
      </c>
      <c r="T101" s="24" t="s">
        <v>108</v>
      </c>
      <c r="U101" s="24" t="s">
        <v>109</v>
      </c>
      <c r="V101" s="24" t="s">
        <v>0</v>
      </c>
      <c r="W101" s="24"/>
      <c r="Y101" s="506" t="s">
        <v>195</v>
      </c>
      <c r="Z101" s="507"/>
      <c r="AA101" s="382" t="s">
        <v>110</v>
      </c>
      <c r="AB101" s="383" t="s">
        <v>104</v>
      </c>
      <c r="AC101" s="383" t="s">
        <v>105</v>
      </c>
      <c r="AD101" s="383" t="s">
        <v>106</v>
      </c>
      <c r="AE101" s="383" t="s">
        <v>107</v>
      </c>
      <c r="AF101" s="383" t="s">
        <v>108</v>
      </c>
      <c r="AG101" s="383" t="s">
        <v>109</v>
      </c>
      <c r="AH101" s="384" t="s">
        <v>0</v>
      </c>
      <c r="AI101" s="103"/>
      <c r="AL101" s="24" t="s">
        <v>0</v>
      </c>
      <c r="AM101" s="24" t="s">
        <v>111</v>
      </c>
      <c r="AN101" s="24"/>
      <c r="AO101" s="24"/>
      <c r="AP101" s="24"/>
      <c r="AQ101" s="24"/>
      <c r="AR101" s="24"/>
      <c r="AS101" s="24"/>
      <c r="AT101" s="24"/>
      <c r="AU101" s="24"/>
      <c r="AY101" s="24" t="s">
        <v>112</v>
      </c>
      <c r="AZ101" s="24" t="s">
        <v>0</v>
      </c>
      <c r="BA101" s="24" t="s">
        <v>113</v>
      </c>
      <c r="BB101" s="24"/>
      <c r="BC101" s="24"/>
      <c r="BD101" s="24"/>
      <c r="BK101" s="26"/>
      <c r="BL101" s="26" t="s">
        <v>110</v>
      </c>
      <c r="BM101" s="24" t="s">
        <v>104</v>
      </c>
      <c r="BN101" s="24" t="s">
        <v>105</v>
      </c>
      <c r="BO101" s="24" t="s">
        <v>106</v>
      </c>
      <c r="BP101" s="24" t="s">
        <v>107</v>
      </c>
      <c r="BQ101" s="24" t="s">
        <v>108</v>
      </c>
      <c r="BR101" s="24" t="s">
        <v>109</v>
      </c>
      <c r="BS101" s="24" t="s">
        <v>0</v>
      </c>
      <c r="BT101" s="24" t="s">
        <v>114</v>
      </c>
      <c r="BU101" s="24"/>
      <c r="BV101" s="24" t="s">
        <v>115</v>
      </c>
      <c r="BW101" s="24" t="s">
        <v>114</v>
      </c>
      <c r="CE101" s="26"/>
      <c r="CF101" s="26" t="s">
        <v>110</v>
      </c>
      <c r="CG101" s="24" t="s">
        <v>104</v>
      </c>
      <c r="CH101" s="24" t="s">
        <v>105</v>
      </c>
      <c r="CI101" s="24" t="s">
        <v>106</v>
      </c>
      <c r="CJ101" s="24" t="s">
        <v>107</v>
      </c>
      <c r="CK101" s="24" t="s">
        <v>108</v>
      </c>
      <c r="CL101" s="24" t="s">
        <v>109</v>
      </c>
      <c r="CM101" s="24" t="s">
        <v>0</v>
      </c>
      <c r="CN101" s="24" t="s">
        <v>114</v>
      </c>
      <c r="CO101" s="24"/>
      <c r="CP101" s="24" t="s">
        <v>115</v>
      </c>
      <c r="CQ101" s="24" t="s">
        <v>114</v>
      </c>
    </row>
    <row r="102" spans="1:102" x14ac:dyDescent="0.2">
      <c r="A102" s="38" t="s">
        <v>196</v>
      </c>
      <c r="B102" s="39">
        <v>46190</v>
      </c>
      <c r="C102" s="40"/>
      <c r="D102" s="41"/>
      <c r="E102" s="42" t="s">
        <v>51</v>
      </c>
      <c r="F102" s="43">
        <v>1</v>
      </c>
      <c r="G102" s="43">
        <v>0</v>
      </c>
      <c r="H102" s="44" t="s">
        <v>57</v>
      </c>
      <c r="J102" s="24" t="str">
        <f>IF(OR(ISBLANK(F102),ISBLANK(G102)),"",IF(F102&gt;G102,E102,IF(G102&gt;F102,H102,"")))</f>
        <v>Inglaterra</v>
      </c>
      <c r="K102" s="24" t="str">
        <f>IF(OR(ISBLANK(F102),ISBLANK(G102)),"",IF(F102=G102,E102,""))</f>
        <v/>
      </c>
      <c r="L102" s="24" t="str">
        <f>IF(OR(ISBLANK(F102),ISBLANK(G102)),"",IF(F102=G102,H102,""))</f>
        <v/>
      </c>
      <c r="M102" s="24" t="str">
        <f>IF(OR(ISBLANK(F102),ISBLANK(G102)),"",IF(F102&lt;G102,E102,IF(G102&lt;F102,H102,"")))</f>
        <v>Croacia</v>
      </c>
      <c r="O102" s="26" t="str">
        <f>+E102</f>
        <v>Inglaterra</v>
      </c>
      <c r="P102" s="24">
        <f>+COUNTIF(J102:J107,"="&amp;$O102)</f>
        <v>3</v>
      </c>
      <c r="Q102" s="24">
        <f>+COUNTIF(K102:L107,"="&amp;$O102)</f>
        <v>0</v>
      </c>
      <c r="R102" s="24">
        <f>+COUNTIF(M102:M107,"="&amp;$O102)</f>
        <v>0</v>
      </c>
      <c r="S102" s="24">
        <f>+T102-U102</f>
        <v>6</v>
      </c>
      <c r="T102" s="24">
        <f t="shared" ref="T102" si="453">+SUMIF(E102:E107,$O102,F102:F107)+SUMIF(H102:H107,$O102,G102:G107)</f>
        <v>7</v>
      </c>
      <c r="U102" s="24">
        <f t="shared" ref="U102" si="454">+SUMIF(E102:E107,$O102,G102:G107)+SUMIF(H102:H107,$O102,F102:F107)</f>
        <v>1</v>
      </c>
      <c r="V102" s="45">
        <f>+P102*3+Q102*1+BT102+CN102+S102/1000+T102/10000+AV102/1000000+ROW()/10000000</f>
        <v>9.0067132000000001</v>
      </c>
      <c r="W102" s="26" t="str">
        <f>+O102</f>
        <v>Inglaterra</v>
      </c>
      <c r="Y102" s="46" t="str">
        <f>+CONCATENATE("1",RIGHT(E101,1))</f>
        <v>1L</v>
      </c>
      <c r="Z102" s="47" t="str">
        <f>+VLOOKUP(AL102,V102:W105,2,FALSE)</f>
        <v>Inglaterra</v>
      </c>
      <c r="AA102" s="48">
        <f>+SUM(AB102:AD102)</f>
        <v>3</v>
      </c>
      <c r="AB102" s="49">
        <f>+_xlfn.XLOOKUP($Z102,$O:$O,P:P,"Error",0)</f>
        <v>3</v>
      </c>
      <c r="AC102" s="49">
        <f t="shared" ref="AC102:AC105" si="455">+_xlfn.XLOOKUP($Z102,$O:$O,Q:Q,"Error",0)</f>
        <v>0</v>
      </c>
      <c r="AD102" s="49">
        <f t="shared" ref="AD102:AD105" si="456">+_xlfn.XLOOKUP($Z102,$O:$O,R:R,"Error",0)</f>
        <v>0</v>
      </c>
      <c r="AE102" s="49">
        <f t="shared" ref="AE102:AE105" si="457">+_xlfn.XLOOKUP($Z102,$O:$O,S:S,"Error",0)</f>
        <v>6</v>
      </c>
      <c r="AF102" s="49">
        <f t="shared" ref="AF102:AF105" si="458">+_xlfn.XLOOKUP($Z102,$O:$O,T:T,"Error",0)</f>
        <v>7</v>
      </c>
      <c r="AG102" s="49">
        <f t="shared" ref="AG102:AH105" si="459">+_xlfn.XLOOKUP($Z102,$O:$O,U:U,"Error",0)</f>
        <v>1</v>
      </c>
      <c r="AH102" s="50">
        <f t="shared" si="459"/>
        <v>9.0067132000000001</v>
      </c>
      <c r="AI102" s="51"/>
      <c r="AL102" s="45">
        <f>+LARGE(V102:V105,1)</f>
        <v>9.0067132000000001</v>
      </c>
      <c r="AM102" s="52">
        <f>+(AH102-AL102)*100000000000000000000</f>
        <v>0</v>
      </c>
      <c r="AP102" s="53" t="str">
        <f>+O102</f>
        <v>Inglaterra</v>
      </c>
      <c r="AQ102" s="23">
        <f>+P102*3+Q102*1+BT102+CN102+S102/1000+T102/10000</f>
        <v>9.0067000000000004</v>
      </c>
      <c r="AR102" s="23" t="b">
        <f>+IF(OR(AQ102=AQ103,AQ102=AQ104,AQ102=AQ105),1)</f>
        <v>0</v>
      </c>
      <c r="AS102" s="54">
        <f>+AV102</f>
        <v>3</v>
      </c>
      <c r="AT102" s="54">
        <f>+IF(AND(AM106="si",OR(AR102=1,AR103=1,AR104=1)),1,0)</f>
        <v>0</v>
      </c>
      <c r="AU102" s="55" t="str">
        <f>+O102</f>
        <v>Inglaterra</v>
      </c>
      <c r="AV102" s="56">
        <v>3</v>
      </c>
      <c r="AX102" s="23" t="str">
        <f>+Y101</f>
        <v>Grupo L</v>
      </c>
      <c r="AY102" s="24" t="str">
        <f>+O102</f>
        <v>Inglaterra</v>
      </c>
      <c r="AZ102" s="29">
        <f>+P102*3+Q102</f>
        <v>9</v>
      </c>
      <c r="BA102" s="29">
        <f>+COUNTIFS($AX$1:AX102,AX102,$AZ$1:AZ102,AZ102)</f>
        <v>1</v>
      </c>
      <c r="BB102" s="29">
        <f>+IF(AZ102=BF100,ROW()*0.001,AZ102)</f>
        <v>9</v>
      </c>
      <c r="BC102" s="29">
        <f>+COUNTIFS($AX$1:AZ102,AZ102,$AZ$1:BB102,BB102)</f>
        <v>7</v>
      </c>
      <c r="BD102" s="29"/>
      <c r="BE102" s="25" t="str">
        <f>+IF(OR(BF102="-",BI102="-",BF100=0),"-","OK")</f>
        <v>-</v>
      </c>
      <c r="BF102" s="57" t="str">
        <f>+IF(_xlfn.XLOOKUP($E102,$AY:$AY,$AZ:$AZ,"-",0)=BF100,$E102,"-")</f>
        <v>-</v>
      </c>
      <c r="BG102" s="58">
        <f t="shared" ref="BG102:BG107" si="460">+$F102</f>
        <v>1</v>
      </c>
      <c r="BH102" s="59">
        <f t="shared" ref="BH102:BH107" si="461">+$G102</f>
        <v>0</v>
      </c>
      <c r="BI102" s="57" t="str">
        <f>+IF(_xlfn.XLOOKUP($H102,$AY:$AY,$AZ:$AZ,"-",0)=BF100,$H102,"-")</f>
        <v>-</v>
      </c>
      <c r="BK102" s="26" t="str">
        <f>+O102</f>
        <v>Inglaterra</v>
      </c>
      <c r="BL102" s="26">
        <f>+COUNTIFS($BE:$BE,"OK",$BI:$BI,BK102)+COUNTIFS($BE:$BE,"OK",$BF:$BF,BK102)</f>
        <v>0</v>
      </c>
      <c r="BM102" s="24">
        <f>+COUNTIFS(J:J,$BK102,$BE:$BE,"OK")</f>
        <v>0</v>
      </c>
      <c r="BN102" s="24">
        <f>+COUNTIFS(K:K,$BK102,$BE:$BE,"OK")+COUNTIFS(L:L,$BK102,$BE:$BE,"OK")</f>
        <v>0</v>
      </c>
      <c r="BO102" s="24">
        <f>+COUNTIFS(M:M,$BK102,$BE:$BE,"OK")</f>
        <v>0</v>
      </c>
      <c r="BP102" s="24">
        <f>+BQ102-BR102</f>
        <v>0</v>
      </c>
      <c r="BQ102" s="24">
        <f>+SUMIFS(BG:BG,$BE:$BE,"OK",BF:BF,$BK102)+SUMIFS(BH:BH,$BE:$BE,"OK",BI:BI,$BK102)</f>
        <v>0</v>
      </c>
      <c r="BR102" s="24">
        <f>+SUMIFS(BH:BH,$BE:$BE,"OK",BF:BF,$BK102)+SUMIFS(BG:BG,$BE:$BE,"OK",BI:BI,$BK102)</f>
        <v>0</v>
      </c>
      <c r="BS102" s="60">
        <f>+BM102*3+BN102*1+BP102/100+BQ102/10000</f>
        <v>0</v>
      </c>
      <c r="BT102" s="29">
        <f>+IF(BL102=0,0,_xlfn.XLOOKUP(BS102,BV102:BV105,BW102:BW105))</f>
        <v>0</v>
      </c>
      <c r="BU102" s="45"/>
      <c r="BV102" s="24">
        <f>+LARGE(BS102:BS105,1)</f>
        <v>0</v>
      </c>
      <c r="BW102" s="24">
        <f>+BX102/$BW$1</f>
        <v>0.3</v>
      </c>
      <c r="BX102" s="23">
        <v>3</v>
      </c>
      <c r="BY102" s="25" t="str">
        <f t="shared" ref="BY102:BY107" si="462">+IF(OR(BZ102="-",CC102="-"),"-","OK")</f>
        <v>-</v>
      </c>
      <c r="BZ102" s="57" t="str">
        <f>+IF(_xlfn.XLOOKUP($E102,$AY:$AY,$AZ:$AZ,"-",0)=BZ100,$E102,"-")</f>
        <v>Inglaterra</v>
      </c>
      <c r="CA102" s="58">
        <f t="shared" ref="CA102:CA107" si="463">+$F102</f>
        <v>1</v>
      </c>
      <c r="CB102" s="59">
        <f t="shared" ref="CB102:CB107" si="464">+$G102</f>
        <v>0</v>
      </c>
      <c r="CC102" s="57" t="str">
        <f>+IF(_xlfn.XLOOKUP($H102,$AY:$AY,$AZ:$AZ,"-",0)=BZ100,$H102,"-")</f>
        <v>-</v>
      </c>
      <c r="CE102" s="26" t="str">
        <f>+BK102</f>
        <v>Inglaterra</v>
      </c>
      <c r="CF102" s="26">
        <f>+COUNTIFS($BY:$BY,"OK",$CC:$CC,CE102)+COUNTIFS($BY:$BY,"OK",$BZ:$BZ,CE102)</f>
        <v>0</v>
      </c>
      <c r="CG102" s="24">
        <f>+COUNTIFS(P:P,$BK102,$BY:$BY,"OK")</f>
        <v>0</v>
      </c>
      <c r="CH102" s="24">
        <f>+COUNTIFS(K:K,$BK102,$BY:$BY,"OK")+COUNTIFS(L:L,$BK102,$BY:$BY,"OK")</f>
        <v>0</v>
      </c>
      <c r="CI102" s="24">
        <f>+COUNTIFS(M:M,$CE102,$BY:$BY,"OK")</f>
        <v>0</v>
      </c>
      <c r="CJ102" s="24">
        <f>+CK102-CL102</f>
        <v>0</v>
      </c>
      <c r="CK102" s="24">
        <f>+SUMIFS(CA:CA,$BY:$BY,"OK",BZ:BZ,$BK102)+SUMIFS(CB:CB,$BY:$BY,"OK",CC:CC,$BK102)</f>
        <v>0</v>
      </c>
      <c r="CL102" s="24">
        <f>+SUMIFS(CB:CB,$BY:$BY,"OK",BZ:BZ,$BK102)+SUMIFS(CA:CA,$BY:$BY,"OK",CC:CC,$BK102)</f>
        <v>0</v>
      </c>
      <c r="CM102" s="60">
        <f>+CG102*3+CH102*1+CJ102/100+CK102/10000</f>
        <v>0</v>
      </c>
      <c r="CN102" s="29">
        <f>+IF(CF102=0,0,_xlfn.XLOOKUP(CM102,CP102:CP105,CQ102:CQ105))</f>
        <v>0</v>
      </c>
      <c r="CO102" s="45"/>
      <c r="CP102" s="24">
        <f>+LARGE(CM102:CM105,1)</f>
        <v>0</v>
      </c>
      <c r="CQ102" s="24">
        <f>+CR102/$BW$1</f>
        <v>0.3</v>
      </c>
      <c r="CR102" s="23">
        <v>3</v>
      </c>
    </row>
    <row r="103" spans="1:102" x14ac:dyDescent="0.2">
      <c r="A103" s="38" t="s">
        <v>197</v>
      </c>
      <c r="B103" s="39">
        <v>46190</v>
      </c>
      <c r="C103" s="40"/>
      <c r="D103" s="41"/>
      <c r="E103" s="42" t="s">
        <v>85</v>
      </c>
      <c r="F103" s="43">
        <v>2</v>
      </c>
      <c r="G103" s="43">
        <v>0</v>
      </c>
      <c r="H103" s="44" t="s">
        <v>77</v>
      </c>
      <c r="J103" s="24" t="str">
        <f t="shared" ref="J103:J107" si="465">IF(OR(ISBLANK(F103),ISBLANK(G103)),"",IF(F103&gt;G103,E103,IF(G103&gt;F103,H103,"")))</f>
        <v>Ghana</v>
      </c>
      <c r="K103" s="24" t="str">
        <f t="shared" ref="K103:K107" si="466">IF(OR(ISBLANK(F103),ISBLANK(G103)),"",IF(F103=G103,E103,""))</f>
        <v/>
      </c>
      <c r="L103" s="24" t="str">
        <f t="shared" ref="L103:L107" si="467">IF(OR(ISBLANK(F103),ISBLANK(G103)),"",IF(F103=G103,H103,""))</f>
        <v/>
      </c>
      <c r="M103" s="24" t="str">
        <f t="shared" ref="M103:M107" si="468">IF(OR(ISBLANK(F103),ISBLANK(G103)),"",IF(F103&lt;G103,E103,IF(G103&lt;F103,H103,"")))</f>
        <v>Panama</v>
      </c>
      <c r="O103" s="26" t="str">
        <f>+H102</f>
        <v>Croacia</v>
      </c>
      <c r="P103" s="24">
        <f>+COUNTIF(J102:J107,"="&amp;$O103)</f>
        <v>2</v>
      </c>
      <c r="Q103" s="24">
        <f>+COUNTIF(K102:L107,"="&amp;$O103)</f>
        <v>0</v>
      </c>
      <c r="R103" s="24">
        <f>+COUNTIF(M102:M107,"="&amp;$O103)</f>
        <v>1</v>
      </c>
      <c r="S103" s="24">
        <f t="shared" ref="S103:S105" si="469">+T103-U103</f>
        <v>3</v>
      </c>
      <c r="T103" s="24">
        <f t="shared" ref="T103" si="470">+SUMIF(E102:E107,$O103,F102:F107)+SUMIF(H102:H107,$O103,G102:G107)</f>
        <v>5</v>
      </c>
      <c r="U103" s="24">
        <f t="shared" ref="U103" si="471">+SUMIF(E102:E107,$O103,G102:G107)+SUMIF(H102:H107,$O103,F102:F107)</f>
        <v>2</v>
      </c>
      <c r="V103" s="45">
        <f t="shared" ref="V103:V105" si="472">+P103*3+Q103*1+BT103+CN103+S103/1000+T103/10000+AV103/1000000+ROW()/10000000</f>
        <v>6.0035102999999994</v>
      </c>
      <c r="W103" s="26" t="str">
        <f t="shared" ref="W103:W105" si="473">+O103</f>
        <v>Croacia</v>
      </c>
      <c r="Y103" s="61" t="str">
        <f>+CONCATENATE("2",RIGHT(E101,1))</f>
        <v>2L</v>
      </c>
      <c r="Z103" s="62" t="str">
        <f>+VLOOKUP(AL103,V102:W105,2,FALSE)</f>
        <v>Croacia</v>
      </c>
      <c r="AA103" s="63">
        <f t="shared" ref="AA103:AA105" si="474">+SUM(AB103:AD103)</f>
        <v>3</v>
      </c>
      <c r="AB103" s="49">
        <f t="shared" ref="AB103:AB105" si="475">+_xlfn.XLOOKUP($Z103,$O:$O,P:P,"Error",0)</f>
        <v>2</v>
      </c>
      <c r="AC103" s="49">
        <f t="shared" si="455"/>
        <v>0</v>
      </c>
      <c r="AD103" s="49">
        <f t="shared" si="456"/>
        <v>1</v>
      </c>
      <c r="AE103" s="49">
        <f t="shared" si="457"/>
        <v>3</v>
      </c>
      <c r="AF103" s="49">
        <f t="shared" si="458"/>
        <v>5</v>
      </c>
      <c r="AG103" s="49">
        <f t="shared" si="459"/>
        <v>2</v>
      </c>
      <c r="AH103" s="65">
        <f t="shared" si="459"/>
        <v>6.0035102999999994</v>
      </c>
      <c r="AI103" s="51"/>
      <c r="AL103" s="45">
        <f>+LARGE(V102:V105,2)</f>
        <v>6.0035102999999994</v>
      </c>
      <c r="AM103" s="52">
        <f>+(AH103-AL103)*100000000000000000000</f>
        <v>0</v>
      </c>
      <c r="AP103" s="53" t="str">
        <f>+O103</f>
        <v>Croacia</v>
      </c>
      <c r="AQ103" s="23">
        <f>+P103*3+Q103*1+BT103+CN103+S103/1000+T103/10000</f>
        <v>6.0034999999999998</v>
      </c>
      <c r="AR103" s="23" t="b">
        <f>+IF(OR(AQ103=AQ104,AQ103=AQ105),1)</f>
        <v>0</v>
      </c>
      <c r="AS103" s="54">
        <f t="shared" ref="AS103:AS105" si="476">+AV103</f>
        <v>0</v>
      </c>
      <c r="AT103" s="54">
        <f>+IF(AND(AM106="si",OR(AR102=1,AR103=1,AR104=1)),1,0)</f>
        <v>0</v>
      </c>
      <c r="AU103" s="66" t="str">
        <f t="shared" ref="AU103:AU105" si="477">+O103</f>
        <v>Croacia</v>
      </c>
      <c r="AV103" s="67"/>
      <c r="AX103" s="23" t="str">
        <f>+Y101</f>
        <v>Grupo L</v>
      </c>
      <c r="AY103" s="24" t="str">
        <f>+O103</f>
        <v>Croacia</v>
      </c>
      <c r="AZ103" s="29">
        <f>+P103*3+Q103</f>
        <v>6</v>
      </c>
      <c r="BA103" s="29">
        <f>+COUNTIFS($AX$1:AX103,AX103,$AZ$1:AZ103,AZ103)</f>
        <v>1</v>
      </c>
      <c r="BB103" s="29">
        <f>+IF(AZ103=BF100,ROW()*0.001,AZ103)</f>
        <v>6</v>
      </c>
      <c r="BC103" s="29">
        <f>+COUNTIFS($AX$1:AZ103,AZ103,$AZ$1:BB103,BB103)</f>
        <v>5</v>
      </c>
      <c r="BD103" s="29"/>
      <c r="BE103" s="25" t="str">
        <f>+IF(OR(BF103="-",BI103="-",BF100=0),"-","OK")</f>
        <v>-</v>
      </c>
      <c r="BF103" s="57" t="str">
        <f>+IF(_xlfn.XLOOKUP($E103,$AY:$AY,$AZ:$AZ,"-",0)=BF100,$E103,"-")</f>
        <v>-</v>
      </c>
      <c r="BG103" s="58">
        <f t="shared" si="460"/>
        <v>2</v>
      </c>
      <c r="BH103" s="59">
        <f t="shared" si="461"/>
        <v>0</v>
      </c>
      <c r="BI103" s="57" t="str">
        <f>+IF(_xlfn.XLOOKUP($H103,$AY:$AY,$AZ:$AZ,"-",0)=BF100,$H103,"-")</f>
        <v>-</v>
      </c>
      <c r="BK103" s="26" t="str">
        <f>+O103</f>
        <v>Croacia</v>
      </c>
      <c r="BL103" s="26">
        <f>+COUNTIFS($BE:$BE,"OK",$BI:$BI,BK103)+COUNTIFS($BE:$BE,"OK",$BF:$BF,BK103)</f>
        <v>0</v>
      </c>
      <c r="BM103" s="24">
        <f>+COUNTIFS(J:J,$BK103,$BE:$BE,"OK")</f>
        <v>0</v>
      </c>
      <c r="BN103" s="24">
        <f>+COUNTIFS(K:K,$BK103,$BE:$BE,"OK")+COUNTIFS(L:L,$BK103,$BE:$BE,"OK")</f>
        <v>0</v>
      </c>
      <c r="BO103" s="24">
        <f>+COUNTIFS(M:M,$BK103,$BE:$BE,"OK")</f>
        <v>0</v>
      </c>
      <c r="BP103" s="24">
        <f>+BQ103-BR103</f>
        <v>0</v>
      </c>
      <c r="BQ103" s="24">
        <f>+SUMIFS(BG:BG,$BE:$BE,"OK",BF:BF,$BK103)+SUMIFS(BH:BH,$BE:$BE,"OK",BI:BI,$BK103)</f>
        <v>0</v>
      </c>
      <c r="BR103" s="24">
        <f>+SUMIFS(BH:BH,$BE:$BE,"OK",BF:BF,$BK103)+SUMIFS(BG:BG,$BE:$BE,"OK",BI:BI,$BK103)</f>
        <v>0</v>
      </c>
      <c r="BS103" s="60">
        <f>+BM103*3+BN103*1+BP103/100+BQ103/10000</f>
        <v>0</v>
      </c>
      <c r="BT103" s="29">
        <f>+IF(BL103=0,0,_xlfn.XLOOKUP(BS103,BV102:BV105,BW102:BW105))</f>
        <v>0</v>
      </c>
      <c r="BU103" s="45"/>
      <c r="BV103" s="24">
        <f>+LARGE(BS102:BS105,2)</f>
        <v>0</v>
      </c>
      <c r="BW103" s="24">
        <f>+BX103/$BW$1</f>
        <v>0.2</v>
      </c>
      <c r="BX103" s="23">
        <v>2</v>
      </c>
      <c r="BY103" s="25" t="str">
        <f t="shared" si="462"/>
        <v>-</v>
      </c>
      <c r="BZ103" s="57" t="str">
        <f>+IF(_xlfn.XLOOKUP($E103,$AY:$AY,$AZ:$AZ,"-",0)=BZ100,$E103,"-")</f>
        <v>-</v>
      </c>
      <c r="CA103" s="58">
        <f t="shared" si="463"/>
        <v>2</v>
      </c>
      <c r="CB103" s="59">
        <f t="shared" si="464"/>
        <v>0</v>
      </c>
      <c r="CC103" s="57" t="str">
        <f>+IF(_xlfn.XLOOKUP($H103,$AY:$AY,$AZ:$AZ,"-",0)=BZ100,$H103,"-")</f>
        <v>-</v>
      </c>
      <c r="CE103" s="26" t="str">
        <f t="shared" ref="CE103:CE105" si="478">+BK103</f>
        <v>Croacia</v>
      </c>
      <c r="CF103" s="26">
        <f>+COUNTIFS($BY:$BY,"OK",$CC:$CC,CE103)+COUNTIFS($BY:$BY,"OK",$BZ:$BZ,CE103)</f>
        <v>0</v>
      </c>
      <c r="CG103" s="24">
        <f>+COUNTIFS(P:P,$BK103,$BY:$BY,"OK")</f>
        <v>0</v>
      </c>
      <c r="CH103" s="24">
        <f>+COUNTIFS(K:K,$BK103,$BY:$BY,"OK")+COUNTIFS(L:L,$BK103,$BY:$BY,"OK")</f>
        <v>0</v>
      </c>
      <c r="CI103" s="24">
        <f>+COUNTIFS(M:M,$CE103,$BY:$BY,"OK")</f>
        <v>0</v>
      </c>
      <c r="CJ103" s="24">
        <f>+CK103-CL103</f>
        <v>0</v>
      </c>
      <c r="CK103" s="24">
        <f>+SUMIFS(CA:CA,$BY:$BY,"OK",BZ:BZ,$BK103)+SUMIFS(CB:CB,$BY:$BY,"OK",CC:CC,$BK103)</f>
        <v>0</v>
      </c>
      <c r="CL103" s="24">
        <f>+SUMIFS(CB:CB,$BY:$BY,"OK",BZ:BZ,$BK103)+SUMIFS(CA:CA,$BY:$BY,"OK",CC:CC,$BK103)</f>
        <v>0</v>
      </c>
      <c r="CM103" s="60">
        <f>+CG103*3+CH103*1+CJ103/100+CK103/10000</f>
        <v>0</v>
      </c>
      <c r="CN103" s="29">
        <f>+IF(CF103=0,0,_xlfn.XLOOKUP(CM103,CP102:CP105,CQ102:CQ105))</f>
        <v>0</v>
      </c>
      <c r="CO103" s="45"/>
      <c r="CP103" s="24">
        <f>+LARGE(CM102:CM105,2)</f>
        <v>0</v>
      </c>
      <c r="CQ103" s="24">
        <f>+CR103/$BW$1</f>
        <v>0.2</v>
      </c>
      <c r="CR103" s="23">
        <v>2</v>
      </c>
    </row>
    <row r="104" spans="1:102" x14ac:dyDescent="0.2">
      <c r="A104" s="38" t="s">
        <v>198</v>
      </c>
      <c r="B104" s="39">
        <v>46196</v>
      </c>
      <c r="C104" s="40"/>
      <c r="D104" s="41"/>
      <c r="E104" s="42" t="s">
        <v>51</v>
      </c>
      <c r="F104" s="43">
        <v>2</v>
      </c>
      <c r="G104" s="43">
        <v>1</v>
      </c>
      <c r="H104" s="44" t="s">
        <v>85</v>
      </c>
      <c r="J104" s="24" t="str">
        <f t="shared" si="465"/>
        <v>Inglaterra</v>
      </c>
      <c r="K104" s="24" t="str">
        <f t="shared" si="466"/>
        <v/>
      </c>
      <c r="L104" s="24" t="str">
        <f t="shared" si="467"/>
        <v/>
      </c>
      <c r="M104" s="24" t="str">
        <f t="shared" si="468"/>
        <v>Ghana</v>
      </c>
      <c r="O104" s="26" t="str">
        <f>+E103</f>
        <v>Ghana</v>
      </c>
      <c r="P104" s="24">
        <f>+COUNTIF(J102:J107,"="&amp;$O104)</f>
        <v>1</v>
      </c>
      <c r="Q104" s="24">
        <f>+COUNTIF(K102:L107,"="&amp;$O104)</f>
        <v>0</v>
      </c>
      <c r="R104" s="24">
        <f>+COUNTIF(M102:M107,"="&amp;$O104)</f>
        <v>2</v>
      </c>
      <c r="S104" s="24">
        <f t="shared" si="469"/>
        <v>0</v>
      </c>
      <c r="T104" s="24">
        <f t="shared" ref="T104" si="479">+SUMIF(E102:E107,$O104,F102:F107)+SUMIF(H102:H107,$O104,G102:G107)</f>
        <v>4</v>
      </c>
      <c r="U104" s="24">
        <f t="shared" ref="U104" si="480">+SUMIF(E102:E107,$O104,G102:G107)+SUMIF(H102:H107,$O104,F102:F107)</f>
        <v>4</v>
      </c>
      <c r="V104" s="45">
        <f t="shared" si="472"/>
        <v>3.0004103999999998</v>
      </c>
      <c r="W104" s="26" t="str">
        <f t="shared" si="473"/>
        <v>Ghana</v>
      </c>
      <c r="Y104" s="68" t="str">
        <f>+CONCATENATE("3",RIGHT(E101,1))</f>
        <v>3L</v>
      </c>
      <c r="Z104" s="69" t="str">
        <f>+VLOOKUP(AL104,V102:W105,2,FALSE)</f>
        <v>Ghana</v>
      </c>
      <c r="AA104" s="70">
        <f t="shared" si="474"/>
        <v>3</v>
      </c>
      <c r="AB104" s="71">
        <f t="shared" si="475"/>
        <v>1</v>
      </c>
      <c r="AC104" s="71">
        <f t="shared" si="455"/>
        <v>0</v>
      </c>
      <c r="AD104" s="71">
        <f t="shared" si="456"/>
        <v>2</v>
      </c>
      <c r="AE104" s="71">
        <f t="shared" si="457"/>
        <v>0</v>
      </c>
      <c r="AF104" s="71">
        <f t="shared" si="458"/>
        <v>4</v>
      </c>
      <c r="AG104" s="71">
        <f t="shared" si="459"/>
        <v>4</v>
      </c>
      <c r="AH104" s="72">
        <f t="shared" si="459"/>
        <v>3.0004103999999998</v>
      </c>
      <c r="AI104" s="73">
        <f>+(COUNTIFS($CV$2:$CV$13,Z104,$CX$2:$CX$13,"IN")+COUNTIFS($CV$2:$CV$13,Z104,$CW$2:$CW$13,"IN"))*IF(SUM(AA102:AA105)=12,1,0)</f>
        <v>1</v>
      </c>
      <c r="AL104" s="45">
        <f>+LARGE(V102:V105,3)</f>
        <v>3.0004103999999998</v>
      </c>
      <c r="AM104" s="52">
        <f>+(AH104-AL104)*100000000000000000000</f>
        <v>0</v>
      </c>
      <c r="AP104" s="53" t="str">
        <f>+O104</f>
        <v>Ghana</v>
      </c>
      <c r="AQ104" s="23">
        <f>+P104*3+Q104*1+BT104+CN104+S104/1000+T104/10000</f>
        <v>3.0004</v>
      </c>
      <c r="AR104" s="23" t="b">
        <f>+IF(OR(AQ104=AQ105),1)</f>
        <v>0</v>
      </c>
      <c r="AS104" s="54">
        <f t="shared" si="476"/>
        <v>0</v>
      </c>
      <c r="AT104" s="54">
        <f>+IF(AND(AM106="si",OR(AR102=1,AR103=1,AR104=1)),1,0)</f>
        <v>0</v>
      </c>
      <c r="AU104" s="66" t="str">
        <f t="shared" si="477"/>
        <v>Ghana</v>
      </c>
      <c r="AV104" s="67"/>
      <c r="AX104" s="23" t="str">
        <f>+Y101</f>
        <v>Grupo L</v>
      </c>
      <c r="AY104" s="24" t="str">
        <f>+O104</f>
        <v>Ghana</v>
      </c>
      <c r="AZ104" s="29">
        <f>+P104*3+Q104</f>
        <v>3</v>
      </c>
      <c r="BA104" s="29">
        <f>+COUNTIFS($AX$1:AX104,AX104,$AZ$1:AZ104,AZ104)</f>
        <v>1</v>
      </c>
      <c r="BB104" s="29">
        <f>+IF(AZ104=BF100,ROW()*0.001,AZ104)</f>
        <v>3</v>
      </c>
      <c r="BC104" s="29">
        <f>+COUNTIFS($AX$1:AZ104,AZ104,$AZ$1:BB104,BB104)</f>
        <v>6</v>
      </c>
      <c r="BD104" s="29"/>
      <c r="BE104" s="25" t="str">
        <f>+IF(OR(BF104="-",BI104="-",BF100=0),"-","OK")</f>
        <v>-</v>
      </c>
      <c r="BF104" s="57" t="str">
        <f>+IF(_xlfn.XLOOKUP($E104,$AY:$AY,$AZ:$AZ,"-",0)=BF100,$E104,"-")</f>
        <v>-</v>
      </c>
      <c r="BG104" s="58">
        <f t="shared" si="460"/>
        <v>2</v>
      </c>
      <c r="BH104" s="59">
        <f t="shared" si="461"/>
        <v>1</v>
      </c>
      <c r="BI104" s="57" t="str">
        <f>+IF(_xlfn.XLOOKUP($H104,$AY:$AY,$AZ:$AZ,"-",0)=BF100,$H104,"-")</f>
        <v>-</v>
      </c>
      <c r="BK104" s="26" t="str">
        <f>+O104</f>
        <v>Ghana</v>
      </c>
      <c r="BL104" s="26">
        <f>+COUNTIFS($BE:$BE,"OK",$BI:$BI,BK104)+COUNTIFS($BE:$BE,"OK",$BF:$BF,BK104)</f>
        <v>0</v>
      </c>
      <c r="BM104" s="24">
        <f>+COUNTIFS(J:J,$BK104,$BE:$BE,"OK")</f>
        <v>0</v>
      </c>
      <c r="BN104" s="24">
        <f>+COUNTIFS(K:K,$BK104,$BE:$BE,"OK")+COUNTIFS(L:L,$BK104,$BE:$BE,"OK")</f>
        <v>0</v>
      </c>
      <c r="BO104" s="24">
        <f>+COUNTIFS(M:M,$BK104,$BE:$BE,"OK")</f>
        <v>0</v>
      </c>
      <c r="BP104" s="24">
        <f>+BQ104-BR104</f>
        <v>0</v>
      </c>
      <c r="BQ104" s="24">
        <f>+SUMIFS(BG:BG,$BE:$BE,"OK",BF:BF,$BK104)+SUMIFS(BH:BH,$BE:$BE,"OK",BI:BI,$BK104)</f>
        <v>0</v>
      </c>
      <c r="BR104" s="24">
        <f>+SUMIFS(BH:BH,$BE:$BE,"OK",BF:BF,$BK104)+SUMIFS(BG:BG,$BE:$BE,"OK",BI:BI,$BK104)</f>
        <v>0</v>
      </c>
      <c r="BS104" s="60">
        <f>+BM104*3+BN104*1+BP104/100+BQ104/10000</f>
        <v>0</v>
      </c>
      <c r="BT104" s="29">
        <f>+IF(BL104=0,0,_xlfn.XLOOKUP(BS104,BV102:BV105,BW102:BW105))</f>
        <v>0</v>
      </c>
      <c r="BU104" s="45"/>
      <c r="BV104" s="24">
        <f>+LARGE(BS102:BS105,3)</f>
        <v>0</v>
      </c>
      <c r="BW104" s="24">
        <f>+BX104/$BW$1</f>
        <v>0.1</v>
      </c>
      <c r="BX104" s="23">
        <v>1</v>
      </c>
      <c r="BY104" s="25" t="str">
        <f t="shared" si="462"/>
        <v>-</v>
      </c>
      <c r="BZ104" s="57" t="str">
        <f>+IF(_xlfn.XLOOKUP($E104,$AY:$AY,$AZ:$AZ,"-",0)=BZ100,$E104,"-")</f>
        <v>Inglaterra</v>
      </c>
      <c r="CA104" s="58">
        <f t="shared" si="463"/>
        <v>2</v>
      </c>
      <c r="CB104" s="59">
        <f t="shared" si="464"/>
        <v>1</v>
      </c>
      <c r="CC104" s="57" t="str">
        <f>+IF(_xlfn.XLOOKUP($H104,$AY:$AY,$AZ:$AZ,"-",0)=BZ100,$H104,"-")</f>
        <v>-</v>
      </c>
      <c r="CE104" s="26" t="str">
        <f t="shared" si="478"/>
        <v>Ghana</v>
      </c>
      <c r="CF104" s="26">
        <f>+COUNTIFS($BY:$BY,"OK",$CC:$CC,CE104)+COUNTIFS($BY:$BY,"OK",$BZ:$BZ,CE104)</f>
        <v>0</v>
      </c>
      <c r="CG104" s="24">
        <f>+COUNTIFS(P:P,$BK104,$BY:$BY,"OK")</f>
        <v>0</v>
      </c>
      <c r="CH104" s="24">
        <f>+COUNTIFS(K:K,$BK104,$BY:$BY,"OK")+COUNTIFS(L:L,$BK104,$BY:$BY,"OK")</f>
        <v>0</v>
      </c>
      <c r="CI104" s="24">
        <f>+COUNTIFS(M:M,$CE104,$BY:$BY,"OK")</f>
        <v>0</v>
      </c>
      <c r="CJ104" s="24">
        <f>+CK104-CL104</f>
        <v>0</v>
      </c>
      <c r="CK104" s="24">
        <f>+SUMIFS(CA:CA,$BY:$BY,"OK",BZ:BZ,$BK104)+SUMIFS(CB:CB,$BY:$BY,"OK",CC:CC,$BK104)</f>
        <v>0</v>
      </c>
      <c r="CL104" s="24">
        <f>+SUMIFS(CB:CB,$BY:$BY,"OK",BZ:BZ,$BK104)+SUMIFS(CA:CA,$BY:$BY,"OK",CC:CC,$BK104)</f>
        <v>0</v>
      </c>
      <c r="CM104" s="60">
        <f>+CG104*3+CH104*1+CJ104/100+CK104/10000</f>
        <v>0</v>
      </c>
      <c r="CN104" s="29">
        <f>+IF(CF104=0,0,_xlfn.XLOOKUP(CM104,CP102:CP105,CQ102:CQ105))</f>
        <v>0</v>
      </c>
      <c r="CO104" s="45"/>
      <c r="CP104" s="24">
        <f>+LARGE(CM102:CM105,3)</f>
        <v>0</v>
      </c>
      <c r="CQ104" s="24">
        <f>+CR104/$BW$1</f>
        <v>0.1</v>
      </c>
      <c r="CR104" s="23">
        <v>1</v>
      </c>
    </row>
    <row r="105" spans="1:102" x14ac:dyDescent="0.2">
      <c r="A105" s="38" t="s">
        <v>199</v>
      </c>
      <c r="B105" s="39">
        <v>46196</v>
      </c>
      <c r="C105" s="40"/>
      <c r="D105" s="41"/>
      <c r="E105" s="42" t="s">
        <v>77</v>
      </c>
      <c r="F105" s="43">
        <v>0</v>
      </c>
      <c r="G105" s="43">
        <v>3</v>
      </c>
      <c r="H105" s="44" t="s">
        <v>57</v>
      </c>
      <c r="J105" s="24" t="str">
        <f t="shared" si="465"/>
        <v>Croacia</v>
      </c>
      <c r="K105" s="24" t="str">
        <f t="shared" si="466"/>
        <v/>
      </c>
      <c r="L105" s="24" t="str">
        <f t="shared" si="467"/>
        <v/>
      </c>
      <c r="M105" s="24" t="str">
        <f t="shared" si="468"/>
        <v>Panama</v>
      </c>
      <c r="O105" s="26" t="str">
        <f>+H103</f>
        <v>Panama</v>
      </c>
      <c r="P105" s="24">
        <f>+COUNTIF(J102:J107,"="&amp;$O105)</f>
        <v>0</v>
      </c>
      <c r="Q105" s="24">
        <f>+COUNTIF(K102:L107,"="&amp;$O105)</f>
        <v>0</v>
      </c>
      <c r="R105" s="24">
        <f>+COUNTIF(M102:M107,"="&amp;$O105)</f>
        <v>3</v>
      </c>
      <c r="S105" s="24">
        <f t="shared" si="469"/>
        <v>-9</v>
      </c>
      <c r="T105" s="24">
        <f t="shared" ref="T105" si="481">+SUMIF(E102:E107,$O105,F102:F107)+SUMIF(H102:H107,$O105,G102:G107)</f>
        <v>0</v>
      </c>
      <c r="U105" s="24">
        <f t="shared" ref="U105" si="482">+SUMIF(E102:E107,$O105,G102:G107)+SUMIF(H102:H107,$O105,F102:F107)</f>
        <v>9</v>
      </c>
      <c r="V105" s="45">
        <f t="shared" si="472"/>
        <v>-8.9894999999999992E-3</v>
      </c>
      <c r="W105" s="26" t="str">
        <f t="shared" si="473"/>
        <v>Panama</v>
      </c>
      <c r="Y105" s="74" t="str">
        <f>+CONCATENATE("4",RIGHT(E101,1))</f>
        <v>4L</v>
      </c>
      <c r="Z105" s="75" t="str">
        <f>+VLOOKUP(AL105,V102:W105,2,FALSE)</f>
        <v>Panama</v>
      </c>
      <c r="AA105" s="76">
        <f t="shared" si="474"/>
        <v>3</v>
      </c>
      <c r="AB105" s="77">
        <f t="shared" si="475"/>
        <v>0</v>
      </c>
      <c r="AC105" s="77">
        <f t="shared" si="455"/>
        <v>0</v>
      </c>
      <c r="AD105" s="77">
        <f t="shared" si="456"/>
        <v>3</v>
      </c>
      <c r="AE105" s="77">
        <f t="shared" si="457"/>
        <v>-9</v>
      </c>
      <c r="AF105" s="77">
        <f t="shared" si="458"/>
        <v>0</v>
      </c>
      <c r="AG105" s="77">
        <f t="shared" si="459"/>
        <v>9</v>
      </c>
      <c r="AH105" s="78">
        <f t="shared" si="459"/>
        <v>-8.9894999999999992E-3</v>
      </c>
      <c r="AI105" s="73"/>
      <c r="AL105" s="45">
        <f>+LARGE(V102:V105,4)</f>
        <v>-8.9894999999999992E-3</v>
      </c>
      <c r="AM105" s="52">
        <f>+(AH105-AL105)*100000000000000000000</f>
        <v>0</v>
      </c>
      <c r="AP105" s="53" t="str">
        <f>+O105</f>
        <v>Panama</v>
      </c>
      <c r="AQ105" s="23">
        <f>+P105*3+Q105*1+BT105+CN105+S105/1000+T105/10000</f>
        <v>-8.9999999999999993E-3</v>
      </c>
      <c r="AS105" s="54">
        <f t="shared" si="476"/>
        <v>0</v>
      </c>
      <c r="AT105" s="54">
        <f>+IF(AND(AM106="si",OR(AR102=1,AR103=1,AR104=1)),1,0)</f>
        <v>0</v>
      </c>
      <c r="AU105" s="79" t="str">
        <f t="shared" si="477"/>
        <v>Panama</v>
      </c>
      <c r="AV105" s="80"/>
      <c r="AX105" s="23" t="str">
        <f>+Y101</f>
        <v>Grupo L</v>
      </c>
      <c r="AY105" s="24" t="str">
        <f>+O105</f>
        <v>Panama</v>
      </c>
      <c r="AZ105" s="29">
        <f>+P105*3+Q105</f>
        <v>0</v>
      </c>
      <c r="BA105" s="29">
        <f>+COUNTIFS($AX$1:AX105,AX105,$AZ$1:AZ105,AZ105)</f>
        <v>1</v>
      </c>
      <c r="BB105" s="29">
        <f>+IF(AZ105=BF100,ROW()*0.001,AZ105)</f>
        <v>0</v>
      </c>
      <c r="BC105" s="29">
        <f>+COUNTIFS($AX$1:AZ105,AZ105,$AZ$1:BB105,BB105)</f>
        <v>10</v>
      </c>
      <c r="BD105" s="29"/>
      <c r="BE105" s="25" t="str">
        <f>+IF(OR(BF105="-",BI105="-",BF100=0),"-","OK")</f>
        <v>-</v>
      </c>
      <c r="BF105" s="57" t="str">
        <f>+IF(_xlfn.XLOOKUP($E105,$AY:$AY,$AZ:$AZ,"-",0)=BF100,$E105,"-")</f>
        <v>-</v>
      </c>
      <c r="BG105" s="58">
        <f t="shared" si="460"/>
        <v>0</v>
      </c>
      <c r="BH105" s="59">
        <f t="shared" si="461"/>
        <v>3</v>
      </c>
      <c r="BI105" s="57" t="str">
        <f>+IF(_xlfn.XLOOKUP($H105,$AY:$AY,$AZ:$AZ,"-",0)=BF100,$H105,"-")</f>
        <v>-</v>
      </c>
      <c r="BK105" s="26" t="str">
        <f>+O105</f>
        <v>Panama</v>
      </c>
      <c r="BL105" s="26">
        <f>+COUNTIFS($BE:$BE,"OK",$BI:$BI,BK105)+COUNTIFS($BE:$BE,"OK",$BF:$BF,BK105)</f>
        <v>0</v>
      </c>
      <c r="BM105" s="24">
        <f>+COUNTIFS(J:J,$BK105,$BE:$BE,"OK")</f>
        <v>0</v>
      </c>
      <c r="BN105" s="24">
        <f>+COUNTIFS(K:K,$BK105,$BE:$BE,"OK")+COUNTIFS(L:L,$BK105,$BE:$BE,"OK")</f>
        <v>0</v>
      </c>
      <c r="BO105" s="24">
        <f>+COUNTIFS(M:M,$BK105,$BE:$BE,"OK")</f>
        <v>0</v>
      </c>
      <c r="BP105" s="24">
        <f>+BQ105-BR105</f>
        <v>0</v>
      </c>
      <c r="BQ105" s="24">
        <f>+SUMIFS(BG:BG,$BE:$BE,"OK",BF:BF,$BK105)+SUMIFS(BH:BH,$BE:$BE,"OK",BI:BI,$BK105)</f>
        <v>0</v>
      </c>
      <c r="BR105" s="24">
        <f>+SUMIFS(BH:BH,$BE:$BE,"OK",BF:BF,$BK105)+SUMIFS(BG:BG,$BE:$BE,"OK",BI:BI,$BK105)</f>
        <v>0</v>
      </c>
      <c r="BS105" s="60">
        <f>+BM105*3+BN105*1+BP105/100+BQ105/10000</f>
        <v>0</v>
      </c>
      <c r="BT105" s="29">
        <f>+IF(BL105=0,0,_xlfn.XLOOKUP(BS105,BV102:BV105,BW102:BW105))</f>
        <v>0</v>
      </c>
      <c r="BU105" s="45"/>
      <c r="BV105" s="24">
        <f>+LARGE(BS102:BS105,4)</f>
        <v>0</v>
      </c>
      <c r="BW105" s="24">
        <f>+BX105/$BW$1</f>
        <v>0</v>
      </c>
      <c r="BX105" s="23">
        <v>0</v>
      </c>
      <c r="BY105" s="25" t="str">
        <f t="shared" si="462"/>
        <v>-</v>
      </c>
      <c r="BZ105" s="57" t="str">
        <f>+IF(_xlfn.XLOOKUP($E105,$AY:$AY,$AZ:$AZ,"-",0)=BZ100,$E105,"-")</f>
        <v>-</v>
      </c>
      <c r="CA105" s="58">
        <f t="shared" si="463"/>
        <v>0</v>
      </c>
      <c r="CB105" s="59">
        <f t="shared" si="464"/>
        <v>3</v>
      </c>
      <c r="CC105" s="57" t="str">
        <f>+IF(_xlfn.XLOOKUP($H105,$AY:$AY,$AZ:$AZ,"-",0)=BZ100,$H105,"-")</f>
        <v>-</v>
      </c>
      <c r="CE105" s="26" t="str">
        <f t="shared" si="478"/>
        <v>Panama</v>
      </c>
      <c r="CF105" s="26">
        <f>+COUNTIFS($BY:$BY,"OK",$CC:$CC,CE105)+COUNTIFS($BY:$BY,"OK",$BZ:$BZ,CE105)</f>
        <v>0</v>
      </c>
      <c r="CG105" s="24">
        <f>+COUNTIFS(P:P,$BK105,$BY:$BY,"OK")</f>
        <v>0</v>
      </c>
      <c r="CH105" s="24">
        <f>+COUNTIFS(K:K,$BK105,$BY:$BY,"OK")+COUNTIFS(L:L,$BK105,$BY:$BY,"OK")</f>
        <v>0</v>
      </c>
      <c r="CI105" s="24">
        <f>+COUNTIFS(M:M,$CE105,$BY:$BY,"OK")</f>
        <v>0</v>
      </c>
      <c r="CJ105" s="24">
        <f>+CK105-CL105</f>
        <v>0</v>
      </c>
      <c r="CK105" s="24">
        <f>+SUMIFS(CA:CA,$BY:$BY,"OK",BZ:BZ,$BK105)+SUMIFS(CB:CB,$BY:$BY,"OK",CC:CC,$BK105)</f>
        <v>0</v>
      </c>
      <c r="CL105" s="24">
        <f>+SUMIFS(CB:CB,$BY:$BY,"OK",BZ:BZ,$BK105)+SUMIFS(CA:CA,$BY:$BY,"OK",CC:CC,$BK105)</f>
        <v>0</v>
      </c>
      <c r="CM105" s="60">
        <f>+CG105*3+CH105*1+CJ105/100+CK105/10000</f>
        <v>0</v>
      </c>
      <c r="CN105" s="29">
        <f>+IF(CF105=0,0,_xlfn.XLOOKUP(CM105,CP102:CP105,CQ102:CQ105))</f>
        <v>0</v>
      </c>
      <c r="CO105" s="45"/>
      <c r="CP105" s="24">
        <f>+LARGE(CM102:CM105,4)</f>
        <v>0</v>
      </c>
      <c r="CQ105" s="24">
        <f>+CR105/$BW$1</f>
        <v>0</v>
      </c>
      <c r="CR105" s="23">
        <v>0</v>
      </c>
    </row>
    <row r="106" spans="1:102" x14ac:dyDescent="0.2">
      <c r="A106" s="38" t="s">
        <v>200</v>
      </c>
      <c r="B106" s="39">
        <v>46200</v>
      </c>
      <c r="C106" s="40"/>
      <c r="D106" s="41"/>
      <c r="E106" s="42" t="s">
        <v>77</v>
      </c>
      <c r="F106" s="43">
        <v>0</v>
      </c>
      <c r="G106" s="43">
        <v>4</v>
      </c>
      <c r="H106" s="44" t="s">
        <v>51</v>
      </c>
      <c r="J106" s="24" t="str">
        <f t="shared" si="465"/>
        <v>Inglaterra</v>
      </c>
      <c r="K106" s="24" t="str">
        <f t="shared" si="466"/>
        <v/>
      </c>
      <c r="L106" s="24" t="str">
        <f t="shared" si="467"/>
        <v/>
      </c>
      <c r="M106" s="24" t="str">
        <f t="shared" si="468"/>
        <v>Panama</v>
      </c>
      <c r="AL106" s="25" t="s">
        <v>122</v>
      </c>
      <c r="AM106" s="52" t="str">
        <f>+IF(SUM(AA102:AA105)=12,"si","no")</f>
        <v>si</v>
      </c>
      <c r="BE106" s="25" t="str">
        <f>+IF(OR(BF106="-",BI106="-",BF100=0),"-","OK")</f>
        <v>-</v>
      </c>
      <c r="BF106" s="57" t="str">
        <f>+IF(_xlfn.XLOOKUP($E106,$AY:$AY,$AZ:$AZ,"-",0)=BF100,$E106,"-")</f>
        <v>-</v>
      </c>
      <c r="BG106" s="58">
        <f t="shared" si="460"/>
        <v>0</v>
      </c>
      <c r="BH106" s="59">
        <f t="shared" si="461"/>
        <v>4</v>
      </c>
      <c r="BI106" s="57" t="str">
        <f>+IF(_xlfn.XLOOKUP($H106,$AY:$AY,$AZ:$AZ,"-",0)=BF100,$H106,"-")</f>
        <v>-</v>
      </c>
      <c r="BY106" s="25" t="str">
        <f t="shared" si="462"/>
        <v>-</v>
      </c>
      <c r="BZ106" s="57" t="str">
        <f>+IF(_xlfn.XLOOKUP($E106,$AY:$AY,$AZ:$AZ,"-",0)=BZ100,$E106,"-")</f>
        <v>-</v>
      </c>
      <c r="CA106" s="58">
        <f t="shared" si="463"/>
        <v>0</v>
      </c>
      <c r="CB106" s="59">
        <f t="shared" si="464"/>
        <v>4</v>
      </c>
      <c r="CC106" s="57" t="str">
        <f>+IF(_xlfn.XLOOKUP($H106,$AY:$AY,$AZ:$AZ,"-",0)=BZ100,$H106,"-")</f>
        <v>Inglaterra</v>
      </c>
    </row>
    <row r="107" spans="1:102" x14ac:dyDescent="0.2">
      <c r="A107" s="38" t="s">
        <v>201</v>
      </c>
      <c r="B107" s="39">
        <v>46200</v>
      </c>
      <c r="C107" s="40"/>
      <c r="D107" s="41"/>
      <c r="E107" s="42" t="s">
        <v>57</v>
      </c>
      <c r="F107" s="43">
        <v>2</v>
      </c>
      <c r="G107" s="43">
        <v>1</v>
      </c>
      <c r="H107" s="44" t="s">
        <v>85</v>
      </c>
      <c r="J107" s="24" t="str">
        <f t="shared" si="465"/>
        <v>Croacia</v>
      </c>
      <c r="K107" s="24" t="str">
        <f t="shared" si="466"/>
        <v/>
      </c>
      <c r="L107" s="24" t="str">
        <f t="shared" si="467"/>
        <v/>
      </c>
      <c r="M107" s="24" t="str">
        <f t="shared" si="468"/>
        <v>Ghana</v>
      </c>
      <c r="Y107" s="53" t="s">
        <v>124</v>
      </c>
      <c r="AR107" s="23">
        <f>+IF(AND(AM106="si",OR(AR102=1,AR103=1,AR104=1)),1,0)</f>
        <v>0</v>
      </c>
      <c r="BE107" s="25" t="str">
        <f>+IF(OR(BF107="-",BI107="-",BF100=0),"-","OK")</f>
        <v>-</v>
      </c>
      <c r="BF107" s="57" t="str">
        <f>+IF(_xlfn.XLOOKUP($E107,$AY:$AY,$AZ:$AZ,"-",0)=BF100,$E107,"-")</f>
        <v>-</v>
      </c>
      <c r="BG107" s="58">
        <f t="shared" si="460"/>
        <v>2</v>
      </c>
      <c r="BH107" s="59">
        <f t="shared" si="461"/>
        <v>1</v>
      </c>
      <c r="BI107" s="57" t="str">
        <f>+IF(_xlfn.XLOOKUP($H107,$AY:$AY,$AZ:$AZ,"-",0)=BF100,$H107,"-")</f>
        <v>-</v>
      </c>
      <c r="BY107" s="25" t="str">
        <f t="shared" si="462"/>
        <v>-</v>
      </c>
      <c r="BZ107" s="57" t="str">
        <f>+IF(_xlfn.XLOOKUP($E107,$AY:$AY,$AZ:$AZ,"-",0)=BZ100,$E107,"-")</f>
        <v>-</v>
      </c>
      <c r="CA107" s="58">
        <f t="shared" si="463"/>
        <v>2</v>
      </c>
      <c r="CB107" s="59">
        <f t="shared" si="464"/>
        <v>1</v>
      </c>
      <c r="CC107" s="57" t="str">
        <f>+IF(_xlfn.XLOOKUP($H107,$AY:$AY,$AZ:$AZ,"-",0)=BZ100,$H107,"-")</f>
        <v>-</v>
      </c>
    </row>
    <row r="108" spans="1:102" s="83" customFormat="1" x14ac:dyDescent="0.2">
      <c r="A108" s="81"/>
      <c r="B108" s="82"/>
      <c r="C108" s="81"/>
      <c r="E108" s="84"/>
      <c r="F108" s="81"/>
      <c r="G108" s="81"/>
      <c r="H108" s="85"/>
      <c r="J108" s="81"/>
      <c r="K108" s="81"/>
      <c r="L108" s="81"/>
      <c r="M108" s="81"/>
      <c r="AV108" s="86"/>
      <c r="AW108" s="86"/>
      <c r="BE108" s="81"/>
      <c r="CW108" s="81"/>
      <c r="CX108" s="81"/>
    </row>
  </sheetData>
  <mergeCells count="12">
    <mergeCell ref="Y83:Z83"/>
    <mergeCell ref="Y92:Z92"/>
    <mergeCell ref="Y101:Z101"/>
    <mergeCell ref="Y56:Z56"/>
    <mergeCell ref="Y65:Z65"/>
    <mergeCell ref="Y74:Z74"/>
    <mergeCell ref="Y29:Z29"/>
    <mergeCell ref="Y38:Z38"/>
    <mergeCell ref="Y47:Z47"/>
    <mergeCell ref="Y2:Z2"/>
    <mergeCell ref="Y11:Z11"/>
    <mergeCell ref="Y20:Z20"/>
  </mergeCells>
  <phoneticPr fontId="6" type="noConversion"/>
  <conditionalFormatting sqref="Y8">
    <cfRule type="expression" dxfId="195" priority="141">
      <formula>AR8=1</formula>
    </cfRule>
  </conditionalFormatting>
  <conditionalFormatting sqref="Y17">
    <cfRule type="expression" dxfId="194" priority="142">
      <formula>AR17=1</formula>
    </cfRule>
  </conditionalFormatting>
  <conditionalFormatting sqref="Y26">
    <cfRule type="expression" dxfId="193" priority="143">
      <formula>AR26=1</formula>
    </cfRule>
  </conditionalFormatting>
  <conditionalFormatting sqref="Y35">
    <cfRule type="expression" dxfId="192" priority="144">
      <formula>AR35=1</formula>
    </cfRule>
  </conditionalFormatting>
  <conditionalFormatting sqref="Y44">
    <cfRule type="expression" dxfId="191" priority="145">
      <formula>AR44=1</formula>
    </cfRule>
  </conditionalFormatting>
  <conditionalFormatting sqref="Y53">
    <cfRule type="expression" dxfId="190" priority="156">
      <formula>AR53=1</formula>
    </cfRule>
  </conditionalFormatting>
  <conditionalFormatting sqref="Y62">
    <cfRule type="expression" dxfId="189" priority="147">
      <formula>AR62=1</formula>
    </cfRule>
  </conditionalFormatting>
  <conditionalFormatting sqref="Y71">
    <cfRule type="expression" dxfId="188" priority="146">
      <formula>AR71=1</formula>
    </cfRule>
  </conditionalFormatting>
  <conditionalFormatting sqref="Y80">
    <cfRule type="expression" dxfId="187" priority="138">
      <formula>AR80=1</formula>
    </cfRule>
  </conditionalFormatting>
  <conditionalFormatting sqref="Y89">
    <cfRule type="expression" dxfId="186" priority="135">
      <formula>AR89=1</formula>
    </cfRule>
  </conditionalFormatting>
  <conditionalFormatting sqref="Y98">
    <cfRule type="expression" dxfId="185" priority="132">
      <formula>AR98=1</formula>
    </cfRule>
  </conditionalFormatting>
  <conditionalFormatting sqref="Y107">
    <cfRule type="expression" dxfId="184" priority="129">
      <formula>AR107=1</formula>
    </cfRule>
  </conditionalFormatting>
  <conditionalFormatting sqref="Y3:AI4 Y6:AI6 Y5:AH5">
    <cfRule type="expression" dxfId="183" priority="164">
      <formula>$AM$7="no"</formula>
    </cfRule>
  </conditionalFormatting>
  <conditionalFormatting sqref="Y12:AH15">
    <cfRule type="expression" dxfId="182" priority="163">
      <formula>$AM$16="no"</formula>
    </cfRule>
  </conditionalFormatting>
  <conditionalFormatting sqref="Y21:AH24">
    <cfRule type="expression" dxfId="181" priority="162">
      <formula>$AM$25="no"</formula>
    </cfRule>
  </conditionalFormatting>
  <conditionalFormatting sqref="Y30:AH33">
    <cfRule type="expression" dxfId="180" priority="161">
      <formula>$AM$34="no"</formula>
    </cfRule>
  </conditionalFormatting>
  <conditionalFormatting sqref="Y39:AH42">
    <cfRule type="expression" dxfId="179" priority="160">
      <formula>$AM$43="no"</formula>
    </cfRule>
  </conditionalFormatting>
  <conditionalFormatting sqref="Y48:AH51">
    <cfRule type="expression" dxfId="178" priority="159">
      <formula>$AM$52="no"</formula>
    </cfRule>
  </conditionalFormatting>
  <conditionalFormatting sqref="Y57:AH60">
    <cfRule type="expression" dxfId="177" priority="158">
      <formula>$AM$61="no"</formula>
    </cfRule>
  </conditionalFormatting>
  <conditionalFormatting sqref="Y66:AH69">
    <cfRule type="expression" dxfId="176" priority="157">
      <formula>$AM$70="no"</formula>
    </cfRule>
  </conditionalFormatting>
  <conditionalFormatting sqref="Y75:AH78">
    <cfRule type="expression" dxfId="175" priority="122">
      <formula>$AM$79="no"</formula>
    </cfRule>
  </conditionalFormatting>
  <conditionalFormatting sqref="Y84:AH87">
    <cfRule type="expression" dxfId="174" priority="125">
      <formula>$AM$88="no"</formula>
    </cfRule>
  </conditionalFormatting>
  <conditionalFormatting sqref="Y93:AH96">
    <cfRule type="expression" dxfId="173" priority="124">
      <formula>$AM$97="no"</formula>
    </cfRule>
  </conditionalFormatting>
  <conditionalFormatting sqref="AP12:AP15">
    <cfRule type="expression" dxfId="172" priority="121">
      <formula>$AR$8=1</formula>
    </cfRule>
  </conditionalFormatting>
  <conditionalFormatting sqref="AP21:AP24">
    <cfRule type="expression" dxfId="171" priority="120">
      <formula>$AR$8=1</formula>
    </cfRule>
  </conditionalFormatting>
  <conditionalFormatting sqref="AP30:AP33">
    <cfRule type="expression" dxfId="170" priority="119">
      <formula>$AR$8=1</formula>
    </cfRule>
  </conditionalFormatting>
  <conditionalFormatting sqref="AP39:AP42">
    <cfRule type="expression" dxfId="169" priority="118">
      <formula>$AR$8=1</formula>
    </cfRule>
  </conditionalFormatting>
  <conditionalFormatting sqref="AP48:AP51">
    <cfRule type="expression" dxfId="168" priority="117">
      <formula>$AR$8=1</formula>
    </cfRule>
  </conditionalFormatting>
  <conditionalFormatting sqref="AP57:AP60">
    <cfRule type="expression" dxfId="167" priority="116">
      <formula>$AR$8=1</formula>
    </cfRule>
  </conditionalFormatting>
  <conditionalFormatting sqref="AP66:AP69">
    <cfRule type="expression" dxfId="166" priority="115">
      <formula>$AR$8=1</formula>
    </cfRule>
  </conditionalFormatting>
  <conditionalFormatting sqref="AP75:AP78">
    <cfRule type="expression" dxfId="165" priority="114">
      <formula>$AR$8=1</formula>
    </cfRule>
  </conditionalFormatting>
  <conditionalFormatting sqref="AP84:AP87">
    <cfRule type="expression" dxfId="164" priority="113">
      <formula>$AR$8=1</formula>
    </cfRule>
  </conditionalFormatting>
  <conditionalFormatting sqref="AP93:AP96">
    <cfRule type="expression" dxfId="163" priority="112">
      <formula>$AR$8=1</formula>
    </cfRule>
  </conditionalFormatting>
  <conditionalFormatting sqref="AP102:AP105">
    <cfRule type="expression" dxfId="162" priority="111">
      <formula>$AR$8=1</formula>
    </cfRule>
  </conditionalFormatting>
  <conditionalFormatting sqref="AV30:AV33">
    <cfRule type="expression" dxfId="161" priority="96">
      <formula>AT30=1</formula>
    </cfRule>
  </conditionalFormatting>
  <conditionalFormatting sqref="Y5:AH5">
    <cfRule type="expression" dxfId="160" priority="92">
      <formula>$AI5=1</formula>
    </cfRule>
  </conditionalFormatting>
  <conditionalFormatting sqref="AI104">
    <cfRule type="expression" dxfId="159" priority="81">
      <formula>$AM$7="no"</formula>
    </cfRule>
  </conditionalFormatting>
  <conditionalFormatting sqref="Y14:AH14">
    <cfRule type="expression" dxfId="158" priority="79">
      <formula>$AI14=1</formula>
    </cfRule>
  </conditionalFormatting>
  <conditionalFormatting sqref="Y23:AH23">
    <cfRule type="expression" dxfId="157" priority="77">
      <formula>$AI23=1</formula>
    </cfRule>
  </conditionalFormatting>
  <conditionalFormatting sqref="Y32:AH32">
    <cfRule type="expression" dxfId="156" priority="75">
      <formula>$AI32=1</formula>
    </cfRule>
  </conditionalFormatting>
  <conditionalFormatting sqref="Y41:AH41">
    <cfRule type="expression" dxfId="155" priority="73">
      <formula>$AI41=1</formula>
    </cfRule>
  </conditionalFormatting>
  <conditionalFormatting sqref="Y50:AH50">
    <cfRule type="expression" dxfId="154" priority="71">
      <formula>$AI50=1</formula>
    </cfRule>
  </conditionalFormatting>
  <conditionalFormatting sqref="Y59:AH59">
    <cfRule type="expression" dxfId="153" priority="69">
      <formula>$AI59=1</formula>
    </cfRule>
  </conditionalFormatting>
  <conditionalFormatting sqref="Y68:AH68">
    <cfRule type="expression" dxfId="152" priority="67">
      <formula>$AI68=1</formula>
    </cfRule>
  </conditionalFormatting>
  <conditionalFormatting sqref="Y77:AH77">
    <cfRule type="expression" dxfId="151" priority="65">
      <formula>$AI77=1</formula>
    </cfRule>
  </conditionalFormatting>
  <conditionalFormatting sqref="Y102:AH105">
    <cfRule type="expression" dxfId="150" priority="60">
      <formula>$AM$106="no"</formula>
    </cfRule>
  </conditionalFormatting>
  <conditionalFormatting sqref="AI95">
    <cfRule type="expression" dxfId="149" priority="58">
      <formula>$AM$7="no"</formula>
    </cfRule>
  </conditionalFormatting>
  <conditionalFormatting sqref="AI86">
    <cfRule type="expression" dxfId="148" priority="57">
      <formula>$AM$7="no"</formula>
    </cfRule>
  </conditionalFormatting>
  <conditionalFormatting sqref="AI77">
    <cfRule type="expression" dxfId="147" priority="56">
      <formula>$AM$7="no"</formula>
    </cfRule>
  </conditionalFormatting>
  <conditionalFormatting sqref="AI68">
    <cfRule type="expression" dxfId="146" priority="55">
      <formula>$AM$7="no"</formula>
    </cfRule>
  </conditionalFormatting>
  <conditionalFormatting sqref="AI59">
    <cfRule type="expression" dxfId="145" priority="54">
      <formula>$AM$7="no"</formula>
    </cfRule>
  </conditionalFormatting>
  <conditionalFormatting sqref="AI50">
    <cfRule type="expression" dxfId="144" priority="53">
      <formula>$AM$7="no"</formula>
    </cfRule>
  </conditionalFormatting>
  <conditionalFormatting sqref="AI41">
    <cfRule type="expression" dxfId="143" priority="52">
      <formula>$AM$7="no"</formula>
    </cfRule>
  </conditionalFormatting>
  <conditionalFormatting sqref="AI32">
    <cfRule type="expression" dxfId="142" priority="51">
      <formula>$AM$7="no"</formula>
    </cfRule>
  </conditionalFormatting>
  <conditionalFormatting sqref="AI23">
    <cfRule type="expression" dxfId="141" priority="50">
      <formula>$AM$7="no"</formula>
    </cfRule>
  </conditionalFormatting>
  <conditionalFormatting sqref="AI14">
    <cfRule type="expression" dxfId="140" priority="49">
      <formula>$AM$7="no"</formula>
    </cfRule>
  </conditionalFormatting>
  <conditionalFormatting sqref="AI5">
    <cfRule type="expression" dxfId="139" priority="48">
      <formula>$AM$7="no"</formula>
    </cfRule>
  </conditionalFormatting>
  <conditionalFormatting sqref="CV1:CX13">
    <cfRule type="expression" dxfId="138" priority="1">
      <formula>$CS$4="-"</formula>
    </cfRule>
  </conditionalFormatting>
  <conditionalFormatting sqref="CW2:CX13">
    <cfRule type="cellIs" dxfId="137" priority="44" operator="equal">
      <formula>"Draw - Select"</formula>
    </cfRule>
    <cfRule type="cellIs" dxfId="136" priority="45" operator="equal">
      <formula>"OUT"</formula>
    </cfRule>
    <cfRule type="cellIs" dxfId="135" priority="46" operator="equal">
      <formula>"IN"</formula>
    </cfRule>
  </conditionalFormatting>
  <conditionalFormatting sqref="Y86:AH86">
    <cfRule type="expression" dxfId="134" priority="42">
      <formula>$AI86=1</formula>
    </cfRule>
  </conditionalFormatting>
  <conditionalFormatting sqref="Y95:AH95">
    <cfRule type="expression" dxfId="133" priority="40">
      <formula>$AI95=1</formula>
    </cfRule>
  </conditionalFormatting>
  <conditionalFormatting sqref="Y104:AH104">
    <cfRule type="expression" dxfId="132" priority="38">
      <formula>$AI104=1</formula>
    </cfRule>
  </conditionalFormatting>
  <conditionalFormatting sqref="AU30:AU33">
    <cfRule type="expression" dxfId="131" priority="37">
      <formula>AT30=1</formula>
    </cfRule>
  </conditionalFormatting>
  <conditionalFormatting sqref="AV21:AV24">
    <cfRule type="expression" dxfId="130" priority="25">
      <formula>AT21=1</formula>
    </cfRule>
  </conditionalFormatting>
  <conditionalFormatting sqref="AU21:AU24">
    <cfRule type="expression" dxfId="129" priority="24">
      <formula>AT21=1</formula>
    </cfRule>
  </conditionalFormatting>
  <conditionalFormatting sqref="AV12:AV15">
    <cfRule type="expression" dxfId="128" priority="23">
      <formula>AT12=1</formula>
    </cfRule>
  </conditionalFormatting>
  <conditionalFormatting sqref="AU12:AU15">
    <cfRule type="expression" dxfId="127" priority="22">
      <formula>AT12=1</formula>
    </cfRule>
  </conditionalFormatting>
  <conditionalFormatting sqref="AV3:AV6">
    <cfRule type="expression" dxfId="126" priority="21">
      <formula>AT3=1</formula>
    </cfRule>
  </conditionalFormatting>
  <conditionalFormatting sqref="AU3:AU6">
    <cfRule type="expression" dxfId="125" priority="20">
      <formula>AT3=1</formula>
    </cfRule>
  </conditionalFormatting>
  <conditionalFormatting sqref="AV39:AV42">
    <cfRule type="expression" dxfId="124" priority="19">
      <formula>AT39=1</formula>
    </cfRule>
  </conditionalFormatting>
  <conditionalFormatting sqref="AU39:AU42">
    <cfRule type="expression" dxfId="123" priority="18">
      <formula>AT39=1</formula>
    </cfRule>
  </conditionalFormatting>
  <conditionalFormatting sqref="AV48:AV51">
    <cfRule type="expression" dxfId="122" priority="17">
      <formula>AT48=1</formula>
    </cfRule>
  </conditionalFormatting>
  <conditionalFormatting sqref="AU48:AU51">
    <cfRule type="expression" dxfId="121" priority="16">
      <formula>AT48=1</formula>
    </cfRule>
  </conditionalFormatting>
  <conditionalFormatting sqref="AV57:AV60">
    <cfRule type="expression" dxfId="120" priority="15">
      <formula>AT57=1</formula>
    </cfRule>
  </conditionalFormatting>
  <conditionalFormatting sqref="AU57:AU60">
    <cfRule type="expression" dxfId="119" priority="14">
      <formula>AT57=1</formula>
    </cfRule>
  </conditionalFormatting>
  <conditionalFormatting sqref="AV66:AV69">
    <cfRule type="expression" dxfId="118" priority="13">
      <formula>AT66=1</formula>
    </cfRule>
  </conditionalFormatting>
  <conditionalFormatting sqref="AU66:AU69">
    <cfRule type="expression" dxfId="117" priority="12">
      <formula>AT66=1</formula>
    </cfRule>
  </conditionalFormatting>
  <conditionalFormatting sqref="AV75:AV78">
    <cfRule type="expression" dxfId="116" priority="11">
      <formula>AT75=1</formula>
    </cfRule>
  </conditionalFormatting>
  <conditionalFormatting sqref="AU75:AU78">
    <cfRule type="expression" dxfId="115" priority="10">
      <formula>AT75=1</formula>
    </cfRule>
  </conditionalFormatting>
  <conditionalFormatting sqref="AV93:AV96">
    <cfRule type="expression" dxfId="114" priority="7">
      <formula>AT93=1</formula>
    </cfRule>
  </conditionalFormatting>
  <conditionalFormatting sqref="AU93:AU96">
    <cfRule type="expression" dxfId="113" priority="6">
      <formula>AT93=1</formula>
    </cfRule>
  </conditionalFormatting>
  <conditionalFormatting sqref="AV102:AV105">
    <cfRule type="expression" dxfId="112" priority="5">
      <formula>AT102=1</formula>
    </cfRule>
  </conditionalFormatting>
  <conditionalFormatting sqref="AU102:AU105">
    <cfRule type="expression" dxfId="111" priority="4">
      <formula>AT102=1</formula>
    </cfRule>
  </conditionalFormatting>
  <conditionalFormatting sqref="AV84:AV87">
    <cfRule type="expression" dxfId="110" priority="3">
      <formula>AT84=1</formula>
    </cfRule>
  </conditionalFormatting>
  <conditionalFormatting sqref="AU84:AU87">
    <cfRule type="expression" dxfId="109" priority="2">
      <formula>AT84=1</formula>
    </cfRule>
  </conditionalFormatting>
  <conditionalFormatting sqref="CX2:CX13">
    <cfRule type="expression" dxfId="108" priority="47">
      <formula>CW2="Draw - Select"</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6FB3196F-2437-43BF-A888-8AD60139F126}">
          <x14:formula1>
            <xm:f>Aux!$A$3:$A$6</xm:f>
          </x14:formula1>
          <xm:sqref>AV93:AV96 AV12:AV15 AV30:AV33 AV3:AV6 AV39:AV42 AV48:AV51 AV66:AV69 AV57:AV60 AV75:AV78 AV102:AV105 AV21:AV24 AV84:AV87</xm:sqref>
        </x14:dataValidation>
        <x14:dataValidation type="list" allowBlank="1" showInputMessage="1" showErrorMessage="1" xr:uid="{87DCD615-444C-4F5D-B6BC-E83917BFB97F}">
          <x14:formula1>
            <xm:f>Aux!$C$3:$C$5</xm:f>
          </x14:formula1>
          <xm:sqref>CX2:CX13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362A6-07BE-44AA-88B5-3153F0DEB6D7}">
  <sheetPr>
    <tabColor theme="1"/>
  </sheetPr>
  <dimension ref="A1:AD100"/>
  <sheetViews>
    <sheetView zoomScale="90" zoomScaleNormal="90" workbookViewId="0">
      <selection activeCell="V35" sqref="V35"/>
    </sheetView>
  </sheetViews>
  <sheetFormatPr defaultColWidth="8.75" defaultRowHeight="14.25" x14ac:dyDescent="0.2"/>
  <cols>
    <col min="1" max="1" width="4.75" style="105" customWidth="1"/>
    <col min="2" max="2" width="16.125" style="109" customWidth="1"/>
    <col min="3" max="4" width="3.25" style="109" customWidth="1"/>
    <col min="5" max="5" width="16.125" style="109" customWidth="1"/>
    <col min="6" max="6" width="4" style="105" customWidth="1"/>
    <col min="7" max="7" width="4.75" style="105" customWidth="1"/>
    <col min="8" max="8" width="16.125" style="109" customWidth="1"/>
    <col min="9" max="10" width="3.75" style="109" customWidth="1"/>
    <col min="11" max="11" width="16.125" style="109" customWidth="1"/>
    <col min="12" max="12" width="8.75" style="105"/>
    <col min="13" max="13" width="1.875" style="106" customWidth="1"/>
    <col min="14" max="14" width="1.875" style="107" customWidth="1"/>
    <col min="15" max="15" width="4.75" style="108" customWidth="1"/>
    <col min="16" max="16" width="16.125" style="109" customWidth="1"/>
    <col min="17" max="18" width="4.5" style="109" customWidth="1"/>
    <col min="19" max="19" width="16.125" style="109" customWidth="1"/>
    <col min="20" max="20" width="4" style="109" customWidth="1"/>
    <col min="21" max="21" width="4.75" style="109" customWidth="1"/>
    <col min="22" max="22" width="16.125" style="109" customWidth="1"/>
    <col min="23" max="24" width="3.75" style="109" customWidth="1"/>
    <col min="25" max="25" width="16.125" style="109" customWidth="1"/>
    <col min="26" max="30" width="8.75" style="108"/>
    <col min="31" max="16384" width="8.75" style="109"/>
  </cols>
  <sheetData>
    <row r="1" spans="1:25" x14ac:dyDescent="0.2">
      <c r="B1" s="105"/>
      <c r="C1" s="105"/>
      <c r="D1" s="105"/>
      <c r="E1" s="105"/>
      <c r="H1" s="105"/>
      <c r="I1" s="105"/>
      <c r="J1" s="105"/>
      <c r="K1" s="105"/>
      <c r="P1" s="108"/>
      <c r="Q1" s="108"/>
      <c r="R1" s="108"/>
      <c r="S1" s="108"/>
      <c r="T1" s="108"/>
      <c r="U1" s="108"/>
      <c r="V1" s="108"/>
      <c r="W1" s="108"/>
      <c r="X1" s="108"/>
      <c r="Y1" s="108"/>
    </row>
    <row r="2" spans="1:25" x14ac:dyDescent="0.2">
      <c r="B2" s="105"/>
      <c r="C2" s="105"/>
      <c r="D2" s="105"/>
      <c r="E2" s="105"/>
      <c r="H2" s="105"/>
      <c r="I2" s="105"/>
      <c r="J2" s="105"/>
      <c r="K2" s="105"/>
      <c r="P2" s="108"/>
      <c r="Q2" s="108"/>
      <c r="R2" s="108"/>
      <c r="S2" s="108"/>
      <c r="T2" s="108"/>
      <c r="U2" s="108"/>
      <c r="V2" s="108"/>
      <c r="W2" s="108"/>
      <c r="X2" s="108"/>
      <c r="Y2" s="108"/>
    </row>
    <row r="3" spans="1:25" ht="15" thickBot="1" x14ac:dyDescent="0.25">
      <c r="B3" s="105"/>
      <c r="C3" s="105"/>
      <c r="D3" s="105"/>
      <c r="E3" s="105"/>
      <c r="H3" s="105"/>
      <c r="I3" s="105"/>
      <c r="J3" s="105"/>
      <c r="K3" s="105"/>
      <c r="P3" s="108"/>
      <c r="Q3" s="108"/>
      <c r="R3" s="108"/>
      <c r="S3" s="108"/>
      <c r="T3" s="108"/>
      <c r="U3" s="108"/>
      <c r="V3" s="108"/>
      <c r="W3" s="108"/>
      <c r="X3" s="108"/>
      <c r="Y3" s="108"/>
    </row>
    <row r="4" spans="1:25" ht="15" thickTop="1" x14ac:dyDescent="0.2">
      <c r="A4" s="423"/>
      <c r="B4" s="424"/>
      <c r="C4" s="425" t="s">
        <v>202</v>
      </c>
      <c r="D4" s="425" t="s">
        <v>203</v>
      </c>
      <c r="E4" s="426" t="s">
        <v>204</v>
      </c>
      <c r="F4" s="110"/>
      <c r="G4" s="433"/>
      <c r="H4" s="434"/>
      <c r="I4" s="435" t="s">
        <v>205</v>
      </c>
      <c r="J4" s="435" t="str">
        <f>+_xlfn.XLOOKUP(I4,'Mejores 3eros'!$AD$1:$AK$1,'Mejores 3eros'!$AD$3:$AK$3,"-",0)</f>
        <v>3J</v>
      </c>
      <c r="K4" s="436" t="s">
        <v>206</v>
      </c>
      <c r="O4" s="423"/>
      <c r="P4" s="424"/>
      <c r="Q4" s="425" t="s">
        <v>207</v>
      </c>
      <c r="R4" s="425" t="s">
        <v>208</v>
      </c>
      <c r="S4" s="426" t="s">
        <v>209</v>
      </c>
      <c r="T4" s="108"/>
      <c r="U4" s="433"/>
      <c r="V4" s="434"/>
      <c r="W4" s="435" t="s">
        <v>210</v>
      </c>
      <c r="X4" s="435" t="s">
        <v>211</v>
      </c>
      <c r="Y4" s="436" t="s">
        <v>212</v>
      </c>
    </row>
    <row r="5" spans="1:25" x14ac:dyDescent="0.2">
      <c r="A5" s="427" t="s">
        <v>213</v>
      </c>
      <c r="B5" s="111" t="str">
        <f>+_xlfn.XLOOKUP(C4,'Groups Stage'!$Y:$Y,'Groups Stage'!$Z:$Z,"-",0)</f>
        <v>Repubilca Checa</v>
      </c>
      <c r="C5" s="112">
        <v>0</v>
      </c>
      <c r="D5" s="113">
        <v>1</v>
      </c>
      <c r="E5" s="428" t="str">
        <f>+_xlfn.XLOOKUP(D4,'Groups Stage'!$Y:$Y,'Groups Stage'!$Z:$Z,"-",0)</f>
        <v>Suiza</v>
      </c>
      <c r="F5" s="110"/>
      <c r="G5" s="437" t="s">
        <v>214</v>
      </c>
      <c r="H5" s="111" t="str">
        <f>+_xlfn.XLOOKUP(I4,'Groups Stage'!$Y:$Y,'Groups Stage'!$Z:$Z,"-",0)</f>
        <v>Estados Unidos</v>
      </c>
      <c r="I5" s="112">
        <v>2</v>
      </c>
      <c r="J5" s="113">
        <v>0</v>
      </c>
      <c r="K5" s="438" t="str">
        <f>+_xlfn.XLOOKUP(J4,'Groups Stage'!$Y:$Y,'Groups Stage'!$Z:$Z,"-",0)</f>
        <v>Argelia</v>
      </c>
      <c r="O5" s="427" t="s">
        <v>215</v>
      </c>
      <c r="P5" s="111" t="str">
        <f>+_xlfn.XLOOKUP(Q4,$C:$C,$B:$B,_xlfn.XLOOKUP(Q4,$I:$I,$H:$H,"-",0),0)</f>
        <v>Alemania</v>
      </c>
      <c r="Q5" s="112">
        <v>1</v>
      </c>
      <c r="R5" s="113">
        <v>2</v>
      </c>
      <c r="S5" s="428" t="str">
        <f>+_xlfn.XLOOKUP(R4,$C:$C,$B:$B,_xlfn.XLOOKUP(R4,$I:$I,$H:$H,"-",0),0)</f>
        <v>Francia</v>
      </c>
      <c r="T5" s="108"/>
      <c r="U5" s="437" t="s">
        <v>216</v>
      </c>
      <c r="V5" s="111" t="str">
        <f>+_xlfn.XLOOKUP(W4,$C:$C,$B:$B,_xlfn.XLOOKUP(W4,$I:$I,$H:$H,"-",0),0)</f>
        <v>Colombia</v>
      </c>
      <c r="W5" s="112">
        <v>2</v>
      </c>
      <c r="X5" s="113">
        <v>1</v>
      </c>
      <c r="Y5" s="438" t="str">
        <f>+_xlfn.XLOOKUP(X4,$C:$C,$B:$B,_xlfn.XLOOKUP(X4,$I:$I,$H:$H,"-",0),0)</f>
        <v>España</v>
      </c>
    </row>
    <row r="6" spans="1:25" ht="15" thickBot="1" x14ac:dyDescent="0.25">
      <c r="A6" s="429"/>
      <c r="B6" s="430" t="s">
        <v>217</v>
      </c>
      <c r="C6" s="431"/>
      <c r="D6" s="431"/>
      <c r="E6" s="432" t="str">
        <f>+IF(AND(ISNUMBER(C5),ISNUMBER(D5),C5=D5),"Y","N")</f>
        <v>N</v>
      </c>
      <c r="F6" s="110"/>
      <c r="G6" s="439"/>
      <c r="H6" s="440" t="s">
        <v>217</v>
      </c>
      <c r="I6" s="441"/>
      <c r="J6" s="441"/>
      <c r="K6" s="442" t="str">
        <f>+IF(AND(ISNUMBER(I5),ISNUMBER(J5),I5=J5),"Y","N")</f>
        <v>N</v>
      </c>
      <c r="O6" s="429"/>
      <c r="P6" s="430" t="s">
        <v>217</v>
      </c>
      <c r="Q6" s="431"/>
      <c r="R6" s="431"/>
      <c r="S6" s="432" t="str">
        <f>+IF(AND(ISNUMBER(Q5),ISNUMBER(R5),Q5=R5),"Y","N")</f>
        <v>N</v>
      </c>
      <c r="T6" s="108"/>
      <c r="U6" s="439"/>
      <c r="V6" s="440" t="s">
        <v>217</v>
      </c>
      <c r="W6" s="441"/>
      <c r="X6" s="441"/>
      <c r="Y6" s="442" t="str">
        <f>+IF(AND(ISNUMBER(W5),ISNUMBER(X5),W5=X5),"Y","N")</f>
        <v>N</v>
      </c>
    </row>
    <row r="7" spans="1:25" ht="15.75" thickTop="1" thickBot="1" x14ac:dyDescent="0.25">
      <c r="B7" s="117" t="str">
        <f>+IF(AND(ISNUMBER(C5),ISNUMBER(D5)),IF((C5+C6)&gt;(D5+D6),B5,E5),"-")</f>
        <v>Suiza</v>
      </c>
      <c r="C7" s="117" t="str">
        <f>+E4</f>
        <v>W73</v>
      </c>
      <c r="D7" s="117"/>
      <c r="E7" s="117"/>
      <c r="F7" s="110"/>
      <c r="H7" s="117" t="str">
        <f>+IF(AND(ISNUMBER(I5),ISNUMBER(J5)),IF((I5+I6)&gt;(J5+J6),H5,K5),"-")</f>
        <v>Estados Unidos</v>
      </c>
      <c r="I7" s="117" t="str">
        <f>+K4</f>
        <v>W81</v>
      </c>
      <c r="J7" s="117"/>
      <c r="K7" s="117"/>
      <c r="P7" s="118" t="str">
        <f>+IF(AND(ISNUMBER(Q5),ISNUMBER(R5)),IF((Q5+Q6)&gt;(R5+R6),P5,S5),"-")</f>
        <v>Francia</v>
      </c>
      <c r="Q7" s="118" t="str">
        <f>+S4</f>
        <v>W89</v>
      </c>
      <c r="R7" s="118"/>
      <c r="S7" s="118"/>
      <c r="T7" s="119"/>
      <c r="U7" s="108"/>
      <c r="V7" s="118" t="str">
        <f>+IF(AND(ISNUMBER(W5),ISNUMBER(X5)),IF((W5+W6)&gt;(X5+X6),V5,Y5),"-")</f>
        <v>Colombia</v>
      </c>
      <c r="W7" s="118" t="str">
        <f>+Y4</f>
        <v>W93</v>
      </c>
      <c r="X7" s="118"/>
      <c r="Y7" s="118"/>
    </row>
    <row r="8" spans="1:25" ht="15" thickTop="1" x14ac:dyDescent="0.2">
      <c r="A8" s="423"/>
      <c r="B8" s="424"/>
      <c r="C8" s="425" t="s">
        <v>218</v>
      </c>
      <c r="D8" s="425" t="str">
        <f>+_xlfn.XLOOKUP(C8,'Mejores 3eros'!$AD$1:$AK$1,'Mejores 3eros'!$AD$3:$AK$3,"-",0)</f>
        <v>3D</v>
      </c>
      <c r="E8" s="426" t="s">
        <v>207</v>
      </c>
      <c r="F8" s="110"/>
      <c r="G8" s="433"/>
      <c r="H8" s="434"/>
      <c r="I8" s="435" t="s">
        <v>219</v>
      </c>
      <c r="J8" s="435" t="str">
        <f>+_xlfn.XLOOKUP(I8,'Mejores 3eros'!$AD$1:$AK$1,'Mejores 3eros'!$AD$3:$AK$3,"-",0)</f>
        <v>3A</v>
      </c>
      <c r="K8" s="436" t="s">
        <v>220</v>
      </c>
      <c r="P8" s="108"/>
      <c r="Q8" s="108"/>
      <c r="R8" s="108"/>
      <c r="S8" s="108"/>
      <c r="T8" s="108"/>
      <c r="U8" s="108"/>
      <c r="V8" s="108"/>
      <c r="W8" s="108"/>
      <c r="X8" s="108"/>
      <c r="Y8" s="108"/>
    </row>
    <row r="9" spans="1:25" x14ac:dyDescent="0.2">
      <c r="A9" s="427" t="s">
        <v>221</v>
      </c>
      <c r="B9" s="111" t="str">
        <f>+_xlfn.XLOOKUP(C8,'Groups Stage'!$Y:$Y,'Groups Stage'!$Z:$Z,"-",0)</f>
        <v>Alemania</v>
      </c>
      <c r="C9" s="112">
        <v>2</v>
      </c>
      <c r="D9" s="113">
        <v>0</v>
      </c>
      <c r="E9" s="428" t="str">
        <f>+_xlfn.XLOOKUP(D8,'Groups Stage'!$Y:$Y,'Groups Stage'!$Z:$Z,"-",0)</f>
        <v>Paraguay</v>
      </c>
      <c r="F9" s="110"/>
      <c r="G9" s="437" t="s">
        <v>222</v>
      </c>
      <c r="H9" s="111" t="str">
        <f>+_xlfn.XLOOKUP(I8,'Groups Stage'!$Y:$Y,'Groups Stage'!$Z:$Z,"-",0)</f>
        <v>Belgica</v>
      </c>
      <c r="I9" s="112">
        <v>2</v>
      </c>
      <c r="J9" s="113">
        <v>1</v>
      </c>
      <c r="K9" s="438" t="str">
        <f>+_xlfn.XLOOKUP(J8,'Groups Stage'!$Y:$Y,'Groups Stage'!$Z:$Z,"-",0)</f>
        <v>Mexico</v>
      </c>
      <c r="P9" s="108"/>
      <c r="Q9" s="108"/>
      <c r="R9" s="108"/>
      <c r="S9" s="108"/>
      <c r="T9" s="108"/>
      <c r="U9" s="108"/>
      <c r="V9" s="108"/>
      <c r="W9" s="108"/>
      <c r="X9" s="108"/>
      <c r="Y9" s="108"/>
    </row>
    <row r="10" spans="1:25" ht="15" thickBot="1" x14ac:dyDescent="0.25">
      <c r="A10" s="429"/>
      <c r="B10" s="430" t="s">
        <v>217</v>
      </c>
      <c r="C10" s="431"/>
      <c r="D10" s="431"/>
      <c r="E10" s="432" t="str">
        <f>+IF(AND(ISNUMBER(C9),ISNUMBER(D9),C9=D9),"Y","N")</f>
        <v>N</v>
      </c>
      <c r="F10" s="110"/>
      <c r="G10" s="439"/>
      <c r="H10" s="440" t="s">
        <v>217</v>
      </c>
      <c r="I10" s="441"/>
      <c r="J10" s="441"/>
      <c r="K10" s="442" t="str">
        <f>+IF(AND(ISNUMBER(I9),ISNUMBER(J9),I9=J9),"Y","N")</f>
        <v>N</v>
      </c>
      <c r="P10" s="108"/>
      <c r="Q10" s="108"/>
      <c r="R10" s="108"/>
      <c r="S10" s="108"/>
      <c r="T10" s="108"/>
      <c r="U10" s="108"/>
      <c r="V10" s="108"/>
      <c r="W10" s="108"/>
      <c r="X10" s="108"/>
      <c r="Y10" s="108"/>
    </row>
    <row r="11" spans="1:25" ht="15.75" thickTop="1" thickBot="1" x14ac:dyDescent="0.25">
      <c r="B11" s="117" t="str">
        <f>+IF(AND(ISNUMBER(C9),ISNUMBER(D9)),IF((C9+C10)&gt;(D9+D10),B9,E9),"-")</f>
        <v>Alemania</v>
      </c>
      <c r="C11" s="117" t="str">
        <f>+E8</f>
        <v>W74</v>
      </c>
      <c r="D11" s="117"/>
      <c r="E11" s="117"/>
      <c r="F11" s="110"/>
      <c r="H11" s="117" t="str">
        <f>+IF(AND(ISNUMBER(I9),ISNUMBER(J9)),IF((I9+I10)&gt;(J9+J10),H9,K9),"-")</f>
        <v>Belgica</v>
      </c>
      <c r="I11" s="117" t="str">
        <f>+K8</f>
        <v>W82</v>
      </c>
      <c r="J11" s="117"/>
      <c r="K11" s="117"/>
      <c r="P11" s="108"/>
      <c r="Q11" s="108"/>
      <c r="R11" s="108"/>
      <c r="S11" s="108"/>
      <c r="T11" s="108"/>
      <c r="U11" s="108"/>
      <c r="V11" s="108"/>
      <c r="W11" s="108"/>
      <c r="X11" s="108"/>
      <c r="Y11" s="108"/>
    </row>
    <row r="12" spans="1:25" ht="15" thickTop="1" x14ac:dyDescent="0.2">
      <c r="A12" s="423"/>
      <c r="B12" s="424"/>
      <c r="C12" s="425" t="s">
        <v>223</v>
      </c>
      <c r="D12" s="425" t="s">
        <v>224</v>
      </c>
      <c r="E12" s="426" t="s">
        <v>225</v>
      </c>
      <c r="F12" s="110"/>
      <c r="G12" s="433"/>
      <c r="H12" s="434"/>
      <c r="I12" s="435" t="s">
        <v>226</v>
      </c>
      <c r="J12" s="435" t="s">
        <v>227</v>
      </c>
      <c r="K12" s="436" t="s">
        <v>210</v>
      </c>
      <c r="O12" s="423"/>
      <c r="P12" s="424"/>
      <c r="Q12" s="425" t="s">
        <v>204</v>
      </c>
      <c r="R12" s="425" t="s">
        <v>225</v>
      </c>
      <c r="S12" s="426" t="s">
        <v>228</v>
      </c>
      <c r="T12" s="108"/>
      <c r="U12" s="433"/>
      <c r="V12" s="434"/>
      <c r="W12" s="435" t="s">
        <v>206</v>
      </c>
      <c r="X12" s="435" t="s">
        <v>220</v>
      </c>
      <c r="Y12" s="436" t="s">
        <v>229</v>
      </c>
    </row>
    <row r="13" spans="1:25" x14ac:dyDescent="0.2">
      <c r="A13" s="427" t="s">
        <v>230</v>
      </c>
      <c r="B13" s="111" t="str">
        <f>+_xlfn.XLOOKUP(C12,'Groups Stage'!$Y:$Y,'Groups Stage'!$Z:$Z,"-",0)</f>
        <v>Paises Bajos</v>
      </c>
      <c r="C13" s="112">
        <v>1</v>
      </c>
      <c r="D13" s="113">
        <v>0</v>
      </c>
      <c r="E13" s="428" t="str">
        <f>+_xlfn.XLOOKUP(D12,'Groups Stage'!$Y:$Y,'Groups Stage'!$Z:$Z,"-",0)</f>
        <v>Marruecos</v>
      </c>
      <c r="F13" s="110"/>
      <c r="G13" s="437" t="s">
        <v>231</v>
      </c>
      <c r="H13" s="111" t="str">
        <f>+_xlfn.XLOOKUP(I12,'Groups Stage'!$Y:$Y,'Groups Stage'!$Z:$Z,"-",0)</f>
        <v>Colombia</v>
      </c>
      <c r="I13" s="112">
        <v>1</v>
      </c>
      <c r="J13" s="113">
        <v>0</v>
      </c>
      <c r="K13" s="438" t="str">
        <f>+_xlfn.XLOOKUP(J12,'Groups Stage'!$Y:$Y,'Groups Stage'!$Z:$Z,"-",0)</f>
        <v>Croacia</v>
      </c>
      <c r="O13" s="427" t="s">
        <v>232</v>
      </c>
      <c r="P13" s="111" t="str">
        <f>+_xlfn.XLOOKUP(Q12,$C:$C,$B:$B,_xlfn.XLOOKUP(Q12,$I:$I,$H:$H,"-",0),0)</f>
        <v>Suiza</v>
      </c>
      <c r="Q13" s="112">
        <v>0</v>
      </c>
      <c r="R13" s="113">
        <v>1</v>
      </c>
      <c r="S13" s="428" t="str">
        <f>+_xlfn.XLOOKUP(R12,$C:$C,$B:$B,_xlfn.XLOOKUP(R12,$I:$I,$H:$H,"-",0),0)</f>
        <v>Paises Bajos</v>
      </c>
      <c r="T13" s="108"/>
      <c r="U13" s="437" t="s">
        <v>233</v>
      </c>
      <c r="V13" s="111" t="str">
        <f>+_xlfn.XLOOKUP(W12,$C:$C,$B:$B,_xlfn.XLOOKUP(W12,$I:$I,$H:$H,"-",0),0)</f>
        <v>Estados Unidos</v>
      </c>
      <c r="W13" s="112">
        <v>2</v>
      </c>
      <c r="X13" s="113">
        <v>1</v>
      </c>
      <c r="Y13" s="438" t="str">
        <f>+_xlfn.XLOOKUP(X12,$C:$C,$B:$B,_xlfn.XLOOKUP(X12,$I:$I,$H:$H,"-",0),0)</f>
        <v>Belgica</v>
      </c>
    </row>
    <row r="14" spans="1:25" ht="15" thickBot="1" x14ac:dyDescent="0.25">
      <c r="A14" s="429"/>
      <c r="B14" s="430" t="s">
        <v>217</v>
      </c>
      <c r="C14" s="431"/>
      <c r="D14" s="431"/>
      <c r="E14" s="432" t="str">
        <f>+IF(AND(ISNUMBER(C13),ISNUMBER(D13),C13=D13),"Y","N")</f>
        <v>N</v>
      </c>
      <c r="F14" s="110"/>
      <c r="G14" s="439"/>
      <c r="H14" s="440" t="s">
        <v>217</v>
      </c>
      <c r="I14" s="441"/>
      <c r="J14" s="441"/>
      <c r="K14" s="442" t="str">
        <f>+IF(AND(ISNUMBER(I13),ISNUMBER(J13),I13=J13),"Y","N")</f>
        <v>N</v>
      </c>
      <c r="O14" s="429"/>
      <c r="P14" s="430" t="s">
        <v>217</v>
      </c>
      <c r="Q14" s="431"/>
      <c r="R14" s="431"/>
      <c r="S14" s="432" t="str">
        <f>+IF(AND(ISNUMBER(Q13),ISNUMBER(R13),Q13=R13),"Y","N")</f>
        <v>N</v>
      </c>
      <c r="T14" s="108"/>
      <c r="U14" s="439"/>
      <c r="V14" s="440" t="s">
        <v>217</v>
      </c>
      <c r="W14" s="441"/>
      <c r="X14" s="441"/>
      <c r="Y14" s="442" t="str">
        <f>+IF(AND(ISNUMBER(W13),ISNUMBER(X13),W13=X13),"Y","N")</f>
        <v>N</v>
      </c>
    </row>
    <row r="15" spans="1:25" ht="15.75" thickTop="1" thickBot="1" x14ac:dyDescent="0.25">
      <c r="B15" s="117" t="str">
        <f>+IF(AND(ISNUMBER(C13),ISNUMBER(D13)),IF((C13+C14)&gt;(D13+D14),B13,E13),"-")</f>
        <v>Paises Bajos</v>
      </c>
      <c r="C15" s="117" t="str">
        <f>+E12</f>
        <v>W75</v>
      </c>
      <c r="D15" s="117"/>
      <c r="E15" s="117"/>
      <c r="F15" s="110"/>
      <c r="H15" s="117" t="str">
        <f>+IF(AND(ISNUMBER(I13),ISNUMBER(J13)),IF((I13+I14)&gt;(J13+J14),H13,K13),"-")</f>
        <v>Colombia</v>
      </c>
      <c r="I15" s="117" t="str">
        <f>+K12</f>
        <v>W83</v>
      </c>
      <c r="J15" s="117"/>
      <c r="K15" s="117"/>
      <c r="P15" s="118" t="str">
        <f>+IF(AND(ISNUMBER(Q13),ISNUMBER(R13)),IF((Q13+Q14)&gt;(R13+R14),P13,S13),"-")</f>
        <v>Paises Bajos</v>
      </c>
      <c r="Q15" s="118" t="str">
        <f>+S12</f>
        <v>W90</v>
      </c>
      <c r="R15" s="118"/>
      <c r="S15" s="118"/>
      <c r="T15" s="119"/>
      <c r="U15" s="108"/>
      <c r="V15" s="118" t="str">
        <f>+IF(AND(ISNUMBER(W13),ISNUMBER(X13)),IF((W13+W14)&gt;(X13+X14),V13,Y13),"-")</f>
        <v>Estados Unidos</v>
      </c>
      <c r="W15" s="118" t="str">
        <f>+Y12</f>
        <v>W94</v>
      </c>
      <c r="X15" s="118"/>
      <c r="Y15" s="118"/>
    </row>
    <row r="16" spans="1:25" ht="15" thickTop="1" x14ac:dyDescent="0.2">
      <c r="A16" s="443"/>
      <c r="B16" s="444"/>
      <c r="C16" s="445" t="s">
        <v>234</v>
      </c>
      <c r="D16" s="445" t="s">
        <v>235</v>
      </c>
      <c r="E16" s="446" t="s">
        <v>236</v>
      </c>
      <c r="F16" s="110"/>
      <c r="G16" s="433"/>
      <c r="H16" s="434"/>
      <c r="I16" s="435" t="s">
        <v>237</v>
      </c>
      <c r="J16" s="435" t="s">
        <v>238</v>
      </c>
      <c r="K16" s="436" t="s">
        <v>211</v>
      </c>
      <c r="P16" s="108"/>
      <c r="Q16" s="108"/>
      <c r="R16" s="108"/>
      <c r="S16" s="108"/>
      <c r="T16" s="108"/>
      <c r="U16" s="108"/>
      <c r="V16" s="108"/>
      <c r="W16" s="108"/>
      <c r="X16" s="108"/>
      <c r="Y16" s="108"/>
    </row>
    <row r="17" spans="1:25" x14ac:dyDescent="0.2">
      <c r="A17" s="447" t="s">
        <v>239</v>
      </c>
      <c r="B17" s="111" t="str">
        <f>+_xlfn.XLOOKUP(C16,'Groups Stage'!$Y:$Y,'Groups Stage'!$Z:$Z,"-",0)</f>
        <v>Brasil</v>
      </c>
      <c r="C17" s="112">
        <v>3</v>
      </c>
      <c r="D17" s="113">
        <v>1</v>
      </c>
      <c r="E17" s="448" t="str">
        <f>+_xlfn.XLOOKUP(D16,'Groups Stage'!$Y:$Y,'Groups Stage'!$Z:$Z,"-",0)</f>
        <v>Suecia</v>
      </c>
      <c r="F17" s="110"/>
      <c r="G17" s="437" t="s">
        <v>240</v>
      </c>
      <c r="H17" s="111" t="str">
        <f>+_xlfn.XLOOKUP(I16,'Groups Stage'!$Y:$Y,'Groups Stage'!$Z:$Z,"-",0)</f>
        <v>España</v>
      </c>
      <c r="I17" s="112">
        <v>2</v>
      </c>
      <c r="J17" s="113">
        <v>1</v>
      </c>
      <c r="K17" s="438" t="str">
        <f>+_xlfn.XLOOKUP(J16,'Groups Stage'!$Y:$Y,'Groups Stage'!$Z:$Z,"-",0)</f>
        <v>Austria</v>
      </c>
      <c r="P17" s="108"/>
      <c r="Q17" s="108"/>
      <c r="R17" s="108"/>
      <c r="S17" s="108"/>
      <c r="T17" s="108"/>
      <c r="U17" s="108"/>
      <c r="V17" s="108"/>
      <c r="W17" s="108"/>
      <c r="X17" s="108"/>
      <c r="Y17" s="108"/>
    </row>
    <row r="18" spans="1:25" ht="15" thickBot="1" x14ac:dyDescent="0.25">
      <c r="A18" s="449"/>
      <c r="B18" s="450" t="s">
        <v>217</v>
      </c>
      <c r="C18" s="451"/>
      <c r="D18" s="451"/>
      <c r="E18" s="452" t="str">
        <f>+IF(AND(ISNUMBER(C17),ISNUMBER(D17),C17=D17),"Y","N")</f>
        <v>N</v>
      </c>
      <c r="F18" s="110"/>
      <c r="G18" s="439"/>
      <c r="H18" s="440" t="s">
        <v>217</v>
      </c>
      <c r="I18" s="441"/>
      <c r="J18" s="441"/>
      <c r="K18" s="442" t="str">
        <f>+IF(AND(ISNUMBER(I17),ISNUMBER(J17),I17=J17),"Y","N")</f>
        <v>N</v>
      </c>
      <c r="P18" s="108"/>
      <c r="Q18" s="108"/>
      <c r="R18" s="108"/>
      <c r="S18" s="108"/>
      <c r="T18" s="108"/>
      <c r="U18" s="108"/>
      <c r="V18" s="108"/>
      <c r="W18" s="108"/>
      <c r="X18" s="108"/>
      <c r="Y18" s="108"/>
    </row>
    <row r="19" spans="1:25" ht="15.75" thickTop="1" thickBot="1" x14ac:dyDescent="0.25">
      <c r="B19" s="117" t="str">
        <f>+IF(AND(ISNUMBER(C17),ISNUMBER(D17)),IF((C17+C18)&gt;(D17+D18),B17,E17),"-")</f>
        <v>Brasil</v>
      </c>
      <c r="C19" s="117" t="str">
        <f>+E16</f>
        <v>W76</v>
      </c>
      <c r="D19" s="117"/>
      <c r="E19" s="117"/>
      <c r="F19" s="110"/>
      <c r="H19" s="117" t="str">
        <f>+IF(AND(ISNUMBER(I17),ISNUMBER(J17)),IF((I17+I18)&gt;(J17+J18),H17,K17),"-")</f>
        <v>España</v>
      </c>
      <c r="I19" s="117" t="str">
        <f>+K16</f>
        <v>W84</v>
      </c>
      <c r="J19" s="117"/>
      <c r="K19" s="117"/>
      <c r="P19" s="108"/>
      <c r="Q19" s="108"/>
      <c r="R19" s="108"/>
      <c r="S19" s="108"/>
      <c r="T19" s="108"/>
      <c r="U19" s="108"/>
      <c r="V19" s="108"/>
      <c r="W19" s="108"/>
      <c r="X19" s="108"/>
      <c r="Y19" s="108"/>
    </row>
    <row r="20" spans="1:25" ht="15" thickTop="1" x14ac:dyDescent="0.2">
      <c r="A20" s="423"/>
      <c r="B20" s="424"/>
      <c r="C20" s="425" t="s">
        <v>241</v>
      </c>
      <c r="D20" s="425" t="str">
        <f>+_xlfn.XLOOKUP(C20,'Mejores 3eros'!$AD$1:$AK$1,'Mejores 3eros'!$AD$3:$AK$3,"-",0)</f>
        <v>3F</v>
      </c>
      <c r="E20" s="426" t="s">
        <v>208</v>
      </c>
      <c r="F20" s="110"/>
      <c r="G20" s="413"/>
      <c r="H20" s="414"/>
      <c r="I20" s="415" t="s">
        <v>242</v>
      </c>
      <c r="J20" s="415" t="str">
        <f>+_xlfn.XLOOKUP(I20,'Mejores 3eros'!$AD$1:$AK$1,'Mejores 3eros'!$AD$3:$AK$3,"-",0)</f>
        <v>3G</v>
      </c>
      <c r="K20" s="416" t="s">
        <v>243</v>
      </c>
      <c r="O20" s="443"/>
      <c r="P20" s="444"/>
      <c r="Q20" s="445" t="s">
        <v>236</v>
      </c>
      <c r="R20" s="445" t="s">
        <v>244</v>
      </c>
      <c r="S20" s="446" t="s">
        <v>245</v>
      </c>
      <c r="T20" s="108"/>
      <c r="U20" s="413"/>
      <c r="V20" s="414"/>
      <c r="W20" s="415" t="s">
        <v>246</v>
      </c>
      <c r="X20" s="415" t="s">
        <v>247</v>
      </c>
      <c r="Y20" s="416" t="s">
        <v>248</v>
      </c>
    </row>
    <row r="21" spans="1:25" x14ac:dyDescent="0.2">
      <c r="A21" s="427" t="s">
        <v>249</v>
      </c>
      <c r="B21" s="111" t="str">
        <f>+_xlfn.XLOOKUP(C20,'Groups Stage'!$Y:$Y,'Groups Stage'!$Z:$Z,"-",0)</f>
        <v>Francia</v>
      </c>
      <c r="C21" s="112">
        <v>2</v>
      </c>
      <c r="D21" s="113">
        <v>0</v>
      </c>
      <c r="E21" s="428" t="str">
        <f>+_xlfn.XLOOKUP(D20,'Groups Stage'!$Y:$Y,'Groups Stage'!$Z:$Z,"-",0)</f>
        <v>Japon</v>
      </c>
      <c r="F21" s="110"/>
      <c r="G21" s="417" t="s">
        <v>250</v>
      </c>
      <c r="H21" s="111" t="str">
        <f>+_xlfn.XLOOKUP(I20,'Groups Stage'!$Y:$Y,'Groups Stage'!$Z:$Z,"-",0)</f>
        <v>Canada</v>
      </c>
      <c r="I21" s="112">
        <v>2</v>
      </c>
      <c r="J21" s="113">
        <v>0</v>
      </c>
      <c r="K21" s="418" t="str">
        <f>+_xlfn.XLOOKUP(J20,'Groups Stage'!$Y:$Y,'Groups Stage'!$Z:$Z,"-",0)</f>
        <v>Iran</v>
      </c>
      <c r="O21" s="447" t="s">
        <v>251</v>
      </c>
      <c r="P21" s="111" t="str">
        <f>+_xlfn.XLOOKUP(Q20,$C:$C,$B:$B,_xlfn.XLOOKUP(Q20,$I:$I,$H:$H,"-",0),0)</f>
        <v>Brasil</v>
      </c>
      <c r="Q21" s="112">
        <v>3</v>
      </c>
      <c r="R21" s="113">
        <v>1</v>
      </c>
      <c r="S21" s="448" t="str">
        <f>+_xlfn.XLOOKUP(R20,$C:$C,$B:$B,_xlfn.XLOOKUP(R20,$I:$I,$H:$H,"-",0),0)</f>
        <v>Noruega</v>
      </c>
      <c r="T21" s="108"/>
      <c r="U21" s="417" t="s">
        <v>252</v>
      </c>
      <c r="V21" s="111" t="str">
        <f>+_xlfn.XLOOKUP(W20,$C:$C,$B:$B,_xlfn.XLOOKUP(W20,$I:$I,$H:$H,"-",0),0)</f>
        <v>Argentina</v>
      </c>
      <c r="W21" s="112">
        <v>3</v>
      </c>
      <c r="X21" s="113">
        <v>0</v>
      </c>
      <c r="Y21" s="418" t="str">
        <f>+_xlfn.XLOOKUP(X20,$C:$C,$B:$B,_xlfn.XLOOKUP(X20,$I:$I,$H:$H,"-",0),0)</f>
        <v>Turquia</v>
      </c>
    </row>
    <row r="22" spans="1:25" ht="15" thickBot="1" x14ac:dyDescent="0.25">
      <c r="A22" s="429"/>
      <c r="B22" s="430" t="s">
        <v>217</v>
      </c>
      <c r="C22" s="431"/>
      <c r="D22" s="431"/>
      <c r="E22" s="432" t="str">
        <f>+IF(AND(ISNUMBER(C21),ISNUMBER(D21),C21=D21),"Y","N")</f>
        <v>N</v>
      </c>
      <c r="F22" s="110"/>
      <c r="G22" s="419"/>
      <c r="H22" s="420" t="s">
        <v>217</v>
      </c>
      <c r="I22" s="421"/>
      <c r="J22" s="421"/>
      <c r="K22" s="422" t="str">
        <f>+IF(AND(ISNUMBER(I21),ISNUMBER(J21),I21=J21),"Y","N")</f>
        <v>N</v>
      </c>
      <c r="O22" s="449"/>
      <c r="P22" s="450" t="s">
        <v>217</v>
      </c>
      <c r="Q22" s="451"/>
      <c r="R22" s="451"/>
      <c r="S22" s="452" t="str">
        <f>+IF(AND(ISNUMBER(Q21),ISNUMBER(R21),Q21=R21),"Y","N")</f>
        <v>N</v>
      </c>
      <c r="T22" s="108"/>
      <c r="U22" s="419"/>
      <c r="V22" s="420" t="s">
        <v>217</v>
      </c>
      <c r="W22" s="421"/>
      <c r="X22" s="421"/>
      <c r="Y22" s="422" t="str">
        <f>+IF(AND(ISNUMBER(W21),ISNUMBER(X21),W21=X21),"Y","N")</f>
        <v>N</v>
      </c>
    </row>
    <row r="23" spans="1:25" ht="15.75" thickTop="1" thickBot="1" x14ac:dyDescent="0.25">
      <c r="B23" s="117" t="str">
        <f>+IF(AND(ISNUMBER(C21),ISNUMBER(D21)),IF((C21+C22)&gt;(D21+D22),B21,E21),"-")</f>
        <v>Francia</v>
      </c>
      <c r="C23" s="117" t="str">
        <f>+E20</f>
        <v>W77</v>
      </c>
      <c r="D23" s="117"/>
      <c r="E23" s="117"/>
      <c r="F23" s="110"/>
      <c r="H23" s="117" t="str">
        <f>+IF(AND(ISNUMBER(I21),ISNUMBER(J21)),IF((I21+I22)&gt;(J21+J22),H21,K21),"-")</f>
        <v>Canada</v>
      </c>
      <c r="I23" s="117" t="str">
        <f>+K20</f>
        <v>W85</v>
      </c>
      <c r="J23" s="117"/>
      <c r="K23" s="117"/>
      <c r="P23" s="118" t="str">
        <f>+IF(AND(ISNUMBER(Q21),ISNUMBER(R21)),IF((Q21+Q22)&gt;(R21+R22),P21,S21),"-")</f>
        <v>Brasil</v>
      </c>
      <c r="Q23" s="118" t="str">
        <f>+S20</f>
        <v>W91</v>
      </c>
      <c r="R23" s="118"/>
      <c r="S23" s="118"/>
      <c r="T23" s="119"/>
      <c r="U23" s="108"/>
      <c r="V23" s="118" t="str">
        <f>+IF(AND(ISNUMBER(W21),ISNUMBER(X21)),IF((W21+W22)&gt;(X21+X22),V21,Y21),"-")</f>
        <v>Argentina</v>
      </c>
      <c r="W23" s="118" t="str">
        <f>+Y20</f>
        <v>W95</v>
      </c>
      <c r="X23" s="118"/>
      <c r="Y23" s="118"/>
    </row>
    <row r="24" spans="1:25" ht="15" thickTop="1" x14ac:dyDescent="0.2">
      <c r="A24" s="443"/>
      <c r="B24" s="444"/>
      <c r="C24" s="445" t="s">
        <v>253</v>
      </c>
      <c r="D24" s="445" t="s">
        <v>254</v>
      </c>
      <c r="E24" s="446" t="s">
        <v>244</v>
      </c>
      <c r="F24" s="110"/>
      <c r="G24" s="413"/>
      <c r="H24" s="414"/>
      <c r="I24" s="415" t="s">
        <v>255</v>
      </c>
      <c r="J24" s="415" t="s">
        <v>256</v>
      </c>
      <c r="K24" s="416" t="s">
        <v>246</v>
      </c>
      <c r="P24" s="108"/>
      <c r="Q24" s="108"/>
      <c r="R24" s="108"/>
      <c r="S24" s="108"/>
      <c r="T24" s="108"/>
      <c r="U24" s="108"/>
      <c r="V24" s="108"/>
      <c r="W24" s="108"/>
      <c r="X24" s="108"/>
      <c r="Y24" s="108"/>
    </row>
    <row r="25" spans="1:25" x14ac:dyDescent="0.2">
      <c r="A25" s="447" t="s">
        <v>257</v>
      </c>
      <c r="B25" s="111" t="str">
        <f>+_xlfn.XLOOKUP(C24,'Groups Stage'!$Y:$Y,'Groups Stage'!$Z:$Z,"-",0)</f>
        <v>Ecuador</v>
      </c>
      <c r="C25" s="112">
        <v>1</v>
      </c>
      <c r="D25" s="113">
        <v>2</v>
      </c>
      <c r="E25" s="448" t="str">
        <f>+_xlfn.XLOOKUP(D24,'Groups Stage'!$Y:$Y,'Groups Stage'!$Z:$Z,"-",0)</f>
        <v>Noruega</v>
      </c>
      <c r="F25" s="110"/>
      <c r="G25" s="417" t="s">
        <v>258</v>
      </c>
      <c r="H25" s="111" t="str">
        <f>+_xlfn.XLOOKUP(I24,'Groups Stage'!$Y:$Y,'Groups Stage'!$Z:$Z,"-",0)</f>
        <v>Argentina</v>
      </c>
      <c r="I25" s="112">
        <v>1</v>
      </c>
      <c r="J25" s="113">
        <v>0</v>
      </c>
      <c r="K25" s="418" t="str">
        <f>+_xlfn.XLOOKUP(J24,'Groups Stage'!$Y:$Y,'Groups Stage'!$Z:$Z,"-",0)</f>
        <v>Uruguay</v>
      </c>
      <c r="P25" s="108"/>
      <c r="Q25" s="108"/>
      <c r="R25" s="108"/>
      <c r="S25" s="108"/>
      <c r="T25" s="108"/>
      <c r="U25" s="108"/>
      <c r="V25" s="108"/>
      <c r="W25" s="108"/>
      <c r="X25" s="108"/>
      <c r="Y25" s="108"/>
    </row>
    <row r="26" spans="1:25" ht="15" thickBot="1" x14ac:dyDescent="0.25">
      <c r="A26" s="449"/>
      <c r="B26" s="450" t="s">
        <v>217</v>
      </c>
      <c r="C26" s="451"/>
      <c r="D26" s="451"/>
      <c r="E26" s="452" t="str">
        <f>+IF(AND(ISNUMBER(C25),ISNUMBER(D25),C25=D25),"Y","N")</f>
        <v>N</v>
      </c>
      <c r="F26" s="110"/>
      <c r="G26" s="419"/>
      <c r="H26" s="420" t="s">
        <v>217</v>
      </c>
      <c r="I26" s="421"/>
      <c r="J26" s="421"/>
      <c r="K26" s="422" t="str">
        <f>+IF(AND(ISNUMBER(I25),ISNUMBER(J25),I25=J25),"Y","N")</f>
        <v>N</v>
      </c>
      <c r="P26" s="108"/>
      <c r="Q26" s="108"/>
      <c r="R26" s="108"/>
      <c r="S26" s="108"/>
      <c r="T26" s="108"/>
      <c r="U26" s="108"/>
      <c r="V26" s="108"/>
      <c r="W26" s="108"/>
      <c r="X26" s="108"/>
      <c r="Y26" s="108"/>
    </row>
    <row r="27" spans="1:25" ht="15.75" thickTop="1" thickBot="1" x14ac:dyDescent="0.25">
      <c r="B27" s="117" t="str">
        <f>+IF(AND(ISNUMBER(C25),ISNUMBER(D25)),IF((C25+C26)&gt;(D25+D26),B25,E25),"-")</f>
        <v>Noruega</v>
      </c>
      <c r="C27" s="117" t="str">
        <f>+E24</f>
        <v>W78</v>
      </c>
      <c r="D27" s="117"/>
      <c r="E27" s="117"/>
      <c r="F27" s="110"/>
      <c r="H27" s="117" t="str">
        <f>+IF(AND(ISNUMBER(I25),ISNUMBER(J25)),IF((I25+I26)&gt;(J25+J26),H25,K25),"-")</f>
        <v>Argentina</v>
      </c>
      <c r="I27" s="117" t="str">
        <f>+K24</f>
        <v>W86</v>
      </c>
      <c r="J27" s="117"/>
      <c r="K27" s="117"/>
      <c r="P27" s="108"/>
      <c r="Q27" s="108"/>
      <c r="R27" s="108"/>
      <c r="S27" s="108"/>
      <c r="T27" s="108"/>
      <c r="U27" s="108"/>
      <c r="V27" s="108"/>
      <c r="W27" s="108"/>
      <c r="X27" s="108"/>
      <c r="Y27" s="108"/>
    </row>
    <row r="28" spans="1:25" ht="15" thickTop="1" x14ac:dyDescent="0.2">
      <c r="A28" s="443"/>
      <c r="B28" s="444"/>
      <c r="C28" s="445" t="s">
        <v>259</v>
      </c>
      <c r="D28" s="445" t="str">
        <f>+_xlfn.XLOOKUP(C28,'Mejores 3eros'!$AD$1:$AK$1,'Mejores 3eros'!$AD$3:$AK$3,"-",0)</f>
        <v>3E</v>
      </c>
      <c r="E28" s="446" t="s">
        <v>260</v>
      </c>
      <c r="F28" s="110"/>
      <c r="G28" s="413"/>
      <c r="H28" s="414"/>
      <c r="I28" s="415" t="s">
        <v>261</v>
      </c>
      <c r="J28" s="415" t="str">
        <f>+_xlfn.XLOOKUP(I28,'Mejores 3eros'!$AD$1:$AK$1,'Mejores 3eros'!$AD$3:$AK$3,"-",0)</f>
        <v>3L</v>
      </c>
      <c r="K28" s="416" t="s">
        <v>262</v>
      </c>
      <c r="O28" s="443"/>
      <c r="P28" s="444"/>
      <c r="Q28" s="445" t="s">
        <v>260</v>
      </c>
      <c r="R28" s="445" t="s">
        <v>263</v>
      </c>
      <c r="S28" s="446" t="s">
        <v>264</v>
      </c>
      <c r="T28" s="108"/>
      <c r="U28" s="413"/>
      <c r="V28" s="414"/>
      <c r="W28" s="415" t="s">
        <v>243</v>
      </c>
      <c r="X28" s="415" t="s">
        <v>262</v>
      </c>
      <c r="Y28" s="416" t="s">
        <v>265</v>
      </c>
    </row>
    <row r="29" spans="1:25" x14ac:dyDescent="0.2">
      <c r="A29" s="447" t="s">
        <v>266</v>
      </c>
      <c r="B29" s="111" t="str">
        <f>+_xlfn.XLOOKUP(C28,'Groups Stage'!$Y:$Y,'Groups Stage'!$Z:$Z,"-",0)</f>
        <v>Corea del Sur</v>
      </c>
      <c r="C29" s="112">
        <v>2</v>
      </c>
      <c r="D29" s="113">
        <v>1</v>
      </c>
      <c r="E29" s="448" t="str">
        <f>+_xlfn.XLOOKUP(D28,'Groups Stage'!$Y:$Y,'Groups Stage'!$Z:$Z,"-",0)</f>
        <v>Costa de Marfil</v>
      </c>
      <c r="F29" s="110"/>
      <c r="G29" s="417" t="s">
        <v>267</v>
      </c>
      <c r="H29" s="111" t="str">
        <f>+_xlfn.XLOOKUP(I28,'Groups Stage'!$Y:$Y,'Groups Stage'!$Z:$Z,"-",0)</f>
        <v>Portugal</v>
      </c>
      <c r="I29" s="112">
        <v>3</v>
      </c>
      <c r="J29" s="113">
        <v>0</v>
      </c>
      <c r="K29" s="418" t="str">
        <f>+_xlfn.XLOOKUP(J28,'Groups Stage'!$Y:$Y,'Groups Stage'!$Z:$Z,"-",0)</f>
        <v>Ghana</v>
      </c>
      <c r="O29" s="447" t="s">
        <v>268</v>
      </c>
      <c r="P29" s="111" t="str">
        <f>+_xlfn.XLOOKUP(Q28,$C:$C,$B:$B,_xlfn.XLOOKUP(Q28,$I:$I,$H:$H,"-",0),0)</f>
        <v>Corea del Sur</v>
      </c>
      <c r="Q29" s="112">
        <v>0</v>
      </c>
      <c r="R29" s="113">
        <v>2</v>
      </c>
      <c r="S29" s="448" t="str">
        <f>+_xlfn.XLOOKUP(R28,$C:$C,$B:$B,_xlfn.XLOOKUP(R28,$I:$I,$H:$H,"-",0),0)</f>
        <v>Inglaterra</v>
      </c>
      <c r="T29" s="108"/>
      <c r="U29" s="417" t="s">
        <v>269</v>
      </c>
      <c r="V29" s="111" t="str">
        <f>+_xlfn.XLOOKUP(W28,$C:$C,$B:$B,_xlfn.XLOOKUP(W28,$I:$I,$H:$H,"-",0),0)</f>
        <v>Canada</v>
      </c>
      <c r="W29" s="112">
        <v>1</v>
      </c>
      <c r="X29" s="113">
        <v>3</v>
      </c>
      <c r="Y29" s="418" t="str">
        <f>+_xlfn.XLOOKUP(X28,$C:$C,$B:$B,_xlfn.XLOOKUP(X28,$I:$I,$H:$H,"-",0),0)</f>
        <v>Portugal</v>
      </c>
    </row>
    <row r="30" spans="1:25" ht="15" thickBot="1" x14ac:dyDescent="0.25">
      <c r="A30" s="449"/>
      <c r="B30" s="450" t="s">
        <v>217</v>
      </c>
      <c r="C30" s="451"/>
      <c r="D30" s="451"/>
      <c r="E30" s="452" t="str">
        <f>+IF(AND(ISNUMBER(C29),ISNUMBER(D29),C29=D29),"Y","N")</f>
        <v>N</v>
      </c>
      <c r="F30" s="110"/>
      <c r="G30" s="419"/>
      <c r="H30" s="420" t="s">
        <v>217</v>
      </c>
      <c r="I30" s="421"/>
      <c r="J30" s="421"/>
      <c r="K30" s="422" t="str">
        <f>+IF(AND(ISNUMBER(I29),ISNUMBER(J29),I29=J29),"Y","N")</f>
        <v>N</v>
      </c>
      <c r="O30" s="449"/>
      <c r="P30" s="450" t="s">
        <v>217</v>
      </c>
      <c r="Q30" s="451"/>
      <c r="R30" s="451"/>
      <c r="S30" s="452" t="str">
        <f>+IF(AND(ISNUMBER(Q29),ISNUMBER(R29),Q29=R29),"Y","N")</f>
        <v>N</v>
      </c>
      <c r="T30" s="108"/>
      <c r="U30" s="419"/>
      <c r="V30" s="420" t="s">
        <v>217</v>
      </c>
      <c r="W30" s="421"/>
      <c r="X30" s="421"/>
      <c r="Y30" s="422" t="str">
        <f>+IF(AND(ISNUMBER(W29),ISNUMBER(X29),W29=X29),"Y","N")</f>
        <v>N</v>
      </c>
    </row>
    <row r="31" spans="1:25" ht="15.75" thickTop="1" thickBot="1" x14ac:dyDescent="0.25">
      <c r="B31" s="117" t="str">
        <f>+IF(AND(ISNUMBER(C29),ISNUMBER(D29)),IF((C29+C30)&gt;(D29+D30),B29,E29),"-")</f>
        <v>Corea del Sur</v>
      </c>
      <c r="C31" s="117" t="str">
        <f>+E28</f>
        <v>W79</v>
      </c>
      <c r="D31" s="117"/>
      <c r="E31" s="117"/>
      <c r="F31" s="110"/>
      <c r="H31" s="117" t="str">
        <f>+IF(AND(ISNUMBER(I29),ISNUMBER(J29)),IF((I29+I30)&gt;(J29+J30),H29,K29),"-")</f>
        <v>Portugal</v>
      </c>
      <c r="I31" s="117" t="str">
        <f>+K28</f>
        <v>W87</v>
      </c>
      <c r="J31" s="117"/>
      <c r="K31" s="117"/>
      <c r="P31" s="118" t="str">
        <f>+IF(AND(ISNUMBER(Q29),ISNUMBER(R29)),IF((Q29+Q30)&gt;(R29+R30),P29,S29),"-")</f>
        <v>Inglaterra</v>
      </c>
      <c r="Q31" s="118" t="str">
        <f>+S28</f>
        <v>W92</v>
      </c>
      <c r="R31" s="118"/>
      <c r="S31" s="118"/>
      <c r="T31" s="119"/>
      <c r="U31" s="119"/>
      <c r="V31" s="118" t="str">
        <f>+IF(AND(ISNUMBER(W29),ISNUMBER(X29)),IF((W29+W30)&gt;(X29+X30),V29,Y29),"-")</f>
        <v>Portugal</v>
      </c>
      <c r="W31" s="118" t="str">
        <f>+Y28</f>
        <v>W96</v>
      </c>
      <c r="X31" s="118"/>
      <c r="Y31" s="118"/>
    </row>
    <row r="32" spans="1:25" ht="15" thickTop="1" x14ac:dyDescent="0.2">
      <c r="A32" s="443"/>
      <c r="B32" s="444"/>
      <c r="C32" s="445" t="s">
        <v>270</v>
      </c>
      <c r="D32" s="445" t="str">
        <f>+_xlfn.XLOOKUP(C32,'Mejores 3eros'!$AD$1:$AK$1,'Mejores 3eros'!$AD$3:$AK$3,"-",0)</f>
        <v>3I</v>
      </c>
      <c r="E32" s="446" t="s">
        <v>263</v>
      </c>
      <c r="F32" s="110"/>
      <c r="G32" s="413"/>
      <c r="H32" s="414"/>
      <c r="I32" s="415" t="s">
        <v>271</v>
      </c>
      <c r="J32" s="415" t="s">
        <v>272</v>
      </c>
      <c r="K32" s="416" t="s">
        <v>247</v>
      </c>
      <c r="P32" s="108"/>
      <c r="Q32" s="108"/>
      <c r="R32" s="108"/>
      <c r="S32" s="108"/>
      <c r="T32" s="108"/>
      <c r="U32" s="108"/>
      <c r="V32" s="108"/>
      <c r="W32" s="108"/>
      <c r="X32" s="108"/>
      <c r="Y32" s="108"/>
    </row>
    <row r="33" spans="1:25" x14ac:dyDescent="0.2">
      <c r="A33" s="447" t="s">
        <v>273</v>
      </c>
      <c r="B33" s="111" t="str">
        <f>+_xlfn.XLOOKUP(C32,'Groups Stage'!$Y:$Y,'Groups Stage'!$Z:$Z,"-",0)</f>
        <v>Inglaterra</v>
      </c>
      <c r="C33" s="112">
        <v>2</v>
      </c>
      <c r="D33" s="113">
        <v>0</v>
      </c>
      <c r="E33" s="448" t="str">
        <f>+_xlfn.XLOOKUP(D32,'Groups Stage'!$Y:$Y,'Groups Stage'!$Z:$Z,"-",0)</f>
        <v>Senegal</v>
      </c>
      <c r="F33" s="110"/>
      <c r="G33" s="417" t="s">
        <v>274</v>
      </c>
      <c r="H33" s="111" t="str">
        <f>+_xlfn.XLOOKUP(I32,'Groups Stage'!$Y:$Y,'Groups Stage'!$Z:$Z,"-",0)</f>
        <v>Turquia</v>
      </c>
      <c r="I33" s="112">
        <v>2</v>
      </c>
      <c r="J33" s="113">
        <v>1</v>
      </c>
      <c r="K33" s="418" t="str">
        <f>+_xlfn.XLOOKUP(J32,'Groups Stage'!$Y:$Y,'Groups Stage'!$Z:$Z,"-",0)</f>
        <v>Egipto</v>
      </c>
      <c r="P33" s="108"/>
      <c r="Q33" s="108"/>
      <c r="R33" s="108"/>
      <c r="S33" s="108"/>
      <c r="T33" s="108"/>
      <c r="U33" s="108"/>
      <c r="V33" s="108"/>
      <c r="W33" s="108"/>
      <c r="X33" s="108"/>
      <c r="Y33" s="108"/>
    </row>
    <row r="34" spans="1:25" ht="15" thickBot="1" x14ac:dyDescent="0.25">
      <c r="A34" s="449"/>
      <c r="B34" s="450" t="s">
        <v>217</v>
      </c>
      <c r="C34" s="451"/>
      <c r="D34" s="451"/>
      <c r="E34" s="452" t="str">
        <f>+IF(AND(ISNUMBER(C33),ISNUMBER(D33),C33=D33),"Y","N")</f>
        <v>N</v>
      </c>
      <c r="F34" s="110"/>
      <c r="G34" s="419"/>
      <c r="H34" s="420" t="s">
        <v>217</v>
      </c>
      <c r="I34" s="421"/>
      <c r="J34" s="421"/>
      <c r="K34" s="422" t="str">
        <f>+IF(AND(ISNUMBER(I33),ISNUMBER(J33),I33=J33),"Y","N")</f>
        <v>N</v>
      </c>
      <c r="P34" s="108"/>
      <c r="Q34" s="108"/>
      <c r="R34" s="108"/>
      <c r="S34" s="108"/>
      <c r="T34" s="108"/>
      <c r="U34" s="108"/>
      <c r="V34" s="108"/>
      <c r="W34" s="108"/>
      <c r="X34" s="108"/>
      <c r="Y34" s="108"/>
    </row>
    <row r="35" spans="1:25" ht="15" thickTop="1" x14ac:dyDescent="0.2">
      <c r="B35" s="117" t="str">
        <f>+IF(AND(ISNUMBER(C33),ISNUMBER(D33)),IF((C33+C34)&gt;(D33+D34),B33,E33),"-")</f>
        <v>Inglaterra</v>
      </c>
      <c r="C35" s="117" t="str">
        <f>+E32</f>
        <v>W80</v>
      </c>
      <c r="D35" s="117"/>
      <c r="E35" s="117"/>
      <c r="H35" s="117" t="str">
        <f>+IF(AND(ISNUMBER(I33),ISNUMBER(J33)),IF((I33+I34)&gt;(J33+J34),H33,K33),"-")</f>
        <v>Turquia</v>
      </c>
      <c r="I35" s="117" t="str">
        <f>+K32</f>
        <v>W88</v>
      </c>
      <c r="J35" s="117"/>
      <c r="K35" s="117"/>
      <c r="P35" s="108"/>
      <c r="Q35" s="285"/>
      <c r="R35" s="285"/>
      <c r="S35" s="108"/>
      <c r="T35" s="108"/>
      <c r="U35" s="108"/>
      <c r="V35" s="108"/>
      <c r="W35" s="108"/>
      <c r="X35" s="108"/>
      <c r="Y35" s="108"/>
    </row>
    <row r="36" spans="1:25" x14ac:dyDescent="0.2">
      <c r="B36" s="105"/>
      <c r="C36" s="105"/>
      <c r="D36" s="105"/>
      <c r="E36" s="105"/>
      <c r="H36" s="105"/>
      <c r="I36" s="105"/>
      <c r="J36" s="105"/>
      <c r="K36" s="105"/>
      <c r="P36" s="108"/>
      <c r="Q36" s="108"/>
      <c r="R36" s="108"/>
      <c r="S36" s="108"/>
      <c r="T36" s="108"/>
      <c r="U36" s="108"/>
      <c r="V36" s="108"/>
      <c r="W36" s="108"/>
      <c r="X36" s="108"/>
      <c r="Y36" s="108"/>
    </row>
    <row r="37" spans="1:25" x14ac:dyDescent="0.2">
      <c r="B37" s="105"/>
      <c r="C37" s="105"/>
      <c r="D37" s="105"/>
      <c r="E37" s="105"/>
      <c r="H37" s="105"/>
      <c r="I37" s="105"/>
      <c r="J37" s="105"/>
      <c r="K37" s="105"/>
      <c r="P37" s="108"/>
      <c r="Q37" s="108"/>
      <c r="R37" s="108"/>
      <c r="S37" s="108"/>
      <c r="T37" s="108"/>
      <c r="U37" s="108"/>
      <c r="V37" s="108"/>
      <c r="W37" s="108"/>
      <c r="X37" s="108"/>
      <c r="Y37" s="108"/>
    </row>
    <row r="38" spans="1:25" x14ac:dyDescent="0.2">
      <c r="B38" s="105"/>
      <c r="C38" s="105"/>
      <c r="D38" s="105"/>
      <c r="E38" s="105"/>
      <c r="H38" s="105"/>
      <c r="I38" s="105"/>
      <c r="J38" s="105"/>
      <c r="K38" s="105"/>
      <c r="P38" s="108"/>
      <c r="Q38" s="108"/>
      <c r="R38" s="108"/>
      <c r="S38" s="108"/>
      <c r="T38" s="108"/>
      <c r="U38" s="108"/>
      <c r="V38" s="108"/>
      <c r="W38" s="108"/>
      <c r="X38" s="108"/>
      <c r="Y38" s="108"/>
    </row>
    <row r="39" spans="1:25" x14ac:dyDescent="0.2">
      <c r="B39" s="105"/>
      <c r="C39" s="105"/>
      <c r="D39" s="105"/>
      <c r="E39" s="105"/>
      <c r="H39" s="105"/>
      <c r="I39" s="105"/>
      <c r="J39" s="105"/>
      <c r="K39" s="105"/>
      <c r="P39" s="108"/>
      <c r="Q39" s="108"/>
      <c r="R39" s="108"/>
      <c r="S39" s="108"/>
      <c r="T39" s="108"/>
      <c r="U39" s="108"/>
      <c r="V39" s="108"/>
      <c r="W39" s="108"/>
      <c r="X39" s="108"/>
      <c r="Y39" s="108"/>
    </row>
    <row r="40" spans="1:25" x14ac:dyDescent="0.2">
      <c r="B40" s="105"/>
      <c r="C40" s="105"/>
      <c r="D40" s="105"/>
      <c r="E40" s="105"/>
      <c r="H40" s="105"/>
      <c r="I40" s="105"/>
      <c r="J40" s="105"/>
      <c r="K40" s="105"/>
      <c r="P40" s="108"/>
      <c r="Q40" s="108"/>
      <c r="R40" s="108"/>
      <c r="S40" s="108"/>
      <c r="T40" s="108"/>
      <c r="U40" s="108"/>
      <c r="V40" s="108"/>
      <c r="W40" s="108"/>
      <c r="X40" s="108"/>
      <c r="Y40" s="108"/>
    </row>
    <row r="41" spans="1:25" x14ac:dyDescent="0.2">
      <c r="B41" s="105"/>
      <c r="C41" s="105"/>
      <c r="D41" s="105"/>
      <c r="E41" s="105"/>
      <c r="H41" s="105"/>
      <c r="I41" s="105"/>
      <c r="J41" s="105"/>
      <c r="K41" s="105"/>
      <c r="P41" s="108"/>
      <c r="Q41" s="108"/>
      <c r="R41" s="108"/>
      <c r="S41" s="108"/>
      <c r="T41" s="108"/>
      <c r="U41" s="108"/>
      <c r="V41" s="108"/>
      <c r="W41" s="108"/>
      <c r="X41" s="108"/>
      <c r="Y41" s="108"/>
    </row>
    <row r="42" spans="1:25" x14ac:dyDescent="0.2">
      <c r="B42" s="105"/>
      <c r="C42" s="105"/>
      <c r="D42" s="105"/>
      <c r="E42" s="105"/>
      <c r="H42" s="105"/>
      <c r="I42" s="105"/>
      <c r="J42" s="105"/>
      <c r="K42" s="105"/>
      <c r="P42" s="108"/>
      <c r="Q42" s="108"/>
      <c r="R42" s="108"/>
      <c r="S42" s="108"/>
      <c r="T42" s="108"/>
      <c r="U42" s="108"/>
      <c r="V42" s="108"/>
      <c r="W42" s="108"/>
      <c r="X42" s="108"/>
      <c r="Y42" s="108"/>
    </row>
    <row r="43" spans="1:25" x14ac:dyDescent="0.2">
      <c r="B43" s="105"/>
      <c r="C43" s="105"/>
      <c r="D43" s="105"/>
      <c r="E43" s="105"/>
      <c r="H43" s="105"/>
      <c r="I43" s="105"/>
      <c r="J43" s="105"/>
      <c r="K43" s="105"/>
      <c r="P43" s="108"/>
      <c r="Q43" s="108"/>
      <c r="R43" s="108"/>
      <c r="S43" s="108"/>
      <c r="T43" s="108"/>
      <c r="U43" s="108"/>
      <c r="V43" s="108"/>
      <c r="W43" s="108"/>
      <c r="X43" s="108"/>
      <c r="Y43" s="108"/>
    </row>
    <row r="44" spans="1:25" x14ac:dyDescent="0.2">
      <c r="B44" s="105"/>
      <c r="C44" s="105"/>
      <c r="D44" s="105"/>
      <c r="E44" s="105"/>
      <c r="H44" s="105"/>
      <c r="I44" s="105"/>
      <c r="J44" s="105"/>
      <c r="K44" s="105"/>
      <c r="P44" s="108"/>
      <c r="Q44" s="108"/>
      <c r="R44" s="108"/>
      <c r="S44" s="108"/>
      <c r="T44" s="108"/>
      <c r="U44" s="108"/>
      <c r="V44" s="108"/>
      <c r="W44" s="108"/>
      <c r="X44" s="108"/>
      <c r="Y44" s="108"/>
    </row>
    <row r="45" spans="1:25" x14ac:dyDescent="0.2">
      <c r="B45" s="105"/>
      <c r="C45" s="105"/>
      <c r="D45" s="105"/>
      <c r="E45" s="105"/>
      <c r="H45" s="105"/>
      <c r="I45" s="105"/>
      <c r="J45" s="105"/>
      <c r="K45" s="105"/>
      <c r="P45" s="108"/>
      <c r="Q45" s="108"/>
      <c r="R45" s="108"/>
      <c r="S45" s="108"/>
      <c r="T45" s="108"/>
      <c r="U45" s="108"/>
      <c r="V45" s="108"/>
      <c r="W45" s="108"/>
      <c r="X45" s="108"/>
      <c r="Y45" s="108"/>
    </row>
    <row r="46" spans="1:25" x14ac:dyDescent="0.2">
      <c r="B46" s="105"/>
      <c r="C46" s="105"/>
      <c r="D46" s="105"/>
      <c r="E46" s="105"/>
      <c r="H46" s="105"/>
      <c r="I46" s="105"/>
      <c r="J46" s="105"/>
      <c r="K46" s="105"/>
      <c r="P46" s="108"/>
      <c r="Q46" s="108"/>
      <c r="R46" s="108"/>
      <c r="S46" s="108"/>
      <c r="T46" s="108"/>
      <c r="U46" s="108"/>
      <c r="V46" s="108"/>
      <c r="W46" s="108"/>
      <c r="X46" s="108"/>
      <c r="Y46" s="108"/>
    </row>
    <row r="47" spans="1:25" x14ac:dyDescent="0.2">
      <c r="B47" s="105"/>
      <c r="C47" s="105"/>
      <c r="D47" s="105"/>
      <c r="E47" s="105"/>
      <c r="H47" s="105"/>
      <c r="I47" s="105"/>
      <c r="J47" s="105"/>
      <c r="K47" s="105"/>
      <c r="P47" s="108"/>
      <c r="Q47" s="108"/>
      <c r="R47" s="108"/>
      <c r="S47" s="108"/>
      <c r="T47" s="108"/>
      <c r="U47" s="108"/>
      <c r="V47" s="108"/>
      <c r="W47" s="108"/>
      <c r="X47" s="108"/>
      <c r="Y47" s="108"/>
    </row>
    <row r="48" spans="1:25" x14ac:dyDescent="0.2">
      <c r="B48" s="105"/>
      <c r="C48" s="105"/>
      <c r="D48" s="105"/>
      <c r="E48" s="105"/>
      <c r="H48" s="105"/>
      <c r="I48" s="105"/>
      <c r="J48" s="105"/>
      <c r="K48" s="105"/>
      <c r="P48" s="108"/>
      <c r="Q48" s="108"/>
      <c r="R48" s="108"/>
      <c r="S48" s="108"/>
      <c r="T48" s="108"/>
      <c r="U48" s="108"/>
      <c r="V48" s="108"/>
      <c r="W48" s="108"/>
      <c r="X48" s="108"/>
      <c r="Y48" s="108"/>
    </row>
    <row r="49" spans="2:25" x14ac:dyDescent="0.2">
      <c r="B49" s="105"/>
      <c r="C49" s="105"/>
      <c r="D49" s="105"/>
      <c r="E49" s="105"/>
      <c r="H49" s="105"/>
      <c r="I49" s="105"/>
      <c r="J49" s="105"/>
      <c r="K49" s="105"/>
      <c r="P49" s="108"/>
      <c r="Q49" s="108"/>
      <c r="R49" s="108"/>
      <c r="S49" s="108"/>
      <c r="T49" s="108"/>
      <c r="U49" s="108"/>
      <c r="V49" s="108"/>
      <c r="W49" s="108"/>
      <c r="X49" s="108"/>
      <c r="Y49" s="108"/>
    </row>
    <row r="50" spans="2:25" x14ac:dyDescent="0.2">
      <c r="B50" s="105"/>
      <c r="C50" s="105"/>
      <c r="D50" s="105"/>
      <c r="E50" s="105"/>
      <c r="H50" s="105"/>
      <c r="I50" s="105"/>
      <c r="J50" s="105"/>
      <c r="K50" s="105"/>
      <c r="P50" s="108"/>
      <c r="Q50" s="108"/>
      <c r="R50" s="108"/>
      <c r="S50" s="108"/>
      <c r="T50" s="108"/>
      <c r="U50" s="108"/>
      <c r="V50" s="108"/>
      <c r="W50" s="108"/>
      <c r="X50" s="108"/>
      <c r="Y50" s="108"/>
    </row>
    <row r="51" spans="2:25" x14ac:dyDescent="0.2">
      <c r="B51" s="105"/>
      <c r="C51" s="105"/>
      <c r="D51" s="105"/>
      <c r="E51" s="105"/>
      <c r="H51" s="105"/>
      <c r="I51" s="105"/>
      <c r="J51" s="105"/>
      <c r="K51" s="105"/>
      <c r="P51" s="108"/>
      <c r="Q51" s="108"/>
      <c r="R51" s="108"/>
      <c r="S51" s="108"/>
      <c r="T51" s="108"/>
      <c r="U51" s="108"/>
      <c r="V51" s="108"/>
      <c r="W51" s="108"/>
      <c r="X51" s="108"/>
      <c r="Y51" s="108"/>
    </row>
    <row r="52" spans="2:25" x14ac:dyDescent="0.2">
      <c r="B52" s="105"/>
      <c r="C52" s="105"/>
      <c r="D52" s="105"/>
      <c r="E52" s="105"/>
      <c r="H52" s="105"/>
      <c r="I52" s="105"/>
      <c r="J52" s="105"/>
      <c r="K52" s="105"/>
      <c r="P52" s="108"/>
      <c r="Q52" s="108"/>
      <c r="R52" s="108"/>
      <c r="S52" s="108"/>
      <c r="T52" s="108"/>
      <c r="U52" s="108"/>
      <c r="V52" s="108"/>
      <c r="W52" s="108"/>
      <c r="X52" s="108"/>
      <c r="Y52" s="108"/>
    </row>
    <row r="53" spans="2:25" x14ac:dyDescent="0.2">
      <c r="B53" s="105"/>
      <c r="C53" s="105"/>
      <c r="D53" s="105"/>
      <c r="E53" s="105"/>
      <c r="H53" s="105"/>
      <c r="I53" s="105"/>
      <c r="J53" s="105"/>
      <c r="K53" s="105"/>
      <c r="P53" s="108"/>
      <c r="Q53" s="108"/>
      <c r="R53" s="108"/>
      <c r="S53" s="108"/>
      <c r="T53" s="108"/>
      <c r="U53" s="108"/>
      <c r="V53" s="108"/>
      <c r="W53" s="108"/>
      <c r="X53" s="108"/>
      <c r="Y53" s="108"/>
    </row>
    <row r="54" spans="2:25" x14ac:dyDescent="0.2">
      <c r="B54" s="105"/>
      <c r="C54" s="105"/>
      <c r="D54" s="105"/>
      <c r="E54" s="105"/>
      <c r="H54" s="105"/>
      <c r="I54" s="105"/>
      <c r="J54" s="105"/>
      <c r="K54" s="105"/>
      <c r="P54" s="108"/>
      <c r="Q54" s="108"/>
      <c r="R54" s="108"/>
      <c r="S54" s="108"/>
      <c r="T54" s="108"/>
      <c r="U54" s="108"/>
      <c r="V54" s="108"/>
      <c r="W54" s="108"/>
      <c r="X54" s="108"/>
      <c r="Y54" s="108"/>
    </row>
    <row r="55" spans="2:25" x14ac:dyDescent="0.2">
      <c r="B55" s="105"/>
      <c r="C55" s="105"/>
      <c r="D55" s="105"/>
      <c r="E55" s="105"/>
      <c r="H55" s="105"/>
      <c r="I55" s="105"/>
      <c r="J55" s="105"/>
      <c r="K55" s="105"/>
      <c r="P55" s="108"/>
      <c r="Q55" s="108"/>
      <c r="R55" s="108"/>
      <c r="S55" s="108"/>
      <c r="T55" s="108"/>
      <c r="U55" s="108"/>
      <c r="V55" s="108"/>
      <c r="W55" s="108"/>
      <c r="X55" s="108"/>
      <c r="Y55" s="108"/>
    </row>
    <row r="56" spans="2:25" x14ac:dyDescent="0.2">
      <c r="B56" s="105"/>
      <c r="C56" s="105"/>
      <c r="D56" s="105"/>
      <c r="E56" s="105"/>
      <c r="H56" s="105"/>
      <c r="I56" s="105"/>
      <c r="J56" s="105"/>
      <c r="K56" s="105"/>
      <c r="P56" s="108"/>
      <c r="Q56" s="108"/>
      <c r="R56" s="108"/>
      <c r="S56" s="108"/>
      <c r="T56" s="108"/>
      <c r="U56" s="108"/>
      <c r="V56" s="108"/>
      <c r="W56" s="108"/>
      <c r="X56" s="108"/>
      <c r="Y56" s="108"/>
    </row>
    <row r="57" spans="2:25" x14ac:dyDescent="0.2">
      <c r="B57" s="105"/>
      <c r="C57" s="105"/>
      <c r="D57" s="105"/>
      <c r="E57" s="105"/>
      <c r="H57" s="105"/>
      <c r="I57" s="105"/>
      <c r="J57" s="105"/>
      <c r="K57" s="105"/>
      <c r="P57" s="108"/>
      <c r="Q57" s="108"/>
      <c r="R57" s="108"/>
      <c r="S57" s="108"/>
      <c r="T57" s="108"/>
      <c r="U57" s="108"/>
      <c r="V57" s="108"/>
      <c r="W57" s="108"/>
      <c r="X57" s="108"/>
      <c r="Y57" s="108"/>
    </row>
    <row r="58" spans="2:25" x14ac:dyDescent="0.2">
      <c r="B58" s="105"/>
      <c r="C58" s="105"/>
      <c r="D58" s="105"/>
      <c r="E58" s="105"/>
      <c r="H58" s="105"/>
      <c r="I58" s="105"/>
      <c r="J58" s="105"/>
      <c r="K58" s="105"/>
      <c r="P58" s="108"/>
      <c r="Q58" s="108"/>
      <c r="R58" s="108"/>
      <c r="S58" s="108"/>
      <c r="T58" s="108"/>
      <c r="U58" s="108"/>
      <c r="V58" s="108"/>
      <c r="W58" s="108"/>
      <c r="X58" s="108"/>
      <c r="Y58" s="108"/>
    </row>
    <row r="59" spans="2:25" x14ac:dyDescent="0.2">
      <c r="B59" s="105"/>
      <c r="C59" s="105"/>
      <c r="D59" s="105"/>
      <c r="E59" s="105"/>
      <c r="H59" s="105"/>
      <c r="I59" s="105"/>
      <c r="J59" s="105"/>
      <c r="K59" s="105"/>
      <c r="P59" s="108"/>
      <c r="Q59" s="108"/>
      <c r="R59" s="108"/>
      <c r="S59" s="108"/>
      <c r="T59" s="108"/>
      <c r="U59" s="108"/>
      <c r="V59" s="108"/>
      <c r="W59" s="108"/>
      <c r="X59" s="108"/>
      <c r="Y59" s="108"/>
    </row>
    <row r="60" spans="2:25" x14ac:dyDescent="0.2">
      <c r="B60" s="105"/>
      <c r="C60" s="105"/>
      <c r="D60" s="105"/>
      <c r="E60" s="105"/>
      <c r="H60" s="105"/>
      <c r="I60" s="105"/>
      <c r="J60" s="105"/>
      <c r="K60" s="105"/>
      <c r="P60" s="108"/>
      <c r="Q60" s="108"/>
      <c r="R60" s="108"/>
      <c r="S60" s="108"/>
      <c r="T60" s="108"/>
      <c r="U60" s="108"/>
      <c r="V60" s="108"/>
      <c r="W60" s="108"/>
      <c r="X60" s="108"/>
      <c r="Y60" s="108"/>
    </row>
    <row r="61" spans="2:25" x14ac:dyDescent="0.2">
      <c r="B61" s="105"/>
      <c r="C61" s="105"/>
      <c r="D61" s="105"/>
      <c r="E61" s="105"/>
      <c r="H61" s="105"/>
      <c r="I61" s="105"/>
      <c r="J61" s="105"/>
      <c r="K61" s="105"/>
      <c r="P61" s="108"/>
      <c r="Q61" s="108"/>
      <c r="R61" s="108"/>
      <c r="S61" s="108"/>
      <c r="T61" s="108"/>
      <c r="U61" s="108"/>
      <c r="V61" s="108"/>
      <c r="W61" s="108"/>
      <c r="X61" s="108"/>
      <c r="Y61" s="108"/>
    </row>
    <row r="62" spans="2:25" x14ac:dyDescent="0.2">
      <c r="B62" s="105"/>
      <c r="C62" s="105"/>
      <c r="D62" s="105"/>
      <c r="E62" s="105"/>
      <c r="H62" s="105"/>
      <c r="I62" s="105"/>
      <c r="J62" s="105"/>
      <c r="K62" s="105"/>
      <c r="P62" s="108"/>
      <c r="Q62" s="108"/>
      <c r="R62" s="108"/>
      <c r="S62" s="108"/>
      <c r="T62" s="108"/>
      <c r="U62" s="108"/>
      <c r="V62" s="108"/>
      <c r="W62" s="108"/>
      <c r="X62" s="108"/>
      <c r="Y62" s="108"/>
    </row>
    <row r="63" spans="2:25" x14ac:dyDescent="0.2">
      <c r="B63" s="105"/>
      <c r="C63" s="105"/>
      <c r="D63" s="105"/>
      <c r="E63" s="105"/>
      <c r="H63" s="105"/>
      <c r="I63" s="105"/>
      <c r="J63" s="105"/>
      <c r="K63" s="105"/>
      <c r="P63" s="108"/>
      <c r="Q63" s="108"/>
      <c r="R63" s="108"/>
      <c r="S63" s="108"/>
      <c r="T63" s="108"/>
      <c r="U63" s="108"/>
      <c r="V63" s="108"/>
      <c r="W63" s="108"/>
      <c r="X63" s="108"/>
      <c r="Y63" s="108"/>
    </row>
    <row r="64" spans="2:25" x14ac:dyDescent="0.2">
      <c r="B64" s="105"/>
      <c r="C64" s="105"/>
      <c r="D64" s="105"/>
      <c r="E64" s="105"/>
      <c r="H64" s="105"/>
      <c r="I64" s="105"/>
      <c r="J64" s="105"/>
      <c r="K64" s="105"/>
      <c r="P64" s="108"/>
      <c r="Q64" s="108"/>
      <c r="R64" s="108"/>
      <c r="S64" s="108"/>
      <c r="T64" s="108"/>
      <c r="U64" s="108"/>
      <c r="V64" s="108"/>
      <c r="W64" s="108"/>
      <c r="X64" s="108"/>
      <c r="Y64" s="108"/>
    </row>
    <row r="65" spans="2:25" x14ac:dyDescent="0.2">
      <c r="B65" s="105"/>
      <c r="C65" s="105"/>
      <c r="D65" s="105"/>
      <c r="E65" s="105"/>
      <c r="H65" s="105"/>
      <c r="I65" s="105"/>
      <c r="J65" s="105"/>
      <c r="K65" s="105"/>
      <c r="P65" s="108"/>
      <c r="Q65" s="108"/>
      <c r="R65" s="108"/>
      <c r="S65" s="108"/>
      <c r="T65" s="108"/>
      <c r="U65" s="108"/>
      <c r="V65" s="108"/>
      <c r="W65" s="108"/>
      <c r="X65" s="108"/>
      <c r="Y65" s="108"/>
    </row>
    <row r="66" spans="2:25" x14ac:dyDescent="0.2">
      <c r="B66" s="105"/>
      <c r="C66" s="105"/>
      <c r="D66" s="105"/>
      <c r="E66" s="105"/>
      <c r="H66" s="105"/>
      <c r="I66" s="105"/>
      <c r="J66" s="105"/>
      <c r="K66" s="105"/>
      <c r="P66" s="108"/>
      <c r="Q66" s="108"/>
      <c r="R66" s="108"/>
      <c r="S66" s="108"/>
      <c r="T66" s="108"/>
      <c r="U66" s="108"/>
      <c r="V66" s="108"/>
      <c r="W66" s="108"/>
      <c r="X66" s="108"/>
      <c r="Y66" s="108"/>
    </row>
    <row r="67" spans="2:25" x14ac:dyDescent="0.2">
      <c r="B67" s="105"/>
      <c r="C67" s="105"/>
      <c r="D67" s="105"/>
      <c r="E67" s="105"/>
      <c r="H67" s="105"/>
      <c r="I67" s="105"/>
      <c r="J67" s="105"/>
      <c r="K67" s="105"/>
      <c r="P67" s="108"/>
      <c r="Q67" s="108"/>
      <c r="R67" s="108"/>
      <c r="S67" s="108"/>
      <c r="T67" s="108"/>
      <c r="U67" s="108"/>
      <c r="V67" s="108"/>
      <c r="W67" s="108"/>
      <c r="X67" s="108"/>
      <c r="Y67" s="108"/>
    </row>
    <row r="68" spans="2:25" x14ac:dyDescent="0.2">
      <c r="B68" s="105"/>
      <c r="C68" s="105"/>
      <c r="D68" s="105"/>
      <c r="E68" s="105"/>
      <c r="H68" s="105"/>
      <c r="I68" s="105"/>
      <c r="J68" s="105"/>
      <c r="K68" s="105"/>
      <c r="P68" s="108"/>
      <c r="Q68" s="108"/>
      <c r="R68" s="108"/>
      <c r="S68" s="108"/>
      <c r="T68" s="108"/>
      <c r="U68" s="108"/>
      <c r="V68" s="108"/>
      <c r="W68" s="108"/>
      <c r="X68" s="108"/>
      <c r="Y68" s="108"/>
    </row>
    <row r="69" spans="2:25" x14ac:dyDescent="0.2">
      <c r="B69" s="105"/>
      <c r="C69" s="105"/>
      <c r="D69" s="105"/>
      <c r="E69" s="105"/>
      <c r="H69" s="105"/>
      <c r="I69" s="105"/>
      <c r="J69" s="105"/>
      <c r="K69" s="105"/>
      <c r="P69" s="108"/>
      <c r="Q69" s="108"/>
      <c r="R69" s="108"/>
      <c r="S69" s="108"/>
      <c r="T69" s="108"/>
      <c r="U69" s="108"/>
      <c r="V69" s="108"/>
      <c r="W69" s="108"/>
      <c r="X69" s="108"/>
      <c r="Y69" s="108"/>
    </row>
    <row r="70" spans="2:25" x14ac:dyDescent="0.2">
      <c r="B70" s="105"/>
      <c r="C70" s="105"/>
      <c r="D70" s="105"/>
      <c r="E70" s="105"/>
      <c r="H70" s="105"/>
      <c r="I70" s="105"/>
      <c r="J70" s="105"/>
      <c r="K70" s="105"/>
      <c r="P70" s="108"/>
      <c r="Q70" s="108"/>
      <c r="R70" s="108"/>
      <c r="S70" s="108"/>
      <c r="T70" s="108"/>
      <c r="U70" s="108"/>
      <c r="V70" s="108"/>
      <c r="W70" s="108"/>
      <c r="X70" s="108"/>
      <c r="Y70" s="108"/>
    </row>
    <row r="71" spans="2:25" x14ac:dyDescent="0.2">
      <c r="B71" s="105"/>
      <c r="C71" s="105"/>
      <c r="D71" s="105"/>
      <c r="E71" s="105"/>
      <c r="H71" s="105"/>
      <c r="I71" s="105"/>
      <c r="J71" s="105"/>
      <c r="K71" s="105"/>
      <c r="P71" s="108"/>
      <c r="Q71" s="108"/>
      <c r="R71" s="108"/>
      <c r="S71" s="108"/>
      <c r="T71" s="108"/>
      <c r="U71" s="108"/>
      <c r="V71" s="108"/>
      <c r="W71" s="108"/>
      <c r="X71" s="108"/>
      <c r="Y71" s="108"/>
    </row>
    <row r="72" spans="2:25" x14ac:dyDescent="0.2">
      <c r="B72" s="105"/>
      <c r="C72" s="105"/>
      <c r="D72" s="105"/>
      <c r="E72" s="105"/>
      <c r="H72" s="105"/>
      <c r="I72" s="105"/>
      <c r="J72" s="105"/>
      <c r="K72" s="105"/>
      <c r="P72" s="108"/>
      <c r="Q72" s="108"/>
      <c r="R72" s="108"/>
      <c r="S72" s="108"/>
      <c r="T72" s="108"/>
      <c r="U72" s="108"/>
      <c r="V72" s="108"/>
      <c r="W72" s="108"/>
      <c r="X72" s="108"/>
      <c r="Y72" s="108"/>
    </row>
    <row r="73" spans="2:25" x14ac:dyDescent="0.2">
      <c r="B73" s="105"/>
      <c r="C73" s="105"/>
      <c r="D73" s="105"/>
      <c r="E73" s="105"/>
      <c r="H73" s="105"/>
      <c r="I73" s="105"/>
      <c r="J73" s="105"/>
      <c r="K73" s="105"/>
      <c r="P73" s="108"/>
      <c r="Q73" s="108"/>
      <c r="R73" s="108"/>
      <c r="S73" s="108"/>
      <c r="T73" s="108"/>
      <c r="U73" s="108"/>
      <c r="V73" s="108"/>
      <c r="W73" s="108"/>
      <c r="X73" s="108"/>
      <c r="Y73" s="108"/>
    </row>
    <row r="74" spans="2:25" x14ac:dyDescent="0.2">
      <c r="B74" s="105"/>
      <c r="C74" s="105"/>
      <c r="D74" s="105"/>
      <c r="E74" s="105"/>
      <c r="H74" s="105"/>
      <c r="I74" s="105"/>
      <c r="J74" s="105"/>
      <c r="K74" s="105"/>
      <c r="P74" s="108"/>
      <c r="Q74" s="108"/>
      <c r="R74" s="108"/>
      <c r="S74" s="108"/>
      <c r="T74" s="108"/>
      <c r="U74" s="108"/>
      <c r="V74" s="108"/>
      <c r="W74" s="108"/>
      <c r="X74" s="108"/>
      <c r="Y74" s="108"/>
    </row>
    <row r="75" spans="2:25" x14ac:dyDescent="0.2">
      <c r="B75" s="105"/>
      <c r="C75" s="105"/>
      <c r="D75" s="105"/>
      <c r="E75" s="105"/>
      <c r="H75" s="105"/>
      <c r="I75" s="105"/>
      <c r="J75" s="105"/>
      <c r="K75" s="105"/>
      <c r="P75" s="108"/>
      <c r="Q75" s="108"/>
      <c r="R75" s="108"/>
      <c r="S75" s="108"/>
      <c r="T75" s="108"/>
      <c r="U75" s="108"/>
      <c r="V75" s="108"/>
      <c r="W75" s="108"/>
      <c r="X75" s="108"/>
      <c r="Y75" s="108"/>
    </row>
    <row r="76" spans="2:25" x14ac:dyDescent="0.2">
      <c r="B76" s="105"/>
      <c r="C76" s="105"/>
      <c r="D76" s="105"/>
      <c r="E76" s="105"/>
      <c r="H76" s="105"/>
      <c r="I76" s="105"/>
      <c r="J76" s="105"/>
      <c r="K76" s="105"/>
      <c r="P76" s="108"/>
      <c r="Q76" s="108"/>
      <c r="R76" s="108"/>
      <c r="S76" s="108"/>
      <c r="T76" s="108"/>
      <c r="U76" s="108"/>
      <c r="V76" s="108"/>
      <c r="W76" s="108"/>
      <c r="X76" s="108"/>
      <c r="Y76" s="108"/>
    </row>
    <row r="77" spans="2:25" x14ac:dyDescent="0.2">
      <c r="B77" s="105"/>
      <c r="C77" s="105"/>
      <c r="D77" s="105"/>
      <c r="E77" s="105"/>
      <c r="H77" s="105"/>
      <c r="I77" s="105"/>
      <c r="J77" s="105"/>
      <c r="K77" s="105"/>
      <c r="P77" s="108"/>
      <c r="Q77" s="108"/>
      <c r="R77" s="108"/>
      <c r="S77" s="108"/>
      <c r="T77" s="108"/>
      <c r="U77" s="108"/>
      <c r="V77" s="108"/>
      <c r="W77" s="108"/>
      <c r="X77" s="108"/>
      <c r="Y77" s="108"/>
    </row>
    <row r="78" spans="2:25" x14ac:dyDescent="0.2">
      <c r="B78" s="105"/>
      <c r="C78" s="105"/>
      <c r="D78" s="105"/>
      <c r="E78" s="105"/>
      <c r="H78" s="105"/>
      <c r="I78" s="105"/>
      <c r="J78" s="105"/>
      <c r="K78" s="105"/>
      <c r="P78" s="108"/>
      <c r="Q78" s="108"/>
      <c r="R78" s="108"/>
      <c r="S78" s="108"/>
      <c r="T78" s="108"/>
      <c r="U78" s="108"/>
      <c r="V78" s="108"/>
      <c r="W78" s="108"/>
      <c r="X78" s="108"/>
      <c r="Y78" s="108"/>
    </row>
    <row r="79" spans="2:25" x14ac:dyDescent="0.2">
      <c r="B79" s="105"/>
      <c r="C79" s="105"/>
      <c r="D79" s="105"/>
      <c r="E79" s="105"/>
      <c r="H79" s="105"/>
      <c r="I79" s="105"/>
      <c r="J79" s="105"/>
      <c r="K79" s="105"/>
      <c r="P79" s="108"/>
      <c r="Q79" s="108"/>
      <c r="R79" s="108"/>
      <c r="S79" s="108"/>
      <c r="T79" s="108"/>
      <c r="U79" s="108"/>
      <c r="V79" s="108"/>
      <c r="W79" s="108"/>
      <c r="X79" s="108"/>
      <c r="Y79" s="108"/>
    </row>
    <row r="80" spans="2:25" x14ac:dyDescent="0.2">
      <c r="B80" s="105"/>
      <c r="C80" s="105"/>
      <c r="D80" s="105"/>
      <c r="E80" s="105"/>
      <c r="H80" s="105"/>
      <c r="I80" s="105"/>
      <c r="J80" s="105"/>
      <c r="K80" s="105"/>
      <c r="P80" s="108"/>
      <c r="Q80" s="108"/>
      <c r="R80" s="108"/>
      <c r="S80" s="108"/>
      <c r="T80" s="108"/>
      <c r="U80" s="108"/>
      <c r="V80" s="108"/>
      <c r="W80" s="108"/>
      <c r="X80" s="108"/>
      <c r="Y80" s="108"/>
    </row>
    <row r="81" spans="2:25" x14ac:dyDescent="0.2">
      <c r="B81" s="105"/>
      <c r="C81" s="105"/>
      <c r="D81" s="105"/>
      <c r="E81" s="105"/>
      <c r="H81" s="105"/>
      <c r="I81" s="105"/>
      <c r="J81" s="105"/>
      <c r="K81" s="105"/>
      <c r="P81" s="108"/>
      <c r="Q81" s="108"/>
      <c r="R81" s="108"/>
      <c r="S81" s="108"/>
      <c r="T81" s="108"/>
      <c r="U81" s="108"/>
      <c r="V81" s="108"/>
      <c r="W81" s="108"/>
      <c r="X81" s="108"/>
      <c r="Y81" s="108"/>
    </row>
    <row r="82" spans="2:25" x14ac:dyDescent="0.2">
      <c r="B82" s="105"/>
      <c r="C82" s="105"/>
      <c r="D82" s="105"/>
      <c r="E82" s="105"/>
      <c r="H82" s="105"/>
      <c r="I82" s="105"/>
      <c r="J82" s="105"/>
      <c r="K82" s="105"/>
      <c r="P82" s="108"/>
      <c r="Q82" s="108"/>
      <c r="R82" s="108"/>
      <c r="S82" s="108"/>
      <c r="T82" s="108"/>
      <c r="U82" s="108"/>
      <c r="V82" s="108"/>
      <c r="W82" s="108"/>
      <c r="X82" s="108"/>
      <c r="Y82" s="108"/>
    </row>
    <row r="83" spans="2:25" x14ac:dyDescent="0.2">
      <c r="B83" s="105"/>
      <c r="C83" s="105"/>
      <c r="D83" s="105"/>
      <c r="E83" s="105"/>
      <c r="H83" s="105"/>
      <c r="I83" s="105"/>
      <c r="J83" s="105"/>
      <c r="K83" s="105"/>
      <c r="P83" s="108"/>
      <c r="Q83" s="108"/>
      <c r="R83" s="108"/>
      <c r="S83" s="108"/>
      <c r="T83" s="108"/>
      <c r="U83" s="108"/>
      <c r="V83" s="108"/>
      <c r="W83" s="108"/>
      <c r="X83" s="108"/>
      <c r="Y83" s="108"/>
    </row>
    <row r="84" spans="2:25" x14ac:dyDescent="0.2">
      <c r="B84" s="105"/>
      <c r="C84" s="105"/>
      <c r="D84" s="105"/>
      <c r="E84" s="105"/>
      <c r="H84" s="105"/>
      <c r="I84" s="105"/>
      <c r="J84" s="105"/>
      <c r="K84" s="105"/>
      <c r="P84" s="108"/>
      <c r="Q84" s="108"/>
      <c r="R84" s="108"/>
      <c r="S84" s="108"/>
      <c r="T84" s="108"/>
      <c r="U84" s="108"/>
      <c r="V84" s="108"/>
      <c r="W84" s="108"/>
      <c r="X84" s="108"/>
      <c r="Y84" s="108"/>
    </row>
    <row r="85" spans="2:25" x14ac:dyDescent="0.2">
      <c r="B85" s="105"/>
      <c r="C85" s="105"/>
      <c r="D85" s="105"/>
      <c r="E85" s="105"/>
      <c r="H85" s="105"/>
      <c r="I85" s="105"/>
      <c r="J85" s="105"/>
      <c r="K85" s="105"/>
      <c r="P85" s="108"/>
      <c r="Q85" s="108"/>
      <c r="R85" s="108"/>
      <c r="S85" s="108"/>
      <c r="T85" s="108"/>
      <c r="U85" s="108"/>
      <c r="V85" s="108"/>
      <c r="W85" s="108"/>
      <c r="X85" s="108"/>
      <c r="Y85" s="108"/>
    </row>
    <row r="86" spans="2:25" x14ac:dyDescent="0.2">
      <c r="B86" s="105"/>
      <c r="C86" s="105"/>
      <c r="D86" s="105"/>
      <c r="E86" s="105"/>
      <c r="H86" s="105"/>
      <c r="I86" s="105"/>
      <c r="J86" s="105"/>
      <c r="K86" s="105"/>
      <c r="P86" s="108"/>
      <c r="Q86" s="108"/>
      <c r="R86" s="108"/>
      <c r="S86" s="108"/>
      <c r="T86" s="108"/>
      <c r="U86" s="108"/>
      <c r="V86" s="108"/>
      <c r="W86" s="108"/>
      <c r="X86" s="108"/>
      <c r="Y86" s="108"/>
    </row>
    <row r="87" spans="2:25" x14ac:dyDescent="0.2">
      <c r="B87" s="105"/>
      <c r="C87" s="105"/>
      <c r="D87" s="105"/>
      <c r="E87" s="105"/>
      <c r="H87" s="105"/>
      <c r="I87" s="105"/>
      <c r="J87" s="105"/>
      <c r="K87" s="105"/>
      <c r="P87" s="108"/>
      <c r="Q87" s="108"/>
      <c r="R87" s="108"/>
      <c r="S87" s="108"/>
      <c r="T87" s="108"/>
      <c r="U87" s="108"/>
      <c r="V87" s="108"/>
      <c r="W87" s="108"/>
      <c r="X87" s="108"/>
      <c r="Y87" s="108"/>
    </row>
    <row r="88" spans="2:25" x14ac:dyDescent="0.2">
      <c r="B88" s="105"/>
      <c r="C88" s="105"/>
      <c r="D88" s="105"/>
      <c r="E88" s="105"/>
      <c r="H88" s="105"/>
      <c r="I88" s="105"/>
      <c r="J88" s="105"/>
      <c r="K88" s="105"/>
      <c r="P88" s="108"/>
      <c r="Q88" s="108"/>
      <c r="R88" s="108"/>
      <c r="S88" s="108"/>
      <c r="T88" s="108"/>
      <c r="U88" s="108"/>
      <c r="V88" s="108"/>
      <c r="W88" s="108"/>
      <c r="X88" s="108"/>
      <c r="Y88" s="108"/>
    </row>
    <row r="89" spans="2:25" x14ac:dyDescent="0.2">
      <c r="B89" s="105"/>
      <c r="C89" s="105"/>
      <c r="D89" s="105"/>
      <c r="E89" s="105"/>
      <c r="H89" s="105"/>
      <c r="I89" s="105"/>
      <c r="J89" s="105"/>
      <c r="K89" s="105"/>
      <c r="P89" s="108"/>
      <c r="Q89" s="108"/>
      <c r="R89" s="108"/>
      <c r="S89" s="108"/>
      <c r="T89" s="108"/>
      <c r="U89" s="108"/>
      <c r="V89" s="108"/>
      <c r="W89" s="108"/>
      <c r="X89" s="108"/>
      <c r="Y89" s="108"/>
    </row>
    <row r="90" spans="2:25" x14ac:dyDescent="0.2">
      <c r="B90" s="105"/>
      <c r="C90" s="105"/>
      <c r="D90" s="105"/>
      <c r="E90" s="105"/>
      <c r="H90" s="105"/>
      <c r="I90" s="105"/>
      <c r="J90" s="105"/>
      <c r="K90" s="105"/>
      <c r="P90" s="108"/>
      <c r="Q90" s="108"/>
      <c r="R90" s="108"/>
      <c r="S90" s="108"/>
      <c r="T90" s="108"/>
      <c r="U90" s="108"/>
      <c r="V90" s="108"/>
      <c r="W90" s="108"/>
      <c r="X90" s="108"/>
      <c r="Y90" s="108"/>
    </row>
    <row r="91" spans="2:25" x14ac:dyDescent="0.2">
      <c r="B91" s="105"/>
      <c r="C91" s="105"/>
      <c r="D91" s="105"/>
      <c r="E91" s="105"/>
      <c r="H91" s="105"/>
      <c r="I91" s="105"/>
      <c r="J91" s="105"/>
      <c r="K91" s="105"/>
      <c r="P91" s="108"/>
      <c r="Q91" s="108"/>
      <c r="R91" s="108"/>
      <c r="S91" s="108"/>
      <c r="T91" s="108"/>
      <c r="U91" s="108"/>
      <c r="V91" s="108"/>
      <c r="W91" s="108"/>
      <c r="X91" s="108"/>
      <c r="Y91" s="108"/>
    </row>
    <row r="92" spans="2:25" x14ac:dyDescent="0.2">
      <c r="B92" s="105"/>
      <c r="C92" s="105"/>
      <c r="D92" s="105"/>
      <c r="E92" s="105"/>
      <c r="H92" s="105"/>
      <c r="I92" s="105"/>
      <c r="J92" s="105"/>
      <c r="K92" s="105"/>
      <c r="P92" s="108"/>
      <c r="Q92" s="108"/>
      <c r="R92" s="108"/>
      <c r="S92" s="108"/>
      <c r="T92" s="108"/>
      <c r="U92" s="108"/>
      <c r="V92" s="108"/>
      <c r="W92" s="108"/>
      <c r="X92" s="108"/>
      <c r="Y92" s="108"/>
    </row>
    <row r="93" spans="2:25" x14ac:dyDescent="0.2">
      <c r="B93" s="105"/>
      <c r="C93" s="105"/>
      <c r="D93" s="105"/>
      <c r="E93" s="105"/>
      <c r="H93" s="105"/>
      <c r="I93" s="105"/>
      <c r="J93" s="105"/>
      <c r="K93" s="105"/>
      <c r="P93" s="108"/>
      <c r="Q93" s="108"/>
      <c r="R93" s="108"/>
      <c r="S93" s="108"/>
      <c r="T93" s="108"/>
      <c r="U93" s="108"/>
      <c r="V93" s="108"/>
      <c r="W93" s="108"/>
      <c r="X93" s="108"/>
      <c r="Y93" s="108"/>
    </row>
    <row r="94" spans="2:25" x14ac:dyDescent="0.2">
      <c r="B94" s="105"/>
      <c r="C94" s="105"/>
      <c r="D94" s="105"/>
      <c r="E94" s="105"/>
      <c r="H94" s="105"/>
      <c r="I94" s="105"/>
      <c r="J94" s="105"/>
      <c r="K94" s="105"/>
      <c r="P94" s="108"/>
      <c r="Q94" s="108"/>
      <c r="R94" s="108"/>
      <c r="S94" s="108"/>
      <c r="T94" s="108"/>
      <c r="U94" s="108"/>
      <c r="V94" s="108"/>
      <c r="W94" s="108"/>
      <c r="X94" s="108"/>
      <c r="Y94" s="108"/>
    </row>
    <row r="95" spans="2:25" x14ac:dyDescent="0.2">
      <c r="B95" s="105"/>
      <c r="C95" s="105"/>
      <c r="D95" s="105"/>
      <c r="E95" s="105"/>
      <c r="H95" s="105"/>
      <c r="I95" s="105"/>
      <c r="J95" s="105"/>
      <c r="K95" s="105"/>
      <c r="P95" s="108"/>
      <c r="Q95" s="108"/>
      <c r="R95" s="108"/>
      <c r="S95" s="108"/>
      <c r="T95" s="108"/>
      <c r="U95" s="108"/>
      <c r="V95" s="108"/>
      <c r="W95" s="108"/>
      <c r="X95" s="108"/>
      <c r="Y95" s="108"/>
    </row>
    <row r="96" spans="2:25" x14ac:dyDescent="0.2">
      <c r="B96" s="105"/>
      <c r="C96" s="105"/>
      <c r="D96" s="105"/>
      <c r="E96" s="105"/>
      <c r="H96" s="105"/>
      <c r="I96" s="105"/>
      <c r="J96" s="105"/>
      <c r="K96" s="105"/>
      <c r="P96" s="108"/>
      <c r="Q96" s="108"/>
      <c r="R96" s="108"/>
      <c r="S96" s="108"/>
      <c r="T96" s="108"/>
      <c r="U96" s="108"/>
      <c r="V96" s="108"/>
      <c r="W96" s="108"/>
      <c r="X96" s="108"/>
      <c r="Y96" s="108"/>
    </row>
    <row r="97" spans="2:25" x14ac:dyDescent="0.2">
      <c r="B97" s="105"/>
      <c r="C97" s="105"/>
      <c r="D97" s="105"/>
      <c r="E97" s="105"/>
      <c r="H97" s="105"/>
      <c r="I97" s="105"/>
      <c r="J97" s="105"/>
      <c r="K97" s="105"/>
      <c r="P97" s="108"/>
      <c r="Q97" s="108"/>
      <c r="R97" s="108"/>
      <c r="S97" s="108"/>
      <c r="T97" s="108"/>
      <c r="U97" s="108"/>
      <c r="V97" s="108"/>
      <c r="W97" s="108"/>
      <c r="X97" s="108"/>
      <c r="Y97" s="108"/>
    </row>
    <row r="98" spans="2:25" x14ac:dyDescent="0.2">
      <c r="B98" s="105"/>
      <c r="C98" s="105"/>
      <c r="D98" s="105"/>
      <c r="E98" s="105"/>
      <c r="H98" s="105"/>
      <c r="I98" s="105"/>
      <c r="J98" s="105"/>
      <c r="K98" s="105"/>
      <c r="P98" s="108"/>
      <c r="Q98" s="108"/>
      <c r="R98" s="108"/>
      <c r="S98" s="108"/>
      <c r="T98" s="108"/>
      <c r="U98" s="108"/>
      <c r="V98" s="108"/>
      <c r="W98" s="108"/>
      <c r="X98" s="108"/>
      <c r="Y98" s="108"/>
    </row>
    <row r="99" spans="2:25" x14ac:dyDescent="0.2">
      <c r="B99" s="105"/>
      <c r="C99" s="105"/>
      <c r="D99" s="105"/>
      <c r="E99" s="105"/>
      <c r="H99" s="105"/>
      <c r="I99" s="105"/>
      <c r="J99" s="105"/>
      <c r="K99" s="105"/>
      <c r="P99" s="108"/>
      <c r="Q99" s="108"/>
      <c r="R99" s="108"/>
      <c r="S99" s="108"/>
      <c r="T99" s="108"/>
      <c r="U99" s="108"/>
      <c r="V99" s="108"/>
      <c r="W99" s="108"/>
      <c r="X99" s="108"/>
      <c r="Y99" s="108"/>
    </row>
    <row r="100" spans="2:25" x14ac:dyDescent="0.2">
      <c r="B100" s="105"/>
      <c r="C100" s="105"/>
      <c r="D100" s="105"/>
      <c r="E100" s="105"/>
      <c r="H100" s="105"/>
      <c r="I100" s="105"/>
      <c r="J100" s="105"/>
      <c r="K100" s="105"/>
      <c r="P100" s="108"/>
      <c r="Q100" s="108"/>
      <c r="R100" s="108"/>
      <c r="S100" s="108"/>
      <c r="T100" s="108"/>
      <c r="U100" s="108"/>
      <c r="V100" s="108"/>
      <c r="W100" s="108"/>
      <c r="X100" s="108"/>
      <c r="Y100" s="108"/>
    </row>
  </sheetData>
  <conditionalFormatting sqref="C6">
    <cfRule type="expression" dxfId="107" priority="401">
      <formula>E6="Y"</formula>
    </cfRule>
  </conditionalFormatting>
  <conditionalFormatting sqref="D6">
    <cfRule type="expression" dxfId="106" priority="400">
      <formula>E6="Y"</formula>
    </cfRule>
  </conditionalFormatting>
  <conditionalFormatting sqref="B6">
    <cfRule type="expression" dxfId="105" priority="399">
      <formula>E6="Y"</formula>
    </cfRule>
  </conditionalFormatting>
  <conditionalFormatting sqref="C14 C18 C26 C30 C34">
    <cfRule type="expression" dxfId="104" priority="75">
      <formula>E14="Y"</formula>
    </cfRule>
  </conditionalFormatting>
  <conditionalFormatting sqref="D14 D18 D26 D30 D34">
    <cfRule type="expression" dxfId="103" priority="74">
      <formula>E14="Y"</formula>
    </cfRule>
  </conditionalFormatting>
  <conditionalFormatting sqref="B14 B18 B26 B30 B34">
    <cfRule type="expression" dxfId="102" priority="73">
      <formula>E14="Y"</formula>
    </cfRule>
  </conditionalFormatting>
  <conditionalFormatting sqref="I14 I18 I22 I26 I30 I34">
    <cfRule type="expression" dxfId="101" priority="65">
      <formula>K14="Y"</formula>
    </cfRule>
  </conditionalFormatting>
  <conditionalFormatting sqref="J14 J18 J22 J26 J30 J34">
    <cfRule type="expression" dxfId="100" priority="64">
      <formula>K14="Y"</formula>
    </cfRule>
  </conditionalFormatting>
  <conditionalFormatting sqref="H14 H18 H22 H26 H30 H34">
    <cfRule type="expression" dxfId="99" priority="63">
      <formula>K14="Y"</formula>
    </cfRule>
  </conditionalFormatting>
  <conditionalFormatting sqref="C10">
    <cfRule type="expression" dxfId="98" priority="60">
      <formula>E10="Y"</formula>
    </cfRule>
  </conditionalFormatting>
  <conditionalFormatting sqref="D10">
    <cfRule type="expression" dxfId="97" priority="59">
      <formula>E10="Y"</formula>
    </cfRule>
  </conditionalFormatting>
  <conditionalFormatting sqref="B10">
    <cfRule type="expression" dxfId="96" priority="58">
      <formula>E10="Y"</formula>
    </cfRule>
  </conditionalFormatting>
  <conditionalFormatting sqref="C22">
    <cfRule type="expression" dxfId="95" priority="55">
      <formula>E22="Y"</formula>
    </cfRule>
  </conditionalFormatting>
  <conditionalFormatting sqref="D22">
    <cfRule type="expression" dxfId="94" priority="54">
      <formula>E22="Y"</formula>
    </cfRule>
  </conditionalFormatting>
  <conditionalFormatting sqref="B22">
    <cfRule type="expression" dxfId="93" priority="53">
      <formula>E22="Y"</formula>
    </cfRule>
  </conditionalFormatting>
  <conditionalFormatting sqref="Q6">
    <cfRule type="expression" dxfId="92" priority="50">
      <formula>S6="Y"</formula>
    </cfRule>
  </conditionalFormatting>
  <conditionalFormatting sqref="R6">
    <cfRule type="expression" dxfId="91" priority="49">
      <formula>S6="Y"</formula>
    </cfRule>
  </conditionalFormatting>
  <conditionalFormatting sqref="P6">
    <cfRule type="expression" dxfId="90" priority="48">
      <formula>S6="Y"</formula>
    </cfRule>
  </conditionalFormatting>
  <conditionalFormatting sqref="Q14">
    <cfRule type="expression" dxfId="89" priority="45">
      <formula>S14="Y"</formula>
    </cfRule>
  </conditionalFormatting>
  <conditionalFormatting sqref="R14">
    <cfRule type="expression" dxfId="88" priority="44">
      <formula>S14="Y"</formula>
    </cfRule>
  </conditionalFormatting>
  <conditionalFormatting sqref="P14">
    <cfRule type="expression" dxfId="87" priority="43">
      <formula>S14="Y"</formula>
    </cfRule>
  </conditionalFormatting>
  <conditionalFormatting sqref="I6">
    <cfRule type="expression" dxfId="86" priority="40">
      <formula>K6="Y"</formula>
    </cfRule>
  </conditionalFormatting>
  <conditionalFormatting sqref="J6">
    <cfRule type="expression" dxfId="85" priority="39">
      <formula>K6="Y"</formula>
    </cfRule>
  </conditionalFormatting>
  <conditionalFormatting sqref="H6">
    <cfRule type="expression" dxfId="84" priority="38">
      <formula>K6="Y"</formula>
    </cfRule>
  </conditionalFormatting>
  <conditionalFormatting sqref="I10">
    <cfRule type="expression" dxfId="83" priority="35">
      <formula>K10="Y"</formula>
    </cfRule>
  </conditionalFormatting>
  <conditionalFormatting sqref="J10">
    <cfRule type="expression" dxfId="82" priority="34">
      <formula>K10="Y"</formula>
    </cfRule>
  </conditionalFormatting>
  <conditionalFormatting sqref="H10">
    <cfRule type="expression" dxfId="81" priority="33">
      <formula>K10="Y"</formula>
    </cfRule>
  </conditionalFormatting>
  <conditionalFormatting sqref="W6">
    <cfRule type="expression" dxfId="80" priority="30">
      <formula>Y6="Y"</formula>
    </cfRule>
  </conditionalFormatting>
  <conditionalFormatting sqref="X6">
    <cfRule type="expression" dxfId="79" priority="29">
      <formula>Y6="Y"</formula>
    </cfRule>
  </conditionalFormatting>
  <conditionalFormatting sqref="V6">
    <cfRule type="expression" dxfId="78" priority="28">
      <formula>Y6="Y"</formula>
    </cfRule>
  </conditionalFormatting>
  <conditionalFormatting sqref="W14">
    <cfRule type="expression" dxfId="77" priority="25">
      <formula>Y14="Y"</formula>
    </cfRule>
  </conditionalFormatting>
  <conditionalFormatting sqref="X14">
    <cfRule type="expression" dxfId="76" priority="24">
      <formula>Y14="Y"</formula>
    </cfRule>
  </conditionalFormatting>
  <conditionalFormatting sqref="V14">
    <cfRule type="expression" dxfId="75" priority="23">
      <formula>Y14="Y"</formula>
    </cfRule>
  </conditionalFormatting>
  <conditionalFormatting sqref="Q22">
    <cfRule type="expression" dxfId="74" priority="20">
      <formula>S22="Y"</formula>
    </cfRule>
  </conditionalFormatting>
  <conditionalFormatting sqref="R22">
    <cfRule type="expression" dxfId="73" priority="19">
      <formula>S22="Y"</formula>
    </cfRule>
  </conditionalFormatting>
  <conditionalFormatting sqref="P22">
    <cfRule type="expression" dxfId="72" priority="18">
      <formula>S22="Y"</formula>
    </cfRule>
  </conditionalFormatting>
  <conditionalFormatting sqref="Q30">
    <cfRule type="expression" dxfId="71" priority="15">
      <formula>S30="Y"</formula>
    </cfRule>
  </conditionalFormatting>
  <conditionalFormatting sqref="R30">
    <cfRule type="expression" dxfId="70" priority="14">
      <formula>S30="Y"</formula>
    </cfRule>
  </conditionalFormatting>
  <conditionalFormatting sqref="P30">
    <cfRule type="expression" dxfId="69" priority="13">
      <formula>S30="Y"</formula>
    </cfRule>
  </conditionalFormatting>
  <conditionalFormatting sqref="W22">
    <cfRule type="expression" dxfId="68" priority="10">
      <formula>Y22="Y"</formula>
    </cfRule>
  </conditionalFormatting>
  <conditionalFormatting sqref="X22">
    <cfRule type="expression" dxfId="67" priority="9">
      <formula>Y22="Y"</formula>
    </cfRule>
  </conditionalFormatting>
  <conditionalFormatting sqref="V22">
    <cfRule type="expression" dxfId="66" priority="8">
      <formula>Y22="Y"</formula>
    </cfRule>
  </conditionalFormatting>
  <conditionalFormatting sqref="W30">
    <cfRule type="expression" dxfId="65" priority="5">
      <formula>Y30="Y"</formula>
    </cfRule>
  </conditionalFormatting>
  <conditionalFormatting sqref="X30">
    <cfRule type="expression" dxfId="64" priority="4">
      <formula>Y30="Y"</formula>
    </cfRule>
  </conditionalFormatting>
  <conditionalFormatting sqref="V30">
    <cfRule type="expression" dxfId="63" priority="3">
      <formula>Y30="Y"</formula>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122" id="{43730E7C-15CC-4574-9797-E1BB4FA7CD53}">
            <xm:f>'Quarter, Semis &amp; Final'!$S$22="-"</xm:f>
            <x14:dxf>
              <font>
                <color theme="0" tint="-0.14996795556505021"/>
              </font>
            </x14:dxf>
          </x14:cfRule>
          <xm:sqref>B5</xm:sqref>
        </x14:conditionalFormatting>
        <x14:conditionalFormatting xmlns:xm="http://schemas.microsoft.com/office/excel/2006/main">
          <x14:cfRule type="expression" priority="121" id="{072F12BC-51B5-4FAD-A4A1-456AFF9B53F1}">
            <xm:f>'Quarter, Semis &amp; Final'!$S$22="-"</xm:f>
            <x14:dxf>
              <font>
                <color theme="0" tint="-0.14996795556505021"/>
              </font>
            </x14:dxf>
          </x14:cfRule>
          <xm:sqref>E5</xm:sqref>
        </x14:conditionalFormatting>
        <x14:conditionalFormatting xmlns:xm="http://schemas.microsoft.com/office/excel/2006/main">
          <x14:cfRule type="expression" priority="72" id="{2AD1FDD5-D173-4072-8F3A-680994C3060F}">
            <xm:f>'Quarter, Semis &amp; Final'!$S$22="-"</xm:f>
            <x14:dxf>
              <font>
                <color theme="0" tint="-0.14996795556505021"/>
              </font>
            </x14:dxf>
          </x14:cfRule>
          <xm:sqref>B13 B17 B25 B29 B33</xm:sqref>
        </x14:conditionalFormatting>
        <x14:conditionalFormatting xmlns:xm="http://schemas.microsoft.com/office/excel/2006/main">
          <x14:cfRule type="expression" priority="71" id="{66ACD41C-75FE-42C1-BDA9-6F7D9422695E}">
            <xm:f>'Quarter, Semis &amp; Final'!$S$22="-"</xm:f>
            <x14:dxf>
              <font>
                <color theme="0" tint="-0.14996795556505021"/>
              </font>
            </x14:dxf>
          </x14:cfRule>
          <xm:sqref>E13 E17 E25 E29 E33</xm:sqref>
        </x14:conditionalFormatting>
        <x14:conditionalFormatting xmlns:xm="http://schemas.microsoft.com/office/excel/2006/main">
          <x14:cfRule type="expression" priority="62" id="{F79307C2-9AFA-4C2B-A982-68669A69B987}">
            <xm:f>'Quarter, Semis &amp; Final'!$S$22="-"</xm:f>
            <x14:dxf>
              <font>
                <color theme="0" tint="-0.14996795556505021"/>
              </font>
            </x14:dxf>
          </x14:cfRule>
          <xm:sqref>H13 H17 H21 H25 H29 H33</xm:sqref>
        </x14:conditionalFormatting>
        <x14:conditionalFormatting xmlns:xm="http://schemas.microsoft.com/office/excel/2006/main">
          <x14:cfRule type="expression" priority="61" id="{FC352ADE-BE54-493F-A86E-CFA1D91A36DC}">
            <xm:f>'Quarter, Semis &amp; Final'!$S$22="-"</xm:f>
            <x14:dxf>
              <font>
                <color theme="0" tint="-0.14996795556505021"/>
              </font>
            </x14:dxf>
          </x14:cfRule>
          <xm:sqref>K13 K17 K21 K25 K29 K33</xm:sqref>
        </x14:conditionalFormatting>
        <x14:conditionalFormatting xmlns:xm="http://schemas.microsoft.com/office/excel/2006/main">
          <x14:cfRule type="expression" priority="57" id="{BAD5A2A9-634D-44EF-B98C-823796B82D87}">
            <xm:f>'Quarter, Semis &amp; Final'!$S$22="-"</xm:f>
            <x14:dxf>
              <font>
                <color theme="0" tint="-0.14996795556505021"/>
              </font>
            </x14:dxf>
          </x14:cfRule>
          <xm:sqref>B9</xm:sqref>
        </x14:conditionalFormatting>
        <x14:conditionalFormatting xmlns:xm="http://schemas.microsoft.com/office/excel/2006/main">
          <x14:cfRule type="expression" priority="56" id="{F9926404-F110-489D-91F0-80D32FB9E264}">
            <xm:f>'Quarter, Semis &amp; Final'!$S$22="-"</xm:f>
            <x14:dxf>
              <font>
                <color theme="0" tint="-0.14996795556505021"/>
              </font>
            </x14:dxf>
          </x14:cfRule>
          <xm:sqref>E9</xm:sqref>
        </x14:conditionalFormatting>
        <x14:conditionalFormatting xmlns:xm="http://schemas.microsoft.com/office/excel/2006/main">
          <x14:cfRule type="expression" priority="52" id="{C5F13F7C-0A87-4926-B9D8-0F0CBB764073}">
            <xm:f>'Quarter, Semis &amp; Final'!$S$22="-"</xm:f>
            <x14:dxf>
              <font>
                <color theme="0" tint="-0.14996795556505021"/>
              </font>
            </x14:dxf>
          </x14:cfRule>
          <xm:sqref>B21</xm:sqref>
        </x14:conditionalFormatting>
        <x14:conditionalFormatting xmlns:xm="http://schemas.microsoft.com/office/excel/2006/main">
          <x14:cfRule type="expression" priority="51" id="{CD62854F-DCBB-4ABF-A0FC-CC00F672A990}">
            <xm:f>'Quarter, Semis &amp; Final'!$S$22="-"</xm:f>
            <x14:dxf>
              <font>
                <color theme="0" tint="-0.14996795556505021"/>
              </font>
            </x14:dxf>
          </x14:cfRule>
          <xm:sqref>E21</xm:sqref>
        </x14:conditionalFormatting>
        <x14:conditionalFormatting xmlns:xm="http://schemas.microsoft.com/office/excel/2006/main">
          <x14:cfRule type="expression" priority="47" id="{445EBDE6-6249-4DF7-A0D2-9C46B616C45C}">
            <xm:f>'Quarter, Semis &amp; Final'!$S$22="-"</xm:f>
            <x14:dxf>
              <font>
                <color theme="0" tint="-0.14996795556505021"/>
              </font>
            </x14:dxf>
          </x14:cfRule>
          <xm:sqref>P5</xm:sqref>
        </x14:conditionalFormatting>
        <x14:conditionalFormatting xmlns:xm="http://schemas.microsoft.com/office/excel/2006/main">
          <x14:cfRule type="expression" priority="46" id="{5D841377-A317-4D73-9C4F-2BE5849858E3}">
            <xm:f>'Quarter, Semis &amp; Final'!$S$22="-"</xm:f>
            <x14:dxf>
              <font>
                <color theme="0" tint="-0.14996795556505021"/>
              </font>
            </x14:dxf>
          </x14:cfRule>
          <xm:sqref>S5</xm:sqref>
        </x14:conditionalFormatting>
        <x14:conditionalFormatting xmlns:xm="http://schemas.microsoft.com/office/excel/2006/main">
          <x14:cfRule type="expression" priority="42" id="{8F9080C7-1850-4591-9469-0C9713D8BD2B}">
            <xm:f>'Quarter, Semis &amp; Final'!$S$22="-"</xm:f>
            <x14:dxf>
              <font>
                <color theme="0" tint="-0.14996795556505021"/>
              </font>
            </x14:dxf>
          </x14:cfRule>
          <xm:sqref>P13</xm:sqref>
        </x14:conditionalFormatting>
        <x14:conditionalFormatting xmlns:xm="http://schemas.microsoft.com/office/excel/2006/main">
          <x14:cfRule type="expression" priority="41" id="{32600BB7-CBFB-425C-A784-B4C9F1D23AD7}">
            <xm:f>'Quarter, Semis &amp; Final'!$S$22="-"</xm:f>
            <x14:dxf>
              <font>
                <color theme="0" tint="-0.14996795556505021"/>
              </font>
            </x14:dxf>
          </x14:cfRule>
          <xm:sqref>S13</xm:sqref>
        </x14:conditionalFormatting>
        <x14:conditionalFormatting xmlns:xm="http://schemas.microsoft.com/office/excel/2006/main">
          <x14:cfRule type="expression" priority="37" id="{7EB05F96-1443-493B-8D1F-20EFC38D8636}">
            <xm:f>'Quarter, Semis &amp; Final'!$S$22="-"</xm:f>
            <x14:dxf>
              <font>
                <color theme="0" tint="-0.14996795556505021"/>
              </font>
            </x14:dxf>
          </x14:cfRule>
          <xm:sqref>H5</xm:sqref>
        </x14:conditionalFormatting>
        <x14:conditionalFormatting xmlns:xm="http://schemas.microsoft.com/office/excel/2006/main">
          <x14:cfRule type="expression" priority="36" id="{D6C41FFD-0578-4C04-87CE-B972BC3A5EC6}">
            <xm:f>'Quarter, Semis &amp; Final'!$S$22="-"</xm:f>
            <x14:dxf>
              <font>
                <color theme="0" tint="-0.14996795556505021"/>
              </font>
            </x14:dxf>
          </x14:cfRule>
          <xm:sqref>K5</xm:sqref>
        </x14:conditionalFormatting>
        <x14:conditionalFormatting xmlns:xm="http://schemas.microsoft.com/office/excel/2006/main">
          <x14:cfRule type="expression" priority="32" id="{3905CF86-77E0-4344-A7CB-587DB8948DB2}">
            <xm:f>'Quarter, Semis &amp; Final'!$S$22="-"</xm:f>
            <x14:dxf>
              <font>
                <color theme="0" tint="-0.14996795556505021"/>
              </font>
            </x14:dxf>
          </x14:cfRule>
          <xm:sqref>H9</xm:sqref>
        </x14:conditionalFormatting>
        <x14:conditionalFormatting xmlns:xm="http://schemas.microsoft.com/office/excel/2006/main">
          <x14:cfRule type="expression" priority="31" id="{AB977199-EA1D-413D-AB49-678B96496BC1}">
            <xm:f>'Quarter, Semis &amp; Final'!$S$22="-"</xm:f>
            <x14:dxf>
              <font>
                <color theme="0" tint="-0.14996795556505021"/>
              </font>
            </x14:dxf>
          </x14:cfRule>
          <xm:sqref>K9</xm:sqref>
        </x14:conditionalFormatting>
        <x14:conditionalFormatting xmlns:xm="http://schemas.microsoft.com/office/excel/2006/main">
          <x14:cfRule type="expression" priority="27" id="{372F8F4B-784E-4D1D-AAA4-4D15B4F0D721}">
            <xm:f>'Quarter, Semis &amp; Final'!$S$22="-"</xm:f>
            <x14:dxf>
              <font>
                <color theme="0" tint="-0.14996795556505021"/>
              </font>
            </x14:dxf>
          </x14:cfRule>
          <xm:sqref>V5</xm:sqref>
        </x14:conditionalFormatting>
        <x14:conditionalFormatting xmlns:xm="http://schemas.microsoft.com/office/excel/2006/main">
          <x14:cfRule type="expression" priority="26" id="{09AC0AF7-62B3-4312-82C1-0C012A860FFF}">
            <xm:f>'Quarter, Semis &amp; Final'!$S$22="-"</xm:f>
            <x14:dxf>
              <font>
                <color theme="0" tint="-0.14996795556505021"/>
              </font>
            </x14:dxf>
          </x14:cfRule>
          <xm:sqref>Y5</xm:sqref>
        </x14:conditionalFormatting>
        <x14:conditionalFormatting xmlns:xm="http://schemas.microsoft.com/office/excel/2006/main">
          <x14:cfRule type="expression" priority="22" id="{6C7E4154-28E3-44F3-B4F7-AF1A82A3D986}">
            <xm:f>'Quarter, Semis &amp; Final'!$S$22="-"</xm:f>
            <x14:dxf>
              <font>
                <color theme="0" tint="-0.14996795556505021"/>
              </font>
            </x14:dxf>
          </x14:cfRule>
          <xm:sqref>V13</xm:sqref>
        </x14:conditionalFormatting>
        <x14:conditionalFormatting xmlns:xm="http://schemas.microsoft.com/office/excel/2006/main">
          <x14:cfRule type="expression" priority="21" id="{AEC61A07-EFE2-4353-9CBE-FC305C123674}">
            <xm:f>'Quarter, Semis &amp; Final'!$S$22="-"</xm:f>
            <x14:dxf>
              <font>
                <color theme="0" tint="-0.14996795556505021"/>
              </font>
            </x14:dxf>
          </x14:cfRule>
          <xm:sqref>Y13</xm:sqref>
        </x14:conditionalFormatting>
        <x14:conditionalFormatting xmlns:xm="http://schemas.microsoft.com/office/excel/2006/main">
          <x14:cfRule type="expression" priority="17" id="{DD2F9290-411C-4489-8EE2-6FCA0CBDEC1F}">
            <xm:f>'Quarter, Semis &amp; Final'!$S$22="-"</xm:f>
            <x14:dxf>
              <font>
                <color theme="0" tint="-0.14996795556505021"/>
              </font>
            </x14:dxf>
          </x14:cfRule>
          <xm:sqref>P21</xm:sqref>
        </x14:conditionalFormatting>
        <x14:conditionalFormatting xmlns:xm="http://schemas.microsoft.com/office/excel/2006/main">
          <x14:cfRule type="expression" priority="16" id="{B418D74C-C5CB-431A-9E2D-7AE427EAB689}">
            <xm:f>'Quarter, Semis &amp; Final'!$S$22="-"</xm:f>
            <x14:dxf>
              <font>
                <color theme="0" tint="-0.14996795556505021"/>
              </font>
            </x14:dxf>
          </x14:cfRule>
          <xm:sqref>S21</xm:sqref>
        </x14:conditionalFormatting>
        <x14:conditionalFormatting xmlns:xm="http://schemas.microsoft.com/office/excel/2006/main">
          <x14:cfRule type="expression" priority="12" id="{6FC6ED1E-F3AB-4EB6-B23C-2DEEF7DCF6EB}">
            <xm:f>'Quarter, Semis &amp; Final'!$S$22="-"</xm:f>
            <x14:dxf>
              <font>
                <color theme="0" tint="-0.14996795556505021"/>
              </font>
            </x14:dxf>
          </x14:cfRule>
          <xm:sqref>P29</xm:sqref>
        </x14:conditionalFormatting>
        <x14:conditionalFormatting xmlns:xm="http://schemas.microsoft.com/office/excel/2006/main">
          <x14:cfRule type="expression" priority="11" id="{E73AB1D8-EF61-468F-9560-0AE6EFE7E493}">
            <xm:f>'Quarter, Semis &amp; Final'!$S$22="-"</xm:f>
            <x14:dxf>
              <font>
                <color theme="0" tint="-0.14996795556505021"/>
              </font>
            </x14:dxf>
          </x14:cfRule>
          <xm:sqref>S29</xm:sqref>
        </x14:conditionalFormatting>
        <x14:conditionalFormatting xmlns:xm="http://schemas.microsoft.com/office/excel/2006/main">
          <x14:cfRule type="expression" priority="7" id="{E5AC51D7-1129-4576-8C61-A9CC2B198FF6}">
            <xm:f>'Quarter, Semis &amp; Final'!$S$22="-"</xm:f>
            <x14:dxf>
              <font>
                <color theme="0" tint="-0.14996795556505021"/>
              </font>
            </x14:dxf>
          </x14:cfRule>
          <xm:sqref>V21</xm:sqref>
        </x14:conditionalFormatting>
        <x14:conditionalFormatting xmlns:xm="http://schemas.microsoft.com/office/excel/2006/main">
          <x14:cfRule type="expression" priority="6" id="{764475DE-0D68-4731-82A5-7B1FABD2F5B9}">
            <xm:f>'Quarter, Semis &amp; Final'!$S$22="-"</xm:f>
            <x14:dxf>
              <font>
                <color theme="0" tint="-0.14996795556505021"/>
              </font>
            </x14:dxf>
          </x14:cfRule>
          <xm:sqref>Y21</xm:sqref>
        </x14:conditionalFormatting>
        <x14:conditionalFormatting xmlns:xm="http://schemas.microsoft.com/office/excel/2006/main">
          <x14:cfRule type="expression" priority="2" id="{27ADFDC7-C651-450A-B362-E3E0802A5BAA}">
            <xm:f>'Quarter, Semis &amp; Final'!$S$22="-"</xm:f>
            <x14:dxf>
              <font>
                <color theme="0" tint="-0.14996795556505021"/>
              </font>
            </x14:dxf>
          </x14:cfRule>
          <xm:sqref>V29</xm:sqref>
        </x14:conditionalFormatting>
        <x14:conditionalFormatting xmlns:xm="http://schemas.microsoft.com/office/excel/2006/main">
          <x14:cfRule type="expression" priority="1" id="{8CF2373B-A5B1-454C-81DD-0B6D4FDF96E8}">
            <xm:f>'Quarter, Semis &amp; Final'!$S$22="-"</xm:f>
            <x14:dxf>
              <font>
                <color theme="0" tint="-0.14996795556505021"/>
              </font>
            </x14:dxf>
          </x14:cfRule>
          <xm:sqref>Y29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0C82F-AEE4-4AE6-BE00-2D10EED4F384}">
  <sheetPr>
    <tabColor theme="1"/>
  </sheetPr>
  <dimension ref="A1:AD100"/>
  <sheetViews>
    <sheetView tabSelected="1" zoomScale="90" zoomScaleNormal="90" workbookViewId="0">
      <selection activeCell="S19" sqref="S19"/>
    </sheetView>
  </sheetViews>
  <sheetFormatPr defaultColWidth="8.75" defaultRowHeight="14.25" x14ac:dyDescent="0.2"/>
  <cols>
    <col min="1" max="1" width="5.75" style="105" bestFit="1" customWidth="1"/>
    <col min="2" max="2" width="16.125" style="109" customWidth="1"/>
    <col min="3" max="4" width="3.25" style="109" customWidth="1"/>
    <col min="5" max="5" width="16.125" style="109" customWidth="1"/>
    <col min="6" max="6" width="1.75" style="105" customWidth="1"/>
    <col min="7" max="7" width="5.75" style="105" bestFit="1" customWidth="1"/>
    <col min="8" max="8" width="16.125" style="109" customWidth="1"/>
    <col min="9" max="10" width="3.75" style="109" customWidth="1"/>
    <col min="11" max="11" width="16.125" style="109" customWidth="1"/>
    <col min="12" max="12" width="1.75" style="105" customWidth="1"/>
    <col min="13" max="13" width="1.875" style="106" customWidth="1"/>
    <col min="14" max="14" width="5.375" style="122" customWidth="1"/>
    <col min="15" max="15" width="5.75" style="109" bestFit="1" customWidth="1"/>
    <col min="16" max="16" width="24.125" style="109" customWidth="1"/>
    <col min="17" max="18" width="4.5" style="109" customWidth="1"/>
    <col min="19" max="19" width="21.75" style="109" customWidth="1"/>
    <col min="20" max="21" width="1.875" style="109" customWidth="1"/>
    <col min="22" max="22" width="16.125" style="109" customWidth="1"/>
    <col min="23" max="24" width="3.75" style="109" customWidth="1"/>
    <col min="25" max="25" width="16.125" style="109" customWidth="1"/>
    <col min="26" max="30" width="8.75" style="108"/>
    <col min="31" max="16384" width="8.75" style="109"/>
  </cols>
  <sheetData>
    <row r="1" spans="1:25" s="108" customFormat="1" x14ac:dyDescent="0.2">
      <c r="A1" s="105"/>
      <c r="B1" s="105"/>
      <c r="C1" s="105"/>
      <c r="D1" s="105"/>
      <c r="E1" s="105"/>
      <c r="F1" s="105"/>
      <c r="G1" s="105"/>
      <c r="H1" s="105"/>
      <c r="I1" s="105"/>
      <c r="J1" s="105"/>
      <c r="K1" s="105"/>
      <c r="L1" s="105"/>
      <c r="M1" s="106"/>
      <c r="N1" s="122"/>
      <c r="O1" s="109"/>
      <c r="P1" s="109"/>
      <c r="Q1" s="109"/>
      <c r="R1" s="109"/>
      <c r="S1" s="109"/>
      <c r="T1" s="109"/>
      <c r="U1" s="109"/>
      <c r="V1" s="109"/>
      <c r="W1" s="109"/>
      <c r="X1" s="109"/>
      <c r="Y1" s="109"/>
    </row>
    <row r="2" spans="1:25" s="108" customFormat="1" x14ac:dyDescent="0.2">
      <c r="A2" s="105"/>
      <c r="B2" s="105"/>
      <c r="C2" s="105"/>
      <c r="D2" s="105"/>
      <c r="E2" s="105"/>
      <c r="F2" s="105"/>
      <c r="G2" s="105"/>
      <c r="H2" s="105"/>
      <c r="I2" s="105"/>
      <c r="J2" s="105"/>
      <c r="K2" s="105"/>
      <c r="L2" s="105"/>
      <c r="M2" s="106"/>
      <c r="N2" s="122"/>
      <c r="O2" s="109"/>
      <c r="P2" s="109"/>
      <c r="Q2" s="109"/>
      <c r="R2" s="109"/>
      <c r="S2" s="109"/>
      <c r="T2" s="109"/>
      <c r="U2" s="109"/>
      <c r="V2" s="109"/>
      <c r="W2" s="109"/>
      <c r="X2" s="109"/>
      <c r="Y2" s="109"/>
    </row>
    <row r="3" spans="1:25" s="108" customFormat="1" ht="15" thickBot="1" x14ac:dyDescent="0.25">
      <c r="A3" s="105"/>
      <c r="B3" s="105"/>
      <c r="C3" s="105"/>
      <c r="D3" s="105"/>
      <c r="E3" s="105"/>
      <c r="F3" s="105"/>
      <c r="G3" s="105"/>
      <c r="H3" s="105"/>
      <c r="I3" s="105"/>
      <c r="J3" s="105"/>
      <c r="K3" s="105"/>
      <c r="L3" s="105"/>
      <c r="M3" s="106"/>
      <c r="N3" s="122"/>
      <c r="O3" s="109"/>
      <c r="P3" s="109"/>
      <c r="Q3" s="109"/>
      <c r="R3" s="109"/>
      <c r="S3" s="109"/>
      <c r="T3" s="109"/>
      <c r="U3" s="109"/>
      <c r="V3" s="109"/>
      <c r="W3" s="109"/>
      <c r="X3" s="109"/>
      <c r="Y3" s="109"/>
    </row>
    <row r="4" spans="1:25" s="108" customFormat="1" ht="13.9" customHeight="1" x14ac:dyDescent="0.2">
      <c r="A4" s="179"/>
      <c r="B4" s="176"/>
      <c r="C4" s="177" t="s">
        <v>209</v>
      </c>
      <c r="D4" s="177" t="s">
        <v>228</v>
      </c>
      <c r="E4" s="178" t="s">
        <v>275</v>
      </c>
      <c r="F4" s="110"/>
      <c r="G4" s="179"/>
      <c r="H4" s="176"/>
      <c r="I4" s="177" t="s">
        <v>245</v>
      </c>
      <c r="J4" s="177" t="s">
        <v>264</v>
      </c>
      <c r="K4" s="178" t="s">
        <v>276</v>
      </c>
      <c r="L4" s="105"/>
      <c r="M4" s="106"/>
      <c r="N4" s="122"/>
      <c r="O4" s="182"/>
      <c r="P4" s="514" t="str">
        <f>+B21</f>
        <v>Francia</v>
      </c>
      <c r="Q4" s="520">
        <v>0</v>
      </c>
      <c r="R4" s="523">
        <v>1</v>
      </c>
      <c r="S4" s="517" t="str">
        <f>+H21</f>
        <v>Argentina</v>
      </c>
      <c r="T4" s="109"/>
      <c r="U4" s="109"/>
      <c r="V4" s="109"/>
      <c r="W4" s="109"/>
      <c r="X4" s="109"/>
      <c r="Y4" s="109"/>
    </row>
    <row r="5" spans="1:25" s="108" customFormat="1" ht="13.9" customHeight="1" x14ac:dyDescent="0.2">
      <c r="A5" s="180" t="s">
        <v>277</v>
      </c>
      <c r="B5" s="111" t="str">
        <f>+_xlfn.XLOOKUP(C4,'Round of 32 &amp; Round of 16'!$Q:$Q,'Round of 32 &amp; Round of 16'!$P:$P,_xlfn.XLOOKUP(C4,'Round of 32 &amp; Round of 16'!$W:$W,'Round of 32 &amp; Round of 16'!$V:$V,"-",0),0)</f>
        <v>Francia</v>
      </c>
      <c r="C5" s="112">
        <v>2</v>
      </c>
      <c r="D5" s="113">
        <v>1</v>
      </c>
      <c r="E5" s="114" t="str">
        <f>+_xlfn.XLOOKUP(D4,'Round of 32 &amp; Round of 16'!$Q:$Q,'Round of 32 &amp; Round of 16'!$P:$P,_xlfn.XLOOKUP(D4,'Round of 32 &amp; Round of 16'!$W:$W,'Round of 32 &amp; Round of 16'!$V:$V,"-",0),0)</f>
        <v>Paises Bajos</v>
      </c>
      <c r="F5" s="110"/>
      <c r="G5" s="180" t="s">
        <v>278</v>
      </c>
      <c r="H5" s="111" t="str">
        <f>+_xlfn.XLOOKUP(I4,'Round of 32 &amp; Round of 16'!$Q:$Q,'Round of 32 &amp; Round of 16'!$P:$P,_xlfn.XLOOKUP(I4,'Round of 32 &amp; Round of 16'!$W:$W,'Round of 32 &amp; Round of 16'!$V:$V,"-",0),0)</f>
        <v>Brasil</v>
      </c>
      <c r="I5" s="112">
        <v>2</v>
      </c>
      <c r="J5" s="113">
        <v>1</v>
      </c>
      <c r="K5" s="114" t="str">
        <f>+_xlfn.XLOOKUP(J4,'Round of 32 &amp; Round of 16'!$Q:$Q,'Round of 32 &amp; Round of 16'!$P:$P,_xlfn.XLOOKUP(J4,'Round of 32 &amp; Round of 16'!$W:$W,'Round of 32 &amp; Round of 16'!$V:$V,"-",0),0)</f>
        <v>Inglaterra</v>
      </c>
      <c r="L5" s="105"/>
      <c r="M5" s="106"/>
      <c r="N5" s="122"/>
      <c r="O5" s="183" t="s">
        <v>279</v>
      </c>
      <c r="P5" s="515"/>
      <c r="Q5" s="521"/>
      <c r="R5" s="524"/>
      <c r="S5" s="518"/>
      <c r="T5" s="109"/>
      <c r="U5" s="109"/>
      <c r="V5" s="109"/>
      <c r="W5" s="109"/>
      <c r="X5" s="109"/>
      <c r="Y5" s="109"/>
    </row>
    <row r="6" spans="1:25" s="108" customFormat="1" ht="14.45" customHeight="1" thickBot="1" x14ac:dyDescent="0.25">
      <c r="A6" s="181"/>
      <c r="B6" s="115" t="s">
        <v>217</v>
      </c>
      <c r="C6" s="137"/>
      <c r="D6" s="137"/>
      <c r="E6" s="116" t="str">
        <f>+IF(AND(ISNUMBER(C5),ISNUMBER(D5),C5=D5),"Y","N")</f>
        <v>N</v>
      </c>
      <c r="F6" s="110"/>
      <c r="G6" s="181"/>
      <c r="H6" s="115" t="s">
        <v>217</v>
      </c>
      <c r="I6" s="137"/>
      <c r="J6" s="137"/>
      <c r="K6" s="116" t="str">
        <f>+IF(AND(ISNUMBER(I5),ISNUMBER(J5),I5=J5),"Y","N")</f>
        <v>N</v>
      </c>
      <c r="L6" s="105"/>
      <c r="M6" s="106"/>
      <c r="N6" s="122"/>
      <c r="O6" s="184"/>
      <c r="P6" s="516"/>
      <c r="Q6" s="522"/>
      <c r="R6" s="525"/>
      <c r="S6" s="519"/>
      <c r="T6" s="109"/>
      <c r="U6" s="109"/>
      <c r="V6" s="109"/>
      <c r="W6" s="109"/>
      <c r="X6" s="109"/>
      <c r="Y6" s="109"/>
    </row>
    <row r="7" spans="1:25" s="108" customFormat="1" ht="14.45" customHeight="1" x14ac:dyDescent="0.2">
      <c r="A7" s="105"/>
      <c r="B7" s="117" t="str">
        <f>+IF(AND(ISNUMBER(C5),ISNUMBER(D5)),IF((C5+C6)&gt;(D5+D6),B5,E5),"-")</f>
        <v>Francia</v>
      </c>
      <c r="C7" s="117" t="str">
        <f>+E4</f>
        <v>W97</v>
      </c>
      <c r="D7" s="117"/>
      <c r="E7" s="117"/>
      <c r="F7" s="110"/>
      <c r="G7" s="105"/>
      <c r="H7" s="117" t="str">
        <f>+IF(AND(ISNUMBER(I5),ISNUMBER(J5)),IF((I5+I6)&gt;(J5+J6),H5,K5),"-")</f>
        <v>Brasil</v>
      </c>
      <c r="I7" s="117" t="str">
        <f>+K4</f>
        <v>W99</v>
      </c>
      <c r="J7" s="117"/>
      <c r="K7" s="117"/>
      <c r="L7" s="105"/>
      <c r="M7" s="106"/>
      <c r="N7" s="122"/>
      <c r="O7" s="109"/>
      <c r="P7" s="125" t="s">
        <v>217</v>
      </c>
      <c r="Q7" s="139"/>
      <c r="R7" s="139"/>
      <c r="S7" s="124" t="str">
        <f>+IF(AND(ISNUMBER(Q4),ISNUMBER(R4),Q4=R4),"Y","N")</f>
        <v>N</v>
      </c>
      <c r="T7" s="123"/>
      <c r="U7" s="123"/>
      <c r="V7" s="109"/>
      <c r="W7" s="109"/>
      <c r="X7" s="109"/>
      <c r="Y7" s="109"/>
    </row>
    <row r="8" spans="1:25" s="108" customFormat="1" x14ac:dyDescent="0.2">
      <c r="A8" s="179"/>
      <c r="B8" s="176"/>
      <c r="C8" s="177" t="s">
        <v>212</v>
      </c>
      <c r="D8" s="177" t="s">
        <v>229</v>
      </c>
      <c r="E8" s="178" t="s">
        <v>280</v>
      </c>
      <c r="F8" s="110"/>
      <c r="G8" s="179"/>
      <c r="H8" s="176"/>
      <c r="I8" s="177" t="s">
        <v>248</v>
      </c>
      <c r="J8" s="177" t="s">
        <v>265</v>
      </c>
      <c r="K8" s="178" t="s">
        <v>281</v>
      </c>
      <c r="L8" s="105"/>
      <c r="M8" s="106"/>
      <c r="N8" s="122"/>
      <c r="O8" s="109"/>
      <c r="P8" s="140" t="str">
        <f>+IF(AND(ISNUMBER(Q4),ISNUMBER(R4)),IF((Q4+Q7)&gt;(R4+R7),P4,S4),"-")</f>
        <v>Argentina</v>
      </c>
      <c r="Q8" s="140">
        <f>+S5</f>
        <v>0</v>
      </c>
      <c r="R8" s="140"/>
      <c r="S8" s="140" t="str">
        <f>+IF(AND(ISNUMBER(Q4),ISNUMBER(R4)),IF((Q4+Q7)&gt;(R4+R7),S4,P4),"-")</f>
        <v>Francia</v>
      </c>
      <c r="T8" s="109"/>
      <c r="U8" s="109"/>
      <c r="V8" s="109"/>
      <c r="W8" s="109"/>
      <c r="X8" s="109"/>
      <c r="Y8" s="109"/>
    </row>
    <row r="9" spans="1:25" s="108" customFormat="1" x14ac:dyDescent="0.2">
      <c r="A9" s="180" t="s">
        <v>282</v>
      </c>
      <c r="B9" s="111" t="str">
        <f>+_xlfn.XLOOKUP(C8,'Round of 32 &amp; Round of 16'!$Q:$Q,'Round of 32 &amp; Round of 16'!$P:$P,_xlfn.XLOOKUP(C8,'Round of 32 &amp; Round of 16'!$W:$W,'Round of 32 &amp; Round of 16'!$V:$V,"-",0),0)</f>
        <v>Colombia</v>
      </c>
      <c r="C9" s="112">
        <v>1</v>
      </c>
      <c r="D9" s="113">
        <v>0</v>
      </c>
      <c r="E9" s="114" t="str">
        <f>+_xlfn.XLOOKUP(D8,'Round of 32 &amp; Round of 16'!$Q:$Q,'Round of 32 &amp; Round of 16'!$P:$P,_xlfn.XLOOKUP(D8,'Round of 32 &amp; Round of 16'!$W:$W,'Round of 32 &amp; Round of 16'!$V:$V,"-",0),0)</f>
        <v>Estados Unidos</v>
      </c>
      <c r="F9" s="110"/>
      <c r="G9" s="180" t="s">
        <v>283</v>
      </c>
      <c r="H9" s="111" t="str">
        <f>+_xlfn.XLOOKUP(I8,'Round of 32 &amp; Round of 16'!$Q:$Q,'Round of 32 &amp; Round of 16'!$P:$P,_xlfn.XLOOKUP(I8,'Round of 32 &amp; Round of 16'!$W:$W,'Round of 32 &amp; Round of 16'!$V:$V,"-",0),0)</f>
        <v>Argentina</v>
      </c>
      <c r="I9" s="112">
        <v>2</v>
      </c>
      <c r="J9" s="113">
        <v>1</v>
      </c>
      <c r="K9" s="114" t="str">
        <f>+_xlfn.XLOOKUP(J8,'Round of 32 &amp; Round of 16'!$Q:$Q,'Round of 32 &amp; Round of 16'!$P:$P,_xlfn.XLOOKUP(J8,'Round of 32 &amp; Round of 16'!$W:$W,'Round of 32 &amp; Round of 16'!$V:$V,"-",0),0)</f>
        <v>Portugal</v>
      </c>
      <c r="L9" s="105"/>
      <c r="M9" s="106"/>
      <c r="N9" s="122"/>
      <c r="O9" s="109"/>
      <c r="P9" s="109"/>
      <c r="Q9" s="109"/>
      <c r="R9" s="109"/>
      <c r="S9" s="109"/>
      <c r="T9" s="109"/>
      <c r="U9" s="109"/>
      <c r="V9" s="109"/>
      <c r="W9" s="109"/>
      <c r="X9" s="109"/>
      <c r="Y9" s="109"/>
    </row>
    <row r="10" spans="1:25" s="108" customFormat="1" x14ac:dyDescent="0.2">
      <c r="A10" s="181"/>
      <c r="B10" s="115" t="s">
        <v>217</v>
      </c>
      <c r="C10" s="137"/>
      <c r="D10" s="137"/>
      <c r="E10" s="116" t="str">
        <f>+IF(AND(ISNUMBER(C9),ISNUMBER(D9),C9=D9),"Y","N")</f>
        <v>N</v>
      </c>
      <c r="F10" s="110"/>
      <c r="G10" s="181"/>
      <c r="H10" s="115" t="s">
        <v>217</v>
      </c>
      <c r="I10" s="137"/>
      <c r="J10" s="137"/>
      <c r="K10" s="116" t="str">
        <f>+IF(AND(ISNUMBER(I9),ISNUMBER(J9),I9=J9),"Y","N")</f>
        <v>N</v>
      </c>
      <c r="L10" s="105"/>
      <c r="M10" s="106"/>
      <c r="N10" s="122"/>
      <c r="O10" s="109"/>
      <c r="P10" s="109"/>
      <c r="Q10" s="109"/>
      <c r="R10" s="109"/>
      <c r="S10" s="109"/>
      <c r="T10" s="109"/>
      <c r="U10" s="109"/>
      <c r="V10" s="109"/>
      <c r="W10" s="109"/>
      <c r="X10" s="109"/>
      <c r="Y10" s="109"/>
    </row>
    <row r="11" spans="1:25" s="108" customFormat="1" ht="15" thickBot="1" x14ac:dyDescent="0.25">
      <c r="A11" s="105"/>
      <c r="B11" s="117" t="str">
        <f>+IF(AND(ISNUMBER(C9),ISNUMBER(D9)),IF((C9+C10)&gt;(D9+D10),B9,E9),"-")</f>
        <v>Colombia</v>
      </c>
      <c r="C11" s="117" t="str">
        <f>+E8</f>
        <v>W98</v>
      </c>
      <c r="D11" s="117"/>
      <c r="E11" s="117"/>
      <c r="F11" s="110"/>
      <c r="G11" s="105"/>
      <c r="H11" s="117" t="str">
        <f>+IF(AND(ISNUMBER(I9),ISNUMBER(J9)),IF((I9+I10)&gt;(J9+J10),H9,K9),"-")</f>
        <v>Argentina</v>
      </c>
      <c r="I11" s="117" t="str">
        <f>+K8</f>
        <v>W100</v>
      </c>
      <c r="J11" s="117"/>
      <c r="K11" s="117"/>
      <c r="L11" s="105"/>
      <c r="M11" s="106"/>
      <c r="N11" s="122"/>
      <c r="O11" s="109"/>
      <c r="P11" s="109"/>
      <c r="Q11" s="109"/>
      <c r="R11" s="109"/>
      <c r="S11" s="109"/>
      <c r="T11" s="109"/>
      <c r="U11" s="109"/>
      <c r="V11" s="109"/>
      <c r="W11" s="109"/>
      <c r="X11" s="109"/>
      <c r="Y11" s="109"/>
    </row>
    <row r="12" spans="1:25" s="108" customFormat="1" x14ac:dyDescent="0.2">
      <c r="A12" s="105"/>
      <c r="B12" s="105"/>
      <c r="C12" s="105"/>
      <c r="D12" s="105"/>
      <c r="E12" s="105"/>
      <c r="F12" s="105"/>
      <c r="G12" s="105"/>
      <c r="H12" s="105"/>
      <c r="I12" s="105"/>
      <c r="J12" s="105"/>
      <c r="K12" s="105"/>
      <c r="L12" s="105"/>
      <c r="M12" s="106"/>
      <c r="N12" s="122"/>
      <c r="O12" s="185"/>
      <c r="P12" s="126"/>
      <c r="Q12" s="127" t="s">
        <v>284</v>
      </c>
      <c r="R12" s="127" t="s">
        <v>285</v>
      </c>
      <c r="S12" s="128"/>
      <c r="T12" s="109"/>
      <c r="U12" s="109"/>
      <c r="V12" s="109"/>
      <c r="W12" s="109"/>
      <c r="X12" s="109"/>
      <c r="Y12" s="109"/>
    </row>
    <row r="13" spans="1:25" s="108" customFormat="1" x14ac:dyDescent="0.2">
      <c r="A13" s="105"/>
      <c r="B13" s="105"/>
      <c r="C13" s="105"/>
      <c r="D13" s="105"/>
      <c r="E13" s="105"/>
      <c r="F13" s="105"/>
      <c r="G13" s="105"/>
      <c r="H13" s="105"/>
      <c r="I13" s="105"/>
      <c r="J13" s="105"/>
      <c r="K13" s="105"/>
      <c r="L13" s="105"/>
      <c r="M13" s="106"/>
      <c r="N13" s="122"/>
      <c r="O13" s="186" t="s">
        <v>286</v>
      </c>
      <c r="P13" s="129" t="str">
        <f>+E21</f>
        <v>Colombia</v>
      </c>
      <c r="Q13" s="112">
        <v>2</v>
      </c>
      <c r="R13" s="113">
        <v>3</v>
      </c>
      <c r="S13" s="130" t="str">
        <f>+K21</f>
        <v>Brasil</v>
      </c>
      <c r="T13" s="109"/>
      <c r="U13" s="109"/>
      <c r="V13" s="109"/>
      <c r="W13" s="109"/>
      <c r="X13" s="109"/>
      <c r="Y13" s="109"/>
    </row>
    <row r="14" spans="1:25" s="108" customFormat="1" ht="15" thickBot="1" x14ac:dyDescent="0.25">
      <c r="A14" s="120"/>
      <c r="B14" s="120"/>
      <c r="C14" s="120"/>
      <c r="D14" s="120"/>
      <c r="E14" s="120"/>
      <c r="F14" s="120"/>
      <c r="G14" s="120"/>
      <c r="H14" s="120"/>
      <c r="I14" s="120"/>
      <c r="J14" s="120"/>
      <c r="K14" s="120"/>
      <c r="L14" s="120"/>
      <c r="M14" s="106"/>
      <c r="N14" s="122"/>
      <c r="O14" s="187"/>
      <c r="P14" s="131" t="s">
        <v>217</v>
      </c>
      <c r="Q14" s="138"/>
      <c r="R14" s="138"/>
      <c r="S14" s="132" t="str">
        <f>+IF(AND(ISNUMBER(Q13),ISNUMBER(R13),Q13=R13),"Y","N")</f>
        <v>N</v>
      </c>
      <c r="T14" s="109"/>
      <c r="U14" s="109"/>
      <c r="V14" s="109"/>
      <c r="W14" s="109"/>
      <c r="X14" s="109"/>
      <c r="Y14" s="109"/>
    </row>
    <row r="15" spans="1:25" s="108" customFormat="1" x14ac:dyDescent="0.2">
      <c r="M15" s="106"/>
      <c r="N15" s="122"/>
      <c r="O15" s="109"/>
      <c r="P15" s="140" t="str">
        <f>+IF(AND(ISNUMBER(Q13),ISNUMBER(R13)),IF((Q13+Q14)&gt;(R13+R14),P13,S13),"-")</f>
        <v>Brasil</v>
      </c>
      <c r="Q15" s="140">
        <f>+S12</f>
        <v>0</v>
      </c>
      <c r="R15" s="140"/>
      <c r="S15" s="140" t="str">
        <f>+IF(AND(ISNUMBER(Q13),ISNUMBER(R13)),IF((Q13+Q14)&gt;(R13+R14),S13,P13),"-")</f>
        <v>Colombia</v>
      </c>
      <c r="T15" s="109"/>
      <c r="U15" s="109"/>
      <c r="V15" s="109"/>
      <c r="W15" s="109"/>
      <c r="X15" s="109"/>
      <c r="Y15" s="109"/>
    </row>
    <row r="16" spans="1:25" s="108" customFormat="1" x14ac:dyDescent="0.2">
      <c r="M16" s="106"/>
      <c r="N16" s="122"/>
      <c r="O16" s="109"/>
      <c r="P16" s="109"/>
      <c r="Q16" s="109"/>
      <c r="R16" s="109"/>
      <c r="S16" s="109"/>
      <c r="T16" s="109"/>
      <c r="U16" s="109"/>
      <c r="V16" s="109"/>
      <c r="W16" s="109"/>
      <c r="X16" s="109"/>
      <c r="Y16" s="109"/>
    </row>
    <row r="17" spans="1:25" s="108" customFormat="1" x14ac:dyDescent="0.2">
      <c r="M17" s="106"/>
      <c r="N17" s="122"/>
      <c r="O17" s="109"/>
      <c r="P17" s="109"/>
      <c r="Q17" s="109"/>
      <c r="R17" s="109"/>
      <c r="S17" s="109"/>
      <c r="T17" s="109"/>
      <c r="U17" s="109"/>
      <c r="V17" s="109"/>
      <c r="W17" s="109"/>
      <c r="X17" s="109"/>
      <c r="Y17" s="109"/>
    </row>
    <row r="18" spans="1:25" s="108" customFormat="1" x14ac:dyDescent="0.2">
      <c r="A18" s="179"/>
      <c r="B18" s="176"/>
      <c r="C18" s="177" t="s">
        <v>275</v>
      </c>
      <c r="D18" s="177" t="s">
        <v>280</v>
      </c>
      <c r="E18" s="178" t="s">
        <v>284</v>
      </c>
      <c r="F18" s="121"/>
      <c r="G18" s="179"/>
      <c r="H18" s="176"/>
      <c r="I18" s="177" t="s">
        <v>276</v>
      </c>
      <c r="J18" s="177" t="s">
        <v>281</v>
      </c>
      <c r="K18" s="178" t="s">
        <v>285</v>
      </c>
      <c r="M18" s="106"/>
      <c r="N18" s="122"/>
      <c r="O18" s="109"/>
      <c r="P18" s="133"/>
      <c r="Q18" s="134"/>
      <c r="R18" s="135" t="s">
        <v>23</v>
      </c>
      <c r="S18" s="136" t="s">
        <v>865</v>
      </c>
      <c r="T18" s="109"/>
      <c r="U18" s="109"/>
      <c r="V18" s="109"/>
      <c r="W18" s="109"/>
      <c r="X18" s="109"/>
      <c r="Y18" s="109"/>
    </row>
    <row r="19" spans="1:25" s="108" customFormat="1" x14ac:dyDescent="0.2">
      <c r="A19" s="180" t="s">
        <v>287</v>
      </c>
      <c r="B19" s="111" t="str">
        <f>+B7</f>
        <v>Francia</v>
      </c>
      <c r="C19" s="112">
        <v>2</v>
      </c>
      <c r="D19" s="113">
        <v>0</v>
      </c>
      <c r="E19" s="114" t="str">
        <f>+B11</f>
        <v>Colombia</v>
      </c>
      <c r="F19" s="121"/>
      <c r="G19" s="180" t="s">
        <v>288</v>
      </c>
      <c r="H19" s="111" t="str">
        <f>+H7</f>
        <v>Brasil</v>
      </c>
      <c r="I19" s="112">
        <v>0</v>
      </c>
      <c r="J19" s="113">
        <v>1</v>
      </c>
      <c r="K19" s="114" t="str">
        <f>+H11</f>
        <v>Argentina</v>
      </c>
      <c r="M19" s="106"/>
      <c r="N19" s="122"/>
      <c r="O19" s="109"/>
      <c r="P19" s="133"/>
      <c r="Q19" s="134"/>
      <c r="R19" s="135" t="s">
        <v>25</v>
      </c>
      <c r="S19" s="136" t="s">
        <v>864</v>
      </c>
      <c r="T19" s="109"/>
      <c r="U19" s="109"/>
      <c r="V19" s="109"/>
      <c r="W19" s="109"/>
      <c r="X19" s="109"/>
      <c r="Y19" s="109"/>
    </row>
    <row r="20" spans="1:25" s="108" customFormat="1" x14ac:dyDescent="0.2">
      <c r="A20" s="181"/>
      <c r="B20" s="115" t="s">
        <v>217</v>
      </c>
      <c r="C20" s="137"/>
      <c r="D20" s="137"/>
      <c r="E20" s="116" t="str">
        <f>+IF(AND(ISNUMBER(C19),ISNUMBER(D19),C19=D19),"Y","N")</f>
        <v>N</v>
      </c>
      <c r="F20" s="121"/>
      <c r="G20" s="181"/>
      <c r="H20" s="115" t="s">
        <v>217</v>
      </c>
      <c r="I20" s="137"/>
      <c r="J20" s="137"/>
      <c r="K20" s="116" t="str">
        <f>+IF(AND(ISNUMBER(I19),ISNUMBER(J19),I19=J19),"Y","N")</f>
        <v>N</v>
      </c>
      <c r="M20" s="106"/>
      <c r="N20" s="122"/>
      <c r="O20" s="109"/>
      <c r="P20" s="133"/>
      <c r="Q20" s="134"/>
      <c r="R20" s="135" t="s">
        <v>27</v>
      </c>
      <c r="S20" s="242" t="str">
        <f>IF(P8="-","-",Aux!BD7)</f>
        <v>Colombia</v>
      </c>
      <c r="T20" s="109"/>
      <c r="U20" s="109"/>
      <c r="V20" s="109"/>
      <c r="W20" s="109"/>
      <c r="X20" s="109"/>
      <c r="Y20" s="109"/>
    </row>
    <row r="21" spans="1:25" s="108" customFormat="1" x14ac:dyDescent="0.2">
      <c r="B21" s="118" t="str">
        <f>+IF(AND(ISNUMBER(C19),ISNUMBER(D19)),IF((C19+C20)&gt;(D19+D20),B19,E19),"-")</f>
        <v>Francia</v>
      </c>
      <c r="C21" s="118" t="str">
        <f>+E18</f>
        <v>W101</v>
      </c>
      <c r="D21" s="118"/>
      <c r="E21" s="118" t="str">
        <f>+IF(AND(ISNUMBER(C19),ISNUMBER(D19)),IF((C19+C20)&gt;(D19+D20),E19,B19),"-")</f>
        <v>Colombia</v>
      </c>
      <c r="F21" s="118"/>
      <c r="G21" s="118"/>
      <c r="H21" s="118" t="str">
        <f>+IF(AND(ISNUMBER(I19),ISNUMBER(J19)),IF((I19+I20)&gt;(J19+J20),H19,K19),"-")</f>
        <v>Argentina</v>
      </c>
      <c r="I21" s="118" t="str">
        <f>+K18</f>
        <v>W102</v>
      </c>
      <c r="J21" s="118"/>
      <c r="K21" s="118" t="str">
        <f>+IF(AND(ISNUMBER(I19),ISNUMBER(J19)),IF((I19+I20)&gt;(J19+J20),K19,H19),"-")</f>
        <v>Brasil</v>
      </c>
      <c r="M21" s="106"/>
      <c r="N21" s="122"/>
      <c r="O21" s="109"/>
      <c r="P21" s="133"/>
      <c r="Q21" s="134"/>
      <c r="R21" s="135" t="s">
        <v>28</v>
      </c>
      <c r="S21" s="242" t="str">
        <f>IF(P8="-","-",Aux!AY17)</f>
        <v>Croacia</v>
      </c>
      <c r="T21" s="109"/>
      <c r="U21" s="109"/>
      <c r="V21" s="109"/>
      <c r="W21" s="109"/>
      <c r="X21" s="109"/>
      <c r="Y21" s="109"/>
    </row>
    <row r="22" spans="1:25" s="108" customFormat="1" x14ac:dyDescent="0.2">
      <c r="M22" s="106"/>
      <c r="N22" s="122"/>
      <c r="O22" s="109"/>
      <c r="P22" s="109"/>
      <c r="Q22" s="134"/>
      <c r="R22" s="135" t="s">
        <v>30</v>
      </c>
      <c r="S22" s="242" t="str">
        <f>IF(SUM('Groups Stage'!AA:AA)=3*4*12,Aux!BS4,"-")</f>
        <v>Alemania</v>
      </c>
      <c r="T22" s="109"/>
      <c r="U22" s="109"/>
      <c r="V22" s="109"/>
      <c r="W22" s="109"/>
      <c r="X22" s="109"/>
      <c r="Y22" s="109"/>
    </row>
    <row r="23" spans="1:25" s="108" customFormat="1" x14ac:dyDescent="0.2">
      <c r="M23" s="106"/>
      <c r="N23" s="122"/>
      <c r="O23" s="109"/>
      <c r="P23" s="109"/>
      <c r="Q23" s="134"/>
      <c r="R23" s="135" t="s">
        <v>32</v>
      </c>
      <c r="S23" s="242" t="str">
        <f>IF(SUM('Groups Stage'!AA:AA)=3*4*12,Aux!AX22,"-")</f>
        <v>Curazao</v>
      </c>
      <c r="T23" s="109"/>
      <c r="U23" s="109"/>
      <c r="V23" s="109"/>
      <c r="W23" s="109"/>
      <c r="X23" s="109"/>
      <c r="Y23" s="109"/>
    </row>
    <row r="24" spans="1:25" s="108" customFormat="1" x14ac:dyDescent="0.2">
      <c r="M24" s="106"/>
      <c r="N24" s="122"/>
      <c r="O24" s="109"/>
      <c r="P24" s="109"/>
      <c r="Q24" s="109"/>
      <c r="R24" s="109"/>
      <c r="S24" s="109"/>
      <c r="T24" s="109"/>
      <c r="U24" s="109"/>
      <c r="V24" s="109"/>
      <c r="W24" s="109"/>
      <c r="X24" s="109"/>
      <c r="Y24" s="109"/>
    </row>
    <row r="25" spans="1:25" s="108" customFormat="1" x14ac:dyDescent="0.2">
      <c r="M25" s="106"/>
      <c r="N25" s="122"/>
      <c r="O25" s="526" t="str">
        <f>+IF(AND(ISNUMBER(Q4),ISNUMBER(R4)),_xlfn.XLOOKUP('Total Results'!$D$2,Comentarios!$A:$A,Comentarios!$B:$B,Comentarios!$B$12,0),"")</f>
        <v>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v>
      </c>
      <c r="P25" s="526"/>
      <c r="Q25" s="526"/>
      <c r="R25" s="526"/>
      <c r="S25" s="526"/>
      <c r="T25" s="526"/>
      <c r="U25" s="526"/>
      <c r="V25" s="526"/>
      <c r="W25" s="526"/>
      <c r="X25" s="526"/>
      <c r="Y25" s="109"/>
    </row>
    <row r="26" spans="1:25" s="108" customFormat="1" x14ac:dyDescent="0.2">
      <c r="M26" s="106"/>
      <c r="N26" s="122"/>
      <c r="O26" s="526"/>
      <c r="P26" s="526"/>
      <c r="Q26" s="526"/>
      <c r="R26" s="526"/>
      <c r="S26" s="526"/>
      <c r="T26" s="526"/>
      <c r="U26" s="526"/>
      <c r="V26" s="526"/>
      <c r="W26" s="526"/>
      <c r="X26" s="526"/>
      <c r="Y26" s="109"/>
    </row>
    <row r="27" spans="1:25" s="108" customFormat="1" x14ac:dyDescent="0.2">
      <c r="M27" s="106"/>
      <c r="N27" s="122"/>
      <c r="O27" s="526"/>
      <c r="P27" s="526"/>
      <c r="Q27" s="526"/>
      <c r="R27" s="526"/>
      <c r="S27" s="526"/>
      <c r="T27" s="526"/>
      <c r="U27" s="526"/>
      <c r="V27" s="526"/>
      <c r="W27" s="526"/>
      <c r="X27" s="526"/>
      <c r="Y27" s="109"/>
    </row>
    <row r="28" spans="1:25" s="108" customFormat="1" x14ac:dyDescent="0.2">
      <c r="M28" s="106"/>
      <c r="N28" s="122"/>
      <c r="O28" s="526"/>
      <c r="P28" s="526"/>
      <c r="Q28" s="526"/>
      <c r="R28" s="526"/>
      <c r="S28" s="526"/>
      <c r="T28" s="526"/>
      <c r="U28" s="526"/>
      <c r="V28" s="526"/>
      <c r="W28" s="526"/>
      <c r="X28" s="526"/>
      <c r="Y28" s="109"/>
    </row>
    <row r="29" spans="1:25" s="108" customFormat="1" x14ac:dyDescent="0.2">
      <c r="M29" s="106"/>
      <c r="N29" s="122"/>
      <c r="O29" s="526"/>
      <c r="P29" s="526"/>
      <c r="Q29" s="526"/>
      <c r="R29" s="526"/>
      <c r="S29" s="526"/>
      <c r="T29" s="526"/>
      <c r="U29" s="526"/>
      <c r="V29" s="526"/>
      <c r="W29" s="526"/>
      <c r="X29" s="526"/>
      <c r="Y29" s="109"/>
    </row>
    <row r="30" spans="1:25" s="108" customFormat="1" x14ac:dyDescent="0.2">
      <c r="M30" s="106"/>
      <c r="N30" s="122"/>
      <c r="O30" s="526"/>
      <c r="P30" s="526"/>
      <c r="Q30" s="526"/>
      <c r="R30" s="526"/>
      <c r="S30" s="526"/>
      <c r="T30" s="526"/>
      <c r="U30" s="526"/>
      <c r="V30" s="526"/>
      <c r="W30" s="526"/>
      <c r="X30" s="526"/>
      <c r="Y30" s="109"/>
    </row>
    <row r="31" spans="1:25" s="108" customFormat="1" x14ac:dyDescent="0.2">
      <c r="M31" s="106"/>
      <c r="N31" s="122"/>
      <c r="O31" s="526"/>
      <c r="P31" s="526"/>
      <c r="Q31" s="526"/>
      <c r="R31" s="526"/>
      <c r="S31" s="526"/>
      <c r="T31" s="526"/>
      <c r="U31" s="526"/>
      <c r="V31" s="526"/>
      <c r="W31" s="526"/>
      <c r="X31" s="526"/>
      <c r="Y31" s="109"/>
    </row>
    <row r="32" spans="1:25" s="108" customFormat="1" x14ac:dyDescent="0.2">
      <c r="M32" s="106"/>
      <c r="N32" s="122"/>
      <c r="O32" s="526"/>
      <c r="P32" s="526"/>
      <c r="Q32" s="526"/>
      <c r="R32" s="526"/>
      <c r="S32" s="526"/>
      <c r="T32" s="526"/>
      <c r="U32" s="526"/>
      <c r="V32" s="526"/>
      <c r="W32" s="526"/>
      <c r="X32" s="526"/>
      <c r="Y32" s="109"/>
    </row>
    <row r="33" spans="13:25" s="108" customFormat="1" x14ac:dyDescent="0.2">
      <c r="M33" s="106"/>
      <c r="N33" s="122"/>
      <c r="O33" s="109"/>
      <c r="P33" s="109"/>
      <c r="Q33" s="109"/>
      <c r="R33" s="109"/>
      <c r="S33" s="109"/>
      <c r="T33" s="109"/>
      <c r="U33" s="109"/>
      <c r="V33" s="109"/>
      <c r="W33" s="109"/>
      <c r="X33" s="109"/>
      <c r="Y33" s="109"/>
    </row>
    <row r="34" spans="13:25" s="108" customFormat="1" x14ac:dyDescent="0.2">
      <c r="M34" s="106"/>
      <c r="N34" s="122"/>
      <c r="O34" s="109"/>
      <c r="P34" s="109"/>
      <c r="Q34" s="109"/>
      <c r="R34" s="109"/>
      <c r="S34" s="109"/>
      <c r="T34" s="109"/>
      <c r="U34" s="109"/>
      <c r="V34" s="109"/>
      <c r="W34" s="109"/>
      <c r="X34" s="109"/>
      <c r="Y34" s="109"/>
    </row>
    <row r="35" spans="13:25" s="108" customFormat="1" x14ac:dyDescent="0.2">
      <c r="M35" s="106"/>
      <c r="N35" s="122"/>
      <c r="O35" s="109"/>
      <c r="P35" s="109"/>
      <c r="Q35" s="109"/>
      <c r="R35" s="109"/>
      <c r="S35" s="109"/>
      <c r="T35" s="109"/>
      <c r="U35" s="109"/>
      <c r="V35" s="109"/>
      <c r="W35" s="109"/>
      <c r="X35" s="109"/>
      <c r="Y35" s="109"/>
    </row>
    <row r="36" spans="13:25" s="108" customFormat="1" x14ac:dyDescent="0.2">
      <c r="M36" s="106"/>
      <c r="N36" s="122"/>
      <c r="O36" s="109"/>
      <c r="P36" s="109"/>
      <c r="Q36" s="109"/>
      <c r="R36" s="109"/>
      <c r="S36" s="109"/>
      <c r="T36" s="109"/>
      <c r="U36" s="109"/>
      <c r="V36" s="109"/>
      <c r="W36" s="109"/>
      <c r="X36" s="109"/>
      <c r="Y36" s="109"/>
    </row>
    <row r="37" spans="13:25" s="108" customFormat="1" x14ac:dyDescent="0.2">
      <c r="M37" s="106"/>
      <c r="N37" s="122"/>
      <c r="O37" s="109"/>
      <c r="P37" s="109"/>
      <c r="Q37" s="109"/>
      <c r="R37" s="109"/>
      <c r="S37" s="109"/>
      <c r="T37" s="109"/>
      <c r="U37" s="109"/>
      <c r="V37" s="109"/>
      <c r="W37" s="109"/>
      <c r="X37" s="109"/>
      <c r="Y37" s="109"/>
    </row>
    <row r="38" spans="13:25" s="108" customFormat="1" x14ac:dyDescent="0.2">
      <c r="M38" s="106"/>
      <c r="N38" s="122"/>
      <c r="O38" s="109"/>
      <c r="P38" s="109"/>
      <c r="Q38" s="109"/>
      <c r="R38" s="109"/>
      <c r="S38" s="109"/>
      <c r="T38" s="109"/>
      <c r="U38" s="109"/>
      <c r="V38" s="109"/>
      <c r="W38" s="109"/>
      <c r="X38" s="109"/>
      <c r="Y38" s="109"/>
    </row>
    <row r="39" spans="13:25" s="108" customFormat="1" x14ac:dyDescent="0.2">
      <c r="M39" s="106"/>
      <c r="N39" s="122"/>
      <c r="O39" s="109"/>
      <c r="P39" s="109"/>
      <c r="Q39" s="109"/>
      <c r="R39" s="109"/>
      <c r="S39" s="109"/>
      <c r="T39" s="109"/>
      <c r="U39" s="109"/>
      <c r="V39" s="109"/>
      <c r="W39" s="109"/>
      <c r="X39" s="109"/>
      <c r="Y39" s="109"/>
    </row>
    <row r="40" spans="13:25" s="108" customFormat="1" x14ac:dyDescent="0.2">
      <c r="M40" s="106"/>
      <c r="N40" s="122"/>
      <c r="O40" s="109"/>
      <c r="P40" s="109"/>
      <c r="Q40" s="109"/>
      <c r="R40" s="109"/>
      <c r="S40" s="109"/>
      <c r="T40" s="109"/>
      <c r="U40" s="109"/>
      <c r="V40" s="109"/>
      <c r="W40" s="109"/>
      <c r="X40" s="109"/>
      <c r="Y40" s="109"/>
    </row>
    <row r="41" spans="13:25" s="108" customFormat="1" x14ac:dyDescent="0.2">
      <c r="M41" s="106"/>
      <c r="N41" s="122"/>
      <c r="O41" s="109"/>
      <c r="P41" s="109"/>
      <c r="Q41" s="109"/>
      <c r="R41" s="109"/>
      <c r="S41" s="109"/>
      <c r="T41" s="109"/>
      <c r="U41" s="109"/>
      <c r="V41" s="109"/>
      <c r="W41" s="109"/>
      <c r="X41" s="109"/>
      <c r="Y41" s="109"/>
    </row>
    <row r="42" spans="13:25" s="108" customFormat="1" x14ac:dyDescent="0.2">
      <c r="M42" s="106"/>
      <c r="N42" s="122"/>
      <c r="O42" s="109"/>
      <c r="P42" s="109"/>
      <c r="Q42" s="109"/>
      <c r="R42" s="109"/>
      <c r="S42" s="109"/>
      <c r="T42" s="109"/>
      <c r="U42" s="109"/>
      <c r="V42" s="109"/>
      <c r="W42" s="109"/>
      <c r="X42" s="109"/>
      <c r="Y42" s="109"/>
    </row>
    <row r="43" spans="13:25" s="108" customFormat="1" x14ac:dyDescent="0.2">
      <c r="M43" s="106"/>
      <c r="N43" s="122"/>
      <c r="O43" s="109"/>
      <c r="P43" s="109"/>
      <c r="Q43" s="109"/>
      <c r="R43" s="109"/>
      <c r="S43" s="109"/>
      <c r="T43" s="109"/>
      <c r="U43" s="109"/>
      <c r="V43" s="109"/>
      <c r="W43" s="109"/>
      <c r="X43" s="109"/>
      <c r="Y43" s="109"/>
    </row>
    <row r="44" spans="13:25" s="108" customFormat="1" x14ac:dyDescent="0.2">
      <c r="M44" s="106"/>
      <c r="N44" s="122"/>
      <c r="O44" s="109"/>
      <c r="P44" s="109"/>
      <c r="Q44" s="109"/>
      <c r="R44" s="109"/>
      <c r="S44" s="109"/>
      <c r="T44" s="109"/>
      <c r="U44" s="109"/>
      <c r="V44" s="109"/>
      <c r="W44" s="109"/>
      <c r="X44" s="109"/>
      <c r="Y44" s="109"/>
    </row>
    <row r="45" spans="13:25" s="108" customFormat="1" x14ac:dyDescent="0.2">
      <c r="M45" s="106"/>
      <c r="N45" s="122"/>
      <c r="O45" s="109"/>
      <c r="P45" s="109"/>
      <c r="Q45" s="109"/>
      <c r="R45" s="109"/>
      <c r="S45" s="109"/>
      <c r="T45" s="109"/>
      <c r="U45" s="109"/>
      <c r="V45" s="109"/>
      <c r="W45" s="109"/>
      <c r="X45" s="109"/>
      <c r="Y45" s="109"/>
    </row>
    <row r="46" spans="13:25" s="108" customFormat="1" x14ac:dyDescent="0.2">
      <c r="M46" s="106"/>
      <c r="N46" s="122"/>
      <c r="O46" s="109"/>
      <c r="P46" s="109"/>
      <c r="Q46" s="109"/>
      <c r="R46" s="109"/>
      <c r="S46" s="109"/>
      <c r="T46" s="109"/>
      <c r="U46" s="109"/>
      <c r="V46" s="109"/>
      <c r="W46" s="109"/>
      <c r="X46" s="109"/>
      <c r="Y46" s="109"/>
    </row>
    <row r="47" spans="13:25" s="108" customFormat="1" x14ac:dyDescent="0.2">
      <c r="M47" s="106"/>
      <c r="N47" s="122"/>
      <c r="O47" s="109"/>
      <c r="P47" s="109"/>
      <c r="Q47" s="109"/>
      <c r="R47" s="109"/>
      <c r="S47" s="109"/>
      <c r="T47" s="109"/>
      <c r="U47" s="109"/>
      <c r="V47" s="109"/>
      <c r="W47" s="109"/>
      <c r="X47" s="109"/>
      <c r="Y47" s="109"/>
    </row>
    <row r="48" spans="13:25" s="108" customFormat="1" x14ac:dyDescent="0.2">
      <c r="M48" s="106"/>
      <c r="N48" s="122"/>
      <c r="O48" s="109"/>
      <c r="P48" s="109"/>
      <c r="Q48" s="109"/>
      <c r="R48" s="109"/>
      <c r="S48" s="109"/>
      <c r="T48" s="109"/>
      <c r="U48" s="109"/>
      <c r="V48" s="109"/>
      <c r="W48" s="109"/>
      <c r="X48" s="109"/>
      <c r="Y48" s="109"/>
    </row>
    <row r="49" spans="13:25" s="108" customFormat="1" x14ac:dyDescent="0.2">
      <c r="M49" s="106"/>
      <c r="N49" s="122"/>
      <c r="O49" s="109"/>
      <c r="P49" s="109"/>
      <c r="Q49" s="109"/>
      <c r="R49" s="109"/>
      <c r="S49" s="109"/>
      <c r="T49" s="109"/>
      <c r="U49" s="109"/>
      <c r="V49" s="109"/>
      <c r="W49" s="109"/>
      <c r="X49" s="109"/>
      <c r="Y49" s="109"/>
    </row>
    <row r="50" spans="13:25" s="108" customFormat="1" x14ac:dyDescent="0.2">
      <c r="M50" s="106"/>
      <c r="N50" s="122"/>
      <c r="O50" s="109"/>
      <c r="P50" s="109"/>
      <c r="Q50" s="109"/>
      <c r="R50" s="109"/>
      <c r="S50" s="109"/>
      <c r="T50" s="109"/>
      <c r="U50" s="109"/>
      <c r="V50" s="109"/>
      <c r="W50" s="109"/>
      <c r="X50" s="109"/>
      <c r="Y50" s="109"/>
    </row>
    <row r="51" spans="13:25" s="108" customFormat="1" x14ac:dyDescent="0.2">
      <c r="M51" s="106"/>
      <c r="N51" s="122"/>
      <c r="O51" s="109"/>
      <c r="P51" s="109"/>
      <c r="Q51" s="109"/>
      <c r="R51" s="109"/>
      <c r="S51" s="109"/>
      <c r="T51" s="109"/>
      <c r="U51" s="109"/>
      <c r="V51" s="109"/>
      <c r="W51" s="109"/>
      <c r="X51" s="109"/>
      <c r="Y51" s="109"/>
    </row>
    <row r="52" spans="13:25" s="108" customFormat="1" x14ac:dyDescent="0.2">
      <c r="M52" s="106"/>
      <c r="N52" s="122"/>
      <c r="O52" s="109"/>
      <c r="P52" s="109"/>
      <c r="Q52" s="109"/>
      <c r="R52" s="109"/>
      <c r="S52" s="109"/>
      <c r="T52" s="109"/>
      <c r="U52" s="109"/>
      <c r="V52" s="109"/>
      <c r="W52" s="109"/>
      <c r="X52" s="109"/>
      <c r="Y52" s="109"/>
    </row>
    <row r="53" spans="13:25" s="108" customFormat="1" x14ac:dyDescent="0.2">
      <c r="M53" s="106"/>
      <c r="N53" s="122"/>
      <c r="O53" s="109"/>
      <c r="P53" s="109"/>
      <c r="Q53" s="109"/>
      <c r="R53" s="109"/>
      <c r="S53" s="109"/>
      <c r="T53" s="109"/>
      <c r="U53" s="109"/>
      <c r="V53" s="109"/>
      <c r="W53" s="109"/>
      <c r="X53" s="109"/>
      <c r="Y53" s="109"/>
    </row>
    <row r="54" spans="13:25" s="108" customFormat="1" x14ac:dyDescent="0.2">
      <c r="M54" s="106"/>
      <c r="N54" s="122"/>
      <c r="O54" s="109"/>
      <c r="P54" s="109"/>
      <c r="Q54" s="109"/>
      <c r="R54" s="109"/>
      <c r="S54" s="109"/>
      <c r="T54" s="109"/>
      <c r="U54" s="109"/>
      <c r="V54" s="109"/>
      <c r="W54" s="109"/>
      <c r="X54" s="109"/>
      <c r="Y54" s="109"/>
    </row>
    <row r="55" spans="13:25" s="108" customFormat="1" x14ac:dyDescent="0.2">
      <c r="M55" s="106"/>
      <c r="N55" s="122"/>
      <c r="O55" s="109"/>
      <c r="P55" s="109"/>
      <c r="Q55" s="109"/>
      <c r="R55" s="109"/>
      <c r="S55" s="109"/>
      <c r="T55" s="109"/>
      <c r="U55" s="109"/>
      <c r="V55" s="109"/>
      <c r="W55" s="109"/>
      <c r="X55" s="109"/>
      <c r="Y55" s="109"/>
    </row>
    <row r="56" spans="13:25" s="108" customFormat="1" x14ac:dyDescent="0.2">
      <c r="M56" s="106"/>
      <c r="N56" s="122"/>
      <c r="O56" s="109"/>
      <c r="P56" s="109"/>
      <c r="Q56" s="109"/>
      <c r="R56" s="109"/>
      <c r="S56" s="109"/>
      <c r="T56" s="109"/>
      <c r="U56" s="109"/>
      <c r="V56" s="109"/>
      <c r="W56" s="109"/>
      <c r="X56" s="109"/>
      <c r="Y56" s="109"/>
    </row>
    <row r="57" spans="13:25" s="108" customFormat="1" x14ac:dyDescent="0.2">
      <c r="M57" s="106"/>
      <c r="N57" s="122"/>
      <c r="O57" s="109"/>
      <c r="P57" s="109"/>
      <c r="Q57" s="109"/>
      <c r="R57" s="109"/>
      <c r="S57" s="109"/>
      <c r="T57" s="109"/>
      <c r="U57" s="109"/>
      <c r="V57" s="109"/>
      <c r="W57" s="109"/>
      <c r="X57" s="109"/>
      <c r="Y57" s="109"/>
    </row>
    <row r="58" spans="13:25" s="108" customFormat="1" x14ac:dyDescent="0.2">
      <c r="M58" s="106"/>
      <c r="N58" s="122"/>
      <c r="O58" s="109"/>
      <c r="P58" s="109"/>
      <c r="Q58" s="109"/>
      <c r="R58" s="109"/>
      <c r="S58" s="109"/>
      <c r="T58" s="109"/>
      <c r="U58" s="109"/>
      <c r="V58" s="109"/>
      <c r="W58" s="109"/>
      <c r="X58" s="109"/>
      <c r="Y58" s="109"/>
    </row>
    <row r="59" spans="13:25" s="108" customFormat="1" x14ac:dyDescent="0.2">
      <c r="M59" s="106"/>
      <c r="N59" s="122"/>
      <c r="O59" s="109"/>
      <c r="P59" s="109"/>
      <c r="Q59" s="109"/>
      <c r="R59" s="109"/>
      <c r="S59" s="109"/>
      <c r="T59" s="109"/>
      <c r="U59" s="109"/>
      <c r="V59" s="109"/>
      <c r="W59" s="109"/>
      <c r="X59" s="109"/>
      <c r="Y59" s="109"/>
    </row>
    <row r="60" spans="13:25" s="108" customFormat="1" x14ac:dyDescent="0.2">
      <c r="M60" s="106"/>
      <c r="N60" s="122"/>
      <c r="O60" s="109"/>
      <c r="P60" s="109"/>
      <c r="Q60" s="109"/>
      <c r="R60" s="109"/>
      <c r="S60" s="109"/>
      <c r="T60" s="109"/>
      <c r="U60" s="109"/>
      <c r="V60" s="109"/>
      <c r="W60" s="109"/>
      <c r="X60" s="109"/>
      <c r="Y60" s="109"/>
    </row>
    <row r="61" spans="13:25" s="108" customFormat="1" x14ac:dyDescent="0.2">
      <c r="M61" s="106"/>
      <c r="N61" s="122"/>
      <c r="O61" s="109"/>
      <c r="P61" s="109"/>
      <c r="Q61" s="109"/>
      <c r="R61" s="109"/>
      <c r="S61" s="109"/>
      <c r="T61" s="109"/>
      <c r="U61" s="109"/>
      <c r="V61" s="109"/>
      <c r="W61" s="109"/>
      <c r="X61" s="109"/>
      <c r="Y61" s="109"/>
    </row>
    <row r="62" spans="13:25" s="108" customFormat="1" x14ac:dyDescent="0.2">
      <c r="M62" s="106"/>
      <c r="N62" s="122"/>
      <c r="O62" s="109"/>
      <c r="P62" s="109"/>
      <c r="Q62" s="109"/>
      <c r="R62" s="109"/>
      <c r="S62" s="109"/>
      <c r="T62" s="109"/>
      <c r="U62" s="109"/>
      <c r="V62" s="109"/>
      <c r="W62" s="109"/>
      <c r="X62" s="109"/>
      <c r="Y62" s="109"/>
    </row>
    <row r="63" spans="13:25" s="108" customFormat="1" x14ac:dyDescent="0.2">
      <c r="M63" s="106"/>
      <c r="N63" s="122"/>
      <c r="O63" s="109"/>
      <c r="P63" s="109"/>
      <c r="Q63" s="109"/>
      <c r="R63" s="109"/>
      <c r="S63" s="109"/>
      <c r="T63" s="109"/>
      <c r="U63" s="109"/>
      <c r="V63" s="109"/>
      <c r="W63" s="109"/>
      <c r="X63" s="109"/>
      <c r="Y63" s="109"/>
    </row>
    <row r="64" spans="13:25" s="108" customFormat="1" x14ac:dyDescent="0.2">
      <c r="M64" s="106"/>
      <c r="N64" s="122"/>
      <c r="O64" s="109"/>
      <c r="P64" s="109"/>
      <c r="Q64" s="109"/>
      <c r="R64" s="109"/>
      <c r="S64" s="109"/>
      <c r="T64" s="109"/>
      <c r="U64" s="109"/>
      <c r="V64" s="109"/>
      <c r="W64" s="109"/>
      <c r="X64" s="109"/>
      <c r="Y64" s="109"/>
    </row>
    <row r="65" spans="13:25" s="108" customFormat="1" x14ac:dyDescent="0.2">
      <c r="M65" s="106"/>
      <c r="N65" s="122"/>
      <c r="O65" s="109"/>
      <c r="P65" s="109"/>
      <c r="Q65" s="109"/>
      <c r="R65" s="109"/>
      <c r="S65" s="109"/>
      <c r="T65" s="109"/>
      <c r="U65" s="109"/>
      <c r="V65" s="109"/>
      <c r="W65" s="109"/>
      <c r="X65" s="109"/>
      <c r="Y65" s="109"/>
    </row>
    <row r="66" spans="13:25" s="108" customFormat="1" x14ac:dyDescent="0.2">
      <c r="M66" s="106"/>
      <c r="N66" s="122"/>
      <c r="O66" s="109"/>
      <c r="P66" s="109"/>
      <c r="Q66" s="109"/>
      <c r="R66" s="109"/>
      <c r="S66" s="109"/>
      <c r="T66" s="109"/>
      <c r="U66" s="109"/>
      <c r="V66" s="109"/>
      <c r="W66" s="109"/>
      <c r="X66" s="109"/>
      <c r="Y66" s="109"/>
    </row>
    <row r="67" spans="13:25" s="108" customFormat="1" x14ac:dyDescent="0.2">
      <c r="M67" s="106"/>
      <c r="N67" s="122"/>
      <c r="O67" s="109"/>
      <c r="P67" s="109"/>
      <c r="Q67" s="109"/>
      <c r="R67" s="109"/>
      <c r="S67" s="109"/>
      <c r="T67" s="109"/>
      <c r="U67" s="109"/>
      <c r="V67" s="109"/>
      <c r="W67" s="109"/>
      <c r="X67" s="109"/>
      <c r="Y67" s="109"/>
    </row>
    <row r="68" spans="13:25" s="108" customFormat="1" x14ac:dyDescent="0.2">
      <c r="M68" s="106"/>
      <c r="N68" s="122"/>
      <c r="O68" s="109"/>
      <c r="P68" s="109"/>
      <c r="Q68" s="109"/>
      <c r="R68" s="109"/>
      <c r="S68" s="109"/>
      <c r="T68" s="109"/>
      <c r="U68" s="109"/>
      <c r="V68" s="109"/>
      <c r="W68" s="109"/>
      <c r="X68" s="109"/>
      <c r="Y68" s="109"/>
    </row>
    <row r="69" spans="13:25" s="108" customFormat="1" x14ac:dyDescent="0.2">
      <c r="M69" s="106"/>
      <c r="N69" s="122"/>
      <c r="O69" s="109"/>
      <c r="P69" s="109"/>
      <c r="Q69" s="109"/>
      <c r="R69" s="109"/>
      <c r="S69" s="109"/>
      <c r="T69" s="109"/>
      <c r="U69" s="109"/>
      <c r="V69" s="109"/>
      <c r="W69" s="109"/>
      <c r="X69" s="109"/>
      <c r="Y69" s="109"/>
    </row>
    <row r="70" spans="13:25" s="108" customFormat="1" x14ac:dyDescent="0.2">
      <c r="M70" s="106"/>
      <c r="N70" s="122"/>
      <c r="O70" s="109"/>
      <c r="P70" s="109"/>
      <c r="Q70" s="109"/>
      <c r="R70" s="109"/>
      <c r="S70" s="109"/>
      <c r="T70" s="109"/>
      <c r="U70" s="109"/>
      <c r="V70" s="109"/>
      <c r="W70" s="109"/>
      <c r="X70" s="109"/>
      <c r="Y70" s="109"/>
    </row>
    <row r="71" spans="13:25" s="108" customFormat="1" x14ac:dyDescent="0.2">
      <c r="M71" s="106"/>
      <c r="N71" s="122"/>
      <c r="O71" s="109"/>
      <c r="P71" s="109"/>
      <c r="Q71" s="109"/>
      <c r="R71" s="109"/>
      <c r="S71" s="109"/>
      <c r="T71" s="109"/>
      <c r="U71" s="109"/>
      <c r="V71" s="109"/>
      <c r="W71" s="109"/>
      <c r="X71" s="109"/>
      <c r="Y71" s="109"/>
    </row>
    <row r="72" spans="13:25" s="108" customFormat="1" x14ac:dyDescent="0.2">
      <c r="M72" s="106"/>
      <c r="N72" s="122"/>
      <c r="O72" s="109"/>
      <c r="P72" s="109"/>
      <c r="Q72" s="109"/>
      <c r="R72" s="109"/>
      <c r="S72" s="109"/>
      <c r="T72" s="109"/>
      <c r="U72" s="109"/>
      <c r="V72" s="109"/>
      <c r="W72" s="109"/>
      <c r="X72" s="109"/>
      <c r="Y72" s="109"/>
    </row>
    <row r="73" spans="13:25" s="108" customFormat="1" x14ac:dyDescent="0.2">
      <c r="M73" s="106"/>
      <c r="N73" s="122"/>
      <c r="O73" s="109"/>
      <c r="P73" s="109"/>
      <c r="Q73" s="109"/>
      <c r="R73" s="109"/>
      <c r="S73" s="109"/>
      <c r="T73" s="109"/>
      <c r="U73" s="109"/>
      <c r="V73" s="109"/>
      <c r="W73" s="109"/>
      <c r="X73" s="109"/>
      <c r="Y73" s="109"/>
    </row>
    <row r="74" spans="13:25" s="108" customFormat="1" x14ac:dyDescent="0.2">
      <c r="M74" s="106"/>
      <c r="N74" s="122"/>
      <c r="O74" s="109"/>
      <c r="P74" s="109"/>
      <c r="Q74" s="109"/>
      <c r="R74" s="109"/>
      <c r="S74" s="109"/>
      <c r="T74" s="109"/>
      <c r="U74" s="109"/>
      <c r="V74" s="109"/>
      <c r="W74" s="109"/>
      <c r="X74" s="109"/>
      <c r="Y74" s="109"/>
    </row>
    <row r="75" spans="13:25" s="108" customFormat="1" x14ac:dyDescent="0.2">
      <c r="M75" s="106"/>
      <c r="N75" s="122"/>
      <c r="O75" s="109"/>
      <c r="P75" s="109"/>
      <c r="Q75" s="109"/>
      <c r="R75" s="109"/>
      <c r="S75" s="109"/>
      <c r="T75" s="109"/>
      <c r="U75" s="109"/>
      <c r="V75" s="109"/>
      <c r="W75" s="109"/>
      <c r="X75" s="109"/>
      <c r="Y75" s="109"/>
    </row>
    <row r="76" spans="13:25" s="108" customFormat="1" x14ac:dyDescent="0.2">
      <c r="M76" s="106"/>
      <c r="N76" s="122"/>
      <c r="O76" s="109"/>
      <c r="P76" s="109"/>
      <c r="Q76" s="109"/>
      <c r="R76" s="109"/>
      <c r="S76" s="109"/>
      <c r="T76" s="109"/>
      <c r="U76" s="109"/>
      <c r="V76" s="109"/>
      <c r="W76" s="109"/>
      <c r="X76" s="109"/>
      <c r="Y76" s="109"/>
    </row>
    <row r="77" spans="13:25" s="108" customFormat="1" x14ac:dyDescent="0.2">
      <c r="M77" s="106"/>
      <c r="N77" s="122"/>
      <c r="O77" s="109"/>
      <c r="P77" s="109"/>
      <c r="Q77" s="109"/>
      <c r="R77" s="109"/>
      <c r="S77" s="109"/>
      <c r="T77" s="109"/>
      <c r="U77" s="109"/>
      <c r="V77" s="109"/>
      <c r="W77" s="109"/>
      <c r="X77" s="109"/>
      <c r="Y77" s="109"/>
    </row>
    <row r="78" spans="13:25" s="108" customFormat="1" x14ac:dyDescent="0.2">
      <c r="M78" s="106"/>
      <c r="N78" s="122"/>
      <c r="O78" s="109"/>
      <c r="P78" s="109"/>
      <c r="Q78" s="109"/>
      <c r="R78" s="109"/>
      <c r="S78" s="109"/>
      <c r="T78" s="109"/>
      <c r="U78" s="109"/>
      <c r="V78" s="109"/>
      <c r="W78" s="109"/>
      <c r="X78" s="109"/>
      <c r="Y78" s="109"/>
    </row>
    <row r="79" spans="13:25" s="108" customFormat="1" x14ac:dyDescent="0.2">
      <c r="M79" s="106"/>
      <c r="N79" s="122"/>
      <c r="O79" s="109"/>
      <c r="P79" s="109"/>
      <c r="Q79" s="109"/>
      <c r="R79" s="109"/>
      <c r="S79" s="109"/>
      <c r="T79" s="109"/>
      <c r="U79" s="109"/>
      <c r="V79" s="109"/>
      <c r="W79" s="109"/>
      <c r="X79" s="109"/>
      <c r="Y79" s="109"/>
    </row>
    <row r="80" spans="13:25" s="108" customFormat="1" x14ac:dyDescent="0.2">
      <c r="M80" s="106"/>
      <c r="N80" s="122"/>
      <c r="O80" s="109"/>
      <c r="P80" s="109"/>
      <c r="Q80" s="109"/>
      <c r="R80" s="109"/>
      <c r="S80" s="109"/>
      <c r="T80" s="109"/>
      <c r="U80" s="109"/>
      <c r="V80" s="109"/>
      <c r="W80" s="109"/>
      <c r="X80" s="109"/>
      <c r="Y80" s="109"/>
    </row>
    <row r="81" spans="13:25" s="108" customFormat="1" x14ac:dyDescent="0.2">
      <c r="M81" s="106"/>
      <c r="N81" s="122"/>
      <c r="O81" s="109"/>
      <c r="P81" s="109"/>
      <c r="Q81" s="109"/>
      <c r="R81" s="109"/>
      <c r="S81" s="109"/>
      <c r="T81" s="109"/>
      <c r="U81" s="109"/>
      <c r="V81" s="109"/>
      <c r="W81" s="109"/>
      <c r="X81" s="109"/>
      <c r="Y81" s="109"/>
    </row>
    <row r="82" spans="13:25" s="108" customFormat="1" x14ac:dyDescent="0.2">
      <c r="M82" s="106"/>
      <c r="N82" s="122"/>
      <c r="O82" s="109"/>
      <c r="P82" s="109"/>
      <c r="Q82" s="109"/>
      <c r="R82" s="109"/>
      <c r="S82" s="109"/>
      <c r="T82" s="109"/>
      <c r="U82" s="109"/>
      <c r="V82" s="109"/>
      <c r="W82" s="109"/>
      <c r="X82" s="109"/>
      <c r="Y82" s="109"/>
    </row>
    <row r="83" spans="13:25" s="108" customFormat="1" x14ac:dyDescent="0.2">
      <c r="M83" s="106"/>
      <c r="N83" s="122"/>
      <c r="O83" s="109"/>
      <c r="P83" s="109"/>
      <c r="Q83" s="109"/>
      <c r="R83" s="109"/>
      <c r="S83" s="109"/>
      <c r="T83" s="109"/>
      <c r="U83" s="109"/>
      <c r="V83" s="109"/>
      <c r="W83" s="109"/>
      <c r="X83" s="109"/>
      <c r="Y83" s="109"/>
    </row>
    <row r="84" spans="13:25" s="108" customFormat="1" x14ac:dyDescent="0.2">
      <c r="M84" s="106"/>
      <c r="N84" s="122"/>
      <c r="O84" s="109"/>
      <c r="P84" s="109"/>
      <c r="Q84" s="109"/>
      <c r="R84" s="109"/>
      <c r="S84" s="109"/>
      <c r="T84" s="109"/>
      <c r="U84" s="109"/>
      <c r="V84" s="109"/>
      <c r="W84" s="109"/>
      <c r="X84" s="109"/>
      <c r="Y84" s="109"/>
    </row>
    <row r="85" spans="13:25" s="108" customFormat="1" x14ac:dyDescent="0.2">
      <c r="M85" s="106"/>
      <c r="N85" s="122"/>
      <c r="O85" s="109"/>
      <c r="P85" s="109"/>
      <c r="Q85" s="109"/>
      <c r="R85" s="109"/>
      <c r="S85" s="109"/>
      <c r="T85" s="109"/>
      <c r="U85" s="109"/>
      <c r="V85" s="109"/>
      <c r="W85" s="109"/>
      <c r="X85" s="109"/>
      <c r="Y85" s="109"/>
    </row>
    <row r="86" spans="13:25" s="108" customFormat="1" x14ac:dyDescent="0.2">
      <c r="M86" s="106"/>
      <c r="N86" s="122"/>
      <c r="O86" s="109"/>
      <c r="P86" s="109"/>
      <c r="Q86" s="109"/>
      <c r="R86" s="109"/>
      <c r="S86" s="109"/>
      <c r="T86" s="109"/>
      <c r="U86" s="109"/>
      <c r="V86" s="109"/>
      <c r="W86" s="109"/>
      <c r="X86" s="109"/>
      <c r="Y86" s="109"/>
    </row>
    <row r="87" spans="13:25" s="108" customFormat="1" x14ac:dyDescent="0.2">
      <c r="M87" s="106"/>
      <c r="N87" s="122"/>
      <c r="O87" s="109"/>
      <c r="P87" s="109"/>
      <c r="Q87" s="109"/>
      <c r="R87" s="109"/>
      <c r="S87" s="109"/>
      <c r="T87" s="109"/>
      <c r="U87" s="109"/>
      <c r="V87" s="109"/>
      <c r="W87" s="109"/>
      <c r="X87" s="109"/>
      <c r="Y87" s="109"/>
    </row>
    <row r="88" spans="13:25" s="108" customFormat="1" x14ac:dyDescent="0.2">
      <c r="M88" s="106"/>
      <c r="N88" s="122"/>
      <c r="O88" s="109"/>
      <c r="P88" s="109"/>
      <c r="Q88" s="109"/>
      <c r="R88" s="109"/>
      <c r="S88" s="109"/>
      <c r="T88" s="109"/>
      <c r="U88" s="109"/>
      <c r="V88" s="109"/>
      <c r="W88" s="109"/>
      <c r="X88" s="109"/>
      <c r="Y88" s="109"/>
    </row>
    <row r="89" spans="13:25" s="108" customFormat="1" x14ac:dyDescent="0.2">
      <c r="M89" s="106"/>
      <c r="N89" s="122"/>
      <c r="O89" s="109"/>
      <c r="P89" s="109"/>
      <c r="Q89" s="109"/>
      <c r="R89" s="109"/>
      <c r="S89" s="109"/>
      <c r="T89" s="109"/>
      <c r="U89" s="109"/>
      <c r="V89" s="109"/>
      <c r="W89" s="109"/>
      <c r="X89" s="109"/>
      <c r="Y89" s="109"/>
    </row>
    <row r="90" spans="13:25" s="108" customFormat="1" x14ac:dyDescent="0.2">
      <c r="M90" s="106"/>
      <c r="N90" s="122"/>
      <c r="O90" s="109"/>
      <c r="P90" s="109"/>
      <c r="Q90" s="109"/>
      <c r="R90" s="109"/>
      <c r="S90" s="109"/>
      <c r="T90" s="109"/>
      <c r="U90" s="109"/>
      <c r="V90" s="109"/>
      <c r="W90" s="109"/>
      <c r="X90" s="109"/>
      <c r="Y90" s="109"/>
    </row>
    <row r="91" spans="13:25" s="108" customFormat="1" x14ac:dyDescent="0.2">
      <c r="M91" s="106"/>
      <c r="N91" s="122"/>
      <c r="O91" s="109"/>
      <c r="P91" s="109"/>
      <c r="Q91" s="109"/>
      <c r="R91" s="109"/>
      <c r="S91" s="109"/>
      <c r="T91" s="109"/>
      <c r="U91" s="109"/>
      <c r="V91" s="109"/>
      <c r="W91" s="109"/>
      <c r="X91" s="109"/>
      <c r="Y91" s="109"/>
    </row>
    <row r="92" spans="13:25" s="108" customFormat="1" x14ac:dyDescent="0.2">
      <c r="M92" s="106"/>
      <c r="N92" s="122"/>
      <c r="O92" s="109"/>
      <c r="P92" s="109"/>
      <c r="Q92" s="109"/>
      <c r="R92" s="109"/>
      <c r="S92" s="109"/>
      <c r="T92" s="109"/>
      <c r="U92" s="109"/>
      <c r="V92" s="109"/>
      <c r="W92" s="109"/>
      <c r="X92" s="109"/>
      <c r="Y92" s="109"/>
    </row>
    <row r="93" spans="13:25" s="108" customFormat="1" x14ac:dyDescent="0.2">
      <c r="M93" s="106"/>
      <c r="N93" s="122"/>
      <c r="O93" s="109"/>
      <c r="P93" s="109"/>
      <c r="Q93" s="109"/>
      <c r="R93" s="109"/>
      <c r="S93" s="109"/>
      <c r="T93" s="109"/>
      <c r="U93" s="109"/>
      <c r="V93" s="109"/>
      <c r="W93" s="109"/>
      <c r="X93" s="109"/>
      <c r="Y93" s="109"/>
    </row>
    <row r="94" spans="13:25" s="108" customFormat="1" x14ac:dyDescent="0.2">
      <c r="M94" s="106"/>
      <c r="N94" s="122"/>
      <c r="O94" s="109"/>
      <c r="P94" s="109"/>
      <c r="Q94" s="109"/>
      <c r="R94" s="109"/>
      <c r="S94" s="109"/>
      <c r="T94" s="109"/>
      <c r="U94" s="109"/>
      <c r="V94" s="109"/>
      <c r="W94" s="109"/>
      <c r="X94" s="109"/>
      <c r="Y94" s="109"/>
    </row>
    <row r="95" spans="13:25" s="108" customFormat="1" x14ac:dyDescent="0.2">
      <c r="M95" s="106"/>
      <c r="N95" s="122"/>
      <c r="O95" s="109"/>
      <c r="P95" s="109"/>
      <c r="Q95" s="109"/>
      <c r="R95" s="109"/>
      <c r="S95" s="109"/>
      <c r="T95" s="109"/>
      <c r="U95" s="109"/>
      <c r="V95" s="109"/>
      <c r="W95" s="109"/>
      <c r="X95" s="109"/>
      <c r="Y95" s="109"/>
    </row>
    <row r="96" spans="13:25" s="108" customFormat="1" x14ac:dyDescent="0.2">
      <c r="M96" s="106"/>
      <c r="N96" s="122"/>
      <c r="O96" s="109"/>
      <c r="P96" s="109"/>
      <c r="Q96" s="109"/>
      <c r="R96" s="109"/>
      <c r="S96" s="109"/>
      <c r="T96" s="109"/>
      <c r="U96" s="109"/>
      <c r="V96" s="109"/>
      <c r="W96" s="109"/>
      <c r="X96" s="109"/>
      <c r="Y96" s="109"/>
    </row>
    <row r="97" spans="1:25" s="108" customFormat="1" x14ac:dyDescent="0.2">
      <c r="A97" s="105"/>
      <c r="B97" s="105"/>
      <c r="C97" s="105"/>
      <c r="D97" s="105"/>
      <c r="E97" s="105"/>
      <c r="F97" s="105"/>
      <c r="G97" s="105"/>
      <c r="H97" s="105"/>
      <c r="I97" s="105"/>
      <c r="J97" s="105"/>
      <c r="K97" s="105"/>
      <c r="L97" s="105"/>
      <c r="M97" s="106"/>
      <c r="N97" s="122"/>
      <c r="O97" s="109"/>
      <c r="P97" s="109"/>
      <c r="Q97" s="109"/>
      <c r="R97" s="109"/>
      <c r="S97" s="109"/>
      <c r="T97" s="109"/>
      <c r="U97" s="109"/>
      <c r="V97" s="109"/>
      <c r="W97" s="109"/>
      <c r="X97" s="109"/>
      <c r="Y97" s="109"/>
    </row>
    <row r="98" spans="1:25" s="108" customFormat="1" x14ac:dyDescent="0.2">
      <c r="A98" s="105"/>
      <c r="B98" s="105"/>
      <c r="C98" s="105"/>
      <c r="D98" s="105"/>
      <c r="E98" s="105"/>
      <c r="F98" s="105"/>
      <c r="G98" s="105"/>
      <c r="H98" s="105"/>
      <c r="I98" s="105"/>
      <c r="J98" s="105"/>
      <c r="K98" s="105"/>
      <c r="L98" s="105"/>
      <c r="M98" s="106"/>
      <c r="N98" s="122"/>
      <c r="O98" s="109"/>
      <c r="P98" s="109"/>
      <c r="Q98" s="109"/>
      <c r="R98" s="109"/>
      <c r="S98" s="109"/>
      <c r="T98" s="109"/>
      <c r="U98" s="109"/>
      <c r="V98" s="109"/>
      <c r="W98" s="109"/>
      <c r="X98" s="109"/>
      <c r="Y98" s="109"/>
    </row>
    <row r="99" spans="1:25" s="108" customFormat="1" x14ac:dyDescent="0.2">
      <c r="A99" s="105"/>
      <c r="B99" s="105"/>
      <c r="C99" s="105"/>
      <c r="D99" s="105"/>
      <c r="E99" s="105"/>
      <c r="F99" s="105"/>
      <c r="G99" s="105"/>
      <c r="H99" s="105"/>
      <c r="I99" s="105"/>
      <c r="J99" s="105"/>
      <c r="K99" s="105"/>
      <c r="L99" s="105"/>
      <c r="M99" s="106"/>
      <c r="N99" s="122"/>
      <c r="O99" s="109"/>
      <c r="P99" s="109"/>
      <c r="Q99" s="109"/>
      <c r="R99" s="109"/>
      <c r="S99" s="109"/>
      <c r="T99" s="109"/>
      <c r="U99" s="109"/>
      <c r="V99" s="109"/>
      <c r="W99" s="109"/>
      <c r="X99" s="109"/>
      <c r="Y99" s="109"/>
    </row>
    <row r="100" spans="1:25" s="108" customFormat="1" x14ac:dyDescent="0.2">
      <c r="A100" s="105"/>
      <c r="B100" s="105"/>
      <c r="C100" s="105"/>
      <c r="D100" s="105"/>
      <c r="E100" s="105"/>
      <c r="F100" s="105"/>
      <c r="G100" s="105"/>
      <c r="H100" s="105"/>
      <c r="I100" s="105"/>
      <c r="J100" s="105"/>
      <c r="K100" s="105"/>
      <c r="L100" s="105"/>
      <c r="M100" s="106"/>
      <c r="N100" s="122"/>
      <c r="O100" s="109"/>
      <c r="P100" s="109"/>
      <c r="Q100" s="109"/>
      <c r="R100" s="109"/>
      <c r="S100" s="109"/>
      <c r="T100" s="109"/>
      <c r="U100" s="109"/>
      <c r="V100" s="109"/>
      <c r="W100" s="109"/>
      <c r="X100" s="109"/>
      <c r="Y100" s="109"/>
    </row>
  </sheetData>
  <mergeCells count="5">
    <mergeCell ref="P4:P6"/>
    <mergeCell ref="S4:S6"/>
    <mergeCell ref="Q4:Q6"/>
    <mergeCell ref="R4:R6"/>
    <mergeCell ref="O25:X32"/>
  </mergeCells>
  <conditionalFormatting sqref="C14 C22 C26 C30 C34">
    <cfRule type="expression" dxfId="32" priority="78">
      <formula>E14="Y"</formula>
    </cfRule>
  </conditionalFormatting>
  <conditionalFormatting sqref="D14 D22 D26 D30 D34">
    <cfRule type="expression" dxfId="31" priority="77">
      <formula>E14="Y"</formula>
    </cfRule>
  </conditionalFormatting>
  <conditionalFormatting sqref="B14 B22 B26 B30 B34">
    <cfRule type="expression" dxfId="30" priority="76">
      <formula>E14="Y"</formula>
    </cfRule>
  </conditionalFormatting>
  <conditionalFormatting sqref="I14 I22 I26 I30 I34">
    <cfRule type="expression" dxfId="29" priority="72">
      <formula>K14="Y"</formula>
    </cfRule>
  </conditionalFormatting>
  <conditionalFormatting sqref="J14 J22 J26 J30 J34">
    <cfRule type="expression" dxfId="28" priority="71">
      <formula>K14="Y"</formula>
    </cfRule>
  </conditionalFormatting>
  <conditionalFormatting sqref="H14 H22 H26 H30 H34">
    <cfRule type="expression" dxfId="27" priority="70">
      <formula>K14="Y"</formula>
    </cfRule>
  </conditionalFormatting>
  <conditionalFormatting sqref="Q14">
    <cfRule type="expression" dxfId="26" priority="42">
      <formula>S14="Y"</formula>
    </cfRule>
  </conditionalFormatting>
  <conditionalFormatting sqref="R14">
    <cfRule type="expression" dxfId="25" priority="41">
      <formula>S14="Y"</formula>
    </cfRule>
  </conditionalFormatting>
  <conditionalFormatting sqref="P14">
    <cfRule type="expression" dxfId="24" priority="40">
      <formula>S14="Y"</formula>
    </cfRule>
  </conditionalFormatting>
  <conditionalFormatting sqref="Q7">
    <cfRule type="expression" dxfId="23" priority="36">
      <formula>S7="Y"</formula>
    </cfRule>
  </conditionalFormatting>
  <conditionalFormatting sqref="R7">
    <cfRule type="expression" dxfId="22" priority="35">
      <formula>S7="Y"</formula>
    </cfRule>
  </conditionalFormatting>
  <conditionalFormatting sqref="P7">
    <cfRule type="expression" dxfId="21" priority="34">
      <formula>S7="Y"</formula>
    </cfRule>
  </conditionalFormatting>
  <conditionalFormatting sqref="C6">
    <cfRule type="expression" dxfId="20" priority="18">
      <formula>E6="Y"</formula>
    </cfRule>
  </conditionalFormatting>
  <conditionalFormatting sqref="D6">
    <cfRule type="expression" dxfId="19" priority="17">
      <formula>E6="Y"</formula>
    </cfRule>
  </conditionalFormatting>
  <conditionalFormatting sqref="B6">
    <cfRule type="expression" dxfId="18" priority="16">
      <formula>E6="Y"</formula>
    </cfRule>
  </conditionalFormatting>
  <conditionalFormatting sqref="C10">
    <cfRule type="expression" dxfId="17" priority="15">
      <formula>E10="Y"</formula>
    </cfRule>
  </conditionalFormatting>
  <conditionalFormatting sqref="D10">
    <cfRule type="expression" dxfId="16" priority="14">
      <formula>E10="Y"</formula>
    </cfRule>
  </conditionalFormatting>
  <conditionalFormatting sqref="B10">
    <cfRule type="expression" dxfId="15" priority="13">
      <formula>E10="Y"</formula>
    </cfRule>
  </conditionalFormatting>
  <conditionalFormatting sqref="I6">
    <cfRule type="expression" dxfId="14" priority="12">
      <formula>K6="Y"</formula>
    </cfRule>
  </conditionalFormatting>
  <conditionalFormatting sqref="J6">
    <cfRule type="expression" dxfId="13" priority="11">
      <formula>K6="Y"</formula>
    </cfRule>
  </conditionalFormatting>
  <conditionalFormatting sqref="H6">
    <cfRule type="expression" dxfId="12" priority="10">
      <formula>K6="Y"</formula>
    </cfRule>
  </conditionalFormatting>
  <conditionalFormatting sqref="I10">
    <cfRule type="expression" dxfId="11" priority="9">
      <formula>K10="Y"</formula>
    </cfRule>
  </conditionalFormatting>
  <conditionalFormatting sqref="J10">
    <cfRule type="expression" dxfId="10" priority="8">
      <formula>K10="Y"</formula>
    </cfRule>
  </conditionalFormatting>
  <conditionalFormatting sqref="H10">
    <cfRule type="expression" dxfId="9" priority="7">
      <formula>K10="Y"</formula>
    </cfRule>
  </conditionalFormatting>
  <conditionalFormatting sqref="C20">
    <cfRule type="expression" dxfId="8" priority="6">
      <formula>E20="Y"</formula>
    </cfRule>
  </conditionalFormatting>
  <conditionalFormatting sqref="D20">
    <cfRule type="expression" dxfId="7" priority="5">
      <formula>E20="Y"</formula>
    </cfRule>
  </conditionalFormatting>
  <conditionalFormatting sqref="B20">
    <cfRule type="expression" dxfId="6" priority="4">
      <formula>E20="Y"</formula>
    </cfRule>
  </conditionalFormatting>
  <conditionalFormatting sqref="I20">
    <cfRule type="expression" dxfId="5" priority="3">
      <formula>K20="Y"</formula>
    </cfRule>
  </conditionalFormatting>
  <conditionalFormatting sqref="J20">
    <cfRule type="expression" dxfId="4" priority="2">
      <formula>K20="Y"</formula>
    </cfRule>
  </conditionalFormatting>
  <conditionalFormatting sqref="H20">
    <cfRule type="expression" dxfId="3" priority="1">
      <formula>K20="Y"</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ABAB8-FD51-4AFA-9E4C-D8A120EE4E1A}">
  <sheetPr>
    <tabColor theme="4" tint="-0.749992370372631"/>
  </sheetPr>
  <dimension ref="A1:AE214"/>
  <sheetViews>
    <sheetView zoomScale="90" zoomScaleNormal="90" workbookViewId="0">
      <pane ySplit="1" topLeftCell="A2" activePane="bottomLeft" state="frozen"/>
      <selection pane="bottomLeft" activeCell="E3" sqref="E3"/>
    </sheetView>
  </sheetViews>
  <sheetFormatPr defaultRowHeight="14.25" x14ac:dyDescent="0.2"/>
  <cols>
    <col min="1" max="1" width="2.625" style="399" customWidth="1"/>
    <col min="2" max="2" width="15.75" style="19" bestFit="1" customWidth="1"/>
    <col min="3" max="3" width="5.625" hidden="1" customWidth="1"/>
    <col min="4" max="4" width="15.875" style="142" bestFit="1" customWidth="1"/>
    <col min="5" max="10" width="11.625" customWidth="1"/>
    <col min="11" max="11" width="11.625" style="161" customWidth="1"/>
    <col min="12" max="31" width="9" style="163"/>
  </cols>
  <sheetData>
    <row r="1" spans="1:31" s="160" customFormat="1" ht="23.25" x14ac:dyDescent="0.35">
      <c r="A1" s="239"/>
      <c r="B1" s="239" t="s">
        <v>289</v>
      </c>
      <c r="C1" s="238" t="s">
        <v>290</v>
      </c>
      <c r="D1" s="239" t="s">
        <v>45</v>
      </c>
      <c r="E1" s="240" t="s">
        <v>291</v>
      </c>
      <c r="F1" s="240" t="s">
        <v>104</v>
      </c>
      <c r="G1" s="240" t="s">
        <v>105</v>
      </c>
      <c r="H1" s="240" t="s">
        <v>106</v>
      </c>
      <c r="I1" s="240" t="s">
        <v>107</v>
      </c>
      <c r="J1" s="240" t="s">
        <v>108</v>
      </c>
      <c r="K1" s="241" t="s">
        <v>109</v>
      </c>
      <c r="L1" s="162"/>
      <c r="M1" s="162"/>
      <c r="N1" s="162"/>
      <c r="O1" s="162"/>
      <c r="P1" s="162"/>
      <c r="Q1" s="162"/>
      <c r="R1" s="162"/>
      <c r="S1" s="162"/>
      <c r="T1" s="162"/>
      <c r="U1" s="162"/>
      <c r="V1" s="162"/>
      <c r="W1" s="162"/>
      <c r="X1" s="162"/>
      <c r="Y1" s="162"/>
      <c r="Z1" s="162"/>
      <c r="AA1" s="162"/>
      <c r="AB1" s="162"/>
      <c r="AC1" s="162"/>
      <c r="AD1" s="162"/>
      <c r="AE1" s="162"/>
    </row>
    <row r="2" spans="1:31" ht="20.25" x14ac:dyDescent="0.3">
      <c r="A2" s="400">
        <v>1</v>
      </c>
      <c r="B2" s="385" t="s">
        <v>20</v>
      </c>
      <c r="C2" s="190">
        <f>+LARGE(Aux!$W$4:$W$51,A2)</f>
        <v>824.1517000033333</v>
      </c>
      <c r="D2" s="189" t="str">
        <f>+_xlfn.XLOOKUP($C2,Aux!$W:$W,Aux!H:H,"-",0)</f>
        <v>Argentina</v>
      </c>
      <c r="E2" s="191">
        <f>+F2*3+G2</f>
        <v>24</v>
      </c>
      <c r="F2" s="191">
        <f>+_xlfn.XLOOKUP($C2,Aux!$W:$W,Aux!Q:Q,"-",0)</f>
        <v>8</v>
      </c>
      <c r="G2" s="191">
        <f>+_xlfn.XLOOKUP($C2,Aux!$W:$W,Aux!R:R,"-",0)</f>
        <v>0</v>
      </c>
      <c r="H2" s="191">
        <f>+_xlfn.XLOOKUP($C2,Aux!$W:$W,Aux!S:S,"-",0)</f>
        <v>0</v>
      </c>
      <c r="I2" s="191">
        <f>+_xlfn.XLOOKUP($C2,Aux!$W:$W,Aux!T:T,"-",0)</f>
        <v>15</v>
      </c>
      <c r="J2" s="191">
        <f>+_xlfn.XLOOKUP($C2,Aux!$W:$W,Aux!U:U,"-",0)</f>
        <v>17</v>
      </c>
      <c r="K2" s="192">
        <f>+_xlfn.XLOOKUP($C2,Aux!$W:$W,Aux!V:V,"-",0)</f>
        <v>2</v>
      </c>
    </row>
    <row r="3" spans="1:31" ht="18" x14ac:dyDescent="0.25">
      <c r="A3" s="401">
        <v>2</v>
      </c>
      <c r="B3" s="386" t="s">
        <v>292</v>
      </c>
      <c r="C3" s="194">
        <f>+LARGE(Aux!$W$4:$W$51,A3)</f>
        <v>621.11160001000007</v>
      </c>
      <c r="D3" s="193" t="str">
        <f>+_xlfn.XLOOKUP($C3,Aux!$W:$W,Aux!H:H,"-",0)</f>
        <v>Francia</v>
      </c>
      <c r="E3" s="195">
        <f t="shared" ref="E3:E49" si="0">+F3*3+G3</f>
        <v>21</v>
      </c>
      <c r="F3" s="195">
        <f>+_xlfn.XLOOKUP($C3,Aux!$W:$W,Aux!Q:Q,"-",0)</f>
        <v>7</v>
      </c>
      <c r="G3" s="195">
        <f>+_xlfn.XLOOKUP($C3,Aux!$W:$W,Aux!R:R,"-",0)</f>
        <v>0</v>
      </c>
      <c r="H3" s="195">
        <f>+_xlfn.XLOOKUP($C3,Aux!$W:$W,Aux!S:S,"-",0)</f>
        <v>1</v>
      </c>
      <c r="I3" s="195">
        <f>+_xlfn.XLOOKUP($C3,Aux!$W:$W,Aux!T:T,"-",0)</f>
        <v>11</v>
      </c>
      <c r="J3" s="195">
        <f>+_xlfn.XLOOKUP($C3,Aux!$W:$W,Aux!U:U,"-",0)</f>
        <v>16</v>
      </c>
      <c r="K3" s="196">
        <f>+_xlfn.XLOOKUP($C3,Aux!$W:$W,Aux!V:V,"-",0)</f>
        <v>5</v>
      </c>
    </row>
    <row r="4" spans="1:31" x14ac:dyDescent="0.2">
      <c r="A4" s="402">
        <v>3</v>
      </c>
      <c r="B4" s="387" t="s">
        <v>293</v>
      </c>
      <c r="C4" s="199">
        <f>+LARGE(Aux!$W$4:$W$51,A4)</f>
        <v>519.12190000166663</v>
      </c>
      <c r="D4" s="198" t="str">
        <f>+_xlfn.XLOOKUP($C4,Aux!$W:$W,Aux!H:H,"-",0)</f>
        <v>Brasil</v>
      </c>
      <c r="E4" s="200">
        <f t="shared" si="0"/>
        <v>19</v>
      </c>
      <c r="F4" s="200">
        <f>+_xlfn.XLOOKUP($C4,Aux!$W:$W,Aux!Q:Q,"-",0)</f>
        <v>6</v>
      </c>
      <c r="G4" s="200">
        <f>+_xlfn.XLOOKUP($C4,Aux!$W:$W,Aux!R:R,"-",0)</f>
        <v>1</v>
      </c>
      <c r="H4" s="200">
        <f>+_xlfn.XLOOKUP($C4,Aux!$W:$W,Aux!S:S,"-",0)</f>
        <v>1</v>
      </c>
      <c r="I4" s="200">
        <f>+_xlfn.XLOOKUP($C4,Aux!$W:$W,Aux!T:T,"-",0)</f>
        <v>12</v>
      </c>
      <c r="J4" s="200">
        <f>+_xlfn.XLOOKUP($C4,Aux!$W:$W,Aux!U:U,"-",0)</f>
        <v>19</v>
      </c>
      <c r="K4" s="201">
        <f>+_xlfn.XLOOKUP($C4,Aux!$W:$W,Aux!V:V,"-",0)</f>
        <v>7</v>
      </c>
    </row>
    <row r="5" spans="1:31" x14ac:dyDescent="0.2">
      <c r="A5" s="403">
        <v>4</v>
      </c>
      <c r="B5" s="388" t="s">
        <v>294</v>
      </c>
      <c r="C5" s="203">
        <f>+LARGE(Aux!$W$4:$W$51,A5)</f>
        <v>415.03110000076919</v>
      </c>
      <c r="D5" s="202" t="str">
        <f>+_xlfn.XLOOKUP($C5,Aux!$W:$W,Aux!H:H,"-",0)</f>
        <v>Colombia</v>
      </c>
      <c r="E5" s="204">
        <f t="shared" si="0"/>
        <v>15</v>
      </c>
      <c r="F5" s="204">
        <f>+_xlfn.XLOOKUP($C5,Aux!$W:$W,Aux!Q:Q,"-",0)</f>
        <v>5</v>
      </c>
      <c r="G5" s="204">
        <f>+_xlfn.XLOOKUP($C5,Aux!$W:$W,Aux!R:R,"-",0)</f>
        <v>0</v>
      </c>
      <c r="H5" s="204">
        <f>+_xlfn.XLOOKUP($C5,Aux!$W:$W,Aux!S:S,"-",0)</f>
        <v>3</v>
      </c>
      <c r="I5" s="204">
        <f>+_xlfn.XLOOKUP($C5,Aux!$W:$W,Aux!T:T,"-",0)</f>
        <v>3</v>
      </c>
      <c r="J5" s="204">
        <f>+_xlfn.XLOOKUP($C5,Aux!$W:$W,Aux!U:U,"-",0)</f>
        <v>11</v>
      </c>
      <c r="K5" s="205">
        <f>+_xlfn.XLOOKUP($C5,Aux!$W:$W,Aux!V:V,"-",0)</f>
        <v>8</v>
      </c>
    </row>
    <row r="6" spans="1:31" x14ac:dyDescent="0.2">
      <c r="A6" s="404">
        <v>5</v>
      </c>
      <c r="B6" s="390" t="s">
        <v>295</v>
      </c>
      <c r="C6" s="207">
        <f>+LARGE(Aux!$W$4:$W$51,A6)</f>
        <v>315.12160000199998</v>
      </c>
      <c r="D6" s="206" t="str">
        <f>+_xlfn.XLOOKUP($C6,Aux!$W:$W,Aux!H:H,"-",0)</f>
        <v>Portugal</v>
      </c>
      <c r="E6" s="208">
        <f t="shared" si="0"/>
        <v>15</v>
      </c>
      <c r="F6" s="208">
        <f>+_xlfn.XLOOKUP($C6,Aux!$W:$W,Aux!Q:Q,"-",0)</f>
        <v>5</v>
      </c>
      <c r="G6" s="208">
        <f>+_xlfn.XLOOKUP($C6,Aux!$W:$W,Aux!R:R,"-",0)</f>
        <v>0</v>
      </c>
      <c r="H6" s="208">
        <f>+_xlfn.XLOOKUP($C6,Aux!$W:$W,Aux!S:S,"-",0)</f>
        <v>1</v>
      </c>
      <c r="I6" s="208">
        <f>+_xlfn.XLOOKUP($C6,Aux!$W:$W,Aux!T:T,"-",0)</f>
        <v>12</v>
      </c>
      <c r="J6" s="208">
        <f>+_xlfn.XLOOKUP($C6,Aux!$W:$W,Aux!U:U,"-",0)</f>
        <v>16</v>
      </c>
      <c r="K6" s="209">
        <f>+_xlfn.XLOOKUP($C6,Aux!$W:$W,Aux!V:V,"-",0)</f>
        <v>4</v>
      </c>
    </row>
    <row r="7" spans="1:31" x14ac:dyDescent="0.2">
      <c r="A7" s="404">
        <v>6</v>
      </c>
      <c r="B7" s="390" t="s">
        <v>295</v>
      </c>
      <c r="C7" s="207">
        <f>+LARGE(Aux!$W$4:$W$51,A7)</f>
        <v>315.09120000249993</v>
      </c>
      <c r="D7" s="206" t="str">
        <f>+_xlfn.XLOOKUP($C7,Aux!$W:$W,Aux!H:H,"-",0)</f>
        <v>Inglaterra</v>
      </c>
      <c r="E7" s="208">
        <f t="shared" si="0"/>
        <v>15</v>
      </c>
      <c r="F7" s="208">
        <f>+_xlfn.XLOOKUP($C7,Aux!$W:$W,Aux!Q:Q,"-",0)</f>
        <v>5</v>
      </c>
      <c r="G7" s="208">
        <f>+_xlfn.XLOOKUP($C7,Aux!$W:$W,Aux!R:R,"-",0)</f>
        <v>0</v>
      </c>
      <c r="H7" s="208">
        <f>+_xlfn.XLOOKUP($C7,Aux!$W:$W,Aux!S:S,"-",0)</f>
        <v>1</v>
      </c>
      <c r="I7" s="208">
        <f>+_xlfn.XLOOKUP($C7,Aux!$W:$W,Aux!T:T,"-",0)</f>
        <v>9</v>
      </c>
      <c r="J7" s="208">
        <f>+_xlfn.XLOOKUP($C7,Aux!$W:$W,Aux!U:U,"-",0)</f>
        <v>12</v>
      </c>
      <c r="K7" s="209">
        <f>+_xlfn.XLOOKUP($C7,Aux!$W:$W,Aux!V:V,"-",0)</f>
        <v>3</v>
      </c>
    </row>
    <row r="8" spans="1:31" x14ac:dyDescent="0.2">
      <c r="A8" s="404">
        <v>7</v>
      </c>
      <c r="B8" s="390" t="s">
        <v>295</v>
      </c>
      <c r="C8" s="207">
        <f>+LARGE(Aux!$W$4:$W$51,A8)</f>
        <v>315.07100000142856</v>
      </c>
      <c r="D8" s="206" t="str">
        <f>+_xlfn.XLOOKUP($C8,Aux!$W:$W,Aux!H:H,"-",0)</f>
        <v>Paises Bajos</v>
      </c>
      <c r="E8" s="208">
        <f t="shared" si="0"/>
        <v>15</v>
      </c>
      <c r="F8" s="208">
        <f>+_xlfn.XLOOKUP($C8,Aux!$W:$W,Aux!Q:Q,"-",0)</f>
        <v>5</v>
      </c>
      <c r="G8" s="208">
        <f>+_xlfn.XLOOKUP($C8,Aux!$W:$W,Aux!R:R,"-",0)</f>
        <v>0</v>
      </c>
      <c r="H8" s="208">
        <f>+_xlfn.XLOOKUP($C8,Aux!$W:$W,Aux!S:S,"-",0)</f>
        <v>1</v>
      </c>
      <c r="I8" s="208">
        <f>+_xlfn.XLOOKUP($C8,Aux!$W:$W,Aux!T:T,"-",0)</f>
        <v>7</v>
      </c>
      <c r="J8" s="208">
        <f>+_xlfn.XLOOKUP($C8,Aux!$W:$W,Aux!U:U,"-",0)</f>
        <v>10</v>
      </c>
      <c r="K8" s="209">
        <f>+_xlfn.XLOOKUP($C8,Aux!$W:$W,Aux!V:V,"-",0)</f>
        <v>3</v>
      </c>
    </row>
    <row r="9" spans="1:31" x14ac:dyDescent="0.2">
      <c r="A9" s="405">
        <v>8</v>
      </c>
      <c r="B9" s="391" t="s">
        <v>295</v>
      </c>
      <c r="C9" s="227">
        <f>+LARGE(Aux!$W$4:$W$51,A9)</f>
        <v>313.05090000062501</v>
      </c>
      <c r="D9" s="226" t="str">
        <f>+_xlfn.XLOOKUP($C9,Aux!$W:$W,Aux!H:H,"-",0)</f>
        <v>Estados Unidos</v>
      </c>
      <c r="E9" s="228">
        <f t="shared" si="0"/>
        <v>13</v>
      </c>
      <c r="F9" s="228">
        <f>+_xlfn.XLOOKUP($C9,Aux!$W:$W,Aux!Q:Q,"-",0)</f>
        <v>4</v>
      </c>
      <c r="G9" s="228">
        <f>+_xlfn.XLOOKUP($C9,Aux!$W:$W,Aux!R:R,"-",0)</f>
        <v>1</v>
      </c>
      <c r="H9" s="228">
        <f>+_xlfn.XLOOKUP($C9,Aux!$W:$W,Aux!S:S,"-",0)</f>
        <v>1</v>
      </c>
      <c r="I9" s="228">
        <f>+_xlfn.XLOOKUP($C9,Aux!$W:$W,Aux!T:T,"-",0)</f>
        <v>5</v>
      </c>
      <c r="J9" s="228">
        <f>+_xlfn.XLOOKUP($C9,Aux!$W:$W,Aux!U:U,"-",0)</f>
        <v>9</v>
      </c>
      <c r="K9" s="229">
        <f>+_xlfn.XLOOKUP($C9,Aux!$W:$W,Aux!V:V,"-",0)</f>
        <v>4</v>
      </c>
    </row>
    <row r="10" spans="1:31" x14ac:dyDescent="0.2">
      <c r="A10" s="406">
        <v>9</v>
      </c>
      <c r="B10" s="392" t="s">
        <v>296</v>
      </c>
      <c r="C10" s="231">
        <f>+LARGE(Aux!$W$4:$W$51,A10)</f>
        <v>212.091200001</v>
      </c>
      <c r="D10" s="230" t="str">
        <f>+_xlfn.XLOOKUP($C10,Aux!$W:$W,Aux!H:H,"-",0)</f>
        <v>Alemania</v>
      </c>
      <c r="E10" s="232">
        <f t="shared" si="0"/>
        <v>12</v>
      </c>
      <c r="F10" s="232">
        <f>+_xlfn.XLOOKUP($C10,Aux!$W:$W,Aux!Q:Q,"-",0)</f>
        <v>4</v>
      </c>
      <c r="G10" s="232">
        <f>+_xlfn.XLOOKUP($C10,Aux!$W:$W,Aux!R:R,"-",0)</f>
        <v>0</v>
      </c>
      <c r="H10" s="232">
        <f>+_xlfn.XLOOKUP($C10,Aux!$W:$W,Aux!S:S,"-",0)</f>
        <v>1</v>
      </c>
      <c r="I10" s="232">
        <f>+_xlfn.XLOOKUP($C10,Aux!$W:$W,Aux!T:T,"-",0)</f>
        <v>9</v>
      </c>
      <c r="J10" s="232">
        <f>+_xlfn.XLOOKUP($C10,Aux!$W:$W,Aux!U:U,"-",0)</f>
        <v>12</v>
      </c>
      <c r="K10" s="233">
        <f>+_xlfn.XLOOKUP($C10,Aux!$W:$W,Aux!V:V,"-",0)</f>
        <v>3</v>
      </c>
    </row>
    <row r="11" spans="1:31" x14ac:dyDescent="0.2">
      <c r="A11" s="406">
        <v>10</v>
      </c>
      <c r="B11" s="392" t="s">
        <v>296</v>
      </c>
      <c r="C11" s="231">
        <f>+LARGE(Aux!$W$4:$W$51,A11)</f>
        <v>212.08120000111114</v>
      </c>
      <c r="D11" s="230" t="str">
        <f>+_xlfn.XLOOKUP($C11,Aux!$W:$W,Aux!H:H,"-",0)</f>
        <v>Belgica</v>
      </c>
      <c r="E11" s="232">
        <f t="shared" si="0"/>
        <v>12</v>
      </c>
      <c r="F11" s="232">
        <f>+_xlfn.XLOOKUP($C11,Aux!$W:$W,Aux!Q:Q,"-",0)</f>
        <v>4</v>
      </c>
      <c r="G11" s="232">
        <f>+_xlfn.XLOOKUP($C11,Aux!$W:$W,Aux!R:R,"-",0)</f>
        <v>0</v>
      </c>
      <c r="H11" s="232">
        <f>+_xlfn.XLOOKUP($C11,Aux!$W:$W,Aux!S:S,"-",0)</f>
        <v>1</v>
      </c>
      <c r="I11" s="232">
        <f>+_xlfn.XLOOKUP($C11,Aux!$W:$W,Aux!T:T,"-",0)</f>
        <v>8</v>
      </c>
      <c r="J11" s="232">
        <f>+_xlfn.XLOOKUP($C11,Aux!$W:$W,Aux!U:U,"-",0)</f>
        <v>12</v>
      </c>
      <c r="K11" s="233">
        <f>+_xlfn.XLOOKUP($C11,Aux!$W:$W,Aux!V:V,"-",0)</f>
        <v>4</v>
      </c>
    </row>
    <row r="12" spans="1:31" x14ac:dyDescent="0.2">
      <c r="A12" s="406">
        <v>11</v>
      </c>
      <c r="B12" s="392" t="s">
        <v>296</v>
      </c>
      <c r="C12" s="231">
        <f>+LARGE(Aux!$W$4:$W$51,A12)</f>
        <v>210.06100000500001</v>
      </c>
      <c r="D12" s="230" t="str">
        <f>+_xlfn.XLOOKUP($C12,Aux!$W:$W,Aux!H:H,"-",0)</f>
        <v>España</v>
      </c>
      <c r="E12" s="232">
        <f t="shared" si="0"/>
        <v>10</v>
      </c>
      <c r="F12" s="232">
        <f>+_xlfn.XLOOKUP($C12,Aux!$W:$W,Aux!Q:Q,"-",0)</f>
        <v>3</v>
      </c>
      <c r="G12" s="232">
        <f>+_xlfn.XLOOKUP($C12,Aux!$W:$W,Aux!R:R,"-",0)</f>
        <v>1</v>
      </c>
      <c r="H12" s="232">
        <f>+_xlfn.XLOOKUP($C12,Aux!$W:$W,Aux!S:S,"-",0)</f>
        <v>1</v>
      </c>
      <c r="I12" s="232">
        <f>+_xlfn.XLOOKUP($C12,Aux!$W:$W,Aux!T:T,"-",0)</f>
        <v>6</v>
      </c>
      <c r="J12" s="232">
        <f>+_xlfn.XLOOKUP($C12,Aux!$W:$W,Aux!U:U,"-",0)</f>
        <v>10</v>
      </c>
      <c r="K12" s="233">
        <f>+_xlfn.XLOOKUP($C12,Aux!$W:$W,Aux!V:V,"-",0)</f>
        <v>4</v>
      </c>
    </row>
    <row r="13" spans="1:31" x14ac:dyDescent="0.2">
      <c r="A13" s="406">
        <v>12</v>
      </c>
      <c r="B13" s="392" t="s">
        <v>296</v>
      </c>
      <c r="C13" s="231">
        <f>+LARGE(Aux!$W$4:$W$51,A13)</f>
        <v>210.05090000033334</v>
      </c>
      <c r="D13" s="230" t="str">
        <f>+_xlfn.XLOOKUP($C13,Aux!$W:$W,Aux!H:H,"-",0)</f>
        <v>Canada</v>
      </c>
      <c r="E13" s="232">
        <f t="shared" si="0"/>
        <v>10</v>
      </c>
      <c r="F13" s="232">
        <f>+_xlfn.XLOOKUP($C13,Aux!$W:$W,Aux!Q:Q,"-",0)</f>
        <v>3</v>
      </c>
      <c r="G13" s="232">
        <f>+_xlfn.XLOOKUP($C13,Aux!$W:$W,Aux!R:R,"-",0)</f>
        <v>1</v>
      </c>
      <c r="H13" s="232">
        <f>+_xlfn.XLOOKUP($C13,Aux!$W:$W,Aux!S:S,"-",0)</f>
        <v>1</v>
      </c>
      <c r="I13" s="232">
        <f>+_xlfn.XLOOKUP($C13,Aux!$W:$W,Aux!T:T,"-",0)</f>
        <v>5</v>
      </c>
      <c r="J13" s="232">
        <f>+_xlfn.XLOOKUP($C13,Aux!$W:$W,Aux!U:U,"-",0)</f>
        <v>9</v>
      </c>
      <c r="K13" s="233">
        <f>+_xlfn.XLOOKUP($C13,Aux!$W:$W,Aux!V:V,"-",0)</f>
        <v>4</v>
      </c>
    </row>
    <row r="14" spans="1:31" x14ac:dyDescent="0.2">
      <c r="A14" s="406">
        <v>13</v>
      </c>
      <c r="B14" s="392" t="s">
        <v>296</v>
      </c>
      <c r="C14" s="231">
        <f>+LARGE(Aux!$W$4:$W$51,A14)</f>
        <v>210.0406000005263</v>
      </c>
      <c r="D14" s="230" t="str">
        <f>+_xlfn.XLOOKUP($C14,Aux!$W:$W,Aux!H:H,"-",0)</f>
        <v>Suiza</v>
      </c>
      <c r="E14" s="232">
        <f t="shared" si="0"/>
        <v>10</v>
      </c>
      <c r="F14" s="232">
        <f>+_xlfn.XLOOKUP($C14,Aux!$W:$W,Aux!Q:Q,"-",0)</f>
        <v>3</v>
      </c>
      <c r="G14" s="232">
        <f>+_xlfn.XLOOKUP($C14,Aux!$W:$W,Aux!R:R,"-",0)</f>
        <v>1</v>
      </c>
      <c r="H14" s="232">
        <f>+_xlfn.XLOOKUP($C14,Aux!$W:$W,Aux!S:S,"-",0)</f>
        <v>1</v>
      </c>
      <c r="I14" s="232">
        <f>+_xlfn.XLOOKUP($C14,Aux!$W:$W,Aux!T:T,"-",0)</f>
        <v>4</v>
      </c>
      <c r="J14" s="232">
        <f>+_xlfn.XLOOKUP($C14,Aux!$W:$W,Aux!U:U,"-",0)</f>
        <v>6</v>
      </c>
      <c r="K14" s="233">
        <f>+_xlfn.XLOOKUP($C14,Aux!$W:$W,Aux!V:V,"-",0)</f>
        <v>2</v>
      </c>
    </row>
    <row r="15" spans="1:31" x14ac:dyDescent="0.2">
      <c r="A15" s="406">
        <v>14</v>
      </c>
      <c r="B15" s="392" t="s">
        <v>296</v>
      </c>
      <c r="C15" s="231">
        <f>+LARGE(Aux!$W$4:$W$51,A15)</f>
        <v>210.03080000040001</v>
      </c>
      <c r="D15" s="230" t="str">
        <f>+_xlfn.XLOOKUP($C15,Aux!$W:$W,Aux!H:H,"-",0)</f>
        <v>Corea del Sur</v>
      </c>
      <c r="E15" s="232">
        <f t="shared" si="0"/>
        <v>10</v>
      </c>
      <c r="F15" s="232">
        <f>+_xlfn.XLOOKUP($C15,Aux!$W:$W,Aux!Q:Q,"-",0)</f>
        <v>3</v>
      </c>
      <c r="G15" s="232">
        <f>+_xlfn.XLOOKUP($C15,Aux!$W:$W,Aux!R:R,"-",0)</f>
        <v>1</v>
      </c>
      <c r="H15" s="232">
        <f>+_xlfn.XLOOKUP($C15,Aux!$W:$W,Aux!S:S,"-",0)</f>
        <v>1</v>
      </c>
      <c r="I15" s="232">
        <f>+_xlfn.XLOOKUP($C15,Aux!$W:$W,Aux!T:T,"-",0)</f>
        <v>3</v>
      </c>
      <c r="J15" s="232">
        <f>+_xlfn.XLOOKUP($C15,Aux!$W:$W,Aux!U:U,"-",0)</f>
        <v>8</v>
      </c>
      <c r="K15" s="233">
        <f>+_xlfn.XLOOKUP($C15,Aux!$W:$W,Aux!V:V,"-",0)</f>
        <v>5</v>
      </c>
    </row>
    <row r="16" spans="1:31" x14ac:dyDescent="0.2">
      <c r="A16" s="406">
        <v>15</v>
      </c>
      <c r="B16" s="392" t="s">
        <v>296</v>
      </c>
      <c r="C16" s="231">
        <f>+LARGE(Aux!$W$4:$W$51,A16)</f>
        <v>207.99070000045455</v>
      </c>
      <c r="D16" s="230" t="str">
        <f>+_xlfn.XLOOKUP($C16,Aux!$W:$W,Aux!H:H,"-",0)</f>
        <v>Turquia</v>
      </c>
      <c r="E16" s="232">
        <f t="shared" si="0"/>
        <v>8</v>
      </c>
      <c r="F16" s="232">
        <f>+_xlfn.XLOOKUP($C16,Aux!$W:$W,Aux!Q:Q,"-",0)</f>
        <v>2</v>
      </c>
      <c r="G16" s="232">
        <f>+_xlfn.XLOOKUP($C16,Aux!$W:$W,Aux!R:R,"-",0)</f>
        <v>2</v>
      </c>
      <c r="H16" s="232">
        <f>+_xlfn.XLOOKUP($C16,Aux!$W:$W,Aux!S:S,"-",0)</f>
        <v>1</v>
      </c>
      <c r="I16" s="232">
        <f>+_xlfn.XLOOKUP($C16,Aux!$W:$W,Aux!T:T,"-",0)</f>
        <v>-1</v>
      </c>
      <c r="J16" s="232">
        <f>+_xlfn.XLOOKUP($C16,Aux!$W:$W,Aux!U:U,"-",0)</f>
        <v>7</v>
      </c>
      <c r="K16" s="233">
        <f>+_xlfn.XLOOKUP($C16,Aux!$W:$W,Aux!V:V,"-",0)</f>
        <v>8</v>
      </c>
    </row>
    <row r="17" spans="1:11" x14ac:dyDescent="0.2">
      <c r="A17" s="407">
        <v>16</v>
      </c>
      <c r="B17" s="393" t="s">
        <v>296</v>
      </c>
      <c r="C17" s="235">
        <f>+LARGE(Aux!$W$4:$W$51,A17)</f>
        <v>207.01080000032258</v>
      </c>
      <c r="D17" s="234" t="str">
        <f>+_xlfn.XLOOKUP($C17,Aux!$W:$W,Aux!H:H,"-",0)</f>
        <v>Noruega</v>
      </c>
      <c r="E17" s="236">
        <f t="shared" si="0"/>
        <v>7</v>
      </c>
      <c r="F17" s="236">
        <f>+_xlfn.XLOOKUP($C17,Aux!$W:$W,Aux!Q:Q,"-",0)</f>
        <v>2</v>
      </c>
      <c r="G17" s="236">
        <f>+_xlfn.XLOOKUP($C17,Aux!$W:$W,Aux!R:R,"-",0)</f>
        <v>1</v>
      </c>
      <c r="H17" s="236">
        <f>+_xlfn.XLOOKUP($C17,Aux!$W:$W,Aux!S:S,"-",0)</f>
        <v>2</v>
      </c>
      <c r="I17" s="236">
        <f>+_xlfn.XLOOKUP($C17,Aux!$W:$W,Aux!T:T,"-",0)</f>
        <v>1</v>
      </c>
      <c r="J17" s="236">
        <f>+_xlfn.XLOOKUP($C17,Aux!$W:$W,Aux!U:U,"-",0)</f>
        <v>8</v>
      </c>
      <c r="K17" s="237">
        <f>+_xlfn.XLOOKUP($C17,Aux!$W:$W,Aux!V:V,"-",0)</f>
        <v>7</v>
      </c>
    </row>
    <row r="18" spans="1:11" x14ac:dyDescent="0.2">
      <c r="A18" s="408">
        <v>17</v>
      </c>
      <c r="B18" s="394" t="s">
        <v>297</v>
      </c>
      <c r="C18" s="212">
        <f>+LARGE(Aux!$W$4:$W$51,A18)</f>
        <v>107.03050000058823</v>
      </c>
      <c r="D18" s="210" t="str">
        <f>+_xlfn.XLOOKUP($C18,Aux!$W:$W,Aux!H:H,"-",0)</f>
        <v>Uruguay</v>
      </c>
      <c r="E18" s="213">
        <f t="shared" si="0"/>
        <v>7</v>
      </c>
      <c r="F18" s="213">
        <f>+_xlfn.XLOOKUP($C18,Aux!$W:$W,Aux!Q:Q,"-",0)</f>
        <v>2</v>
      </c>
      <c r="G18" s="213">
        <f>+_xlfn.XLOOKUP($C18,Aux!$W:$W,Aux!R:R,"-",0)</f>
        <v>1</v>
      </c>
      <c r="H18" s="213">
        <f>+_xlfn.XLOOKUP($C18,Aux!$W:$W,Aux!S:S,"-",0)</f>
        <v>1</v>
      </c>
      <c r="I18" s="213">
        <f>+_xlfn.XLOOKUP($C18,Aux!$W:$W,Aux!T:T,"-",0)</f>
        <v>3</v>
      </c>
      <c r="J18" s="213">
        <f>+_xlfn.XLOOKUP($C18,Aux!$W:$W,Aux!U:U,"-",0)</f>
        <v>5</v>
      </c>
      <c r="K18" s="197">
        <f>+_xlfn.XLOOKUP($C18,Aux!$W:$W,Aux!V:V,"-",0)</f>
        <v>2</v>
      </c>
    </row>
    <row r="19" spans="1:11" x14ac:dyDescent="0.2">
      <c r="A19" s="408">
        <v>18</v>
      </c>
      <c r="B19" s="394" t="s">
        <v>297</v>
      </c>
      <c r="C19" s="212">
        <f>+LARGE(Aux!$W$4:$W$51,A19)</f>
        <v>107.02040000125</v>
      </c>
      <c r="D19" s="210" t="str">
        <f>+_xlfn.XLOOKUP($C19,Aux!$W:$W,Aux!H:H,"-",0)</f>
        <v>Marruecos</v>
      </c>
      <c r="E19" s="213">
        <f t="shared" si="0"/>
        <v>7</v>
      </c>
      <c r="F19" s="213">
        <f>+_xlfn.XLOOKUP($C19,Aux!$W:$W,Aux!Q:Q,"-",0)</f>
        <v>2</v>
      </c>
      <c r="G19" s="213">
        <f>+_xlfn.XLOOKUP($C19,Aux!$W:$W,Aux!R:R,"-",0)</f>
        <v>1</v>
      </c>
      <c r="H19" s="213">
        <f>+_xlfn.XLOOKUP($C19,Aux!$W:$W,Aux!S:S,"-",0)</f>
        <v>1</v>
      </c>
      <c r="I19" s="213">
        <f>+_xlfn.XLOOKUP($C19,Aux!$W:$W,Aux!T:T,"-",0)</f>
        <v>2</v>
      </c>
      <c r="J19" s="213">
        <f>+_xlfn.XLOOKUP($C19,Aux!$W:$W,Aux!U:U,"-",0)</f>
        <v>4</v>
      </c>
      <c r="K19" s="197">
        <f>+_xlfn.XLOOKUP($C19,Aux!$W:$W,Aux!V:V,"-",0)</f>
        <v>2</v>
      </c>
    </row>
    <row r="20" spans="1:11" x14ac:dyDescent="0.2">
      <c r="A20" s="408">
        <v>19</v>
      </c>
      <c r="B20" s="394" t="s">
        <v>297</v>
      </c>
      <c r="C20" s="212">
        <f>+LARGE(Aux!$W$4:$W$51,A20)</f>
        <v>106.0205000009091</v>
      </c>
      <c r="D20" s="210" t="str">
        <f>+_xlfn.XLOOKUP($C20,Aux!$W:$W,Aux!H:H,"-",0)</f>
        <v>Croacia</v>
      </c>
      <c r="E20" s="213">
        <f t="shared" si="0"/>
        <v>6</v>
      </c>
      <c r="F20" s="213">
        <f>+_xlfn.XLOOKUP($C20,Aux!$W:$W,Aux!Q:Q,"-",0)</f>
        <v>2</v>
      </c>
      <c r="G20" s="213">
        <f>+_xlfn.XLOOKUP($C20,Aux!$W:$W,Aux!R:R,"-",0)</f>
        <v>0</v>
      </c>
      <c r="H20" s="213">
        <f>+_xlfn.XLOOKUP($C20,Aux!$W:$W,Aux!S:S,"-",0)</f>
        <v>2</v>
      </c>
      <c r="I20" s="213">
        <f>+_xlfn.XLOOKUP($C20,Aux!$W:$W,Aux!T:T,"-",0)</f>
        <v>2</v>
      </c>
      <c r="J20" s="213">
        <f>+_xlfn.XLOOKUP($C20,Aux!$W:$W,Aux!U:U,"-",0)</f>
        <v>5</v>
      </c>
      <c r="K20" s="197">
        <f>+_xlfn.XLOOKUP($C20,Aux!$W:$W,Aux!V:V,"-",0)</f>
        <v>3</v>
      </c>
    </row>
    <row r="21" spans="1:11" x14ac:dyDescent="0.2">
      <c r="A21" s="408">
        <v>20</v>
      </c>
      <c r="B21" s="394" t="s">
        <v>297</v>
      </c>
      <c r="C21" s="212">
        <f>+LARGE(Aux!$W$4:$W$51,A21)</f>
        <v>106.01070000043478</v>
      </c>
      <c r="D21" s="210" t="str">
        <f>+_xlfn.XLOOKUP($C21,Aux!$W:$W,Aux!H:H,"-",0)</f>
        <v>Ecuador</v>
      </c>
      <c r="E21" s="213">
        <f t="shared" si="0"/>
        <v>6</v>
      </c>
      <c r="F21" s="213">
        <f>+_xlfn.XLOOKUP($C21,Aux!$W:$W,Aux!Q:Q,"-",0)</f>
        <v>2</v>
      </c>
      <c r="G21" s="213">
        <f>+_xlfn.XLOOKUP($C21,Aux!$W:$W,Aux!R:R,"-",0)</f>
        <v>0</v>
      </c>
      <c r="H21" s="213">
        <f>+_xlfn.XLOOKUP($C21,Aux!$W:$W,Aux!S:S,"-",0)</f>
        <v>2</v>
      </c>
      <c r="I21" s="213">
        <f>+_xlfn.XLOOKUP($C21,Aux!$W:$W,Aux!T:T,"-",0)</f>
        <v>1</v>
      </c>
      <c r="J21" s="213">
        <f>+_xlfn.XLOOKUP($C21,Aux!$W:$W,Aux!U:U,"-",0)</f>
        <v>7</v>
      </c>
      <c r="K21" s="197">
        <f>+_xlfn.XLOOKUP($C21,Aux!$W:$W,Aux!V:V,"-",0)</f>
        <v>6</v>
      </c>
    </row>
    <row r="22" spans="1:11" x14ac:dyDescent="0.2">
      <c r="A22" s="408">
        <v>21</v>
      </c>
      <c r="B22" s="394" t="s">
        <v>297</v>
      </c>
      <c r="C22" s="212">
        <f>+LARGE(Aux!$W$4:$W$51,A22)</f>
        <v>106.01060000041667</v>
      </c>
      <c r="D22" s="210" t="str">
        <f>+_xlfn.XLOOKUP($C22,Aux!$W:$W,Aux!H:H,"-",0)</f>
        <v>Austria</v>
      </c>
      <c r="E22" s="213">
        <f t="shared" si="0"/>
        <v>6</v>
      </c>
      <c r="F22" s="213">
        <f>+_xlfn.XLOOKUP($C22,Aux!$W:$W,Aux!Q:Q,"-",0)</f>
        <v>2</v>
      </c>
      <c r="G22" s="213">
        <f>+_xlfn.XLOOKUP($C22,Aux!$W:$W,Aux!R:R,"-",0)</f>
        <v>0</v>
      </c>
      <c r="H22" s="213">
        <f>+_xlfn.XLOOKUP($C22,Aux!$W:$W,Aux!S:S,"-",0)</f>
        <v>2</v>
      </c>
      <c r="I22" s="213">
        <f>+_xlfn.XLOOKUP($C22,Aux!$W:$W,Aux!T:T,"-",0)</f>
        <v>1</v>
      </c>
      <c r="J22" s="213">
        <f>+_xlfn.XLOOKUP($C22,Aux!$W:$W,Aux!U:U,"-",0)</f>
        <v>6</v>
      </c>
      <c r="K22" s="197">
        <f>+_xlfn.XLOOKUP($C22,Aux!$W:$W,Aux!V:V,"-",0)</f>
        <v>5</v>
      </c>
    </row>
    <row r="23" spans="1:11" x14ac:dyDescent="0.2">
      <c r="A23" s="408">
        <v>22</v>
      </c>
      <c r="B23" s="394" t="s">
        <v>297</v>
      </c>
      <c r="C23" s="212">
        <f>+LARGE(Aux!$W$4:$W$51,A23)</f>
        <v>105.98040000026316</v>
      </c>
      <c r="D23" s="210" t="str">
        <f>+_xlfn.XLOOKUP($C23,Aux!$W:$W,Aux!H:H,"-",0)</f>
        <v>Suecia</v>
      </c>
      <c r="E23" s="213">
        <f t="shared" si="0"/>
        <v>6</v>
      </c>
      <c r="F23" s="213">
        <f>+_xlfn.XLOOKUP($C23,Aux!$W:$W,Aux!Q:Q,"-",0)</f>
        <v>2</v>
      </c>
      <c r="G23" s="213">
        <f>+_xlfn.XLOOKUP($C23,Aux!$W:$W,Aux!R:R,"-",0)</f>
        <v>0</v>
      </c>
      <c r="H23" s="213">
        <f>+_xlfn.XLOOKUP($C23,Aux!$W:$W,Aux!S:S,"-",0)</f>
        <v>2</v>
      </c>
      <c r="I23" s="213">
        <f>+_xlfn.XLOOKUP($C23,Aux!$W:$W,Aux!T:T,"-",0)</f>
        <v>-2</v>
      </c>
      <c r="J23" s="213">
        <f>+_xlfn.XLOOKUP($C23,Aux!$W:$W,Aux!U:U,"-",0)</f>
        <v>4</v>
      </c>
      <c r="K23" s="197">
        <f>+_xlfn.XLOOKUP($C23,Aux!$W:$W,Aux!V:V,"-",0)</f>
        <v>6</v>
      </c>
    </row>
    <row r="24" spans="1:11" x14ac:dyDescent="0.2">
      <c r="A24" s="408">
        <v>23</v>
      </c>
      <c r="B24" s="394" t="s">
        <v>297</v>
      </c>
      <c r="C24" s="212">
        <f>+LARGE(Aux!$W$4:$W$51,A24)</f>
        <v>105.0003000002439</v>
      </c>
      <c r="D24" s="210" t="str">
        <f>+_xlfn.XLOOKUP($C24,Aux!$W:$W,Aux!H:H,"-",0)</f>
        <v>Repubilca Checa</v>
      </c>
      <c r="E24" s="213">
        <f t="shared" si="0"/>
        <v>5</v>
      </c>
      <c r="F24" s="213">
        <f>+_xlfn.XLOOKUP($C24,Aux!$W:$W,Aux!Q:Q,"-",0)</f>
        <v>1</v>
      </c>
      <c r="G24" s="213">
        <f>+_xlfn.XLOOKUP($C24,Aux!$W:$W,Aux!R:R,"-",0)</f>
        <v>2</v>
      </c>
      <c r="H24" s="213">
        <f>+_xlfn.XLOOKUP($C24,Aux!$W:$W,Aux!S:S,"-",0)</f>
        <v>1</v>
      </c>
      <c r="I24" s="213">
        <f>+_xlfn.XLOOKUP($C24,Aux!$W:$W,Aux!T:T,"-",0)</f>
        <v>0</v>
      </c>
      <c r="J24" s="213">
        <f>+_xlfn.XLOOKUP($C24,Aux!$W:$W,Aux!U:U,"-",0)</f>
        <v>3</v>
      </c>
      <c r="K24" s="197">
        <f>+_xlfn.XLOOKUP($C24,Aux!$W:$W,Aux!V:V,"-",0)</f>
        <v>3</v>
      </c>
    </row>
    <row r="25" spans="1:11" x14ac:dyDescent="0.2">
      <c r="A25" s="408">
        <v>24</v>
      </c>
      <c r="B25" s="394" t="s">
        <v>297</v>
      </c>
      <c r="C25" s="212">
        <f>+LARGE(Aux!$W$4:$W$51,A25)</f>
        <v>104.00050000034483</v>
      </c>
      <c r="D25" s="210" t="str">
        <f>+_xlfn.XLOOKUP($C25,Aux!$W:$W,Aux!H:H,"-",0)</f>
        <v>Egipto</v>
      </c>
      <c r="E25" s="213">
        <f t="shared" si="0"/>
        <v>4</v>
      </c>
      <c r="F25" s="213">
        <f>+_xlfn.XLOOKUP($C25,Aux!$W:$W,Aux!Q:Q,"-",0)</f>
        <v>1</v>
      </c>
      <c r="G25" s="213">
        <f>+_xlfn.XLOOKUP($C25,Aux!$W:$W,Aux!R:R,"-",0)</f>
        <v>1</v>
      </c>
      <c r="H25" s="213">
        <f>+_xlfn.XLOOKUP($C25,Aux!$W:$W,Aux!S:S,"-",0)</f>
        <v>2</v>
      </c>
      <c r="I25" s="213">
        <f>+_xlfn.XLOOKUP($C25,Aux!$W:$W,Aux!T:T,"-",0)</f>
        <v>0</v>
      </c>
      <c r="J25" s="213">
        <f>+_xlfn.XLOOKUP($C25,Aux!$W:$W,Aux!U:U,"-",0)</f>
        <v>5</v>
      </c>
      <c r="K25" s="197">
        <f>+_xlfn.XLOOKUP($C25,Aux!$W:$W,Aux!V:V,"-",0)</f>
        <v>5</v>
      </c>
    </row>
    <row r="26" spans="1:11" x14ac:dyDescent="0.2">
      <c r="A26" s="408">
        <v>25</v>
      </c>
      <c r="B26" s="394" t="s">
        <v>297</v>
      </c>
      <c r="C26" s="212">
        <f>+LARGE(Aux!$W$4:$W$51,A26)</f>
        <v>103.99050000066666</v>
      </c>
      <c r="D26" s="210" t="str">
        <f>+_xlfn.XLOOKUP($C26,Aux!$W:$W,Aux!H:H,"-",0)</f>
        <v>Mexico</v>
      </c>
      <c r="E26" s="213">
        <f t="shared" si="0"/>
        <v>4</v>
      </c>
      <c r="F26" s="213">
        <f>+_xlfn.XLOOKUP($C26,Aux!$W:$W,Aux!Q:Q,"-",0)</f>
        <v>1</v>
      </c>
      <c r="G26" s="213">
        <f>+_xlfn.XLOOKUP($C26,Aux!$W:$W,Aux!R:R,"-",0)</f>
        <v>1</v>
      </c>
      <c r="H26" s="213">
        <f>+_xlfn.XLOOKUP($C26,Aux!$W:$W,Aux!S:S,"-",0)</f>
        <v>2</v>
      </c>
      <c r="I26" s="213">
        <f>+_xlfn.XLOOKUP($C26,Aux!$W:$W,Aux!T:T,"-",0)</f>
        <v>-1</v>
      </c>
      <c r="J26" s="213">
        <f>+_xlfn.XLOOKUP($C26,Aux!$W:$W,Aux!U:U,"-",0)</f>
        <v>5</v>
      </c>
      <c r="K26" s="197">
        <f>+_xlfn.XLOOKUP($C26,Aux!$W:$W,Aux!V:V,"-",0)</f>
        <v>6</v>
      </c>
    </row>
    <row r="27" spans="1:11" x14ac:dyDescent="0.2">
      <c r="A27" s="408">
        <v>26</v>
      </c>
      <c r="B27" s="394" t="s">
        <v>297</v>
      </c>
      <c r="C27" s="212">
        <f>+LARGE(Aux!$W$4:$W$51,A27)</f>
        <v>103.99040000071427</v>
      </c>
      <c r="D27" s="210" t="str">
        <f>+_xlfn.XLOOKUP($C27,Aux!$W:$W,Aux!H:H,"-",0)</f>
        <v>Senegal</v>
      </c>
      <c r="E27" s="213">
        <f t="shared" si="0"/>
        <v>4</v>
      </c>
      <c r="F27" s="213">
        <f>+_xlfn.XLOOKUP($C27,Aux!$W:$W,Aux!Q:Q,"-",0)</f>
        <v>1</v>
      </c>
      <c r="G27" s="213">
        <f>+_xlfn.XLOOKUP($C27,Aux!$W:$W,Aux!R:R,"-",0)</f>
        <v>1</v>
      </c>
      <c r="H27" s="213">
        <f>+_xlfn.XLOOKUP($C27,Aux!$W:$W,Aux!S:S,"-",0)</f>
        <v>2</v>
      </c>
      <c r="I27" s="213">
        <f>+_xlfn.XLOOKUP($C27,Aux!$W:$W,Aux!T:T,"-",0)</f>
        <v>-1</v>
      </c>
      <c r="J27" s="213">
        <f>+_xlfn.XLOOKUP($C27,Aux!$W:$W,Aux!U:U,"-",0)</f>
        <v>4</v>
      </c>
      <c r="K27" s="197">
        <f>+_xlfn.XLOOKUP($C27,Aux!$W:$W,Aux!V:V,"-",0)</f>
        <v>5</v>
      </c>
    </row>
    <row r="28" spans="1:11" x14ac:dyDescent="0.2">
      <c r="A28" s="408">
        <v>27</v>
      </c>
      <c r="B28" s="394" t="s">
        <v>297</v>
      </c>
      <c r="C28" s="212">
        <f>+LARGE(Aux!$W$4:$W$51,A28)</f>
        <v>103.98020000025001</v>
      </c>
      <c r="D28" s="210" t="str">
        <f>+_xlfn.XLOOKUP($C28,Aux!$W:$W,Aux!H:H,"-",0)</f>
        <v>Paraguay</v>
      </c>
      <c r="E28" s="213">
        <f t="shared" si="0"/>
        <v>4</v>
      </c>
      <c r="F28" s="213">
        <f>+_xlfn.XLOOKUP($C28,Aux!$W:$W,Aux!Q:Q,"-",0)</f>
        <v>1</v>
      </c>
      <c r="G28" s="213">
        <f>+_xlfn.XLOOKUP($C28,Aux!$W:$W,Aux!R:R,"-",0)</f>
        <v>1</v>
      </c>
      <c r="H28" s="213">
        <f>+_xlfn.XLOOKUP($C28,Aux!$W:$W,Aux!S:S,"-",0)</f>
        <v>2</v>
      </c>
      <c r="I28" s="213">
        <f>+_xlfn.XLOOKUP($C28,Aux!$W:$W,Aux!T:T,"-",0)</f>
        <v>-2</v>
      </c>
      <c r="J28" s="213">
        <f>+_xlfn.XLOOKUP($C28,Aux!$W:$W,Aux!U:U,"-",0)</f>
        <v>2</v>
      </c>
      <c r="K28" s="197">
        <f>+_xlfn.XLOOKUP($C28,Aux!$W:$W,Aux!V:V,"-",0)</f>
        <v>4</v>
      </c>
    </row>
    <row r="29" spans="1:11" x14ac:dyDescent="0.2">
      <c r="A29" s="408">
        <v>28</v>
      </c>
      <c r="B29" s="394" t="s">
        <v>297</v>
      </c>
      <c r="C29" s="212">
        <f>+LARGE(Aux!$W$4:$W$51,A29)</f>
        <v>103.96020000047619</v>
      </c>
      <c r="D29" s="210" t="str">
        <f>+_xlfn.XLOOKUP($C29,Aux!$W:$W,Aux!H:H,"-",0)</f>
        <v>Iran</v>
      </c>
      <c r="E29" s="213">
        <f t="shared" si="0"/>
        <v>4</v>
      </c>
      <c r="F29" s="213">
        <f>+_xlfn.XLOOKUP($C29,Aux!$W:$W,Aux!Q:Q,"-",0)</f>
        <v>1</v>
      </c>
      <c r="G29" s="213">
        <f>+_xlfn.XLOOKUP($C29,Aux!$W:$W,Aux!R:R,"-",0)</f>
        <v>1</v>
      </c>
      <c r="H29" s="213">
        <f>+_xlfn.XLOOKUP($C29,Aux!$W:$W,Aux!S:S,"-",0)</f>
        <v>2</v>
      </c>
      <c r="I29" s="213">
        <f>+_xlfn.XLOOKUP($C29,Aux!$W:$W,Aux!T:T,"-",0)</f>
        <v>-4</v>
      </c>
      <c r="J29" s="213">
        <f>+_xlfn.XLOOKUP($C29,Aux!$W:$W,Aux!U:U,"-",0)</f>
        <v>2</v>
      </c>
      <c r="K29" s="197">
        <f>+_xlfn.XLOOKUP($C29,Aux!$W:$W,Aux!V:V,"-",0)</f>
        <v>6</v>
      </c>
    </row>
    <row r="30" spans="1:11" x14ac:dyDescent="0.2">
      <c r="A30" s="408">
        <v>29</v>
      </c>
      <c r="B30" s="394" t="s">
        <v>297</v>
      </c>
      <c r="C30" s="212">
        <f>+LARGE(Aux!$W$4:$W$51,A30)</f>
        <v>102.98040000055556</v>
      </c>
      <c r="D30" s="210" t="str">
        <f>+_xlfn.XLOOKUP($C30,Aux!$W:$W,Aux!H:H,"-",0)</f>
        <v>Japon</v>
      </c>
      <c r="E30" s="213">
        <f t="shared" si="0"/>
        <v>3</v>
      </c>
      <c r="F30" s="213">
        <f>+_xlfn.XLOOKUP($C30,Aux!$W:$W,Aux!Q:Q,"-",0)</f>
        <v>1</v>
      </c>
      <c r="G30" s="213">
        <f>+_xlfn.XLOOKUP($C30,Aux!$W:$W,Aux!R:R,"-",0)</f>
        <v>0</v>
      </c>
      <c r="H30" s="213">
        <f>+_xlfn.XLOOKUP($C30,Aux!$W:$W,Aux!S:S,"-",0)</f>
        <v>3</v>
      </c>
      <c r="I30" s="213">
        <f>+_xlfn.XLOOKUP($C30,Aux!$W:$W,Aux!T:T,"-",0)</f>
        <v>-2</v>
      </c>
      <c r="J30" s="213">
        <f>+_xlfn.XLOOKUP($C30,Aux!$W:$W,Aux!U:U,"-",0)</f>
        <v>4</v>
      </c>
      <c r="K30" s="197">
        <f>+_xlfn.XLOOKUP($C30,Aux!$W:$W,Aux!V:V,"-",0)</f>
        <v>6</v>
      </c>
    </row>
    <row r="31" spans="1:11" x14ac:dyDescent="0.2">
      <c r="A31" s="408">
        <v>30</v>
      </c>
      <c r="B31" s="394" t="s">
        <v>297</v>
      </c>
      <c r="C31" s="212">
        <f>+LARGE(Aux!$W$4:$W$51,A31)</f>
        <v>102.98040000029413</v>
      </c>
      <c r="D31" s="210" t="str">
        <f>+_xlfn.XLOOKUP($C31,Aux!$W:$W,Aux!H:H,"-",0)</f>
        <v>Costa de Marfil</v>
      </c>
      <c r="E31" s="213">
        <f t="shared" si="0"/>
        <v>3</v>
      </c>
      <c r="F31" s="213">
        <f>+_xlfn.XLOOKUP($C31,Aux!$W:$W,Aux!Q:Q,"-",0)</f>
        <v>1</v>
      </c>
      <c r="G31" s="213">
        <f>+_xlfn.XLOOKUP($C31,Aux!$W:$W,Aux!R:R,"-",0)</f>
        <v>0</v>
      </c>
      <c r="H31" s="213">
        <f>+_xlfn.XLOOKUP($C31,Aux!$W:$W,Aux!S:S,"-",0)</f>
        <v>3</v>
      </c>
      <c r="I31" s="213">
        <f>+_xlfn.XLOOKUP($C31,Aux!$W:$W,Aux!T:T,"-",0)</f>
        <v>-2</v>
      </c>
      <c r="J31" s="213">
        <f>+_xlfn.XLOOKUP($C31,Aux!$W:$W,Aux!U:U,"-",0)</f>
        <v>4</v>
      </c>
      <c r="K31" s="197">
        <f>+_xlfn.XLOOKUP($C31,Aux!$W:$W,Aux!V:V,"-",0)</f>
        <v>6</v>
      </c>
    </row>
    <row r="32" spans="1:11" x14ac:dyDescent="0.2">
      <c r="A32" s="408">
        <v>31</v>
      </c>
      <c r="B32" s="394" t="s">
        <v>297</v>
      </c>
      <c r="C32" s="212">
        <f>+LARGE(Aux!$W$4:$W$51,A32)</f>
        <v>102.97040000013513</v>
      </c>
      <c r="D32" s="210" t="str">
        <f>+_xlfn.XLOOKUP($C32,Aux!$W:$W,Aux!H:H,"-",0)</f>
        <v>Ghana</v>
      </c>
      <c r="E32" s="213">
        <f t="shared" si="0"/>
        <v>3</v>
      </c>
      <c r="F32" s="213">
        <f>+_xlfn.XLOOKUP($C32,Aux!$W:$W,Aux!Q:Q,"-",0)</f>
        <v>1</v>
      </c>
      <c r="G32" s="213">
        <f>+_xlfn.XLOOKUP($C32,Aux!$W:$W,Aux!R:R,"-",0)</f>
        <v>0</v>
      </c>
      <c r="H32" s="213">
        <f>+_xlfn.XLOOKUP($C32,Aux!$W:$W,Aux!S:S,"-",0)</f>
        <v>3</v>
      </c>
      <c r="I32" s="213">
        <f>+_xlfn.XLOOKUP($C32,Aux!$W:$W,Aux!T:T,"-",0)</f>
        <v>-3</v>
      </c>
      <c r="J32" s="213">
        <f>+_xlfn.XLOOKUP($C32,Aux!$W:$W,Aux!U:U,"-",0)</f>
        <v>4</v>
      </c>
      <c r="K32" s="197">
        <f>+_xlfn.XLOOKUP($C32,Aux!$W:$W,Aux!V:V,"-",0)</f>
        <v>7</v>
      </c>
    </row>
    <row r="33" spans="1:11" x14ac:dyDescent="0.2">
      <c r="A33" s="409">
        <v>32</v>
      </c>
      <c r="B33" s="395" t="s">
        <v>297</v>
      </c>
      <c r="C33" s="215">
        <f>+LARGE(Aux!$W$4:$W$51,A33)</f>
        <v>102.96030000035714</v>
      </c>
      <c r="D33" s="214" t="str">
        <f>+_xlfn.XLOOKUP($C33,Aux!$W:$W,Aux!H:H,"-",0)</f>
        <v>Argelia</v>
      </c>
      <c r="E33" s="216">
        <f t="shared" si="0"/>
        <v>3</v>
      </c>
      <c r="F33" s="216">
        <f>+_xlfn.XLOOKUP($C33,Aux!$W:$W,Aux!Q:Q,"-",0)</f>
        <v>1</v>
      </c>
      <c r="G33" s="216">
        <f>+_xlfn.XLOOKUP($C33,Aux!$W:$W,Aux!R:R,"-",0)</f>
        <v>0</v>
      </c>
      <c r="H33" s="216">
        <f>+_xlfn.XLOOKUP($C33,Aux!$W:$W,Aux!S:S,"-",0)</f>
        <v>3</v>
      </c>
      <c r="I33" s="216">
        <f>+_xlfn.XLOOKUP($C33,Aux!$W:$W,Aux!T:T,"-",0)</f>
        <v>-4</v>
      </c>
      <c r="J33" s="216">
        <f>+_xlfn.XLOOKUP($C33,Aux!$W:$W,Aux!U:U,"-",0)</f>
        <v>3</v>
      </c>
      <c r="K33" s="217">
        <f>+_xlfn.XLOOKUP($C33,Aux!$W:$W,Aux!V:V,"-",0)</f>
        <v>7</v>
      </c>
    </row>
    <row r="34" spans="1:11" x14ac:dyDescent="0.2">
      <c r="A34" s="410">
        <v>33</v>
      </c>
      <c r="B34" s="396" t="s">
        <v>298</v>
      </c>
      <c r="C34" s="219">
        <f>+LARGE(Aux!$W$4:$W$51,A34)</f>
        <v>2.9802000002325579</v>
      </c>
      <c r="D34" s="218" t="str">
        <f>+_xlfn.XLOOKUP($C34,Aux!$W:$W,Aux!H:H,"-",0)</f>
        <v>Escocia</v>
      </c>
      <c r="E34" s="220">
        <f t="shared" si="0"/>
        <v>3</v>
      </c>
      <c r="F34" s="220">
        <f>+_xlfn.XLOOKUP($C34,Aux!$W:$W,Aux!Q:Q,"-",0)</f>
        <v>1</v>
      </c>
      <c r="G34" s="220">
        <f>+_xlfn.XLOOKUP($C34,Aux!$W:$W,Aux!R:R,"-",0)</f>
        <v>0</v>
      </c>
      <c r="H34" s="220">
        <f>+_xlfn.XLOOKUP($C34,Aux!$W:$W,Aux!S:S,"-",0)</f>
        <v>2</v>
      </c>
      <c r="I34" s="220">
        <f>+_xlfn.XLOOKUP($C34,Aux!$W:$W,Aux!T:T,"-",0)</f>
        <v>-2</v>
      </c>
      <c r="J34" s="220">
        <f>+_xlfn.XLOOKUP($C34,Aux!$W:$W,Aux!U:U,"-",0)</f>
        <v>2</v>
      </c>
      <c r="K34" s="221">
        <f>+_xlfn.XLOOKUP($C34,Aux!$W:$W,Aux!V:V,"-",0)</f>
        <v>4</v>
      </c>
    </row>
    <row r="35" spans="1:11" x14ac:dyDescent="0.2">
      <c r="A35" s="410">
        <v>34</v>
      </c>
      <c r="B35" s="396" t="s">
        <v>298</v>
      </c>
      <c r="C35" s="219">
        <f>+LARGE(Aux!$W$4:$W$51,A35)</f>
        <v>2.9601000001449278</v>
      </c>
      <c r="D35" s="218" t="str">
        <f>+_xlfn.XLOOKUP($C35,Aux!$W:$W,Aux!H:H,"-",0)</f>
        <v>Cabo Verde</v>
      </c>
      <c r="E35" s="220">
        <f t="shared" si="0"/>
        <v>3</v>
      </c>
      <c r="F35" s="220">
        <f>+_xlfn.XLOOKUP($C35,Aux!$W:$W,Aux!Q:Q,"-",0)</f>
        <v>1</v>
      </c>
      <c r="G35" s="220">
        <f>+_xlfn.XLOOKUP($C35,Aux!$W:$W,Aux!R:R,"-",0)</f>
        <v>0</v>
      </c>
      <c r="H35" s="220">
        <f>+_xlfn.XLOOKUP($C35,Aux!$W:$W,Aux!S:S,"-",0)</f>
        <v>2</v>
      </c>
      <c r="I35" s="220">
        <f>+_xlfn.XLOOKUP($C35,Aux!$W:$W,Aux!T:T,"-",0)</f>
        <v>-4</v>
      </c>
      <c r="J35" s="220">
        <f>+_xlfn.XLOOKUP($C35,Aux!$W:$W,Aux!U:U,"-",0)</f>
        <v>1</v>
      </c>
      <c r="K35" s="221">
        <f>+_xlfn.XLOOKUP($C35,Aux!$W:$W,Aux!V:V,"-",0)</f>
        <v>5</v>
      </c>
    </row>
    <row r="36" spans="1:11" x14ac:dyDescent="0.2">
      <c r="A36" s="410">
        <v>35</v>
      </c>
      <c r="B36" s="396" t="s">
        <v>298</v>
      </c>
      <c r="C36" s="219">
        <f>+LARGE(Aux!$W$4:$W$51,A36)</f>
        <v>0.96010000015384611</v>
      </c>
      <c r="D36" s="218" t="str">
        <f>+_xlfn.XLOOKUP($C36,Aux!$W:$W,Aux!H:H,"-",0)</f>
        <v>Bosnia</v>
      </c>
      <c r="E36" s="220">
        <f t="shared" si="0"/>
        <v>1</v>
      </c>
      <c r="F36" s="220">
        <f>+_xlfn.XLOOKUP($C36,Aux!$W:$W,Aux!Q:Q,"-",0)</f>
        <v>0</v>
      </c>
      <c r="G36" s="220">
        <f>+_xlfn.XLOOKUP($C36,Aux!$W:$W,Aux!R:R,"-",0)</f>
        <v>1</v>
      </c>
      <c r="H36" s="220">
        <f>+_xlfn.XLOOKUP($C36,Aux!$W:$W,Aux!S:S,"-",0)</f>
        <v>2</v>
      </c>
      <c r="I36" s="220">
        <f>+_xlfn.XLOOKUP($C36,Aux!$W:$W,Aux!T:T,"-",0)</f>
        <v>-4</v>
      </c>
      <c r="J36" s="220">
        <f>+_xlfn.XLOOKUP($C36,Aux!$W:$W,Aux!U:U,"-",0)</f>
        <v>1</v>
      </c>
      <c r="K36" s="221">
        <f>+_xlfn.XLOOKUP($C36,Aux!$W:$W,Aux!V:V,"-",0)</f>
        <v>5</v>
      </c>
    </row>
    <row r="37" spans="1:11" x14ac:dyDescent="0.2">
      <c r="A37" s="410">
        <v>36</v>
      </c>
      <c r="B37" s="396" t="s">
        <v>298</v>
      </c>
      <c r="C37" s="219">
        <f>+LARGE(Aux!$W$4:$W$51,A37)</f>
        <v>0.95010000021739127</v>
      </c>
      <c r="D37" s="218" t="str">
        <f>+_xlfn.XLOOKUP($C37,Aux!$W:$W,Aux!H:H,"-",0)</f>
        <v>Congo</v>
      </c>
      <c r="E37" s="220">
        <f t="shared" si="0"/>
        <v>1</v>
      </c>
      <c r="F37" s="220">
        <f>+_xlfn.XLOOKUP($C37,Aux!$W:$W,Aux!Q:Q,"-",0)</f>
        <v>0</v>
      </c>
      <c r="G37" s="220">
        <f>+_xlfn.XLOOKUP($C37,Aux!$W:$W,Aux!R:R,"-",0)</f>
        <v>1</v>
      </c>
      <c r="H37" s="220">
        <f>+_xlfn.XLOOKUP($C37,Aux!$W:$W,Aux!S:S,"-",0)</f>
        <v>2</v>
      </c>
      <c r="I37" s="220">
        <f>+_xlfn.XLOOKUP($C37,Aux!$W:$W,Aux!T:T,"-",0)</f>
        <v>-5</v>
      </c>
      <c r="J37" s="220">
        <f>+_xlfn.XLOOKUP($C37,Aux!$W:$W,Aux!U:U,"-",0)</f>
        <v>1</v>
      </c>
      <c r="K37" s="221">
        <f>+_xlfn.XLOOKUP($C37,Aux!$W:$W,Aux!V:V,"-",0)</f>
        <v>6</v>
      </c>
    </row>
    <row r="38" spans="1:11" x14ac:dyDescent="0.2">
      <c r="A38" s="410">
        <v>37</v>
      </c>
      <c r="B38" s="396" t="s">
        <v>298</v>
      </c>
      <c r="C38" s="219">
        <f>+LARGE(Aux!$W$4:$W$51,A38)</f>
        <v>0.95010000018181817</v>
      </c>
      <c r="D38" s="218" t="str">
        <f>+_xlfn.XLOOKUP($C38,Aux!$W:$W,Aux!H:H,"-",0)</f>
        <v>Qatar</v>
      </c>
      <c r="E38" s="220">
        <f t="shared" si="0"/>
        <v>1</v>
      </c>
      <c r="F38" s="220">
        <f>+_xlfn.XLOOKUP($C38,Aux!$W:$W,Aux!Q:Q,"-",0)</f>
        <v>0</v>
      </c>
      <c r="G38" s="220">
        <f>+_xlfn.XLOOKUP($C38,Aux!$W:$W,Aux!R:R,"-",0)</f>
        <v>1</v>
      </c>
      <c r="H38" s="220">
        <f>+_xlfn.XLOOKUP($C38,Aux!$W:$W,Aux!S:S,"-",0)</f>
        <v>2</v>
      </c>
      <c r="I38" s="220">
        <f>+_xlfn.XLOOKUP($C38,Aux!$W:$W,Aux!T:T,"-",0)</f>
        <v>-5</v>
      </c>
      <c r="J38" s="220">
        <f>+_xlfn.XLOOKUP($C38,Aux!$W:$W,Aux!U:U,"-",0)</f>
        <v>1</v>
      </c>
      <c r="K38" s="221">
        <f>+_xlfn.XLOOKUP($C38,Aux!$W:$W,Aux!V:V,"-",0)</f>
        <v>6</v>
      </c>
    </row>
    <row r="39" spans="1:11" x14ac:dyDescent="0.2">
      <c r="A39" s="410">
        <v>38</v>
      </c>
      <c r="B39" s="396" t="s">
        <v>298</v>
      </c>
      <c r="C39" s="219">
        <f>+LARGE(Aux!$W$4:$W$51,A39)</f>
        <v>0.94010000019999995</v>
      </c>
      <c r="D39" s="218" t="str">
        <f>+_xlfn.XLOOKUP($C39,Aux!$W:$W,Aux!H:H,"-",0)</f>
        <v>Uzbekistan</v>
      </c>
      <c r="E39" s="220">
        <f t="shared" si="0"/>
        <v>1</v>
      </c>
      <c r="F39" s="220">
        <f>+_xlfn.XLOOKUP($C39,Aux!$W:$W,Aux!Q:Q,"-",0)</f>
        <v>0</v>
      </c>
      <c r="G39" s="220">
        <f>+_xlfn.XLOOKUP($C39,Aux!$W:$W,Aux!R:R,"-",0)</f>
        <v>1</v>
      </c>
      <c r="H39" s="220">
        <f>+_xlfn.XLOOKUP($C39,Aux!$W:$W,Aux!S:S,"-",0)</f>
        <v>2</v>
      </c>
      <c r="I39" s="220">
        <f>+_xlfn.XLOOKUP($C39,Aux!$W:$W,Aux!T:T,"-",0)</f>
        <v>-6</v>
      </c>
      <c r="J39" s="220">
        <f>+_xlfn.XLOOKUP($C39,Aux!$W:$W,Aux!U:U,"-",0)</f>
        <v>1</v>
      </c>
      <c r="K39" s="221">
        <f>+_xlfn.XLOOKUP($C39,Aux!$W:$W,Aux!V:V,"-",0)</f>
        <v>7</v>
      </c>
    </row>
    <row r="40" spans="1:11" x14ac:dyDescent="0.2">
      <c r="A40" s="410">
        <v>39</v>
      </c>
      <c r="B40" s="396" t="s">
        <v>298</v>
      </c>
      <c r="C40" s="219">
        <f>+LARGE(Aux!$W$4:$W$51,A40)</f>
        <v>-3.9899999629629625E-2</v>
      </c>
      <c r="D40" s="218" t="str">
        <f>+_xlfn.XLOOKUP($C40,Aux!$W:$W,Aux!H:H,"-",0)</f>
        <v>Australia</v>
      </c>
      <c r="E40" s="220">
        <f t="shared" si="0"/>
        <v>0</v>
      </c>
      <c r="F40" s="220">
        <f>+_xlfn.XLOOKUP($C40,Aux!$W:$W,Aux!Q:Q,"-",0)</f>
        <v>0</v>
      </c>
      <c r="G40" s="220">
        <f>+_xlfn.XLOOKUP($C40,Aux!$W:$W,Aux!R:R,"-",0)</f>
        <v>0</v>
      </c>
      <c r="H40" s="220">
        <f>+_xlfn.XLOOKUP($C40,Aux!$W:$W,Aux!S:S,"-",0)</f>
        <v>3</v>
      </c>
      <c r="I40" s="220">
        <f>+_xlfn.XLOOKUP($C40,Aux!$W:$W,Aux!T:T,"-",0)</f>
        <v>-4</v>
      </c>
      <c r="J40" s="220">
        <f>+_xlfn.XLOOKUP($C40,Aux!$W:$W,Aux!U:U,"-",0)</f>
        <v>1</v>
      </c>
      <c r="K40" s="221">
        <f>+_xlfn.XLOOKUP($C40,Aux!$W:$W,Aux!V:V,"-",0)</f>
        <v>5</v>
      </c>
    </row>
    <row r="41" spans="1:11" x14ac:dyDescent="0.2">
      <c r="A41" s="410">
        <v>40</v>
      </c>
      <c r="B41" s="396" t="s">
        <v>298</v>
      </c>
      <c r="C41" s="219">
        <f>+LARGE(Aux!$W$4:$W$51,A41)</f>
        <v>-4.9899999833333333E-2</v>
      </c>
      <c r="D41" s="218" t="str">
        <f>+_xlfn.XLOOKUP($C41,Aux!$W:$W,Aux!H:H,"-",0)</f>
        <v>Sudafrica</v>
      </c>
      <c r="E41" s="220">
        <f t="shared" si="0"/>
        <v>0</v>
      </c>
      <c r="F41" s="220">
        <f>+_xlfn.XLOOKUP($C41,Aux!$W:$W,Aux!Q:Q,"-",0)</f>
        <v>0</v>
      </c>
      <c r="G41" s="220">
        <f>+_xlfn.XLOOKUP($C41,Aux!$W:$W,Aux!R:R,"-",0)</f>
        <v>0</v>
      </c>
      <c r="H41" s="220">
        <f>+_xlfn.XLOOKUP($C41,Aux!$W:$W,Aux!S:S,"-",0)</f>
        <v>3</v>
      </c>
      <c r="I41" s="220">
        <f>+_xlfn.XLOOKUP($C41,Aux!$W:$W,Aux!T:T,"-",0)</f>
        <v>-5</v>
      </c>
      <c r="J41" s="220">
        <f>+_xlfn.XLOOKUP($C41,Aux!$W:$W,Aux!U:U,"-",0)</f>
        <v>1</v>
      </c>
      <c r="K41" s="221">
        <f>+_xlfn.XLOOKUP($C41,Aux!$W:$W,Aux!V:V,"-",0)</f>
        <v>6</v>
      </c>
    </row>
    <row r="42" spans="1:11" x14ac:dyDescent="0.2">
      <c r="A42" s="410">
        <v>41</v>
      </c>
      <c r="B42" s="396" t="s">
        <v>298</v>
      </c>
      <c r="C42" s="219">
        <f>+LARGE(Aux!$W$4:$W$51,A42)</f>
        <v>-5.9999999772727269E-2</v>
      </c>
      <c r="D42" s="218" t="str">
        <f>+_xlfn.XLOOKUP($C42,Aux!$W:$W,Aux!H:H,"-",0)</f>
        <v>Tunez</v>
      </c>
      <c r="E42" s="220">
        <f t="shared" si="0"/>
        <v>0</v>
      </c>
      <c r="F42" s="220">
        <f>+_xlfn.XLOOKUP($C42,Aux!$W:$W,Aux!Q:Q,"-",0)</f>
        <v>0</v>
      </c>
      <c r="G42" s="220">
        <f>+_xlfn.XLOOKUP($C42,Aux!$W:$W,Aux!R:R,"-",0)</f>
        <v>0</v>
      </c>
      <c r="H42" s="220">
        <f>+_xlfn.XLOOKUP($C42,Aux!$W:$W,Aux!S:S,"-",0)</f>
        <v>3</v>
      </c>
      <c r="I42" s="220">
        <f>+_xlfn.XLOOKUP($C42,Aux!$W:$W,Aux!T:T,"-",0)</f>
        <v>-6</v>
      </c>
      <c r="J42" s="220">
        <f>+_xlfn.XLOOKUP($C42,Aux!$W:$W,Aux!U:U,"-",0)</f>
        <v>0</v>
      </c>
      <c r="K42" s="221">
        <f>+_xlfn.XLOOKUP($C42,Aux!$W:$W,Aux!V:V,"-",0)</f>
        <v>6</v>
      </c>
    </row>
    <row r="43" spans="1:11" x14ac:dyDescent="0.2">
      <c r="A43" s="410">
        <v>42</v>
      </c>
      <c r="B43" s="396" t="s">
        <v>298</v>
      </c>
      <c r="C43" s="219">
        <f>+LARGE(Aux!$W$4:$W$51,A43)</f>
        <v>-5.9999999836065569E-2</v>
      </c>
      <c r="D43" s="218" t="str">
        <f>+_xlfn.XLOOKUP($C43,Aux!$W:$W,Aux!H:H,"-",0)</f>
        <v>Arabia Saudita</v>
      </c>
      <c r="E43" s="220">
        <f t="shared" si="0"/>
        <v>0</v>
      </c>
      <c r="F43" s="220">
        <f>+_xlfn.XLOOKUP($C43,Aux!$W:$W,Aux!Q:Q,"-",0)</f>
        <v>0</v>
      </c>
      <c r="G43" s="220">
        <f>+_xlfn.XLOOKUP($C43,Aux!$W:$W,Aux!R:R,"-",0)</f>
        <v>0</v>
      </c>
      <c r="H43" s="220">
        <f>+_xlfn.XLOOKUP($C43,Aux!$W:$W,Aux!S:S,"-",0)</f>
        <v>3</v>
      </c>
      <c r="I43" s="220">
        <f>+_xlfn.XLOOKUP($C43,Aux!$W:$W,Aux!T:T,"-",0)</f>
        <v>-6</v>
      </c>
      <c r="J43" s="220">
        <f>+_xlfn.XLOOKUP($C43,Aux!$W:$W,Aux!U:U,"-",0)</f>
        <v>0</v>
      </c>
      <c r="K43" s="221">
        <f>+_xlfn.XLOOKUP($C43,Aux!$W:$W,Aux!V:V,"-",0)</f>
        <v>6</v>
      </c>
    </row>
    <row r="44" spans="1:11" x14ac:dyDescent="0.2">
      <c r="A44" s="410">
        <v>43</v>
      </c>
      <c r="B44" s="396" t="s">
        <v>298</v>
      </c>
      <c r="C44" s="219">
        <f>+LARGE(Aux!$W$4:$W$51,A44)</f>
        <v>-6.9999999882352948E-2</v>
      </c>
      <c r="D44" s="218" t="str">
        <f>+_xlfn.XLOOKUP($C44,Aux!$W:$W,Aux!H:H,"-",0)</f>
        <v>Nueva Zelanda</v>
      </c>
      <c r="E44" s="220">
        <f t="shared" si="0"/>
        <v>0</v>
      </c>
      <c r="F44" s="220">
        <f>+_xlfn.XLOOKUP($C44,Aux!$W:$W,Aux!Q:Q,"-",0)</f>
        <v>0</v>
      </c>
      <c r="G44" s="220">
        <f>+_xlfn.XLOOKUP($C44,Aux!$W:$W,Aux!R:R,"-",0)</f>
        <v>0</v>
      </c>
      <c r="H44" s="220">
        <f>+_xlfn.XLOOKUP($C44,Aux!$W:$W,Aux!S:S,"-",0)</f>
        <v>3</v>
      </c>
      <c r="I44" s="220">
        <f>+_xlfn.XLOOKUP($C44,Aux!$W:$W,Aux!T:T,"-",0)</f>
        <v>-7</v>
      </c>
      <c r="J44" s="220">
        <f>+_xlfn.XLOOKUP($C44,Aux!$W:$W,Aux!U:U,"-",0)</f>
        <v>0</v>
      </c>
      <c r="K44" s="221">
        <f>+_xlfn.XLOOKUP($C44,Aux!$W:$W,Aux!V:V,"-",0)</f>
        <v>7</v>
      </c>
    </row>
    <row r="45" spans="1:11" x14ac:dyDescent="0.2">
      <c r="A45" s="410">
        <v>44</v>
      </c>
      <c r="B45" s="396" t="s">
        <v>298</v>
      </c>
      <c r="C45" s="219">
        <f>+LARGE(Aux!$W$4:$W$51,A45)</f>
        <v>-7.9999999841269848E-2</v>
      </c>
      <c r="D45" s="218" t="str">
        <f>+_xlfn.XLOOKUP($C45,Aux!$W:$W,Aux!H:H,"-",0)</f>
        <v>Jordania</v>
      </c>
      <c r="E45" s="220">
        <f t="shared" si="0"/>
        <v>0</v>
      </c>
      <c r="F45" s="220">
        <f>+_xlfn.XLOOKUP($C45,Aux!$W:$W,Aux!Q:Q,"-",0)</f>
        <v>0</v>
      </c>
      <c r="G45" s="220">
        <f>+_xlfn.XLOOKUP($C45,Aux!$W:$W,Aux!R:R,"-",0)</f>
        <v>0</v>
      </c>
      <c r="H45" s="220">
        <f>+_xlfn.XLOOKUP($C45,Aux!$W:$W,Aux!S:S,"-",0)</f>
        <v>3</v>
      </c>
      <c r="I45" s="220">
        <f>+_xlfn.XLOOKUP($C45,Aux!$W:$W,Aux!T:T,"-",0)</f>
        <v>-8</v>
      </c>
      <c r="J45" s="220">
        <f>+_xlfn.XLOOKUP($C45,Aux!$W:$W,Aux!U:U,"-",0)</f>
        <v>0</v>
      </c>
      <c r="K45" s="221">
        <f>+_xlfn.XLOOKUP($C45,Aux!$W:$W,Aux!V:V,"-",0)</f>
        <v>8</v>
      </c>
    </row>
    <row r="46" spans="1:11" x14ac:dyDescent="0.2">
      <c r="A46" s="410">
        <v>45</v>
      </c>
      <c r="B46" s="396" t="s">
        <v>298</v>
      </c>
      <c r="C46" s="219">
        <f>+LARGE(Aux!$W$4:$W$51,A46)</f>
        <v>-7.9999999879518072E-2</v>
      </c>
      <c r="D46" s="218" t="str">
        <f>+_xlfn.XLOOKUP($C46,Aux!$W:$W,Aux!H:H,"-",0)</f>
        <v>Haiti</v>
      </c>
      <c r="E46" s="220">
        <f t="shared" si="0"/>
        <v>0</v>
      </c>
      <c r="F46" s="220">
        <f>+_xlfn.XLOOKUP($C46,Aux!$W:$W,Aux!Q:Q,"-",0)</f>
        <v>0</v>
      </c>
      <c r="G46" s="220">
        <f>+_xlfn.XLOOKUP($C46,Aux!$W:$W,Aux!R:R,"-",0)</f>
        <v>0</v>
      </c>
      <c r="H46" s="220">
        <f>+_xlfn.XLOOKUP($C46,Aux!$W:$W,Aux!S:S,"-",0)</f>
        <v>3</v>
      </c>
      <c r="I46" s="220">
        <f>+_xlfn.XLOOKUP($C46,Aux!$W:$W,Aux!T:T,"-",0)</f>
        <v>-8</v>
      </c>
      <c r="J46" s="220">
        <f>+_xlfn.XLOOKUP($C46,Aux!$W:$W,Aux!U:U,"-",0)</f>
        <v>0</v>
      </c>
      <c r="K46" s="221">
        <f>+_xlfn.XLOOKUP($C46,Aux!$W:$W,Aux!V:V,"-",0)</f>
        <v>8</v>
      </c>
    </row>
    <row r="47" spans="1:11" x14ac:dyDescent="0.2">
      <c r="A47" s="410">
        <v>46</v>
      </c>
      <c r="B47" s="396" t="s">
        <v>298</v>
      </c>
      <c r="C47" s="219">
        <f>+LARGE(Aux!$W$4:$W$51,A47)</f>
        <v>-8.9999999696969687E-2</v>
      </c>
      <c r="D47" s="218" t="str">
        <f>+_xlfn.XLOOKUP($C47,Aux!$W:$W,Aux!H:H,"-",0)</f>
        <v>Panama</v>
      </c>
      <c r="E47" s="220">
        <f t="shared" si="0"/>
        <v>0</v>
      </c>
      <c r="F47" s="220">
        <f>+_xlfn.XLOOKUP($C47,Aux!$W:$W,Aux!Q:Q,"-",0)</f>
        <v>0</v>
      </c>
      <c r="G47" s="220">
        <f>+_xlfn.XLOOKUP($C47,Aux!$W:$W,Aux!R:R,"-",0)</f>
        <v>0</v>
      </c>
      <c r="H47" s="220">
        <f>+_xlfn.XLOOKUP($C47,Aux!$W:$W,Aux!S:S,"-",0)</f>
        <v>3</v>
      </c>
      <c r="I47" s="220">
        <f>+_xlfn.XLOOKUP($C47,Aux!$W:$W,Aux!T:T,"-",0)</f>
        <v>-9</v>
      </c>
      <c r="J47" s="220">
        <f>+_xlfn.XLOOKUP($C47,Aux!$W:$W,Aux!U:U,"-",0)</f>
        <v>0</v>
      </c>
      <c r="K47" s="221">
        <f>+_xlfn.XLOOKUP($C47,Aux!$W:$W,Aux!V:V,"-",0)</f>
        <v>9</v>
      </c>
    </row>
    <row r="48" spans="1:11" x14ac:dyDescent="0.2">
      <c r="A48" s="410">
        <v>47</v>
      </c>
      <c r="B48" s="396" t="s">
        <v>298</v>
      </c>
      <c r="C48" s="219">
        <f>+LARGE(Aux!$W$4:$W$51,A48)</f>
        <v>-8.9999999824561402E-2</v>
      </c>
      <c r="D48" s="218" t="str">
        <f>+_xlfn.XLOOKUP($C48,Aux!$W:$W,Aux!H:H,"-",0)</f>
        <v>Irak</v>
      </c>
      <c r="E48" s="220">
        <f t="shared" si="0"/>
        <v>0</v>
      </c>
      <c r="F48" s="220">
        <f>+_xlfn.XLOOKUP($C48,Aux!$W:$W,Aux!Q:Q,"-",0)</f>
        <v>0</v>
      </c>
      <c r="G48" s="220">
        <f>+_xlfn.XLOOKUP($C48,Aux!$W:$W,Aux!R:R,"-",0)</f>
        <v>0</v>
      </c>
      <c r="H48" s="220">
        <f>+_xlfn.XLOOKUP($C48,Aux!$W:$W,Aux!S:S,"-",0)</f>
        <v>3</v>
      </c>
      <c r="I48" s="220">
        <f>+_xlfn.XLOOKUP($C48,Aux!$W:$W,Aux!T:T,"-",0)</f>
        <v>-9</v>
      </c>
      <c r="J48" s="220">
        <f>+_xlfn.XLOOKUP($C48,Aux!$W:$W,Aux!U:U,"-",0)</f>
        <v>0</v>
      </c>
      <c r="K48" s="221">
        <f>+_xlfn.XLOOKUP($C48,Aux!$W:$W,Aux!V:V,"-",0)</f>
        <v>9</v>
      </c>
    </row>
    <row r="49" spans="1:11" x14ac:dyDescent="0.2">
      <c r="A49" s="411">
        <v>48</v>
      </c>
      <c r="B49" s="397" t="s">
        <v>298</v>
      </c>
      <c r="C49" s="223">
        <f>+LARGE(Aux!$W$4:$W$51,A49)</f>
        <v>-8.9999999878048784E-2</v>
      </c>
      <c r="D49" s="222" t="str">
        <f>+_xlfn.XLOOKUP($C49,Aux!$W:$W,Aux!H:H,"-",0)</f>
        <v>Curazao</v>
      </c>
      <c r="E49" s="224">
        <f t="shared" si="0"/>
        <v>0</v>
      </c>
      <c r="F49" s="224">
        <f>+_xlfn.XLOOKUP($C49,Aux!$W:$W,Aux!Q:Q,"-",0)</f>
        <v>0</v>
      </c>
      <c r="G49" s="224">
        <f>+_xlfn.XLOOKUP($C49,Aux!$W:$W,Aux!R:R,"-",0)</f>
        <v>0</v>
      </c>
      <c r="H49" s="224">
        <f>+_xlfn.XLOOKUP($C49,Aux!$W:$W,Aux!S:S,"-",0)</f>
        <v>3</v>
      </c>
      <c r="I49" s="224">
        <f>+_xlfn.XLOOKUP($C49,Aux!$W:$W,Aux!T:T,"-",0)</f>
        <v>-9</v>
      </c>
      <c r="J49" s="224">
        <f>+_xlfn.XLOOKUP($C49,Aux!$W:$W,Aux!U:U,"-",0)</f>
        <v>0</v>
      </c>
      <c r="K49" s="225">
        <f>+_xlfn.XLOOKUP($C49,Aux!$W:$W,Aux!V:V,"-",0)</f>
        <v>9</v>
      </c>
    </row>
    <row r="50" spans="1:11" x14ac:dyDescent="0.2">
      <c r="A50" s="398"/>
      <c r="B50" s="389"/>
      <c r="C50" s="163"/>
      <c r="D50" s="164"/>
      <c r="E50" s="163"/>
      <c r="F50" s="163"/>
      <c r="G50" s="163"/>
      <c r="H50" s="163"/>
      <c r="I50" s="163"/>
      <c r="J50" s="163"/>
      <c r="K50" s="165"/>
    </row>
    <row r="51" spans="1:11" x14ac:dyDescent="0.2">
      <c r="A51" s="398"/>
      <c r="B51" s="389"/>
      <c r="C51" s="163"/>
      <c r="D51" s="164"/>
      <c r="E51" s="163"/>
      <c r="F51" s="163"/>
      <c r="G51" s="163"/>
      <c r="H51" s="163"/>
      <c r="I51" s="163"/>
      <c r="J51" s="163"/>
      <c r="K51" s="165"/>
    </row>
    <row r="52" spans="1:11" x14ac:dyDescent="0.2">
      <c r="A52" s="398"/>
      <c r="B52" s="389"/>
      <c r="C52" s="163"/>
      <c r="D52" s="164"/>
      <c r="E52" s="163"/>
      <c r="F52" s="163"/>
      <c r="G52" s="163"/>
      <c r="H52" s="163"/>
      <c r="I52" s="163"/>
      <c r="J52" s="163"/>
      <c r="K52" s="165"/>
    </row>
    <row r="53" spans="1:11" x14ac:dyDescent="0.2">
      <c r="A53" s="398"/>
      <c r="B53" s="389"/>
      <c r="C53" s="163"/>
      <c r="D53" s="164"/>
      <c r="E53" s="163"/>
      <c r="F53" s="163"/>
      <c r="G53" s="163"/>
      <c r="H53" s="163"/>
      <c r="I53" s="163"/>
      <c r="J53" s="163"/>
      <c r="K53" s="165"/>
    </row>
    <row r="54" spans="1:11" x14ac:dyDescent="0.2">
      <c r="A54" s="398"/>
      <c r="B54" s="389"/>
      <c r="C54" s="163"/>
      <c r="D54" s="164"/>
      <c r="E54" s="163"/>
      <c r="F54" s="163"/>
      <c r="G54" s="163"/>
      <c r="H54" s="163"/>
      <c r="I54" s="163"/>
      <c r="J54" s="163"/>
      <c r="K54" s="165"/>
    </row>
    <row r="55" spans="1:11" x14ac:dyDescent="0.2">
      <c r="A55" s="398"/>
      <c r="B55" s="389"/>
      <c r="C55" s="163"/>
      <c r="D55" s="164"/>
      <c r="E55" s="163"/>
      <c r="F55" s="163"/>
      <c r="G55" s="163"/>
      <c r="H55" s="163"/>
      <c r="I55" s="163"/>
      <c r="J55" s="163"/>
      <c r="K55" s="165"/>
    </row>
    <row r="56" spans="1:11" x14ac:dyDescent="0.2">
      <c r="A56" s="398"/>
      <c r="B56" s="389"/>
      <c r="C56" s="163"/>
      <c r="D56" s="164"/>
      <c r="E56" s="163"/>
      <c r="F56" s="163"/>
      <c r="G56" s="163"/>
      <c r="H56" s="163"/>
      <c r="I56" s="163"/>
      <c r="J56" s="163"/>
      <c r="K56" s="165"/>
    </row>
    <row r="57" spans="1:11" x14ac:dyDescent="0.2">
      <c r="A57" s="398"/>
      <c r="B57" s="389"/>
      <c r="C57" s="163"/>
      <c r="D57" s="164"/>
      <c r="E57" s="163"/>
      <c r="F57" s="163"/>
      <c r="G57" s="163"/>
      <c r="H57" s="163"/>
      <c r="I57" s="163"/>
      <c r="J57" s="163"/>
      <c r="K57" s="165"/>
    </row>
    <row r="58" spans="1:11" x14ac:dyDescent="0.2">
      <c r="A58" s="398"/>
      <c r="B58" s="389"/>
      <c r="C58" s="163"/>
      <c r="D58" s="164"/>
      <c r="E58" s="163"/>
      <c r="F58" s="163"/>
      <c r="G58" s="163"/>
      <c r="H58" s="163"/>
      <c r="I58" s="163"/>
      <c r="J58" s="163"/>
      <c r="K58" s="165"/>
    </row>
    <row r="59" spans="1:11" x14ac:dyDescent="0.2">
      <c r="A59" s="398"/>
      <c r="B59" s="389"/>
      <c r="C59" s="163"/>
      <c r="D59" s="164"/>
      <c r="E59" s="163"/>
      <c r="F59" s="163"/>
      <c r="G59" s="163"/>
      <c r="H59" s="163"/>
      <c r="I59" s="163"/>
      <c r="J59" s="163"/>
      <c r="K59" s="165"/>
    </row>
    <row r="60" spans="1:11" x14ac:dyDescent="0.2">
      <c r="A60" s="398"/>
      <c r="B60" s="389"/>
      <c r="C60" s="163"/>
      <c r="D60" s="164"/>
      <c r="E60" s="163"/>
      <c r="F60" s="163"/>
      <c r="G60" s="163"/>
      <c r="H60" s="163"/>
      <c r="I60" s="163"/>
      <c r="J60" s="163"/>
      <c r="K60" s="165"/>
    </row>
    <row r="61" spans="1:11" x14ac:dyDescent="0.2">
      <c r="A61" s="398"/>
      <c r="B61" s="389"/>
      <c r="C61" s="163"/>
      <c r="D61" s="164"/>
      <c r="E61" s="163"/>
      <c r="F61" s="163"/>
      <c r="G61" s="163"/>
      <c r="H61" s="163"/>
      <c r="I61" s="163"/>
      <c r="J61" s="163"/>
      <c r="K61" s="165"/>
    </row>
    <row r="62" spans="1:11" x14ac:dyDescent="0.2">
      <c r="A62" s="398"/>
      <c r="B62" s="389"/>
      <c r="C62" s="163"/>
      <c r="D62" s="164"/>
      <c r="E62" s="163"/>
      <c r="F62" s="163"/>
      <c r="G62" s="163"/>
      <c r="H62" s="163"/>
      <c r="I62" s="163"/>
      <c r="J62" s="163"/>
      <c r="K62" s="165"/>
    </row>
    <row r="63" spans="1:11" x14ac:dyDescent="0.2">
      <c r="A63" s="398"/>
      <c r="B63" s="389"/>
      <c r="C63" s="163"/>
      <c r="D63" s="164"/>
      <c r="E63" s="163"/>
      <c r="F63" s="163"/>
      <c r="G63" s="163"/>
      <c r="H63" s="163"/>
      <c r="I63" s="163"/>
      <c r="J63" s="163"/>
      <c r="K63" s="165"/>
    </row>
    <row r="64" spans="1:11" x14ac:dyDescent="0.2">
      <c r="A64" s="398"/>
      <c r="B64" s="389"/>
      <c r="C64" s="163"/>
      <c r="D64" s="164"/>
      <c r="E64" s="163"/>
      <c r="F64" s="163"/>
      <c r="G64" s="163"/>
      <c r="H64" s="163"/>
      <c r="I64" s="163"/>
      <c r="J64" s="163"/>
      <c r="K64" s="165"/>
    </row>
    <row r="65" spans="1:11" x14ac:dyDescent="0.2">
      <c r="A65" s="398"/>
      <c r="B65" s="389"/>
      <c r="C65" s="163"/>
      <c r="D65" s="164"/>
      <c r="E65" s="163"/>
      <c r="F65" s="163"/>
      <c r="G65" s="163"/>
      <c r="H65" s="163"/>
      <c r="I65" s="163"/>
      <c r="J65" s="163"/>
      <c r="K65" s="165"/>
    </row>
    <row r="66" spans="1:11" x14ac:dyDescent="0.2">
      <c r="A66" s="398"/>
      <c r="B66" s="389"/>
      <c r="C66" s="163"/>
      <c r="D66" s="164"/>
      <c r="E66" s="163"/>
      <c r="F66" s="163"/>
      <c r="G66" s="163"/>
      <c r="H66" s="163"/>
      <c r="I66" s="163"/>
      <c r="J66" s="163"/>
      <c r="K66" s="165"/>
    </row>
    <row r="67" spans="1:11" x14ac:dyDescent="0.2">
      <c r="A67" s="398"/>
      <c r="B67" s="389"/>
      <c r="C67" s="163"/>
      <c r="D67" s="164"/>
      <c r="E67" s="163"/>
      <c r="F67" s="163"/>
      <c r="G67" s="163"/>
      <c r="H67" s="163"/>
      <c r="I67" s="163"/>
      <c r="J67" s="163"/>
      <c r="K67" s="165"/>
    </row>
    <row r="68" spans="1:11" x14ac:dyDescent="0.2">
      <c r="A68" s="398"/>
      <c r="B68" s="389"/>
      <c r="C68" s="163"/>
      <c r="D68" s="164"/>
      <c r="E68" s="163"/>
      <c r="F68" s="163"/>
      <c r="G68" s="163"/>
      <c r="H68" s="163"/>
      <c r="I68" s="163"/>
      <c r="J68" s="163"/>
      <c r="K68" s="165"/>
    </row>
    <row r="69" spans="1:11" x14ac:dyDescent="0.2">
      <c r="A69" s="398"/>
      <c r="B69" s="389"/>
      <c r="C69" s="163"/>
      <c r="D69" s="164"/>
      <c r="E69" s="163"/>
      <c r="F69" s="163"/>
      <c r="G69" s="163"/>
      <c r="H69" s="163"/>
      <c r="I69" s="163"/>
      <c r="J69" s="163"/>
      <c r="K69" s="165"/>
    </row>
    <row r="70" spans="1:11" x14ac:dyDescent="0.2">
      <c r="A70" s="398"/>
      <c r="B70" s="389"/>
      <c r="C70" s="163"/>
      <c r="D70" s="164"/>
      <c r="E70" s="163"/>
      <c r="F70" s="163"/>
      <c r="G70" s="163"/>
      <c r="H70" s="163"/>
      <c r="I70" s="163"/>
      <c r="J70" s="163"/>
      <c r="K70" s="165"/>
    </row>
    <row r="71" spans="1:11" x14ac:dyDescent="0.2">
      <c r="A71" s="398"/>
      <c r="B71" s="389"/>
      <c r="C71" s="163"/>
      <c r="D71" s="164"/>
      <c r="E71" s="163"/>
      <c r="F71" s="163"/>
      <c r="G71" s="163"/>
      <c r="H71" s="163"/>
      <c r="I71" s="163"/>
      <c r="J71" s="163"/>
      <c r="K71" s="165"/>
    </row>
    <row r="72" spans="1:11" x14ac:dyDescent="0.2">
      <c r="A72" s="398"/>
      <c r="B72" s="389"/>
      <c r="C72" s="163"/>
      <c r="D72" s="164"/>
      <c r="E72" s="163"/>
      <c r="F72" s="163"/>
      <c r="G72" s="163"/>
      <c r="H72" s="163"/>
      <c r="I72" s="163"/>
      <c r="J72" s="163"/>
      <c r="K72" s="165"/>
    </row>
    <row r="73" spans="1:11" x14ac:dyDescent="0.2">
      <c r="A73" s="398"/>
      <c r="B73" s="389"/>
      <c r="C73" s="163"/>
      <c r="D73" s="164"/>
      <c r="E73" s="163"/>
      <c r="F73" s="163"/>
      <c r="G73" s="163"/>
      <c r="H73" s="163"/>
      <c r="I73" s="163"/>
      <c r="J73" s="163"/>
      <c r="K73" s="165"/>
    </row>
    <row r="74" spans="1:11" x14ac:dyDescent="0.2">
      <c r="A74" s="398"/>
      <c r="B74" s="389"/>
      <c r="C74" s="163"/>
      <c r="D74" s="164"/>
      <c r="E74" s="163"/>
      <c r="F74" s="163"/>
      <c r="G74" s="163"/>
      <c r="H74" s="163"/>
      <c r="I74" s="163"/>
      <c r="J74" s="163"/>
      <c r="K74" s="165"/>
    </row>
    <row r="75" spans="1:11" x14ac:dyDescent="0.2">
      <c r="A75" s="398"/>
      <c r="B75" s="389"/>
      <c r="C75" s="163"/>
      <c r="D75" s="164"/>
      <c r="E75" s="163"/>
      <c r="F75" s="163"/>
      <c r="G75" s="163"/>
      <c r="H75" s="163"/>
      <c r="I75" s="163"/>
      <c r="J75" s="163"/>
      <c r="K75" s="165"/>
    </row>
    <row r="76" spans="1:11" x14ac:dyDescent="0.2">
      <c r="A76" s="398"/>
      <c r="B76" s="389"/>
      <c r="C76" s="163"/>
      <c r="D76" s="164"/>
      <c r="E76" s="163"/>
      <c r="F76" s="163"/>
      <c r="G76" s="163"/>
      <c r="H76" s="163"/>
      <c r="I76" s="163"/>
      <c r="J76" s="163"/>
      <c r="K76" s="165"/>
    </row>
    <row r="77" spans="1:11" x14ac:dyDescent="0.2">
      <c r="A77" s="398"/>
      <c r="B77" s="389"/>
      <c r="C77" s="163"/>
      <c r="D77" s="164"/>
      <c r="E77" s="163"/>
      <c r="F77" s="163"/>
      <c r="G77" s="163"/>
      <c r="H77" s="163"/>
      <c r="I77" s="163"/>
      <c r="J77" s="163"/>
      <c r="K77" s="165"/>
    </row>
    <row r="78" spans="1:11" x14ac:dyDescent="0.2">
      <c r="A78" s="398"/>
      <c r="B78" s="389"/>
      <c r="C78" s="163"/>
      <c r="D78" s="164"/>
      <c r="E78" s="163"/>
      <c r="F78" s="163"/>
      <c r="G78" s="163"/>
      <c r="H78" s="163"/>
      <c r="I78" s="163"/>
      <c r="J78" s="163"/>
      <c r="K78" s="165"/>
    </row>
    <row r="79" spans="1:11" x14ac:dyDescent="0.2">
      <c r="A79" s="398"/>
      <c r="B79" s="389"/>
      <c r="C79" s="163"/>
      <c r="D79" s="164"/>
      <c r="E79" s="163"/>
      <c r="F79" s="163"/>
      <c r="G79" s="163"/>
      <c r="H79" s="163"/>
      <c r="I79" s="163"/>
      <c r="J79" s="163"/>
      <c r="K79" s="165"/>
    </row>
    <row r="80" spans="1:11" x14ac:dyDescent="0.2">
      <c r="A80" s="398"/>
      <c r="B80" s="389"/>
      <c r="C80" s="163"/>
      <c r="D80" s="164"/>
      <c r="E80" s="163"/>
      <c r="F80" s="163"/>
      <c r="G80" s="163"/>
      <c r="H80" s="163"/>
      <c r="I80" s="163"/>
      <c r="J80" s="163"/>
      <c r="K80" s="165"/>
    </row>
    <row r="81" spans="1:11" x14ac:dyDescent="0.2">
      <c r="A81" s="398"/>
      <c r="B81" s="389"/>
      <c r="C81" s="163"/>
      <c r="D81" s="164"/>
      <c r="E81" s="163"/>
      <c r="F81" s="163"/>
      <c r="G81" s="163"/>
      <c r="H81" s="163"/>
      <c r="I81" s="163"/>
      <c r="J81" s="163"/>
      <c r="K81" s="165"/>
    </row>
    <row r="82" spans="1:11" x14ac:dyDescent="0.2">
      <c r="A82" s="398"/>
      <c r="B82" s="389"/>
      <c r="C82" s="163"/>
      <c r="D82" s="164"/>
      <c r="E82" s="163"/>
      <c r="F82" s="163"/>
      <c r="G82" s="163"/>
      <c r="H82" s="163"/>
      <c r="I82" s="163"/>
      <c r="J82" s="163"/>
      <c r="K82" s="165"/>
    </row>
    <row r="83" spans="1:11" x14ac:dyDescent="0.2">
      <c r="A83" s="398"/>
      <c r="B83" s="389"/>
      <c r="C83" s="163"/>
      <c r="D83" s="164"/>
      <c r="E83" s="163"/>
      <c r="F83" s="163"/>
      <c r="G83" s="163"/>
      <c r="H83" s="163"/>
      <c r="I83" s="163"/>
      <c r="J83" s="163"/>
      <c r="K83" s="165"/>
    </row>
    <row r="84" spans="1:11" x14ac:dyDescent="0.2">
      <c r="A84" s="398"/>
      <c r="B84" s="389"/>
      <c r="C84" s="163"/>
      <c r="D84" s="164"/>
      <c r="E84" s="163"/>
      <c r="F84" s="163"/>
      <c r="G84" s="163"/>
      <c r="H84" s="163"/>
      <c r="I84" s="163"/>
      <c r="J84" s="163"/>
      <c r="K84" s="165"/>
    </row>
    <row r="85" spans="1:11" x14ac:dyDescent="0.2">
      <c r="A85" s="398"/>
      <c r="B85" s="389"/>
      <c r="C85" s="163"/>
      <c r="D85" s="164"/>
      <c r="E85" s="163"/>
      <c r="F85" s="163"/>
      <c r="G85" s="163"/>
      <c r="H85" s="163"/>
      <c r="I85" s="163"/>
      <c r="J85" s="163"/>
      <c r="K85" s="165"/>
    </row>
    <row r="86" spans="1:11" x14ac:dyDescent="0.2">
      <c r="A86" s="398"/>
      <c r="B86" s="389"/>
      <c r="C86" s="163"/>
      <c r="D86" s="164"/>
      <c r="E86" s="163"/>
      <c r="F86" s="163"/>
      <c r="G86" s="163"/>
      <c r="H86" s="163"/>
      <c r="I86" s="163"/>
      <c r="J86" s="163"/>
      <c r="K86" s="165"/>
    </row>
    <row r="87" spans="1:11" x14ac:dyDescent="0.2">
      <c r="A87" s="398"/>
      <c r="B87" s="389"/>
      <c r="C87" s="163"/>
      <c r="D87" s="164"/>
      <c r="E87" s="163"/>
      <c r="F87" s="163"/>
      <c r="G87" s="163"/>
      <c r="H87" s="163"/>
      <c r="I87" s="163"/>
      <c r="J87" s="163"/>
      <c r="K87" s="165"/>
    </row>
    <row r="88" spans="1:11" x14ac:dyDescent="0.2">
      <c r="A88" s="398"/>
      <c r="B88" s="389"/>
      <c r="C88" s="163"/>
      <c r="D88" s="164"/>
      <c r="E88" s="163"/>
      <c r="F88" s="163"/>
      <c r="G88" s="163"/>
      <c r="H88" s="163"/>
      <c r="I88" s="163"/>
      <c r="J88" s="163"/>
      <c r="K88" s="165"/>
    </row>
    <row r="89" spans="1:11" x14ac:dyDescent="0.2">
      <c r="A89" s="398"/>
      <c r="B89" s="389"/>
      <c r="C89" s="163"/>
      <c r="D89" s="164"/>
      <c r="E89" s="163"/>
      <c r="F89" s="163"/>
      <c r="G89" s="163"/>
      <c r="H89" s="163"/>
      <c r="I89" s="163"/>
      <c r="J89" s="163"/>
      <c r="K89" s="165"/>
    </row>
    <row r="90" spans="1:11" x14ac:dyDescent="0.2">
      <c r="A90" s="398"/>
      <c r="B90" s="389"/>
      <c r="C90" s="163"/>
      <c r="D90" s="164"/>
      <c r="E90" s="163"/>
      <c r="F90" s="163"/>
      <c r="G90" s="163"/>
      <c r="H90" s="163"/>
      <c r="I90" s="163"/>
      <c r="J90" s="163"/>
      <c r="K90" s="165"/>
    </row>
    <row r="91" spans="1:11" x14ac:dyDescent="0.2">
      <c r="A91" s="398"/>
      <c r="B91" s="389"/>
      <c r="C91" s="163"/>
      <c r="D91" s="164"/>
      <c r="E91" s="163"/>
      <c r="F91" s="163"/>
      <c r="G91" s="163"/>
      <c r="H91" s="163"/>
      <c r="I91" s="163"/>
      <c r="J91" s="163"/>
      <c r="K91" s="165"/>
    </row>
    <row r="92" spans="1:11" x14ac:dyDescent="0.2">
      <c r="A92" s="398"/>
      <c r="B92" s="389"/>
      <c r="C92" s="163"/>
      <c r="D92" s="164"/>
      <c r="E92" s="163"/>
      <c r="F92" s="163"/>
      <c r="G92" s="163"/>
      <c r="H92" s="163"/>
      <c r="I92" s="163"/>
      <c r="J92" s="163"/>
      <c r="K92" s="165"/>
    </row>
    <row r="93" spans="1:11" x14ac:dyDescent="0.2">
      <c r="A93" s="398"/>
      <c r="B93" s="389"/>
      <c r="C93" s="163"/>
      <c r="D93" s="164"/>
      <c r="E93" s="163"/>
      <c r="F93" s="163"/>
      <c r="G93" s="163"/>
      <c r="H93" s="163"/>
      <c r="I93" s="163"/>
      <c r="J93" s="163"/>
      <c r="K93" s="165"/>
    </row>
    <row r="94" spans="1:11" x14ac:dyDescent="0.2">
      <c r="A94" s="398"/>
      <c r="B94" s="389"/>
      <c r="C94" s="163"/>
      <c r="D94" s="164"/>
      <c r="E94" s="163"/>
      <c r="F94" s="163"/>
      <c r="G94" s="163"/>
      <c r="H94" s="163"/>
      <c r="I94" s="163"/>
      <c r="J94" s="163"/>
      <c r="K94" s="165"/>
    </row>
    <row r="95" spans="1:11" x14ac:dyDescent="0.2">
      <c r="A95" s="398"/>
      <c r="B95" s="389"/>
      <c r="C95" s="163"/>
      <c r="D95" s="164"/>
      <c r="E95" s="163"/>
      <c r="F95" s="163"/>
      <c r="G95" s="163"/>
      <c r="H95" s="163"/>
      <c r="I95" s="163"/>
      <c r="J95" s="163"/>
      <c r="K95" s="165"/>
    </row>
    <row r="96" spans="1:11" x14ac:dyDescent="0.2">
      <c r="A96" s="398"/>
      <c r="B96" s="389"/>
      <c r="C96" s="163"/>
      <c r="D96" s="164"/>
      <c r="E96" s="163"/>
      <c r="F96" s="163"/>
      <c r="G96" s="163"/>
      <c r="H96" s="163"/>
      <c r="I96" s="163"/>
      <c r="J96" s="163"/>
      <c r="K96" s="165"/>
    </row>
    <row r="97" spans="1:11" x14ac:dyDescent="0.2">
      <c r="A97" s="398"/>
      <c r="B97" s="389"/>
      <c r="C97" s="163"/>
      <c r="D97" s="164"/>
      <c r="E97" s="163"/>
      <c r="F97" s="163"/>
      <c r="G97" s="163"/>
      <c r="H97" s="163"/>
      <c r="I97" s="163"/>
      <c r="J97" s="163"/>
      <c r="K97" s="165"/>
    </row>
    <row r="98" spans="1:11" x14ac:dyDescent="0.2">
      <c r="A98" s="398"/>
      <c r="B98" s="389"/>
      <c r="C98" s="163"/>
      <c r="D98" s="164"/>
      <c r="E98" s="163"/>
      <c r="F98" s="163"/>
      <c r="G98" s="163"/>
      <c r="H98" s="163"/>
      <c r="I98" s="163"/>
      <c r="J98" s="163"/>
      <c r="K98" s="165"/>
    </row>
    <row r="99" spans="1:11" x14ac:dyDescent="0.2">
      <c r="A99" s="398"/>
      <c r="B99" s="389"/>
      <c r="C99" s="163"/>
      <c r="D99" s="164"/>
      <c r="E99" s="163"/>
      <c r="F99" s="163"/>
      <c r="G99" s="163"/>
      <c r="H99" s="163"/>
      <c r="I99" s="163"/>
      <c r="J99" s="163"/>
      <c r="K99" s="165"/>
    </row>
    <row r="100" spans="1:11" x14ac:dyDescent="0.2">
      <c r="A100" s="398"/>
      <c r="B100" s="389"/>
      <c r="C100" s="163"/>
      <c r="D100" s="164"/>
      <c r="E100" s="163"/>
      <c r="F100" s="163"/>
      <c r="G100" s="163"/>
      <c r="H100" s="163"/>
      <c r="I100" s="163"/>
      <c r="J100" s="163"/>
      <c r="K100" s="165"/>
    </row>
    <row r="101" spans="1:11" x14ac:dyDescent="0.2">
      <c r="A101" s="398"/>
      <c r="B101" s="389"/>
      <c r="C101" s="163"/>
      <c r="D101" s="164"/>
      <c r="E101" s="163"/>
      <c r="F101" s="163"/>
      <c r="G101" s="163"/>
      <c r="H101" s="163"/>
      <c r="I101" s="163"/>
      <c r="J101" s="163"/>
      <c r="K101" s="165"/>
    </row>
    <row r="102" spans="1:11" x14ac:dyDescent="0.2">
      <c r="A102" s="398"/>
      <c r="B102" s="389"/>
      <c r="C102" s="163"/>
      <c r="D102" s="164"/>
      <c r="E102" s="163"/>
      <c r="F102" s="163"/>
      <c r="G102" s="163"/>
      <c r="H102" s="163"/>
      <c r="I102" s="163"/>
      <c r="J102" s="163"/>
      <c r="K102" s="165"/>
    </row>
    <row r="103" spans="1:11" x14ac:dyDescent="0.2">
      <c r="A103" s="398"/>
      <c r="B103" s="389"/>
      <c r="C103" s="163"/>
      <c r="D103" s="164"/>
      <c r="E103" s="163"/>
      <c r="F103" s="163"/>
      <c r="G103" s="163"/>
      <c r="H103" s="163"/>
      <c r="I103" s="163"/>
      <c r="J103" s="163"/>
      <c r="K103" s="165"/>
    </row>
    <row r="104" spans="1:11" x14ac:dyDescent="0.2">
      <c r="A104" s="398"/>
      <c r="B104" s="389"/>
      <c r="C104" s="163"/>
      <c r="D104" s="164"/>
      <c r="E104" s="163"/>
      <c r="F104" s="163"/>
      <c r="G104" s="163"/>
      <c r="H104" s="163"/>
      <c r="I104" s="163"/>
      <c r="J104" s="163"/>
      <c r="K104" s="165"/>
    </row>
    <row r="105" spans="1:11" x14ac:dyDescent="0.2">
      <c r="A105" s="398"/>
      <c r="B105" s="389"/>
      <c r="C105" s="163"/>
      <c r="D105" s="164"/>
      <c r="E105" s="163"/>
      <c r="F105" s="163"/>
      <c r="G105" s="163"/>
      <c r="H105" s="163"/>
      <c r="I105" s="163"/>
      <c r="J105" s="163"/>
      <c r="K105" s="165"/>
    </row>
    <row r="106" spans="1:11" x14ac:dyDescent="0.2">
      <c r="A106" s="398"/>
      <c r="B106" s="389"/>
      <c r="C106" s="163"/>
      <c r="D106" s="164"/>
      <c r="E106" s="163"/>
      <c r="F106" s="163"/>
      <c r="G106" s="163"/>
      <c r="H106" s="163"/>
      <c r="I106" s="163"/>
      <c r="J106" s="163"/>
      <c r="K106" s="165"/>
    </row>
    <row r="107" spans="1:11" x14ac:dyDescent="0.2">
      <c r="A107" s="398"/>
      <c r="B107" s="389"/>
      <c r="C107" s="163"/>
      <c r="D107" s="164"/>
      <c r="E107" s="163"/>
      <c r="F107" s="163"/>
      <c r="G107" s="163"/>
      <c r="H107" s="163"/>
      <c r="I107" s="163"/>
      <c r="J107" s="163"/>
      <c r="K107" s="165"/>
    </row>
    <row r="108" spans="1:11" x14ac:dyDescent="0.2">
      <c r="A108" s="398"/>
      <c r="B108" s="389"/>
      <c r="C108" s="163"/>
      <c r="D108" s="164"/>
      <c r="E108" s="163"/>
      <c r="F108" s="163"/>
      <c r="G108" s="163"/>
      <c r="H108" s="163"/>
      <c r="I108" s="163"/>
      <c r="J108" s="163"/>
      <c r="K108" s="165"/>
    </row>
    <row r="109" spans="1:11" x14ac:dyDescent="0.2">
      <c r="A109" s="398"/>
      <c r="B109" s="389"/>
      <c r="C109" s="163"/>
      <c r="D109" s="164"/>
      <c r="E109" s="163"/>
      <c r="F109" s="163"/>
      <c r="G109" s="163"/>
      <c r="H109" s="163"/>
      <c r="I109" s="163"/>
      <c r="J109" s="163"/>
      <c r="K109" s="165"/>
    </row>
    <row r="110" spans="1:11" x14ac:dyDescent="0.2">
      <c r="A110" s="398"/>
      <c r="B110" s="389"/>
      <c r="C110" s="163"/>
      <c r="D110" s="164"/>
      <c r="E110" s="163"/>
      <c r="F110" s="163"/>
      <c r="G110" s="163"/>
      <c r="H110" s="163"/>
      <c r="I110" s="163"/>
      <c r="J110" s="163"/>
      <c r="K110" s="165"/>
    </row>
    <row r="111" spans="1:11" x14ac:dyDescent="0.2">
      <c r="A111" s="398"/>
      <c r="B111" s="389"/>
      <c r="C111" s="163"/>
      <c r="D111" s="164"/>
      <c r="E111" s="163"/>
      <c r="F111" s="163"/>
      <c r="G111" s="163"/>
      <c r="H111" s="163"/>
      <c r="I111" s="163"/>
      <c r="J111" s="163"/>
      <c r="K111" s="165"/>
    </row>
    <row r="112" spans="1:11" x14ac:dyDescent="0.2">
      <c r="A112" s="398"/>
      <c r="B112" s="389"/>
      <c r="C112" s="163"/>
      <c r="D112" s="164"/>
      <c r="E112" s="163"/>
      <c r="F112" s="163"/>
      <c r="G112" s="163"/>
      <c r="H112" s="163"/>
      <c r="I112" s="163"/>
      <c r="J112" s="163"/>
      <c r="K112" s="165"/>
    </row>
    <row r="113" spans="1:11" x14ac:dyDescent="0.2">
      <c r="A113" s="398"/>
      <c r="B113" s="389"/>
      <c r="C113" s="163"/>
      <c r="D113" s="164"/>
      <c r="E113" s="163"/>
      <c r="F113" s="163"/>
      <c r="G113" s="163"/>
      <c r="H113" s="163"/>
      <c r="I113" s="163"/>
      <c r="J113" s="163"/>
      <c r="K113" s="165"/>
    </row>
    <row r="114" spans="1:11" x14ac:dyDescent="0.2">
      <c r="A114" s="398"/>
      <c r="B114" s="389"/>
      <c r="C114" s="163"/>
      <c r="D114" s="164"/>
      <c r="E114" s="163"/>
      <c r="F114" s="163"/>
      <c r="G114" s="163"/>
      <c r="H114" s="163"/>
      <c r="I114" s="163"/>
      <c r="J114" s="163"/>
      <c r="K114" s="165"/>
    </row>
    <row r="115" spans="1:11" x14ac:dyDescent="0.2">
      <c r="A115" s="398"/>
      <c r="B115" s="389"/>
      <c r="C115" s="163"/>
      <c r="D115" s="164"/>
      <c r="E115" s="163"/>
      <c r="F115" s="163"/>
      <c r="G115" s="163"/>
      <c r="H115" s="163"/>
      <c r="I115" s="163"/>
      <c r="J115" s="163"/>
      <c r="K115" s="165"/>
    </row>
    <row r="116" spans="1:11" x14ac:dyDescent="0.2">
      <c r="A116" s="398"/>
      <c r="B116" s="389"/>
      <c r="C116" s="163"/>
      <c r="D116" s="164"/>
      <c r="E116" s="163"/>
      <c r="F116" s="163"/>
      <c r="G116" s="163"/>
      <c r="H116" s="163"/>
      <c r="I116" s="163"/>
      <c r="J116" s="163"/>
      <c r="K116" s="165"/>
    </row>
    <row r="117" spans="1:11" x14ac:dyDescent="0.2">
      <c r="A117" s="398"/>
      <c r="B117" s="389"/>
      <c r="C117" s="163"/>
      <c r="D117" s="164"/>
      <c r="E117" s="163"/>
      <c r="F117" s="163"/>
      <c r="G117" s="163"/>
      <c r="H117" s="163"/>
      <c r="I117" s="163"/>
      <c r="J117" s="163"/>
      <c r="K117" s="165"/>
    </row>
    <row r="118" spans="1:11" x14ac:dyDescent="0.2">
      <c r="A118" s="398"/>
      <c r="B118" s="389"/>
      <c r="C118" s="163"/>
      <c r="D118" s="164"/>
      <c r="E118" s="163"/>
      <c r="F118" s="163"/>
      <c r="G118" s="163"/>
      <c r="H118" s="163"/>
      <c r="I118" s="163"/>
      <c r="J118" s="163"/>
      <c r="K118" s="165"/>
    </row>
    <row r="119" spans="1:11" x14ac:dyDescent="0.2">
      <c r="A119" s="398"/>
      <c r="B119" s="389"/>
      <c r="C119" s="163"/>
      <c r="D119" s="164"/>
      <c r="E119" s="163"/>
      <c r="F119" s="163"/>
      <c r="G119" s="163"/>
      <c r="H119" s="163"/>
      <c r="I119" s="163"/>
      <c r="J119" s="163"/>
      <c r="K119" s="165"/>
    </row>
    <row r="120" spans="1:11" x14ac:dyDescent="0.2">
      <c r="A120" s="398"/>
      <c r="B120" s="389"/>
      <c r="C120" s="163"/>
      <c r="D120" s="164"/>
      <c r="E120" s="163"/>
      <c r="F120" s="163"/>
      <c r="G120" s="163"/>
      <c r="H120" s="163"/>
      <c r="I120" s="163"/>
      <c r="J120" s="163"/>
      <c r="K120" s="165"/>
    </row>
    <row r="121" spans="1:11" x14ac:dyDescent="0.2">
      <c r="A121" s="398"/>
      <c r="B121" s="389"/>
      <c r="C121" s="163"/>
      <c r="D121" s="164"/>
      <c r="E121" s="163"/>
      <c r="F121" s="163"/>
      <c r="G121" s="163"/>
      <c r="H121" s="163"/>
      <c r="I121" s="163"/>
      <c r="J121" s="163"/>
      <c r="K121" s="165"/>
    </row>
    <row r="122" spans="1:11" x14ac:dyDescent="0.2">
      <c r="A122" s="398"/>
      <c r="B122" s="389"/>
      <c r="C122" s="163"/>
      <c r="D122" s="164"/>
      <c r="E122" s="163"/>
      <c r="F122" s="163"/>
      <c r="G122" s="163"/>
      <c r="H122" s="163"/>
      <c r="I122" s="163"/>
      <c r="J122" s="163"/>
      <c r="K122" s="165"/>
    </row>
    <row r="123" spans="1:11" x14ac:dyDescent="0.2">
      <c r="A123" s="398"/>
      <c r="B123" s="389"/>
      <c r="C123" s="163"/>
      <c r="D123" s="164"/>
      <c r="E123" s="163"/>
      <c r="F123" s="163"/>
      <c r="G123" s="163"/>
      <c r="H123" s="163"/>
      <c r="I123" s="163"/>
      <c r="J123" s="163"/>
      <c r="K123" s="165"/>
    </row>
    <row r="124" spans="1:11" x14ac:dyDescent="0.2">
      <c r="A124" s="398"/>
      <c r="B124" s="389"/>
      <c r="C124" s="163"/>
      <c r="D124" s="164"/>
      <c r="E124" s="163"/>
      <c r="F124" s="163"/>
      <c r="G124" s="163"/>
      <c r="H124" s="163"/>
      <c r="I124" s="163"/>
      <c r="J124" s="163"/>
      <c r="K124" s="165"/>
    </row>
    <row r="125" spans="1:11" x14ac:dyDescent="0.2">
      <c r="A125" s="398"/>
      <c r="B125" s="389"/>
      <c r="C125" s="163"/>
      <c r="D125" s="164"/>
      <c r="E125" s="163"/>
      <c r="F125" s="163"/>
      <c r="G125" s="163"/>
      <c r="H125" s="163"/>
      <c r="I125" s="163"/>
      <c r="J125" s="163"/>
      <c r="K125" s="165"/>
    </row>
    <row r="126" spans="1:11" x14ac:dyDescent="0.2">
      <c r="A126" s="398"/>
      <c r="B126" s="389"/>
      <c r="C126" s="163"/>
      <c r="D126" s="164"/>
      <c r="E126" s="163"/>
      <c r="F126" s="163"/>
      <c r="G126" s="163"/>
      <c r="H126" s="163"/>
      <c r="I126" s="163"/>
      <c r="J126" s="163"/>
      <c r="K126" s="165"/>
    </row>
    <row r="127" spans="1:11" x14ac:dyDescent="0.2">
      <c r="A127" s="398"/>
      <c r="B127" s="389"/>
      <c r="C127" s="163"/>
      <c r="D127" s="164"/>
      <c r="E127" s="163"/>
      <c r="F127" s="163"/>
      <c r="G127" s="163"/>
      <c r="H127" s="163"/>
      <c r="I127" s="163"/>
      <c r="J127" s="163"/>
      <c r="K127" s="165"/>
    </row>
    <row r="128" spans="1:11" x14ac:dyDescent="0.2">
      <c r="A128" s="398"/>
      <c r="B128" s="389"/>
      <c r="C128" s="163"/>
      <c r="D128" s="164"/>
      <c r="E128" s="163"/>
      <c r="F128" s="163"/>
      <c r="G128" s="163"/>
      <c r="H128" s="163"/>
      <c r="I128" s="163"/>
      <c r="J128" s="163"/>
      <c r="K128" s="165"/>
    </row>
    <row r="129" spans="1:11" x14ac:dyDescent="0.2">
      <c r="A129" s="398"/>
      <c r="B129" s="389"/>
      <c r="C129" s="163"/>
      <c r="D129" s="164"/>
      <c r="E129" s="163"/>
      <c r="F129" s="163"/>
      <c r="G129" s="163"/>
      <c r="H129" s="163"/>
      <c r="I129" s="163"/>
      <c r="J129" s="163"/>
      <c r="K129" s="165"/>
    </row>
    <row r="130" spans="1:11" x14ac:dyDescent="0.2">
      <c r="A130" s="398"/>
      <c r="B130" s="389"/>
      <c r="C130" s="163"/>
      <c r="D130" s="164"/>
      <c r="E130" s="163"/>
      <c r="F130" s="163"/>
      <c r="G130" s="163"/>
      <c r="H130" s="163"/>
      <c r="I130" s="163"/>
      <c r="J130" s="163"/>
      <c r="K130" s="165"/>
    </row>
    <row r="131" spans="1:11" x14ac:dyDescent="0.2">
      <c r="A131" s="398"/>
      <c r="B131" s="389"/>
      <c r="C131" s="163"/>
      <c r="D131" s="164"/>
      <c r="E131" s="163"/>
      <c r="F131" s="163"/>
      <c r="G131" s="163"/>
      <c r="H131" s="163"/>
      <c r="I131" s="163"/>
      <c r="J131" s="163"/>
      <c r="K131" s="165"/>
    </row>
    <row r="132" spans="1:11" x14ac:dyDescent="0.2">
      <c r="A132" s="398"/>
      <c r="B132" s="389"/>
      <c r="C132" s="163"/>
      <c r="D132" s="164"/>
      <c r="E132" s="163"/>
      <c r="F132" s="163"/>
      <c r="G132" s="163"/>
      <c r="H132" s="163"/>
      <c r="I132" s="163"/>
      <c r="J132" s="163"/>
      <c r="K132" s="165"/>
    </row>
    <row r="133" spans="1:11" x14ac:dyDescent="0.2">
      <c r="A133" s="398"/>
      <c r="B133" s="389"/>
      <c r="C133" s="163"/>
      <c r="D133" s="164"/>
      <c r="E133" s="163"/>
      <c r="F133" s="163"/>
      <c r="G133" s="163"/>
      <c r="H133" s="163"/>
      <c r="I133" s="163"/>
      <c r="J133" s="163"/>
      <c r="K133" s="165"/>
    </row>
    <row r="134" spans="1:11" x14ac:dyDescent="0.2">
      <c r="A134" s="398"/>
      <c r="B134" s="389"/>
      <c r="C134" s="163"/>
      <c r="D134" s="164"/>
      <c r="E134" s="163"/>
      <c r="F134" s="163"/>
      <c r="G134" s="163"/>
      <c r="H134" s="163"/>
      <c r="I134" s="163"/>
      <c r="J134" s="163"/>
      <c r="K134" s="165"/>
    </row>
    <row r="135" spans="1:11" x14ac:dyDescent="0.2">
      <c r="A135" s="398"/>
      <c r="B135" s="389"/>
      <c r="C135" s="163"/>
      <c r="D135" s="164"/>
      <c r="E135" s="163"/>
      <c r="F135" s="163"/>
      <c r="G135" s="163"/>
      <c r="H135" s="163"/>
      <c r="I135" s="163"/>
      <c r="J135" s="163"/>
      <c r="K135" s="165"/>
    </row>
    <row r="136" spans="1:11" x14ac:dyDescent="0.2">
      <c r="A136" s="398"/>
      <c r="B136" s="389"/>
      <c r="C136" s="163"/>
      <c r="D136" s="164"/>
      <c r="E136" s="163"/>
      <c r="F136" s="163"/>
      <c r="G136" s="163"/>
      <c r="H136" s="163"/>
      <c r="I136" s="163"/>
      <c r="J136" s="163"/>
      <c r="K136" s="165"/>
    </row>
    <row r="137" spans="1:11" x14ac:dyDescent="0.2">
      <c r="A137" s="398"/>
      <c r="B137" s="389"/>
      <c r="C137" s="163"/>
      <c r="D137" s="164"/>
      <c r="E137" s="163"/>
      <c r="F137" s="163"/>
      <c r="G137" s="163"/>
      <c r="H137" s="163"/>
      <c r="I137" s="163"/>
      <c r="J137" s="163"/>
      <c r="K137" s="165"/>
    </row>
    <row r="138" spans="1:11" x14ac:dyDescent="0.2">
      <c r="A138" s="398"/>
      <c r="B138" s="389"/>
      <c r="C138" s="163"/>
      <c r="D138" s="164"/>
      <c r="E138" s="163"/>
      <c r="F138" s="163"/>
      <c r="G138" s="163"/>
      <c r="H138" s="163"/>
      <c r="I138" s="163"/>
      <c r="J138" s="163"/>
      <c r="K138" s="165"/>
    </row>
    <row r="139" spans="1:11" x14ac:dyDescent="0.2">
      <c r="A139" s="398"/>
      <c r="B139" s="389"/>
      <c r="C139" s="163"/>
      <c r="D139" s="164"/>
      <c r="E139" s="163"/>
      <c r="F139" s="163"/>
      <c r="G139" s="163"/>
      <c r="H139" s="163"/>
      <c r="I139" s="163"/>
      <c r="J139" s="163"/>
      <c r="K139" s="165"/>
    </row>
    <row r="140" spans="1:11" x14ac:dyDescent="0.2">
      <c r="A140" s="398"/>
      <c r="B140" s="389"/>
      <c r="C140" s="163"/>
      <c r="D140" s="164"/>
      <c r="E140" s="163"/>
      <c r="F140" s="163"/>
      <c r="G140" s="163"/>
      <c r="H140" s="163"/>
      <c r="I140" s="163"/>
      <c r="J140" s="163"/>
      <c r="K140" s="165"/>
    </row>
    <row r="141" spans="1:11" x14ac:dyDescent="0.2">
      <c r="A141" s="398"/>
      <c r="B141" s="389"/>
      <c r="C141" s="163"/>
      <c r="D141" s="164"/>
      <c r="E141" s="163"/>
      <c r="F141" s="163"/>
      <c r="G141" s="163"/>
      <c r="H141" s="163"/>
      <c r="I141" s="163"/>
      <c r="J141" s="163"/>
      <c r="K141" s="165"/>
    </row>
    <row r="142" spans="1:11" x14ac:dyDescent="0.2">
      <c r="A142" s="398"/>
      <c r="B142" s="389"/>
      <c r="C142" s="163"/>
      <c r="D142" s="164"/>
      <c r="E142" s="163"/>
      <c r="F142" s="163"/>
      <c r="G142" s="163"/>
      <c r="H142" s="163"/>
      <c r="I142" s="163"/>
      <c r="J142" s="163"/>
      <c r="K142" s="165"/>
    </row>
    <row r="143" spans="1:11" x14ac:dyDescent="0.2">
      <c r="A143" s="398"/>
      <c r="B143" s="389"/>
      <c r="C143" s="163"/>
      <c r="D143" s="164"/>
      <c r="E143" s="163"/>
      <c r="F143" s="163"/>
      <c r="G143" s="163"/>
      <c r="H143" s="163"/>
      <c r="I143" s="163"/>
      <c r="J143" s="163"/>
      <c r="K143" s="165"/>
    </row>
    <row r="144" spans="1:11" x14ac:dyDescent="0.2">
      <c r="A144" s="398"/>
      <c r="B144" s="389"/>
      <c r="C144" s="163"/>
      <c r="D144" s="164"/>
      <c r="E144" s="163"/>
      <c r="F144" s="163"/>
      <c r="G144" s="163"/>
      <c r="H144" s="163"/>
      <c r="I144" s="163"/>
      <c r="J144" s="163"/>
      <c r="K144" s="165"/>
    </row>
    <row r="145" spans="1:11" x14ac:dyDescent="0.2">
      <c r="A145" s="398"/>
      <c r="B145" s="389"/>
      <c r="C145" s="163"/>
      <c r="D145" s="164"/>
      <c r="E145" s="163"/>
      <c r="F145" s="163"/>
      <c r="G145" s="163"/>
      <c r="H145" s="163"/>
      <c r="I145" s="163"/>
      <c r="J145" s="163"/>
      <c r="K145" s="165"/>
    </row>
    <row r="146" spans="1:11" x14ac:dyDescent="0.2">
      <c r="A146" s="398"/>
      <c r="B146" s="389"/>
      <c r="C146" s="163"/>
      <c r="D146" s="164"/>
      <c r="E146" s="163"/>
      <c r="F146" s="163"/>
      <c r="G146" s="163"/>
      <c r="H146" s="163"/>
      <c r="I146" s="163"/>
      <c r="J146" s="163"/>
      <c r="K146" s="165"/>
    </row>
    <row r="147" spans="1:11" x14ac:dyDescent="0.2">
      <c r="A147" s="398"/>
      <c r="B147" s="389"/>
      <c r="C147" s="163"/>
      <c r="D147" s="164"/>
      <c r="E147" s="163"/>
      <c r="F147" s="163"/>
      <c r="G147" s="163"/>
      <c r="H147" s="163"/>
      <c r="I147" s="163"/>
      <c r="J147" s="163"/>
      <c r="K147" s="165"/>
    </row>
    <row r="148" spans="1:11" x14ac:dyDescent="0.2">
      <c r="A148" s="398"/>
      <c r="B148" s="389"/>
      <c r="C148" s="163"/>
      <c r="D148" s="164"/>
      <c r="E148" s="163"/>
      <c r="F148" s="163"/>
      <c r="G148" s="163"/>
      <c r="H148" s="163"/>
      <c r="I148" s="163"/>
      <c r="J148" s="163"/>
      <c r="K148" s="165"/>
    </row>
    <row r="149" spans="1:11" x14ac:dyDescent="0.2">
      <c r="A149" s="398"/>
      <c r="B149" s="389"/>
      <c r="C149" s="163"/>
      <c r="D149" s="164"/>
      <c r="E149" s="163"/>
      <c r="F149" s="163"/>
      <c r="G149" s="163"/>
      <c r="H149" s="163"/>
      <c r="I149" s="163"/>
      <c r="J149" s="163"/>
      <c r="K149" s="165"/>
    </row>
    <row r="150" spans="1:11" x14ac:dyDescent="0.2">
      <c r="A150" s="398"/>
      <c r="B150" s="389"/>
      <c r="C150" s="163"/>
      <c r="D150" s="164"/>
      <c r="E150" s="163"/>
      <c r="F150" s="163"/>
      <c r="G150" s="163"/>
      <c r="H150" s="163"/>
      <c r="I150" s="163"/>
      <c r="J150" s="163"/>
      <c r="K150" s="165"/>
    </row>
    <row r="151" spans="1:11" x14ac:dyDescent="0.2">
      <c r="A151" s="398"/>
      <c r="B151" s="389"/>
      <c r="C151" s="163"/>
      <c r="D151" s="164"/>
      <c r="E151" s="163"/>
      <c r="F151" s="163"/>
      <c r="G151" s="163"/>
      <c r="H151" s="163"/>
      <c r="I151" s="163"/>
      <c r="J151" s="163"/>
      <c r="K151" s="165"/>
    </row>
    <row r="152" spans="1:11" x14ac:dyDescent="0.2">
      <c r="A152" s="398"/>
      <c r="B152" s="389"/>
      <c r="C152" s="163"/>
      <c r="D152" s="164"/>
      <c r="E152" s="163"/>
      <c r="F152" s="163"/>
      <c r="G152" s="163"/>
      <c r="H152" s="163"/>
      <c r="I152" s="163"/>
      <c r="J152" s="163"/>
      <c r="K152" s="165"/>
    </row>
    <row r="153" spans="1:11" x14ac:dyDescent="0.2">
      <c r="A153" s="398"/>
      <c r="B153" s="389"/>
      <c r="C153" s="163"/>
      <c r="D153" s="164"/>
      <c r="E153" s="163"/>
      <c r="F153" s="163"/>
      <c r="G153" s="163"/>
      <c r="H153" s="163"/>
      <c r="I153" s="163"/>
      <c r="J153" s="163"/>
      <c r="K153" s="165"/>
    </row>
    <row r="154" spans="1:11" x14ac:dyDescent="0.2">
      <c r="A154" s="398"/>
      <c r="B154" s="389"/>
      <c r="C154" s="163"/>
      <c r="D154" s="164"/>
      <c r="E154" s="163"/>
      <c r="F154" s="163"/>
      <c r="G154" s="163"/>
      <c r="H154" s="163"/>
      <c r="I154" s="163"/>
      <c r="J154" s="163"/>
      <c r="K154" s="165"/>
    </row>
    <row r="155" spans="1:11" x14ac:dyDescent="0.2">
      <c r="A155" s="398"/>
      <c r="B155" s="389"/>
      <c r="C155" s="163"/>
      <c r="D155" s="164"/>
      <c r="E155" s="163"/>
      <c r="F155" s="163"/>
      <c r="G155" s="163"/>
      <c r="H155" s="163"/>
      <c r="I155" s="163"/>
      <c r="J155" s="163"/>
      <c r="K155" s="165"/>
    </row>
    <row r="156" spans="1:11" x14ac:dyDescent="0.2">
      <c r="A156" s="398"/>
      <c r="B156" s="389"/>
      <c r="C156" s="163"/>
      <c r="D156" s="164"/>
      <c r="E156" s="163"/>
      <c r="F156" s="163"/>
      <c r="G156" s="163"/>
      <c r="H156" s="163"/>
      <c r="I156" s="163"/>
      <c r="J156" s="163"/>
      <c r="K156" s="165"/>
    </row>
    <row r="157" spans="1:11" x14ac:dyDescent="0.2">
      <c r="A157" s="398"/>
      <c r="B157" s="389"/>
      <c r="C157" s="163"/>
      <c r="D157" s="164"/>
      <c r="E157" s="163"/>
      <c r="F157" s="163"/>
      <c r="G157" s="163"/>
      <c r="H157" s="163"/>
      <c r="I157" s="163"/>
      <c r="J157" s="163"/>
      <c r="K157" s="165"/>
    </row>
    <row r="158" spans="1:11" x14ac:dyDescent="0.2">
      <c r="A158" s="398"/>
      <c r="B158" s="389"/>
      <c r="C158" s="163"/>
      <c r="D158" s="164"/>
      <c r="E158" s="163"/>
      <c r="F158" s="163"/>
      <c r="G158" s="163"/>
      <c r="H158" s="163"/>
      <c r="I158" s="163"/>
      <c r="J158" s="163"/>
      <c r="K158" s="165"/>
    </row>
    <row r="159" spans="1:11" x14ac:dyDescent="0.2">
      <c r="A159" s="398"/>
      <c r="B159" s="389"/>
      <c r="C159" s="163"/>
      <c r="D159" s="164"/>
      <c r="E159" s="163"/>
      <c r="F159" s="163"/>
      <c r="G159" s="163"/>
      <c r="H159" s="163"/>
      <c r="I159" s="163"/>
      <c r="J159" s="163"/>
      <c r="K159" s="165"/>
    </row>
    <row r="160" spans="1:11" x14ac:dyDescent="0.2">
      <c r="A160" s="398"/>
      <c r="B160" s="389"/>
      <c r="C160" s="163"/>
      <c r="D160" s="164"/>
      <c r="E160" s="163"/>
      <c r="F160" s="163"/>
      <c r="G160" s="163"/>
      <c r="H160" s="163"/>
      <c r="I160" s="163"/>
      <c r="J160" s="163"/>
      <c r="K160" s="165"/>
    </row>
    <row r="161" spans="1:11" x14ac:dyDescent="0.2">
      <c r="A161" s="398"/>
      <c r="B161" s="389"/>
      <c r="C161" s="163"/>
      <c r="D161" s="164"/>
      <c r="E161" s="163"/>
      <c r="F161" s="163"/>
      <c r="G161" s="163"/>
      <c r="H161" s="163"/>
      <c r="I161" s="163"/>
      <c r="J161" s="163"/>
      <c r="K161" s="165"/>
    </row>
    <row r="162" spans="1:11" x14ac:dyDescent="0.2">
      <c r="A162" s="398"/>
      <c r="B162" s="389"/>
      <c r="C162" s="163"/>
      <c r="D162" s="164"/>
      <c r="E162" s="163"/>
      <c r="F162" s="163"/>
      <c r="G162" s="163"/>
      <c r="H162" s="163"/>
      <c r="I162" s="163"/>
      <c r="J162" s="163"/>
      <c r="K162" s="165"/>
    </row>
    <row r="163" spans="1:11" x14ac:dyDescent="0.2">
      <c r="A163" s="398"/>
      <c r="B163" s="389"/>
      <c r="C163" s="163"/>
      <c r="D163" s="164"/>
      <c r="E163" s="163"/>
      <c r="F163" s="163"/>
      <c r="G163" s="163"/>
      <c r="H163" s="163"/>
      <c r="I163" s="163"/>
      <c r="J163" s="163"/>
      <c r="K163" s="165"/>
    </row>
    <row r="164" spans="1:11" x14ac:dyDescent="0.2">
      <c r="A164" s="398"/>
      <c r="B164" s="389"/>
      <c r="C164" s="163"/>
      <c r="D164" s="164"/>
      <c r="E164" s="163"/>
      <c r="F164" s="163"/>
      <c r="G164" s="163"/>
      <c r="H164" s="163"/>
      <c r="I164" s="163"/>
      <c r="J164" s="163"/>
      <c r="K164" s="165"/>
    </row>
    <row r="165" spans="1:11" x14ac:dyDescent="0.2">
      <c r="A165" s="398"/>
      <c r="B165" s="389"/>
      <c r="C165" s="163"/>
      <c r="D165" s="164"/>
      <c r="E165" s="163"/>
      <c r="F165" s="163"/>
      <c r="G165" s="163"/>
      <c r="H165" s="163"/>
      <c r="I165" s="163"/>
      <c r="J165" s="163"/>
      <c r="K165" s="165"/>
    </row>
    <row r="166" spans="1:11" x14ac:dyDescent="0.2">
      <c r="A166" s="398"/>
      <c r="B166" s="389"/>
      <c r="C166" s="163"/>
      <c r="D166" s="164"/>
      <c r="E166" s="163"/>
      <c r="F166" s="163"/>
      <c r="G166" s="163"/>
      <c r="H166" s="163"/>
      <c r="I166" s="163"/>
      <c r="J166" s="163"/>
      <c r="K166" s="165"/>
    </row>
    <row r="167" spans="1:11" x14ac:dyDescent="0.2">
      <c r="A167" s="398"/>
      <c r="B167" s="389"/>
      <c r="C167" s="163"/>
      <c r="D167" s="164"/>
      <c r="E167" s="163"/>
      <c r="F167" s="163"/>
      <c r="G167" s="163"/>
      <c r="H167" s="163"/>
      <c r="I167" s="163"/>
      <c r="J167" s="163"/>
      <c r="K167" s="165"/>
    </row>
    <row r="168" spans="1:11" x14ac:dyDescent="0.2">
      <c r="A168" s="398"/>
      <c r="B168" s="389"/>
      <c r="C168" s="163"/>
      <c r="D168" s="164"/>
      <c r="E168" s="163"/>
      <c r="F168" s="163"/>
      <c r="G168" s="163"/>
      <c r="H168" s="163"/>
      <c r="I168" s="163"/>
      <c r="J168" s="163"/>
      <c r="K168" s="165"/>
    </row>
    <row r="169" spans="1:11" x14ac:dyDescent="0.2">
      <c r="A169" s="398"/>
      <c r="B169" s="389"/>
      <c r="C169" s="163"/>
      <c r="D169" s="164"/>
      <c r="E169" s="163"/>
      <c r="F169" s="163"/>
      <c r="G169" s="163"/>
      <c r="H169" s="163"/>
      <c r="I169" s="163"/>
      <c r="J169" s="163"/>
      <c r="K169" s="165"/>
    </row>
    <row r="170" spans="1:11" x14ac:dyDescent="0.2">
      <c r="A170" s="398"/>
      <c r="B170" s="389"/>
      <c r="C170" s="163"/>
      <c r="D170" s="164"/>
      <c r="E170" s="163"/>
      <c r="F170" s="163"/>
      <c r="G170" s="163"/>
      <c r="H170" s="163"/>
      <c r="I170" s="163"/>
      <c r="J170" s="163"/>
      <c r="K170" s="165"/>
    </row>
    <row r="171" spans="1:11" x14ac:dyDescent="0.2">
      <c r="A171" s="398"/>
      <c r="B171" s="389"/>
      <c r="C171" s="163"/>
      <c r="D171" s="164"/>
      <c r="E171" s="163"/>
      <c r="F171" s="163"/>
      <c r="G171" s="163"/>
      <c r="H171" s="163"/>
      <c r="I171" s="163"/>
      <c r="J171" s="163"/>
      <c r="K171" s="165"/>
    </row>
    <row r="172" spans="1:11" x14ac:dyDescent="0.2">
      <c r="A172" s="398"/>
      <c r="B172" s="389"/>
      <c r="C172" s="163"/>
      <c r="D172" s="164"/>
      <c r="E172" s="163"/>
      <c r="F172" s="163"/>
      <c r="G172" s="163"/>
      <c r="H172" s="163"/>
      <c r="I172" s="163"/>
      <c r="J172" s="163"/>
      <c r="K172" s="165"/>
    </row>
    <row r="173" spans="1:11" x14ac:dyDescent="0.2">
      <c r="A173" s="398"/>
      <c r="B173" s="389"/>
      <c r="C173" s="163"/>
      <c r="D173" s="164"/>
      <c r="E173" s="163"/>
      <c r="F173" s="163"/>
      <c r="G173" s="163"/>
      <c r="H173" s="163"/>
      <c r="I173" s="163"/>
      <c r="J173" s="163"/>
      <c r="K173" s="165"/>
    </row>
    <row r="174" spans="1:11" x14ac:dyDescent="0.2">
      <c r="A174" s="398"/>
      <c r="B174" s="389"/>
      <c r="C174" s="163"/>
      <c r="D174" s="164"/>
      <c r="E174" s="163"/>
      <c r="F174" s="163"/>
      <c r="G174" s="163"/>
      <c r="H174" s="163"/>
      <c r="I174" s="163"/>
      <c r="J174" s="163"/>
      <c r="K174" s="165"/>
    </row>
    <row r="175" spans="1:11" x14ac:dyDescent="0.2">
      <c r="A175" s="398"/>
      <c r="B175" s="389"/>
      <c r="C175" s="163"/>
      <c r="D175" s="164"/>
      <c r="E175" s="163"/>
      <c r="F175" s="163"/>
      <c r="G175" s="163"/>
      <c r="H175" s="163"/>
      <c r="I175" s="163"/>
      <c r="J175" s="163"/>
      <c r="K175" s="165"/>
    </row>
    <row r="176" spans="1:11" x14ac:dyDescent="0.2">
      <c r="A176" s="398"/>
      <c r="B176" s="389"/>
      <c r="C176" s="163"/>
      <c r="D176" s="164"/>
      <c r="E176" s="163"/>
      <c r="F176" s="163"/>
      <c r="G176" s="163"/>
      <c r="H176" s="163"/>
      <c r="I176" s="163"/>
      <c r="J176" s="163"/>
      <c r="K176" s="165"/>
    </row>
    <row r="177" spans="1:11" x14ac:dyDescent="0.2">
      <c r="A177" s="398"/>
      <c r="B177" s="389"/>
      <c r="C177" s="163"/>
      <c r="D177" s="164"/>
      <c r="E177" s="163"/>
      <c r="F177" s="163"/>
      <c r="G177" s="163"/>
      <c r="H177" s="163"/>
      <c r="I177" s="163"/>
      <c r="J177" s="163"/>
      <c r="K177" s="165"/>
    </row>
    <row r="178" spans="1:11" x14ac:dyDescent="0.2">
      <c r="A178" s="398"/>
      <c r="B178" s="389"/>
      <c r="C178" s="163"/>
      <c r="D178" s="164"/>
      <c r="E178" s="163"/>
      <c r="F178" s="163"/>
      <c r="G178" s="163"/>
      <c r="H178" s="163"/>
      <c r="I178" s="163"/>
      <c r="J178" s="163"/>
      <c r="K178" s="165"/>
    </row>
    <row r="179" spans="1:11" x14ac:dyDescent="0.2">
      <c r="A179" s="398"/>
      <c r="B179" s="389"/>
      <c r="C179" s="163"/>
      <c r="D179" s="164"/>
      <c r="E179" s="163"/>
      <c r="F179" s="163"/>
      <c r="G179" s="163"/>
      <c r="H179" s="163"/>
      <c r="I179" s="163"/>
      <c r="J179" s="163"/>
      <c r="K179" s="165"/>
    </row>
    <row r="180" spans="1:11" x14ac:dyDescent="0.2">
      <c r="A180" s="398"/>
      <c r="B180" s="389"/>
      <c r="C180" s="163"/>
      <c r="D180" s="164"/>
      <c r="E180" s="163"/>
      <c r="F180" s="163"/>
      <c r="G180" s="163"/>
      <c r="H180" s="163"/>
      <c r="I180" s="163"/>
      <c r="J180" s="163"/>
      <c r="K180" s="165"/>
    </row>
    <row r="181" spans="1:11" x14ac:dyDescent="0.2">
      <c r="A181" s="398"/>
      <c r="B181" s="389"/>
      <c r="C181" s="163"/>
      <c r="D181" s="164"/>
      <c r="E181" s="163"/>
      <c r="F181" s="163"/>
      <c r="G181" s="163"/>
      <c r="H181" s="163"/>
      <c r="I181" s="163"/>
      <c r="J181" s="163"/>
      <c r="K181" s="165"/>
    </row>
    <row r="182" spans="1:11" x14ac:dyDescent="0.2">
      <c r="A182" s="398"/>
      <c r="B182" s="389"/>
      <c r="C182" s="163"/>
      <c r="D182" s="164"/>
      <c r="E182" s="163"/>
      <c r="F182" s="163"/>
      <c r="G182" s="163"/>
      <c r="H182" s="163"/>
      <c r="I182" s="163"/>
      <c r="J182" s="163"/>
      <c r="K182" s="165"/>
    </row>
    <row r="183" spans="1:11" x14ac:dyDescent="0.2">
      <c r="A183" s="398"/>
      <c r="B183" s="389"/>
      <c r="C183" s="163"/>
      <c r="D183" s="164"/>
      <c r="E183" s="163"/>
      <c r="F183" s="163"/>
      <c r="G183" s="163"/>
      <c r="H183" s="163"/>
      <c r="I183" s="163"/>
      <c r="J183" s="163"/>
      <c r="K183" s="165"/>
    </row>
    <row r="184" spans="1:11" x14ac:dyDescent="0.2">
      <c r="A184" s="398"/>
      <c r="B184" s="389"/>
      <c r="C184" s="163"/>
      <c r="D184" s="164"/>
      <c r="E184" s="163"/>
      <c r="F184" s="163"/>
      <c r="G184" s="163"/>
      <c r="H184" s="163"/>
      <c r="I184" s="163"/>
      <c r="J184" s="163"/>
      <c r="K184" s="165"/>
    </row>
    <row r="185" spans="1:11" x14ac:dyDescent="0.2">
      <c r="A185" s="398"/>
      <c r="B185" s="389"/>
      <c r="C185" s="163"/>
      <c r="D185" s="164"/>
      <c r="E185" s="163"/>
      <c r="F185" s="163"/>
      <c r="G185" s="163"/>
      <c r="H185" s="163"/>
      <c r="I185" s="163"/>
      <c r="J185" s="163"/>
      <c r="K185" s="165"/>
    </row>
    <row r="186" spans="1:11" x14ac:dyDescent="0.2">
      <c r="A186" s="398"/>
      <c r="B186" s="389"/>
      <c r="C186" s="163"/>
      <c r="D186" s="164"/>
      <c r="E186" s="163"/>
      <c r="F186" s="163"/>
      <c r="G186" s="163"/>
      <c r="H186" s="163"/>
      <c r="I186" s="163"/>
      <c r="J186" s="163"/>
      <c r="K186" s="165"/>
    </row>
    <row r="187" spans="1:11" x14ac:dyDescent="0.2">
      <c r="A187" s="398"/>
      <c r="B187" s="389"/>
      <c r="C187" s="163"/>
      <c r="D187" s="164"/>
      <c r="E187" s="163"/>
      <c r="F187" s="163"/>
      <c r="G187" s="163"/>
      <c r="H187" s="163"/>
      <c r="I187" s="163"/>
      <c r="J187" s="163"/>
      <c r="K187" s="165"/>
    </row>
    <row r="188" spans="1:11" x14ac:dyDescent="0.2">
      <c r="A188" s="398"/>
      <c r="B188" s="389"/>
      <c r="C188" s="163"/>
      <c r="D188" s="164"/>
      <c r="E188" s="163"/>
      <c r="F188" s="163"/>
      <c r="G188" s="163"/>
      <c r="H188" s="163"/>
      <c r="I188" s="163"/>
      <c r="J188" s="163"/>
      <c r="K188" s="165"/>
    </row>
    <row r="189" spans="1:11" x14ac:dyDescent="0.2">
      <c r="A189" s="398"/>
      <c r="B189" s="389"/>
      <c r="C189" s="163"/>
      <c r="D189" s="164"/>
      <c r="E189" s="163"/>
      <c r="F189" s="163"/>
      <c r="G189" s="163"/>
      <c r="H189" s="163"/>
      <c r="I189" s="163"/>
      <c r="J189" s="163"/>
      <c r="K189" s="165"/>
    </row>
    <row r="190" spans="1:11" x14ac:dyDescent="0.2">
      <c r="A190" s="398"/>
      <c r="B190" s="389"/>
      <c r="C190" s="163"/>
      <c r="D190" s="164"/>
      <c r="E190" s="163"/>
      <c r="F190" s="163"/>
      <c r="G190" s="163"/>
      <c r="H190" s="163"/>
      <c r="I190" s="163"/>
      <c r="J190" s="163"/>
      <c r="K190" s="165"/>
    </row>
    <row r="191" spans="1:11" x14ac:dyDescent="0.2">
      <c r="A191" s="398"/>
      <c r="B191" s="389"/>
      <c r="C191" s="163"/>
      <c r="D191" s="164"/>
      <c r="E191" s="163"/>
      <c r="F191" s="163"/>
      <c r="G191" s="163"/>
      <c r="H191" s="163"/>
      <c r="I191" s="163"/>
      <c r="J191" s="163"/>
      <c r="K191" s="165"/>
    </row>
    <row r="192" spans="1:11" x14ac:dyDescent="0.2">
      <c r="A192" s="398"/>
      <c r="B192" s="389"/>
      <c r="C192" s="163"/>
      <c r="D192" s="164"/>
      <c r="E192" s="163"/>
      <c r="F192" s="163"/>
      <c r="G192" s="163"/>
      <c r="H192" s="163"/>
      <c r="I192" s="163"/>
      <c r="J192" s="163"/>
      <c r="K192" s="165"/>
    </row>
    <row r="193" spans="1:11" x14ac:dyDescent="0.2">
      <c r="A193" s="398"/>
      <c r="B193" s="389"/>
      <c r="C193" s="163"/>
      <c r="D193" s="164"/>
      <c r="E193" s="163"/>
      <c r="F193" s="163"/>
      <c r="G193" s="163"/>
      <c r="H193" s="163"/>
      <c r="I193" s="163"/>
      <c r="J193" s="163"/>
      <c r="K193" s="165"/>
    </row>
    <row r="194" spans="1:11" x14ac:dyDescent="0.2">
      <c r="A194" s="398"/>
      <c r="B194" s="389"/>
      <c r="C194" s="163"/>
      <c r="D194" s="164"/>
      <c r="E194" s="163"/>
      <c r="F194" s="163"/>
      <c r="G194" s="163"/>
      <c r="H194" s="163"/>
      <c r="I194" s="163"/>
      <c r="J194" s="163"/>
      <c r="K194" s="165"/>
    </row>
    <row r="195" spans="1:11" x14ac:dyDescent="0.2">
      <c r="A195" s="398"/>
      <c r="B195" s="389"/>
      <c r="C195" s="163"/>
      <c r="D195" s="164"/>
      <c r="E195" s="163"/>
      <c r="F195" s="163"/>
      <c r="G195" s="163"/>
      <c r="H195" s="163"/>
      <c r="I195" s="163"/>
      <c r="J195" s="163"/>
      <c r="K195" s="165"/>
    </row>
    <row r="196" spans="1:11" x14ac:dyDescent="0.2">
      <c r="A196" s="398"/>
      <c r="B196" s="389"/>
      <c r="C196" s="163"/>
      <c r="D196" s="164"/>
      <c r="E196" s="163"/>
      <c r="F196" s="163"/>
      <c r="G196" s="163"/>
      <c r="H196" s="163"/>
      <c r="I196" s="163"/>
      <c r="J196" s="163"/>
      <c r="K196" s="165"/>
    </row>
    <row r="197" spans="1:11" x14ac:dyDescent="0.2">
      <c r="A197" s="398"/>
      <c r="B197" s="389"/>
      <c r="C197" s="163"/>
      <c r="D197" s="164"/>
      <c r="E197" s="163"/>
      <c r="F197" s="163"/>
      <c r="G197" s="163"/>
      <c r="H197" s="163"/>
      <c r="I197" s="163"/>
      <c r="J197" s="163"/>
      <c r="K197" s="165"/>
    </row>
    <row r="198" spans="1:11" x14ac:dyDescent="0.2">
      <c r="A198" s="398"/>
      <c r="B198" s="389"/>
      <c r="C198" s="163"/>
      <c r="D198" s="164"/>
      <c r="E198" s="163"/>
      <c r="F198" s="163"/>
      <c r="G198" s="163"/>
      <c r="H198" s="163"/>
      <c r="I198" s="163"/>
      <c r="J198" s="163"/>
      <c r="K198" s="165"/>
    </row>
    <row r="199" spans="1:11" x14ac:dyDescent="0.2">
      <c r="A199" s="398"/>
      <c r="B199" s="389"/>
      <c r="C199" s="163"/>
      <c r="D199" s="164"/>
      <c r="E199" s="163"/>
      <c r="F199" s="163"/>
      <c r="G199" s="163"/>
      <c r="H199" s="163"/>
      <c r="I199" s="163"/>
      <c r="J199" s="163"/>
      <c r="K199" s="165"/>
    </row>
    <row r="200" spans="1:11" x14ac:dyDescent="0.2">
      <c r="A200" s="398"/>
      <c r="B200" s="389"/>
      <c r="C200" s="163"/>
      <c r="D200" s="164"/>
      <c r="E200" s="163"/>
      <c r="F200" s="163"/>
      <c r="G200" s="163"/>
      <c r="H200" s="163"/>
      <c r="I200" s="163"/>
      <c r="J200" s="163"/>
      <c r="K200" s="165"/>
    </row>
    <row r="201" spans="1:11" x14ac:dyDescent="0.2">
      <c r="A201" s="398"/>
      <c r="B201" s="389"/>
      <c r="C201" s="163"/>
      <c r="D201" s="164"/>
      <c r="E201" s="163"/>
      <c r="F201" s="163"/>
      <c r="G201" s="163"/>
      <c r="H201" s="163"/>
      <c r="I201" s="163"/>
      <c r="J201" s="163"/>
      <c r="K201" s="165"/>
    </row>
    <row r="202" spans="1:11" x14ac:dyDescent="0.2">
      <c r="A202" s="398"/>
      <c r="B202" s="389"/>
      <c r="C202" s="163"/>
      <c r="D202" s="164"/>
      <c r="E202" s="163"/>
      <c r="F202" s="163"/>
      <c r="G202" s="163"/>
      <c r="H202" s="163"/>
      <c r="I202" s="163"/>
      <c r="J202" s="163"/>
      <c r="K202" s="165"/>
    </row>
    <row r="203" spans="1:11" x14ac:dyDescent="0.2">
      <c r="A203" s="398"/>
      <c r="B203" s="389"/>
      <c r="C203" s="163"/>
      <c r="D203" s="164"/>
      <c r="E203" s="163"/>
      <c r="F203" s="163"/>
      <c r="G203" s="163"/>
      <c r="H203" s="163"/>
      <c r="I203" s="163"/>
      <c r="J203" s="163"/>
      <c r="K203" s="165"/>
    </row>
    <row r="204" spans="1:11" x14ac:dyDescent="0.2">
      <c r="A204" s="398"/>
      <c r="B204" s="389"/>
      <c r="C204" s="163"/>
      <c r="D204" s="164"/>
      <c r="E204" s="163"/>
      <c r="F204" s="163"/>
      <c r="G204" s="163"/>
      <c r="H204" s="163"/>
      <c r="I204" s="163"/>
      <c r="J204" s="163"/>
      <c r="K204" s="165"/>
    </row>
    <row r="205" spans="1:11" x14ac:dyDescent="0.2">
      <c r="A205" s="398"/>
      <c r="B205" s="389"/>
      <c r="C205" s="163"/>
      <c r="D205" s="164"/>
      <c r="E205" s="163"/>
      <c r="F205" s="163"/>
      <c r="G205" s="163"/>
      <c r="H205" s="163"/>
      <c r="I205" s="163"/>
      <c r="J205" s="163"/>
      <c r="K205" s="165"/>
    </row>
    <row r="206" spans="1:11" x14ac:dyDescent="0.2">
      <c r="A206" s="398"/>
      <c r="B206" s="389"/>
      <c r="C206" s="163"/>
      <c r="D206" s="164"/>
      <c r="E206" s="163"/>
      <c r="F206" s="163"/>
      <c r="G206" s="163"/>
      <c r="H206" s="163"/>
      <c r="I206" s="163"/>
      <c r="J206" s="163"/>
      <c r="K206" s="165"/>
    </row>
    <row r="207" spans="1:11" x14ac:dyDescent="0.2">
      <c r="A207" s="398"/>
      <c r="B207" s="389"/>
      <c r="C207" s="163"/>
      <c r="D207" s="164"/>
      <c r="E207" s="163"/>
      <c r="F207" s="163"/>
      <c r="G207" s="163"/>
      <c r="H207" s="163"/>
      <c r="I207" s="163"/>
      <c r="J207" s="163"/>
      <c r="K207" s="165"/>
    </row>
    <row r="208" spans="1:11" x14ac:dyDescent="0.2">
      <c r="A208" s="398"/>
      <c r="B208" s="389"/>
      <c r="C208" s="163"/>
      <c r="D208" s="164"/>
      <c r="E208" s="163"/>
      <c r="F208" s="163"/>
      <c r="G208" s="163"/>
      <c r="H208" s="163"/>
      <c r="I208" s="163"/>
      <c r="J208" s="163"/>
      <c r="K208" s="165"/>
    </row>
    <row r="209" spans="1:11" x14ac:dyDescent="0.2">
      <c r="A209" s="398"/>
      <c r="B209" s="389"/>
      <c r="C209" s="163"/>
      <c r="D209" s="164"/>
      <c r="E209" s="163"/>
      <c r="F209" s="163"/>
      <c r="G209" s="163"/>
      <c r="H209" s="163"/>
      <c r="I209" s="163"/>
      <c r="J209" s="163"/>
      <c r="K209" s="165"/>
    </row>
    <row r="210" spans="1:11" x14ac:dyDescent="0.2">
      <c r="A210" s="398"/>
      <c r="B210" s="389"/>
      <c r="C210" s="163"/>
      <c r="D210" s="164"/>
      <c r="E210" s="163"/>
      <c r="F210" s="163"/>
      <c r="G210" s="163"/>
      <c r="H210" s="163"/>
      <c r="I210" s="163"/>
      <c r="J210" s="163"/>
      <c r="K210" s="165"/>
    </row>
    <row r="211" spans="1:11" x14ac:dyDescent="0.2">
      <c r="A211" s="398"/>
      <c r="B211" s="389"/>
      <c r="C211" s="163"/>
      <c r="D211" s="164"/>
      <c r="E211" s="163"/>
      <c r="F211" s="163"/>
      <c r="G211" s="163"/>
      <c r="H211" s="163"/>
      <c r="I211" s="163"/>
      <c r="J211" s="163"/>
      <c r="K211" s="165"/>
    </row>
    <row r="212" spans="1:11" x14ac:dyDescent="0.2">
      <c r="A212" s="398"/>
      <c r="B212" s="389"/>
      <c r="C212" s="163"/>
      <c r="D212" s="164"/>
      <c r="E212" s="163"/>
      <c r="F212" s="163"/>
      <c r="G212" s="163"/>
      <c r="H212" s="163"/>
      <c r="I212" s="163"/>
      <c r="J212" s="163"/>
      <c r="K212" s="165"/>
    </row>
    <row r="213" spans="1:11" x14ac:dyDescent="0.2">
      <c r="A213" s="398"/>
      <c r="B213" s="389"/>
      <c r="C213" s="163"/>
      <c r="D213" s="164"/>
      <c r="E213" s="163"/>
      <c r="F213" s="163"/>
      <c r="G213" s="163"/>
      <c r="H213" s="163"/>
      <c r="I213" s="163"/>
      <c r="J213" s="163"/>
      <c r="K213" s="165"/>
    </row>
    <row r="214" spans="1:11" x14ac:dyDescent="0.2">
      <c r="A214" s="398"/>
      <c r="B214" s="389"/>
      <c r="C214" s="163"/>
      <c r="D214" s="164"/>
      <c r="E214" s="163"/>
      <c r="F214" s="163"/>
      <c r="G214" s="163"/>
      <c r="H214" s="163"/>
      <c r="I214" s="163"/>
      <c r="J214" s="163"/>
      <c r="K214" s="165"/>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D2449D29-1D74-4D33-8522-349B7ECC5333}">
            <xm:f>'Quarter, Semis &amp; Final'!$S$20="-"</xm:f>
            <x14:dxf>
              <font>
                <color theme="0" tint="-0.24994659260841701"/>
              </font>
              <fill>
                <patternFill>
                  <bgColor theme="0" tint="-4.9989318521683403E-2"/>
                </patternFill>
              </fill>
            </x14:dxf>
          </x14:cfRule>
          <xm:sqref>A1:K1048576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67D71-2CF6-408F-B026-932F83D08FAF}">
  <dimension ref="A1:R234"/>
  <sheetViews>
    <sheetView workbookViewId="0">
      <selection activeCell="B12" sqref="B12"/>
    </sheetView>
  </sheetViews>
  <sheetFormatPr defaultRowHeight="14.25" x14ac:dyDescent="0.2"/>
  <cols>
    <col min="2" max="2" width="15.5" style="141" customWidth="1"/>
    <col min="3" max="3" width="5.75" customWidth="1"/>
    <col min="4" max="4" width="5.75" style="142" customWidth="1"/>
    <col min="5" max="5" width="20.375" style="142" customWidth="1"/>
    <col min="6" max="6" width="14.125" style="276" bestFit="1" customWidth="1"/>
    <col min="7" max="7" width="9.5" bestFit="1" customWidth="1"/>
    <col min="8" max="8" width="2.625" style="275" customWidth="1"/>
    <col min="9" max="9" width="13.875" style="278" bestFit="1" customWidth="1"/>
    <col min="10" max="10" width="13.125" style="278" bestFit="1" customWidth="1"/>
    <col min="11" max="11" width="12.125" style="278" bestFit="1" customWidth="1"/>
    <col min="12" max="12" width="13.875" style="278" bestFit="1" customWidth="1"/>
    <col min="13" max="18" width="8.75" style="279"/>
  </cols>
  <sheetData>
    <row r="1" spans="1:12" x14ac:dyDescent="0.2">
      <c r="A1" t="s">
        <v>100</v>
      </c>
      <c r="B1" s="141" t="s">
        <v>299</v>
      </c>
      <c r="C1" s="141" t="s">
        <v>300</v>
      </c>
      <c r="D1" s="142" t="s">
        <v>301</v>
      </c>
      <c r="E1" s="142" t="s">
        <v>302</v>
      </c>
      <c r="F1" s="277" t="str">
        <f>+'Quarter, Semis &amp; Final'!R18</f>
        <v>Figura</v>
      </c>
      <c r="G1" s="136" t="str">
        <f>+'Quarter, Semis &amp; Final'!S18</f>
        <v>Messi</v>
      </c>
      <c r="I1" s="278" t="s">
        <v>104</v>
      </c>
      <c r="J1" s="278" t="s">
        <v>105</v>
      </c>
      <c r="K1" s="278" t="s">
        <v>105</v>
      </c>
      <c r="L1" s="278" t="s">
        <v>106</v>
      </c>
    </row>
    <row r="2" spans="1:12" x14ac:dyDescent="0.2">
      <c r="A2" s="145" t="str">
        <f>+'Groups Stage'!A3</f>
        <v>GA1</v>
      </c>
      <c r="B2" s="146" t="str">
        <f>+'Groups Stage'!E3</f>
        <v>Mexico</v>
      </c>
      <c r="C2" s="145">
        <f>+'Groups Stage'!F3</f>
        <v>2</v>
      </c>
      <c r="D2" s="147">
        <f>+'Groups Stage'!G3</f>
        <v>1</v>
      </c>
      <c r="E2" s="147" t="str">
        <f>+'Groups Stage'!H3</f>
        <v>Sudafrica</v>
      </c>
      <c r="F2" s="277" t="str">
        <f>+'Quarter, Semis &amp; Final'!R19</f>
        <v>Goleador</v>
      </c>
      <c r="G2" s="136" t="str">
        <f>+'Quarter, Semis &amp; Final'!S19</f>
        <v>Mbappé</v>
      </c>
      <c r="I2" s="280" t="str">
        <f>IF(OR(ISBLANK(C2),ISBLANK(D2)),"",IF(C2&gt;D2,B2,IF(D2&gt;C2,E2,"")))</f>
        <v>Mexico</v>
      </c>
      <c r="J2" s="280" t="str">
        <f>IF(OR(ISBLANK(C2),ISBLANK(D2)),"",IF(C2=D2,B2,""))</f>
        <v/>
      </c>
      <c r="K2" s="280" t="str">
        <f>IF(OR(ISBLANK(C2),ISBLANK(D2)),"",IF(C2=D2,E2,""))</f>
        <v/>
      </c>
      <c r="L2" s="280" t="str">
        <f>IF(OR(ISBLANK(C2),ISBLANK(D2)),"",IF(C2&lt;D2,B2,IF(D2&lt;C2,E2,"")))</f>
        <v>Sudafrica</v>
      </c>
    </row>
    <row r="3" spans="1:12" x14ac:dyDescent="0.2">
      <c r="A3" t="str">
        <f>+'Groups Stage'!A4</f>
        <v>GA2</v>
      </c>
      <c r="B3" s="141" t="str">
        <f>+'Groups Stage'!E4</f>
        <v>Corea del Sur</v>
      </c>
      <c r="C3">
        <f>+'Groups Stage'!F4</f>
        <v>1</v>
      </c>
      <c r="D3" s="142">
        <f>+'Groups Stage'!G4</f>
        <v>1</v>
      </c>
      <c r="E3" s="142" t="str">
        <f>+'Groups Stage'!H4</f>
        <v>Repubilca Checa</v>
      </c>
      <c r="F3" s="277" t="str">
        <f>+'Quarter, Semis &amp; Final'!R20</f>
        <v>Revelación</v>
      </c>
      <c r="G3" s="242" t="str">
        <f>+'Quarter, Semis &amp; Final'!S20</f>
        <v>Colombia</v>
      </c>
      <c r="I3" s="278" t="str">
        <f t="shared" ref="I3:I66" si="0">IF(OR(ISBLANK(C3),ISBLANK(D3)),"",IF(C3&gt;D3,B3,IF(D3&gt;C3,E3,"")))</f>
        <v/>
      </c>
      <c r="J3" s="278" t="str">
        <f t="shared" ref="J3:J66" si="1">IF(OR(ISBLANK(C3),ISBLANK(D3)),"",IF(C3=D3,B3,""))</f>
        <v>Corea del Sur</v>
      </c>
      <c r="K3" s="278" t="str">
        <f t="shared" ref="K3:K66" si="2">IF(OR(ISBLANK(C3),ISBLANK(D3)),"",IF(C3=D3,E3,""))</f>
        <v>Repubilca Checa</v>
      </c>
      <c r="L3" s="278" t="str">
        <f t="shared" ref="L3:L66" si="3">IF(OR(ISBLANK(C3),ISBLANK(D3)),"",IF(C3&lt;D3,B3,IF(D3&lt;C3,E3,"")))</f>
        <v/>
      </c>
    </row>
    <row r="4" spans="1:12" x14ac:dyDescent="0.2">
      <c r="A4" t="str">
        <f>+'Groups Stage'!A5</f>
        <v>GA3</v>
      </c>
      <c r="B4" s="141" t="str">
        <f>+'Groups Stage'!E5</f>
        <v>Repubilca Checa</v>
      </c>
      <c r="C4">
        <f>+'Groups Stage'!F5</f>
        <v>1</v>
      </c>
      <c r="D4" s="142">
        <f>+'Groups Stage'!G5</f>
        <v>0</v>
      </c>
      <c r="E4" s="142" t="str">
        <f>+'Groups Stage'!H5</f>
        <v>Sudafrica</v>
      </c>
      <c r="F4" s="277" t="str">
        <f>+'Quarter, Semis &amp; Final'!R21</f>
        <v>Decepción</v>
      </c>
      <c r="G4" s="242" t="str">
        <f>+'Quarter, Semis &amp; Final'!S21</f>
        <v>Croacia</v>
      </c>
      <c r="I4" s="278" t="str">
        <f t="shared" si="0"/>
        <v>Repubilca Checa</v>
      </c>
      <c r="J4" s="278" t="str">
        <f t="shared" si="1"/>
        <v/>
      </c>
      <c r="K4" s="278" t="str">
        <f t="shared" si="2"/>
        <v/>
      </c>
      <c r="L4" s="278" t="str">
        <f t="shared" si="3"/>
        <v>Sudafrica</v>
      </c>
    </row>
    <row r="5" spans="1:12" x14ac:dyDescent="0.2">
      <c r="A5" t="str">
        <f>+'Groups Stage'!A6</f>
        <v>GA4</v>
      </c>
      <c r="B5" s="141" t="str">
        <f>+'Groups Stage'!E6</f>
        <v>Mexico</v>
      </c>
      <c r="C5">
        <f>+'Groups Stage'!F6</f>
        <v>1</v>
      </c>
      <c r="D5" s="142">
        <f>+'Groups Stage'!G6</f>
        <v>2</v>
      </c>
      <c r="E5" s="142" t="str">
        <f>+'Groups Stage'!H6</f>
        <v>Corea del Sur</v>
      </c>
      <c r="F5" s="277" t="str">
        <f>+'Quarter, Semis &amp; Final'!R22</f>
        <v>Mejor 1era Fase</v>
      </c>
      <c r="G5" s="242" t="str">
        <f>+'Quarter, Semis &amp; Final'!S22</f>
        <v>Alemania</v>
      </c>
      <c r="I5" s="278" t="str">
        <f t="shared" si="0"/>
        <v>Corea del Sur</v>
      </c>
      <c r="J5" s="278" t="str">
        <f t="shared" si="1"/>
        <v/>
      </c>
      <c r="K5" s="278" t="str">
        <f t="shared" si="2"/>
        <v/>
      </c>
      <c r="L5" s="278" t="str">
        <f t="shared" si="3"/>
        <v>Mexico</v>
      </c>
    </row>
    <row r="6" spans="1:12" x14ac:dyDescent="0.2">
      <c r="A6" t="str">
        <f>+'Groups Stage'!A7</f>
        <v>GA5</v>
      </c>
      <c r="B6" s="141" t="str">
        <f>+'Groups Stage'!E7</f>
        <v>Repubilca Checa</v>
      </c>
      <c r="C6">
        <f>+'Groups Stage'!F7</f>
        <v>1</v>
      </c>
      <c r="D6" s="142">
        <f>+'Groups Stage'!G7</f>
        <v>1</v>
      </c>
      <c r="E6" s="142" t="str">
        <f>+'Groups Stage'!H7</f>
        <v>Mexico</v>
      </c>
      <c r="F6" s="277" t="str">
        <f>+'Quarter, Semis &amp; Final'!R23</f>
        <v>Peor Equipo</v>
      </c>
      <c r="G6" s="242" t="str">
        <f>+'Quarter, Semis &amp; Final'!S23</f>
        <v>Curazao</v>
      </c>
      <c r="I6" s="278" t="str">
        <f t="shared" si="0"/>
        <v/>
      </c>
      <c r="J6" s="278" t="str">
        <f t="shared" si="1"/>
        <v>Repubilca Checa</v>
      </c>
      <c r="K6" s="278" t="str">
        <f t="shared" si="2"/>
        <v>Mexico</v>
      </c>
      <c r="L6" s="278" t="str">
        <f t="shared" si="3"/>
        <v/>
      </c>
    </row>
    <row r="7" spans="1:12" x14ac:dyDescent="0.2">
      <c r="A7" s="7" t="str">
        <f>+'Groups Stage'!A8</f>
        <v>GA6</v>
      </c>
      <c r="B7" s="143" t="str">
        <f>+'Groups Stage'!E8</f>
        <v>Sudafrica</v>
      </c>
      <c r="C7" s="7">
        <f>+'Groups Stage'!F8</f>
        <v>0</v>
      </c>
      <c r="D7" s="144">
        <f>+'Groups Stage'!G8</f>
        <v>3</v>
      </c>
      <c r="E7" s="144" t="str">
        <f>+'Groups Stage'!H8</f>
        <v>Corea del Sur</v>
      </c>
      <c r="F7" s="276" t="s">
        <v>18</v>
      </c>
      <c r="G7" t="str">
        <f>+'Total Results'!D4</f>
        <v>Brasil</v>
      </c>
      <c r="I7" s="281" t="str">
        <f t="shared" si="0"/>
        <v>Corea del Sur</v>
      </c>
      <c r="J7" s="281" t="str">
        <f t="shared" si="1"/>
        <v/>
      </c>
      <c r="K7" s="281" t="str">
        <f t="shared" si="2"/>
        <v/>
      </c>
      <c r="L7" s="281" t="str">
        <f t="shared" si="3"/>
        <v>Sudafrica</v>
      </c>
    </row>
    <row r="8" spans="1:12" x14ac:dyDescent="0.2">
      <c r="A8" s="148">
        <f>+'Groups Stage'!A9</f>
        <v>0</v>
      </c>
      <c r="B8" s="149">
        <f>+'Groups Stage'!E9</f>
        <v>0</v>
      </c>
      <c r="C8" s="148">
        <f>+'Groups Stage'!F9</f>
        <v>0</v>
      </c>
      <c r="D8" s="150">
        <f>+'Groups Stage'!G9</f>
        <v>0</v>
      </c>
      <c r="E8" s="150">
        <f>+'Groups Stage'!H9</f>
        <v>0</v>
      </c>
      <c r="F8" s="276" t="s">
        <v>303</v>
      </c>
      <c r="G8" t="str">
        <f>+'Total Results'!D2</f>
        <v>Argentina</v>
      </c>
      <c r="I8" s="280" t="str">
        <f t="shared" si="0"/>
        <v/>
      </c>
      <c r="J8" s="280">
        <f t="shared" si="1"/>
        <v>0</v>
      </c>
      <c r="K8" s="280">
        <f t="shared" si="2"/>
        <v>0</v>
      </c>
      <c r="L8" s="280" t="str">
        <f t="shared" si="3"/>
        <v/>
      </c>
    </row>
    <row r="9" spans="1:12" x14ac:dyDescent="0.2">
      <c r="A9" s="151">
        <f>+'Groups Stage'!A10</f>
        <v>0</v>
      </c>
      <c r="B9" s="152">
        <f>+'Groups Stage'!E10</f>
        <v>0</v>
      </c>
      <c r="C9" s="151">
        <f>+'Groups Stage'!F10</f>
        <v>0</v>
      </c>
      <c r="D9" s="153">
        <f>+'Groups Stage'!G10</f>
        <v>0</v>
      </c>
      <c r="E9" s="153">
        <f>+'Groups Stage'!H10</f>
        <v>0</v>
      </c>
      <c r="F9" s="412" t="s">
        <v>304</v>
      </c>
      <c r="G9" s="19" t="str">
        <f>+'Total Results'!D3</f>
        <v>Francia</v>
      </c>
      <c r="I9" s="281" t="str">
        <f t="shared" si="0"/>
        <v/>
      </c>
      <c r="J9" s="281">
        <f t="shared" si="1"/>
        <v>0</v>
      </c>
      <c r="K9" s="281">
        <f t="shared" si="2"/>
        <v>0</v>
      </c>
      <c r="L9" s="281" t="str">
        <f t="shared" si="3"/>
        <v/>
      </c>
    </row>
    <row r="10" spans="1:12" x14ac:dyDescent="0.2">
      <c r="A10" s="151" t="str">
        <f>+'Groups Stage'!A11</f>
        <v>Partido</v>
      </c>
      <c r="B10" s="152" t="str">
        <f>+'Groups Stage'!E11</f>
        <v>Grupo B</v>
      </c>
      <c r="C10" s="151">
        <f>+'Groups Stage'!F11</f>
        <v>0</v>
      </c>
      <c r="D10" s="153">
        <f>+'Groups Stage'!G11</f>
        <v>0</v>
      </c>
      <c r="E10" s="153">
        <f>+'Groups Stage'!H11</f>
        <v>0</v>
      </c>
      <c r="F10" s="412" t="s">
        <v>305</v>
      </c>
      <c r="G10" s="19" t="str">
        <f>+'Total Results'!D5</f>
        <v>Colombia</v>
      </c>
      <c r="I10" s="281" t="str">
        <f t="shared" si="0"/>
        <v/>
      </c>
      <c r="J10" s="281" t="str">
        <f t="shared" si="1"/>
        <v>Grupo B</v>
      </c>
      <c r="K10" s="281">
        <f t="shared" si="2"/>
        <v>0</v>
      </c>
      <c r="L10" s="281" t="str">
        <f t="shared" si="3"/>
        <v/>
      </c>
    </row>
    <row r="11" spans="1:12" x14ac:dyDescent="0.2">
      <c r="A11" s="145" t="str">
        <f>+'Groups Stage'!A12</f>
        <v>GB1</v>
      </c>
      <c r="B11" s="146" t="str">
        <f>+'Groups Stage'!E12</f>
        <v>Canada</v>
      </c>
      <c r="C11" s="145">
        <f>+'Groups Stage'!F12</f>
        <v>2</v>
      </c>
      <c r="D11" s="147">
        <f>+'Groups Stage'!G12</f>
        <v>0</v>
      </c>
      <c r="E11" s="147" t="str">
        <f>+'Groups Stage'!H12</f>
        <v>Bosnia</v>
      </c>
      <c r="I11" s="280" t="str">
        <f t="shared" si="0"/>
        <v>Canada</v>
      </c>
      <c r="J11" s="280" t="str">
        <f t="shared" si="1"/>
        <v/>
      </c>
      <c r="K11" s="280" t="str">
        <f t="shared" si="2"/>
        <v/>
      </c>
      <c r="L11" s="280" t="str">
        <f t="shared" si="3"/>
        <v>Bosnia</v>
      </c>
    </row>
    <row r="12" spans="1:12" x14ac:dyDescent="0.2">
      <c r="A12" t="str">
        <f>+'Groups Stage'!A13</f>
        <v>GB2</v>
      </c>
      <c r="B12" s="141" t="str">
        <f>+'Groups Stage'!E13</f>
        <v>Qatar</v>
      </c>
      <c r="C12">
        <f>+'Groups Stage'!F13</f>
        <v>0</v>
      </c>
      <c r="D12" s="142">
        <f>+'Groups Stage'!G13</f>
        <v>2</v>
      </c>
      <c r="E12" s="142" t="str">
        <f>+'Groups Stage'!H13</f>
        <v>Suiza</v>
      </c>
      <c r="I12" s="278" t="str">
        <f t="shared" si="0"/>
        <v>Suiza</v>
      </c>
      <c r="J12" s="278" t="str">
        <f t="shared" si="1"/>
        <v/>
      </c>
      <c r="K12" s="278" t="str">
        <f t="shared" si="2"/>
        <v/>
      </c>
      <c r="L12" s="278" t="str">
        <f t="shared" si="3"/>
        <v>Qatar</v>
      </c>
    </row>
    <row r="13" spans="1:12" x14ac:dyDescent="0.2">
      <c r="A13" t="str">
        <f>+'Groups Stage'!A14</f>
        <v>GB3</v>
      </c>
      <c r="B13" s="141" t="str">
        <f>+'Groups Stage'!E14</f>
        <v>Suiza</v>
      </c>
      <c r="C13">
        <f>+'Groups Stage'!F14</f>
        <v>2</v>
      </c>
      <c r="D13" s="142">
        <f>+'Groups Stage'!G14</f>
        <v>0</v>
      </c>
      <c r="E13" s="142" t="str">
        <f>+'Groups Stage'!H14</f>
        <v>Bosnia</v>
      </c>
      <c r="I13" s="278" t="str">
        <f t="shared" si="0"/>
        <v>Suiza</v>
      </c>
      <c r="J13" s="278" t="str">
        <f t="shared" si="1"/>
        <v/>
      </c>
      <c r="K13" s="278" t="str">
        <f t="shared" si="2"/>
        <v/>
      </c>
      <c r="L13" s="278" t="str">
        <f t="shared" si="3"/>
        <v>Bosnia</v>
      </c>
    </row>
    <row r="14" spans="1:12" x14ac:dyDescent="0.2">
      <c r="A14" t="str">
        <f>+'Groups Stage'!A15</f>
        <v>GB4</v>
      </c>
      <c r="B14" s="141" t="str">
        <f>+'Groups Stage'!E15</f>
        <v>Canada</v>
      </c>
      <c r="C14">
        <f>+'Groups Stage'!F15</f>
        <v>3</v>
      </c>
      <c r="D14" s="142">
        <f>+'Groups Stage'!G15</f>
        <v>0</v>
      </c>
      <c r="E14" s="142" t="str">
        <f>+'Groups Stage'!H15</f>
        <v>Qatar</v>
      </c>
      <c r="I14" s="278" t="str">
        <f t="shared" si="0"/>
        <v>Canada</v>
      </c>
      <c r="J14" s="278" t="str">
        <f t="shared" si="1"/>
        <v/>
      </c>
      <c r="K14" s="278" t="str">
        <f t="shared" si="2"/>
        <v/>
      </c>
      <c r="L14" s="278" t="str">
        <f t="shared" si="3"/>
        <v>Qatar</v>
      </c>
    </row>
    <row r="15" spans="1:12" x14ac:dyDescent="0.2">
      <c r="A15" t="str">
        <f>+'Groups Stage'!A16</f>
        <v>GB5</v>
      </c>
      <c r="B15" s="141" t="str">
        <f>+'Groups Stage'!E16</f>
        <v>Suiza</v>
      </c>
      <c r="C15">
        <f>+'Groups Stage'!F16</f>
        <v>1</v>
      </c>
      <c r="D15" s="142">
        <f>+'Groups Stage'!G16</f>
        <v>1</v>
      </c>
      <c r="E15" s="142" t="str">
        <f>+'Groups Stage'!H16</f>
        <v>Canada</v>
      </c>
      <c r="I15" s="278" t="str">
        <f t="shared" si="0"/>
        <v/>
      </c>
      <c r="J15" s="278" t="str">
        <f t="shared" si="1"/>
        <v>Suiza</v>
      </c>
      <c r="K15" s="278" t="str">
        <f t="shared" si="2"/>
        <v>Canada</v>
      </c>
      <c r="L15" s="278" t="str">
        <f t="shared" si="3"/>
        <v/>
      </c>
    </row>
    <row r="16" spans="1:12" x14ac:dyDescent="0.2">
      <c r="A16" s="7" t="str">
        <f>+'Groups Stage'!A17</f>
        <v>GB6</v>
      </c>
      <c r="B16" s="143" t="str">
        <f>+'Groups Stage'!E17</f>
        <v>Bosnia</v>
      </c>
      <c r="C16" s="7">
        <f>+'Groups Stage'!F17</f>
        <v>1</v>
      </c>
      <c r="D16" s="144">
        <f>+'Groups Stage'!G17</f>
        <v>1</v>
      </c>
      <c r="E16" s="144" t="str">
        <f>+'Groups Stage'!H17</f>
        <v>Qatar</v>
      </c>
      <c r="I16" s="281" t="str">
        <f t="shared" si="0"/>
        <v/>
      </c>
      <c r="J16" s="281" t="str">
        <f t="shared" si="1"/>
        <v>Bosnia</v>
      </c>
      <c r="K16" s="281" t="str">
        <f t="shared" si="2"/>
        <v>Qatar</v>
      </c>
      <c r="L16" s="281" t="str">
        <f t="shared" si="3"/>
        <v/>
      </c>
    </row>
    <row r="17" spans="1:12" x14ac:dyDescent="0.2">
      <c r="A17" s="148">
        <f>+'Groups Stage'!A18</f>
        <v>0</v>
      </c>
      <c r="B17" s="149">
        <f>+'Groups Stage'!E18</f>
        <v>0</v>
      </c>
      <c r="C17" s="148">
        <f>+'Groups Stage'!F18</f>
        <v>0</v>
      </c>
      <c r="D17" s="150">
        <f>+'Groups Stage'!G18</f>
        <v>0</v>
      </c>
      <c r="E17" s="150">
        <f>+'Groups Stage'!H18</f>
        <v>0</v>
      </c>
      <c r="I17" s="280" t="str">
        <f t="shared" si="0"/>
        <v/>
      </c>
      <c r="J17" s="280">
        <f t="shared" si="1"/>
        <v>0</v>
      </c>
      <c r="K17" s="280">
        <f t="shared" si="2"/>
        <v>0</v>
      </c>
      <c r="L17" s="280" t="str">
        <f t="shared" si="3"/>
        <v/>
      </c>
    </row>
    <row r="18" spans="1:12" x14ac:dyDescent="0.2">
      <c r="A18" s="151">
        <f>+'Groups Stage'!A19</f>
        <v>0</v>
      </c>
      <c r="B18" s="152">
        <f>+'Groups Stage'!E19</f>
        <v>0</v>
      </c>
      <c r="C18" s="151">
        <f>+'Groups Stage'!F19</f>
        <v>0</v>
      </c>
      <c r="D18" s="153">
        <f>+'Groups Stage'!G19</f>
        <v>0</v>
      </c>
      <c r="E18" s="153">
        <f>+'Groups Stage'!H19</f>
        <v>0</v>
      </c>
      <c r="I18" s="281" t="str">
        <f t="shared" si="0"/>
        <v/>
      </c>
      <c r="J18" s="281">
        <f t="shared" si="1"/>
        <v>0</v>
      </c>
      <c r="K18" s="281">
        <f t="shared" si="2"/>
        <v>0</v>
      </c>
      <c r="L18" s="281" t="str">
        <f t="shared" si="3"/>
        <v/>
      </c>
    </row>
    <row r="19" spans="1:12" x14ac:dyDescent="0.2">
      <c r="A19" s="151" t="str">
        <f>+'Groups Stage'!A20</f>
        <v>Partido</v>
      </c>
      <c r="B19" s="152" t="str">
        <f>+'Groups Stage'!E20</f>
        <v>Grupo C</v>
      </c>
      <c r="C19" s="151">
        <f>+'Groups Stage'!F20</f>
        <v>0</v>
      </c>
      <c r="D19" s="153">
        <f>+'Groups Stage'!G20</f>
        <v>0</v>
      </c>
      <c r="E19" s="153">
        <f>+'Groups Stage'!H20</f>
        <v>0</v>
      </c>
      <c r="I19" s="281" t="str">
        <f t="shared" si="0"/>
        <v/>
      </c>
      <c r="J19" s="281" t="str">
        <f t="shared" si="1"/>
        <v>Grupo C</v>
      </c>
      <c r="K19" s="281">
        <f t="shared" si="2"/>
        <v>0</v>
      </c>
      <c r="L19" s="281" t="str">
        <f t="shared" si="3"/>
        <v/>
      </c>
    </row>
    <row r="20" spans="1:12" x14ac:dyDescent="0.2">
      <c r="A20" s="145" t="str">
        <f>+'Groups Stage'!A21</f>
        <v>GC1</v>
      </c>
      <c r="B20" s="146" t="str">
        <f>+'Groups Stage'!E21</f>
        <v>Brasil</v>
      </c>
      <c r="C20" s="145">
        <f>+'Groups Stage'!F21</f>
        <v>1</v>
      </c>
      <c r="D20" s="147">
        <f>+'Groups Stage'!G21</f>
        <v>1</v>
      </c>
      <c r="E20" s="147" t="str">
        <f>+'Groups Stage'!H21</f>
        <v>Marruecos</v>
      </c>
      <c r="I20" s="280" t="str">
        <f t="shared" si="0"/>
        <v/>
      </c>
      <c r="J20" s="280" t="str">
        <f t="shared" si="1"/>
        <v>Brasil</v>
      </c>
      <c r="K20" s="280" t="str">
        <f t="shared" si="2"/>
        <v>Marruecos</v>
      </c>
      <c r="L20" s="280" t="str">
        <f t="shared" si="3"/>
        <v/>
      </c>
    </row>
    <row r="21" spans="1:12" x14ac:dyDescent="0.2">
      <c r="A21" t="str">
        <f>+'Groups Stage'!A22</f>
        <v>GC2</v>
      </c>
      <c r="B21" s="141" t="str">
        <f>+'Groups Stage'!E22</f>
        <v>Haiti</v>
      </c>
      <c r="C21">
        <f>+'Groups Stage'!F22</f>
        <v>0</v>
      </c>
      <c r="D21" s="142">
        <f>+'Groups Stage'!G22</f>
        <v>2</v>
      </c>
      <c r="E21" s="142" t="str">
        <f>+'Groups Stage'!H22</f>
        <v>Escocia</v>
      </c>
      <c r="I21" s="278" t="str">
        <f t="shared" si="0"/>
        <v>Escocia</v>
      </c>
      <c r="J21" s="278" t="str">
        <f t="shared" si="1"/>
        <v/>
      </c>
      <c r="K21" s="278" t="str">
        <f t="shared" si="2"/>
        <v/>
      </c>
      <c r="L21" s="278" t="str">
        <f t="shared" si="3"/>
        <v>Haiti</v>
      </c>
    </row>
    <row r="22" spans="1:12" x14ac:dyDescent="0.2">
      <c r="A22" t="str">
        <f>+'Groups Stage'!A23</f>
        <v>GC3</v>
      </c>
      <c r="B22" s="141" t="str">
        <f>+'Groups Stage'!E23</f>
        <v>Brasil</v>
      </c>
      <c r="C22">
        <f>+'Groups Stage'!F23</f>
        <v>4</v>
      </c>
      <c r="D22" s="142">
        <f>+'Groups Stage'!G23</f>
        <v>0</v>
      </c>
      <c r="E22" s="142" t="str">
        <f>+'Groups Stage'!H23</f>
        <v>Haiti</v>
      </c>
      <c r="I22" s="278" t="str">
        <f t="shared" si="0"/>
        <v>Brasil</v>
      </c>
      <c r="J22" s="278" t="str">
        <f t="shared" si="1"/>
        <v/>
      </c>
      <c r="K22" s="278" t="str">
        <f t="shared" si="2"/>
        <v/>
      </c>
      <c r="L22" s="278" t="str">
        <f t="shared" si="3"/>
        <v>Haiti</v>
      </c>
    </row>
    <row r="23" spans="1:12" x14ac:dyDescent="0.2">
      <c r="A23" t="str">
        <f>+'Groups Stage'!A24</f>
        <v>GC4</v>
      </c>
      <c r="B23" s="141" t="str">
        <f>+'Groups Stage'!E24</f>
        <v>Escocia</v>
      </c>
      <c r="C23">
        <f>+'Groups Stage'!F24</f>
        <v>0</v>
      </c>
      <c r="D23" s="142">
        <f>+'Groups Stage'!G24</f>
        <v>1</v>
      </c>
      <c r="E23" s="142" t="str">
        <f>+'Groups Stage'!H24</f>
        <v>Marruecos</v>
      </c>
      <c r="I23" s="278" t="str">
        <f t="shared" si="0"/>
        <v>Marruecos</v>
      </c>
      <c r="J23" s="278" t="str">
        <f t="shared" si="1"/>
        <v/>
      </c>
      <c r="K23" s="278" t="str">
        <f t="shared" si="2"/>
        <v/>
      </c>
      <c r="L23" s="278" t="str">
        <f t="shared" si="3"/>
        <v>Escocia</v>
      </c>
    </row>
    <row r="24" spans="1:12" x14ac:dyDescent="0.2">
      <c r="A24" t="str">
        <f>+'Groups Stage'!A25</f>
        <v>GC5</v>
      </c>
      <c r="B24" s="141" t="str">
        <f>+'Groups Stage'!E25</f>
        <v>Escocia</v>
      </c>
      <c r="C24">
        <f>+'Groups Stage'!F25</f>
        <v>0</v>
      </c>
      <c r="D24" s="142">
        <f>+'Groups Stage'!G25</f>
        <v>3</v>
      </c>
      <c r="E24" s="142" t="str">
        <f>+'Groups Stage'!H25</f>
        <v>Brasil</v>
      </c>
      <c r="I24" s="278" t="str">
        <f t="shared" si="0"/>
        <v>Brasil</v>
      </c>
      <c r="J24" s="278" t="str">
        <f t="shared" si="1"/>
        <v/>
      </c>
      <c r="K24" s="278" t="str">
        <f t="shared" si="2"/>
        <v/>
      </c>
      <c r="L24" s="278" t="str">
        <f t="shared" si="3"/>
        <v>Escocia</v>
      </c>
    </row>
    <row r="25" spans="1:12" x14ac:dyDescent="0.2">
      <c r="A25" s="7" t="str">
        <f>+'Groups Stage'!A26</f>
        <v>GC6</v>
      </c>
      <c r="B25" s="143" t="str">
        <f>+'Groups Stage'!E26</f>
        <v>Marruecos</v>
      </c>
      <c r="C25" s="7">
        <f>+'Groups Stage'!F26</f>
        <v>2</v>
      </c>
      <c r="D25" s="144">
        <f>+'Groups Stage'!G26</f>
        <v>0</v>
      </c>
      <c r="E25" s="144" t="str">
        <f>+'Groups Stage'!H26</f>
        <v>Haiti</v>
      </c>
      <c r="I25" s="281" t="str">
        <f t="shared" si="0"/>
        <v>Marruecos</v>
      </c>
      <c r="J25" s="281" t="str">
        <f t="shared" si="1"/>
        <v/>
      </c>
      <c r="K25" s="281" t="str">
        <f t="shared" si="2"/>
        <v/>
      </c>
      <c r="L25" s="281" t="str">
        <f t="shared" si="3"/>
        <v>Haiti</v>
      </c>
    </row>
    <row r="26" spans="1:12" x14ac:dyDescent="0.2">
      <c r="A26" s="148">
        <f>+'Groups Stage'!A27</f>
        <v>0</v>
      </c>
      <c r="B26" s="149">
        <f>+'Groups Stage'!E27</f>
        <v>0</v>
      </c>
      <c r="C26" s="148">
        <f>+'Groups Stage'!F27</f>
        <v>0</v>
      </c>
      <c r="D26" s="150">
        <f>+'Groups Stage'!G27</f>
        <v>0</v>
      </c>
      <c r="E26" s="150">
        <f>+'Groups Stage'!H27</f>
        <v>0</v>
      </c>
      <c r="I26" s="280" t="str">
        <f t="shared" si="0"/>
        <v/>
      </c>
      <c r="J26" s="280">
        <f t="shared" si="1"/>
        <v>0</v>
      </c>
      <c r="K26" s="280">
        <f t="shared" si="2"/>
        <v>0</v>
      </c>
      <c r="L26" s="280" t="str">
        <f t="shared" si="3"/>
        <v/>
      </c>
    </row>
    <row r="27" spans="1:12" x14ac:dyDescent="0.2">
      <c r="A27" s="151">
        <f>+'Groups Stage'!A28</f>
        <v>0</v>
      </c>
      <c r="B27" s="152">
        <f>+'Groups Stage'!E28</f>
        <v>0</v>
      </c>
      <c r="C27" s="151">
        <f>+'Groups Stage'!F28</f>
        <v>0</v>
      </c>
      <c r="D27" s="153">
        <f>+'Groups Stage'!G28</f>
        <v>0</v>
      </c>
      <c r="E27" s="153">
        <f>+'Groups Stage'!H28</f>
        <v>0</v>
      </c>
      <c r="I27" s="281" t="str">
        <f t="shared" si="0"/>
        <v/>
      </c>
      <c r="J27" s="281">
        <f t="shared" si="1"/>
        <v>0</v>
      </c>
      <c r="K27" s="281">
        <f t="shared" si="2"/>
        <v>0</v>
      </c>
      <c r="L27" s="281" t="str">
        <f t="shared" si="3"/>
        <v/>
      </c>
    </row>
    <row r="28" spans="1:12" x14ac:dyDescent="0.2">
      <c r="A28" s="151" t="str">
        <f>+'Groups Stage'!A29</f>
        <v>Partido</v>
      </c>
      <c r="B28" s="152" t="str">
        <f>+'Groups Stage'!E29</f>
        <v>Grupo D</v>
      </c>
      <c r="C28" s="151">
        <f>+'Groups Stage'!F29</f>
        <v>0</v>
      </c>
      <c r="D28" s="153">
        <f>+'Groups Stage'!G29</f>
        <v>0</v>
      </c>
      <c r="E28" s="153">
        <f>+'Groups Stage'!H29</f>
        <v>0</v>
      </c>
      <c r="I28" s="281" t="str">
        <f t="shared" si="0"/>
        <v/>
      </c>
      <c r="J28" s="281" t="str">
        <f t="shared" si="1"/>
        <v>Grupo D</v>
      </c>
      <c r="K28" s="281">
        <f t="shared" si="2"/>
        <v>0</v>
      </c>
      <c r="L28" s="281" t="str">
        <f t="shared" si="3"/>
        <v/>
      </c>
    </row>
    <row r="29" spans="1:12" x14ac:dyDescent="0.2">
      <c r="A29" s="145" t="str">
        <f>+'Groups Stage'!A30</f>
        <v>GD1</v>
      </c>
      <c r="B29" s="146" t="str">
        <f>+'Groups Stage'!E30</f>
        <v>Estados Unidos</v>
      </c>
      <c r="C29" s="145">
        <f>+'Groups Stage'!F30</f>
        <v>1</v>
      </c>
      <c r="D29" s="147">
        <f>+'Groups Stage'!G30</f>
        <v>0</v>
      </c>
      <c r="E29" s="147" t="str">
        <f>+'Groups Stage'!H30</f>
        <v>Paraguay</v>
      </c>
      <c r="I29" s="280" t="str">
        <f t="shared" si="0"/>
        <v>Estados Unidos</v>
      </c>
      <c r="J29" s="280" t="str">
        <f t="shared" si="1"/>
        <v/>
      </c>
      <c r="K29" s="280" t="str">
        <f t="shared" si="2"/>
        <v/>
      </c>
      <c r="L29" s="280" t="str">
        <f t="shared" si="3"/>
        <v>Paraguay</v>
      </c>
    </row>
    <row r="30" spans="1:12" x14ac:dyDescent="0.2">
      <c r="A30" t="str">
        <f>+'Groups Stage'!A31</f>
        <v>GD2</v>
      </c>
      <c r="B30" s="141" t="str">
        <f>+'Groups Stage'!E31</f>
        <v>Australia</v>
      </c>
      <c r="C30">
        <f>+'Groups Stage'!F31</f>
        <v>1</v>
      </c>
      <c r="D30" s="142">
        <f>+'Groups Stage'!G31</f>
        <v>2</v>
      </c>
      <c r="E30" s="142" t="str">
        <f>+'Groups Stage'!H31</f>
        <v>Turquia</v>
      </c>
      <c r="I30" s="278" t="str">
        <f t="shared" si="0"/>
        <v>Turquia</v>
      </c>
      <c r="J30" s="278" t="str">
        <f t="shared" si="1"/>
        <v/>
      </c>
      <c r="K30" s="278" t="str">
        <f t="shared" si="2"/>
        <v/>
      </c>
      <c r="L30" s="278" t="str">
        <f t="shared" si="3"/>
        <v>Australia</v>
      </c>
    </row>
    <row r="31" spans="1:12" x14ac:dyDescent="0.2">
      <c r="A31" t="str">
        <f>+'Groups Stage'!A32</f>
        <v>GD3</v>
      </c>
      <c r="B31" s="141" t="str">
        <f>+'Groups Stage'!E32</f>
        <v>Turquia</v>
      </c>
      <c r="C31">
        <f>+'Groups Stage'!F32</f>
        <v>1</v>
      </c>
      <c r="D31" s="142">
        <f>+'Groups Stage'!G32</f>
        <v>1</v>
      </c>
      <c r="E31" s="142" t="str">
        <f>+'Groups Stage'!H32</f>
        <v>Paraguay</v>
      </c>
      <c r="I31" s="278" t="str">
        <f t="shared" si="0"/>
        <v/>
      </c>
      <c r="J31" s="278" t="str">
        <f t="shared" si="1"/>
        <v>Turquia</v>
      </c>
      <c r="K31" s="278" t="str">
        <f t="shared" si="2"/>
        <v>Paraguay</v>
      </c>
      <c r="L31" s="278" t="str">
        <f t="shared" si="3"/>
        <v/>
      </c>
    </row>
    <row r="32" spans="1:12" x14ac:dyDescent="0.2">
      <c r="A32" t="str">
        <f>+'Groups Stage'!A33</f>
        <v>GD4</v>
      </c>
      <c r="B32" s="141" t="str">
        <f>+'Groups Stage'!E33</f>
        <v>Estados Unidos</v>
      </c>
      <c r="C32">
        <f>+'Groups Stage'!F33</f>
        <v>2</v>
      </c>
      <c r="D32" s="142">
        <f>+'Groups Stage'!G33</f>
        <v>0</v>
      </c>
      <c r="E32" s="142" t="str">
        <f>+'Groups Stage'!H33</f>
        <v>Australia</v>
      </c>
      <c r="I32" s="278" t="str">
        <f t="shared" si="0"/>
        <v>Estados Unidos</v>
      </c>
      <c r="J32" s="278" t="str">
        <f t="shared" si="1"/>
        <v/>
      </c>
      <c r="K32" s="278" t="str">
        <f t="shared" si="2"/>
        <v/>
      </c>
      <c r="L32" s="278" t="str">
        <f t="shared" si="3"/>
        <v>Australia</v>
      </c>
    </row>
    <row r="33" spans="1:12" x14ac:dyDescent="0.2">
      <c r="A33" t="str">
        <f>+'Groups Stage'!A34</f>
        <v>GD5</v>
      </c>
      <c r="B33" s="141" t="str">
        <f>+'Groups Stage'!E34</f>
        <v>Turquia</v>
      </c>
      <c r="C33">
        <f>+'Groups Stage'!F34</f>
        <v>2</v>
      </c>
      <c r="D33" s="142">
        <f>+'Groups Stage'!G34</f>
        <v>2</v>
      </c>
      <c r="E33" s="142" t="str">
        <f>+'Groups Stage'!H34</f>
        <v>Estados Unidos</v>
      </c>
      <c r="I33" s="278" t="str">
        <f t="shared" si="0"/>
        <v/>
      </c>
      <c r="J33" s="278" t="str">
        <f t="shared" si="1"/>
        <v>Turquia</v>
      </c>
      <c r="K33" s="278" t="str">
        <f t="shared" si="2"/>
        <v>Estados Unidos</v>
      </c>
      <c r="L33" s="278" t="str">
        <f t="shared" si="3"/>
        <v/>
      </c>
    </row>
    <row r="34" spans="1:12" x14ac:dyDescent="0.2">
      <c r="A34" s="7" t="str">
        <f>+'Groups Stage'!A35</f>
        <v>GD6</v>
      </c>
      <c r="B34" s="143" t="str">
        <f>+'Groups Stage'!E35</f>
        <v>Paraguay</v>
      </c>
      <c r="C34" s="7">
        <f>+'Groups Stage'!F35</f>
        <v>1</v>
      </c>
      <c r="D34" s="144">
        <f>+'Groups Stage'!G35</f>
        <v>0</v>
      </c>
      <c r="E34" s="144" t="str">
        <f>+'Groups Stage'!H35</f>
        <v>Australia</v>
      </c>
      <c r="I34" s="281" t="str">
        <f t="shared" si="0"/>
        <v>Paraguay</v>
      </c>
      <c r="J34" s="281" t="str">
        <f t="shared" si="1"/>
        <v/>
      </c>
      <c r="K34" s="281" t="str">
        <f t="shared" si="2"/>
        <v/>
      </c>
      <c r="L34" s="281" t="str">
        <f t="shared" si="3"/>
        <v>Australia</v>
      </c>
    </row>
    <row r="35" spans="1:12" x14ac:dyDescent="0.2">
      <c r="A35" s="148">
        <f>+'Groups Stage'!A36</f>
        <v>0</v>
      </c>
      <c r="B35" s="149">
        <f>+'Groups Stage'!E36</f>
        <v>0</v>
      </c>
      <c r="C35" s="148">
        <f>+'Groups Stage'!F36</f>
        <v>0</v>
      </c>
      <c r="D35" s="150">
        <f>+'Groups Stage'!G36</f>
        <v>0</v>
      </c>
      <c r="E35" s="150">
        <f>+'Groups Stage'!H36</f>
        <v>0</v>
      </c>
      <c r="I35" s="280" t="str">
        <f t="shared" si="0"/>
        <v/>
      </c>
      <c r="J35" s="280">
        <f t="shared" si="1"/>
        <v>0</v>
      </c>
      <c r="K35" s="280">
        <f t="shared" si="2"/>
        <v>0</v>
      </c>
      <c r="L35" s="280" t="str">
        <f t="shared" si="3"/>
        <v/>
      </c>
    </row>
    <row r="36" spans="1:12" x14ac:dyDescent="0.2">
      <c r="A36" s="151">
        <f>+'Groups Stage'!A37</f>
        <v>0</v>
      </c>
      <c r="B36" s="152">
        <f>+'Groups Stage'!E37</f>
        <v>0</v>
      </c>
      <c r="C36" s="151">
        <f>+'Groups Stage'!F37</f>
        <v>0</v>
      </c>
      <c r="D36" s="153">
        <f>+'Groups Stage'!G37</f>
        <v>0</v>
      </c>
      <c r="E36" s="153">
        <f>+'Groups Stage'!H37</f>
        <v>0</v>
      </c>
      <c r="I36" s="281" t="str">
        <f t="shared" si="0"/>
        <v/>
      </c>
      <c r="J36" s="281">
        <f t="shared" si="1"/>
        <v>0</v>
      </c>
      <c r="K36" s="281">
        <f t="shared" si="2"/>
        <v>0</v>
      </c>
      <c r="L36" s="281" t="str">
        <f t="shared" si="3"/>
        <v/>
      </c>
    </row>
    <row r="37" spans="1:12" x14ac:dyDescent="0.2">
      <c r="A37" s="151" t="str">
        <f>+'Groups Stage'!A38</f>
        <v>Partido</v>
      </c>
      <c r="B37" s="152" t="str">
        <f>+'Groups Stage'!E38</f>
        <v>Grupo E</v>
      </c>
      <c r="C37" s="151">
        <f>+'Groups Stage'!F38</f>
        <v>0</v>
      </c>
      <c r="D37" s="153">
        <f>+'Groups Stage'!G38</f>
        <v>0</v>
      </c>
      <c r="E37" s="153">
        <f>+'Groups Stage'!H38</f>
        <v>0</v>
      </c>
      <c r="I37" s="281" t="str">
        <f t="shared" si="0"/>
        <v/>
      </c>
      <c r="J37" s="281" t="str">
        <f t="shared" si="1"/>
        <v>Grupo E</v>
      </c>
      <c r="K37" s="281">
        <f t="shared" si="2"/>
        <v>0</v>
      </c>
      <c r="L37" s="281" t="str">
        <f t="shared" si="3"/>
        <v/>
      </c>
    </row>
    <row r="38" spans="1:12" x14ac:dyDescent="0.2">
      <c r="A38" s="145" t="str">
        <f>+'Groups Stage'!A39</f>
        <v>GE1</v>
      </c>
      <c r="B38" s="146" t="str">
        <f>+'Groups Stage'!E39</f>
        <v>Alemania</v>
      </c>
      <c r="C38" s="145">
        <f>+'Groups Stage'!F39</f>
        <v>4</v>
      </c>
      <c r="D38" s="147">
        <f>+'Groups Stage'!G39</f>
        <v>0</v>
      </c>
      <c r="E38" s="147" t="str">
        <f>+'Groups Stage'!H39</f>
        <v>Curazao</v>
      </c>
      <c r="I38" s="280" t="str">
        <f t="shared" si="0"/>
        <v>Alemania</v>
      </c>
      <c r="J38" s="280" t="str">
        <f t="shared" si="1"/>
        <v/>
      </c>
      <c r="K38" s="280" t="str">
        <f t="shared" si="2"/>
        <v/>
      </c>
      <c r="L38" s="280" t="str">
        <f t="shared" si="3"/>
        <v>Curazao</v>
      </c>
    </row>
    <row r="39" spans="1:12" x14ac:dyDescent="0.2">
      <c r="A39" t="str">
        <f>+'Groups Stage'!A40</f>
        <v>GE2</v>
      </c>
      <c r="B39" s="141" t="str">
        <f>+'Groups Stage'!E40</f>
        <v>Costa de Marfil</v>
      </c>
      <c r="C39">
        <f>+'Groups Stage'!F40</f>
        <v>1</v>
      </c>
      <c r="D39" s="142">
        <f>+'Groups Stage'!G40</f>
        <v>2</v>
      </c>
      <c r="E39" s="142" t="str">
        <f>+'Groups Stage'!H40</f>
        <v>Ecuador</v>
      </c>
      <c r="I39" s="278" t="str">
        <f t="shared" si="0"/>
        <v>Ecuador</v>
      </c>
      <c r="J39" s="278" t="str">
        <f t="shared" si="1"/>
        <v/>
      </c>
      <c r="K39" s="278" t="str">
        <f t="shared" si="2"/>
        <v/>
      </c>
      <c r="L39" s="278" t="str">
        <f t="shared" si="3"/>
        <v>Costa de Marfil</v>
      </c>
    </row>
    <row r="40" spans="1:12" x14ac:dyDescent="0.2">
      <c r="A40" t="str">
        <f>+'Groups Stage'!A41</f>
        <v>GE3</v>
      </c>
      <c r="B40" s="141" t="str">
        <f>+'Groups Stage'!E41</f>
        <v>Alemania</v>
      </c>
      <c r="C40">
        <f>+'Groups Stage'!F41</f>
        <v>2</v>
      </c>
      <c r="D40" s="142">
        <f>+'Groups Stage'!G41</f>
        <v>0</v>
      </c>
      <c r="E40" s="142" t="str">
        <f>+'Groups Stage'!H41</f>
        <v>Costa de Marfil</v>
      </c>
      <c r="I40" s="278" t="str">
        <f t="shared" si="0"/>
        <v>Alemania</v>
      </c>
      <c r="J40" s="278" t="str">
        <f t="shared" si="1"/>
        <v/>
      </c>
      <c r="K40" s="278" t="str">
        <f t="shared" si="2"/>
        <v/>
      </c>
      <c r="L40" s="278" t="str">
        <f t="shared" si="3"/>
        <v>Costa de Marfil</v>
      </c>
    </row>
    <row r="41" spans="1:12" x14ac:dyDescent="0.2">
      <c r="A41" t="str">
        <f>+'Groups Stage'!A42</f>
        <v>GE4</v>
      </c>
      <c r="B41" s="141" t="str">
        <f>+'Groups Stage'!E42</f>
        <v>Ecuador</v>
      </c>
      <c r="C41">
        <f>+'Groups Stage'!F42</f>
        <v>3</v>
      </c>
      <c r="D41" s="142">
        <f>+'Groups Stage'!G42</f>
        <v>0</v>
      </c>
      <c r="E41" s="142" t="str">
        <f>+'Groups Stage'!H42</f>
        <v>Curazao</v>
      </c>
      <c r="I41" s="278" t="str">
        <f t="shared" si="0"/>
        <v>Ecuador</v>
      </c>
      <c r="J41" s="278" t="str">
        <f t="shared" si="1"/>
        <v/>
      </c>
      <c r="K41" s="278" t="str">
        <f t="shared" si="2"/>
        <v/>
      </c>
      <c r="L41" s="278" t="str">
        <f t="shared" si="3"/>
        <v>Curazao</v>
      </c>
    </row>
    <row r="42" spans="1:12" x14ac:dyDescent="0.2">
      <c r="A42" t="str">
        <f>+'Groups Stage'!A43</f>
        <v>GE5</v>
      </c>
      <c r="B42" s="141" t="str">
        <f>+'Groups Stage'!E43</f>
        <v>Ecuador</v>
      </c>
      <c r="C42">
        <f>+'Groups Stage'!F43</f>
        <v>1</v>
      </c>
      <c r="D42" s="142">
        <f>+'Groups Stage'!G43</f>
        <v>3</v>
      </c>
      <c r="E42" s="142" t="str">
        <f>+'Groups Stage'!H43</f>
        <v>Alemania</v>
      </c>
      <c r="I42" s="278" t="str">
        <f t="shared" si="0"/>
        <v>Alemania</v>
      </c>
      <c r="J42" s="278" t="str">
        <f t="shared" si="1"/>
        <v/>
      </c>
      <c r="K42" s="278" t="str">
        <f t="shared" si="2"/>
        <v/>
      </c>
      <c r="L42" s="278" t="str">
        <f t="shared" si="3"/>
        <v>Ecuador</v>
      </c>
    </row>
    <row r="43" spans="1:12" x14ac:dyDescent="0.2">
      <c r="A43" s="7" t="str">
        <f>+'Groups Stage'!A44</f>
        <v>GE6</v>
      </c>
      <c r="B43" s="143" t="str">
        <f>+'Groups Stage'!E44</f>
        <v>Curazao</v>
      </c>
      <c r="C43" s="7">
        <f>+'Groups Stage'!F44</f>
        <v>0</v>
      </c>
      <c r="D43" s="144">
        <f>+'Groups Stage'!G44</f>
        <v>2</v>
      </c>
      <c r="E43" s="144" t="str">
        <f>+'Groups Stage'!H44</f>
        <v>Costa de Marfil</v>
      </c>
      <c r="I43" s="281" t="str">
        <f t="shared" si="0"/>
        <v>Costa de Marfil</v>
      </c>
      <c r="J43" s="281" t="str">
        <f t="shared" si="1"/>
        <v/>
      </c>
      <c r="K43" s="281" t="str">
        <f t="shared" si="2"/>
        <v/>
      </c>
      <c r="L43" s="281" t="str">
        <f t="shared" si="3"/>
        <v>Curazao</v>
      </c>
    </row>
    <row r="44" spans="1:12" x14ac:dyDescent="0.2">
      <c r="A44" s="148">
        <f>+'Groups Stage'!A45</f>
        <v>0</v>
      </c>
      <c r="B44" s="149">
        <f>+'Groups Stage'!E45</f>
        <v>0</v>
      </c>
      <c r="C44" s="148">
        <f>+'Groups Stage'!F45</f>
        <v>0</v>
      </c>
      <c r="D44" s="150">
        <f>+'Groups Stage'!G45</f>
        <v>0</v>
      </c>
      <c r="E44" s="150">
        <f>+'Groups Stage'!H45</f>
        <v>0</v>
      </c>
      <c r="I44" s="280" t="str">
        <f t="shared" si="0"/>
        <v/>
      </c>
      <c r="J44" s="280">
        <f t="shared" si="1"/>
        <v>0</v>
      </c>
      <c r="K44" s="280">
        <f t="shared" si="2"/>
        <v>0</v>
      </c>
      <c r="L44" s="280" t="str">
        <f t="shared" si="3"/>
        <v/>
      </c>
    </row>
    <row r="45" spans="1:12" x14ac:dyDescent="0.2">
      <c r="A45" s="151">
        <f>+'Groups Stage'!A46</f>
        <v>0</v>
      </c>
      <c r="B45" s="152">
        <f>+'Groups Stage'!E46</f>
        <v>0</v>
      </c>
      <c r="C45" s="151">
        <f>+'Groups Stage'!F46</f>
        <v>0</v>
      </c>
      <c r="D45" s="153">
        <f>+'Groups Stage'!G46</f>
        <v>0</v>
      </c>
      <c r="E45" s="153">
        <f>+'Groups Stage'!H46</f>
        <v>0</v>
      </c>
      <c r="I45" s="281" t="str">
        <f t="shared" si="0"/>
        <v/>
      </c>
      <c r="J45" s="281">
        <f t="shared" si="1"/>
        <v>0</v>
      </c>
      <c r="K45" s="281">
        <f t="shared" si="2"/>
        <v>0</v>
      </c>
      <c r="L45" s="281" t="str">
        <f t="shared" si="3"/>
        <v/>
      </c>
    </row>
    <row r="46" spans="1:12" x14ac:dyDescent="0.2">
      <c r="A46" s="151" t="str">
        <f>+'Groups Stage'!A47</f>
        <v>Partido</v>
      </c>
      <c r="B46" s="152" t="str">
        <f>+'Groups Stage'!E47</f>
        <v>Grupo F</v>
      </c>
      <c r="C46" s="151">
        <f>+'Groups Stage'!F47</f>
        <v>0</v>
      </c>
      <c r="D46" s="153">
        <f>+'Groups Stage'!G47</f>
        <v>0</v>
      </c>
      <c r="E46" s="153">
        <f>+'Groups Stage'!H47</f>
        <v>0</v>
      </c>
      <c r="I46" s="281" t="str">
        <f t="shared" si="0"/>
        <v/>
      </c>
      <c r="J46" s="281" t="str">
        <f t="shared" si="1"/>
        <v>Grupo F</v>
      </c>
      <c r="K46" s="281">
        <f t="shared" si="2"/>
        <v>0</v>
      </c>
      <c r="L46" s="281" t="str">
        <f t="shared" si="3"/>
        <v/>
      </c>
    </row>
    <row r="47" spans="1:12" x14ac:dyDescent="0.2">
      <c r="A47" s="145" t="str">
        <f>+'Groups Stage'!A48</f>
        <v>GF1</v>
      </c>
      <c r="B47" s="146" t="str">
        <f>+'Groups Stage'!E48</f>
        <v>Paises Bajos</v>
      </c>
      <c r="C47" s="145">
        <f>+'Groups Stage'!F48</f>
        <v>2</v>
      </c>
      <c r="D47" s="147">
        <f>+'Groups Stage'!G48</f>
        <v>1</v>
      </c>
      <c r="E47" s="147" t="str">
        <f>+'Groups Stage'!H48</f>
        <v>Japon</v>
      </c>
      <c r="I47" s="280" t="str">
        <f t="shared" si="0"/>
        <v>Paises Bajos</v>
      </c>
      <c r="J47" s="280" t="str">
        <f t="shared" si="1"/>
        <v/>
      </c>
      <c r="K47" s="280" t="str">
        <f t="shared" si="2"/>
        <v/>
      </c>
      <c r="L47" s="280" t="str">
        <f t="shared" si="3"/>
        <v>Japon</v>
      </c>
    </row>
    <row r="48" spans="1:12" x14ac:dyDescent="0.2">
      <c r="A48" t="str">
        <f>+'Groups Stage'!A49</f>
        <v>GF2</v>
      </c>
      <c r="B48" s="141" t="str">
        <f>+'Groups Stage'!E49</f>
        <v>Suecia</v>
      </c>
      <c r="C48">
        <f>+'Groups Stage'!F49</f>
        <v>1</v>
      </c>
      <c r="D48" s="142">
        <f>+'Groups Stage'!G49</f>
        <v>0</v>
      </c>
      <c r="E48" s="142" t="str">
        <f>+'Groups Stage'!H49</f>
        <v>Tunez</v>
      </c>
      <c r="I48" s="278" t="str">
        <f t="shared" si="0"/>
        <v>Suecia</v>
      </c>
      <c r="J48" s="278" t="str">
        <f t="shared" si="1"/>
        <v/>
      </c>
      <c r="K48" s="278" t="str">
        <f t="shared" si="2"/>
        <v/>
      </c>
      <c r="L48" s="278" t="str">
        <f t="shared" si="3"/>
        <v>Tunez</v>
      </c>
    </row>
    <row r="49" spans="1:12" x14ac:dyDescent="0.2">
      <c r="A49" t="str">
        <f>+'Groups Stage'!A50</f>
        <v>GF3</v>
      </c>
      <c r="B49" s="141" t="str">
        <f>+'Groups Stage'!E50</f>
        <v>Paises Bajos</v>
      </c>
      <c r="C49">
        <f>+'Groups Stage'!F50</f>
        <v>2</v>
      </c>
      <c r="D49" s="142">
        <f>+'Groups Stage'!G50</f>
        <v>0</v>
      </c>
      <c r="E49" s="142" t="str">
        <f>+'Groups Stage'!H50</f>
        <v>Suecia</v>
      </c>
      <c r="I49" s="278" t="str">
        <f t="shared" si="0"/>
        <v>Paises Bajos</v>
      </c>
      <c r="J49" s="278" t="str">
        <f t="shared" si="1"/>
        <v/>
      </c>
      <c r="K49" s="278" t="str">
        <f t="shared" si="2"/>
        <v/>
      </c>
      <c r="L49" s="278" t="str">
        <f t="shared" si="3"/>
        <v>Suecia</v>
      </c>
    </row>
    <row r="50" spans="1:12" x14ac:dyDescent="0.2">
      <c r="A50" t="str">
        <f>+'Groups Stage'!A51</f>
        <v>GF4</v>
      </c>
      <c r="B50" s="141" t="str">
        <f>+'Groups Stage'!E51</f>
        <v>Tunez</v>
      </c>
      <c r="C50">
        <f>+'Groups Stage'!F51</f>
        <v>0</v>
      </c>
      <c r="D50" s="142">
        <f>+'Groups Stage'!G51</f>
        <v>2</v>
      </c>
      <c r="E50" s="142" t="str">
        <f>+'Groups Stage'!H51</f>
        <v>Japon</v>
      </c>
      <c r="I50" s="278" t="str">
        <f t="shared" si="0"/>
        <v>Japon</v>
      </c>
      <c r="J50" s="278" t="str">
        <f t="shared" si="1"/>
        <v/>
      </c>
      <c r="K50" s="278" t="str">
        <f t="shared" si="2"/>
        <v/>
      </c>
      <c r="L50" s="278" t="str">
        <f t="shared" si="3"/>
        <v>Tunez</v>
      </c>
    </row>
    <row r="51" spans="1:12" x14ac:dyDescent="0.2">
      <c r="A51" t="str">
        <f>+'Groups Stage'!A52</f>
        <v>GF5</v>
      </c>
      <c r="B51" s="141" t="str">
        <f>+'Groups Stage'!E52</f>
        <v>Japon</v>
      </c>
      <c r="C51">
        <f>+'Groups Stage'!F52</f>
        <v>1</v>
      </c>
      <c r="D51" s="142">
        <f>+'Groups Stage'!G52</f>
        <v>2</v>
      </c>
      <c r="E51" s="142" t="str">
        <f>+'Groups Stage'!H52</f>
        <v>Suecia</v>
      </c>
      <c r="I51" s="278" t="str">
        <f t="shared" si="0"/>
        <v>Suecia</v>
      </c>
      <c r="J51" s="278" t="str">
        <f t="shared" si="1"/>
        <v/>
      </c>
      <c r="K51" s="278" t="str">
        <f t="shared" si="2"/>
        <v/>
      </c>
      <c r="L51" s="278" t="str">
        <f t="shared" si="3"/>
        <v>Japon</v>
      </c>
    </row>
    <row r="52" spans="1:12" x14ac:dyDescent="0.2">
      <c r="A52" s="7" t="str">
        <f>+'Groups Stage'!A53</f>
        <v>GF6</v>
      </c>
      <c r="B52" s="143" t="str">
        <f>+'Groups Stage'!E53</f>
        <v>Tunez</v>
      </c>
      <c r="C52" s="7">
        <f>+'Groups Stage'!F53</f>
        <v>0</v>
      </c>
      <c r="D52" s="144">
        <f>+'Groups Stage'!G53</f>
        <v>3</v>
      </c>
      <c r="E52" s="144" t="str">
        <f>+'Groups Stage'!H53</f>
        <v>Paises Bajos</v>
      </c>
      <c r="I52" s="281" t="str">
        <f t="shared" si="0"/>
        <v>Paises Bajos</v>
      </c>
      <c r="J52" s="281" t="str">
        <f t="shared" si="1"/>
        <v/>
      </c>
      <c r="K52" s="281" t="str">
        <f t="shared" si="2"/>
        <v/>
      </c>
      <c r="L52" s="281" t="str">
        <f t="shared" si="3"/>
        <v>Tunez</v>
      </c>
    </row>
    <row r="53" spans="1:12" x14ac:dyDescent="0.2">
      <c r="A53" s="148">
        <f>+'Groups Stage'!A54</f>
        <v>0</v>
      </c>
      <c r="B53" s="149">
        <f>+'Groups Stage'!E54</f>
        <v>0</v>
      </c>
      <c r="C53" s="148">
        <f>+'Groups Stage'!F54</f>
        <v>0</v>
      </c>
      <c r="D53" s="150">
        <f>+'Groups Stage'!G54</f>
        <v>0</v>
      </c>
      <c r="E53" s="150">
        <f>+'Groups Stage'!H54</f>
        <v>0</v>
      </c>
      <c r="I53" s="280" t="str">
        <f t="shared" si="0"/>
        <v/>
      </c>
      <c r="J53" s="280">
        <f t="shared" si="1"/>
        <v>0</v>
      </c>
      <c r="K53" s="280">
        <f t="shared" si="2"/>
        <v>0</v>
      </c>
      <c r="L53" s="280" t="str">
        <f t="shared" si="3"/>
        <v/>
      </c>
    </row>
    <row r="54" spans="1:12" x14ac:dyDescent="0.2">
      <c r="A54" s="151">
        <f>+'Groups Stage'!A55</f>
        <v>0</v>
      </c>
      <c r="B54" s="152">
        <f>+'Groups Stage'!E55</f>
        <v>0</v>
      </c>
      <c r="C54" s="151">
        <f>+'Groups Stage'!F55</f>
        <v>0</v>
      </c>
      <c r="D54" s="153">
        <f>+'Groups Stage'!G55</f>
        <v>0</v>
      </c>
      <c r="E54" s="153">
        <f>+'Groups Stage'!H55</f>
        <v>0</v>
      </c>
      <c r="I54" s="281" t="str">
        <f t="shared" si="0"/>
        <v/>
      </c>
      <c r="J54" s="281">
        <f t="shared" si="1"/>
        <v>0</v>
      </c>
      <c r="K54" s="281">
        <f t="shared" si="2"/>
        <v>0</v>
      </c>
      <c r="L54" s="281" t="str">
        <f t="shared" si="3"/>
        <v/>
      </c>
    </row>
    <row r="55" spans="1:12" x14ac:dyDescent="0.2">
      <c r="A55" s="151" t="str">
        <f>+'Groups Stage'!A56</f>
        <v>Partido</v>
      </c>
      <c r="B55" s="152" t="str">
        <f>+'Groups Stage'!E56</f>
        <v>Grupo G</v>
      </c>
      <c r="C55" s="151">
        <f>+'Groups Stage'!F56</f>
        <v>0</v>
      </c>
      <c r="D55" s="153">
        <f>+'Groups Stage'!G56</f>
        <v>0</v>
      </c>
      <c r="E55" s="153">
        <f>+'Groups Stage'!H56</f>
        <v>0</v>
      </c>
      <c r="I55" s="281" t="str">
        <f t="shared" si="0"/>
        <v/>
      </c>
      <c r="J55" s="281" t="str">
        <f t="shared" si="1"/>
        <v>Grupo G</v>
      </c>
      <c r="K55" s="281">
        <f t="shared" si="2"/>
        <v>0</v>
      </c>
      <c r="L55" s="281" t="str">
        <f t="shared" si="3"/>
        <v/>
      </c>
    </row>
    <row r="56" spans="1:12" x14ac:dyDescent="0.2">
      <c r="A56" s="145" t="str">
        <f>+'Groups Stage'!A57</f>
        <v>GG1</v>
      </c>
      <c r="B56" s="146" t="str">
        <f>+'Groups Stage'!E57</f>
        <v>Iran</v>
      </c>
      <c r="C56" s="145">
        <f>+'Groups Stage'!F57</f>
        <v>1</v>
      </c>
      <c r="D56" s="147">
        <f>+'Groups Stage'!G57</f>
        <v>0</v>
      </c>
      <c r="E56" s="147" t="str">
        <f>+'Groups Stage'!H57</f>
        <v>Nueva Zelanda</v>
      </c>
      <c r="I56" s="280" t="str">
        <f t="shared" si="0"/>
        <v>Iran</v>
      </c>
      <c r="J56" s="280" t="str">
        <f t="shared" si="1"/>
        <v/>
      </c>
      <c r="K56" s="280" t="str">
        <f t="shared" si="2"/>
        <v/>
      </c>
      <c r="L56" s="280" t="str">
        <f t="shared" si="3"/>
        <v>Nueva Zelanda</v>
      </c>
    </row>
    <row r="57" spans="1:12" x14ac:dyDescent="0.2">
      <c r="A57" t="str">
        <f>+'Groups Stage'!A58</f>
        <v>GG2</v>
      </c>
      <c r="B57" s="141" t="str">
        <f>+'Groups Stage'!E58</f>
        <v>Belgica</v>
      </c>
      <c r="C57">
        <f>+'Groups Stage'!F58</f>
        <v>2</v>
      </c>
      <c r="D57" s="142">
        <f>+'Groups Stage'!G58</f>
        <v>1</v>
      </c>
      <c r="E57" s="142" t="str">
        <f>+'Groups Stage'!H58</f>
        <v>Egipto</v>
      </c>
      <c r="I57" s="278" t="str">
        <f t="shared" si="0"/>
        <v>Belgica</v>
      </c>
      <c r="J57" s="278" t="str">
        <f t="shared" si="1"/>
        <v/>
      </c>
      <c r="K57" s="278" t="str">
        <f t="shared" si="2"/>
        <v/>
      </c>
      <c r="L57" s="278" t="str">
        <f t="shared" si="3"/>
        <v>Egipto</v>
      </c>
    </row>
    <row r="58" spans="1:12" x14ac:dyDescent="0.2">
      <c r="A58" t="str">
        <f>+'Groups Stage'!A59</f>
        <v>GG3</v>
      </c>
      <c r="B58" s="141" t="str">
        <f>+'Groups Stage'!E59</f>
        <v>Belgica</v>
      </c>
      <c r="C58">
        <f>+'Groups Stage'!F59</f>
        <v>3</v>
      </c>
      <c r="D58" s="142">
        <f>+'Groups Stage'!G59</f>
        <v>0</v>
      </c>
      <c r="E58" s="142" t="str">
        <f>+'Groups Stage'!H59</f>
        <v>Iran</v>
      </c>
      <c r="I58" s="278" t="str">
        <f t="shared" si="0"/>
        <v>Belgica</v>
      </c>
      <c r="J58" s="278" t="str">
        <f t="shared" si="1"/>
        <v/>
      </c>
      <c r="K58" s="278" t="str">
        <f t="shared" si="2"/>
        <v/>
      </c>
      <c r="L58" s="278" t="str">
        <f t="shared" si="3"/>
        <v>Iran</v>
      </c>
    </row>
    <row r="59" spans="1:12" x14ac:dyDescent="0.2">
      <c r="A59" t="str">
        <f>+'Groups Stage'!A60</f>
        <v>GG4</v>
      </c>
      <c r="B59" s="141" t="str">
        <f>+'Groups Stage'!E60</f>
        <v>Nueva Zelanda</v>
      </c>
      <c r="C59">
        <f>+'Groups Stage'!F60</f>
        <v>0</v>
      </c>
      <c r="D59" s="142">
        <f>+'Groups Stage'!G60</f>
        <v>2</v>
      </c>
      <c r="E59" s="142" t="str">
        <f>+'Groups Stage'!H60</f>
        <v>Egipto</v>
      </c>
      <c r="I59" s="278" t="str">
        <f t="shared" si="0"/>
        <v>Egipto</v>
      </c>
      <c r="J59" s="278" t="str">
        <f t="shared" si="1"/>
        <v/>
      </c>
      <c r="K59" s="278" t="str">
        <f t="shared" si="2"/>
        <v/>
      </c>
      <c r="L59" s="278" t="str">
        <f t="shared" si="3"/>
        <v>Nueva Zelanda</v>
      </c>
    </row>
    <row r="60" spans="1:12" x14ac:dyDescent="0.2">
      <c r="A60" t="str">
        <f>+'Groups Stage'!A61</f>
        <v>GG5</v>
      </c>
      <c r="B60" s="141" t="str">
        <f>+'Groups Stage'!E61</f>
        <v>Nueva Zelanda</v>
      </c>
      <c r="C60">
        <f>+'Groups Stage'!F61</f>
        <v>0</v>
      </c>
      <c r="D60" s="142">
        <f>+'Groups Stage'!G61</f>
        <v>4</v>
      </c>
      <c r="E60" s="142" t="str">
        <f>+'Groups Stage'!H61</f>
        <v>Belgica</v>
      </c>
      <c r="I60" s="278" t="str">
        <f t="shared" si="0"/>
        <v>Belgica</v>
      </c>
      <c r="J60" s="278" t="str">
        <f t="shared" si="1"/>
        <v/>
      </c>
      <c r="K60" s="278" t="str">
        <f t="shared" si="2"/>
        <v/>
      </c>
      <c r="L60" s="278" t="str">
        <f t="shared" si="3"/>
        <v>Nueva Zelanda</v>
      </c>
    </row>
    <row r="61" spans="1:12" x14ac:dyDescent="0.2">
      <c r="A61" s="7" t="str">
        <f>+'Groups Stage'!A62</f>
        <v>GG6</v>
      </c>
      <c r="B61" s="143" t="str">
        <f>+'Groups Stage'!E62</f>
        <v>Egipto</v>
      </c>
      <c r="C61" s="7">
        <f>+'Groups Stage'!F62</f>
        <v>1</v>
      </c>
      <c r="D61" s="144">
        <f>+'Groups Stage'!G62</f>
        <v>1</v>
      </c>
      <c r="E61" s="144" t="str">
        <f>+'Groups Stage'!H62</f>
        <v>Iran</v>
      </c>
      <c r="I61" s="281" t="str">
        <f t="shared" si="0"/>
        <v/>
      </c>
      <c r="J61" s="281" t="str">
        <f t="shared" si="1"/>
        <v>Egipto</v>
      </c>
      <c r="K61" s="281" t="str">
        <f t="shared" si="2"/>
        <v>Iran</v>
      </c>
      <c r="L61" s="281" t="str">
        <f t="shared" si="3"/>
        <v/>
      </c>
    </row>
    <row r="62" spans="1:12" x14ac:dyDescent="0.2">
      <c r="A62" s="148">
        <f>+'Groups Stage'!A63</f>
        <v>0</v>
      </c>
      <c r="B62" s="149">
        <f>+'Groups Stage'!E63</f>
        <v>0</v>
      </c>
      <c r="C62" s="148">
        <f>+'Groups Stage'!F63</f>
        <v>0</v>
      </c>
      <c r="D62" s="150">
        <f>+'Groups Stage'!G63</f>
        <v>0</v>
      </c>
      <c r="E62" s="150">
        <f>+'Groups Stage'!H63</f>
        <v>0</v>
      </c>
      <c r="I62" s="280" t="str">
        <f t="shared" si="0"/>
        <v/>
      </c>
      <c r="J62" s="280">
        <f t="shared" si="1"/>
        <v>0</v>
      </c>
      <c r="K62" s="280">
        <f t="shared" si="2"/>
        <v>0</v>
      </c>
      <c r="L62" s="280" t="str">
        <f t="shared" si="3"/>
        <v/>
      </c>
    </row>
    <row r="63" spans="1:12" x14ac:dyDescent="0.2">
      <c r="A63" s="151">
        <f>+'Groups Stage'!A64</f>
        <v>0</v>
      </c>
      <c r="B63" s="152">
        <f>+'Groups Stage'!E64</f>
        <v>0</v>
      </c>
      <c r="C63" s="151">
        <f>+'Groups Stage'!F64</f>
        <v>0</v>
      </c>
      <c r="D63" s="153">
        <f>+'Groups Stage'!G64</f>
        <v>0</v>
      </c>
      <c r="E63" s="153">
        <f>+'Groups Stage'!H64</f>
        <v>0</v>
      </c>
      <c r="I63" s="281" t="str">
        <f t="shared" si="0"/>
        <v/>
      </c>
      <c r="J63" s="281">
        <f t="shared" si="1"/>
        <v>0</v>
      </c>
      <c r="K63" s="281">
        <f t="shared" si="2"/>
        <v>0</v>
      </c>
      <c r="L63" s="281" t="str">
        <f t="shared" si="3"/>
        <v/>
      </c>
    </row>
    <row r="64" spans="1:12" x14ac:dyDescent="0.2">
      <c r="A64" s="151" t="str">
        <f>+'Groups Stage'!A65</f>
        <v>Partido</v>
      </c>
      <c r="B64" s="152" t="str">
        <f>+'Groups Stage'!E65</f>
        <v>Grupo H</v>
      </c>
      <c r="C64" s="151">
        <f>+'Groups Stage'!F65</f>
        <v>0</v>
      </c>
      <c r="D64" s="153">
        <f>+'Groups Stage'!G65</f>
        <v>0</v>
      </c>
      <c r="E64" s="153">
        <f>+'Groups Stage'!H65</f>
        <v>0</v>
      </c>
      <c r="I64" s="281" t="str">
        <f t="shared" si="0"/>
        <v/>
      </c>
      <c r="J64" s="281" t="str">
        <f t="shared" si="1"/>
        <v>Grupo H</v>
      </c>
      <c r="K64" s="281">
        <f t="shared" si="2"/>
        <v>0</v>
      </c>
      <c r="L64" s="281" t="str">
        <f t="shared" si="3"/>
        <v/>
      </c>
    </row>
    <row r="65" spans="1:12" x14ac:dyDescent="0.2">
      <c r="A65" s="145" t="str">
        <f>+'Groups Stage'!A66</f>
        <v>GH1</v>
      </c>
      <c r="B65" s="146" t="str">
        <f>+'Groups Stage'!E66</f>
        <v>España</v>
      </c>
      <c r="C65" s="145">
        <f>+'Groups Stage'!F66</f>
        <v>3</v>
      </c>
      <c r="D65" s="147">
        <f>+'Groups Stage'!G66</f>
        <v>0</v>
      </c>
      <c r="E65" s="147" t="str">
        <f>+'Groups Stage'!H66</f>
        <v>Cabo Verde</v>
      </c>
      <c r="I65" s="280" t="str">
        <f t="shared" si="0"/>
        <v>España</v>
      </c>
      <c r="J65" s="280" t="str">
        <f t="shared" si="1"/>
        <v/>
      </c>
      <c r="K65" s="280" t="str">
        <f t="shared" si="2"/>
        <v/>
      </c>
      <c r="L65" s="280" t="str">
        <f t="shared" si="3"/>
        <v>Cabo Verde</v>
      </c>
    </row>
    <row r="66" spans="1:12" x14ac:dyDescent="0.2">
      <c r="A66" t="str">
        <f>+'Groups Stage'!A67</f>
        <v>GH2</v>
      </c>
      <c r="B66" s="141" t="str">
        <f>+'Groups Stage'!E67</f>
        <v>Arabia Saudita</v>
      </c>
      <c r="C66">
        <f>+'Groups Stage'!F67</f>
        <v>0</v>
      </c>
      <c r="D66" s="142">
        <f>+'Groups Stage'!G67</f>
        <v>2</v>
      </c>
      <c r="E66" s="142" t="str">
        <f>+'Groups Stage'!H67</f>
        <v>Uruguay</v>
      </c>
      <c r="I66" s="278" t="str">
        <f t="shared" si="0"/>
        <v>Uruguay</v>
      </c>
      <c r="J66" s="278" t="str">
        <f t="shared" si="1"/>
        <v/>
      </c>
      <c r="K66" s="278" t="str">
        <f t="shared" si="2"/>
        <v/>
      </c>
      <c r="L66" s="278" t="str">
        <f t="shared" si="3"/>
        <v>Arabia Saudita</v>
      </c>
    </row>
    <row r="67" spans="1:12" x14ac:dyDescent="0.2">
      <c r="A67" t="str">
        <f>+'Groups Stage'!A68</f>
        <v>GH3</v>
      </c>
      <c r="B67" s="141" t="str">
        <f>+'Groups Stage'!E68</f>
        <v>España</v>
      </c>
      <c r="C67">
        <f>+'Groups Stage'!F68</f>
        <v>3</v>
      </c>
      <c r="D67" s="142">
        <f>+'Groups Stage'!G68</f>
        <v>0</v>
      </c>
      <c r="E67" s="142" t="str">
        <f>+'Groups Stage'!H68</f>
        <v>Arabia Saudita</v>
      </c>
      <c r="I67" s="278" t="str">
        <f t="shared" ref="I67:I106" si="4">IF(OR(ISBLANK(C67),ISBLANK(D67)),"",IF(C67&gt;D67,B67,IF(D67&gt;C67,E67,"")))</f>
        <v>España</v>
      </c>
      <c r="J67" s="278" t="str">
        <f t="shared" ref="J67:J106" si="5">IF(OR(ISBLANK(C67),ISBLANK(D67)),"",IF(C67=D67,B67,""))</f>
        <v/>
      </c>
      <c r="K67" s="278" t="str">
        <f t="shared" ref="K67:K106" si="6">IF(OR(ISBLANK(C67),ISBLANK(D67)),"",IF(C67=D67,E67,""))</f>
        <v/>
      </c>
      <c r="L67" s="278" t="str">
        <f t="shared" ref="L67:L106" si="7">IF(OR(ISBLANK(C67),ISBLANK(D67)),"",IF(C67&lt;D67,B67,IF(D67&lt;C67,E67,"")))</f>
        <v>Arabia Saudita</v>
      </c>
    </row>
    <row r="68" spans="1:12" x14ac:dyDescent="0.2">
      <c r="A68" t="str">
        <f>+'Groups Stage'!A69</f>
        <v>GH4</v>
      </c>
      <c r="B68" s="141" t="str">
        <f>+'Groups Stage'!E69</f>
        <v>Uruguay</v>
      </c>
      <c r="C68">
        <f>+'Groups Stage'!F69</f>
        <v>2</v>
      </c>
      <c r="D68" s="142">
        <f>+'Groups Stage'!G69</f>
        <v>0</v>
      </c>
      <c r="E68" s="142" t="str">
        <f>+'Groups Stage'!H69</f>
        <v>Cabo Verde</v>
      </c>
      <c r="I68" s="278" t="str">
        <f t="shared" si="4"/>
        <v>Uruguay</v>
      </c>
      <c r="J68" s="278" t="str">
        <f t="shared" si="5"/>
        <v/>
      </c>
      <c r="K68" s="278" t="str">
        <f t="shared" si="6"/>
        <v/>
      </c>
      <c r="L68" s="278" t="str">
        <f t="shared" si="7"/>
        <v>Cabo Verde</v>
      </c>
    </row>
    <row r="69" spans="1:12" x14ac:dyDescent="0.2">
      <c r="A69" t="str">
        <f>+'Groups Stage'!A70</f>
        <v>GH5</v>
      </c>
      <c r="B69" s="141" t="str">
        <f>+'Groups Stage'!E70</f>
        <v>Uruguay</v>
      </c>
      <c r="C69">
        <f>+'Groups Stage'!F70</f>
        <v>1</v>
      </c>
      <c r="D69" s="142">
        <f>+'Groups Stage'!G70</f>
        <v>1</v>
      </c>
      <c r="E69" s="142" t="str">
        <f>+'Groups Stage'!H70</f>
        <v>España</v>
      </c>
      <c r="I69" s="278" t="str">
        <f t="shared" si="4"/>
        <v/>
      </c>
      <c r="J69" s="278" t="str">
        <f t="shared" si="5"/>
        <v>Uruguay</v>
      </c>
      <c r="K69" s="278" t="str">
        <f t="shared" si="6"/>
        <v>España</v>
      </c>
      <c r="L69" s="278" t="str">
        <f t="shared" si="7"/>
        <v/>
      </c>
    </row>
    <row r="70" spans="1:12" x14ac:dyDescent="0.2">
      <c r="A70" s="7" t="str">
        <f>+'Groups Stage'!A71</f>
        <v>GH6</v>
      </c>
      <c r="B70" s="143" t="str">
        <f>+'Groups Stage'!E71</f>
        <v>Cabo Verde</v>
      </c>
      <c r="C70" s="7">
        <f>+'Groups Stage'!F71</f>
        <v>1</v>
      </c>
      <c r="D70" s="144">
        <f>+'Groups Stage'!G71</f>
        <v>0</v>
      </c>
      <c r="E70" s="144" t="str">
        <f>+'Groups Stage'!H71</f>
        <v>Arabia Saudita</v>
      </c>
      <c r="I70" s="281" t="str">
        <f t="shared" si="4"/>
        <v>Cabo Verde</v>
      </c>
      <c r="J70" s="281" t="str">
        <f t="shared" si="5"/>
        <v/>
      </c>
      <c r="K70" s="281" t="str">
        <f t="shared" si="6"/>
        <v/>
      </c>
      <c r="L70" s="281" t="str">
        <f t="shared" si="7"/>
        <v>Arabia Saudita</v>
      </c>
    </row>
    <row r="71" spans="1:12" x14ac:dyDescent="0.2">
      <c r="A71" s="148">
        <f>+'Groups Stage'!A72</f>
        <v>0</v>
      </c>
      <c r="B71" s="149">
        <f>+'Groups Stage'!E72</f>
        <v>0</v>
      </c>
      <c r="C71" s="148">
        <f>+'Groups Stage'!F72</f>
        <v>0</v>
      </c>
      <c r="D71" s="150">
        <f>+'Groups Stage'!G72</f>
        <v>0</v>
      </c>
      <c r="E71" s="150">
        <f>+'Groups Stage'!H72</f>
        <v>0</v>
      </c>
      <c r="I71" s="280" t="str">
        <f t="shared" si="4"/>
        <v/>
      </c>
      <c r="J71" s="280">
        <f t="shared" si="5"/>
        <v>0</v>
      </c>
      <c r="K71" s="280">
        <f t="shared" si="6"/>
        <v>0</v>
      </c>
      <c r="L71" s="280" t="str">
        <f t="shared" si="7"/>
        <v/>
      </c>
    </row>
    <row r="72" spans="1:12" x14ac:dyDescent="0.2">
      <c r="A72" s="151">
        <f>+'Groups Stage'!A73</f>
        <v>0</v>
      </c>
      <c r="B72" s="152">
        <f>+'Groups Stage'!E73</f>
        <v>0</v>
      </c>
      <c r="C72" s="151">
        <f>+'Groups Stage'!F73</f>
        <v>0</v>
      </c>
      <c r="D72" s="153">
        <f>+'Groups Stage'!G73</f>
        <v>0</v>
      </c>
      <c r="E72" s="153">
        <f>+'Groups Stage'!H73</f>
        <v>0</v>
      </c>
      <c r="I72" s="281" t="str">
        <f t="shared" si="4"/>
        <v/>
      </c>
      <c r="J72" s="281">
        <f t="shared" si="5"/>
        <v>0</v>
      </c>
      <c r="K72" s="281">
        <f t="shared" si="6"/>
        <v>0</v>
      </c>
      <c r="L72" s="281" t="str">
        <f t="shared" si="7"/>
        <v/>
      </c>
    </row>
    <row r="73" spans="1:12" x14ac:dyDescent="0.2">
      <c r="A73" s="151" t="str">
        <f>+'Groups Stage'!A74</f>
        <v>Partido</v>
      </c>
      <c r="B73" s="152" t="str">
        <f>+'Groups Stage'!E74</f>
        <v>Grupo I</v>
      </c>
      <c r="C73" s="151">
        <f>+'Groups Stage'!F74</f>
        <v>0</v>
      </c>
      <c r="D73" s="153">
        <f>+'Groups Stage'!G74</f>
        <v>0</v>
      </c>
      <c r="E73" s="153">
        <f>+'Groups Stage'!H74</f>
        <v>0</v>
      </c>
      <c r="I73" s="281" t="str">
        <f t="shared" si="4"/>
        <v/>
      </c>
      <c r="J73" s="281" t="str">
        <f t="shared" si="5"/>
        <v>Grupo I</v>
      </c>
      <c r="K73" s="281">
        <f t="shared" si="6"/>
        <v>0</v>
      </c>
      <c r="L73" s="281" t="str">
        <f t="shared" si="7"/>
        <v/>
      </c>
    </row>
    <row r="74" spans="1:12" x14ac:dyDescent="0.2">
      <c r="A74" s="145" t="str">
        <f>+'Groups Stage'!A75</f>
        <v>GI1</v>
      </c>
      <c r="B74" s="146" t="str">
        <f>+'Groups Stage'!E75</f>
        <v>Francia</v>
      </c>
      <c r="C74" s="145">
        <f>+'Groups Stage'!F75</f>
        <v>2</v>
      </c>
      <c r="D74" s="147">
        <f>+'Groups Stage'!G75</f>
        <v>1</v>
      </c>
      <c r="E74" s="147" t="str">
        <f>+'Groups Stage'!H75</f>
        <v>Senegal</v>
      </c>
      <c r="I74" s="280" t="str">
        <f t="shared" si="4"/>
        <v>Francia</v>
      </c>
      <c r="J74" s="280" t="str">
        <f t="shared" si="5"/>
        <v/>
      </c>
      <c r="K74" s="280" t="str">
        <f t="shared" si="6"/>
        <v/>
      </c>
      <c r="L74" s="280" t="str">
        <f t="shared" si="7"/>
        <v>Senegal</v>
      </c>
    </row>
    <row r="75" spans="1:12" x14ac:dyDescent="0.2">
      <c r="A75" t="str">
        <f>+'Groups Stage'!A76</f>
        <v>GI2</v>
      </c>
      <c r="B75" s="141" t="str">
        <f>+'Groups Stage'!E76</f>
        <v>Irak</v>
      </c>
      <c r="C75">
        <f>+'Groups Stage'!F76</f>
        <v>0</v>
      </c>
      <c r="D75" s="142">
        <f>+'Groups Stage'!G76</f>
        <v>3</v>
      </c>
      <c r="E75" s="142" t="str">
        <f>+'Groups Stage'!H76</f>
        <v>Noruega</v>
      </c>
      <c r="I75" s="278" t="str">
        <f t="shared" si="4"/>
        <v>Noruega</v>
      </c>
      <c r="J75" s="278" t="str">
        <f t="shared" si="5"/>
        <v/>
      </c>
      <c r="K75" s="278" t="str">
        <f t="shared" si="6"/>
        <v/>
      </c>
      <c r="L75" s="278" t="str">
        <f t="shared" si="7"/>
        <v>Irak</v>
      </c>
    </row>
    <row r="76" spans="1:12" x14ac:dyDescent="0.2">
      <c r="A76" t="str">
        <f>+'Groups Stage'!A77</f>
        <v>GI3</v>
      </c>
      <c r="B76" s="141" t="str">
        <f>+'Groups Stage'!E77</f>
        <v>Francia</v>
      </c>
      <c r="C76">
        <f>+'Groups Stage'!F77</f>
        <v>4</v>
      </c>
      <c r="D76" s="142">
        <f>+'Groups Stage'!G77</f>
        <v>0</v>
      </c>
      <c r="E76" s="142" t="str">
        <f>+'Groups Stage'!H77</f>
        <v>Irak</v>
      </c>
      <c r="I76" s="278" t="str">
        <f t="shared" si="4"/>
        <v>Francia</v>
      </c>
      <c r="J76" s="278" t="str">
        <f t="shared" si="5"/>
        <v/>
      </c>
      <c r="K76" s="278" t="str">
        <f t="shared" si="6"/>
        <v/>
      </c>
      <c r="L76" s="278" t="str">
        <f t="shared" si="7"/>
        <v>Irak</v>
      </c>
    </row>
    <row r="77" spans="1:12" x14ac:dyDescent="0.2">
      <c r="A77" t="str">
        <f>+'Groups Stage'!A78</f>
        <v>GI4</v>
      </c>
      <c r="B77" s="141" t="str">
        <f>+'Groups Stage'!E78</f>
        <v>Noruega</v>
      </c>
      <c r="C77">
        <f>+'Groups Stage'!F78</f>
        <v>1</v>
      </c>
      <c r="D77" s="142">
        <f>+'Groups Stage'!G78</f>
        <v>1</v>
      </c>
      <c r="E77" s="142" t="str">
        <f>+'Groups Stage'!H78</f>
        <v>Senegal</v>
      </c>
      <c r="I77" s="278" t="str">
        <f t="shared" si="4"/>
        <v/>
      </c>
      <c r="J77" s="278" t="str">
        <f t="shared" si="5"/>
        <v>Noruega</v>
      </c>
      <c r="K77" s="278" t="str">
        <f t="shared" si="6"/>
        <v>Senegal</v>
      </c>
      <c r="L77" s="278" t="str">
        <f t="shared" si="7"/>
        <v/>
      </c>
    </row>
    <row r="78" spans="1:12" x14ac:dyDescent="0.2">
      <c r="A78" t="str">
        <f>+'Groups Stage'!A79</f>
        <v>GI5</v>
      </c>
      <c r="B78" s="141" t="str">
        <f>+'Groups Stage'!E79</f>
        <v>Noruega</v>
      </c>
      <c r="C78">
        <f>+'Groups Stage'!F79</f>
        <v>1</v>
      </c>
      <c r="D78" s="142">
        <f>+'Groups Stage'!G79</f>
        <v>2</v>
      </c>
      <c r="E78" s="142" t="str">
        <f>+'Groups Stage'!H79</f>
        <v>Francia</v>
      </c>
      <c r="I78" s="278" t="str">
        <f t="shared" si="4"/>
        <v>Francia</v>
      </c>
      <c r="J78" s="278" t="str">
        <f t="shared" si="5"/>
        <v/>
      </c>
      <c r="K78" s="278" t="str">
        <f t="shared" si="6"/>
        <v/>
      </c>
      <c r="L78" s="278" t="str">
        <f t="shared" si="7"/>
        <v>Noruega</v>
      </c>
    </row>
    <row r="79" spans="1:12" x14ac:dyDescent="0.2">
      <c r="A79" s="7" t="str">
        <f>+'Groups Stage'!A80</f>
        <v>GI6</v>
      </c>
      <c r="B79" s="143" t="str">
        <f>+'Groups Stage'!E80</f>
        <v>Senegal</v>
      </c>
      <c r="C79" s="7">
        <f>+'Groups Stage'!F80</f>
        <v>2</v>
      </c>
      <c r="D79" s="144">
        <f>+'Groups Stage'!G80</f>
        <v>0</v>
      </c>
      <c r="E79" s="144" t="str">
        <f>+'Groups Stage'!H80</f>
        <v>Irak</v>
      </c>
      <c r="I79" s="281" t="str">
        <f t="shared" si="4"/>
        <v>Senegal</v>
      </c>
      <c r="J79" s="281" t="str">
        <f t="shared" si="5"/>
        <v/>
      </c>
      <c r="K79" s="281" t="str">
        <f t="shared" si="6"/>
        <v/>
      </c>
      <c r="L79" s="281" t="str">
        <f t="shared" si="7"/>
        <v>Irak</v>
      </c>
    </row>
    <row r="80" spans="1:12" x14ac:dyDescent="0.2">
      <c r="A80" s="148">
        <f>+'Groups Stage'!A81</f>
        <v>0</v>
      </c>
      <c r="B80" s="149">
        <f>+'Groups Stage'!E81</f>
        <v>0</v>
      </c>
      <c r="C80" s="148">
        <f>+'Groups Stage'!F81</f>
        <v>0</v>
      </c>
      <c r="D80" s="150">
        <f>+'Groups Stage'!G81</f>
        <v>0</v>
      </c>
      <c r="E80" s="150">
        <f>+'Groups Stage'!H81</f>
        <v>0</v>
      </c>
      <c r="I80" s="280" t="str">
        <f t="shared" si="4"/>
        <v/>
      </c>
      <c r="J80" s="280">
        <f t="shared" si="5"/>
        <v>0</v>
      </c>
      <c r="K80" s="280">
        <f t="shared" si="6"/>
        <v>0</v>
      </c>
      <c r="L80" s="280" t="str">
        <f t="shared" si="7"/>
        <v/>
      </c>
    </row>
    <row r="81" spans="1:12" x14ac:dyDescent="0.2">
      <c r="A81" s="151">
        <f>+'Groups Stage'!A82</f>
        <v>0</v>
      </c>
      <c r="B81" s="152">
        <f>+'Groups Stage'!E82</f>
        <v>0</v>
      </c>
      <c r="C81" s="151">
        <f>+'Groups Stage'!F82</f>
        <v>0</v>
      </c>
      <c r="D81" s="153">
        <f>+'Groups Stage'!G82</f>
        <v>0</v>
      </c>
      <c r="E81" s="153">
        <f>+'Groups Stage'!H82</f>
        <v>0</v>
      </c>
      <c r="I81" s="281" t="str">
        <f t="shared" si="4"/>
        <v/>
      </c>
      <c r="J81" s="281">
        <f t="shared" si="5"/>
        <v>0</v>
      </c>
      <c r="K81" s="281">
        <f t="shared" si="6"/>
        <v>0</v>
      </c>
      <c r="L81" s="281" t="str">
        <f t="shared" si="7"/>
        <v/>
      </c>
    </row>
    <row r="82" spans="1:12" x14ac:dyDescent="0.2">
      <c r="A82" s="151" t="str">
        <f>+'Groups Stage'!A83</f>
        <v>Partido</v>
      </c>
      <c r="B82" s="152" t="str">
        <f>+'Groups Stage'!E83</f>
        <v>Grupo J</v>
      </c>
      <c r="C82" s="151">
        <f>+'Groups Stage'!F83</f>
        <v>0</v>
      </c>
      <c r="D82" s="153">
        <f>+'Groups Stage'!G83</f>
        <v>0</v>
      </c>
      <c r="E82" s="153">
        <f>+'Groups Stage'!H83</f>
        <v>0</v>
      </c>
      <c r="I82" s="281" t="str">
        <f t="shared" si="4"/>
        <v/>
      </c>
      <c r="J82" s="281" t="str">
        <f t="shared" si="5"/>
        <v>Grupo J</v>
      </c>
      <c r="K82" s="281">
        <f t="shared" si="6"/>
        <v>0</v>
      </c>
      <c r="L82" s="281" t="str">
        <f t="shared" si="7"/>
        <v/>
      </c>
    </row>
    <row r="83" spans="1:12" x14ac:dyDescent="0.2">
      <c r="A83" s="145" t="str">
        <f>+'Groups Stage'!A84</f>
        <v>GJ1</v>
      </c>
      <c r="B83" s="146" t="str">
        <f>+'Groups Stage'!E84</f>
        <v>Argentina</v>
      </c>
      <c r="C83" s="145">
        <f>+'Groups Stage'!F84</f>
        <v>3</v>
      </c>
      <c r="D83" s="147">
        <f>+'Groups Stage'!G84</f>
        <v>0</v>
      </c>
      <c r="E83" s="147" t="str">
        <f>+'Groups Stage'!H84</f>
        <v>Argelia</v>
      </c>
      <c r="I83" s="280" t="str">
        <f t="shared" si="4"/>
        <v>Argentina</v>
      </c>
      <c r="J83" s="280" t="str">
        <f t="shared" si="5"/>
        <v/>
      </c>
      <c r="K83" s="280" t="str">
        <f t="shared" si="6"/>
        <v/>
      </c>
      <c r="L83" s="280" t="str">
        <f t="shared" si="7"/>
        <v>Argelia</v>
      </c>
    </row>
    <row r="84" spans="1:12" x14ac:dyDescent="0.2">
      <c r="A84" t="str">
        <f>+'Groups Stage'!A85</f>
        <v>GJ2</v>
      </c>
      <c r="B84" s="141" t="str">
        <f>+'Groups Stage'!E85</f>
        <v>Austria</v>
      </c>
      <c r="C84">
        <f>+'Groups Stage'!F85</f>
        <v>2</v>
      </c>
      <c r="D84" s="142">
        <f>+'Groups Stage'!G85</f>
        <v>0</v>
      </c>
      <c r="E84" s="142" t="str">
        <f>+'Groups Stage'!H85</f>
        <v>Jordania</v>
      </c>
      <c r="I84" s="278" t="str">
        <f t="shared" si="4"/>
        <v>Austria</v>
      </c>
      <c r="J84" s="278" t="str">
        <f t="shared" si="5"/>
        <v/>
      </c>
      <c r="K84" s="278" t="str">
        <f t="shared" si="6"/>
        <v/>
      </c>
      <c r="L84" s="278" t="str">
        <f t="shared" si="7"/>
        <v>Jordania</v>
      </c>
    </row>
    <row r="85" spans="1:12" x14ac:dyDescent="0.2">
      <c r="A85" t="str">
        <f>+'Groups Stage'!A86</f>
        <v>GJ3</v>
      </c>
      <c r="B85" s="141" t="str">
        <f>+'Groups Stage'!E86</f>
        <v>Argentina</v>
      </c>
      <c r="C85">
        <f>+'Groups Stage'!F86</f>
        <v>2</v>
      </c>
      <c r="D85" s="142">
        <f>+'Groups Stage'!G86</f>
        <v>1</v>
      </c>
      <c r="E85" s="142" t="str">
        <f>+'Groups Stage'!H86</f>
        <v>Austria</v>
      </c>
      <c r="I85" s="278" t="str">
        <f t="shared" si="4"/>
        <v>Argentina</v>
      </c>
      <c r="J85" s="278" t="str">
        <f t="shared" si="5"/>
        <v/>
      </c>
      <c r="K85" s="278" t="str">
        <f t="shared" si="6"/>
        <v/>
      </c>
      <c r="L85" s="278" t="str">
        <f t="shared" si="7"/>
        <v>Austria</v>
      </c>
    </row>
    <row r="86" spans="1:12" x14ac:dyDescent="0.2">
      <c r="A86" t="str">
        <f>+'Groups Stage'!A87</f>
        <v>GJ4</v>
      </c>
      <c r="B86" s="141" t="str">
        <f>+'Groups Stage'!E87</f>
        <v>Jordania</v>
      </c>
      <c r="C86">
        <f>+'Groups Stage'!F87</f>
        <v>0</v>
      </c>
      <c r="D86" s="142">
        <f>+'Groups Stage'!G87</f>
        <v>2</v>
      </c>
      <c r="E86" s="142" t="str">
        <f>+'Groups Stage'!H87</f>
        <v>Argelia</v>
      </c>
      <c r="I86" s="278" t="str">
        <f t="shared" si="4"/>
        <v>Argelia</v>
      </c>
      <c r="J86" s="278" t="str">
        <f t="shared" si="5"/>
        <v/>
      </c>
      <c r="K86" s="278" t="str">
        <f t="shared" si="6"/>
        <v/>
      </c>
      <c r="L86" s="278" t="str">
        <f t="shared" si="7"/>
        <v>Jordania</v>
      </c>
    </row>
    <row r="87" spans="1:12" x14ac:dyDescent="0.2">
      <c r="A87" t="str">
        <f>+'Groups Stage'!A88</f>
        <v>GJ5</v>
      </c>
      <c r="B87" s="141" t="str">
        <f>+'Groups Stage'!E88</f>
        <v>Jordania</v>
      </c>
      <c r="C87">
        <f>+'Groups Stage'!F88</f>
        <v>0</v>
      </c>
      <c r="D87" s="142">
        <f>+'Groups Stage'!G88</f>
        <v>4</v>
      </c>
      <c r="E87" s="142" t="str">
        <f>+'Groups Stage'!H88</f>
        <v>Argentina</v>
      </c>
      <c r="I87" s="278" t="str">
        <f t="shared" si="4"/>
        <v>Argentina</v>
      </c>
      <c r="J87" s="278" t="str">
        <f t="shared" si="5"/>
        <v/>
      </c>
      <c r="K87" s="278" t="str">
        <f t="shared" si="6"/>
        <v/>
      </c>
      <c r="L87" s="278" t="str">
        <f t="shared" si="7"/>
        <v>Jordania</v>
      </c>
    </row>
    <row r="88" spans="1:12" x14ac:dyDescent="0.2">
      <c r="A88" s="7" t="str">
        <f>+'Groups Stage'!A89</f>
        <v>GJ6</v>
      </c>
      <c r="B88" s="143" t="str">
        <f>+'Groups Stage'!E89</f>
        <v>Argelia</v>
      </c>
      <c r="C88" s="7">
        <f>+'Groups Stage'!F89</f>
        <v>1</v>
      </c>
      <c r="D88" s="144">
        <f>+'Groups Stage'!G89</f>
        <v>2</v>
      </c>
      <c r="E88" s="144" t="str">
        <f>+'Groups Stage'!H89</f>
        <v>Austria</v>
      </c>
      <c r="I88" s="281" t="str">
        <f t="shared" si="4"/>
        <v>Austria</v>
      </c>
      <c r="J88" s="281" t="str">
        <f t="shared" si="5"/>
        <v/>
      </c>
      <c r="K88" s="281" t="str">
        <f t="shared" si="6"/>
        <v/>
      </c>
      <c r="L88" s="281" t="str">
        <f t="shared" si="7"/>
        <v>Argelia</v>
      </c>
    </row>
    <row r="89" spans="1:12" x14ac:dyDescent="0.2">
      <c r="A89" s="148">
        <f>+'Groups Stage'!A90</f>
        <v>0</v>
      </c>
      <c r="B89" s="149">
        <f>+'Groups Stage'!E90</f>
        <v>0</v>
      </c>
      <c r="C89" s="148">
        <f>+'Groups Stage'!F90</f>
        <v>0</v>
      </c>
      <c r="D89" s="150">
        <f>+'Groups Stage'!G90</f>
        <v>0</v>
      </c>
      <c r="E89" s="150">
        <f>+'Groups Stage'!H90</f>
        <v>0</v>
      </c>
      <c r="I89" s="280" t="str">
        <f t="shared" si="4"/>
        <v/>
      </c>
      <c r="J89" s="280">
        <f t="shared" si="5"/>
        <v>0</v>
      </c>
      <c r="K89" s="280">
        <f t="shared" si="6"/>
        <v>0</v>
      </c>
      <c r="L89" s="280" t="str">
        <f t="shared" si="7"/>
        <v/>
      </c>
    </row>
    <row r="90" spans="1:12" x14ac:dyDescent="0.2">
      <c r="A90" s="151">
        <f>+'Groups Stage'!A91</f>
        <v>0</v>
      </c>
      <c r="B90" s="152">
        <f>+'Groups Stage'!E91</f>
        <v>0</v>
      </c>
      <c r="C90" s="151">
        <f>+'Groups Stage'!F91</f>
        <v>0</v>
      </c>
      <c r="D90" s="153">
        <f>+'Groups Stage'!G91</f>
        <v>0</v>
      </c>
      <c r="E90" s="153">
        <f>+'Groups Stage'!H91</f>
        <v>0</v>
      </c>
      <c r="I90" s="281" t="str">
        <f t="shared" si="4"/>
        <v/>
      </c>
      <c r="J90" s="281">
        <f t="shared" si="5"/>
        <v>0</v>
      </c>
      <c r="K90" s="281">
        <f t="shared" si="6"/>
        <v>0</v>
      </c>
      <c r="L90" s="281" t="str">
        <f t="shared" si="7"/>
        <v/>
      </c>
    </row>
    <row r="91" spans="1:12" x14ac:dyDescent="0.2">
      <c r="A91" s="151" t="str">
        <f>+'Groups Stage'!A92</f>
        <v>Partido</v>
      </c>
      <c r="B91" s="152" t="str">
        <f>+'Groups Stage'!E92</f>
        <v>Grupo K</v>
      </c>
      <c r="C91" s="151">
        <f>+'Groups Stage'!F92</f>
        <v>0</v>
      </c>
      <c r="D91" s="153">
        <f>+'Groups Stage'!G92</f>
        <v>0</v>
      </c>
      <c r="E91" s="153">
        <f>+'Groups Stage'!H92</f>
        <v>0</v>
      </c>
      <c r="I91" s="281" t="str">
        <f t="shared" si="4"/>
        <v/>
      </c>
      <c r="J91" s="281" t="str">
        <f t="shared" si="5"/>
        <v>Grupo K</v>
      </c>
      <c r="K91" s="281">
        <f t="shared" si="6"/>
        <v>0</v>
      </c>
      <c r="L91" s="281" t="str">
        <f t="shared" si="7"/>
        <v/>
      </c>
    </row>
    <row r="92" spans="1:12" x14ac:dyDescent="0.2">
      <c r="A92" s="145" t="str">
        <f>+'Groups Stage'!A93</f>
        <v>GK1</v>
      </c>
      <c r="B92" s="146" t="str">
        <f>+'Groups Stage'!E93</f>
        <v>Portugal</v>
      </c>
      <c r="C92" s="145">
        <f>+'Groups Stage'!F93</f>
        <v>3</v>
      </c>
      <c r="D92" s="147">
        <f>+'Groups Stage'!G93</f>
        <v>0</v>
      </c>
      <c r="E92" s="147" t="str">
        <f>+'Groups Stage'!H93</f>
        <v>Congo</v>
      </c>
      <c r="I92" s="280" t="str">
        <f t="shared" si="4"/>
        <v>Portugal</v>
      </c>
      <c r="J92" s="280" t="str">
        <f t="shared" si="5"/>
        <v/>
      </c>
      <c r="K92" s="280" t="str">
        <f t="shared" si="6"/>
        <v/>
      </c>
      <c r="L92" s="280" t="str">
        <f t="shared" si="7"/>
        <v>Congo</v>
      </c>
    </row>
    <row r="93" spans="1:12" x14ac:dyDescent="0.2">
      <c r="A93" t="str">
        <f>+'Groups Stage'!A94</f>
        <v>GK2</v>
      </c>
      <c r="B93" s="141" t="str">
        <f>+'Groups Stage'!E94</f>
        <v>Uzbekistan</v>
      </c>
      <c r="C93">
        <f>+'Groups Stage'!F94</f>
        <v>0</v>
      </c>
      <c r="D93" s="142">
        <f>+'Groups Stage'!G94</f>
        <v>2</v>
      </c>
      <c r="E93" s="142" t="str">
        <f>+'Groups Stage'!H94</f>
        <v>Colombia</v>
      </c>
      <c r="I93" s="278" t="str">
        <f t="shared" si="4"/>
        <v>Colombia</v>
      </c>
      <c r="J93" s="278" t="str">
        <f t="shared" si="5"/>
        <v/>
      </c>
      <c r="K93" s="278" t="str">
        <f t="shared" si="6"/>
        <v/>
      </c>
      <c r="L93" s="278" t="str">
        <f t="shared" si="7"/>
        <v>Uzbekistan</v>
      </c>
    </row>
    <row r="94" spans="1:12" x14ac:dyDescent="0.2">
      <c r="A94" t="str">
        <f>+'Groups Stage'!A95</f>
        <v>GK3</v>
      </c>
      <c r="B94" s="141" t="str">
        <f>+'Groups Stage'!E95</f>
        <v>Portugal</v>
      </c>
      <c r="C94">
        <f>+'Groups Stage'!F95</f>
        <v>4</v>
      </c>
      <c r="D94" s="142">
        <f>+'Groups Stage'!G95</f>
        <v>0</v>
      </c>
      <c r="E94" s="142" t="str">
        <f>+'Groups Stage'!H95</f>
        <v>Uzbekistan</v>
      </c>
      <c r="I94" s="278" t="str">
        <f t="shared" si="4"/>
        <v>Portugal</v>
      </c>
      <c r="J94" s="278" t="str">
        <f t="shared" si="5"/>
        <v/>
      </c>
      <c r="K94" s="278" t="str">
        <f t="shared" si="6"/>
        <v/>
      </c>
      <c r="L94" s="278" t="str">
        <f t="shared" si="7"/>
        <v>Uzbekistan</v>
      </c>
    </row>
    <row r="95" spans="1:12" x14ac:dyDescent="0.2">
      <c r="A95" t="str">
        <f>+'Groups Stage'!A96</f>
        <v>GK4</v>
      </c>
      <c r="B95" s="141" t="str">
        <f>+'Groups Stage'!E96</f>
        <v>Colombia</v>
      </c>
      <c r="C95">
        <f>+'Groups Stage'!F96</f>
        <v>2</v>
      </c>
      <c r="D95" s="142">
        <f>+'Groups Stage'!G96</f>
        <v>0</v>
      </c>
      <c r="E95" s="142" t="str">
        <f>+'Groups Stage'!H96</f>
        <v>Congo</v>
      </c>
      <c r="I95" s="278" t="str">
        <f t="shared" si="4"/>
        <v>Colombia</v>
      </c>
      <c r="J95" s="278" t="str">
        <f t="shared" si="5"/>
        <v/>
      </c>
      <c r="K95" s="278" t="str">
        <f t="shared" si="6"/>
        <v/>
      </c>
      <c r="L95" s="278" t="str">
        <f t="shared" si="7"/>
        <v>Congo</v>
      </c>
    </row>
    <row r="96" spans="1:12" x14ac:dyDescent="0.2">
      <c r="A96" t="str">
        <f>+'Groups Stage'!A97</f>
        <v>GK5</v>
      </c>
      <c r="B96" s="141" t="str">
        <f>+'Groups Stage'!E97</f>
        <v>Colombia</v>
      </c>
      <c r="C96">
        <f>+'Groups Stage'!F97</f>
        <v>1</v>
      </c>
      <c r="D96" s="142">
        <f>+'Groups Stage'!G97</f>
        <v>2</v>
      </c>
      <c r="E96" s="142" t="str">
        <f>+'Groups Stage'!H97</f>
        <v>Portugal</v>
      </c>
      <c r="I96" s="278" t="str">
        <f t="shared" si="4"/>
        <v>Portugal</v>
      </c>
      <c r="J96" s="278" t="str">
        <f t="shared" si="5"/>
        <v/>
      </c>
      <c r="K96" s="278" t="str">
        <f t="shared" si="6"/>
        <v/>
      </c>
      <c r="L96" s="278" t="str">
        <f t="shared" si="7"/>
        <v>Colombia</v>
      </c>
    </row>
    <row r="97" spans="1:13" x14ac:dyDescent="0.2">
      <c r="A97" s="7" t="str">
        <f>+'Groups Stage'!A98</f>
        <v>GK6</v>
      </c>
      <c r="B97" s="143" t="str">
        <f>+'Groups Stage'!E98</f>
        <v>Congo</v>
      </c>
      <c r="C97" s="7">
        <f>+'Groups Stage'!F98</f>
        <v>1</v>
      </c>
      <c r="D97" s="144">
        <f>+'Groups Stage'!G98</f>
        <v>1</v>
      </c>
      <c r="E97" s="144" t="str">
        <f>+'Groups Stage'!H98</f>
        <v>Uzbekistan</v>
      </c>
      <c r="I97" s="281" t="str">
        <f t="shared" si="4"/>
        <v/>
      </c>
      <c r="J97" s="281" t="str">
        <f t="shared" si="5"/>
        <v>Congo</v>
      </c>
      <c r="K97" s="281" t="str">
        <f t="shared" si="6"/>
        <v>Uzbekistan</v>
      </c>
      <c r="L97" s="281" t="str">
        <f t="shared" si="7"/>
        <v/>
      </c>
    </row>
    <row r="98" spans="1:13" x14ac:dyDescent="0.2">
      <c r="A98" s="148">
        <f>+'Groups Stage'!A99</f>
        <v>0</v>
      </c>
      <c r="B98" s="149">
        <f>+'Groups Stage'!E99</f>
        <v>0</v>
      </c>
      <c r="C98" s="148">
        <f>+'Groups Stage'!F99</f>
        <v>0</v>
      </c>
      <c r="D98" s="150">
        <f>+'Groups Stage'!G99</f>
        <v>0</v>
      </c>
      <c r="E98" s="150">
        <f>+'Groups Stage'!H99</f>
        <v>0</v>
      </c>
      <c r="I98" s="280" t="str">
        <f t="shared" si="4"/>
        <v/>
      </c>
      <c r="J98" s="280">
        <f t="shared" si="5"/>
        <v>0</v>
      </c>
      <c r="K98" s="280">
        <f t="shared" si="6"/>
        <v>0</v>
      </c>
      <c r="L98" s="280" t="str">
        <f t="shared" si="7"/>
        <v/>
      </c>
    </row>
    <row r="99" spans="1:13" x14ac:dyDescent="0.2">
      <c r="A99" s="151">
        <f>+'Groups Stage'!A100</f>
        <v>0</v>
      </c>
      <c r="B99" s="152">
        <f>+'Groups Stage'!E100</f>
        <v>0</v>
      </c>
      <c r="C99" s="151">
        <f>+'Groups Stage'!F100</f>
        <v>0</v>
      </c>
      <c r="D99" s="153">
        <f>+'Groups Stage'!G100</f>
        <v>0</v>
      </c>
      <c r="E99" s="153">
        <f>+'Groups Stage'!H100</f>
        <v>0</v>
      </c>
      <c r="I99" s="281" t="str">
        <f t="shared" si="4"/>
        <v/>
      </c>
      <c r="J99" s="281">
        <f t="shared" si="5"/>
        <v>0</v>
      </c>
      <c r="K99" s="281">
        <f t="shared" si="6"/>
        <v>0</v>
      </c>
      <c r="L99" s="281" t="str">
        <f t="shared" si="7"/>
        <v/>
      </c>
    </row>
    <row r="100" spans="1:13" x14ac:dyDescent="0.2">
      <c r="A100" s="151" t="str">
        <f>+'Groups Stage'!A101</f>
        <v>Partido</v>
      </c>
      <c r="B100" s="152" t="str">
        <f>+'Groups Stage'!E101</f>
        <v>Grupo L</v>
      </c>
      <c r="C100" s="151">
        <f>+'Groups Stage'!F101</f>
        <v>0</v>
      </c>
      <c r="D100" s="153">
        <f>+'Groups Stage'!G101</f>
        <v>0</v>
      </c>
      <c r="E100" s="153">
        <f>+'Groups Stage'!H101</f>
        <v>0</v>
      </c>
      <c r="I100" s="281" t="str">
        <f t="shared" si="4"/>
        <v/>
      </c>
      <c r="J100" s="281" t="str">
        <f t="shared" si="5"/>
        <v>Grupo L</v>
      </c>
      <c r="K100" s="281">
        <f t="shared" si="6"/>
        <v>0</v>
      </c>
      <c r="L100" s="281" t="str">
        <f t="shared" si="7"/>
        <v/>
      </c>
    </row>
    <row r="101" spans="1:13" x14ac:dyDescent="0.2">
      <c r="A101" t="str">
        <f>+'Groups Stage'!A102</f>
        <v>GL1</v>
      </c>
      <c r="B101" s="141" t="str">
        <f>+'Groups Stage'!E102</f>
        <v>Inglaterra</v>
      </c>
      <c r="C101">
        <f>+'Groups Stage'!F102</f>
        <v>1</v>
      </c>
      <c r="D101" s="142">
        <f>+'Groups Stage'!G102</f>
        <v>0</v>
      </c>
      <c r="E101" s="142" t="str">
        <f>+'Groups Stage'!H102</f>
        <v>Croacia</v>
      </c>
      <c r="I101" s="278" t="str">
        <f t="shared" si="4"/>
        <v>Inglaterra</v>
      </c>
      <c r="J101" s="278" t="str">
        <f t="shared" si="5"/>
        <v/>
      </c>
      <c r="K101" s="278" t="str">
        <f t="shared" si="6"/>
        <v/>
      </c>
      <c r="L101" s="278" t="str">
        <f t="shared" si="7"/>
        <v>Croacia</v>
      </c>
    </row>
    <row r="102" spans="1:13" x14ac:dyDescent="0.2">
      <c r="A102" t="str">
        <f>+'Groups Stage'!A103</f>
        <v>GL2</v>
      </c>
      <c r="B102" s="141" t="str">
        <f>+'Groups Stage'!E103</f>
        <v>Ghana</v>
      </c>
      <c r="C102">
        <f>+'Groups Stage'!F103</f>
        <v>2</v>
      </c>
      <c r="D102" s="142">
        <f>+'Groups Stage'!G103</f>
        <v>0</v>
      </c>
      <c r="E102" s="142" t="str">
        <f>+'Groups Stage'!H103</f>
        <v>Panama</v>
      </c>
      <c r="I102" s="278" t="str">
        <f t="shared" si="4"/>
        <v>Ghana</v>
      </c>
      <c r="J102" s="278" t="str">
        <f t="shared" si="5"/>
        <v/>
      </c>
      <c r="K102" s="278" t="str">
        <f t="shared" si="6"/>
        <v/>
      </c>
      <c r="L102" s="278" t="str">
        <f t="shared" si="7"/>
        <v>Panama</v>
      </c>
    </row>
    <row r="103" spans="1:13" x14ac:dyDescent="0.2">
      <c r="A103" t="str">
        <f>+'Groups Stage'!A104</f>
        <v>GL3</v>
      </c>
      <c r="B103" s="141" t="str">
        <f>+'Groups Stage'!E104</f>
        <v>Inglaterra</v>
      </c>
      <c r="C103">
        <f>+'Groups Stage'!F104</f>
        <v>2</v>
      </c>
      <c r="D103" s="142">
        <f>+'Groups Stage'!G104</f>
        <v>1</v>
      </c>
      <c r="E103" s="142" t="str">
        <f>+'Groups Stage'!H104</f>
        <v>Ghana</v>
      </c>
      <c r="I103" s="278" t="str">
        <f t="shared" si="4"/>
        <v>Inglaterra</v>
      </c>
      <c r="J103" s="278" t="str">
        <f t="shared" si="5"/>
        <v/>
      </c>
      <c r="K103" s="278" t="str">
        <f t="shared" si="6"/>
        <v/>
      </c>
      <c r="L103" s="278" t="str">
        <f t="shared" si="7"/>
        <v>Ghana</v>
      </c>
    </row>
    <row r="104" spans="1:13" x14ac:dyDescent="0.2">
      <c r="A104" t="str">
        <f>+'Groups Stage'!A105</f>
        <v>GL4</v>
      </c>
      <c r="B104" s="141" t="str">
        <f>+'Groups Stage'!E105</f>
        <v>Panama</v>
      </c>
      <c r="C104">
        <f>+'Groups Stage'!F105</f>
        <v>0</v>
      </c>
      <c r="D104" s="142">
        <f>+'Groups Stage'!G105</f>
        <v>3</v>
      </c>
      <c r="E104" s="142" t="str">
        <f>+'Groups Stage'!H105</f>
        <v>Croacia</v>
      </c>
      <c r="I104" s="278" t="str">
        <f t="shared" si="4"/>
        <v>Croacia</v>
      </c>
      <c r="J104" s="278" t="str">
        <f t="shared" si="5"/>
        <v/>
      </c>
      <c r="K104" s="278" t="str">
        <f t="shared" si="6"/>
        <v/>
      </c>
      <c r="L104" s="278" t="str">
        <f t="shared" si="7"/>
        <v>Panama</v>
      </c>
    </row>
    <row r="105" spans="1:13" x14ac:dyDescent="0.2">
      <c r="A105" t="str">
        <f>+'Groups Stage'!A106</f>
        <v>GL5</v>
      </c>
      <c r="B105" s="141" t="str">
        <f>+'Groups Stage'!E106</f>
        <v>Panama</v>
      </c>
      <c r="C105">
        <f>+'Groups Stage'!F106</f>
        <v>0</v>
      </c>
      <c r="D105" s="142">
        <f>+'Groups Stage'!G106</f>
        <v>4</v>
      </c>
      <c r="E105" s="142" t="str">
        <f>+'Groups Stage'!H106</f>
        <v>Inglaterra</v>
      </c>
      <c r="I105" s="278" t="str">
        <f t="shared" si="4"/>
        <v>Inglaterra</v>
      </c>
      <c r="J105" s="278" t="str">
        <f t="shared" si="5"/>
        <v/>
      </c>
      <c r="K105" s="278" t="str">
        <f t="shared" si="6"/>
        <v/>
      </c>
      <c r="L105" s="278" t="str">
        <f t="shared" si="7"/>
        <v>Panama</v>
      </c>
    </row>
    <row r="106" spans="1:13" x14ac:dyDescent="0.2">
      <c r="A106" t="str">
        <f>+'Groups Stage'!A107</f>
        <v>GL6</v>
      </c>
      <c r="B106" s="141" t="str">
        <f>+'Groups Stage'!E107</f>
        <v>Croacia</v>
      </c>
      <c r="C106">
        <f>+'Groups Stage'!F107</f>
        <v>2</v>
      </c>
      <c r="D106" s="142">
        <f>+'Groups Stage'!G107</f>
        <v>1</v>
      </c>
      <c r="E106" s="142" t="str">
        <f>+'Groups Stage'!H107</f>
        <v>Ghana</v>
      </c>
      <c r="I106" s="281" t="str">
        <f t="shared" si="4"/>
        <v>Croacia</v>
      </c>
      <c r="J106" s="281" t="str">
        <f t="shared" si="5"/>
        <v/>
      </c>
      <c r="K106" s="281" t="str">
        <f t="shared" si="6"/>
        <v/>
      </c>
      <c r="L106" s="281" t="str">
        <f t="shared" si="7"/>
        <v>Ghana</v>
      </c>
    </row>
    <row r="107" spans="1:13" x14ac:dyDescent="0.2">
      <c r="A107" s="245" t="s">
        <v>213</v>
      </c>
      <c r="B107" s="246" t="str">
        <f>+_xlfn.XLOOKUP($A107,'Round of 32 &amp; Round of 16'!$A:$A,'Round of 32 &amp; Round of 16'!B:B,"-",0)</f>
        <v>Repubilca Checa</v>
      </c>
      <c r="C107" s="245">
        <f>+_xlfn.XLOOKUP($A107,'Round of 32 &amp; Round of 16'!$A:$A,'Round of 32 &amp; Round of 16'!C:C,"-",0)</f>
        <v>0</v>
      </c>
      <c r="D107" s="247">
        <f>+_xlfn.XLOOKUP($A107,'Round of 32 &amp; Round of 16'!$A:$A,'Round of 32 &amp; Round of 16'!D:D,"-",0)</f>
        <v>1</v>
      </c>
      <c r="E107" s="247" t="str">
        <f>+_xlfn.XLOOKUP($A107,'Round of 32 &amp; Round of 16'!$A:$A,'Round of 32 &amp; Round of 16'!E:E,"-",0)</f>
        <v>Suiza</v>
      </c>
      <c r="I107" s="282" t="str">
        <f t="shared" ref="I107:I138" si="8">IF(OR(ISBLANK(C107),ISBLANK(D107)),"",IF(C107&gt;D107,B107,IF(D107&gt;C107,E107,"")))</f>
        <v>Suiza</v>
      </c>
      <c r="J107" s="282" t="str">
        <f t="shared" ref="J107:J138" si="9">IF(OR(ISBLANK(C107),ISBLANK(D107)),"",IF(C107=D107,B107,""))</f>
        <v/>
      </c>
      <c r="K107" s="282" t="str">
        <f t="shared" ref="K107:K138" si="10">IF(OR(ISBLANK(C107),ISBLANK(D107)),"",IF(C107=D107,E107,""))</f>
        <v/>
      </c>
      <c r="L107" s="282" t="str">
        <f t="shared" ref="L107:L138" si="11">IF(OR(ISBLANK(C107),ISBLANK(D107)),"",IF(C107&lt;D107,B107,IF(D107&lt;C107,E107,"")))</f>
        <v>Repubilca Checa</v>
      </c>
      <c r="M107" s="282"/>
    </row>
    <row r="108" spans="1:13" x14ac:dyDescent="0.2">
      <c r="A108" s="248" t="s">
        <v>221</v>
      </c>
      <c r="B108" s="249" t="str">
        <f>+_xlfn.XLOOKUP($A108,'Round of 32 &amp; Round of 16'!$A:$A,'Round of 32 &amp; Round of 16'!B:B,"-",0)</f>
        <v>Alemania</v>
      </c>
      <c r="C108" s="248">
        <f>+_xlfn.XLOOKUP($A108,'Round of 32 &amp; Round of 16'!$A:$A,'Round of 32 &amp; Round of 16'!C:C,"-",0)</f>
        <v>2</v>
      </c>
      <c r="D108" s="250">
        <f>+_xlfn.XLOOKUP($A108,'Round of 32 &amp; Round of 16'!$A:$A,'Round of 32 &amp; Round of 16'!D:D,"-",0)</f>
        <v>0</v>
      </c>
      <c r="E108" s="250" t="str">
        <f>+_xlfn.XLOOKUP($A108,'Round of 32 &amp; Round of 16'!$A:$A,'Round of 32 &amp; Round of 16'!E:E,"-",0)</f>
        <v>Paraguay</v>
      </c>
      <c r="I108" s="283" t="str">
        <f t="shared" si="8"/>
        <v>Alemania</v>
      </c>
      <c r="J108" s="283" t="str">
        <f t="shared" si="9"/>
        <v/>
      </c>
      <c r="K108" s="283" t="str">
        <f t="shared" si="10"/>
        <v/>
      </c>
      <c r="L108" s="283" t="str">
        <f t="shared" si="11"/>
        <v>Paraguay</v>
      </c>
      <c r="M108" s="283"/>
    </row>
    <row r="109" spans="1:13" x14ac:dyDescent="0.2">
      <c r="A109" s="248" t="s">
        <v>230</v>
      </c>
      <c r="B109" s="249" t="str">
        <f>+_xlfn.XLOOKUP($A109,'Round of 32 &amp; Round of 16'!$A:$A,'Round of 32 &amp; Round of 16'!B:B,"-",0)</f>
        <v>Paises Bajos</v>
      </c>
      <c r="C109" s="248">
        <f>+_xlfn.XLOOKUP($A109,'Round of 32 &amp; Round of 16'!$A:$A,'Round of 32 &amp; Round of 16'!C:C,"-",0)</f>
        <v>1</v>
      </c>
      <c r="D109" s="250">
        <f>+_xlfn.XLOOKUP($A109,'Round of 32 &amp; Round of 16'!$A:$A,'Round of 32 &amp; Round of 16'!D:D,"-",0)</f>
        <v>0</v>
      </c>
      <c r="E109" s="250" t="str">
        <f>+_xlfn.XLOOKUP($A109,'Round of 32 &amp; Round of 16'!$A:$A,'Round of 32 &amp; Round of 16'!E:E,"-",0)</f>
        <v>Marruecos</v>
      </c>
      <c r="I109" s="283" t="str">
        <f t="shared" si="8"/>
        <v>Paises Bajos</v>
      </c>
      <c r="J109" s="283" t="str">
        <f t="shared" si="9"/>
        <v/>
      </c>
      <c r="K109" s="283" t="str">
        <f t="shared" si="10"/>
        <v/>
      </c>
      <c r="L109" s="283" t="str">
        <f t="shared" si="11"/>
        <v>Marruecos</v>
      </c>
      <c r="M109" s="283"/>
    </row>
    <row r="110" spans="1:13" x14ac:dyDescent="0.2">
      <c r="A110" s="248" t="s">
        <v>239</v>
      </c>
      <c r="B110" s="249" t="str">
        <f>+_xlfn.XLOOKUP($A110,'Round of 32 &amp; Round of 16'!$A:$A,'Round of 32 &amp; Round of 16'!B:B,"-",0)</f>
        <v>Brasil</v>
      </c>
      <c r="C110" s="248">
        <f>+_xlfn.XLOOKUP($A110,'Round of 32 &amp; Round of 16'!$A:$A,'Round of 32 &amp; Round of 16'!C:C,"-",0)</f>
        <v>3</v>
      </c>
      <c r="D110" s="250">
        <f>+_xlfn.XLOOKUP($A110,'Round of 32 &amp; Round of 16'!$A:$A,'Round of 32 &amp; Round of 16'!D:D,"-",0)</f>
        <v>1</v>
      </c>
      <c r="E110" s="250" t="str">
        <f>+_xlfn.XLOOKUP($A110,'Round of 32 &amp; Round of 16'!$A:$A,'Round of 32 &amp; Round of 16'!E:E,"-",0)</f>
        <v>Suecia</v>
      </c>
      <c r="I110" s="283" t="str">
        <f t="shared" si="8"/>
        <v>Brasil</v>
      </c>
      <c r="J110" s="283" t="str">
        <f t="shared" si="9"/>
        <v/>
      </c>
      <c r="K110" s="283" t="str">
        <f t="shared" si="10"/>
        <v/>
      </c>
      <c r="L110" s="283" t="str">
        <f t="shared" si="11"/>
        <v>Suecia</v>
      </c>
      <c r="M110" s="283"/>
    </row>
    <row r="111" spans="1:13" x14ac:dyDescent="0.2">
      <c r="A111" s="248" t="s">
        <v>249</v>
      </c>
      <c r="B111" s="249" t="str">
        <f>+_xlfn.XLOOKUP($A111,'Round of 32 &amp; Round of 16'!$A:$A,'Round of 32 &amp; Round of 16'!B:B,"-",0)</f>
        <v>Francia</v>
      </c>
      <c r="C111" s="248">
        <f>+_xlfn.XLOOKUP($A111,'Round of 32 &amp; Round of 16'!$A:$A,'Round of 32 &amp; Round of 16'!C:C,"-",0)</f>
        <v>2</v>
      </c>
      <c r="D111" s="250">
        <f>+_xlfn.XLOOKUP($A111,'Round of 32 &amp; Round of 16'!$A:$A,'Round of 32 &amp; Round of 16'!D:D,"-",0)</f>
        <v>0</v>
      </c>
      <c r="E111" s="250" t="str">
        <f>+_xlfn.XLOOKUP($A111,'Round of 32 &amp; Round of 16'!$A:$A,'Round of 32 &amp; Round of 16'!E:E,"-",0)</f>
        <v>Japon</v>
      </c>
      <c r="I111" s="283" t="str">
        <f t="shared" si="8"/>
        <v>Francia</v>
      </c>
      <c r="J111" s="283" t="str">
        <f t="shared" si="9"/>
        <v/>
      </c>
      <c r="K111" s="283" t="str">
        <f t="shared" si="10"/>
        <v/>
      </c>
      <c r="L111" s="283" t="str">
        <f t="shared" si="11"/>
        <v>Japon</v>
      </c>
      <c r="M111" s="283"/>
    </row>
    <row r="112" spans="1:13" x14ac:dyDescent="0.2">
      <c r="A112" s="248" t="s">
        <v>257</v>
      </c>
      <c r="B112" s="249" t="str">
        <f>+_xlfn.XLOOKUP($A112,'Round of 32 &amp; Round of 16'!$A:$A,'Round of 32 &amp; Round of 16'!B:B,"-",0)</f>
        <v>Ecuador</v>
      </c>
      <c r="C112" s="248">
        <f>+_xlfn.XLOOKUP($A112,'Round of 32 &amp; Round of 16'!$A:$A,'Round of 32 &amp; Round of 16'!C:C,"-",0)</f>
        <v>1</v>
      </c>
      <c r="D112" s="250">
        <f>+_xlfn.XLOOKUP($A112,'Round of 32 &amp; Round of 16'!$A:$A,'Round of 32 &amp; Round of 16'!D:D,"-",0)</f>
        <v>2</v>
      </c>
      <c r="E112" s="250" t="str">
        <f>+_xlfn.XLOOKUP($A112,'Round of 32 &amp; Round of 16'!$A:$A,'Round of 32 &amp; Round of 16'!E:E,"-",0)</f>
        <v>Noruega</v>
      </c>
      <c r="I112" s="283" t="str">
        <f t="shared" si="8"/>
        <v>Noruega</v>
      </c>
      <c r="J112" s="283" t="str">
        <f t="shared" si="9"/>
        <v/>
      </c>
      <c r="K112" s="283" t="str">
        <f t="shared" si="10"/>
        <v/>
      </c>
      <c r="L112" s="283" t="str">
        <f t="shared" si="11"/>
        <v>Ecuador</v>
      </c>
      <c r="M112" s="283"/>
    </row>
    <row r="113" spans="1:13" x14ac:dyDescent="0.2">
      <c r="A113" s="248" t="s">
        <v>266</v>
      </c>
      <c r="B113" s="249" t="str">
        <f>+_xlfn.XLOOKUP($A113,'Round of 32 &amp; Round of 16'!$A:$A,'Round of 32 &amp; Round of 16'!B:B,"-",0)</f>
        <v>Corea del Sur</v>
      </c>
      <c r="C113" s="248">
        <f>+_xlfn.XLOOKUP($A113,'Round of 32 &amp; Round of 16'!$A:$A,'Round of 32 &amp; Round of 16'!C:C,"-",0)</f>
        <v>2</v>
      </c>
      <c r="D113" s="250">
        <f>+_xlfn.XLOOKUP($A113,'Round of 32 &amp; Round of 16'!$A:$A,'Round of 32 &amp; Round of 16'!D:D,"-",0)</f>
        <v>1</v>
      </c>
      <c r="E113" s="250" t="str">
        <f>+_xlfn.XLOOKUP($A113,'Round of 32 &amp; Round of 16'!$A:$A,'Round of 32 &amp; Round of 16'!E:E,"-",0)</f>
        <v>Costa de Marfil</v>
      </c>
      <c r="I113" s="283" t="str">
        <f t="shared" si="8"/>
        <v>Corea del Sur</v>
      </c>
      <c r="J113" s="283" t="str">
        <f t="shared" si="9"/>
        <v/>
      </c>
      <c r="K113" s="283" t="str">
        <f t="shared" si="10"/>
        <v/>
      </c>
      <c r="L113" s="283" t="str">
        <f t="shared" si="11"/>
        <v>Costa de Marfil</v>
      </c>
      <c r="M113" s="283"/>
    </row>
    <row r="114" spans="1:13" x14ac:dyDescent="0.2">
      <c r="A114" s="251" t="s">
        <v>273</v>
      </c>
      <c r="B114" s="252" t="str">
        <f>+_xlfn.XLOOKUP($A114,'Round of 32 &amp; Round of 16'!$A:$A,'Round of 32 &amp; Round of 16'!B:B,"-",0)</f>
        <v>Inglaterra</v>
      </c>
      <c r="C114" s="251">
        <f>+_xlfn.XLOOKUP($A114,'Round of 32 &amp; Round of 16'!$A:$A,'Round of 32 &amp; Round of 16'!C:C,"-",0)</f>
        <v>2</v>
      </c>
      <c r="D114" s="253">
        <f>+_xlfn.XLOOKUP($A114,'Round of 32 &amp; Round of 16'!$A:$A,'Round of 32 &amp; Round of 16'!D:D,"-",0)</f>
        <v>0</v>
      </c>
      <c r="E114" s="253" t="str">
        <f>+_xlfn.XLOOKUP($A114,'Round of 32 &amp; Round of 16'!$A:$A,'Round of 32 &amp; Round of 16'!E:E,"-",0)</f>
        <v>Senegal</v>
      </c>
      <c r="I114" s="284" t="str">
        <f t="shared" si="8"/>
        <v>Inglaterra</v>
      </c>
      <c r="J114" s="284" t="str">
        <f t="shared" si="9"/>
        <v/>
      </c>
      <c r="K114" s="284" t="str">
        <f t="shared" si="10"/>
        <v/>
      </c>
      <c r="L114" s="284" t="str">
        <f t="shared" si="11"/>
        <v>Senegal</v>
      </c>
      <c r="M114" s="284"/>
    </row>
    <row r="115" spans="1:13" x14ac:dyDescent="0.2">
      <c r="A115" s="248" t="s">
        <v>214</v>
      </c>
      <c r="B115" s="249" t="str">
        <f>+_xlfn.XLOOKUP($A115,'Round of 32 &amp; Round of 16'!$G:$G,'Round of 32 &amp; Round of 16'!H:H,"-",0)</f>
        <v>Estados Unidos</v>
      </c>
      <c r="C115" s="248">
        <f>+_xlfn.XLOOKUP($A115,'Round of 32 &amp; Round of 16'!$G:$G,'Round of 32 &amp; Round of 16'!I:I,"-",0)</f>
        <v>2</v>
      </c>
      <c r="D115" s="250">
        <f>+_xlfn.XLOOKUP($A115,'Round of 32 &amp; Round of 16'!$G:$G,'Round of 32 &amp; Round of 16'!J:J,"-",0)</f>
        <v>0</v>
      </c>
      <c r="E115" s="250" t="str">
        <f>+_xlfn.XLOOKUP($A115,'Round of 32 &amp; Round of 16'!$G:$G,'Round of 32 &amp; Round of 16'!K:K,"-",0)</f>
        <v>Argelia</v>
      </c>
      <c r="I115" s="283" t="str">
        <f t="shared" si="8"/>
        <v>Estados Unidos</v>
      </c>
      <c r="J115" s="283" t="str">
        <f t="shared" si="9"/>
        <v/>
      </c>
      <c r="K115" s="283" t="str">
        <f t="shared" si="10"/>
        <v/>
      </c>
      <c r="L115" s="283" t="str">
        <f t="shared" si="11"/>
        <v>Argelia</v>
      </c>
      <c r="M115" s="283"/>
    </row>
    <row r="116" spans="1:13" x14ac:dyDescent="0.2">
      <c r="A116" s="248" t="s">
        <v>222</v>
      </c>
      <c r="B116" s="249" t="str">
        <f>+_xlfn.XLOOKUP($A116,'Round of 32 &amp; Round of 16'!$G:$G,'Round of 32 &amp; Round of 16'!H:H,"-",0)</f>
        <v>Belgica</v>
      </c>
      <c r="C116" s="248">
        <f>+_xlfn.XLOOKUP($A116,'Round of 32 &amp; Round of 16'!$G:$G,'Round of 32 &amp; Round of 16'!I:I,"-",0)</f>
        <v>2</v>
      </c>
      <c r="D116" s="250">
        <f>+_xlfn.XLOOKUP($A116,'Round of 32 &amp; Round of 16'!$G:$G,'Round of 32 &amp; Round of 16'!J:J,"-",0)</f>
        <v>1</v>
      </c>
      <c r="E116" s="250" t="str">
        <f>+_xlfn.XLOOKUP($A116,'Round of 32 &amp; Round of 16'!$G:$G,'Round of 32 &amp; Round of 16'!K:K,"-",0)</f>
        <v>Mexico</v>
      </c>
      <c r="I116" s="283" t="str">
        <f t="shared" si="8"/>
        <v>Belgica</v>
      </c>
      <c r="J116" s="283" t="str">
        <f t="shared" si="9"/>
        <v/>
      </c>
      <c r="K116" s="283" t="str">
        <f t="shared" si="10"/>
        <v/>
      </c>
      <c r="L116" s="283" t="str">
        <f t="shared" si="11"/>
        <v>Mexico</v>
      </c>
      <c r="M116" s="283"/>
    </row>
    <row r="117" spans="1:13" x14ac:dyDescent="0.2">
      <c r="A117" s="248" t="s">
        <v>231</v>
      </c>
      <c r="B117" s="249" t="str">
        <f>+_xlfn.XLOOKUP($A117,'Round of 32 &amp; Round of 16'!$G:$G,'Round of 32 &amp; Round of 16'!H:H,"-",0)</f>
        <v>Colombia</v>
      </c>
      <c r="C117" s="248">
        <f>+_xlfn.XLOOKUP($A117,'Round of 32 &amp; Round of 16'!$G:$G,'Round of 32 &amp; Round of 16'!I:I,"-",0)</f>
        <v>1</v>
      </c>
      <c r="D117" s="250">
        <f>+_xlfn.XLOOKUP($A117,'Round of 32 &amp; Round of 16'!$G:$G,'Round of 32 &amp; Round of 16'!J:J,"-",0)</f>
        <v>0</v>
      </c>
      <c r="E117" s="250" t="str">
        <f>+_xlfn.XLOOKUP($A117,'Round of 32 &amp; Round of 16'!$G:$G,'Round of 32 &amp; Round of 16'!K:K,"-",0)</f>
        <v>Croacia</v>
      </c>
      <c r="I117" s="283" t="str">
        <f t="shared" si="8"/>
        <v>Colombia</v>
      </c>
      <c r="J117" s="283" t="str">
        <f t="shared" si="9"/>
        <v/>
      </c>
      <c r="K117" s="283" t="str">
        <f t="shared" si="10"/>
        <v/>
      </c>
      <c r="L117" s="283" t="str">
        <f t="shared" si="11"/>
        <v>Croacia</v>
      </c>
      <c r="M117" s="283"/>
    </row>
    <row r="118" spans="1:13" x14ac:dyDescent="0.2">
      <c r="A118" s="248" t="s">
        <v>240</v>
      </c>
      <c r="B118" s="249" t="str">
        <f>+_xlfn.XLOOKUP($A118,'Round of 32 &amp; Round of 16'!$G:$G,'Round of 32 &amp; Round of 16'!H:H,"-",0)</f>
        <v>España</v>
      </c>
      <c r="C118" s="248">
        <f>+_xlfn.XLOOKUP($A118,'Round of 32 &amp; Round of 16'!$G:$G,'Round of 32 &amp; Round of 16'!I:I,"-",0)</f>
        <v>2</v>
      </c>
      <c r="D118" s="250">
        <f>+_xlfn.XLOOKUP($A118,'Round of 32 &amp; Round of 16'!$G:$G,'Round of 32 &amp; Round of 16'!J:J,"-",0)</f>
        <v>1</v>
      </c>
      <c r="E118" s="250" t="str">
        <f>+_xlfn.XLOOKUP($A118,'Round of 32 &amp; Round of 16'!$G:$G,'Round of 32 &amp; Round of 16'!K:K,"-",0)</f>
        <v>Austria</v>
      </c>
      <c r="I118" s="283" t="str">
        <f t="shared" si="8"/>
        <v>España</v>
      </c>
      <c r="J118" s="283" t="str">
        <f t="shared" si="9"/>
        <v/>
      </c>
      <c r="K118" s="283" t="str">
        <f t="shared" si="10"/>
        <v/>
      </c>
      <c r="L118" s="283" t="str">
        <f t="shared" si="11"/>
        <v>Austria</v>
      </c>
      <c r="M118" s="283"/>
    </row>
    <row r="119" spans="1:13" x14ac:dyDescent="0.2">
      <c r="A119" s="248" t="s">
        <v>250</v>
      </c>
      <c r="B119" s="249" t="str">
        <f>+_xlfn.XLOOKUP($A119,'Round of 32 &amp; Round of 16'!$G:$G,'Round of 32 &amp; Round of 16'!H:H,"-",0)</f>
        <v>Canada</v>
      </c>
      <c r="C119" s="248">
        <f>+_xlfn.XLOOKUP($A119,'Round of 32 &amp; Round of 16'!$G:$G,'Round of 32 &amp; Round of 16'!I:I,"-",0)</f>
        <v>2</v>
      </c>
      <c r="D119" s="250">
        <f>+_xlfn.XLOOKUP($A119,'Round of 32 &amp; Round of 16'!$G:$G,'Round of 32 &amp; Round of 16'!J:J,"-",0)</f>
        <v>0</v>
      </c>
      <c r="E119" s="250" t="str">
        <f>+_xlfn.XLOOKUP($A119,'Round of 32 &amp; Round of 16'!$G:$G,'Round of 32 &amp; Round of 16'!K:K,"-",0)</f>
        <v>Iran</v>
      </c>
      <c r="I119" s="283" t="str">
        <f t="shared" si="8"/>
        <v>Canada</v>
      </c>
      <c r="J119" s="283" t="str">
        <f t="shared" si="9"/>
        <v/>
      </c>
      <c r="K119" s="283" t="str">
        <f t="shared" si="10"/>
        <v/>
      </c>
      <c r="L119" s="283" t="str">
        <f t="shared" si="11"/>
        <v>Iran</v>
      </c>
      <c r="M119" s="283"/>
    </row>
    <row r="120" spans="1:13" x14ac:dyDescent="0.2">
      <c r="A120" s="248" t="s">
        <v>258</v>
      </c>
      <c r="B120" s="249" t="str">
        <f>+_xlfn.XLOOKUP($A120,'Round of 32 &amp; Round of 16'!$G:$G,'Round of 32 &amp; Round of 16'!H:H,"-",0)</f>
        <v>Argentina</v>
      </c>
      <c r="C120" s="248">
        <f>+_xlfn.XLOOKUP($A120,'Round of 32 &amp; Round of 16'!$G:$G,'Round of 32 &amp; Round of 16'!I:I,"-",0)</f>
        <v>1</v>
      </c>
      <c r="D120" s="250">
        <f>+_xlfn.XLOOKUP($A120,'Round of 32 &amp; Round of 16'!$G:$G,'Round of 32 &amp; Round of 16'!J:J,"-",0)</f>
        <v>0</v>
      </c>
      <c r="E120" s="250" t="str">
        <f>+_xlfn.XLOOKUP($A120,'Round of 32 &amp; Round of 16'!$G:$G,'Round of 32 &amp; Round of 16'!K:K,"-",0)</f>
        <v>Uruguay</v>
      </c>
      <c r="I120" s="283" t="str">
        <f t="shared" si="8"/>
        <v>Argentina</v>
      </c>
      <c r="J120" s="283" t="str">
        <f t="shared" si="9"/>
        <v/>
      </c>
      <c r="K120" s="283" t="str">
        <f t="shared" si="10"/>
        <v/>
      </c>
      <c r="L120" s="283" t="str">
        <f t="shared" si="11"/>
        <v>Uruguay</v>
      </c>
      <c r="M120" s="283"/>
    </row>
    <row r="121" spans="1:13" x14ac:dyDescent="0.2">
      <c r="A121" s="248" t="s">
        <v>267</v>
      </c>
      <c r="B121" s="249" t="str">
        <f>+_xlfn.XLOOKUP($A121,'Round of 32 &amp; Round of 16'!$G:$G,'Round of 32 &amp; Round of 16'!H:H,"-",0)</f>
        <v>Portugal</v>
      </c>
      <c r="C121" s="248">
        <f>+_xlfn.XLOOKUP($A121,'Round of 32 &amp; Round of 16'!$G:$G,'Round of 32 &amp; Round of 16'!I:I,"-",0)</f>
        <v>3</v>
      </c>
      <c r="D121" s="250">
        <f>+_xlfn.XLOOKUP($A121,'Round of 32 &amp; Round of 16'!$G:$G,'Round of 32 &amp; Round of 16'!J:J,"-",0)</f>
        <v>0</v>
      </c>
      <c r="E121" s="250" t="str">
        <f>+_xlfn.XLOOKUP($A121,'Round of 32 &amp; Round of 16'!$G:$G,'Round of 32 &amp; Round of 16'!K:K,"-",0)</f>
        <v>Ghana</v>
      </c>
      <c r="I121" s="283" t="str">
        <f t="shared" si="8"/>
        <v>Portugal</v>
      </c>
      <c r="J121" s="283" t="str">
        <f t="shared" si="9"/>
        <v/>
      </c>
      <c r="K121" s="283" t="str">
        <f t="shared" si="10"/>
        <v/>
      </c>
      <c r="L121" s="283" t="str">
        <f t="shared" si="11"/>
        <v>Ghana</v>
      </c>
      <c r="M121" s="283"/>
    </row>
    <row r="122" spans="1:13" x14ac:dyDescent="0.2">
      <c r="A122" s="251" t="s">
        <v>274</v>
      </c>
      <c r="B122" s="252" t="str">
        <f>+_xlfn.XLOOKUP($A122,'Round of 32 &amp; Round of 16'!$G:$G,'Round of 32 &amp; Round of 16'!H:H,"-",0)</f>
        <v>Turquia</v>
      </c>
      <c r="C122" s="251">
        <f>+_xlfn.XLOOKUP($A122,'Round of 32 &amp; Round of 16'!$G:$G,'Round of 32 &amp; Round of 16'!I:I,"-",0)</f>
        <v>2</v>
      </c>
      <c r="D122" s="253">
        <f>+_xlfn.XLOOKUP($A122,'Round of 32 &amp; Round of 16'!$G:$G,'Round of 32 &amp; Round of 16'!J:J,"-",0)</f>
        <v>1</v>
      </c>
      <c r="E122" s="253" t="str">
        <f>+_xlfn.XLOOKUP($A122,'Round of 32 &amp; Round of 16'!$G:$G,'Round of 32 &amp; Round of 16'!K:K,"-",0)</f>
        <v>Egipto</v>
      </c>
      <c r="I122" s="284" t="str">
        <f t="shared" si="8"/>
        <v>Turquia</v>
      </c>
      <c r="J122" s="284" t="str">
        <f t="shared" si="9"/>
        <v/>
      </c>
      <c r="K122" s="284" t="str">
        <f t="shared" si="10"/>
        <v/>
      </c>
      <c r="L122" s="284" t="str">
        <f t="shared" si="11"/>
        <v>Egipto</v>
      </c>
      <c r="M122" s="284"/>
    </row>
    <row r="123" spans="1:13" x14ac:dyDescent="0.2">
      <c r="A123" s="254" t="s">
        <v>215</v>
      </c>
      <c r="B123" s="255" t="str">
        <f>+_xlfn.XLOOKUP($A123,'Round of 32 &amp; Round of 16'!$O:$O,'Round of 32 &amp; Round of 16'!P:P,"-",0)</f>
        <v>Alemania</v>
      </c>
      <c r="C123" s="254">
        <f>+_xlfn.XLOOKUP($A123,'Round of 32 &amp; Round of 16'!$O:$O,'Round of 32 &amp; Round of 16'!Q:Q,"-",0)</f>
        <v>1</v>
      </c>
      <c r="D123" s="256">
        <f>+_xlfn.XLOOKUP($A123,'Round of 32 &amp; Round of 16'!$O:$O,'Round of 32 &amp; Round of 16'!R:R,"-",0)</f>
        <v>2</v>
      </c>
      <c r="E123" s="256" t="str">
        <f>+_xlfn.XLOOKUP($A123,'Round of 32 &amp; Round of 16'!$O:$O,'Round of 32 &amp; Round of 16'!S:S,"-",0)</f>
        <v>Francia</v>
      </c>
      <c r="I123" s="282" t="str">
        <f t="shared" si="8"/>
        <v>Francia</v>
      </c>
      <c r="J123" s="282" t="str">
        <f t="shared" si="9"/>
        <v/>
      </c>
      <c r="K123" s="282" t="str">
        <f t="shared" si="10"/>
        <v/>
      </c>
      <c r="L123" s="282" t="str">
        <f t="shared" si="11"/>
        <v>Alemania</v>
      </c>
      <c r="M123" s="282"/>
    </row>
    <row r="124" spans="1:13" x14ac:dyDescent="0.2">
      <c r="A124" s="257" t="s">
        <v>232</v>
      </c>
      <c r="B124" s="258" t="str">
        <f>+_xlfn.XLOOKUP($A124,'Round of 32 &amp; Round of 16'!$O:$O,'Round of 32 &amp; Round of 16'!P:P,"-",0)</f>
        <v>Suiza</v>
      </c>
      <c r="C124" s="257">
        <f>+_xlfn.XLOOKUP($A124,'Round of 32 &amp; Round of 16'!$O:$O,'Round of 32 &amp; Round of 16'!Q:Q,"-",0)</f>
        <v>0</v>
      </c>
      <c r="D124" s="259">
        <f>+_xlfn.XLOOKUP($A124,'Round of 32 &amp; Round of 16'!$O:$O,'Round of 32 &amp; Round of 16'!R:R,"-",0)</f>
        <v>1</v>
      </c>
      <c r="E124" s="259" t="str">
        <f>+_xlfn.XLOOKUP($A124,'Round of 32 &amp; Round of 16'!$O:$O,'Round of 32 &amp; Round of 16'!S:S,"-",0)</f>
        <v>Paises Bajos</v>
      </c>
      <c r="I124" s="283" t="str">
        <f t="shared" si="8"/>
        <v>Paises Bajos</v>
      </c>
      <c r="J124" s="283" t="str">
        <f t="shared" si="9"/>
        <v/>
      </c>
      <c r="K124" s="283" t="str">
        <f t="shared" si="10"/>
        <v/>
      </c>
      <c r="L124" s="283" t="str">
        <f t="shared" si="11"/>
        <v>Suiza</v>
      </c>
      <c r="M124" s="283"/>
    </row>
    <row r="125" spans="1:13" x14ac:dyDescent="0.2">
      <c r="A125" s="257" t="s">
        <v>251</v>
      </c>
      <c r="B125" s="258" t="str">
        <f>+_xlfn.XLOOKUP($A125,'Round of 32 &amp; Round of 16'!$O:$O,'Round of 32 &amp; Round of 16'!P:P,"-",0)</f>
        <v>Brasil</v>
      </c>
      <c r="C125" s="257">
        <f>+_xlfn.XLOOKUP($A125,'Round of 32 &amp; Round of 16'!$O:$O,'Round of 32 &amp; Round of 16'!Q:Q,"-",0)</f>
        <v>3</v>
      </c>
      <c r="D125" s="259">
        <f>+_xlfn.XLOOKUP($A125,'Round of 32 &amp; Round of 16'!$O:$O,'Round of 32 &amp; Round of 16'!R:R,"-",0)</f>
        <v>1</v>
      </c>
      <c r="E125" s="259" t="str">
        <f>+_xlfn.XLOOKUP($A125,'Round of 32 &amp; Round of 16'!$O:$O,'Round of 32 &amp; Round of 16'!S:S,"-",0)</f>
        <v>Noruega</v>
      </c>
      <c r="I125" s="283" t="str">
        <f t="shared" si="8"/>
        <v>Brasil</v>
      </c>
      <c r="J125" s="283" t="str">
        <f t="shared" si="9"/>
        <v/>
      </c>
      <c r="K125" s="283" t="str">
        <f t="shared" si="10"/>
        <v/>
      </c>
      <c r="L125" s="283" t="str">
        <f t="shared" si="11"/>
        <v>Noruega</v>
      </c>
      <c r="M125" s="283"/>
    </row>
    <row r="126" spans="1:13" x14ac:dyDescent="0.2">
      <c r="A126" s="260" t="s">
        <v>268</v>
      </c>
      <c r="B126" s="261" t="str">
        <f>+_xlfn.XLOOKUP($A126,'Round of 32 &amp; Round of 16'!$O:$O,'Round of 32 &amp; Round of 16'!P:P,"-",0)</f>
        <v>Corea del Sur</v>
      </c>
      <c r="C126" s="260">
        <f>+_xlfn.XLOOKUP($A126,'Round of 32 &amp; Round of 16'!$O:$O,'Round of 32 &amp; Round of 16'!Q:Q,"-",0)</f>
        <v>0</v>
      </c>
      <c r="D126" s="262">
        <f>+_xlfn.XLOOKUP($A126,'Round of 32 &amp; Round of 16'!$O:$O,'Round of 32 &amp; Round of 16'!R:R,"-",0)</f>
        <v>2</v>
      </c>
      <c r="E126" s="262" t="str">
        <f>+_xlfn.XLOOKUP($A126,'Round of 32 &amp; Round of 16'!$O:$O,'Round of 32 &amp; Round of 16'!S:S,"-",0)</f>
        <v>Inglaterra</v>
      </c>
      <c r="I126" s="284" t="str">
        <f t="shared" si="8"/>
        <v>Inglaterra</v>
      </c>
      <c r="J126" s="284" t="str">
        <f t="shared" si="9"/>
        <v/>
      </c>
      <c r="K126" s="284" t="str">
        <f t="shared" si="10"/>
        <v/>
      </c>
      <c r="L126" s="284" t="str">
        <f t="shared" si="11"/>
        <v>Corea del Sur</v>
      </c>
      <c r="M126" s="284"/>
    </row>
    <row r="127" spans="1:13" x14ac:dyDescent="0.2">
      <c r="A127" s="254" t="s">
        <v>216</v>
      </c>
      <c r="B127" s="255" t="str">
        <f>+_xlfn.XLOOKUP($A127,'Round of 32 &amp; Round of 16'!$U:$U,'Round of 32 &amp; Round of 16'!V:V,"-",0)</f>
        <v>Colombia</v>
      </c>
      <c r="C127" s="254">
        <f>+_xlfn.XLOOKUP($A127,'Round of 32 &amp; Round of 16'!$U:$U,'Round of 32 &amp; Round of 16'!W:W,"-",0)</f>
        <v>2</v>
      </c>
      <c r="D127" s="256">
        <f>+_xlfn.XLOOKUP($A127,'Round of 32 &amp; Round of 16'!$U:$U,'Round of 32 &amp; Round of 16'!X:X,"-",0)</f>
        <v>1</v>
      </c>
      <c r="E127" s="256" t="str">
        <f>+_xlfn.XLOOKUP($A127,'Round of 32 &amp; Round of 16'!$U:$U,'Round of 32 &amp; Round of 16'!Y:Y,"-",0)</f>
        <v>España</v>
      </c>
      <c r="I127" s="282" t="str">
        <f t="shared" si="8"/>
        <v>Colombia</v>
      </c>
      <c r="J127" s="282" t="str">
        <f t="shared" si="9"/>
        <v/>
      </c>
      <c r="K127" s="282" t="str">
        <f t="shared" si="10"/>
        <v/>
      </c>
      <c r="L127" s="282" t="str">
        <f t="shared" si="11"/>
        <v>España</v>
      </c>
      <c r="M127" s="282"/>
    </row>
    <row r="128" spans="1:13" x14ac:dyDescent="0.2">
      <c r="A128" s="257" t="s">
        <v>233</v>
      </c>
      <c r="B128" s="258" t="str">
        <f>+_xlfn.XLOOKUP($A128,'Round of 32 &amp; Round of 16'!$U:$U,'Round of 32 &amp; Round of 16'!V:V,"-",0)</f>
        <v>Estados Unidos</v>
      </c>
      <c r="C128" s="257">
        <f>+_xlfn.XLOOKUP($A128,'Round of 32 &amp; Round of 16'!$U:$U,'Round of 32 &amp; Round of 16'!W:W,"-",0)</f>
        <v>2</v>
      </c>
      <c r="D128" s="259">
        <f>+_xlfn.XLOOKUP($A128,'Round of 32 &amp; Round of 16'!$U:$U,'Round of 32 &amp; Round of 16'!X:X,"-",0)</f>
        <v>1</v>
      </c>
      <c r="E128" s="259" t="str">
        <f>+_xlfn.XLOOKUP($A128,'Round of 32 &amp; Round of 16'!$U:$U,'Round of 32 &amp; Round of 16'!Y:Y,"-",0)</f>
        <v>Belgica</v>
      </c>
      <c r="I128" s="283" t="str">
        <f t="shared" si="8"/>
        <v>Estados Unidos</v>
      </c>
      <c r="J128" s="283" t="str">
        <f t="shared" si="9"/>
        <v/>
      </c>
      <c r="K128" s="283" t="str">
        <f t="shared" si="10"/>
        <v/>
      </c>
      <c r="L128" s="283" t="str">
        <f t="shared" si="11"/>
        <v>Belgica</v>
      </c>
      <c r="M128" s="283"/>
    </row>
    <row r="129" spans="1:13" x14ac:dyDescent="0.2">
      <c r="A129" s="257" t="s">
        <v>252</v>
      </c>
      <c r="B129" s="258" t="str">
        <f>+_xlfn.XLOOKUP($A129,'Round of 32 &amp; Round of 16'!$U:$U,'Round of 32 &amp; Round of 16'!V:V,"-",0)</f>
        <v>Argentina</v>
      </c>
      <c r="C129" s="257">
        <f>+_xlfn.XLOOKUP($A129,'Round of 32 &amp; Round of 16'!$U:$U,'Round of 32 &amp; Round of 16'!W:W,"-",0)</f>
        <v>3</v>
      </c>
      <c r="D129" s="259">
        <f>+_xlfn.XLOOKUP($A129,'Round of 32 &amp; Round of 16'!$U:$U,'Round of 32 &amp; Round of 16'!X:X,"-",0)</f>
        <v>0</v>
      </c>
      <c r="E129" s="259" t="str">
        <f>+_xlfn.XLOOKUP($A129,'Round of 32 &amp; Round of 16'!$U:$U,'Round of 32 &amp; Round of 16'!Y:Y,"-",0)</f>
        <v>Turquia</v>
      </c>
      <c r="I129" s="283" t="str">
        <f t="shared" si="8"/>
        <v>Argentina</v>
      </c>
      <c r="J129" s="283" t="str">
        <f t="shared" si="9"/>
        <v/>
      </c>
      <c r="K129" s="283" t="str">
        <f t="shared" si="10"/>
        <v/>
      </c>
      <c r="L129" s="283" t="str">
        <f t="shared" si="11"/>
        <v>Turquia</v>
      </c>
      <c r="M129" s="283"/>
    </row>
    <row r="130" spans="1:13" x14ac:dyDescent="0.2">
      <c r="A130" s="260" t="s">
        <v>269</v>
      </c>
      <c r="B130" s="261" t="str">
        <f>+_xlfn.XLOOKUP($A130,'Round of 32 &amp; Round of 16'!$U:$U,'Round of 32 &amp; Round of 16'!V:V,"-",0)</f>
        <v>Canada</v>
      </c>
      <c r="C130" s="260">
        <f>+_xlfn.XLOOKUP($A130,'Round of 32 &amp; Round of 16'!$U:$U,'Round of 32 &amp; Round of 16'!W:W,"-",0)</f>
        <v>1</v>
      </c>
      <c r="D130" s="262">
        <f>+_xlfn.XLOOKUP($A130,'Round of 32 &amp; Round of 16'!$U:$U,'Round of 32 &amp; Round of 16'!X:X,"-",0)</f>
        <v>3</v>
      </c>
      <c r="E130" s="262" t="str">
        <f>+_xlfn.XLOOKUP($A130,'Round of 32 &amp; Round of 16'!$U:$U,'Round of 32 &amp; Round of 16'!Y:Y,"-",0)</f>
        <v>Portugal</v>
      </c>
      <c r="I130" s="284" t="str">
        <f t="shared" si="8"/>
        <v>Portugal</v>
      </c>
      <c r="J130" s="284" t="str">
        <f t="shared" si="9"/>
        <v/>
      </c>
      <c r="K130" s="284" t="str">
        <f t="shared" si="10"/>
        <v/>
      </c>
      <c r="L130" s="284" t="str">
        <f t="shared" si="11"/>
        <v>Canada</v>
      </c>
      <c r="M130" s="284"/>
    </row>
    <row r="131" spans="1:13" x14ac:dyDescent="0.2">
      <c r="A131" s="263" t="s">
        <v>277</v>
      </c>
      <c r="B131" s="264" t="str" cm="1">
        <f t="array" ref="B131:E131">+_xlfn.XLOOKUP($A131,'Quarter, Semis &amp; Final'!$A:$A,'Quarter, Semis &amp; Final'!B:E,"-",0)</f>
        <v>Francia</v>
      </c>
      <c r="C131" s="263">
        <v>2</v>
      </c>
      <c r="D131" s="198">
        <v>1</v>
      </c>
      <c r="E131" s="198" t="str">
        <v>Paises Bajos</v>
      </c>
      <c r="I131" s="283" t="str">
        <f t="shared" si="8"/>
        <v>Francia</v>
      </c>
      <c r="J131" s="282" t="str">
        <f t="shared" si="9"/>
        <v/>
      </c>
      <c r="K131" s="283" t="str">
        <f t="shared" si="10"/>
        <v/>
      </c>
      <c r="L131" s="283" t="str">
        <f t="shared" si="11"/>
        <v>Paises Bajos</v>
      </c>
      <c r="M131" s="283"/>
    </row>
    <row r="132" spans="1:13" x14ac:dyDescent="0.2">
      <c r="A132" s="263" t="s">
        <v>282</v>
      </c>
      <c r="B132" s="265" t="str" cm="1">
        <f t="array" ref="B132:E132">+_xlfn.XLOOKUP($A132,'Quarter, Semis &amp; Final'!$A:$A,'Quarter, Semis &amp; Final'!B:E,"-",0)</f>
        <v>Colombia</v>
      </c>
      <c r="C132" s="263">
        <v>1</v>
      </c>
      <c r="D132" s="198">
        <v>0</v>
      </c>
      <c r="E132" s="198" t="str">
        <v>Estados Unidos</v>
      </c>
      <c r="I132" s="283" t="str">
        <f t="shared" si="8"/>
        <v>Colombia</v>
      </c>
      <c r="J132" s="283" t="str">
        <f t="shared" si="9"/>
        <v/>
      </c>
      <c r="K132" s="283" t="str">
        <f t="shared" si="10"/>
        <v/>
      </c>
      <c r="L132" s="283" t="str">
        <f t="shared" si="11"/>
        <v>Estados Unidos</v>
      </c>
      <c r="M132" s="283"/>
    </row>
    <row r="133" spans="1:13" x14ac:dyDescent="0.2">
      <c r="A133" s="263" t="s">
        <v>278</v>
      </c>
      <c r="B133" s="265" t="str" cm="1">
        <f t="array" ref="B133:E133">+_xlfn.XLOOKUP($A133,'Quarter, Semis &amp; Final'!$G:$G,'Quarter, Semis &amp; Final'!H:K,"-",0)</f>
        <v>Brasil</v>
      </c>
      <c r="C133" s="263">
        <v>2</v>
      </c>
      <c r="D133" s="198">
        <v>1</v>
      </c>
      <c r="E133" s="198" t="str">
        <v>Inglaterra</v>
      </c>
      <c r="I133" s="283" t="str">
        <f t="shared" si="8"/>
        <v>Brasil</v>
      </c>
      <c r="J133" s="283" t="str">
        <f t="shared" si="9"/>
        <v/>
      </c>
      <c r="K133" s="283" t="str">
        <f t="shared" si="10"/>
        <v/>
      </c>
      <c r="L133" s="283" t="str">
        <f t="shared" si="11"/>
        <v>Inglaterra</v>
      </c>
      <c r="M133" s="283"/>
    </row>
    <row r="134" spans="1:13" x14ac:dyDescent="0.2">
      <c r="A134" s="263" t="s">
        <v>283</v>
      </c>
      <c r="B134" s="265" t="str" cm="1">
        <f t="array" ref="B134:E134">+_xlfn.XLOOKUP($A134,'Quarter, Semis &amp; Final'!$G:$G,'Quarter, Semis &amp; Final'!H:K,"-",0)</f>
        <v>Argentina</v>
      </c>
      <c r="C134" s="263">
        <v>2</v>
      </c>
      <c r="D134" s="198">
        <v>1</v>
      </c>
      <c r="E134" s="198" t="str">
        <v>Portugal</v>
      </c>
      <c r="I134" s="283" t="str">
        <f t="shared" si="8"/>
        <v>Argentina</v>
      </c>
      <c r="J134" s="283" t="str">
        <f t="shared" si="9"/>
        <v/>
      </c>
      <c r="K134" s="283" t="str">
        <f t="shared" si="10"/>
        <v/>
      </c>
      <c r="L134" s="283" t="str">
        <f t="shared" si="11"/>
        <v>Portugal</v>
      </c>
      <c r="M134" s="283"/>
    </row>
    <row r="135" spans="1:13" x14ac:dyDescent="0.2">
      <c r="A135" s="211" t="s">
        <v>287</v>
      </c>
      <c r="B135" s="266" t="str" cm="1">
        <f t="array" ref="B135:E135">+_xlfn.XLOOKUP($A135,'Quarter, Semis &amp; Final'!$A:$A,'Quarter, Semis &amp; Final'!B:E,"-",0)</f>
        <v>Francia</v>
      </c>
      <c r="C135" s="211">
        <v>2</v>
      </c>
      <c r="D135" s="210">
        <v>0</v>
      </c>
      <c r="E135" s="210" t="str">
        <v>Colombia</v>
      </c>
      <c r="I135" s="283" t="str">
        <f t="shared" si="8"/>
        <v>Francia</v>
      </c>
      <c r="J135" s="283" t="str">
        <f t="shared" si="9"/>
        <v/>
      </c>
      <c r="K135" s="283" t="str">
        <f t="shared" si="10"/>
        <v/>
      </c>
      <c r="L135" s="283" t="str">
        <f t="shared" si="11"/>
        <v>Colombia</v>
      </c>
      <c r="M135" s="283"/>
    </row>
    <row r="136" spans="1:13" x14ac:dyDescent="0.2">
      <c r="A136" s="211" t="s">
        <v>288</v>
      </c>
      <c r="B136" s="266" t="str" cm="1">
        <f t="array" ref="B136:E136">+_xlfn.XLOOKUP($A136,'Quarter, Semis &amp; Final'!$G:$G,'Quarter, Semis &amp; Final'!H:K,"-",0)</f>
        <v>Brasil</v>
      </c>
      <c r="C136" s="211">
        <v>0</v>
      </c>
      <c r="D136" s="210">
        <v>1</v>
      </c>
      <c r="E136" s="210" t="str">
        <v>Argentina</v>
      </c>
      <c r="I136" s="283" t="str">
        <f t="shared" si="8"/>
        <v>Argentina</v>
      </c>
      <c r="J136" s="283" t="str">
        <f t="shared" si="9"/>
        <v/>
      </c>
      <c r="K136" s="283" t="str">
        <f t="shared" si="10"/>
        <v/>
      </c>
      <c r="L136" s="283" t="str">
        <f t="shared" si="11"/>
        <v>Brasil</v>
      </c>
      <c r="M136" s="283"/>
    </row>
    <row r="137" spans="1:13" x14ac:dyDescent="0.2">
      <c r="A137" s="267" t="s">
        <v>286</v>
      </c>
      <c r="B137" s="268" t="str">
        <f>+'Quarter, Semis &amp; Final'!P13</f>
        <v>Colombia</v>
      </c>
      <c r="C137" s="267">
        <f>+'Quarter, Semis &amp; Final'!Q13</f>
        <v>2</v>
      </c>
      <c r="D137" s="272">
        <f>+'Quarter, Semis &amp; Final'!R13</f>
        <v>3</v>
      </c>
      <c r="E137" s="272" t="str">
        <f>+'Quarter, Semis &amp; Final'!S13</f>
        <v>Brasil</v>
      </c>
      <c r="I137" s="283" t="str">
        <f t="shared" si="8"/>
        <v>Brasil</v>
      </c>
      <c r="J137" s="283" t="str">
        <f t="shared" si="9"/>
        <v/>
      </c>
      <c r="K137" s="283" t="str">
        <f t="shared" si="10"/>
        <v/>
      </c>
      <c r="L137" s="283" t="str">
        <f t="shared" si="11"/>
        <v>Colombia</v>
      </c>
      <c r="M137" s="283"/>
    </row>
    <row r="138" spans="1:13" x14ac:dyDescent="0.2">
      <c r="A138" s="269" t="s">
        <v>279</v>
      </c>
      <c r="B138" s="270" t="str">
        <f>+'Quarter, Semis &amp; Final'!P4</f>
        <v>Francia</v>
      </c>
      <c r="C138" s="270">
        <f>+'Quarter, Semis &amp; Final'!Q4</f>
        <v>0</v>
      </c>
      <c r="D138" s="271">
        <f>+'Quarter, Semis &amp; Final'!R4</f>
        <v>1</v>
      </c>
      <c r="E138" s="271" t="str">
        <f>+'Quarter, Semis &amp; Final'!S4</f>
        <v>Argentina</v>
      </c>
      <c r="I138" s="284" t="str">
        <f t="shared" si="8"/>
        <v>Argentina</v>
      </c>
      <c r="J138" s="284" t="str">
        <f t="shared" si="9"/>
        <v/>
      </c>
      <c r="K138" s="284" t="str">
        <f t="shared" si="10"/>
        <v/>
      </c>
      <c r="L138" s="284" t="str">
        <f t="shared" si="11"/>
        <v>Francia</v>
      </c>
      <c r="M138" s="284"/>
    </row>
    <row r="172" spans="1:2" x14ac:dyDescent="0.2">
      <c r="A172" s="243"/>
      <c r="B172" s="273"/>
    </row>
    <row r="174" spans="1:2" x14ac:dyDescent="0.2">
      <c r="A174" s="243"/>
      <c r="B174" s="273"/>
    </row>
    <row r="176" spans="1:2" x14ac:dyDescent="0.2">
      <c r="A176" s="243"/>
      <c r="B176" s="273"/>
    </row>
    <row r="178" spans="1:2" x14ac:dyDescent="0.2">
      <c r="A178" s="243"/>
      <c r="B178" s="273"/>
    </row>
    <row r="180" spans="1:2" x14ac:dyDescent="0.2">
      <c r="A180" s="243"/>
      <c r="B180" s="273"/>
    </row>
    <row r="182" spans="1:2" x14ac:dyDescent="0.2">
      <c r="A182" s="243"/>
      <c r="B182" s="273"/>
    </row>
    <row r="184" spans="1:2" x14ac:dyDescent="0.2">
      <c r="A184" s="243"/>
      <c r="B184" s="273"/>
    </row>
    <row r="186" spans="1:2" x14ac:dyDescent="0.2">
      <c r="A186" s="243"/>
      <c r="B186" s="273"/>
    </row>
    <row r="188" spans="1:2" x14ac:dyDescent="0.2">
      <c r="A188" s="243"/>
      <c r="B188" s="273"/>
    </row>
    <row r="190" spans="1:2" x14ac:dyDescent="0.2">
      <c r="A190" s="243"/>
      <c r="B190" s="273"/>
    </row>
    <row r="192" spans="1:2" x14ac:dyDescent="0.2">
      <c r="A192" s="243"/>
      <c r="B192" s="273"/>
    </row>
    <row r="194" spans="1:2" x14ac:dyDescent="0.2">
      <c r="A194" s="243"/>
      <c r="B194" s="273"/>
    </row>
    <row r="196" spans="1:2" x14ac:dyDescent="0.2">
      <c r="A196" s="243"/>
      <c r="B196" s="273"/>
    </row>
    <row r="198" spans="1:2" x14ac:dyDescent="0.2">
      <c r="A198" s="243"/>
      <c r="B198" s="273"/>
    </row>
    <row r="200" spans="1:2" x14ac:dyDescent="0.2">
      <c r="A200" s="243"/>
      <c r="B200" s="273"/>
    </row>
    <row r="202" spans="1:2" x14ac:dyDescent="0.2">
      <c r="A202" s="244"/>
      <c r="B202" s="274"/>
    </row>
    <row r="204" spans="1:2" x14ac:dyDescent="0.2">
      <c r="A204" s="243"/>
      <c r="B204" s="273"/>
    </row>
    <row r="206" spans="1:2" x14ac:dyDescent="0.2">
      <c r="A206" s="243"/>
      <c r="B206" s="273"/>
    </row>
    <row r="208" spans="1:2" x14ac:dyDescent="0.2">
      <c r="A208" s="243"/>
      <c r="B208" s="273"/>
    </row>
    <row r="210" spans="1:2" x14ac:dyDescent="0.2">
      <c r="A210" s="243"/>
      <c r="B210" s="273"/>
    </row>
    <row r="212" spans="1:2" x14ac:dyDescent="0.2">
      <c r="A212" s="243"/>
      <c r="B212" s="273"/>
    </row>
    <row r="214" spans="1:2" x14ac:dyDescent="0.2">
      <c r="A214" s="243"/>
      <c r="B214" s="273"/>
    </row>
    <row r="216" spans="1:2" x14ac:dyDescent="0.2">
      <c r="A216" s="243"/>
      <c r="B216" s="273"/>
    </row>
    <row r="218" spans="1:2" x14ac:dyDescent="0.2">
      <c r="A218" s="243"/>
      <c r="B218" s="273"/>
    </row>
    <row r="220" spans="1:2" x14ac:dyDescent="0.2">
      <c r="A220" s="243"/>
      <c r="B220" s="273"/>
    </row>
    <row r="222" spans="1:2" x14ac:dyDescent="0.2">
      <c r="A222" s="243"/>
      <c r="B222" s="273"/>
    </row>
    <row r="224" spans="1:2" x14ac:dyDescent="0.2">
      <c r="A224" s="243"/>
      <c r="B224" s="273"/>
    </row>
    <row r="226" spans="1:2" x14ac:dyDescent="0.2">
      <c r="A226" s="243"/>
      <c r="B226" s="273"/>
    </row>
    <row r="228" spans="1:2" x14ac:dyDescent="0.2">
      <c r="A228" s="243"/>
      <c r="B228" s="273"/>
    </row>
    <row r="230" spans="1:2" x14ac:dyDescent="0.2">
      <c r="A230" s="243"/>
      <c r="B230" s="273"/>
    </row>
    <row r="232" spans="1:2" x14ac:dyDescent="0.2">
      <c r="A232" s="243"/>
      <c r="B232" s="273"/>
    </row>
    <row r="234" spans="1:2" x14ac:dyDescent="0.2">
      <c r="A234" s="244"/>
      <c r="B234" s="274"/>
    </row>
  </sheetData>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N47"/>
  <sheetViews>
    <sheetView topLeftCell="I1" zoomScale="80" zoomScaleNormal="80" workbookViewId="0">
      <selection activeCell="B12" sqref="B12"/>
    </sheetView>
  </sheetViews>
  <sheetFormatPr defaultRowHeight="14.25" x14ac:dyDescent="0.2"/>
  <cols>
    <col min="1" max="1" width="11.375" customWidth="1"/>
    <col min="2" max="4" width="6.25" customWidth="1"/>
    <col min="20" max="20" width="9.375" style="6" bestFit="1" customWidth="1"/>
    <col min="21" max="21" width="8.75" style="6"/>
  </cols>
  <sheetData>
    <row r="1" spans="1:40" ht="16.5" x14ac:dyDescent="0.3">
      <c r="A1" s="1" t="s">
        <v>306</v>
      </c>
      <c r="B1" s="1"/>
      <c r="C1" s="1"/>
      <c r="D1" s="1" t="s">
        <v>307</v>
      </c>
      <c r="E1" s="1"/>
      <c r="I1" s="1" t="s">
        <v>308</v>
      </c>
      <c r="J1" s="1"/>
      <c r="K1" s="1"/>
      <c r="L1" s="1" t="s">
        <v>307</v>
      </c>
      <c r="M1" s="1"/>
      <c r="N1" s="1"/>
      <c r="O1" s="1"/>
      <c r="P1" s="1"/>
      <c r="Q1" s="1" t="s">
        <v>309</v>
      </c>
      <c r="R1" s="1"/>
      <c r="S1" s="1"/>
      <c r="T1" s="10" t="s">
        <v>307</v>
      </c>
      <c r="U1" s="10" t="s">
        <v>310</v>
      </c>
      <c r="V1" s="1"/>
      <c r="W1" s="1"/>
      <c r="X1" s="1"/>
      <c r="Y1" s="1"/>
      <c r="Z1" s="1"/>
      <c r="AA1" s="1"/>
      <c r="AB1" s="1"/>
      <c r="AC1" s="1"/>
      <c r="AD1" s="1"/>
      <c r="AE1" s="1"/>
      <c r="AF1" s="1"/>
      <c r="AG1" s="1"/>
      <c r="AH1" s="1"/>
      <c r="AI1" s="1"/>
      <c r="AJ1" s="1"/>
      <c r="AK1" s="1"/>
      <c r="AL1" s="1"/>
      <c r="AM1" s="1"/>
      <c r="AN1" s="1"/>
    </row>
    <row r="2" spans="1:40" ht="16.5" x14ac:dyDescent="0.3">
      <c r="A2" s="12" t="s">
        <v>213</v>
      </c>
      <c r="B2" s="13" t="s">
        <v>202</v>
      </c>
      <c r="C2" s="13" t="s">
        <v>203</v>
      </c>
      <c r="D2" s="14" t="s">
        <v>204</v>
      </c>
      <c r="E2" s="1"/>
      <c r="I2" s="12" t="s">
        <v>215</v>
      </c>
      <c r="J2" s="13" t="str">
        <f>+D3</f>
        <v>W74</v>
      </c>
      <c r="K2" s="13" t="str">
        <f>+D6</f>
        <v>W77</v>
      </c>
      <c r="L2" s="14" t="s">
        <v>209</v>
      </c>
      <c r="M2" s="1"/>
      <c r="N2" s="1"/>
      <c r="O2" s="1"/>
      <c r="P2" s="1"/>
      <c r="Q2" s="12" t="s">
        <v>287</v>
      </c>
      <c r="R2" s="13" t="str">
        <f>+L12</f>
        <v>W97</v>
      </c>
      <c r="S2" s="13" t="str">
        <f>+L13</f>
        <v>W98</v>
      </c>
      <c r="T2" s="14" t="s">
        <v>284</v>
      </c>
      <c r="U2" s="15" t="s">
        <v>311</v>
      </c>
      <c r="V2" s="1"/>
      <c r="W2" s="1"/>
      <c r="X2" s="1"/>
      <c r="Y2" s="1"/>
      <c r="Z2" s="1"/>
      <c r="AA2" s="1"/>
      <c r="AB2" s="1"/>
      <c r="AC2" s="1"/>
      <c r="AD2" s="1"/>
      <c r="AE2" s="1"/>
      <c r="AF2" s="1"/>
      <c r="AG2" s="1"/>
      <c r="AH2" s="1"/>
      <c r="AI2" s="1"/>
      <c r="AJ2" s="1"/>
      <c r="AK2" s="1"/>
      <c r="AL2" s="1"/>
      <c r="AM2" s="1"/>
      <c r="AN2" s="1"/>
    </row>
    <row r="3" spans="1:40" ht="16.5" x14ac:dyDescent="0.3">
      <c r="A3" s="12" t="s">
        <v>221</v>
      </c>
      <c r="B3" s="13" t="s">
        <v>218</v>
      </c>
      <c r="C3" s="13" t="str">
        <f>+'Mejores 3eros'!AG3</f>
        <v>3D</v>
      </c>
      <c r="D3" s="14" t="s">
        <v>207</v>
      </c>
      <c r="E3" s="1"/>
      <c r="I3" s="12" t="s">
        <v>232</v>
      </c>
      <c r="J3" s="13" t="str">
        <f>+D2</f>
        <v>W73</v>
      </c>
      <c r="K3" s="13" t="str">
        <f>+D4</f>
        <v>W75</v>
      </c>
      <c r="L3" s="14" t="s">
        <v>228</v>
      </c>
      <c r="M3" s="1"/>
      <c r="N3" s="1"/>
      <c r="O3" s="1"/>
      <c r="P3" s="1"/>
      <c r="Q3" s="12" t="s">
        <v>288</v>
      </c>
      <c r="R3" s="13" t="str">
        <f>+L14</f>
        <v>W99</v>
      </c>
      <c r="S3" s="13" t="str">
        <f>+L15</f>
        <v>W100</v>
      </c>
      <c r="T3" s="14" t="s">
        <v>285</v>
      </c>
      <c r="U3" s="15" t="s">
        <v>312</v>
      </c>
      <c r="V3" s="1"/>
      <c r="W3" s="1"/>
      <c r="X3" s="1"/>
      <c r="Y3" s="1"/>
      <c r="Z3" s="1"/>
      <c r="AA3" s="1"/>
      <c r="AB3" s="1"/>
      <c r="AC3" s="1"/>
      <c r="AD3" s="1"/>
      <c r="AE3" s="1"/>
      <c r="AF3" s="1"/>
      <c r="AG3" s="1"/>
      <c r="AH3" s="1"/>
      <c r="AI3" s="1"/>
      <c r="AJ3" s="1"/>
      <c r="AK3" s="1"/>
      <c r="AL3" s="1"/>
      <c r="AM3" s="1"/>
      <c r="AN3" s="1"/>
    </row>
    <row r="4" spans="1:40" ht="16.5" x14ac:dyDescent="0.3">
      <c r="A4" s="12" t="s">
        <v>230</v>
      </c>
      <c r="B4" s="13" t="s">
        <v>223</v>
      </c>
      <c r="C4" s="13" t="s">
        <v>224</v>
      </c>
      <c r="D4" s="14" t="s">
        <v>225</v>
      </c>
      <c r="E4" s="1"/>
      <c r="I4" s="12" t="s">
        <v>251</v>
      </c>
      <c r="J4" s="13" t="str">
        <f>+D5</f>
        <v>W76</v>
      </c>
      <c r="K4" s="13" t="str">
        <f>+D7</f>
        <v>W78</v>
      </c>
      <c r="L4" s="14" t="s">
        <v>245</v>
      </c>
      <c r="M4" s="1"/>
      <c r="N4" s="1"/>
      <c r="O4" s="1"/>
      <c r="P4" s="1"/>
      <c r="Q4" s="12"/>
      <c r="R4" s="13"/>
      <c r="S4" s="13"/>
      <c r="T4" s="14"/>
      <c r="U4" s="10"/>
      <c r="V4" s="1"/>
      <c r="W4" s="1"/>
      <c r="X4" s="1"/>
      <c r="Y4" s="1"/>
      <c r="Z4" s="1"/>
      <c r="AA4" s="1"/>
      <c r="AB4" s="1"/>
      <c r="AC4" s="1"/>
      <c r="AD4" s="1"/>
      <c r="AE4" s="1"/>
      <c r="AF4" s="1"/>
      <c r="AG4" s="1"/>
      <c r="AH4" s="1"/>
      <c r="AI4" s="1"/>
      <c r="AJ4" s="1"/>
      <c r="AK4" s="1"/>
      <c r="AL4" s="1"/>
      <c r="AM4" s="1"/>
      <c r="AN4" s="1"/>
    </row>
    <row r="5" spans="1:40" ht="16.5" x14ac:dyDescent="0.3">
      <c r="A5" s="12" t="s">
        <v>239</v>
      </c>
      <c r="B5" s="13" t="s">
        <v>234</v>
      </c>
      <c r="C5" s="13" t="s">
        <v>235</v>
      </c>
      <c r="D5" s="14" t="s">
        <v>236</v>
      </c>
      <c r="E5" s="1"/>
      <c r="I5" s="12" t="s">
        <v>268</v>
      </c>
      <c r="J5" s="13" t="str">
        <f>+D8</f>
        <v>W79</v>
      </c>
      <c r="K5" s="13" t="str">
        <f>+D9</f>
        <v>W80</v>
      </c>
      <c r="L5" s="14" t="s">
        <v>264</v>
      </c>
      <c r="M5" s="1"/>
      <c r="N5" s="1"/>
      <c r="O5" s="1"/>
      <c r="P5" s="1"/>
      <c r="Q5" s="12"/>
      <c r="R5" s="13"/>
      <c r="S5" s="13"/>
      <c r="T5" s="14"/>
      <c r="U5" s="10"/>
      <c r="V5" s="1"/>
      <c r="W5" s="1"/>
      <c r="X5" s="1"/>
      <c r="Y5" s="1"/>
      <c r="Z5" s="1"/>
      <c r="AA5" s="1"/>
      <c r="AB5" s="1"/>
      <c r="AC5" s="1"/>
      <c r="AD5" s="1"/>
      <c r="AE5" s="1"/>
      <c r="AF5" s="1"/>
      <c r="AG5" s="1"/>
      <c r="AH5" s="1"/>
      <c r="AI5" s="1"/>
      <c r="AJ5" s="1"/>
      <c r="AK5" s="1"/>
      <c r="AL5" s="1"/>
      <c r="AM5" s="1"/>
      <c r="AN5" s="1"/>
    </row>
    <row r="6" spans="1:40" ht="16.5" x14ac:dyDescent="0.3">
      <c r="A6" s="12" t="s">
        <v>249</v>
      </c>
      <c r="B6" s="13" t="s">
        <v>241</v>
      </c>
      <c r="C6" s="13" t="str">
        <f>+'Mejores 3eros'!AI3</f>
        <v>3F</v>
      </c>
      <c r="D6" s="14" t="s">
        <v>208</v>
      </c>
      <c r="E6" s="1"/>
      <c r="I6" s="12" t="s">
        <v>216</v>
      </c>
      <c r="J6" s="13" t="str">
        <f>+D12</f>
        <v>W83</v>
      </c>
      <c r="K6" s="13" t="str">
        <f>+D13</f>
        <v>W84</v>
      </c>
      <c r="L6" s="14" t="s">
        <v>212</v>
      </c>
      <c r="M6" s="1"/>
      <c r="N6" s="1"/>
      <c r="O6" s="1"/>
      <c r="P6" s="1"/>
      <c r="Q6" s="1" t="s">
        <v>313</v>
      </c>
      <c r="R6" s="1"/>
      <c r="S6" s="1"/>
      <c r="T6" s="10" t="s">
        <v>314</v>
      </c>
      <c r="U6" s="10" t="s">
        <v>315</v>
      </c>
      <c r="V6" s="1"/>
      <c r="W6" s="1"/>
      <c r="X6" s="1"/>
      <c r="Y6" s="1"/>
      <c r="Z6" s="1"/>
      <c r="AA6" s="1"/>
      <c r="AB6" s="1"/>
      <c r="AC6" s="1"/>
      <c r="AD6" s="1"/>
      <c r="AE6" s="1"/>
      <c r="AF6" s="1"/>
      <c r="AG6" s="1"/>
      <c r="AH6" s="1"/>
      <c r="AI6" s="1"/>
      <c r="AJ6" s="1"/>
      <c r="AK6" s="1"/>
      <c r="AL6" s="1"/>
      <c r="AM6" s="1"/>
      <c r="AN6" s="1"/>
    </row>
    <row r="7" spans="1:40" ht="16.5" x14ac:dyDescent="0.3">
      <c r="A7" s="12" t="s">
        <v>257</v>
      </c>
      <c r="B7" s="13" t="s">
        <v>253</v>
      </c>
      <c r="C7" s="13" t="s">
        <v>254</v>
      </c>
      <c r="D7" s="14" t="s">
        <v>244</v>
      </c>
      <c r="E7" s="1"/>
      <c r="I7" s="12" t="s">
        <v>233</v>
      </c>
      <c r="J7" s="13" t="str">
        <f>+D10</f>
        <v>W81</v>
      </c>
      <c r="K7" s="13" t="str">
        <f>+D11</f>
        <v>W82</v>
      </c>
      <c r="L7" s="14" t="s">
        <v>229</v>
      </c>
      <c r="M7" s="1"/>
      <c r="N7" s="1"/>
      <c r="O7" s="1"/>
      <c r="P7" s="1"/>
      <c r="Q7" s="12" t="s">
        <v>286</v>
      </c>
      <c r="R7" s="15" t="str">
        <f>+U2</f>
        <v>L101</v>
      </c>
      <c r="S7" s="15" t="str">
        <f>+U3</f>
        <v>L102</v>
      </c>
      <c r="T7" s="14"/>
      <c r="U7" s="10"/>
      <c r="V7" s="1"/>
      <c r="W7" s="1"/>
      <c r="X7" s="1"/>
      <c r="Y7" s="1"/>
      <c r="Z7" s="1"/>
      <c r="AA7" s="1"/>
      <c r="AB7" s="1"/>
      <c r="AC7" s="1"/>
      <c r="AD7" s="1"/>
      <c r="AE7" s="1"/>
      <c r="AF7" s="1"/>
      <c r="AG7" s="1"/>
      <c r="AH7" s="1"/>
      <c r="AI7" s="1"/>
      <c r="AJ7" s="1"/>
      <c r="AK7" s="1"/>
      <c r="AL7" s="1"/>
      <c r="AM7" s="1"/>
      <c r="AN7" s="1"/>
    </row>
    <row r="8" spans="1:40" ht="16.5" x14ac:dyDescent="0.3">
      <c r="A8" s="12" t="s">
        <v>266</v>
      </c>
      <c r="B8" s="13" t="s">
        <v>259</v>
      </c>
      <c r="C8" s="13" t="str">
        <f>+'Mejores 3eros'!AD3</f>
        <v>3E</v>
      </c>
      <c r="D8" s="14" t="s">
        <v>260</v>
      </c>
      <c r="E8" s="1"/>
      <c r="I8" s="12" t="s">
        <v>252</v>
      </c>
      <c r="J8" s="13" t="str">
        <f>+D15</f>
        <v>W86</v>
      </c>
      <c r="K8" s="13" t="str">
        <f>+D17</f>
        <v>W88</v>
      </c>
      <c r="L8" s="14" t="s">
        <v>248</v>
      </c>
      <c r="M8" s="1"/>
      <c r="N8" s="1"/>
      <c r="O8" s="1"/>
      <c r="P8" s="1"/>
      <c r="Q8" s="12"/>
      <c r="R8" s="13"/>
      <c r="S8" s="13"/>
      <c r="T8" s="14"/>
      <c r="U8" s="10"/>
      <c r="V8" s="1"/>
      <c r="W8" s="1"/>
      <c r="X8" s="1"/>
      <c r="Y8" s="1"/>
      <c r="Z8" s="1"/>
      <c r="AA8" s="1"/>
      <c r="AB8" s="1"/>
      <c r="AC8" s="1"/>
      <c r="AD8" s="1"/>
      <c r="AE8" s="1"/>
      <c r="AF8" s="1"/>
      <c r="AG8" s="1"/>
      <c r="AH8" s="1"/>
      <c r="AI8" s="1"/>
      <c r="AJ8" s="1"/>
      <c r="AK8" s="1"/>
      <c r="AL8" s="1"/>
      <c r="AM8" s="1"/>
      <c r="AN8" s="1"/>
    </row>
    <row r="9" spans="1:40" ht="16.5" x14ac:dyDescent="0.3">
      <c r="A9" s="12" t="s">
        <v>273</v>
      </c>
      <c r="B9" s="13" t="s">
        <v>270</v>
      </c>
      <c r="C9" s="13" t="str">
        <f>+'Mejores 3eros'!AK3</f>
        <v>3I</v>
      </c>
      <c r="D9" s="14" t="s">
        <v>263</v>
      </c>
      <c r="E9" s="1"/>
      <c r="I9" s="12" t="s">
        <v>269</v>
      </c>
      <c r="J9" s="13" t="str">
        <f>+D14</f>
        <v>W85</v>
      </c>
      <c r="K9" s="13" t="str">
        <f>+D16</f>
        <v>W87</v>
      </c>
      <c r="L9" s="14" t="s">
        <v>265</v>
      </c>
      <c r="M9" s="1"/>
      <c r="N9" s="1"/>
      <c r="O9" s="1"/>
      <c r="P9" s="1"/>
      <c r="Q9" s="1"/>
      <c r="R9" s="1"/>
      <c r="S9" s="1"/>
      <c r="T9" s="10"/>
      <c r="U9" s="10"/>
      <c r="V9" s="1"/>
      <c r="W9" s="1"/>
      <c r="X9" s="1"/>
      <c r="Y9" s="1"/>
      <c r="Z9" s="1"/>
      <c r="AA9" s="1"/>
      <c r="AB9" s="1"/>
      <c r="AC9" s="1"/>
      <c r="AD9" s="1"/>
      <c r="AE9" s="1"/>
      <c r="AF9" s="1"/>
      <c r="AG9" s="1"/>
      <c r="AH9" s="1"/>
      <c r="AI9" s="1"/>
      <c r="AJ9" s="1"/>
      <c r="AK9" s="1"/>
      <c r="AL9" s="1"/>
      <c r="AM9" s="1"/>
      <c r="AN9" s="1"/>
    </row>
    <row r="10" spans="1:40" ht="16.5" x14ac:dyDescent="0.3">
      <c r="A10" s="12" t="s">
        <v>214</v>
      </c>
      <c r="B10" s="13" t="s">
        <v>205</v>
      </c>
      <c r="C10" s="13" t="str">
        <f>+'Mejores 3eros'!AF3</f>
        <v>3J</v>
      </c>
      <c r="D10" s="14" t="s">
        <v>206</v>
      </c>
      <c r="E10" s="1"/>
      <c r="I10" s="1"/>
      <c r="J10" s="10"/>
      <c r="K10" s="10"/>
      <c r="L10" s="1"/>
      <c r="M10" s="1"/>
      <c r="N10" s="1"/>
      <c r="O10" s="1"/>
      <c r="P10" s="1"/>
      <c r="Q10" s="1" t="s">
        <v>16</v>
      </c>
      <c r="R10" s="1"/>
      <c r="S10" s="1"/>
      <c r="T10" s="10" t="s">
        <v>20</v>
      </c>
      <c r="U10" s="10" t="s">
        <v>316</v>
      </c>
      <c r="V10" s="1"/>
      <c r="W10" s="1"/>
      <c r="X10" s="1"/>
      <c r="Y10" s="1"/>
      <c r="Z10" s="1"/>
      <c r="AA10" s="1"/>
      <c r="AB10" s="1"/>
      <c r="AC10" s="1"/>
      <c r="AD10" s="1"/>
      <c r="AE10" s="1"/>
      <c r="AF10" s="1"/>
      <c r="AG10" s="1"/>
      <c r="AH10" s="1"/>
      <c r="AI10" s="1"/>
      <c r="AJ10" s="1"/>
      <c r="AK10" s="1"/>
      <c r="AL10" s="1"/>
      <c r="AM10" s="1"/>
      <c r="AN10" s="1"/>
    </row>
    <row r="11" spans="1:40" ht="16.5" x14ac:dyDescent="0.3">
      <c r="A11" s="12" t="s">
        <v>222</v>
      </c>
      <c r="B11" s="13" t="s">
        <v>219</v>
      </c>
      <c r="C11" s="13" t="str">
        <f>+'Mejores 3eros'!AH3</f>
        <v>3A</v>
      </c>
      <c r="D11" s="14" t="s">
        <v>220</v>
      </c>
      <c r="E11" s="1"/>
      <c r="I11" s="1" t="s">
        <v>317</v>
      </c>
      <c r="J11" s="1"/>
      <c r="K11" s="1"/>
      <c r="L11" s="1" t="s">
        <v>307</v>
      </c>
      <c r="M11" s="1"/>
      <c r="N11" s="1"/>
      <c r="O11" s="1"/>
      <c r="P11" s="1"/>
      <c r="Q11" s="12" t="s">
        <v>279</v>
      </c>
      <c r="R11" s="13" t="str">
        <f>+T2</f>
        <v>W101</v>
      </c>
      <c r="S11" s="13" t="str">
        <f>+T3</f>
        <v>W102</v>
      </c>
      <c r="T11" s="14"/>
      <c r="U11" s="10"/>
      <c r="V11" s="1"/>
      <c r="W11" s="1"/>
      <c r="X11" s="1"/>
      <c r="Y11" s="1"/>
      <c r="Z11" s="1"/>
      <c r="AA11" s="1"/>
      <c r="AB11" s="1"/>
      <c r="AC11" s="1"/>
      <c r="AD11" s="1"/>
      <c r="AE11" s="1"/>
      <c r="AF11" s="1"/>
      <c r="AG11" s="1"/>
      <c r="AH11" s="1"/>
      <c r="AI11" s="1"/>
      <c r="AJ11" s="1"/>
      <c r="AK11" s="1"/>
      <c r="AL11" s="1"/>
      <c r="AM11" s="1"/>
      <c r="AN11" s="1"/>
    </row>
    <row r="12" spans="1:40" ht="16.5" x14ac:dyDescent="0.3">
      <c r="A12" s="12" t="s">
        <v>231</v>
      </c>
      <c r="B12" s="13" t="s">
        <v>226</v>
      </c>
      <c r="C12" s="13" t="s">
        <v>227</v>
      </c>
      <c r="D12" s="14" t="s">
        <v>210</v>
      </c>
      <c r="E12" s="1"/>
      <c r="I12" s="12" t="s">
        <v>277</v>
      </c>
      <c r="J12" s="13" t="str">
        <f>+L2</f>
        <v>W89</v>
      </c>
      <c r="K12" s="13" t="str">
        <f>+L3</f>
        <v>W90</v>
      </c>
      <c r="L12" s="14" t="s">
        <v>275</v>
      </c>
      <c r="M12" s="1"/>
      <c r="N12" s="1"/>
      <c r="O12" s="1"/>
      <c r="P12" s="1"/>
      <c r="Q12" s="1"/>
      <c r="R12" s="1"/>
      <c r="S12" s="1"/>
      <c r="T12" s="10"/>
      <c r="U12" s="10"/>
      <c r="V12" s="1"/>
      <c r="W12" s="1"/>
      <c r="X12" s="1"/>
      <c r="Y12" s="1"/>
      <c r="Z12" s="1"/>
      <c r="AA12" s="1"/>
      <c r="AB12" s="1"/>
      <c r="AC12" s="1"/>
      <c r="AD12" s="1"/>
      <c r="AE12" s="1"/>
      <c r="AF12" s="1"/>
      <c r="AG12" s="1"/>
      <c r="AH12" s="1"/>
      <c r="AI12" s="1"/>
      <c r="AJ12" s="1"/>
      <c r="AK12" s="1"/>
      <c r="AL12" s="1"/>
      <c r="AM12" s="1"/>
      <c r="AN12" s="1"/>
    </row>
    <row r="13" spans="1:40" ht="16.5" x14ac:dyDescent="0.3">
      <c r="A13" s="12" t="s">
        <v>240</v>
      </c>
      <c r="B13" s="13" t="s">
        <v>237</v>
      </c>
      <c r="C13" s="13" t="s">
        <v>238</v>
      </c>
      <c r="D13" s="14" t="s">
        <v>211</v>
      </c>
      <c r="E13" s="1"/>
      <c r="I13" s="12" t="s">
        <v>282</v>
      </c>
      <c r="J13" s="13" t="str">
        <f>+L6</f>
        <v>W93</v>
      </c>
      <c r="K13" s="13" t="str">
        <f>+L7</f>
        <v>W94</v>
      </c>
      <c r="L13" s="14" t="s">
        <v>280</v>
      </c>
      <c r="M13" s="1"/>
      <c r="N13" s="1"/>
      <c r="O13" s="1"/>
      <c r="P13" s="1"/>
      <c r="Q13" s="1"/>
      <c r="R13" s="1"/>
      <c r="S13" s="1"/>
      <c r="T13" s="10"/>
      <c r="U13" s="10"/>
      <c r="V13" s="1"/>
      <c r="W13" s="1"/>
      <c r="X13" s="1"/>
      <c r="Y13" s="1"/>
      <c r="Z13" s="1"/>
      <c r="AA13" s="1"/>
      <c r="AB13" s="1"/>
      <c r="AC13" s="1"/>
      <c r="AD13" s="1"/>
      <c r="AE13" s="1"/>
      <c r="AF13" s="1"/>
      <c r="AG13" s="1"/>
      <c r="AH13" s="1"/>
      <c r="AI13" s="1"/>
      <c r="AJ13" s="1"/>
      <c r="AK13" s="1"/>
      <c r="AL13" s="1"/>
      <c r="AM13" s="1"/>
      <c r="AN13" s="1"/>
    </row>
    <row r="14" spans="1:40" ht="16.5" x14ac:dyDescent="0.3">
      <c r="A14" s="12" t="s">
        <v>250</v>
      </c>
      <c r="B14" s="13" t="s">
        <v>242</v>
      </c>
      <c r="C14" s="13" t="str">
        <f>+'Mejores 3eros'!AE3</f>
        <v>3G</v>
      </c>
      <c r="D14" s="14" t="s">
        <v>243</v>
      </c>
      <c r="E14" s="1"/>
      <c r="I14" s="12" t="s">
        <v>278</v>
      </c>
      <c r="J14" s="13" t="str">
        <f>+L4</f>
        <v>W91</v>
      </c>
      <c r="K14" s="13" t="str">
        <f>+L5</f>
        <v>W92</v>
      </c>
      <c r="L14" s="14" t="s">
        <v>276</v>
      </c>
      <c r="M14" s="1"/>
      <c r="N14" s="1"/>
      <c r="O14" s="1"/>
      <c r="P14" s="1"/>
      <c r="Q14" s="1"/>
      <c r="R14" s="1"/>
      <c r="S14" s="1"/>
      <c r="T14" s="10"/>
      <c r="U14" s="10"/>
      <c r="V14" s="1"/>
      <c r="W14" s="1"/>
      <c r="X14" s="1"/>
      <c r="Y14" s="1"/>
      <c r="Z14" s="1"/>
      <c r="AA14" s="1"/>
      <c r="AB14" s="1"/>
      <c r="AC14" s="1"/>
      <c r="AD14" s="1"/>
      <c r="AE14" s="1"/>
      <c r="AF14" s="1"/>
      <c r="AG14" s="1"/>
      <c r="AH14" s="1"/>
      <c r="AI14" s="1"/>
      <c r="AJ14" s="1"/>
      <c r="AK14" s="1"/>
      <c r="AL14" s="1"/>
      <c r="AM14" s="1"/>
      <c r="AN14" s="1"/>
    </row>
    <row r="15" spans="1:40" ht="16.5" x14ac:dyDescent="0.3">
      <c r="A15" s="12" t="s">
        <v>258</v>
      </c>
      <c r="B15" s="13" t="s">
        <v>255</v>
      </c>
      <c r="C15" s="13" t="s">
        <v>256</v>
      </c>
      <c r="D15" s="14" t="s">
        <v>246</v>
      </c>
      <c r="E15" s="1"/>
      <c r="I15" s="12" t="s">
        <v>283</v>
      </c>
      <c r="J15" s="13" t="str">
        <f>+L8</f>
        <v>W95</v>
      </c>
      <c r="K15" s="13" t="str">
        <f>+L9</f>
        <v>W96</v>
      </c>
      <c r="L15" s="14" t="s">
        <v>281</v>
      </c>
      <c r="M15" s="1"/>
      <c r="N15" s="1"/>
      <c r="O15" s="1"/>
      <c r="P15" s="1"/>
      <c r="Q15" s="1"/>
      <c r="R15" s="1"/>
      <c r="S15" s="1"/>
      <c r="T15" s="10"/>
      <c r="U15" s="10"/>
      <c r="V15" s="1"/>
      <c r="W15" s="1"/>
      <c r="X15" s="1"/>
      <c r="Y15" s="1"/>
      <c r="Z15" s="1"/>
      <c r="AA15" s="1"/>
      <c r="AB15" s="1"/>
      <c r="AC15" s="1"/>
      <c r="AD15" s="1"/>
      <c r="AE15" s="1"/>
      <c r="AF15" s="1"/>
      <c r="AG15" s="1"/>
      <c r="AH15" s="1"/>
      <c r="AI15" s="1"/>
      <c r="AJ15" s="1"/>
      <c r="AK15" s="1"/>
      <c r="AL15" s="1"/>
      <c r="AM15" s="1"/>
      <c r="AN15" s="1"/>
    </row>
    <row r="16" spans="1:40" ht="16.5" x14ac:dyDescent="0.3">
      <c r="A16" s="12" t="s">
        <v>267</v>
      </c>
      <c r="B16" s="13" t="s">
        <v>261</v>
      </c>
      <c r="C16" s="13" t="str">
        <f>+'Mejores 3eros'!AJ3</f>
        <v>3L</v>
      </c>
      <c r="D16" s="14" t="s">
        <v>262</v>
      </c>
      <c r="E16" s="1"/>
      <c r="I16" s="1"/>
      <c r="J16" s="10"/>
      <c r="K16" s="10"/>
      <c r="L16" s="10"/>
      <c r="M16" s="1"/>
      <c r="N16" s="1"/>
      <c r="O16" s="1"/>
      <c r="P16" s="1"/>
      <c r="Q16" s="1"/>
      <c r="R16" s="1"/>
      <c r="S16" s="1"/>
      <c r="T16" s="10"/>
      <c r="U16" s="10"/>
      <c r="V16" s="1"/>
      <c r="W16" s="1"/>
      <c r="X16" s="1"/>
      <c r="Y16" s="1"/>
      <c r="Z16" s="1"/>
      <c r="AA16" s="1"/>
      <c r="AB16" s="1"/>
      <c r="AC16" s="1"/>
      <c r="AD16" s="1"/>
      <c r="AE16" s="1"/>
      <c r="AF16" s="1"/>
      <c r="AG16" s="1"/>
      <c r="AH16" s="1"/>
      <c r="AI16" s="1"/>
      <c r="AJ16" s="1"/>
      <c r="AK16" s="1"/>
      <c r="AL16" s="1"/>
      <c r="AM16" s="1"/>
      <c r="AN16" s="1"/>
    </row>
    <row r="17" spans="1:40" ht="16.5" x14ac:dyDescent="0.3">
      <c r="A17" s="12" t="s">
        <v>274</v>
      </c>
      <c r="B17" s="13" t="s">
        <v>271</v>
      </c>
      <c r="C17" s="13" t="s">
        <v>272</v>
      </c>
      <c r="D17" s="14" t="s">
        <v>247</v>
      </c>
      <c r="E17" s="1"/>
      <c r="I17" s="1"/>
      <c r="J17" s="10"/>
      <c r="K17" s="10"/>
      <c r="L17" s="10"/>
      <c r="M17" s="1"/>
      <c r="N17" s="1"/>
      <c r="O17" s="1"/>
      <c r="P17" s="1"/>
      <c r="Q17" s="1"/>
      <c r="R17" s="1"/>
      <c r="S17" s="1"/>
      <c r="T17" s="10"/>
      <c r="U17" s="10"/>
      <c r="V17" s="1"/>
      <c r="W17" s="1"/>
      <c r="X17" s="1"/>
      <c r="Y17" s="1"/>
      <c r="Z17" s="1"/>
      <c r="AA17" s="1"/>
      <c r="AB17" s="1"/>
      <c r="AC17" s="1"/>
      <c r="AD17" s="1"/>
      <c r="AE17" s="1"/>
      <c r="AF17" s="1"/>
      <c r="AG17" s="1"/>
      <c r="AH17" s="1"/>
      <c r="AI17" s="1"/>
      <c r="AJ17" s="1"/>
      <c r="AK17" s="1"/>
      <c r="AL17" s="1"/>
      <c r="AM17" s="1"/>
      <c r="AN17" s="1"/>
    </row>
    <row r="18" spans="1:40" ht="16.5" x14ac:dyDescent="0.3">
      <c r="A18" s="1"/>
      <c r="B18" s="1"/>
      <c r="C18" s="1"/>
      <c r="D18" s="1"/>
      <c r="E18" s="1"/>
      <c r="F18" s="1"/>
      <c r="G18" s="1"/>
      <c r="H18" s="1"/>
      <c r="I18" s="1"/>
      <c r="J18" s="10"/>
      <c r="K18" s="10"/>
      <c r="L18" s="10"/>
      <c r="M18" s="1"/>
      <c r="N18" s="1"/>
      <c r="O18" s="1"/>
      <c r="P18" s="1"/>
      <c r="Q18" s="1"/>
      <c r="R18" s="1"/>
      <c r="S18" s="1"/>
      <c r="T18" s="10"/>
      <c r="U18" s="10"/>
      <c r="V18" s="1"/>
      <c r="W18" s="1"/>
      <c r="X18" s="1"/>
      <c r="Y18" s="1"/>
      <c r="Z18" s="1"/>
      <c r="AA18" s="1"/>
      <c r="AB18" s="1"/>
      <c r="AC18" s="1"/>
      <c r="AD18" s="1"/>
      <c r="AE18" s="1"/>
      <c r="AF18" s="1"/>
      <c r="AG18" s="1"/>
      <c r="AH18" s="1"/>
      <c r="AI18" s="1"/>
      <c r="AJ18" s="1"/>
      <c r="AK18" s="1"/>
      <c r="AL18" s="1"/>
      <c r="AM18" s="1"/>
      <c r="AN18" s="1"/>
    </row>
    <row r="19" spans="1:40" ht="16.5" x14ac:dyDescent="0.3">
      <c r="A19" s="1"/>
      <c r="B19" s="1"/>
      <c r="C19" s="1"/>
      <c r="D19" s="1"/>
      <c r="E19" s="1"/>
      <c r="F19" s="1"/>
      <c r="G19" s="1"/>
      <c r="H19" s="1"/>
      <c r="I19" s="1"/>
      <c r="J19" s="10"/>
      <c r="K19" s="10"/>
      <c r="L19" s="10"/>
      <c r="M19" s="1"/>
      <c r="N19" s="1"/>
      <c r="O19" s="1"/>
      <c r="P19" s="1"/>
      <c r="Q19" s="1"/>
      <c r="R19" s="1"/>
      <c r="S19" s="1"/>
      <c r="T19" s="10"/>
      <c r="U19" s="10"/>
      <c r="V19" s="1"/>
      <c r="W19" s="1"/>
      <c r="X19" s="1"/>
      <c r="Y19" s="1"/>
      <c r="Z19" s="1"/>
      <c r="AA19" s="1"/>
      <c r="AB19" s="1"/>
      <c r="AC19" s="1"/>
      <c r="AD19" s="1"/>
      <c r="AE19" s="1"/>
      <c r="AF19" s="1"/>
      <c r="AG19" s="1"/>
      <c r="AH19" s="1"/>
      <c r="AI19" s="1"/>
      <c r="AJ19" s="1"/>
      <c r="AK19" s="1"/>
      <c r="AL19" s="1"/>
      <c r="AM19" s="1"/>
      <c r="AN19" s="1"/>
    </row>
    <row r="20" spans="1:40" ht="16.5" x14ac:dyDescent="0.3">
      <c r="A20" s="1"/>
      <c r="B20" s="1"/>
      <c r="C20" s="1"/>
      <c r="D20" s="1"/>
      <c r="E20" s="1"/>
      <c r="F20" s="1"/>
      <c r="G20" s="1"/>
      <c r="H20" s="1"/>
      <c r="I20" s="1"/>
      <c r="J20" s="1"/>
      <c r="K20" s="1"/>
      <c r="L20" s="1"/>
      <c r="M20" s="1"/>
      <c r="N20" s="1"/>
      <c r="O20" s="1"/>
      <c r="P20" s="1"/>
      <c r="Q20" s="1"/>
      <c r="R20" s="1"/>
      <c r="S20" s="1"/>
      <c r="T20" s="10"/>
      <c r="U20" s="10"/>
      <c r="V20" s="1"/>
      <c r="W20" s="1"/>
      <c r="X20" s="1"/>
      <c r="Y20" s="1"/>
      <c r="Z20" s="1"/>
      <c r="AA20" s="1"/>
      <c r="AB20" s="1"/>
      <c r="AC20" s="1"/>
      <c r="AD20" s="1"/>
      <c r="AE20" s="1"/>
      <c r="AF20" s="1"/>
      <c r="AG20" s="1"/>
      <c r="AH20" s="1"/>
      <c r="AI20" s="1"/>
      <c r="AJ20" s="1"/>
      <c r="AK20" s="1"/>
      <c r="AL20" s="1"/>
      <c r="AM20" s="1"/>
      <c r="AN20" s="1"/>
    </row>
    <row r="21" spans="1:40" ht="16.5" x14ac:dyDescent="0.3">
      <c r="A21" s="1"/>
      <c r="B21" s="1"/>
      <c r="C21" s="1"/>
      <c r="D21" s="1"/>
      <c r="E21" s="1"/>
      <c r="F21" s="1"/>
      <c r="G21" s="1"/>
      <c r="H21" s="1"/>
      <c r="I21" s="1"/>
      <c r="J21" s="1"/>
      <c r="K21" s="1"/>
      <c r="L21" s="1"/>
      <c r="M21" s="1"/>
      <c r="N21" s="1"/>
      <c r="O21" s="1"/>
      <c r="P21" s="1"/>
      <c r="Q21" s="1"/>
      <c r="R21" s="1"/>
      <c r="S21" s="1"/>
      <c r="T21" s="10"/>
      <c r="U21" s="10"/>
      <c r="V21" s="1"/>
      <c r="W21" s="1"/>
      <c r="X21" s="1"/>
      <c r="Y21" s="1"/>
      <c r="Z21" s="1"/>
      <c r="AA21" s="1"/>
      <c r="AB21" s="1"/>
      <c r="AC21" s="1"/>
      <c r="AD21" s="1"/>
      <c r="AE21" s="1"/>
      <c r="AF21" s="1"/>
      <c r="AG21" s="1"/>
      <c r="AH21" s="1"/>
      <c r="AI21" s="1"/>
      <c r="AJ21" s="1"/>
      <c r="AK21" s="1"/>
      <c r="AL21" s="1"/>
      <c r="AM21" s="1"/>
      <c r="AN21" s="1"/>
    </row>
    <row r="22" spans="1:40" ht="16.5" x14ac:dyDescent="0.3">
      <c r="A22" s="1"/>
      <c r="B22" s="1"/>
      <c r="C22" s="1"/>
      <c r="D22" s="1"/>
      <c r="E22" s="1"/>
      <c r="F22" s="1"/>
      <c r="G22" s="1"/>
      <c r="H22" s="1"/>
      <c r="I22" s="1"/>
      <c r="J22" s="1"/>
      <c r="K22" s="1"/>
      <c r="L22" s="1"/>
      <c r="M22" s="1"/>
      <c r="N22" s="1"/>
      <c r="O22" s="1"/>
      <c r="P22" s="1"/>
      <c r="Q22" s="1"/>
      <c r="R22" s="1"/>
      <c r="S22" s="1"/>
      <c r="T22" s="10"/>
      <c r="U22" s="10"/>
      <c r="V22" s="1"/>
      <c r="W22" s="1"/>
      <c r="X22" s="1"/>
      <c r="Y22" s="1"/>
      <c r="Z22" s="1"/>
      <c r="AA22" s="1"/>
      <c r="AB22" s="1"/>
      <c r="AC22" s="1"/>
      <c r="AD22" s="1"/>
      <c r="AE22" s="1"/>
      <c r="AF22" s="1"/>
      <c r="AG22" s="1"/>
      <c r="AH22" s="1"/>
      <c r="AI22" s="1"/>
      <c r="AJ22" s="1"/>
      <c r="AK22" s="1"/>
      <c r="AL22" s="1"/>
      <c r="AM22" s="1"/>
      <c r="AN22" s="1"/>
    </row>
    <row r="23" spans="1:40" ht="16.5" x14ac:dyDescent="0.3">
      <c r="A23" s="1"/>
      <c r="B23" s="1"/>
      <c r="C23" s="1"/>
      <c r="D23" s="1"/>
      <c r="E23" s="1"/>
      <c r="F23" s="1"/>
      <c r="G23" s="1"/>
      <c r="H23" s="1"/>
      <c r="I23" s="1"/>
      <c r="J23" s="1"/>
      <c r="K23" s="1"/>
      <c r="L23" s="1"/>
      <c r="M23" s="1"/>
      <c r="N23" s="1"/>
      <c r="O23" s="1"/>
      <c r="P23" s="1"/>
      <c r="Q23" s="1"/>
      <c r="R23" s="1"/>
      <c r="S23" s="1"/>
      <c r="T23" s="10"/>
      <c r="U23" s="10"/>
      <c r="V23" s="1"/>
      <c r="W23" s="1"/>
      <c r="X23" s="1"/>
      <c r="Y23" s="1"/>
      <c r="Z23" s="1"/>
      <c r="AA23" s="1"/>
      <c r="AB23" s="1"/>
      <c r="AC23" s="1"/>
      <c r="AD23" s="1"/>
      <c r="AE23" s="1"/>
      <c r="AF23" s="1"/>
      <c r="AG23" s="1"/>
      <c r="AH23" s="1"/>
      <c r="AI23" s="1"/>
      <c r="AJ23" s="1"/>
      <c r="AK23" s="1"/>
      <c r="AL23" s="1"/>
      <c r="AM23" s="1"/>
      <c r="AN23" s="1"/>
    </row>
    <row r="24" spans="1:40" ht="16.5" x14ac:dyDescent="0.3">
      <c r="A24" s="1"/>
      <c r="B24" s="1"/>
      <c r="C24" s="1"/>
      <c r="D24" s="1"/>
      <c r="E24" s="1"/>
      <c r="F24" s="1"/>
      <c r="G24" s="1"/>
      <c r="H24" s="1"/>
      <c r="I24" s="1"/>
      <c r="J24" s="1"/>
      <c r="K24" s="1"/>
      <c r="L24" s="1"/>
      <c r="M24" s="1"/>
      <c r="N24" s="1"/>
      <c r="O24" s="1"/>
      <c r="P24" s="1"/>
      <c r="Q24" s="1"/>
      <c r="R24" s="1"/>
      <c r="S24" s="1"/>
      <c r="T24" s="10"/>
      <c r="U24" s="10"/>
      <c r="V24" s="1"/>
      <c r="W24" s="1"/>
      <c r="X24" s="1"/>
      <c r="Y24" s="1"/>
      <c r="Z24" s="1"/>
      <c r="AA24" s="1"/>
      <c r="AB24" s="1"/>
      <c r="AC24" s="1"/>
      <c r="AD24" s="1"/>
      <c r="AE24" s="1"/>
      <c r="AF24" s="1"/>
      <c r="AG24" s="1"/>
      <c r="AH24" s="1"/>
      <c r="AI24" s="1"/>
      <c r="AJ24" s="1"/>
      <c r="AK24" s="1"/>
      <c r="AL24" s="1"/>
      <c r="AM24" s="1"/>
      <c r="AN24" s="1"/>
    </row>
    <row r="25" spans="1:40" ht="16.5" x14ac:dyDescent="0.3">
      <c r="A25" s="1"/>
      <c r="B25" s="1"/>
      <c r="C25" s="1"/>
      <c r="D25" s="1"/>
      <c r="E25" s="1"/>
      <c r="F25" s="1"/>
      <c r="G25" s="1"/>
      <c r="H25" s="1"/>
      <c r="I25" s="1"/>
      <c r="J25" s="1"/>
      <c r="K25" s="1"/>
      <c r="L25" s="1"/>
      <c r="M25" s="1"/>
      <c r="N25" s="1"/>
      <c r="O25" s="1"/>
      <c r="P25" s="1"/>
      <c r="Q25" s="1"/>
      <c r="R25" s="1"/>
      <c r="S25" s="1"/>
      <c r="T25" s="10"/>
      <c r="U25" s="10"/>
      <c r="V25" s="1"/>
      <c r="W25" s="1"/>
      <c r="X25" s="1"/>
      <c r="Y25" s="1"/>
      <c r="Z25" s="1"/>
      <c r="AA25" s="1"/>
      <c r="AB25" s="1"/>
      <c r="AC25" s="1"/>
      <c r="AD25" s="1"/>
      <c r="AE25" s="1"/>
      <c r="AF25" s="1"/>
      <c r="AG25" s="1"/>
      <c r="AH25" s="1"/>
      <c r="AI25" s="1"/>
      <c r="AJ25" s="1"/>
      <c r="AK25" s="1"/>
      <c r="AL25" s="1"/>
      <c r="AM25" s="1"/>
      <c r="AN25" s="1"/>
    </row>
    <row r="26" spans="1:40" ht="16.5" x14ac:dyDescent="0.3">
      <c r="A26" s="1"/>
      <c r="B26" s="1"/>
      <c r="C26" s="1"/>
      <c r="D26" s="1"/>
      <c r="E26" s="1"/>
      <c r="F26" s="1"/>
      <c r="G26" s="1"/>
      <c r="H26" s="1"/>
      <c r="I26" s="1"/>
      <c r="J26" s="1"/>
      <c r="K26" s="1"/>
      <c r="L26" s="1"/>
      <c r="M26" s="1"/>
      <c r="N26" s="1"/>
      <c r="O26" s="1"/>
      <c r="P26" s="1"/>
      <c r="Q26" s="1"/>
      <c r="R26" s="1"/>
      <c r="S26" s="1"/>
      <c r="T26" s="10"/>
      <c r="U26" s="10"/>
      <c r="V26" s="1"/>
      <c r="W26" s="1"/>
      <c r="X26" s="1"/>
      <c r="Y26" s="1"/>
      <c r="Z26" s="1"/>
      <c r="AA26" s="1"/>
      <c r="AB26" s="1"/>
      <c r="AC26" s="1"/>
      <c r="AD26" s="1"/>
      <c r="AE26" s="1"/>
      <c r="AF26" s="1"/>
      <c r="AG26" s="1"/>
      <c r="AH26" s="1"/>
      <c r="AI26" s="1"/>
      <c r="AJ26" s="1"/>
      <c r="AK26" s="1"/>
      <c r="AL26" s="1"/>
      <c r="AM26" s="1"/>
      <c r="AN26" s="1"/>
    </row>
    <row r="27" spans="1:40" ht="16.5" x14ac:dyDescent="0.3">
      <c r="A27" s="1"/>
      <c r="B27" s="1"/>
      <c r="C27" s="1"/>
      <c r="D27" s="1"/>
      <c r="E27" s="1"/>
      <c r="F27" s="1"/>
      <c r="G27" s="1"/>
      <c r="H27" s="1"/>
      <c r="I27" s="1"/>
      <c r="J27" s="1"/>
      <c r="K27" s="1"/>
      <c r="L27" s="1"/>
      <c r="M27" s="1"/>
      <c r="N27" s="1"/>
      <c r="O27" s="1"/>
      <c r="P27" s="1"/>
      <c r="Q27" s="1"/>
      <c r="R27" s="1"/>
      <c r="S27" s="1"/>
      <c r="T27" s="10"/>
      <c r="U27" s="10"/>
      <c r="V27" s="1"/>
      <c r="W27" s="1"/>
      <c r="X27" s="1"/>
      <c r="Y27" s="1"/>
      <c r="Z27" s="1"/>
      <c r="AA27" s="1"/>
      <c r="AB27" s="1"/>
      <c r="AC27" s="1"/>
      <c r="AD27" s="1"/>
      <c r="AE27" s="1"/>
      <c r="AF27" s="1"/>
      <c r="AG27" s="1"/>
      <c r="AH27" s="1"/>
      <c r="AI27" s="1"/>
      <c r="AJ27" s="1"/>
      <c r="AK27" s="1"/>
      <c r="AL27" s="1"/>
      <c r="AM27" s="1"/>
      <c r="AN27" s="1"/>
    </row>
    <row r="28" spans="1:40" ht="16.5" x14ac:dyDescent="0.3">
      <c r="A28" s="1"/>
      <c r="B28" s="1"/>
      <c r="C28" s="1"/>
      <c r="D28" s="1"/>
      <c r="E28" s="1"/>
      <c r="F28" s="1"/>
      <c r="G28" s="1"/>
      <c r="H28" s="1"/>
      <c r="I28" s="1"/>
      <c r="J28" s="1"/>
      <c r="K28" s="1"/>
      <c r="L28" s="1"/>
      <c r="M28" s="1"/>
      <c r="N28" s="1"/>
      <c r="O28" s="1"/>
      <c r="P28" s="1"/>
      <c r="Q28" s="1"/>
      <c r="R28" s="1"/>
      <c r="S28" s="1"/>
      <c r="T28" s="10"/>
      <c r="U28" s="10"/>
      <c r="V28" s="1"/>
      <c r="W28" s="1"/>
      <c r="X28" s="1"/>
      <c r="Y28" s="1"/>
      <c r="Z28" s="1"/>
      <c r="AA28" s="1"/>
      <c r="AB28" s="1"/>
      <c r="AC28" s="1"/>
      <c r="AD28" s="1"/>
      <c r="AE28" s="1"/>
      <c r="AF28" s="1"/>
      <c r="AG28" s="1"/>
      <c r="AH28" s="1"/>
      <c r="AI28" s="1"/>
      <c r="AJ28" s="1"/>
      <c r="AK28" s="1"/>
      <c r="AL28" s="1"/>
      <c r="AM28" s="1"/>
      <c r="AN28" s="1"/>
    </row>
    <row r="29" spans="1:40" ht="16.5" x14ac:dyDescent="0.3">
      <c r="A29" s="1"/>
      <c r="B29" s="1"/>
      <c r="C29" s="1"/>
      <c r="D29" s="1"/>
      <c r="E29" s="1"/>
      <c r="F29" s="1"/>
      <c r="G29" s="1"/>
      <c r="H29" s="1"/>
      <c r="I29" s="1"/>
      <c r="J29" s="1"/>
      <c r="K29" s="1"/>
      <c r="L29" s="1"/>
      <c r="M29" s="1"/>
      <c r="N29" s="1"/>
      <c r="O29" s="1"/>
      <c r="P29" s="1"/>
      <c r="Q29" s="1"/>
      <c r="R29" s="1"/>
      <c r="S29" s="1"/>
      <c r="T29" s="10"/>
      <c r="U29" s="10"/>
      <c r="V29" s="1"/>
      <c r="W29" s="1"/>
      <c r="X29" s="1"/>
      <c r="Y29" s="1"/>
      <c r="Z29" s="1"/>
      <c r="AA29" s="1"/>
      <c r="AB29" s="1"/>
      <c r="AC29" s="1"/>
      <c r="AD29" s="1"/>
      <c r="AE29" s="1"/>
      <c r="AF29" s="1"/>
      <c r="AG29" s="1"/>
      <c r="AH29" s="1"/>
      <c r="AI29" s="1"/>
      <c r="AJ29" s="1"/>
      <c r="AK29" s="1"/>
      <c r="AL29" s="1"/>
      <c r="AM29" s="1"/>
      <c r="AN29" s="1"/>
    </row>
    <row r="30" spans="1:40" ht="16.5" x14ac:dyDescent="0.3">
      <c r="A30" s="1"/>
      <c r="B30" s="1"/>
      <c r="C30" s="1"/>
      <c r="D30" s="1"/>
      <c r="E30" s="1"/>
      <c r="F30" s="1"/>
      <c r="G30" s="1"/>
      <c r="H30" s="1"/>
      <c r="I30" s="1"/>
      <c r="J30" s="1"/>
      <c r="K30" s="1"/>
      <c r="L30" s="1"/>
      <c r="M30" s="1"/>
      <c r="N30" s="1"/>
      <c r="O30" s="1"/>
      <c r="P30" s="1"/>
      <c r="Q30" s="1"/>
      <c r="R30" s="1"/>
      <c r="S30" s="1"/>
      <c r="T30" s="10"/>
      <c r="U30" s="10"/>
      <c r="V30" s="1"/>
      <c r="W30" s="1"/>
      <c r="X30" s="1"/>
      <c r="Y30" s="1"/>
      <c r="Z30" s="1"/>
      <c r="AA30" s="1"/>
      <c r="AB30" s="1"/>
      <c r="AC30" s="1"/>
      <c r="AD30" s="1"/>
      <c r="AE30" s="1"/>
      <c r="AF30" s="1"/>
      <c r="AG30" s="1"/>
      <c r="AH30" s="1"/>
      <c r="AI30" s="1"/>
      <c r="AJ30" s="1"/>
      <c r="AK30" s="1"/>
      <c r="AL30" s="1"/>
      <c r="AM30" s="1"/>
      <c r="AN30" s="1"/>
    </row>
    <row r="31" spans="1:40" ht="16.5" x14ac:dyDescent="0.3">
      <c r="A31" s="1"/>
      <c r="B31" s="1"/>
      <c r="C31" s="1"/>
      <c r="D31" s="1"/>
      <c r="E31" s="1"/>
      <c r="F31" s="1"/>
      <c r="G31" s="1"/>
      <c r="H31" s="1"/>
      <c r="I31" s="1"/>
      <c r="J31" s="1"/>
      <c r="K31" s="1"/>
      <c r="L31" s="1"/>
      <c r="M31" s="1"/>
      <c r="N31" s="1"/>
      <c r="O31" s="1"/>
      <c r="P31" s="1"/>
      <c r="Q31" s="1"/>
      <c r="R31" s="1"/>
      <c r="S31" s="1"/>
      <c r="T31" s="10"/>
      <c r="U31" s="10"/>
      <c r="V31" s="1"/>
      <c r="W31" s="1"/>
      <c r="X31" s="1"/>
      <c r="Y31" s="1"/>
      <c r="Z31" s="1"/>
      <c r="AA31" s="1"/>
      <c r="AB31" s="1"/>
      <c r="AC31" s="1"/>
      <c r="AD31" s="1"/>
      <c r="AE31" s="1"/>
      <c r="AF31" s="1"/>
      <c r="AG31" s="1"/>
      <c r="AH31" s="1"/>
      <c r="AI31" s="1"/>
      <c r="AJ31" s="1"/>
      <c r="AK31" s="1"/>
      <c r="AL31" s="1"/>
      <c r="AM31" s="1"/>
      <c r="AN31" s="1"/>
    </row>
    <row r="32" spans="1:40" ht="16.5" x14ac:dyDescent="0.3">
      <c r="A32" s="1"/>
      <c r="B32" s="1"/>
      <c r="C32" s="1"/>
      <c r="D32" s="1"/>
      <c r="E32" s="1"/>
      <c r="F32" s="1"/>
      <c r="G32" s="1"/>
      <c r="H32" s="1"/>
      <c r="I32" s="1"/>
      <c r="J32" s="1"/>
      <c r="K32" s="1"/>
      <c r="L32" s="1"/>
      <c r="M32" s="1"/>
      <c r="N32" s="1"/>
      <c r="O32" s="1"/>
      <c r="P32" s="1"/>
      <c r="Q32" s="1"/>
      <c r="R32" s="1"/>
      <c r="S32" s="1"/>
      <c r="T32" s="10"/>
      <c r="U32" s="10"/>
      <c r="V32" s="1"/>
      <c r="W32" s="1"/>
      <c r="X32" s="1"/>
      <c r="Y32" s="1"/>
      <c r="Z32" s="1"/>
      <c r="AA32" s="1"/>
      <c r="AB32" s="1"/>
      <c r="AC32" s="1"/>
      <c r="AD32" s="1"/>
      <c r="AE32" s="1"/>
      <c r="AF32" s="1"/>
      <c r="AG32" s="1"/>
      <c r="AH32" s="1"/>
      <c r="AI32" s="1"/>
      <c r="AJ32" s="1"/>
      <c r="AK32" s="1"/>
      <c r="AL32" s="1"/>
      <c r="AM32" s="1"/>
      <c r="AN32" s="1"/>
    </row>
    <row r="33" spans="1:40" ht="16.5" x14ac:dyDescent="0.3">
      <c r="A33" s="1"/>
      <c r="B33" s="1"/>
      <c r="C33" s="1"/>
      <c r="D33" s="1"/>
      <c r="E33" s="1"/>
      <c r="F33" s="1"/>
      <c r="G33" s="1"/>
      <c r="H33" s="1"/>
      <c r="I33" s="1"/>
      <c r="J33" s="1"/>
      <c r="K33" s="1"/>
      <c r="L33" s="1"/>
      <c r="M33" s="1"/>
      <c r="N33" s="1"/>
      <c r="O33" s="1"/>
      <c r="P33" s="1"/>
      <c r="Q33" s="1"/>
      <c r="R33" s="1"/>
      <c r="S33" s="1"/>
      <c r="T33" s="10"/>
      <c r="U33" s="10"/>
      <c r="V33" s="1"/>
      <c r="W33" s="1"/>
      <c r="X33" s="1"/>
      <c r="Y33" s="1"/>
      <c r="Z33" s="1"/>
      <c r="AA33" s="1"/>
      <c r="AB33" s="1"/>
      <c r="AC33" s="1"/>
      <c r="AD33" s="1"/>
      <c r="AE33" s="1"/>
      <c r="AF33" s="1"/>
      <c r="AG33" s="1"/>
      <c r="AH33" s="1"/>
      <c r="AI33" s="1"/>
      <c r="AJ33" s="1"/>
      <c r="AK33" s="1"/>
      <c r="AL33" s="1"/>
      <c r="AM33" s="1"/>
      <c r="AN33" s="1"/>
    </row>
    <row r="34" spans="1:40" ht="16.5" x14ac:dyDescent="0.3">
      <c r="A34" s="1"/>
      <c r="B34" s="1"/>
      <c r="C34" s="1"/>
      <c r="D34" s="1"/>
      <c r="E34" s="1"/>
      <c r="F34" s="1"/>
      <c r="G34" s="1"/>
      <c r="H34" s="1"/>
      <c r="I34" s="1"/>
      <c r="J34" s="1"/>
      <c r="K34" s="1"/>
      <c r="L34" s="1"/>
      <c r="M34" s="1"/>
      <c r="N34" s="1"/>
      <c r="O34" s="1"/>
      <c r="P34" s="1"/>
      <c r="Q34" s="1"/>
      <c r="R34" s="1"/>
      <c r="S34" s="1"/>
      <c r="T34" s="10"/>
      <c r="U34" s="10"/>
      <c r="V34" s="1"/>
      <c r="W34" s="1"/>
      <c r="X34" s="1"/>
      <c r="Y34" s="1"/>
      <c r="Z34" s="1"/>
      <c r="AA34" s="1"/>
      <c r="AB34" s="1"/>
      <c r="AC34" s="1"/>
      <c r="AD34" s="1"/>
      <c r="AE34" s="1"/>
      <c r="AF34" s="1"/>
      <c r="AG34" s="1"/>
      <c r="AH34" s="1"/>
      <c r="AI34" s="1"/>
      <c r="AJ34" s="1"/>
      <c r="AK34" s="1"/>
      <c r="AL34" s="1"/>
      <c r="AM34" s="1"/>
      <c r="AN34" s="1"/>
    </row>
    <row r="35" spans="1:40" ht="16.5" x14ac:dyDescent="0.3">
      <c r="A35" s="1"/>
      <c r="B35" s="1"/>
      <c r="C35" s="1"/>
      <c r="D35" s="1"/>
      <c r="E35" s="1"/>
      <c r="F35" s="1"/>
      <c r="G35" s="1"/>
      <c r="H35" s="1"/>
      <c r="I35" s="1"/>
      <c r="J35" s="1"/>
      <c r="K35" s="1"/>
      <c r="L35" s="1"/>
      <c r="M35" s="1"/>
      <c r="N35" s="1"/>
      <c r="O35" s="1"/>
      <c r="P35" s="1"/>
      <c r="Q35" s="1"/>
      <c r="R35" s="1"/>
      <c r="S35" s="1"/>
      <c r="T35" s="10"/>
      <c r="U35" s="10"/>
      <c r="V35" s="1"/>
      <c r="W35" s="1"/>
      <c r="X35" s="1"/>
      <c r="Y35" s="1"/>
      <c r="Z35" s="1"/>
      <c r="AA35" s="1"/>
      <c r="AB35" s="1"/>
      <c r="AC35" s="1"/>
      <c r="AD35" s="1"/>
      <c r="AE35" s="1"/>
      <c r="AF35" s="1"/>
      <c r="AG35" s="1"/>
      <c r="AH35" s="1"/>
      <c r="AI35" s="1"/>
      <c r="AJ35" s="1"/>
      <c r="AK35" s="1"/>
      <c r="AL35" s="1"/>
      <c r="AM35" s="1"/>
      <c r="AN35" s="1"/>
    </row>
    <row r="36" spans="1:40" ht="16.5" x14ac:dyDescent="0.3">
      <c r="A36" s="1"/>
      <c r="B36" s="1"/>
      <c r="C36" s="1"/>
      <c r="D36" s="1"/>
      <c r="E36" s="1"/>
      <c r="F36" s="1"/>
      <c r="G36" s="1"/>
      <c r="H36" s="1"/>
      <c r="I36" s="1"/>
      <c r="J36" s="1"/>
      <c r="K36" s="1"/>
      <c r="L36" s="1"/>
      <c r="M36" s="1"/>
      <c r="N36" s="1"/>
      <c r="O36" s="1"/>
      <c r="P36" s="1"/>
      <c r="Q36" s="1"/>
      <c r="R36" s="1"/>
      <c r="S36" s="1"/>
      <c r="T36" s="10"/>
      <c r="U36" s="10"/>
      <c r="V36" s="1"/>
      <c r="W36" s="1"/>
      <c r="X36" s="1"/>
      <c r="Y36" s="1"/>
      <c r="Z36" s="1"/>
      <c r="AA36" s="1"/>
      <c r="AB36" s="1"/>
      <c r="AC36" s="1"/>
      <c r="AD36" s="1"/>
      <c r="AE36" s="1"/>
      <c r="AF36" s="1"/>
      <c r="AG36" s="1"/>
      <c r="AH36" s="1"/>
      <c r="AI36" s="1"/>
      <c r="AJ36" s="1"/>
      <c r="AK36" s="1"/>
      <c r="AL36" s="1"/>
      <c r="AM36" s="1"/>
      <c r="AN36" s="1"/>
    </row>
    <row r="37" spans="1:40" ht="16.5" x14ac:dyDescent="0.3">
      <c r="A37" s="1"/>
      <c r="B37" s="1"/>
      <c r="C37" s="1"/>
      <c r="D37" s="1"/>
      <c r="E37" s="1"/>
      <c r="F37" s="1"/>
      <c r="G37" s="1"/>
      <c r="H37" s="1"/>
      <c r="I37" s="1"/>
      <c r="J37" s="1"/>
      <c r="K37" s="1"/>
      <c r="L37" s="1"/>
      <c r="M37" s="1"/>
      <c r="N37" s="1"/>
      <c r="O37" s="1"/>
      <c r="P37" s="1"/>
      <c r="Q37" s="1"/>
      <c r="R37" s="1"/>
      <c r="S37" s="1"/>
      <c r="T37" s="10"/>
      <c r="U37" s="10"/>
      <c r="V37" s="1"/>
      <c r="W37" s="1"/>
      <c r="X37" s="1"/>
      <c r="Y37" s="1"/>
      <c r="Z37" s="1"/>
      <c r="AA37" s="1"/>
      <c r="AB37" s="1"/>
      <c r="AC37" s="1"/>
      <c r="AD37" s="1"/>
      <c r="AE37" s="1"/>
      <c r="AF37" s="1"/>
      <c r="AG37" s="1"/>
      <c r="AH37" s="1"/>
      <c r="AI37" s="1"/>
      <c r="AJ37" s="1"/>
      <c r="AK37" s="1"/>
      <c r="AL37" s="1"/>
      <c r="AM37" s="1"/>
      <c r="AN37" s="1"/>
    </row>
    <row r="38" spans="1:40" ht="16.5" x14ac:dyDescent="0.3">
      <c r="A38" s="1"/>
      <c r="B38" s="1"/>
      <c r="C38" s="1"/>
      <c r="D38" s="1"/>
      <c r="E38" s="1"/>
      <c r="F38" s="1"/>
      <c r="G38" s="1"/>
      <c r="H38" s="1"/>
      <c r="I38" s="1"/>
      <c r="J38" s="1"/>
      <c r="K38" s="1"/>
      <c r="L38" s="1"/>
      <c r="M38" s="1"/>
      <c r="N38" s="1"/>
      <c r="O38" s="1"/>
      <c r="P38" s="1"/>
      <c r="Q38" s="1"/>
      <c r="R38" s="1"/>
      <c r="S38" s="1"/>
      <c r="T38" s="10"/>
      <c r="U38" s="10"/>
      <c r="V38" s="1"/>
      <c r="W38" s="1"/>
      <c r="X38" s="1"/>
      <c r="Y38" s="1"/>
      <c r="Z38" s="1"/>
      <c r="AA38" s="1"/>
      <c r="AB38" s="1"/>
      <c r="AC38" s="1"/>
      <c r="AD38" s="1"/>
      <c r="AE38" s="1"/>
      <c r="AF38" s="1"/>
      <c r="AG38" s="1"/>
      <c r="AH38" s="1"/>
      <c r="AI38" s="1"/>
      <c r="AJ38" s="1"/>
      <c r="AK38" s="1"/>
      <c r="AL38" s="1"/>
      <c r="AM38" s="1"/>
      <c r="AN38" s="1"/>
    </row>
    <row r="39" spans="1:40" ht="16.5" x14ac:dyDescent="0.3">
      <c r="A39" s="1"/>
      <c r="B39" s="1"/>
      <c r="C39" s="1"/>
      <c r="D39" s="1"/>
      <c r="E39" s="1"/>
      <c r="F39" s="1"/>
      <c r="G39" s="1"/>
      <c r="H39" s="1"/>
      <c r="I39" s="1"/>
      <c r="J39" s="1"/>
      <c r="K39" s="1"/>
      <c r="L39" s="1"/>
      <c r="M39" s="1"/>
      <c r="N39" s="1"/>
      <c r="O39" s="1"/>
      <c r="P39" s="1"/>
      <c r="Q39" s="1"/>
      <c r="R39" s="1"/>
      <c r="S39" s="1"/>
      <c r="T39" s="10"/>
      <c r="U39" s="10"/>
      <c r="V39" s="1"/>
      <c r="W39" s="1"/>
      <c r="X39" s="1"/>
      <c r="Y39" s="1"/>
      <c r="Z39" s="1"/>
      <c r="AA39" s="1"/>
      <c r="AB39" s="1"/>
      <c r="AC39" s="1"/>
      <c r="AD39" s="1"/>
      <c r="AE39" s="1"/>
      <c r="AF39" s="1"/>
      <c r="AG39" s="1"/>
      <c r="AH39" s="1"/>
      <c r="AI39" s="1"/>
      <c r="AJ39" s="1"/>
      <c r="AK39" s="1"/>
      <c r="AL39" s="1"/>
      <c r="AM39" s="1"/>
      <c r="AN39" s="1"/>
    </row>
    <row r="40" spans="1:40" ht="16.5" x14ac:dyDescent="0.3">
      <c r="A40" s="1"/>
      <c r="B40" s="1"/>
      <c r="C40" s="1"/>
      <c r="D40" s="1"/>
      <c r="E40" s="1"/>
      <c r="F40" s="1"/>
      <c r="G40" s="1"/>
      <c r="H40" s="1"/>
      <c r="I40" s="1"/>
      <c r="J40" s="1"/>
      <c r="K40" s="1"/>
      <c r="L40" s="1"/>
      <c r="M40" s="1"/>
      <c r="N40" s="1"/>
      <c r="O40" s="1"/>
      <c r="P40" s="1"/>
      <c r="Q40" s="1"/>
      <c r="R40" s="1"/>
      <c r="S40" s="1"/>
      <c r="T40" s="10"/>
      <c r="U40" s="10"/>
      <c r="V40" s="1"/>
      <c r="W40" s="1"/>
      <c r="X40" s="1"/>
      <c r="Y40" s="1"/>
      <c r="Z40" s="1"/>
      <c r="AA40" s="1"/>
      <c r="AB40" s="1"/>
      <c r="AC40" s="1"/>
      <c r="AD40" s="1"/>
      <c r="AE40" s="1"/>
      <c r="AF40" s="1"/>
      <c r="AG40" s="1"/>
      <c r="AH40" s="1"/>
      <c r="AI40" s="1"/>
      <c r="AJ40" s="1"/>
      <c r="AK40" s="1"/>
      <c r="AL40" s="1"/>
      <c r="AM40" s="1"/>
      <c r="AN40" s="1"/>
    </row>
    <row r="41" spans="1:40" ht="16.5" x14ac:dyDescent="0.3">
      <c r="A41" s="1"/>
      <c r="B41" s="1"/>
      <c r="C41" s="1"/>
      <c r="D41" s="1"/>
      <c r="E41" s="1"/>
      <c r="F41" s="1"/>
      <c r="G41" s="1"/>
      <c r="H41" s="1"/>
      <c r="I41" s="1"/>
      <c r="J41" s="1"/>
      <c r="K41" s="1"/>
      <c r="L41" s="1"/>
      <c r="M41" s="1"/>
      <c r="N41" s="1"/>
      <c r="O41" s="1"/>
      <c r="P41" s="1"/>
      <c r="Q41" s="1"/>
      <c r="R41" s="1"/>
      <c r="S41" s="1"/>
      <c r="T41" s="10"/>
      <c r="U41" s="10"/>
      <c r="V41" s="1"/>
      <c r="W41" s="1"/>
      <c r="X41" s="1"/>
      <c r="Y41" s="1"/>
      <c r="Z41" s="1"/>
      <c r="AA41" s="1"/>
      <c r="AB41" s="1"/>
      <c r="AC41" s="1"/>
      <c r="AD41" s="1"/>
      <c r="AE41" s="1"/>
      <c r="AF41" s="1"/>
      <c r="AG41" s="1"/>
      <c r="AH41" s="1"/>
      <c r="AI41" s="1"/>
      <c r="AJ41" s="1"/>
      <c r="AK41" s="1"/>
      <c r="AL41" s="1"/>
      <c r="AM41" s="1"/>
      <c r="AN41" s="1"/>
    </row>
    <row r="42" spans="1:40" ht="16.5" x14ac:dyDescent="0.3">
      <c r="A42" s="1"/>
      <c r="B42" s="1"/>
      <c r="C42" s="1"/>
      <c r="D42" s="1"/>
      <c r="E42" s="1"/>
      <c r="F42" s="1"/>
      <c r="G42" s="1"/>
      <c r="H42" s="1"/>
      <c r="I42" s="1"/>
      <c r="J42" s="1"/>
      <c r="K42" s="1"/>
      <c r="L42" s="1"/>
      <c r="M42" s="1"/>
      <c r="N42" s="1"/>
      <c r="O42" s="1"/>
      <c r="P42" s="1"/>
      <c r="Q42" s="1"/>
      <c r="R42" s="1"/>
      <c r="S42" s="1"/>
      <c r="T42" s="10"/>
      <c r="U42" s="10"/>
      <c r="V42" s="1"/>
      <c r="W42" s="1"/>
      <c r="X42" s="1"/>
      <c r="Y42" s="1"/>
      <c r="Z42" s="1"/>
      <c r="AA42" s="1"/>
      <c r="AB42" s="1"/>
      <c r="AC42" s="1"/>
      <c r="AD42" s="1"/>
      <c r="AE42" s="1"/>
      <c r="AF42" s="1"/>
      <c r="AG42" s="1"/>
      <c r="AH42" s="1"/>
      <c r="AI42" s="1"/>
      <c r="AJ42" s="1"/>
      <c r="AK42" s="1"/>
      <c r="AL42" s="1"/>
      <c r="AM42" s="1"/>
      <c r="AN42" s="1"/>
    </row>
    <row r="43" spans="1:40" ht="16.5" x14ac:dyDescent="0.3">
      <c r="A43" s="1"/>
      <c r="B43" s="1"/>
      <c r="C43" s="1"/>
      <c r="D43" s="1"/>
      <c r="E43" s="1"/>
      <c r="F43" s="1"/>
      <c r="G43" s="1"/>
      <c r="H43" s="1"/>
      <c r="I43" s="1"/>
      <c r="J43" s="1"/>
      <c r="K43" s="1"/>
      <c r="L43" s="1"/>
      <c r="M43" s="1"/>
      <c r="N43" s="1"/>
      <c r="O43" s="1"/>
      <c r="P43" s="1"/>
      <c r="Q43" s="1"/>
      <c r="R43" s="1"/>
      <c r="S43" s="1"/>
      <c r="T43" s="10"/>
      <c r="U43" s="10"/>
      <c r="V43" s="1"/>
      <c r="W43" s="1"/>
      <c r="X43" s="1"/>
      <c r="Y43" s="1"/>
      <c r="Z43" s="1"/>
      <c r="AA43" s="1"/>
      <c r="AB43" s="1"/>
      <c r="AC43" s="1"/>
      <c r="AD43" s="1"/>
      <c r="AE43" s="1"/>
      <c r="AF43" s="1"/>
      <c r="AG43" s="1"/>
      <c r="AH43" s="1"/>
      <c r="AI43" s="1"/>
      <c r="AJ43" s="1"/>
      <c r="AK43" s="1"/>
      <c r="AL43" s="1"/>
      <c r="AM43" s="1"/>
      <c r="AN43" s="1"/>
    </row>
    <row r="44" spans="1:40" ht="16.5" x14ac:dyDescent="0.3">
      <c r="A44" s="1"/>
      <c r="B44" s="1"/>
      <c r="C44" s="1"/>
      <c r="D44" s="1"/>
      <c r="E44" s="1"/>
      <c r="F44" s="1"/>
      <c r="G44" s="1"/>
      <c r="H44" s="1"/>
      <c r="I44" s="1"/>
      <c r="J44" s="1"/>
      <c r="K44" s="1"/>
      <c r="L44" s="1"/>
      <c r="M44" s="1"/>
      <c r="N44" s="1"/>
      <c r="O44" s="1"/>
      <c r="P44" s="1"/>
      <c r="Q44" s="1"/>
      <c r="R44" s="1"/>
      <c r="S44" s="1"/>
      <c r="T44" s="10"/>
      <c r="U44" s="10"/>
      <c r="V44" s="1"/>
      <c r="W44" s="1"/>
      <c r="X44" s="1"/>
      <c r="Y44" s="1"/>
      <c r="Z44" s="1"/>
      <c r="AA44" s="1"/>
      <c r="AB44" s="1"/>
      <c r="AC44" s="1"/>
      <c r="AD44" s="1"/>
      <c r="AE44" s="1"/>
      <c r="AF44" s="1"/>
      <c r="AG44" s="1"/>
      <c r="AH44" s="1"/>
      <c r="AI44" s="1"/>
      <c r="AJ44" s="1"/>
      <c r="AK44" s="1"/>
      <c r="AL44" s="1"/>
      <c r="AM44" s="1"/>
      <c r="AN44" s="1"/>
    </row>
    <row r="45" spans="1:40" ht="16.5" x14ac:dyDescent="0.3">
      <c r="A45" s="1"/>
      <c r="B45" s="1"/>
      <c r="C45" s="1"/>
      <c r="D45" s="1"/>
      <c r="E45" s="1"/>
      <c r="F45" s="1"/>
      <c r="G45" s="1"/>
      <c r="H45" s="1"/>
      <c r="I45" s="1"/>
      <c r="J45" s="1"/>
      <c r="K45" s="1"/>
      <c r="L45" s="1"/>
      <c r="M45" s="1"/>
      <c r="N45" s="1"/>
      <c r="O45" s="1"/>
      <c r="P45" s="1"/>
      <c r="Q45" s="1"/>
      <c r="R45" s="1"/>
      <c r="S45" s="1"/>
      <c r="T45" s="10"/>
      <c r="U45" s="10"/>
      <c r="V45" s="1"/>
      <c r="W45" s="1"/>
      <c r="X45" s="1"/>
      <c r="Y45" s="1"/>
      <c r="Z45" s="1"/>
      <c r="AA45" s="1"/>
      <c r="AB45" s="1"/>
      <c r="AC45" s="1"/>
      <c r="AD45" s="1"/>
      <c r="AE45" s="1"/>
      <c r="AF45" s="1"/>
      <c r="AG45" s="1"/>
      <c r="AH45" s="1"/>
      <c r="AI45" s="1"/>
      <c r="AJ45" s="1"/>
      <c r="AK45" s="1"/>
      <c r="AL45" s="1"/>
      <c r="AM45" s="1"/>
      <c r="AN45" s="1"/>
    </row>
    <row r="46" spans="1:40" ht="16.5" x14ac:dyDescent="0.3">
      <c r="A46" s="1"/>
      <c r="B46" s="1"/>
      <c r="C46" s="1"/>
      <c r="D46" s="1"/>
      <c r="E46" s="1"/>
      <c r="F46" s="1"/>
      <c r="G46" s="1"/>
      <c r="H46" s="1"/>
      <c r="I46" s="1"/>
      <c r="J46" s="1"/>
      <c r="K46" s="1"/>
      <c r="L46" s="1"/>
      <c r="M46" s="1"/>
      <c r="N46" s="1"/>
      <c r="O46" s="1"/>
      <c r="P46" s="1"/>
      <c r="Q46" s="1"/>
      <c r="R46" s="1"/>
      <c r="S46" s="1"/>
      <c r="T46" s="10"/>
      <c r="U46" s="10"/>
      <c r="V46" s="1"/>
      <c r="W46" s="1"/>
      <c r="X46" s="1"/>
      <c r="Y46" s="1"/>
      <c r="Z46" s="1"/>
      <c r="AA46" s="1"/>
      <c r="AB46" s="1"/>
      <c r="AC46" s="1"/>
      <c r="AD46" s="1"/>
      <c r="AE46" s="1"/>
      <c r="AF46" s="1"/>
      <c r="AG46" s="1"/>
      <c r="AH46" s="1"/>
      <c r="AI46" s="1"/>
      <c r="AJ46" s="1"/>
      <c r="AK46" s="1"/>
      <c r="AL46" s="1"/>
      <c r="AM46" s="1"/>
      <c r="AN46" s="1"/>
    </row>
    <row r="47" spans="1:40" ht="16.5" x14ac:dyDescent="0.3">
      <c r="A47" s="1"/>
      <c r="B47" s="1"/>
      <c r="C47" s="1"/>
      <c r="D47" s="1"/>
      <c r="E47" s="1"/>
      <c r="F47" s="1"/>
      <c r="G47" s="1"/>
      <c r="H47" s="1"/>
      <c r="I47" s="1"/>
      <c r="J47" s="1"/>
      <c r="K47" s="1"/>
      <c r="L47" s="1"/>
      <c r="M47" s="1"/>
      <c r="N47" s="1"/>
      <c r="O47" s="1"/>
      <c r="P47" s="1"/>
      <c r="Q47" s="1"/>
      <c r="R47" s="1"/>
      <c r="S47" s="1"/>
      <c r="T47" s="10"/>
      <c r="U47" s="10"/>
      <c r="V47" s="1"/>
      <c r="W47" s="1"/>
      <c r="X47" s="1"/>
      <c r="Y47" s="1"/>
      <c r="Z47" s="1"/>
      <c r="AA47" s="1"/>
      <c r="AB47" s="1"/>
      <c r="AC47" s="1"/>
      <c r="AD47" s="1"/>
      <c r="AE47" s="1"/>
      <c r="AF47" s="1"/>
      <c r="AG47" s="1"/>
      <c r="AH47" s="1"/>
      <c r="AI47" s="1"/>
      <c r="AJ47" s="1"/>
      <c r="AK47" s="1"/>
      <c r="AL47" s="1"/>
      <c r="AM47" s="1"/>
      <c r="AN47" s="1"/>
    </row>
  </sheetData>
  <phoneticPr fontId="6"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E22B-4BEE-49D8-85C3-AFE4E0825BD8}">
  <sheetPr codeName="Sheet3"/>
  <dimension ref="A1:BL496"/>
  <sheetViews>
    <sheetView topLeftCell="AM1" workbookViewId="0">
      <pane ySplit="1" topLeftCell="A2" activePane="bottomLeft" state="frozen"/>
      <selection activeCell="B12" sqref="B12"/>
      <selection pane="bottomLeft" activeCell="B12" sqref="B12"/>
    </sheetView>
  </sheetViews>
  <sheetFormatPr defaultRowHeight="14.25" x14ac:dyDescent="0.2"/>
  <cols>
    <col min="17" max="17" width="8.75" style="5"/>
    <col min="18" max="24" width="8.75" style="6"/>
    <col min="27" max="27" width="12.25" bestFit="1" customWidth="1"/>
    <col min="42" max="42" width="13.25" bestFit="1" customWidth="1"/>
    <col min="56" max="56" width="13.25" bestFit="1" customWidth="1"/>
    <col min="59" max="59" width="14.5" bestFit="1" customWidth="1"/>
  </cols>
  <sheetData>
    <row r="1" spans="1:64" ht="15" x14ac:dyDescent="0.25">
      <c r="A1" t="s">
        <v>318</v>
      </c>
      <c r="G1" t="s">
        <v>259</v>
      </c>
      <c r="H1" t="s">
        <v>242</v>
      </c>
      <c r="I1" t="s">
        <v>205</v>
      </c>
      <c r="J1" t="s">
        <v>218</v>
      </c>
      <c r="K1" t="s">
        <v>219</v>
      </c>
      <c r="L1" t="s">
        <v>241</v>
      </c>
      <c r="M1" t="s">
        <v>261</v>
      </c>
      <c r="N1" t="s">
        <v>270</v>
      </c>
      <c r="P1" s="2"/>
      <c r="Q1" s="3" t="str">
        <f>+RIGHT(G1,1)</f>
        <v>A</v>
      </c>
      <c r="R1" s="4" t="str">
        <f t="shared" ref="R1:X1" si="0">+RIGHT(H1,1)</f>
        <v>B</v>
      </c>
      <c r="S1" s="4" t="str">
        <f t="shared" si="0"/>
        <v>D</v>
      </c>
      <c r="T1" s="4" t="str">
        <f t="shared" si="0"/>
        <v>E</v>
      </c>
      <c r="U1" s="4" t="str">
        <f t="shared" si="0"/>
        <v>G</v>
      </c>
      <c r="V1" s="4" t="str">
        <f t="shared" si="0"/>
        <v>I</v>
      </c>
      <c r="W1" s="4" t="str">
        <f t="shared" si="0"/>
        <v>K</v>
      </c>
      <c r="X1" s="4" t="str">
        <f t="shared" si="0"/>
        <v>L</v>
      </c>
      <c r="AA1" s="7" t="s">
        <v>319</v>
      </c>
      <c r="AC1" s="9" t="s">
        <v>320</v>
      </c>
      <c r="AD1" s="3" t="str">
        <f>+"1"&amp;Q1</f>
        <v>1A</v>
      </c>
      <c r="AE1" s="3" t="str">
        <f t="shared" ref="AE1:AK1" si="1">+"1"&amp;R1</f>
        <v>1B</v>
      </c>
      <c r="AF1" s="3" t="str">
        <f t="shared" si="1"/>
        <v>1D</v>
      </c>
      <c r="AG1" s="3" t="str">
        <f t="shared" si="1"/>
        <v>1E</v>
      </c>
      <c r="AH1" s="3" t="str">
        <f t="shared" si="1"/>
        <v>1G</v>
      </c>
      <c r="AI1" s="3" t="str">
        <f t="shared" si="1"/>
        <v>1I</v>
      </c>
      <c r="AJ1" s="3" t="str">
        <f t="shared" si="1"/>
        <v>1K</v>
      </c>
      <c r="AK1" s="3" t="str">
        <f t="shared" si="1"/>
        <v>1L</v>
      </c>
      <c r="AO1" t="s">
        <v>321</v>
      </c>
      <c r="AQ1" s="16" t="s">
        <v>110</v>
      </c>
      <c r="AR1" s="17" t="s">
        <v>104</v>
      </c>
      <c r="AS1" s="17" t="s">
        <v>105</v>
      </c>
      <c r="AT1" s="17" t="s">
        <v>106</v>
      </c>
      <c r="AU1" s="17" t="s">
        <v>107</v>
      </c>
      <c r="AV1" s="17" t="s">
        <v>108</v>
      </c>
      <c r="AW1" s="17" t="s">
        <v>109</v>
      </c>
      <c r="AX1" s="18" t="s">
        <v>0</v>
      </c>
      <c r="AY1" s="18" t="s">
        <v>290</v>
      </c>
      <c r="AZ1" s="21" t="s">
        <v>99</v>
      </c>
      <c r="BA1" s="18" t="s">
        <v>322</v>
      </c>
      <c r="BB1" s="19"/>
      <c r="BC1" s="19"/>
      <c r="BD1" s="19"/>
    </row>
    <row r="2" spans="1:64" ht="15" x14ac:dyDescent="0.25">
      <c r="A2" t="s">
        <v>323</v>
      </c>
      <c r="F2">
        <v>1</v>
      </c>
      <c r="G2" t="s">
        <v>324</v>
      </c>
      <c r="H2" t="s">
        <v>325</v>
      </c>
      <c r="I2" t="s">
        <v>326</v>
      </c>
      <c r="J2" t="s">
        <v>327</v>
      </c>
      <c r="K2" t="s">
        <v>328</v>
      </c>
      <c r="L2" t="s">
        <v>329</v>
      </c>
      <c r="M2" t="s">
        <v>330</v>
      </c>
      <c r="N2" t="s">
        <v>331</v>
      </c>
      <c r="P2">
        <f>+F2</f>
        <v>1</v>
      </c>
      <c r="Q2" s="5" t="str">
        <f t="shared" ref="Q2:Q65" si="2">+RIGHT(G2,1)</f>
        <v>E</v>
      </c>
      <c r="R2" s="6" t="str">
        <f t="shared" ref="R2:R65" si="3">+RIGHT(H2,1)</f>
        <v>J</v>
      </c>
      <c r="S2" s="6" t="str">
        <f t="shared" ref="S2:S65" si="4">+RIGHT(I2,1)</f>
        <v>I</v>
      </c>
      <c r="T2" s="6" t="str">
        <f t="shared" ref="T2:T65" si="5">+RIGHT(J2,1)</f>
        <v>F</v>
      </c>
      <c r="U2" s="6" t="str">
        <f t="shared" ref="U2:U65" si="6">+RIGHT(K2,1)</f>
        <v>H</v>
      </c>
      <c r="V2" s="6" t="str">
        <f t="shared" ref="V2:V65" si="7">+RIGHT(L2,1)</f>
        <v>G</v>
      </c>
      <c r="W2" s="6" t="str">
        <f t="shared" ref="W2:W65" si="8">+RIGHT(M2,1)</f>
        <v>L</v>
      </c>
      <c r="X2" s="6" t="str">
        <f t="shared" ref="X2:X65" si="9">+RIGHT(N2,1)</f>
        <v>K</v>
      </c>
      <c r="Y2" s="8">
        <f>+COUNTIF($AA$2:$AA$9,Q2)+COUNTIF($AA$2:$AA$9,R2)+COUNTIF($AA$2:$AA$9,S2)+COUNTIF($AA$2:$AA$9,T2)+COUNTIF($AA$2:$AA$9,U2)+COUNTIF($AA$2:$AA$9,V2)+COUNTIF($AA$2:$AA$9,W2)+COUNTIF($AA$2:$AA$9,X2)</f>
        <v>6</v>
      </c>
      <c r="AA2" s="11" t="str">
        <f>+BL2</f>
        <v>i</v>
      </c>
      <c r="AC2" s="6" t="s">
        <v>332</v>
      </c>
      <c r="AD2" s="6" t="str">
        <f>+_xlfn.XLOOKUP(8,$Y:$Y,Q:Q,"Error",0)</f>
        <v>E</v>
      </c>
      <c r="AE2" s="6" t="str">
        <f t="shared" ref="AE2:AK2" si="10">+_xlfn.XLOOKUP(8,$Y:$Y,R:R,"Error",0)</f>
        <v>G</v>
      </c>
      <c r="AF2" s="6" t="str">
        <f t="shared" si="10"/>
        <v>J</v>
      </c>
      <c r="AG2" s="6" t="str">
        <f t="shared" si="10"/>
        <v>D</v>
      </c>
      <c r="AH2" s="6" t="str">
        <f t="shared" si="10"/>
        <v>A</v>
      </c>
      <c r="AI2" s="6" t="str">
        <f t="shared" si="10"/>
        <v>F</v>
      </c>
      <c r="AJ2" s="6" t="str">
        <f t="shared" si="10"/>
        <v>L</v>
      </c>
      <c r="AK2" s="6" t="str">
        <f t="shared" si="10"/>
        <v>I</v>
      </c>
      <c r="AO2" t="s">
        <v>333</v>
      </c>
      <c r="AP2" t="str">
        <f>+_xlfn.XLOOKUP($AO2,'Groups Stage'!$Y:$Y,'Groups Stage'!Z:Z,"-",0)</f>
        <v>Mexico</v>
      </c>
      <c r="AQ2" s="6">
        <f>+_xlfn.XLOOKUP($AO2,'Groups Stage'!$Y:$Y,'Groups Stage'!AA:AA,"-",0)</f>
        <v>3</v>
      </c>
      <c r="AR2" s="6">
        <f>+_xlfn.XLOOKUP($AO2,'Groups Stage'!$Y:$Y,'Groups Stage'!AB:AB,"-",0)</f>
        <v>1</v>
      </c>
      <c r="AS2" s="6">
        <f>+_xlfn.XLOOKUP($AO2,'Groups Stage'!$Y:$Y,'Groups Stage'!AC:AC,"-",0)</f>
        <v>1</v>
      </c>
      <c r="AT2" s="6">
        <f>+_xlfn.XLOOKUP($AO2,'Groups Stage'!$Y:$Y,'Groups Stage'!AD:AD,"-",0)</f>
        <v>1</v>
      </c>
      <c r="AU2" s="6">
        <f>+_xlfn.XLOOKUP($AO2,'Groups Stage'!$Y:$Y,'Groups Stage'!AE:AE,"-",0)</f>
        <v>0</v>
      </c>
      <c r="AV2" s="6">
        <f>+_xlfn.XLOOKUP($AO2,'Groups Stage'!$Y:$Y,'Groups Stage'!AF:AF,"-",0)</f>
        <v>4</v>
      </c>
      <c r="AW2" s="6">
        <f>+_xlfn.XLOOKUP($AO2,'Groups Stage'!$Y:$Y,'Groups Stage'!AG:AG,"-",0)</f>
        <v>4</v>
      </c>
      <c r="AX2" s="6">
        <f>+AR2*3+AS2+AU2/100+AV2/10000</f>
        <v>4.0004</v>
      </c>
      <c r="AY2" s="19">
        <f>+AX2+ROW()/10000000000</f>
        <v>4.0004000002</v>
      </c>
      <c r="AZ2" s="22" t="str">
        <f>+'Groups Stage'!CX2</f>
        <v xml:space="preserve"> - </v>
      </c>
      <c r="BA2" s="19">
        <f>+AY2+IF(AZ2="IN",1/100000000,0)</f>
        <v>4.0004000002</v>
      </c>
      <c r="BB2" s="19"/>
      <c r="BC2" s="19">
        <f>+LARGE($AY$2:$AY$13,ROW()-1)</f>
        <v>4.0104000009999998</v>
      </c>
      <c r="BD2" s="20" t="str">
        <f>IF($AQ$15="DONE",_xlfn.XLOOKUP(BC2,$AY$2:$AY$13,$AP$2:$AP$13,"-",0),"--")</f>
        <v>Senegal</v>
      </c>
      <c r="BE2">
        <f>+_xlfn.XLOOKUP(BD2,$AP$2:$AP$13,$AX$2:$AX$13,"-",0)</f>
        <v>4.0103999999999997</v>
      </c>
      <c r="BF2" s="6" t="str">
        <f t="shared" ref="BF2:BF9" si="11">+IF(COUNTIF($BE$10:$BE$13,BE2)=0,"-","x")</f>
        <v>-</v>
      </c>
      <c r="BG2" t="str">
        <f>+IF(BF2="x","Draw - Select","IN")</f>
        <v>IN</v>
      </c>
      <c r="BI2" s="19">
        <f>+LARGE($BA$2:$BA$13,ROW()-1)</f>
        <v>4.0104000009999998</v>
      </c>
      <c r="BJ2" s="20" t="str">
        <f>IF($AQ$15="DONE",_xlfn.XLOOKUP(BI2,$BA$2:$BA$13,$AP$2:$AP$13,"-",0),"--")</f>
        <v>Senegal</v>
      </c>
      <c r="BK2" s="20" t="str">
        <f>IF($AQ$15="DONE",_xlfn.XLOOKUP(BI2,$BA$2:$BA$13,$AO$2:$AO$13,"-",0),"--")</f>
        <v>3I</v>
      </c>
      <c r="BL2" t="str">
        <f>+LOWER(RIGHT(BK2,1))</f>
        <v>i</v>
      </c>
    </row>
    <row r="3" spans="1:64" ht="15" x14ac:dyDescent="0.25">
      <c r="A3" t="s">
        <v>334</v>
      </c>
      <c r="F3">
        <v>2</v>
      </c>
      <c r="G3" t="s">
        <v>328</v>
      </c>
      <c r="H3" t="s">
        <v>329</v>
      </c>
      <c r="I3" t="s">
        <v>326</v>
      </c>
      <c r="J3" t="s">
        <v>335</v>
      </c>
      <c r="K3" t="s">
        <v>325</v>
      </c>
      <c r="L3" t="s">
        <v>327</v>
      </c>
      <c r="M3" t="s">
        <v>330</v>
      </c>
      <c r="N3" t="s">
        <v>331</v>
      </c>
      <c r="P3">
        <f t="shared" ref="P3:P66" si="12">+F3</f>
        <v>2</v>
      </c>
      <c r="Q3" s="5" t="str">
        <f t="shared" si="2"/>
        <v>H</v>
      </c>
      <c r="R3" s="6" t="str">
        <f t="shared" si="3"/>
        <v>G</v>
      </c>
      <c r="S3" s="6" t="str">
        <f t="shared" si="4"/>
        <v>I</v>
      </c>
      <c r="T3" s="6" t="str">
        <f t="shared" si="5"/>
        <v>D</v>
      </c>
      <c r="U3" s="6" t="str">
        <f t="shared" si="6"/>
        <v>J</v>
      </c>
      <c r="V3" s="6" t="str">
        <f t="shared" si="7"/>
        <v>F</v>
      </c>
      <c r="W3" s="6" t="str">
        <f t="shared" si="8"/>
        <v>L</v>
      </c>
      <c r="X3" s="6" t="str">
        <f t="shared" si="9"/>
        <v>K</v>
      </c>
      <c r="Y3" s="8">
        <f t="shared" ref="Y3:Y66" si="13">+COUNTIF($AA$2:$AA$9,Q3)+COUNTIF($AA$2:$AA$9,R3)+COUNTIF($AA$2:$AA$9,S3)+COUNTIF($AA$2:$AA$9,T3)+COUNTIF($AA$2:$AA$9,U3)+COUNTIF($AA$2:$AA$9,V3)+COUNTIF($AA$2:$AA$9,W3)+COUNTIF($AA$2:$AA$9,X3)</f>
        <v>6</v>
      </c>
      <c r="AA3" s="11" t="str">
        <f t="shared" ref="AA3:AA9" si="14">+BL3</f>
        <v>a</v>
      </c>
      <c r="AC3" s="6"/>
      <c r="AD3" s="6" t="str">
        <f>+"3"&amp;AD2</f>
        <v>3E</v>
      </c>
      <c r="AE3" s="6" t="str">
        <f t="shared" ref="AE3:AK3" si="15">+"3"&amp;AE2</f>
        <v>3G</v>
      </c>
      <c r="AF3" s="6" t="str">
        <f t="shared" si="15"/>
        <v>3J</v>
      </c>
      <c r="AG3" s="6" t="str">
        <f t="shared" si="15"/>
        <v>3D</v>
      </c>
      <c r="AH3" s="6" t="str">
        <f t="shared" si="15"/>
        <v>3A</v>
      </c>
      <c r="AI3" s="6" t="str">
        <f t="shared" si="15"/>
        <v>3F</v>
      </c>
      <c r="AJ3" s="6" t="str">
        <f t="shared" si="15"/>
        <v>3L</v>
      </c>
      <c r="AK3" s="6" t="str">
        <f t="shared" si="15"/>
        <v>3I</v>
      </c>
      <c r="AO3" t="s">
        <v>336</v>
      </c>
      <c r="AP3" t="str">
        <f>+_xlfn.XLOOKUP($AO3,'Groups Stage'!$Y:$Y,'Groups Stage'!Z:Z,"-",0)</f>
        <v>Bosnia</v>
      </c>
      <c r="AQ3" s="6">
        <f>+_xlfn.XLOOKUP($AO3,'Groups Stage'!$Y:$Y,'Groups Stage'!AA:AA,"-",0)</f>
        <v>3</v>
      </c>
      <c r="AR3" s="6">
        <f>+_xlfn.XLOOKUP($AO3,'Groups Stage'!$Y:$Y,'Groups Stage'!AB:AB,"-",0)</f>
        <v>0</v>
      </c>
      <c r="AS3" s="6">
        <f>+_xlfn.XLOOKUP($AO3,'Groups Stage'!$Y:$Y,'Groups Stage'!AC:AC,"-",0)</f>
        <v>1</v>
      </c>
      <c r="AT3" s="6">
        <f>+_xlfn.XLOOKUP($AO3,'Groups Stage'!$Y:$Y,'Groups Stage'!AD:AD,"-",0)</f>
        <v>2</v>
      </c>
      <c r="AU3" s="6">
        <f>+_xlfn.XLOOKUP($AO3,'Groups Stage'!$Y:$Y,'Groups Stage'!AE:AE,"-",0)</f>
        <v>-4</v>
      </c>
      <c r="AV3" s="6">
        <f>+_xlfn.XLOOKUP($AO3,'Groups Stage'!$Y:$Y,'Groups Stage'!AF:AF,"-",0)</f>
        <v>1</v>
      </c>
      <c r="AW3" s="6">
        <f>+_xlfn.XLOOKUP($AO3,'Groups Stage'!$Y:$Y,'Groups Stage'!AG:AG,"-",0)</f>
        <v>5</v>
      </c>
      <c r="AX3" s="6">
        <f t="shared" ref="AX3:AX13" si="16">+AR3*3+AS3+AU3/100+AV3/10000</f>
        <v>0.96009999999999995</v>
      </c>
      <c r="AY3" s="19">
        <f t="shared" ref="AY3:AY13" si="17">+AX3+ROW()/10000000000</f>
        <v>0.96010000029999998</v>
      </c>
      <c r="AZ3" s="22" t="str">
        <f>+'Groups Stage'!CX3</f>
        <v xml:space="preserve"> - </v>
      </c>
      <c r="BA3" s="19">
        <f t="shared" ref="BA3:BA13" si="18">+AY3+IF(AZ3="IN",1/100000000,0)</f>
        <v>0.96010000029999998</v>
      </c>
      <c r="BB3" s="19"/>
      <c r="BC3" s="19">
        <f t="shared" ref="BC3:BC13" si="19">+LARGE($AY$2:$AY$13,ROW()-1)</f>
        <v>4.0004000002</v>
      </c>
      <c r="BD3" s="20" t="str">
        <f t="shared" ref="BD3:BD13" si="20">IF($AQ$15="DONE",_xlfn.XLOOKUP(BC3,$AY$2:$AY$13,$AP$2:$AP$13,"-",0),"--")</f>
        <v>Mexico</v>
      </c>
      <c r="BE3">
        <f t="shared" ref="BE3:BE13" si="21">+_xlfn.XLOOKUP(BD3,$AP$2:$AP$13,$AX$2:$AX$13,"-",0)</f>
        <v>4.0004</v>
      </c>
      <c r="BF3" s="6" t="str">
        <f t="shared" si="11"/>
        <v>-</v>
      </c>
      <c r="BG3" t="str">
        <f t="shared" ref="BG3:BG9" si="22">+IF(BF3="x","Draw - Select","IN")</f>
        <v>IN</v>
      </c>
      <c r="BI3" s="19">
        <f t="shared" ref="BI3:BI9" si="23">+LARGE($BA$2:$BA$13,ROW()-1)</f>
        <v>4.0004000002</v>
      </c>
      <c r="BJ3" s="20" t="str">
        <f t="shared" ref="BJ3:BJ9" si="24">IF($AQ$15="DONE",_xlfn.XLOOKUP(BI3,$BA$2:$BA$13,$AP$2:$AP$13,"-",0),"--")</f>
        <v>Mexico</v>
      </c>
      <c r="BK3" s="20" t="str">
        <f t="shared" ref="BK3:BK9" si="25">IF($AQ$15="DONE",_xlfn.XLOOKUP(BI3,$BA$2:$BA$13,$AO$2:$AO$13,"-",0),"--")</f>
        <v>3A</v>
      </c>
      <c r="BL3" t="str">
        <f t="shared" ref="BL3:BL9" si="26">+LOWER(RIGHT(BK3,1))</f>
        <v>a</v>
      </c>
    </row>
    <row r="4" spans="1:64" ht="15" x14ac:dyDescent="0.25">
      <c r="A4" t="s">
        <v>337</v>
      </c>
      <c r="F4">
        <v>3</v>
      </c>
      <c r="G4" t="s">
        <v>324</v>
      </c>
      <c r="H4" t="s">
        <v>325</v>
      </c>
      <c r="I4" t="s">
        <v>326</v>
      </c>
      <c r="J4" t="s">
        <v>335</v>
      </c>
      <c r="K4" t="s">
        <v>328</v>
      </c>
      <c r="L4" t="s">
        <v>329</v>
      </c>
      <c r="M4" t="s">
        <v>330</v>
      </c>
      <c r="N4" t="s">
        <v>331</v>
      </c>
      <c r="P4">
        <f t="shared" si="12"/>
        <v>3</v>
      </c>
      <c r="Q4" s="5" t="str">
        <f t="shared" si="2"/>
        <v>E</v>
      </c>
      <c r="R4" s="6" t="str">
        <f t="shared" si="3"/>
        <v>J</v>
      </c>
      <c r="S4" s="6" t="str">
        <f t="shared" si="4"/>
        <v>I</v>
      </c>
      <c r="T4" s="6" t="str">
        <f t="shared" si="5"/>
        <v>D</v>
      </c>
      <c r="U4" s="6" t="str">
        <f t="shared" si="6"/>
        <v>H</v>
      </c>
      <c r="V4" s="6" t="str">
        <f t="shared" si="7"/>
        <v>G</v>
      </c>
      <c r="W4" s="6" t="str">
        <f t="shared" si="8"/>
        <v>L</v>
      </c>
      <c r="X4" s="6" t="str">
        <f t="shared" si="9"/>
        <v>K</v>
      </c>
      <c r="Y4" s="8">
        <f t="shared" si="13"/>
        <v>6</v>
      </c>
      <c r="AA4" s="11" t="str">
        <f t="shared" si="14"/>
        <v>d</v>
      </c>
      <c r="AC4" s="6"/>
      <c r="AO4" t="s">
        <v>338</v>
      </c>
      <c r="AP4" t="str">
        <f>+_xlfn.XLOOKUP($AO4,'Groups Stage'!$Y:$Y,'Groups Stage'!Z:Z,"-",0)</f>
        <v>Escocia</v>
      </c>
      <c r="AQ4" s="6">
        <f>+_xlfn.XLOOKUP($AO4,'Groups Stage'!$Y:$Y,'Groups Stage'!AA:AA,"-",0)</f>
        <v>3</v>
      </c>
      <c r="AR4" s="6">
        <f>+_xlfn.XLOOKUP($AO4,'Groups Stage'!$Y:$Y,'Groups Stage'!AB:AB,"-",0)</f>
        <v>1</v>
      </c>
      <c r="AS4" s="6">
        <f>+_xlfn.XLOOKUP($AO4,'Groups Stage'!$Y:$Y,'Groups Stage'!AC:AC,"-",0)</f>
        <v>0</v>
      </c>
      <c r="AT4" s="6">
        <f>+_xlfn.XLOOKUP($AO4,'Groups Stage'!$Y:$Y,'Groups Stage'!AD:AD,"-",0)</f>
        <v>2</v>
      </c>
      <c r="AU4" s="6">
        <f>+_xlfn.XLOOKUP($AO4,'Groups Stage'!$Y:$Y,'Groups Stage'!AE:AE,"-",0)</f>
        <v>-2</v>
      </c>
      <c r="AV4" s="6">
        <f>+_xlfn.XLOOKUP($AO4,'Groups Stage'!$Y:$Y,'Groups Stage'!AF:AF,"-",0)</f>
        <v>2</v>
      </c>
      <c r="AW4" s="6">
        <f>+_xlfn.XLOOKUP($AO4,'Groups Stage'!$Y:$Y,'Groups Stage'!AG:AG,"-",0)</f>
        <v>4</v>
      </c>
      <c r="AX4" s="6">
        <f t="shared" si="16"/>
        <v>2.9802</v>
      </c>
      <c r="AY4" s="19">
        <f t="shared" si="17"/>
        <v>2.9802000004</v>
      </c>
      <c r="AZ4" s="22">
        <f>+'Groups Stage'!CX4</f>
        <v>0</v>
      </c>
      <c r="BA4" s="19">
        <f t="shared" si="18"/>
        <v>2.9802000004</v>
      </c>
      <c r="BB4" s="19"/>
      <c r="BC4" s="19">
        <f t="shared" si="19"/>
        <v>4.0002000005000005</v>
      </c>
      <c r="BD4" s="20" t="str">
        <f t="shared" si="20"/>
        <v>Paraguay</v>
      </c>
      <c r="BE4">
        <f t="shared" si="21"/>
        <v>4.0002000000000004</v>
      </c>
      <c r="BF4" s="6" t="str">
        <f t="shared" si="11"/>
        <v>-</v>
      </c>
      <c r="BG4" t="str">
        <f t="shared" si="22"/>
        <v>IN</v>
      </c>
      <c r="BI4" s="19">
        <f t="shared" si="23"/>
        <v>4.0002000005000005</v>
      </c>
      <c r="BJ4" s="20" t="str">
        <f t="shared" si="24"/>
        <v>Paraguay</v>
      </c>
      <c r="BK4" s="20" t="str">
        <f t="shared" si="25"/>
        <v>3D</v>
      </c>
      <c r="BL4" t="str">
        <f t="shared" si="26"/>
        <v>d</v>
      </c>
    </row>
    <row r="5" spans="1:64" ht="15" x14ac:dyDescent="0.25">
      <c r="A5" t="s">
        <v>339</v>
      </c>
      <c r="F5">
        <v>4</v>
      </c>
      <c r="G5" t="s">
        <v>324</v>
      </c>
      <c r="H5" t="s">
        <v>325</v>
      </c>
      <c r="I5" t="s">
        <v>326</v>
      </c>
      <c r="J5" t="s">
        <v>335</v>
      </c>
      <c r="K5" t="s">
        <v>328</v>
      </c>
      <c r="L5" t="s">
        <v>327</v>
      </c>
      <c r="M5" t="s">
        <v>330</v>
      </c>
      <c r="N5" t="s">
        <v>331</v>
      </c>
      <c r="P5">
        <f t="shared" si="12"/>
        <v>4</v>
      </c>
      <c r="Q5" s="5" t="str">
        <f t="shared" si="2"/>
        <v>E</v>
      </c>
      <c r="R5" s="6" t="str">
        <f t="shared" si="3"/>
        <v>J</v>
      </c>
      <c r="S5" s="6" t="str">
        <f t="shared" si="4"/>
        <v>I</v>
      </c>
      <c r="T5" s="6" t="str">
        <f t="shared" si="5"/>
        <v>D</v>
      </c>
      <c r="U5" s="6" t="str">
        <f t="shared" si="6"/>
        <v>H</v>
      </c>
      <c r="V5" s="6" t="str">
        <f t="shared" si="7"/>
        <v>F</v>
      </c>
      <c r="W5" s="6" t="str">
        <f t="shared" si="8"/>
        <v>L</v>
      </c>
      <c r="X5" s="6" t="str">
        <f t="shared" si="9"/>
        <v>K</v>
      </c>
      <c r="Y5" s="8">
        <f t="shared" si="13"/>
        <v>6</v>
      </c>
      <c r="AA5" s="11" t="str">
        <f t="shared" si="14"/>
        <v>g</v>
      </c>
      <c r="AC5" s="6"/>
      <c r="AO5" t="s">
        <v>335</v>
      </c>
      <c r="AP5" t="str">
        <f>+_xlfn.XLOOKUP($AO5,'Groups Stage'!$Y:$Y,'Groups Stage'!Z:Z,"-",0)</f>
        <v>Paraguay</v>
      </c>
      <c r="AQ5" s="6">
        <f>+_xlfn.XLOOKUP($AO5,'Groups Stage'!$Y:$Y,'Groups Stage'!AA:AA,"-",0)</f>
        <v>3</v>
      </c>
      <c r="AR5" s="6">
        <f>+_xlfn.XLOOKUP($AO5,'Groups Stage'!$Y:$Y,'Groups Stage'!AB:AB,"-",0)</f>
        <v>1</v>
      </c>
      <c r="AS5" s="6">
        <f>+_xlfn.XLOOKUP($AO5,'Groups Stage'!$Y:$Y,'Groups Stage'!AC:AC,"-",0)</f>
        <v>1</v>
      </c>
      <c r="AT5" s="6">
        <f>+_xlfn.XLOOKUP($AO5,'Groups Stage'!$Y:$Y,'Groups Stage'!AD:AD,"-",0)</f>
        <v>1</v>
      </c>
      <c r="AU5" s="6">
        <f>+_xlfn.XLOOKUP($AO5,'Groups Stage'!$Y:$Y,'Groups Stage'!AE:AE,"-",0)</f>
        <v>0</v>
      </c>
      <c r="AV5" s="6">
        <f>+_xlfn.XLOOKUP($AO5,'Groups Stage'!$Y:$Y,'Groups Stage'!AF:AF,"-",0)</f>
        <v>2</v>
      </c>
      <c r="AW5" s="6">
        <f>+_xlfn.XLOOKUP($AO5,'Groups Stage'!$Y:$Y,'Groups Stage'!AG:AG,"-",0)</f>
        <v>2</v>
      </c>
      <c r="AX5" s="6">
        <f t="shared" si="16"/>
        <v>4.0002000000000004</v>
      </c>
      <c r="AY5" s="19">
        <f t="shared" si="17"/>
        <v>4.0002000005000005</v>
      </c>
      <c r="AZ5" s="22" t="str">
        <f>+'Groups Stage'!CX5</f>
        <v xml:space="preserve"> - </v>
      </c>
      <c r="BA5" s="19">
        <f t="shared" si="18"/>
        <v>4.0002000005000005</v>
      </c>
      <c r="BB5" s="19"/>
      <c r="BC5" s="19">
        <f t="shared" si="19"/>
        <v>3.9802000008</v>
      </c>
      <c r="BD5" s="20" t="str">
        <f t="shared" si="20"/>
        <v>Iran</v>
      </c>
      <c r="BE5">
        <f t="shared" si="21"/>
        <v>3.9802</v>
      </c>
      <c r="BF5" s="6" t="str">
        <f t="shared" si="11"/>
        <v>-</v>
      </c>
      <c r="BG5" t="str">
        <f t="shared" si="22"/>
        <v>IN</v>
      </c>
      <c r="BI5" s="19">
        <f t="shared" si="23"/>
        <v>3.9802000008</v>
      </c>
      <c r="BJ5" s="20" t="str">
        <f t="shared" si="24"/>
        <v>Iran</v>
      </c>
      <c r="BK5" s="20" t="str">
        <f t="shared" si="25"/>
        <v>3G</v>
      </c>
      <c r="BL5" t="str">
        <f t="shared" si="26"/>
        <v>g</v>
      </c>
    </row>
    <row r="6" spans="1:64" ht="15" x14ac:dyDescent="0.25">
      <c r="A6" t="s">
        <v>340</v>
      </c>
      <c r="F6">
        <v>5</v>
      </c>
      <c r="G6" t="s">
        <v>324</v>
      </c>
      <c r="H6" t="s">
        <v>329</v>
      </c>
      <c r="I6" t="s">
        <v>326</v>
      </c>
      <c r="J6" t="s">
        <v>335</v>
      </c>
      <c r="K6" t="s">
        <v>325</v>
      </c>
      <c r="L6" t="s">
        <v>327</v>
      </c>
      <c r="M6" t="s">
        <v>330</v>
      </c>
      <c r="N6" t="s">
        <v>331</v>
      </c>
      <c r="P6">
        <f t="shared" si="12"/>
        <v>5</v>
      </c>
      <c r="Q6" s="5" t="str">
        <f t="shared" si="2"/>
        <v>E</v>
      </c>
      <c r="R6" s="6" t="str">
        <f t="shared" si="3"/>
        <v>G</v>
      </c>
      <c r="S6" s="6" t="str">
        <f t="shared" si="4"/>
        <v>I</v>
      </c>
      <c r="T6" s="6" t="str">
        <f t="shared" si="5"/>
        <v>D</v>
      </c>
      <c r="U6" s="6" t="str">
        <f t="shared" si="6"/>
        <v>J</v>
      </c>
      <c r="V6" s="6" t="str">
        <f t="shared" si="7"/>
        <v>F</v>
      </c>
      <c r="W6" s="6" t="str">
        <f t="shared" si="8"/>
        <v>L</v>
      </c>
      <c r="X6" s="6" t="str">
        <f t="shared" si="9"/>
        <v>K</v>
      </c>
      <c r="Y6" s="8">
        <f t="shared" si="13"/>
        <v>7</v>
      </c>
      <c r="AA6" s="11" t="str">
        <f t="shared" si="14"/>
        <v>l</v>
      </c>
      <c r="AC6" s="6"/>
      <c r="AO6" t="s">
        <v>324</v>
      </c>
      <c r="AP6" t="str">
        <f>+_xlfn.XLOOKUP($AO6,'Groups Stage'!$Y:$Y,'Groups Stage'!Z:Z,"-",0)</f>
        <v>Costa de Marfil</v>
      </c>
      <c r="AQ6" s="6">
        <f>+_xlfn.XLOOKUP($AO6,'Groups Stage'!$Y:$Y,'Groups Stage'!AA:AA,"-",0)</f>
        <v>3</v>
      </c>
      <c r="AR6" s="6">
        <f>+_xlfn.XLOOKUP($AO6,'Groups Stage'!$Y:$Y,'Groups Stage'!AB:AB,"-",0)</f>
        <v>1</v>
      </c>
      <c r="AS6" s="6">
        <f>+_xlfn.XLOOKUP($AO6,'Groups Stage'!$Y:$Y,'Groups Stage'!AC:AC,"-",0)</f>
        <v>0</v>
      </c>
      <c r="AT6" s="6">
        <f>+_xlfn.XLOOKUP($AO6,'Groups Stage'!$Y:$Y,'Groups Stage'!AD:AD,"-",0)</f>
        <v>2</v>
      </c>
      <c r="AU6" s="6">
        <f>+_xlfn.XLOOKUP($AO6,'Groups Stage'!$Y:$Y,'Groups Stage'!AE:AE,"-",0)</f>
        <v>-1</v>
      </c>
      <c r="AV6" s="6">
        <f>+_xlfn.XLOOKUP($AO6,'Groups Stage'!$Y:$Y,'Groups Stage'!AF:AF,"-",0)</f>
        <v>3</v>
      </c>
      <c r="AW6" s="6">
        <f>+_xlfn.XLOOKUP($AO6,'Groups Stage'!$Y:$Y,'Groups Stage'!AG:AG,"-",0)</f>
        <v>4</v>
      </c>
      <c r="AX6" s="6">
        <f t="shared" ref="AX6" si="27">+AR6*3+AS6+AU6/100+AV6/10000</f>
        <v>2.9903000000000004</v>
      </c>
      <c r="AY6" s="19">
        <f t="shared" si="17"/>
        <v>2.9903000006000005</v>
      </c>
      <c r="AZ6" s="22" t="str">
        <f>+'Groups Stage'!CX6</f>
        <v xml:space="preserve"> - </v>
      </c>
      <c r="BA6" s="19">
        <f t="shared" si="18"/>
        <v>2.9903000006000005</v>
      </c>
      <c r="BB6" s="19"/>
      <c r="BC6" s="19">
        <f t="shared" si="19"/>
        <v>3.0004000013000001</v>
      </c>
      <c r="BD6" s="20" t="str">
        <f t="shared" si="20"/>
        <v>Ghana</v>
      </c>
      <c r="BE6">
        <f t="shared" si="21"/>
        <v>3.0004</v>
      </c>
      <c r="BF6" s="6" t="str">
        <f t="shared" si="11"/>
        <v>-</v>
      </c>
      <c r="BG6" t="str">
        <f t="shared" si="22"/>
        <v>IN</v>
      </c>
      <c r="BI6" s="19">
        <f t="shared" si="23"/>
        <v>3.0004000013000001</v>
      </c>
      <c r="BJ6" s="20" t="str">
        <f t="shared" si="24"/>
        <v>Ghana</v>
      </c>
      <c r="BK6" s="20" t="str">
        <f t="shared" si="25"/>
        <v>3L</v>
      </c>
      <c r="BL6" t="str">
        <f t="shared" si="26"/>
        <v>l</v>
      </c>
    </row>
    <row r="7" spans="1:64" ht="15" x14ac:dyDescent="0.25">
      <c r="A7" t="s">
        <v>341</v>
      </c>
      <c r="F7">
        <v>6</v>
      </c>
      <c r="G7" t="s">
        <v>324</v>
      </c>
      <c r="H7" t="s">
        <v>329</v>
      </c>
      <c r="I7" t="s">
        <v>325</v>
      </c>
      <c r="J7" t="s">
        <v>335</v>
      </c>
      <c r="K7" t="s">
        <v>328</v>
      </c>
      <c r="L7" t="s">
        <v>327</v>
      </c>
      <c r="M7" t="s">
        <v>330</v>
      </c>
      <c r="N7" t="s">
        <v>331</v>
      </c>
      <c r="P7">
        <f t="shared" si="12"/>
        <v>6</v>
      </c>
      <c r="Q7" s="5" t="str">
        <f t="shared" si="2"/>
        <v>E</v>
      </c>
      <c r="R7" s="6" t="str">
        <f t="shared" si="3"/>
        <v>G</v>
      </c>
      <c r="S7" s="6" t="str">
        <f t="shared" si="4"/>
        <v>J</v>
      </c>
      <c r="T7" s="6" t="str">
        <f t="shared" si="5"/>
        <v>D</v>
      </c>
      <c r="U7" s="6" t="str">
        <f t="shared" si="6"/>
        <v>H</v>
      </c>
      <c r="V7" s="6" t="str">
        <f t="shared" si="7"/>
        <v>F</v>
      </c>
      <c r="W7" s="6" t="str">
        <f t="shared" si="8"/>
        <v>L</v>
      </c>
      <c r="X7" s="6" t="str">
        <f t="shared" si="9"/>
        <v>K</v>
      </c>
      <c r="Y7" s="8">
        <f t="shared" si="13"/>
        <v>6</v>
      </c>
      <c r="AA7" s="11" t="str">
        <f t="shared" si="14"/>
        <v>f</v>
      </c>
      <c r="AC7" s="6"/>
      <c r="AO7" t="s">
        <v>327</v>
      </c>
      <c r="AP7" t="str">
        <f>+_xlfn.XLOOKUP($AO7,'Groups Stage'!$Y:$Y,'Groups Stage'!Z:Z,"-",0)</f>
        <v>Japon</v>
      </c>
      <c r="AQ7" s="6">
        <f>+_xlfn.XLOOKUP($AO7,'Groups Stage'!$Y:$Y,'Groups Stage'!AA:AA,"-",0)</f>
        <v>3</v>
      </c>
      <c r="AR7" s="6">
        <f>+_xlfn.XLOOKUP($AO7,'Groups Stage'!$Y:$Y,'Groups Stage'!AB:AB,"-",0)</f>
        <v>1</v>
      </c>
      <c r="AS7" s="6">
        <f>+_xlfn.XLOOKUP($AO7,'Groups Stage'!$Y:$Y,'Groups Stage'!AC:AC,"-",0)</f>
        <v>0</v>
      </c>
      <c r="AT7" s="6">
        <f>+_xlfn.XLOOKUP($AO7,'Groups Stage'!$Y:$Y,'Groups Stage'!AD:AD,"-",0)</f>
        <v>2</v>
      </c>
      <c r="AU7" s="6">
        <f>+_xlfn.XLOOKUP($AO7,'Groups Stage'!$Y:$Y,'Groups Stage'!AE:AE,"-",0)</f>
        <v>0</v>
      </c>
      <c r="AV7" s="6">
        <f>+_xlfn.XLOOKUP($AO7,'Groups Stage'!$Y:$Y,'Groups Stage'!AF:AF,"-",0)</f>
        <v>4</v>
      </c>
      <c r="AW7" s="6">
        <f>+_xlfn.XLOOKUP($AO7,'Groups Stage'!$Y:$Y,'Groups Stage'!AG:AG,"-",0)</f>
        <v>4</v>
      </c>
      <c r="AX7" s="6">
        <f t="shared" si="16"/>
        <v>3.0004</v>
      </c>
      <c r="AY7" s="19">
        <f t="shared" si="17"/>
        <v>3.0004000007</v>
      </c>
      <c r="AZ7" s="22" t="str">
        <f>+'Groups Stage'!CX7</f>
        <v xml:space="preserve"> - </v>
      </c>
      <c r="BA7" s="19">
        <f t="shared" si="18"/>
        <v>3.0004000007</v>
      </c>
      <c r="BB7" s="19"/>
      <c r="BC7" s="19">
        <f t="shared" si="19"/>
        <v>3.0004000007</v>
      </c>
      <c r="BD7" s="20" t="str">
        <f t="shared" si="20"/>
        <v>Japon</v>
      </c>
      <c r="BE7">
        <f t="shared" si="21"/>
        <v>3.0004</v>
      </c>
      <c r="BF7" s="6" t="str">
        <f t="shared" si="11"/>
        <v>-</v>
      </c>
      <c r="BG7" t="str">
        <f t="shared" si="22"/>
        <v>IN</v>
      </c>
      <c r="BI7" s="19">
        <f t="shared" si="23"/>
        <v>3.0004000007</v>
      </c>
      <c r="BJ7" s="20" t="str">
        <f t="shared" si="24"/>
        <v>Japon</v>
      </c>
      <c r="BK7" s="20" t="str">
        <f t="shared" si="25"/>
        <v>3F</v>
      </c>
      <c r="BL7" t="str">
        <f t="shared" si="26"/>
        <v>f</v>
      </c>
    </row>
    <row r="8" spans="1:64" ht="15" x14ac:dyDescent="0.25">
      <c r="A8" t="s">
        <v>342</v>
      </c>
      <c r="F8">
        <v>7</v>
      </c>
      <c r="G8" t="s">
        <v>324</v>
      </c>
      <c r="H8" t="s">
        <v>329</v>
      </c>
      <c r="I8" t="s">
        <v>326</v>
      </c>
      <c r="J8" t="s">
        <v>335</v>
      </c>
      <c r="K8" t="s">
        <v>328</v>
      </c>
      <c r="L8" t="s">
        <v>327</v>
      </c>
      <c r="M8" t="s">
        <v>330</v>
      </c>
      <c r="N8" t="s">
        <v>331</v>
      </c>
      <c r="P8">
        <f t="shared" si="12"/>
        <v>7</v>
      </c>
      <c r="Q8" s="5" t="str">
        <f t="shared" si="2"/>
        <v>E</v>
      </c>
      <c r="R8" s="6" t="str">
        <f t="shared" si="3"/>
        <v>G</v>
      </c>
      <c r="S8" s="6" t="str">
        <f t="shared" si="4"/>
        <v>I</v>
      </c>
      <c r="T8" s="6" t="str">
        <f t="shared" si="5"/>
        <v>D</v>
      </c>
      <c r="U8" s="6" t="str">
        <f t="shared" si="6"/>
        <v>H</v>
      </c>
      <c r="V8" s="6" t="str">
        <f t="shared" si="7"/>
        <v>F</v>
      </c>
      <c r="W8" s="6" t="str">
        <f t="shared" si="8"/>
        <v>L</v>
      </c>
      <c r="X8" s="6" t="str">
        <f t="shared" si="9"/>
        <v>K</v>
      </c>
      <c r="Y8" s="8">
        <f t="shared" si="13"/>
        <v>6</v>
      </c>
      <c r="AA8" s="11" t="str">
        <f t="shared" si="14"/>
        <v>e</v>
      </c>
      <c r="AC8" s="6"/>
      <c r="AO8" t="s">
        <v>329</v>
      </c>
      <c r="AP8" t="str">
        <f>+_xlfn.XLOOKUP($AO8,'Groups Stage'!$Y:$Y,'Groups Stage'!Z:Z,"-",0)</f>
        <v>Iran</v>
      </c>
      <c r="AQ8" s="6">
        <f>+_xlfn.XLOOKUP($AO8,'Groups Stage'!$Y:$Y,'Groups Stage'!AA:AA,"-",0)</f>
        <v>3</v>
      </c>
      <c r="AR8" s="6">
        <f>+_xlfn.XLOOKUP($AO8,'Groups Stage'!$Y:$Y,'Groups Stage'!AB:AB,"-",0)</f>
        <v>1</v>
      </c>
      <c r="AS8" s="6">
        <f>+_xlfn.XLOOKUP($AO8,'Groups Stage'!$Y:$Y,'Groups Stage'!AC:AC,"-",0)</f>
        <v>1</v>
      </c>
      <c r="AT8" s="6">
        <f>+_xlfn.XLOOKUP($AO8,'Groups Stage'!$Y:$Y,'Groups Stage'!AD:AD,"-",0)</f>
        <v>1</v>
      </c>
      <c r="AU8" s="6">
        <f>+_xlfn.XLOOKUP($AO8,'Groups Stage'!$Y:$Y,'Groups Stage'!AE:AE,"-",0)</f>
        <v>-2</v>
      </c>
      <c r="AV8" s="6">
        <f>+_xlfn.XLOOKUP($AO8,'Groups Stage'!$Y:$Y,'Groups Stage'!AF:AF,"-",0)</f>
        <v>2</v>
      </c>
      <c r="AW8" s="6">
        <f>+_xlfn.XLOOKUP($AO8,'Groups Stage'!$Y:$Y,'Groups Stage'!AG:AG,"-",0)</f>
        <v>4</v>
      </c>
      <c r="AX8" s="6">
        <f t="shared" si="16"/>
        <v>3.9802</v>
      </c>
      <c r="AY8" s="19">
        <f t="shared" si="17"/>
        <v>3.9802000008</v>
      </c>
      <c r="AZ8" s="22" t="str">
        <f>+'Groups Stage'!CX8</f>
        <v xml:space="preserve"> - </v>
      </c>
      <c r="BA8" s="19">
        <f t="shared" si="18"/>
        <v>3.9802000008</v>
      </c>
      <c r="BB8" s="19"/>
      <c r="BC8" s="19">
        <f t="shared" si="19"/>
        <v>2.9903000006000005</v>
      </c>
      <c r="BD8" s="20" t="str">
        <f t="shared" si="20"/>
        <v>Costa de Marfil</v>
      </c>
      <c r="BE8">
        <f t="shared" si="21"/>
        <v>2.9903000000000004</v>
      </c>
      <c r="BF8" s="6" t="str">
        <f t="shared" si="11"/>
        <v>-</v>
      </c>
      <c r="BG8" t="str">
        <f t="shared" si="22"/>
        <v>IN</v>
      </c>
      <c r="BI8" s="19">
        <f t="shared" si="23"/>
        <v>2.9903000006000005</v>
      </c>
      <c r="BJ8" s="20" t="str">
        <f t="shared" si="24"/>
        <v>Costa de Marfil</v>
      </c>
      <c r="BK8" s="20" t="str">
        <f t="shared" si="25"/>
        <v>3E</v>
      </c>
      <c r="BL8" t="str">
        <f t="shared" si="26"/>
        <v>e</v>
      </c>
    </row>
    <row r="9" spans="1:64" ht="15" x14ac:dyDescent="0.25">
      <c r="A9" t="s">
        <v>343</v>
      </c>
      <c r="F9">
        <v>8</v>
      </c>
      <c r="G9" t="s">
        <v>324</v>
      </c>
      <c r="H9" t="s">
        <v>329</v>
      </c>
      <c r="I9" t="s">
        <v>325</v>
      </c>
      <c r="J9" t="s">
        <v>335</v>
      </c>
      <c r="K9" t="s">
        <v>328</v>
      </c>
      <c r="L9" t="s">
        <v>327</v>
      </c>
      <c r="M9" t="s">
        <v>330</v>
      </c>
      <c r="N9" t="s">
        <v>326</v>
      </c>
      <c r="P9">
        <f t="shared" si="12"/>
        <v>8</v>
      </c>
      <c r="Q9" s="5" t="str">
        <f t="shared" si="2"/>
        <v>E</v>
      </c>
      <c r="R9" s="6" t="str">
        <f t="shared" si="3"/>
        <v>G</v>
      </c>
      <c r="S9" s="6" t="str">
        <f t="shared" si="4"/>
        <v>J</v>
      </c>
      <c r="T9" s="6" t="str">
        <f t="shared" si="5"/>
        <v>D</v>
      </c>
      <c r="U9" s="6" t="str">
        <f t="shared" si="6"/>
        <v>H</v>
      </c>
      <c r="V9" s="6" t="str">
        <f t="shared" si="7"/>
        <v>F</v>
      </c>
      <c r="W9" s="6" t="str">
        <f t="shared" si="8"/>
        <v>L</v>
      </c>
      <c r="X9" s="6" t="str">
        <f t="shared" si="9"/>
        <v>I</v>
      </c>
      <c r="Y9" s="8">
        <f t="shared" si="13"/>
        <v>7</v>
      </c>
      <c r="AA9" s="11" t="str">
        <f t="shared" si="14"/>
        <v>j</v>
      </c>
      <c r="AC9" s="6"/>
      <c r="AO9" t="s">
        <v>328</v>
      </c>
      <c r="AP9" t="str">
        <f>+_xlfn.XLOOKUP($AO9,'Groups Stage'!$Y:$Y,'Groups Stage'!Z:Z,"-",0)</f>
        <v>Cabo Verde</v>
      </c>
      <c r="AQ9" s="6">
        <f>+_xlfn.XLOOKUP($AO9,'Groups Stage'!$Y:$Y,'Groups Stage'!AA:AA,"-",0)</f>
        <v>3</v>
      </c>
      <c r="AR9" s="6">
        <f>+_xlfn.XLOOKUP($AO9,'Groups Stage'!$Y:$Y,'Groups Stage'!AB:AB,"-",0)</f>
        <v>1</v>
      </c>
      <c r="AS9" s="6">
        <f>+_xlfn.XLOOKUP($AO9,'Groups Stage'!$Y:$Y,'Groups Stage'!AC:AC,"-",0)</f>
        <v>0</v>
      </c>
      <c r="AT9" s="6">
        <f>+_xlfn.XLOOKUP($AO9,'Groups Stage'!$Y:$Y,'Groups Stage'!AD:AD,"-",0)</f>
        <v>2</v>
      </c>
      <c r="AU9" s="6">
        <f>+_xlfn.XLOOKUP($AO9,'Groups Stage'!$Y:$Y,'Groups Stage'!AE:AE,"-",0)</f>
        <v>-4</v>
      </c>
      <c r="AV9" s="6">
        <f>+_xlfn.XLOOKUP($AO9,'Groups Stage'!$Y:$Y,'Groups Stage'!AF:AF,"-",0)</f>
        <v>1</v>
      </c>
      <c r="AW9" s="6">
        <f>+_xlfn.XLOOKUP($AO9,'Groups Stage'!$Y:$Y,'Groups Stage'!AG:AG,"-",0)</f>
        <v>5</v>
      </c>
      <c r="AX9" s="6">
        <f t="shared" si="16"/>
        <v>2.9601000000000002</v>
      </c>
      <c r="AY9" s="19">
        <f t="shared" si="17"/>
        <v>2.9601000009000002</v>
      </c>
      <c r="AZ9" s="22" t="str">
        <f>+'Groups Stage'!CX9</f>
        <v xml:space="preserve"> - </v>
      </c>
      <c r="BA9" s="19">
        <f t="shared" si="18"/>
        <v>2.9601000009000002</v>
      </c>
      <c r="BB9" s="19"/>
      <c r="BC9" s="19">
        <f t="shared" si="19"/>
        <v>2.9803000011000003</v>
      </c>
      <c r="BD9" s="20" t="str">
        <f t="shared" si="20"/>
        <v>Argelia</v>
      </c>
      <c r="BE9">
        <f t="shared" si="21"/>
        <v>2.9803000000000002</v>
      </c>
      <c r="BF9" s="6" t="str">
        <f t="shared" si="11"/>
        <v>-</v>
      </c>
      <c r="BG9" t="str">
        <f t="shared" si="22"/>
        <v>IN</v>
      </c>
      <c r="BI9" s="19">
        <f t="shared" si="23"/>
        <v>2.9803000011000003</v>
      </c>
      <c r="BJ9" s="20" t="str">
        <f t="shared" si="24"/>
        <v>Argelia</v>
      </c>
      <c r="BK9" s="20" t="str">
        <f t="shared" si="25"/>
        <v>3J</v>
      </c>
      <c r="BL9" t="str">
        <f t="shared" si="26"/>
        <v>j</v>
      </c>
    </row>
    <row r="10" spans="1:64" x14ac:dyDescent="0.2">
      <c r="A10" t="s">
        <v>344</v>
      </c>
      <c r="F10">
        <v>9</v>
      </c>
      <c r="G10" t="s">
        <v>324</v>
      </c>
      <c r="H10" t="s">
        <v>329</v>
      </c>
      <c r="I10" t="s">
        <v>325</v>
      </c>
      <c r="J10" t="s">
        <v>335</v>
      </c>
      <c r="K10" t="s">
        <v>328</v>
      </c>
      <c r="L10" t="s">
        <v>327</v>
      </c>
      <c r="M10" t="s">
        <v>326</v>
      </c>
      <c r="N10" t="s">
        <v>331</v>
      </c>
      <c r="P10">
        <f t="shared" si="12"/>
        <v>9</v>
      </c>
      <c r="Q10" s="5" t="str">
        <f t="shared" si="2"/>
        <v>E</v>
      </c>
      <c r="R10" s="6" t="str">
        <f t="shared" si="3"/>
        <v>G</v>
      </c>
      <c r="S10" s="6" t="str">
        <f t="shared" si="4"/>
        <v>J</v>
      </c>
      <c r="T10" s="6" t="str">
        <f t="shared" si="5"/>
        <v>D</v>
      </c>
      <c r="U10" s="6" t="str">
        <f t="shared" si="6"/>
        <v>H</v>
      </c>
      <c r="V10" s="6" t="str">
        <f t="shared" si="7"/>
        <v>F</v>
      </c>
      <c r="W10" s="6" t="str">
        <f t="shared" si="8"/>
        <v>I</v>
      </c>
      <c r="X10" s="6" t="str">
        <f t="shared" si="9"/>
        <v>K</v>
      </c>
      <c r="Y10" s="8">
        <f t="shared" si="13"/>
        <v>6</v>
      </c>
      <c r="AO10" t="s">
        <v>326</v>
      </c>
      <c r="AP10" t="str">
        <f>+_xlfn.XLOOKUP($AO10,'Groups Stage'!$Y:$Y,'Groups Stage'!Z:Z,"-",0)</f>
        <v>Senegal</v>
      </c>
      <c r="AQ10" s="6">
        <f>+_xlfn.XLOOKUP($AO10,'Groups Stage'!$Y:$Y,'Groups Stage'!AA:AA,"-",0)</f>
        <v>3</v>
      </c>
      <c r="AR10" s="6">
        <f>+_xlfn.XLOOKUP($AO10,'Groups Stage'!$Y:$Y,'Groups Stage'!AB:AB,"-",0)</f>
        <v>1</v>
      </c>
      <c r="AS10" s="6">
        <f>+_xlfn.XLOOKUP($AO10,'Groups Stage'!$Y:$Y,'Groups Stage'!AC:AC,"-",0)</f>
        <v>1</v>
      </c>
      <c r="AT10" s="6">
        <f>+_xlfn.XLOOKUP($AO10,'Groups Stage'!$Y:$Y,'Groups Stage'!AD:AD,"-",0)</f>
        <v>1</v>
      </c>
      <c r="AU10" s="6">
        <f>+_xlfn.XLOOKUP($AO10,'Groups Stage'!$Y:$Y,'Groups Stage'!AE:AE,"-",0)</f>
        <v>1</v>
      </c>
      <c r="AV10" s="6">
        <f>+_xlfn.XLOOKUP($AO10,'Groups Stage'!$Y:$Y,'Groups Stage'!AF:AF,"-",0)</f>
        <v>4</v>
      </c>
      <c r="AW10" s="6">
        <f>+_xlfn.XLOOKUP($AO10,'Groups Stage'!$Y:$Y,'Groups Stage'!AG:AG,"-",0)</f>
        <v>3</v>
      </c>
      <c r="AX10" s="6">
        <f t="shared" si="16"/>
        <v>4.0103999999999997</v>
      </c>
      <c r="AY10" s="19">
        <f t="shared" si="17"/>
        <v>4.0104000009999998</v>
      </c>
      <c r="AZ10" s="22">
        <f>+'Groups Stage'!CX10</f>
        <v>0</v>
      </c>
      <c r="BA10" s="19">
        <f t="shared" si="18"/>
        <v>4.0104000009999998</v>
      </c>
      <c r="BB10" s="19"/>
      <c r="BC10" s="19">
        <f t="shared" si="19"/>
        <v>2.9802000004</v>
      </c>
      <c r="BD10" s="20" t="str">
        <f t="shared" si="20"/>
        <v>Escocia</v>
      </c>
      <c r="BE10">
        <f t="shared" si="21"/>
        <v>2.9802</v>
      </c>
      <c r="BF10" s="6" t="str">
        <f>+IF(COUNTIF($BE$2:$BE$9,BE10)=0,"-","x")</f>
        <v>-</v>
      </c>
      <c r="BG10" t="str">
        <f>+IF(BF10="x","Draw - Select","OUT")</f>
        <v>OUT</v>
      </c>
      <c r="BI10" s="19"/>
      <c r="BJ10" s="20"/>
      <c r="BK10" s="20"/>
    </row>
    <row r="11" spans="1:64" x14ac:dyDescent="0.2">
      <c r="A11" t="s">
        <v>345</v>
      </c>
      <c r="F11">
        <v>10</v>
      </c>
      <c r="G11" t="s">
        <v>328</v>
      </c>
      <c r="H11" t="s">
        <v>329</v>
      </c>
      <c r="I11" t="s">
        <v>326</v>
      </c>
      <c r="J11" t="s">
        <v>338</v>
      </c>
      <c r="K11" t="s">
        <v>325</v>
      </c>
      <c r="L11" t="s">
        <v>327</v>
      </c>
      <c r="M11" t="s">
        <v>330</v>
      </c>
      <c r="N11" t="s">
        <v>331</v>
      </c>
      <c r="P11">
        <f t="shared" si="12"/>
        <v>10</v>
      </c>
      <c r="Q11" s="5" t="str">
        <f t="shared" si="2"/>
        <v>H</v>
      </c>
      <c r="R11" s="6" t="str">
        <f t="shared" si="3"/>
        <v>G</v>
      </c>
      <c r="S11" s="6" t="str">
        <f t="shared" si="4"/>
        <v>I</v>
      </c>
      <c r="T11" s="6" t="str">
        <f t="shared" si="5"/>
        <v>C</v>
      </c>
      <c r="U11" s="6" t="str">
        <f t="shared" si="6"/>
        <v>J</v>
      </c>
      <c r="V11" s="6" t="str">
        <f t="shared" si="7"/>
        <v>F</v>
      </c>
      <c r="W11" s="6" t="str">
        <f t="shared" si="8"/>
        <v>L</v>
      </c>
      <c r="X11" s="6" t="str">
        <f t="shared" si="9"/>
        <v>K</v>
      </c>
      <c r="Y11" s="8">
        <f t="shared" si="13"/>
        <v>5</v>
      </c>
      <c r="AO11" t="s">
        <v>325</v>
      </c>
      <c r="AP11" t="str">
        <f>+_xlfn.XLOOKUP($AO11,'Groups Stage'!$Y:$Y,'Groups Stage'!Z:Z,"-",0)</f>
        <v>Argelia</v>
      </c>
      <c r="AQ11" s="6">
        <f>+_xlfn.XLOOKUP($AO11,'Groups Stage'!$Y:$Y,'Groups Stage'!AA:AA,"-",0)</f>
        <v>3</v>
      </c>
      <c r="AR11" s="6">
        <f>+_xlfn.XLOOKUP($AO11,'Groups Stage'!$Y:$Y,'Groups Stage'!AB:AB,"-",0)</f>
        <v>1</v>
      </c>
      <c r="AS11" s="6">
        <f>+_xlfn.XLOOKUP($AO11,'Groups Stage'!$Y:$Y,'Groups Stage'!AC:AC,"-",0)</f>
        <v>0</v>
      </c>
      <c r="AT11" s="6">
        <f>+_xlfn.XLOOKUP($AO11,'Groups Stage'!$Y:$Y,'Groups Stage'!AD:AD,"-",0)</f>
        <v>2</v>
      </c>
      <c r="AU11" s="6">
        <f>+_xlfn.XLOOKUP($AO11,'Groups Stage'!$Y:$Y,'Groups Stage'!AE:AE,"-",0)</f>
        <v>-2</v>
      </c>
      <c r="AV11" s="6">
        <f>+_xlfn.XLOOKUP($AO11,'Groups Stage'!$Y:$Y,'Groups Stage'!AF:AF,"-",0)</f>
        <v>3</v>
      </c>
      <c r="AW11" s="6">
        <f>+_xlfn.XLOOKUP($AO11,'Groups Stage'!$Y:$Y,'Groups Stage'!AG:AG,"-",0)</f>
        <v>5</v>
      </c>
      <c r="AX11" s="6">
        <f t="shared" si="16"/>
        <v>2.9803000000000002</v>
      </c>
      <c r="AY11" s="19">
        <f t="shared" si="17"/>
        <v>2.9803000011000003</v>
      </c>
      <c r="AZ11" s="22" t="str">
        <f>+'Groups Stage'!CX11</f>
        <v xml:space="preserve"> - </v>
      </c>
      <c r="BA11" s="19">
        <f t="shared" si="18"/>
        <v>2.9803000011000003</v>
      </c>
      <c r="BB11" s="19"/>
      <c r="BC11" s="19">
        <f t="shared" si="19"/>
        <v>2.9601000009000002</v>
      </c>
      <c r="BD11" s="20" t="str">
        <f t="shared" si="20"/>
        <v>Cabo Verde</v>
      </c>
      <c r="BE11">
        <f t="shared" si="21"/>
        <v>2.9601000000000002</v>
      </c>
      <c r="BF11" s="6" t="str">
        <f t="shared" ref="BF11:BF13" si="28">+IF(COUNTIF($BE$2:$BE$9,BE11)=0,"-","x")</f>
        <v>-</v>
      </c>
      <c r="BG11" t="str">
        <f t="shared" ref="BG11:BG13" si="29">+IF(BF11="x","Draw - Select","OUT")</f>
        <v>OUT</v>
      </c>
      <c r="BI11" s="19"/>
      <c r="BJ11" s="20"/>
      <c r="BK11" s="20"/>
    </row>
    <row r="12" spans="1:64" x14ac:dyDescent="0.2">
      <c r="A12" t="s">
        <v>346</v>
      </c>
      <c r="F12">
        <v>11</v>
      </c>
      <c r="G12" t="s">
        <v>324</v>
      </c>
      <c r="H12" t="s">
        <v>325</v>
      </c>
      <c r="I12" t="s">
        <v>326</v>
      </c>
      <c r="J12" t="s">
        <v>338</v>
      </c>
      <c r="K12" t="s">
        <v>328</v>
      </c>
      <c r="L12" t="s">
        <v>329</v>
      </c>
      <c r="M12" t="s">
        <v>330</v>
      </c>
      <c r="N12" t="s">
        <v>331</v>
      </c>
      <c r="P12">
        <f t="shared" si="12"/>
        <v>11</v>
      </c>
      <c r="Q12" s="5" t="str">
        <f t="shared" si="2"/>
        <v>E</v>
      </c>
      <c r="R12" s="6" t="str">
        <f t="shared" si="3"/>
        <v>J</v>
      </c>
      <c r="S12" s="6" t="str">
        <f t="shared" si="4"/>
        <v>I</v>
      </c>
      <c r="T12" s="6" t="str">
        <f t="shared" si="5"/>
        <v>C</v>
      </c>
      <c r="U12" s="6" t="str">
        <f t="shared" si="6"/>
        <v>H</v>
      </c>
      <c r="V12" s="6" t="str">
        <f t="shared" si="7"/>
        <v>G</v>
      </c>
      <c r="W12" s="6" t="str">
        <f t="shared" si="8"/>
        <v>L</v>
      </c>
      <c r="X12" s="6" t="str">
        <f t="shared" si="9"/>
        <v>K</v>
      </c>
      <c r="Y12" s="8">
        <f t="shared" si="13"/>
        <v>5</v>
      </c>
      <c r="AO12" t="s">
        <v>331</v>
      </c>
      <c r="AP12" t="str">
        <f>+_xlfn.XLOOKUP($AO12,'Groups Stage'!$Y:$Y,'Groups Stage'!Z:Z,"-",0)</f>
        <v>Congo</v>
      </c>
      <c r="AQ12" s="6">
        <f>+_xlfn.XLOOKUP($AO12,'Groups Stage'!$Y:$Y,'Groups Stage'!AA:AA,"-",0)</f>
        <v>3</v>
      </c>
      <c r="AR12" s="6">
        <f>+_xlfn.XLOOKUP($AO12,'Groups Stage'!$Y:$Y,'Groups Stage'!AB:AB,"-",0)</f>
        <v>0</v>
      </c>
      <c r="AS12" s="6">
        <f>+_xlfn.XLOOKUP($AO12,'Groups Stage'!$Y:$Y,'Groups Stage'!AC:AC,"-",0)</f>
        <v>1</v>
      </c>
      <c r="AT12" s="6">
        <f>+_xlfn.XLOOKUP($AO12,'Groups Stage'!$Y:$Y,'Groups Stage'!AD:AD,"-",0)</f>
        <v>2</v>
      </c>
      <c r="AU12" s="6">
        <f>+_xlfn.XLOOKUP($AO12,'Groups Stage'!$Y:$Y,'Groups Stage'!AE:AE,"-",0)</f>
        <v>-5</v>
      </c>
      <c r="AV12" s="6">
        <f>+_xlfn.XLOOKUP($AO12,'Groups Stage'!$Y:$Y,'Groups Stage'!AF:AF,"-",0)</f>
        <v>1</v>
      </c>
      <c r="AW12" s="6">
        <f>+_xlfn.XLOOKUP($AO12,'Groups Stage'!$Y:$Y,'Groups Stage'!AG:AG,"-",0)</f>
        <v>6</v>
      </c>
      <c r="AX12" s="6">
        <f t="shared" si="16"/>
        <v>0.95009999999999994</v>
      </c>
      <c r="AY12" s="19">
        <f t="shared" si="17"/>
        <v>0.95010000119999993</v>
      </c>
      <c r="AZ12" s="22" t="str">
        <f>+'Groups Stage'!CX12</f>
        <v xml:space="preserve"> - </v>
      </c>
      <c r="BA12" s="19">
        <f t="shared" si="18"/>
        <v>0.95010000119999993</v>
      </c>
      <c r="BB12" s="19"/>
      <c r="BC12" s="19">
        <f t="shared" si="19"/>
        <v>0.96010000029999998</v>
      </c>
      <c r="BD12" s="20" t="str">
        <f t="shared" si="20"/>
        <v>Bosnia</v>
      </c>
      <c r="BE12">
        <f t="shared" si="21"/>
        <v>0.96009999999999995</v>
      </c>
      <c r="BF12" s="6" t="str">
        <f t="shared" si="28"/>
        <v>-</v>
      </c>
      <c r="BG12" t="str">
        <f t="shared" si="29"/>
        <v>OUT</v>
      </c>
      <c r="BI12" s="19"/>
      <c r="BJ12" s="20"/>
      <c r="BK12" s="20"/>
    </row>
    <row r="13" spans="1:64" x14ac:dyDescent="0.2">
      <c r="A13" t="s">
        <v>347</v>
      </c>
      <c r="F13">
        <v>12</v>
      </c>
      <c r="G13" t="s">
        <v>324</v>
      </c>
      <c r="H13" t="s">
        <v>325</v>
      </c>
      <c r="I13" t="s">
        <v>326</v>
      </c>
      <c r="J13" t="s">
        <v>338</v>
      </c>
      <c r="K13" t="s">
        <v>328</v>
      </c>
      <c r="L13" t="s">
        <v>327</v>
      </c>
      <c r="M13" t="s">
        <v>330</v>
      </c>
      <c r="N13" t="s">
        <v>331</v>
      </c>
      <c r="P13">
        <f t="shared" si="12"/>
        <v>12</v>
      </c>
      <c r="Q13" s="5" t="str">
        <f t="shared" si="2"/>
        <v>E</v>
      </c>
      <c r="R13" s="6" t="str">
        <f t="shared" si="3"/>
        <v>J</v>
      </c>
      <c r="S13" s="6" t="str">
        <f t="shared" si="4"/>
        <v>I</v>
      </c>
      <c r="T13" s="6" t="str">
        <f t="shared" si="5"/>
        <v>C</v>
      </c>
      <c r="U13" s="6" t="str">
        <f t="shared" si="6"/>
        <v>H</v>
      </c>
      <c r="V13" s="6" t="str">
        <f t="shared" si="7"/>
        <v>F</v>
      </c>
      <c r="W13" s="6" t="str">
        <f t="shared" si="8"/>
        <v>L</v>
      </c>
      <c r="X13" s="6" t="str">
        <f t="shared" si="9"/>
        <v>K</v>
      </c>
      <c r="Y13" s="8">
        <f t="shared" si="13"/>
        <v>5</v>
      </c>
      <c r="AO13" t="s">
        <v>330</v>
      </c>
      <c r="AP13" t="str">
        <f>+_xlfn.XLOOKUP($AO13,'Groups Stage'!$Y:$Y,'Groups Stage'!Z:Z,"-",0)</f>
        <v>Ghana</v>
      </c>
      <c r="AQ13" s="6">
        <f>+_xlfn.XLOOKUP($AO13,'Groups Stage'!$Y:$Y,'Groups Stage'!AA:AA,"-",0)</f>
        <v>3</v>
      </c>
      <c r="AR13" s="6">
        <f>+_xlfn.XLOOKUP($AO13,'Groups Stage'!$Y:$Y,'Groups Stage'!AB:AB,"-",0)</f>
        <v>1</v>
      </c>
      <c r="AS13" s="6">
        <f>+_xlfn.XLOOKUP($AO13,'Groups Stage'!$Y:$Y,'Groups Stage'!AC:AC,"-",0)</f>
        <v>0</v>
      </c>
      <c r="AT13" s="6">
        <f>+_xlfn.XLOOKUP($AO13,'Groups Stage'!$Y:$Y,'Groups Stage'!AD:AD,"-",0)</f>
        <v>2</v>
      </c>
      <c r="AU13" s="6">
        <f>+_xlfn.XLOOKUP($AO13,'Groups Stage'!$Y:$Y,'Groups Stage'!AE:AE,"-",0)</f>
        <v>0</v>
      </c>
      <c r="AV13" s="6">
        <f>+_xlfn.XLOOKUP($AO13,'Groups Stage'!$Y:$Y,'Groups Stage'!AF:AF,"-",0)</f>
        <v>4</v>
      </c>
      <c r="AW13" s="6">
        <f>+_xlfn.XLOOKUP($AO13,'Groups Stage'!$Y:$Y,'Groups Stage'!AG:AG,"-",0)</f>
        <v>4</v>
      </c>
      <c r="AX13" s="6">
        <f t="shared" si="16"/>
        <v>3.0004</v>
      </c>
      <c r="AY13" s="19">
        <f t="shared" si="17"/>
        <v>3.0004000013000001</v>
      </c>
      <c r="AZ13" s="22" t="str">
        <f>+'Groups Stage'!CX13</f>
        <v xml:space="preserve"> - </v>
      </c>
      <c r="BA13" s="19">
        <f t="shared" si="18"/>
        <v>3.0004000013000001</v>
      </c>
      <c r="BB13" s="19"/>
      <c r="BC13" s="19">
        <f t="shared" si="19"/>
        <v>0.95010000119999993</v>
      </c>
      <c r="BD13" s="20" t="str">
        <f t="shared" si="20"/>
        <v>Congo</v>
      </c>
      <c r="BE13">
        <f t="shared" si="21"/>
        <v>0.95009999999999994</v>
      </c>
      <c r="BF13" s="6" t="str">
        <f t="shared" si="28"/>
        <v>-</v>
      </c>
      <c r="BG13" t="str">
        <f t="shared" si="29"/>
        <v>OUT</v>
      </c>
      <c r="BI13" s="19"/>
      <c r="BJ13" s="20"/>
      <c r="BK13" s="20"/>
    </row>
    <row r="14" spans="1:64" x14ac:dyDescent="0.2">
      <c r="A14" t="s">
        <v>348</v>
      </c>
      <c r="F14">
        <v>13</v>
      </c>
      <c r="G14" t="s">
        <v>324</v>
      </c>
      <c r="H14" t="s">
        <v>329</v>
      </c>
      <c r="I14" t="s">
        <v>326</v>
      </c>
      <c r="J14" t="s">
        <v>338</v>
      </c>
      <c r="K14" t="s">
        <v>325</v>
      </c>
      <c r="L14" t="s">
        <v>327</v>
      </c>
      <c r="M14" t="s">
        <v>330</v>
      </c>
      <c r="N14" t="s">
        <v>331</v>
      </c>
      <c r="P14">
        <f t="shared" si="12"/>
        <v>13</v>
      </c>
      <c r="Q14" s="5" t="str">
        <f t="shared" si="2"/>
        <v>E</v>
      </c>
      <c r="R14" s="6" t="str">
        <f t="shared" si="3"/>
        <v>G</v>
      </c>
      <c r="S14" s="6" t="str">
        <f t="shared" si="4"/>
        <v>I</v>
      </c>
      <c r="T14" s="6" t="str">
        <f t="shared" si="5"/>
        <v>C</v>
      </c>
      <c r="U14" s="6" t="str">
        <f t="shared" si="6"/>
        <v>J</v>
      </c>
      <c r="V14" s="6" t="str">
        <f t="shared" si="7"/>
        <v>F</v>
      </c>
      <c r="W14" s="6" t="str">
        <f t="shared" si="8"/>
        <v>L</v>
      </c>
      <c r="X14" s="6" t="str">
        <f t="shared" si="9"/>
        <v>K</v>
      </c>
      <c r="Y14" s="8">
        <f t="shared" si="13"/>
        <v>6</v>
      </c>
    </row>
    <row r="15" spans="1:64" x14ac:dyDescent="0.2">
      <c r="A15" t="s">
        <v>349</v>
      </c>
      <c r="F15">
        <v>14</v>
      </c>
      <c r="G15" t="s">
        <v>324</v>
      </c>
      <c r="H15" t="s">
        <v>329</v>
      </c>
      <c r="I15" t="s">
        <v>325</v>
      </c>
      <c r="J15" t="s">
        <v>338</v>
      </c>
      <c r="K15" t="s">
        <v>328</v>
      </c>
      <c r="L15" t="s">
        <v>327</v>
      </c>
      <c r="M15" t="s">
        <v>330</v>
      </c>
      <c r="N15" t="s">
        <v>331</v>
      </c>
      <c r="P15">
        <f t="shared" si="12"/>
        <v>14</v>
      </c>
      <c r="Q15" s="5" t="str">
        <f t="shared" si="2"/>
        <v>E</v>
      </c>
      <c r="R15" s="6" t="str">
        <f t="shared" si="3"/>
        <v>G</v>
      </c>
      <c r="S15" s="6" t="str">
        <f t="shared" si="4"/>
        <v>J</v>
      </c>
      <c r="T15" s="6" t="str">
        <f t="shared" si="5"/>
        <v>C</v>
      </c>
      <c r="U15" s="6" t="str">
        <f t="shared" si="6"/>
        <v>H</v>
      </c>
      <c r="V15" s="6" t="str">
        <f t="shared" si="7"/>
        <v>F</v>
      </c>
      <c r="W15" s="6" t="str">
        <f t="shared" si="8"/>
        <v>L</v>
      </c>
      <c r="X15" s="6" t="str">
        <f t="shared" si="9"/>
        <v>K</v>
      </c>
      <c r="Y15" s="8">
        <f t="shared" si="13"/>
        <v>5</v>
      </c>
      <c r="AQ15" s="6" t="str">
        <f>+IF(SUM(AQ2:AQ13)=3*12,"DONE","-")</f>
        <v>DONE</v>
      </c>
    </row>
    <row r="16" spans="1:64" x14ac:dyDescent="0.2">
      <c r="A16" t="s">
        <v>350</v>
      </c>
      <c r="F16">
        <v>15</v>
      </c>
      <c r="G16" t="s">
        <v>324</v>
      </c>
      <c r="H16" t="s">
        <v>329</v>
      </c>
      <c r="I16" t="s">
        <v>326</v>
      </c>
      <c r="J16" t="s">
        <v>338</v>
      </c>
      <c r="K16" t="s">
        <v>328</v>
      </c>
      <c r="L16" t="s">
        <v>327</v>
      </c>
      <c r="M16" t="s">
        <v>330</v>
      </c>
      <c r="N16" t="s">
        <v>331</v>
      </c>
      <c r="P16">
        <f t="shared" si="12"/>
        <v>15</v>
      </c>
      <c r="Q16" s="5" t="str">
        <f t="shared" si="2"/>
        <v>E</v>
      </c>
      <c r="R16" s="6" t="str">
        <f t="shared" si="3"/>
        <v>G</v>
      </c>
      <c r="S16" s="6" t="str">
        <f t="shared" si="4"/>
        <v>I</v>
      </c>
      <c r="T16" s="6" t="str">
        <f t="shared" si="5"/>
        <v>C</v>
      </c>
      <c r="U16" s="6" t="str">
        <f t="shared" si="6"/>
        <v>H</v>
      </c>
      <c r="V16" s="6" t="str">
        <f t="shared" si="7"/>
        <v>F</v>
      </c>
      <c r="W16" s="6" t="str">
        <f t="shared" si="8"/>
        <v>L</v>
      </c>
      <c r="X16" s="6" t="str">
        <f t="shared" si="9"/>
        <v>K</v>
      </c>
      <c r="Y16" s="8">
        <f t="shared" si="13"/>
        <v>5</v>
      </c>
    </row>
    <row r="17" spans="1:25" x14ac:dyDescent="0.2">
      <c r="A17" t="s">
        <v>351</v>
      </c>
      <c r="F17">
        <v>16</v>
      </c>
      <c r="G17" t="s">
        <v>324</v>
      </c>
      <c r="H17" t="s">
        <v>329</v>
      </c>
      <c r="I17" t="s">
        <v>325</v>
      </c>
      <c r="J17" t="s">
        <v>338</v>
      </c>
      <c r="K17" t="s">
        <v>328</v>
      </c>
      <c r="L17" t="s">
        <v>327</v>
      </c>
      <c r="M17" t="s">
        <v>330</v>
      </c>
      <c r="N17" t="s">
        <v>326</v>
      </c>
      <c r="P17">
        <f t="shared" si="12"/>
        <v>16</v>
      </c>
      <c r="Q17" s="5" t="str">
        <f t="shared" si="2"/>
        <v>E</v>
      </c>
      <c r="R17" s="6" t="str">
        <f t="shared" si="3"/>
        <v>G</v>
      </c>
      <c r="S17" s="6" t="str">
        <f t="shared" si="4"/>
        <v>J</v>
      </c>
      <c r="T17" s="6" t="str">
        <f t="shared" si="5"/>
        <v>C</v>
      </c>
      <c r="U17" s="6" t="str">
        <f t="shared" si="6"/>
        <v>H</v>
      </c>
      <c r="V17" s="6" t="str">
        <f t="shared" si="7"/>
        <v>F</v>
      </c>
      <c r="W17" s="6" t="str">
        <f t="shared" si="8"/>
        <v>L</v>
      </c>
      <c r="X17" s="6" t="str">
        <f t="shared" si="9"/>
        <v>I</v>
      </c>
      <c r="Y17" s="8">
        <f t="shared" si="13"/>
        <v>6</v>
      </c>
    </row>
    <row r="18" spans="1:25" x14ac:dyDescent="0.2">
      <c r="A18" t="s">
        <v>352</v>
      </c>
      <c r="F18">
        <v>17</v>
      </c>
      <c r="G18" t="s">
        <v>324</v>
      </c>
      <c r="H18" t="s">
        <v>329</v>
      </c>
      <c r="I18" t="s">
        <v>325</v>
      </c>
      <c r="J18" t="s">
        <v>338</v>
      </c>
      <c r="K18" t="s">
        <v>328</v>
      </c>
      <c r="L18" t="s">
        <v>327</v>
      </c>
      <c r="M18" t="s">
        <v>326</v>
      </c>
      <c r="N18" t="s">
        <v>331</v>
      </c>
      <c r="P18">
        <f t="shared" si="12"/>
        <v>17</v>
      </c>
      <c r="Q18" s="5" t="str">
        <f t="shared" si="2"/>
        <v>E</v>
      </c>
      <c r="R18" s="6" t="str">
        <f t="shared" si="3"/>
        <v>G</v>
      </c>
      <c r="S18" s="6" t="str">
        <f t="shared" si="4"/>
        <v>J</v>
      </c>
      <c r="T18" s="6" t="str">
        <f t="shared" si="5"/>
        <v>C</v>
      </c>
      <c r="U18" s="6" t="str">
        <f t="shared" si="6"/>
        <v>H</v>
      </c>
      <c r="V18" s="6" t="str">
        <f t="shared" si="7"/>
        <v>F</v>
      </c>
      <c r="W18" s="6" t="str">
        <f t="shared" si="8"/>
        <v>I</v>
      </c>
      <c r="X18" s="6" t="str">
        <f t="shared" si="9"/>
        <v>K</v>
      </c>
      <c r="Y18" s="8">
        <f t="shared" si="13"/>
        <v>5</v>
      </c>
    </row>
    <row r="19" spans="1:25" x14ac:dyDescent="0.2">
      <c r="A19" t="s">
        <v>353</v>
      </c>
      <c r="F19">
        <v>18</v>
      </c>
      <c r="G19" t="s">
        <v>328</v>
      </c>
      <c r="H19" t="s">
        <v>329</v>
      </c>
      <c r="I19" t="s">
        <v>326</v>
      </c>
      <c r="J19" t="s">
        <v>338</v>
      </c>
      <c r="K19" t="s">
        <v>325</v>
      </c>
      <c r="L19" t="s">
        <v>335</v>
      </c>
      <c r="M19" t="s">
        <v>330</v>
      </c>
      <c r="N19" t="s">
        <v>331</v>
      </c>
      <c r="P19">
        <f t="shared" si="12"/>
        <v>18</v>
      </c>
      <c r="Q19" s="5" t="str">
        <f t="shared" si="2"/>
        <v>H</v>
      </c>
      <c r="R19" s="6" t="str">
        <f t="shared" si="3"/>
        <v>G</v>
      </c>
      <c r="S19" s="6" t="str">
        <f t="shared" si="4"/>
        <v>I</v>
      </c>
      <c r="T19" s="6" t="str">
        <f t="shared" si="5"/>
        <v>C</v>
      </c>
      <c r="U19" s="6" t="str">
        <f t="shared" si="6"/>
        <v>J</v>
      </c>
      <c r="V19" s="6" t="str">
        <f t="shared" si="7"/>
        <v>D</v>
      </c>
      <c r="W19" s="6" t="str">
        <f t="shared" si="8"/>
        <v>L</v>
      </c>
      <c r="X19" s="6" t="str">
        <f t="shared" si="9"/>
        <v>K</v>
      </c>
      <c r="Y19" s="8">
        <f t="shared" si="13"/>
        <v>5</v>
      </c>
    </row>
    <row r="20" spans="1:25" x14ac:dyDescent="0.2">
      <c r="A20" t="s">
        <v>354</v>
      </c>
      <c r="F20">
        <v>19</v>
      </c>
      <c r="G20" t="s">
        <v>338</v>
      </c>
      <c r="H20" t="s">
        <v>325</v>
      </c>
      <c r="I20" t="s">
        <v>326</v>
      </c>
      <c r="J20" t="s">
        <v>335</v>
      </c>
      <c r="K20" t="s">
        <v>328</v>
      </c>
      <c r="L20" t="s">
        <v>327</v>
      </c>
      <c r="M20" t="s">
        <v>330</v>
      </c>
      <c r="N20" t="s">
        <v>331</v>
      </c>
      <c r="P20">
        <f t="shared" si="12"/>
        <v>19</v>
      </c>
      <c r="Q20" s="5" t="str">
        <f t="shared" si="2"/>
        <v>C</v>
      </c>
      <c r="R20" s="6" t="str">
        <f t="shared" si="3"/>
        <v>J</v>
      </c>
      <c r="S20" s="6" t="str">
        <f t="shared" si="4"/>
        <v>I</v>
      </c>
      <c r="T20" s="6" t="str">
        <f t="shared" si="5"/>
        <v>D</v>
      </c>
      <c r="U20" s="6" t="str">
        <f t="shared" si="6"/>
        <v>H</v>
      </c>
      <c r="V20" s="6" t="str">
        <f t="shared" si="7"/>
        <v>F</v>
      </c>
      <c r="W20" s="6" t="str">
        <f t="shared" si="8"/>
        <v>L</v>
      </c>
      <c r="X20" s="6" t="str">
        <f t="shared" si="9"/>
        <v>K</v>
      </c>
      <c r="Y20" s="8">
        <f t="shared" si="13"/>
        <v>5</v>
      </c>
    </row>
    <row r="21" spans="1:25" x14ac:dyDescent="0.2">
      <c r="A21" t="s">
        <v>355</v>
      </c>
      <c r="F21">
        <v>20</v>
      </c>
      <c r="G21" t="s">
        <v>338</v>
      </c>
      <c r="H21" t="s">
        <v>329</v>
      </c>
      <c r="I21" t="s">
        <v>326</v>
      </c>
      <c r="J21" t="s">
        <v>335</v>
      </c>
      <c r="K21" t="s">
        <v>325</v>
      </c>
      <c r="L21" t="s">
        <v>327</v>
      </c>
      <c r="M21" t="s">
        <v>330</v>
      </c>
      <c r="N21" t="s">
        <v>331</v>
      </c>
      <c r="P21">
        <f t="shared" si="12"/>
        <v>20</v>
      </c>
      <c r="Q21" s="5" t="str">
        <f t="shared" si="2"/>
        <v>C</v>
      </c>
      <c r="R21" s="6" t="str">
        <f t="shared" si="3"/>
        <v>G</v>
      </c>
      <c r="S21" s="6" t="str">
        <f t="shared" si="4"/>
        <v>I</v>
      </c>
      <c r="T21" s="6" t="str">
        <f t="shared" si="5"/>
        <v>D</v>
      </c>
      <c r="U21" s="6" t="str">
        <f t="shared" si="6"/>
        <v>J</v>
      </c>
      <c r="V21" s="6" t="str">
        <f t="shared" si="7"/>
        <v>F</v>
      </c>
      <c r="W21" s="6" t="str">
        <f t="shared" si="8"/>
        <v>L</v>
      </c>
      <c r="X21" s="6" t="str">
        <f t="shared" si="9"/>
        <v>K</v>
      </c>
      <c r="Y21" s="8">
        <f t="shared" si="13"/>
        <v>6</v>
      </c>
    </row>
    <row r="22" spans="1:25" x14ac:dyDescent="0.2">
      <c r="A22" t="s">
        <v>356</v>
      </c>
      <c r="F22">
        <v>21</v>
      </c>
      <c r="G22" t="s">
        <v>338</v>
      </c>
      <c r="H22" t="s">
        <v>329</v>
      </c>
      <c r="I22" t="s">
        <v>325</v>
      </c>
      <c r="J22" t="s">
        <v>335</v>
      </c>
      <c r="K22" t="s">
        <v>328</v>
      </c>
      <c r="L22" t="s">
        <v>327</v>
      </c>
      <c r="M22" t="s">
        <v>330</v>
      </c>
      <c r="N22" t="s">
        <v>331</v>
      </c>
      <c r="P22">
        <f t="shared" si="12"/>
        <v>21</v>
      </c>
      <c r="Q22" s="5" t="str">
        <f t="shared" si="2"/>
        <v>C</v>
      </c>
      <c r="R22" s="6" t="str">
        <f t="shared" si="3"/>
        <v>G</v>
      </c>
      <c r="S22" s="6" t="str">
        <f t="shared" si="4"/>
        <v>J</v>
      </c>
      <c r="T22" s="6" t="str">
        <f t="shared" si="5"/>
        <v>D</v>
      </c>
      <c r="U22" s="6" t="str">
        <f t="shared" si="6"/>
        <v>H</v>
      </c>
      <c r="V22" s="6" t="str">
        <f t="shared" si="7"/>
        <v>F</v>
      </c>
      <c r="W22" s="6" t="str">
        <f t="shared" si="8"/>
        <v>L</v>
      </c>
      <c r="X22" s="6" t="str">
        <f t="shared" si="9"/>
        <v>K</v>
      </c>
      <c r="Y22" s="8">
        <f t="shared" si="13"/>
        <v>5</v>
      </c>
    </row>
    <row r="23" spans="1:25" x14ac:dyDescent="0.2">
      <c r="A23" t="s">
        <v>357</v>
      </c>
      <c r="F23">
        <v>22</v>
      </c>
      <c r="G23" t="s">
        <v>338</v>
      </c>
      <c r="H23" t="s">
        <v>329</v>
      </c>
      <c r="I23" t="s">
        <v>326</v>
      </c>
      <c r="J23" t="s">
        <v>335</v>
      </c>
      <c r="K23" t="s">
        <v>328</v>
      </c>
      <c r="L23" t="s">
        <v>327</v>
      </c>
      <c r="M23" t="s">
        <v>330</v>
      </c>
      <c r="N23" t="s">
        <v>331</v>
      </c>
      <c r="P23">
        <f t="shared" si="12"/>
        <v>22</v>
      </c>
      <c r="Q23" s="5" t="str">
        <f t="shared" si="2"/>
        <v>C</v>
      </c>
      <c r="R23" s="6" t="str">
        <f t="shared" si="3"/>
        <v>G</v>
      </c>
      <c r="S23" s="6" t="str">
        <f t="shared" si="4"/>
        <v>I</v>
      </c>
      <c r="T23" s="6" t="str">
        <f t="shared" si="5"/>
        <v>D</v>
      </c>
      <c r="U23" s="6" t="str">
        <f t="shared" si="6"/>
        <v>H</v>
      </c>
      <c r="V23" s="6" t="str">
        <f t="shared" si="7"/>
        <v>F</v>
      </c>
      <c r="W23" s="6" t="str">
        <f t="shared" si="8"/>
        <v>L</v>
      </c>
      <c r="X23" s="6" t="str">
        <f t="shared" si="9"/>
        <v>K</v>
      </c>
      <c r="Y23" s="8">
        <f t="shared" si="13"/>
        <v>5</v>
      </c>
    </row>
    <row r="24" spans="1:25" x14ac:dyDescent="0.2">
      <c r="A24" t="s">
        <v>358</v>
      </c>
      <c r="F24">
        <v>23</v>
      </c>
      <c r="G24" t="s">
        <v>338</v>
      </c>
      <c r="H24" t="s">
        <v>329</v>
      </c>
      <c r="I24" t="s">
        <v>325</v>
      </c>
      <c r="J24" t="s">
        <v>335</v>
      </c>
      <c r="K24" t="s">
        <v>328</v>
      </c>
      <c r="L24" t="s">
        <v>327</v>
      </c>
      <c r="M24" t="s">
        <v>330</v>
      </c>
      <c r="N24" t="s">
        <v>326</v>
      </c>
      <c r="P24">
        <f t="shared" si="12"/>
        <v>23</v>
      </c>
      <c r="Q24" s="5" t="str">
        <f t="shared" si="2"/>
        <v>C</v>
      </c>
      <c r="R24" s="6" t="str">
        <f t="shared" si="3"/>
        <v>G</v>
      </c>
      <c r="S24" s="6" t="str">
        <f t="shared" si="4"/>
        <v>J</v>
      </c>
      <c r="T24" s="6" t="str">
        <f t="shared" si="5"/>
        <v>D</v>
      </c>
      <c r="U24" s="6" t="str">
        <f t="shared" si="6"/>
        <v>H</v>
      </c>
      <c r="V24" s="6" t="str">
        <f t="shared" si="7"/>
        <v>F</v>
      </c>
      <c r="W24" s="6" t="str">
        <f t="shared" si="8"/>
        <v>L</v>
      </c>
      <c r="X24" s="6" t="str">
        <f t="shared" si="9"/>
        <v>I</v>
      </c>
      <c r="Y24" s="8">
        <f t="shared" si="13"/>
        <v>6</v>
      </c>
    </row>
    <row r="25" spans="1:25" x14ac:dyDescent="0.2">
      <c r="A25" t="s">
        <v>359</v>
      </c>
      <c r="F25">
        <v>24</v>
      </c>
      <c r="G25" t="s">
        <v>338</v>
      </c>
      <c r="H25" t="s">
        <v>329</v>
      </c>
      <c r="I25" t="s">
        <v>325</v>
      </c>
      <c r="J25" t="s">
        <v>335</v>
      </c>
      <c r="K25" t="s">
        <v>328</v>
      </c>
      <c r="L25" t="s">
        <v>327</v>
      </c>
      <c r="M25" t="s">
        <v>326</v>
      </c>
      <c r="N25" t="s">
        <v>331</v>
      </c>
      <c r="P25">
        <f t="shared" si="12"/>
        <v>24</v>
      </c>
      <c r="Q25" s="5" t="str">
        <f t="shared" si="2"/>
        <v>C</v>
      </c>
      <c r="R25" s="6" t="str">
        <f t="shared" si="3"/>
        <v>G</v>
      </c>
      <c r="S25" s="6" t="str">
        <f t="shared" si="4"/>
        <v>J</v>
      </c>
      <c r="T25" s="6" t="str">
        <f t="shared" si="5"/>
        <v>D</v>
      </c>
      <c r="U25" s="6" t="str">
        <f t="shared" si="6"/>
        <v>H</v>
      </c>
      <c r="V25" s="6" t="str">
        <f t="shared" si="7"/>
        <v>F</v>
      </c>
      <c r="W25" s="6" t="str">
        <f t="shared" si="8"/>
        <v>I</v>
      </c>
      <c r="X25" s="6" t="str">
        <f t="shared" si="9"/>
        <v>K</v>
      </c>
      <c r="Y25" s="8">
        <f t="shared" si="13"/>
        <v>5</v>
      </c>
    </row>
    <row r="26" spans="1:25" x14ac:dyDescent="0.2">
      <c r="A26" t="s">
        <v>360</v>
      </c>
      <c r="F26">
        <v>25</v>
      </c>
      <c r="G26" t="s">
        <v>324</v>
      </c>
      <c r="H26" t="s">
        <v>325</v>
      </c>
      <c r="I26" t="s">
        <v>326</v>
      </c>
      <c r="J26" t="s">
        <v>338</v>
      </c>
      <c r="K26" t="s">
        <v>328</v>
      </c>
      <c r="L26" t="s">
        <v>335</v>
      </c>
      <c r="M26" t="s">
        <v>330</v>
      </c>
      <c r="N26" t="s">
        <v>331</v>
      </c>
      <c r="P26">
        <f t="shared" si="12"/>
        <v>25</v>
      </c>
      <c r="Q26" s="5" t="str">
        <f t="shared" si="2"/>
        <v>E</v>
      </c>
      <c r="R26" s="6" t="str">
        <f t="shared" si="3"/>
        <v>J</v>
      </c>
      <c r="S26" s="6" t="str">
        <f t="shared" si="4"/>
        <v>I</v>
      </c>
      <c r="T26" s="6" t="str">
        <f t="shared" si="5"/>
        <v>C</v>
      </c>
      <c r="U26" s="6" t="str">
        <f t="shared" si="6"/>
        <v>H</v>
      </c>
      <c r="V26" s="6" t="str">
        <f t="shared" si="7"/>
        <v>D</v>
      </c>
      <c r="W26" s="6" t="str">
        <f t="shared" si="8"/>
        <v>L</v>
      </c>
      <c r="X26" s="6" t="str">
        <f t="shared" si="9"/>
        <v>K</v>
      </c>
      <c r="Y26" s="8">
        <f t="shared" si="13"/>
        <v>5</v>
      </c>
    </row>
    <row r="27" spans="1:25" x14ac:dyDescent="0.2">
      <c r="A27" t="s">
        <v>361</v>
      </c>
      <c r="F27">
        <v>26</v>
      </c>
      <c r="G27" t="s">
        <v>324</v>
      </c>
      <c r="H27" t="s">
        <v>329</v>
      </c>
      <c r="I27" t="s">
        <v>326</v>
      </c>
      <c r="J27" t="s">
        <v>338</v>
      </c>
      <c r="K27" t="s">
        <v>325</v>
      </c>
      <c r="L27" t="s">
        <v>335</v>
      </c>
      <c r="M27" t="s">
        <v>330</v>
      </c>
      <c r="N27" t="s">
        <v>331</v>
      </c>
      <c r="P27">
        <f t="shared" si="12"/>
        <v>26</v>
      </c>
      <c r="Q27" s="5" t="str">
        <f t="shared" si="2"/>
        <v>E</v>
      </c>
      <c r="R27" s="6" t="str">
        <f t="shared" si="3"/>
        <v>G</v>
      </c>
      <c r="S27" s="6" t="str">
        <f t="shared" si="4"/>
        <v>I</v>
      </c>
      <c r="T27" s="6" t="str">
        <f t="shared" si="5"/>
        <v>C</v>
      </c>
      <c r="U27" s="6" t="str">
        <f t="shared" si="6"/>
        <v>J</v>
      </c>
      <c r="V27" s="6" t="str">
        <f t="shared" si="7"/>
        <v>D</v>
      </c>
      <c r="W27" s="6" t="str">
        <f t="shared" si="8"/>
        <v>L</v>
      </c>
      <c r="X27" s="6" t="str">
        <f t="shared" si="9"/>
        <v>K</v>
      </c>
      <c r="Y27" s="8">
        <f t="shared" si="13"/>
        <v>6</v>
      </c>
    </row>
    <row r="28" spans="1:25" x14ac:dyDescent="0.2">
      <c r="A28" t="s">
        <v>362</v>
      </c>
      <c r="F28">
        <v>27</v>
      </c>
      <c r="G28" t="s">
        <v>324</v>
      </c>
      <c r="H28" t="s">
        <v>329</v>
      </c>
      <c r="I28" t="s">
        <v>325</v>
      </c>
      <c r="J28" t="s">
        <v>338</v>
      </c>
      <c r="K28" t="s">
        <v>328</v>
      </c>
      <c r="L28" t="s">
        <v>335</v>
      </c>
      <c r="M28" t="s">
        <v>330</v>
      </c>
      <c r="N28" t="s">
        <v>331</v>
      </c>
      <c r="P28">
        <f t="shared" si="12"/>
        <v>27</v>
      </c>
      <c r="Q28" s="5" t="str">
        <f t="shared" si="2"/>
        <v>E</v>
      </c>
      <c r="R28" s="6" t="str">
        <f t="shared" si="3"/>
        <v>G</v>
      </c>
      <c r="S28" s="6" t="str">
        <f t="shared" si="4"/>
        <v>J</v>
      </c>
      <c r="T28" s="6" t="str">
        <f t="shared" si="5"/>
        <v>C</v>
      </c>
      <c r="U28" s="6" t="str">
        <f t="shared" si="6"/>
        <v>H</v>
      </c>
      <c r="V28" s="6" t="str">
        <f t="shared" si="7"/>
        <v>D</v>
      </c>
      <c r="W28" s="6" t="str">
        <f t="shared" si="8"/>
        <v>L</v>
      </c>
      <c r="X28" s="6" t="str">
        <f t="shared" si="9"/>
        <v>K</v>
      </c>
      <c r="Y28" s="8">
        <f t="shared" si="13"/>
        <v>5</v>
      </c>
    </row>
    <row r="29" spans="1:25" x14ac:dyDescent="0.2">
      <c r="A29" t="s">
        <v>363</v>
      </c>
      <c r="F29">
        <v>28</v>
      </c>
      <c r="G29" t="s">
        <v>324</v>
      </c>
      <c r="H29" t="s">
        <v>329</v>
      </c>
      <c r="I29" t="s">
        <v>326</v>
      </c>
      <c r="J29" t="s">
        <v>338</v>
      </c>
      <c r="K29" t="s">
        <v>328</v>
      </c>
      <c r="L29" t="s">
        <v>335</v>
      </c>
      <c r="M29" t="s">
        <v>330</v>
      </c>
      <c r="N29" t="s">
        <v>331</v>
      </c>
      <c r="P29">
        <f t="shared" si="12"/>
        <v>28</v>
      </c>
      <c r="Q29" s="5" t="str">
        <f t="shared" si="2"/>
        <v>E</v>
      </c>
      <c r="R29" s="6" t="str">
        <f t="shared" si="3"/>
        <v>G</v>
      </c>
      <c r="S29" s="6" t="str">
        <f t="shared" si="4"/>
        <v>I</v>
      </c>
      <c r="T29" s="6" t="str">
        <f t="shared" si="5"/>
        <v>C</v>
      </c>
      <c r="U29" s="6" t="str">
        <f t="shared" si="6"/>
        <v>H</v>
      </c>
      <c r="V29" s="6" t="str">
        <f t="shared" si="7"/>
        <v>D</v>
      </c>
      <c r="W29" s="6" t="str">
        <f t="shared" si="8"/>
        <v>L</v>
      </c>
      <c r="X29" s="6" t="str">
        <f t="shared" si="9"/>
        <v>K</v>
      </c>
      <c r="Y29" s="8">
        <f t="shared" si="13"/>
        <v>5</v>
      </c>
    </row>
    <row r="30" spans="1:25" x14ac:dyDescent="0.2">
      <c r="A30" t="s">
        <v>364</v>
      </c>
      <c r="F30">
        <v>29</v>
      </c>
      <c r="G30" t="s">
        <v>324</v>
      </c>
      <c r="H30" t="s">
        <v>329</v>
      </c>
      <c r="I30" t="s">
        <v>325</v>
      </c>
      <c r="J30" t="s">
        <v>338</v>
      </c>
      <c r="K30" t="s">
        <v>328</v>
      </c>
      <c r="L30" t="s">
        <v>335</v>
      </c>
      <c r="M30" t="s">
        <v>330</v>
      </c>
      <c r="N30" t="s">
        <v>326</v>
      </c>
      <c r="P30">
        <f t="shared" si="12"/>
        <v>29</v>
      </c>
      <c r="Q30" s="5" t="str">
        <f t="shared" si="2"/>
        <v>E</v>
      </c>
      <c r="R30" s="6" t="str">
        <f t="shared" si="3"/>
        <v>G</v>
      </c>
      <c r="S30" s="6" t="str">
        <f t="shared" si="4"/>
        <v>J</v>
      </c>
      <c r="T30" s="6" t="str">
        <f t="shared" si="5"/>
        <v>C</v>
      </c>
      <c r="U30" s="6" t="str">
        <f t="shared" si="6"/>
        <v>H</v>
      </c>
      <c r="V30" s="6" t="str">
        <f t="shared" si="7"/>
        <v>D</v>
      </c>
      <c r="W30" s="6" t="str">
        <f t="shared" si="8"/>
        <v>L</v>
      </c>
      <c r="X30" s="6" t="str">
        <f t="shared" si="9"/>
        <v>I</v>
      </c>
      <c r="Y30" s="8">
        <f t="shared" si="13"/>
        <v>6</v>
      </c>
    </row>
    <row r="31" spans="1:25" x14ac:dyDescent="0.2">
      <c r="A31" t="s">
        <v>365</v>
      </c>
      <c r="F31">
        <v>30</v>
      </c>
      <c r="G31" t="s">
        <v>324</v>
      </c>
      <c r="H31" t="s">
        <v>329</v>
      </c>
      <c r="I31" t="s">
        <v>325</v>
      </c>
      <c r="J31" t="s">
        <v>338</v>
      </c>
      <c r="K31" t="s">
        <v>328</v>
      </c>
      <c r="L31" t="s">
        <v>335</v>
      </c>
      <c r="M31" t="s">
        <v>326</v>
      </c>
      <c r="N31" t="s">
        <v>331</v>
      </c>
      <c r="P31">
        <f t="shared" si="12"/>
        <v>30</v>
      </c>
      <c r="Q31" s="5" t="str">
        <f t="shared" si="2"/>
        <v>E</v>
      </c>
      <c r="R31" s="6" t="str">
        <f t="shared" si="3"/>
        <v>G</v>
      </c>
      <c r="S31" s="6" t="str">
        <f t="shared" si="4"/>
        <v>J</v>
      </c>
      <c r="T31" s="6" t="str">
        <f t="shared" si="5"/>
        <v>C</v>
      </c>
      <c r="U31" s="6" t="str">
        <f t="shared" si="6"/>
        <v>H</v>
      </c>
      <c r="V31" s="6" t="str">
        <f t="shared" si="7"/>
        <v>D</v>
      </c>
      <c r="W31" s="6" t="str">
        <f t="shared" si="8"/>
        <v>I</v>
      </c>
      <c r="X31" s="6" t="str">
        <f t="shared" si="9"/>
        <v>K</v>
      </c>
      <c r="Y31" s="8">
        <f t="shared" si="13"/>
        <v>5</v>
      </c>
    </row>
    <row r="32" spans="1:25" x14ac:dyDescent="0.2">
      <c r="A32" t="s">
        <v>366</v>
      </c>
      <c r="F32">
        <v>31</v>
      </c>
      <c r="G32" t="s">
        <v>338</v>
      </c>
      <c r="H32" t="s">
        <v>325</v>
      </c>
      <c r="I32" t="s">
        <v>324</v>
      </c>
      <c r="J32" t="s">
        <v>335</v>
      </c>
      <c r="K32" t="s">
        <v>326</v>
      </c>
      <c r="L32" t="s">
        <v>327</v>
      </c>
      <c r="M32" t="s">
        <v>330</v>
      </c>
      <c r="N32" t="s">
        <v>331</v>
      </c>
      <c r="P32">
        <f t="shared" si="12"/>
        <v>31</v>
      </c>
      <c r="Q32" s="5" t="str">
        <f t="shared" si="2"/>
        <v>C</v>
      </c>
      <c r="R32" s="6" t="str">
        <f t="shared" si="3"/>
        <v>J</v>
      </c>
      <c r="S32" s="6" t="str">
        <f t="shared" si="4"/>
        <v>E</v>
      </c>
      <c r="T32" s="6" t="str">
        <f t="shared" si="5"/>
        <v>D</v>
      </c>
      <c r="U32" s="6" t="str">
        <f t="shared" si="6"/>
        <v>I</v>
      </c>
      <c r="V32" s="6" t="str">
        <f t="shared" si="7"/>
        <v>F</v>
      </c>
      <c r="W32" s="6" t="str">
        <f t="shared" si="8"/>
        <v>L</v>
      </c>
      <c r="X32" s="6" t="str">
        <f t="shared" si="9"/>
        <v>K</v>
      </c>
      <c r="Y32" s="8">
        <f t="shared" si="13"/>
        <v>6</v>
      </c>
    </row>
    <row r="33" spans="1:25" x14ac:dyDescent="0.2">
      <c r="A33" t="s">
        <v>367</v>
      </c>
      <c r="F33">
        <v>32</v>
      </c>
      <c r="G33" t="s">
        <v>338</v>
      </c>
      <c r="H33" t="s">
        <v>325</v>
      </c>
      <c r="I33" t="s">
        <v>324</v>
      </c>
      <c r="J33" t="s">
        <v>335</v>
      </c>
      <c r="K33" t="s">
        <v>328</v>
      </c>
      <c r="L33" t="s">
        <v>327</v>
      </c>
      <c r="M33" t="s">
        <v>330</v>
      </c>
      <c r="N33" t="s">
        <v>331</v>
      </c>
      <c r="P33">
        <f t="shared" si="12"/>
        <v>32</v>
      </c>
      <c r="Q33" s="5" t="str">
        <f t="shared" si="2"/>
        <v>C</v>
      </c>
      <c r="R33" s="6" t="str">
        <f t="shared" si="3"/>
        <v>J</v>
      </c>
      <c r="S33" s="6" t="str">
        <f t="shared" si="4"/>
        <v>E</v>
      </c>
      <c r="T33" s="6" t="str">
        <f t="shared" si="5"/>
        <v>D</v>
      </c>
      <c r="U33" s="6" t="str">
        <f t="shared" si="6"/>
        <v>H</v>
      </c>
      <c r="V33" s="6" t="str">
        <f t="shared" si="7"/>
        <v>F</v>
      </c>
      <c r="W33" s="6" t="str">
        <f t="shared" si="8"/>
        <v>L</v>
      </c>
      <c r="X33" s="6" t="str">
        <f t="shared" si="9"/>
        <v>K</v>
      </c>
      <c r="Y33" s="8">
        <f t="shared" si="13"/>
        <v>5</v>
      </c>
    </row>
    <row r="34" spans="1:25" x14ac:dyDescent="0.2">
      <c r="A34" t="s">
        <v>368</v>
      </c>
      <c r="F34">
        <v>33</v>
      </c>
      <c r="G34" t="s">
        <v>338</v>
      </c>
      <c r="H34" t="s">
        <v>324</v>
      </c>
      <c r="I34" t="s">
        <v>326</v>
      </c>
      <c r="J34" t="s">
        <v>335</v>
      </c>
      <c r="K34" t="s">
        <v>328</v>
      </c>
      <c r="L34" t="s">
        <v>327</v>
      </c>
      <c r="M34" t="s">
        <v>330</v>
      </c>
      <c r="N34" t="s">
        <v>331</v>
      </c>
      <c r="P34">
        <f t="shared" si="12"/>
        <v>33</v>
      </c>
      <c r="Q34" s="5" t="str">
        <f t="shared" si="2"/>
        <v>C</v>
      </c>
      <c r="R34" s="6" t="str">
        <f t="shared" si="3"/>
        <v>E</v>
      </c>
      <c r="S34" s="6" t="str">
        <f t="shared" si="4"/>
        <v>I</v>
      </c>
      <c r="T34" s="6" t="str">
        <f t="shared" si="5"/>
        <v>D</v>
      </c>
      <c r="U34" s="6" t="str">
        <f t="shared" si="6"/>
        <v>H</v>
      </c>
      <c r="V34" s="6" t="str">
        <f t="shared" si="7"/>
        <v>F</v>
      </c>
      <c r="W34" s="6" t="str">
        <f t="shared" si="8"/>
        <v>L</v>
      </c>
      <c r="X34" s="6" t="str">
        <f t="shared" si="9"/>
        <v>K</v>
      </c>
      <c r="Y34" s="8">
        <f t="shared" si="13"/>
        <v>5</v>
      </c>
    </row>
    <row r="35" spans="1:25" x14ac:dyDescent="0.2">
      <c r="A35" t="s">
        <v>369</v>
      </c>
      <c r="F35">
        <v>34</v>
      </c>
      <c r="G35" t="s">
        <v>338</v>
      </c>
      <c r="H35" t="s">
        <v>325</v>
      </c>
      <c r="I35" t="s">
        <v>324</v>
      </c>
      <c r="J35" t="s">
        <v>335</v>
      </c>
      <c r="K35" t="s">
        <v>328</v>
      </c>
      <c r="L35" t="s">
        <v>327</v>
      </c>
      <c r="M35" t="s">
        <v>330</v>
      </c>
      <c r="N35" t="s">
        <v>326</v>
      </c>
      <c r="P35">
        <f t="shared" si="12"/>
        <v>34</v>
      </c>
      <c r="Q35" s="5" t="str">
        <f t="shared" si="2"/>
        <v>C</v>
      </c>
      <c r="R35" s="6" t="str">
        <f t="shared" si="3"/>
        <v>J</v>
      </c>
      <c r="S35" s="6" t="str">
        <f t="shared" si="4"/>
        <v>E</v>
      </c>
      <c r="T35" s="6" t="str">
        <f t="shared" si="5"/>
        <v>D</v>
      </c>
      <c r="U35" s="6" t="str">
        <f t="shared" si="6"/>
        <v>H</v>
      </c>
      <c r="V35" s="6" t="str">
        <f t="shared" si="7"/>
        <v>F</v>
      </c>
      <c r="W35" s="6" t="str">
        <f t="shared" si="8"/>
        <v>L</v>
      </c>
      <c r="X35" s="6" t="str">
        <f t="shared" si="9"/>
        <v>I</v>
      </c>
      <c r="Y35" s="8">
        <f t="shared" si="13"/>
        <v>6</v>
      </c>
    </row>
    <row r="36" spans="1:25" x14ac:dyDescent="0.2">
      <c r="A36" t="s">
        <v>370</v>
      </c>
      <c r="F36">
        <v>35</v>
      </c>
      <c r="G36" t="s">
        <v>338</v>
      </c>
      <c r="H36" t="s">
        <v>325</v>
      </c>
      <c r="I36" t="s">
        <v>324</v>
      </c>
      <c r="J36" t="s">
        <v>335</v>
      </c>
      <c r="K36" t="s">
        <v>328</v>
      </c>
      <c r="L36" t="s">
        <v>327</v>
      </c>
      <c r="M36" t="s">
        <v>326</v>
      </c>
      <c r="N36" t="s">
        <v>331</v>
      </c>
      <c r="P36">
        <f t="shared" si="12"/>
        <v>35</v>
      </c>
      <c r="Q36" s="5" t="str">
        <f t="shared" si="2"/>
        <v>C</v>
      </c>
      <c r="R36" s="6" t="str">
        <f t="shared" si="3"/>
        <v>J</v>
      </c>
      <c r="S36" s="6" t="str">
        <f t="shared" si="4"/>
        <v>E</v>
      </c>
      <c r="T36" s="6" t="str">
        <f t="shared" si="5"/>
        <v>D</v>
      </c>
      <c r="U36" s="6" t="str">
        <f t="shared" si="6"/>
        <v>H</v>
      </c>
      <c r="V36" s="6" t="str">
        <f t="shared" si="7"/>
        <v>F</v>
      </c>
      <c r="W36" s="6" t="str">
        <f t="shared" si="8"/>
        <v>I</v>
      </c>
      <c r="X36" s="6" t="str">
        <f t="shared" si="9"/>
        <v>K</v>
      </c>
      <c r="Y36" s="8">
        <f t="shared" si="13"/>
        <v>5</v>
      </c>
    </row>
    <row r="37" spans="1:25" x14ac:dyDescent="0.2">
      <c r="A37" t="s">
        <v>371</v>
      </c>
      <c r="F37">
        <v>36</v>
      </c>
      <c r="G37" t="s">
        <v>338</v>
      </c>
      <c r="H37" t="s">
        <v>329</v>
      </c>
      <c r="I37" t="s">
        <v>324</v>
      </c>
      <c r="J37" t="s">
        <v>335</v>
      </c>
      <c r="K37" t="s">
        <v>325</v>
      </c>
      <c r="L37" t="s">
        <v>327</v>
      </c>
      <c r="M37" t="s">
        <v>330</v>
      </c>
      <c r="N37" t="s">
        <v>331</v>
      </c>
      <c r="P37">
        <f t="shared" si="12"/>
        <v>36</v>
      </c>
      <c r="Q37" s="5" t="str">
        <f t="shared" si="2"/>
        <v>C</v>
      </c>
      <c r="R37" s="6" t="str">
        <f t="shared" si="3"/>
        <v>G</v>
      </c>
      <c r="S37" s="6" t="str">
        <f t="shared" si="4"/>
        <v>E</v>
      </c>
      <c r="T37" s="6" t="str">
        <f t="shared" si="5"/>
        <v>D</v>
      </c>
      <c r="U37" s="6" t="str">
        <f t="shared" si="6"/>
        <v>J</v>
      </c>
      <c r="V37" s="6" t="str">
        <f t="shared" si="7"/>
        <v>F</v>
      </c>
      <c r="W37" s="6" t="str">
        <f t="shared" si="8"/>
        <v>L</v>
      </c>
      <c r="X37" s="6" t="str">
        <f t="shared" si="9"/>
        <v>K</v>
      </c>
      <c r="Y37" s="8">
        <f t="shared" si="13"/>
        <v>6</v>
      </c>
    </row>
    <row r="38" spans="1:25" x14ac:dyDescent="0.2">
      <c r="A38" t="s">
        <v>372</v>
      </c>
      <c r="F38">
        <v>37</v>
      </c>
      <c r="G38" t="s">
        <v>338</v>
      </c>
      <c r="H38" t="s">
        <v>329</v>
      </c>
      <c r="I38" t="s">
        <v>324</v>
      </c>
      <c r="J38" t="s">
        <v>335</v>
      </c>
      <c r="K38" t="s">
        <v>326</v>
      </c>
      <c r="L38" t="s">
        <v>327</v>
      </c>
      <c r="M38" t="s">
        <v>330</v>
      </c>
      <c r="N38" t="s">
        <v>331</v>
      </c>
      <c r="P38">
        <f t="shared" si="12"/>
        <v>37</v>
      </c>
      <c r="Q38" s="5" t="str">
        <f t="shared" si="2"/>
        <v>C</v>
      </c>
      <c r="R38" s="6" t="str">
        <f t="shared" si="3"/>
        <v>G</v>
      </c>
      <c r="S38" s="6" t="str">
        <f t="shared" si="4"/>
        <v>E</v>
      </c>
      <c r="T38" s="6" t="str">
        <f t="shared" si="5"/>
        <v>D</v>
      </c>
      <c r="U38" s="6" t="str">
        <f t="shared" si="6"/>
        <v>I</v>
      </c>
      <c r="V38" s="6" t="str">
        <f t="shared" si="7"/>
        <v>F</v>
      </c>
      <c r="W38" s="6" t="str">
        <f t="shared" si="8"/>
        <v>L</v>
      </c>
      <c r="X38" s="6" t="str">
        <f t="shared" si="9"/>
        <v>K</v>
      </c>
      <c r="Y38" s="8">
        <f t="shared" si="13"/>
        <v>6</v>
      </c>
    </row>
    <row r="39" spans="1:25" x14ac:dyDescent="0.2">
      <c r="A39" t="s">
        <v>373</v>
      </c>
      <c r="F39">
        <v>38</v>
      </c>
      <c r="G39" t="s">
        <v>338</v>
      </c>
      <c r="H39" t="s">
        <v>329</v>
      </c>
      <c r="I39" t="s">
        <v>324</v>
      </c>
      <c r="J39" t="s">
        <v>335</v>
      </c>
      <c r="K39" t="s">
        <v>325</v>
      </c>
      <c r="L39" t="s">
        <v>327</v>
      </c>
      <c r="M39" t="s">
        <v>330</v>
      </c>
      <c r="N39" t="s">
        <v>326</v>
      </c>
      <c r="P39">
        <f t="shared" si="12"/>
        <v>38</v>
      </c>
      <c r="Q39" s="5" t="str">
        <f t="shared" si="2"/>
        <v>C</v>
      </c>
      <c r="R39" s="6" t="str">
        <f t="shared" si="3"/>
        <v>G</v>
      </c>
      <c r="S39" s="6" t="str">
        <f t="shared" si="4"/>
        <v>E</v>
      </c>
      <c r="T39" s="6" t="str">
        <f t="shared" si="5"/>
        <v>D</v>
      </c>
      <c r="U39" s="6" t="str">
        <f t="shared" si="6"/>
        <v>J</v>
      </c>
      <c r="V39" s="6" t="str">
        <f t="shared" si="7"/>
        <v>F</v>
      </c>
      <c r="W39" s="6" t="str">
        <f t="shared" si="8"/>
        <v>L</v>
      </c>
      <c r="X39" s="6" t="str">
        <f t="shared" si="9"/>
        <v>I</v>
      </c>
      <c r="Y39" s="8">
        <f t="shared" si="13"/>
        <v>7</v>
      </c>
    </row>
    <row r="40" spans="1:25" x14ac:dyDescent="0.2">
      <c r="A40" t="s">
        <v>374</v>
      </c>
      <c r="F40">
        <v>39</v>
      </c>
      <c r="G40" t="s">
        <v>338</v>
      </c>
      <c r="H40" t="s">
        <v>329</v>
      </c>
      <c r="I40" t="s">
        <v>324</v>
      </c>
      <c r="J40" t="s">
        <v>335</v>
      </c>
      <c r="K40" t="s">
        <v>325</v>
      </c>
      <c r="L40" t="s">
        <v>327</v>
      </c>
      <c r="M40" t="s">
        <v>326</v>
      </c>
      <c r="N40" t="s">
        <v>331</v>
      </c>
      <c r="P40">
        <f t="shared" si="12"/>
        <v>39</v>
      </c>
      <c r="Q40" s="5" t="str">
        <f t="shared" si="2"/>
        <v>C</v>
      </c>
      <c r="R40" s="6" t="str">
        <f t="shared" si="3"/>
        <v>G</v>
      </c>
      <c r="S40" s="6" t="str">
        <f t="shared" si="4"/>
        <v>E</v>
      </c>
      <c r="T40" s="6" t="str">
        <f t="shared" si="5"/>
        <v>D</v>
      </c>
      <c r="U40" s="6" t="str">
        <f t="shared" si="6"/>
        <v>J</v>
      </c>
      <c r="V40" s="6" t="str">
        <f t="shared" si="7"/>
        <v>F</v>
      </c>
      <c r="W40" s="6" t="str">
        <f t="shared" si="8"/>
        <v>I</v>
      </c>
      <c r="X40" s="6" t="str">
        <f t="shared" si="9"/>
        <v>K</v>
      </c>
      <c r="Y40" s="8">
        <f t="shared" si="13"/>
        <v>6</v>
      </c>
    </row>
    <row r="41" spans="1:25" x14ac:dyDescent="0.2">
      <c r="A41" t="s">
        <v>375</v>
      </c>
      <c r="F41">
        <v>40</v>
      </c>
      <c r="G41" t="s">
        <v>338</v>
      </c>
      <c r="H41" t="s">
        <v>329</v>
      </c>
      <c r="I41" t="s">
        <v>324</v>
      </c>
      <c r="J41" t="s">
        <v>335</v>
      </c>
      <c r="K41" t="s">
        <v>328</v>
      </c>
      <c r="L41" t="s">
        <v>327</v>
      </c>
      <c r="M41" t="s">
        <v>330</v>
      </c>
      <c r="N41" t="s">
        <v>331</v>
      </c>
      <c r="P41">
        <f t="shared" si="12"/>
        <v>40</v>
      </c>
      <c r="Q41" s="5" t="str">
        <f t="shared" si="2"/>
        <v>C</v>
      </c>
      <c r="R41" s="6" t="str">
        <f t="shared" si="3"/>
        <v>G</v>
      </c>
      <c r="S41" s="6" t="str">
        <f t="shared" si="4"/>
        <v>E</v>
      </c>
      <c r="T41" s="6" t="str">
        <f t="shared" si="5"/>
        <v>D</v>
      </c>
      <c r="U41" s="6" t="str">
        <f t="shared" si="6"/>
        <v>H</v>
      </c>
      <c r="V41" s="6" t="str">
        <f t="shared" si="7"/>
        <v>F</v>
      </c>
      <c r="W41" s="6" t="str">
        <f t="shared" si="8"/>
        <v>L</v>
      </c>
      <c r="X41" s="6" t="str">
        <f t="shared" si="9"/>
        <v>K</v>
      </c>
      <c r="Y41" s="8">
        <f t="shared" si="13"/>
        <v>5</v>
      </c>
    </row>
    <row r="42" spans="1:25" x14ac:dyDescent="0.2">
      <c r="A42" t="s">
        <v>376</v>
      </c>
      <c r="F42">
        <v>41</v>
      </c>
      <c r="G42" t="s">
        <v>338</v>
      </c>
      <c r="H42" t="s">
        <v>329</v>
      </c>
      <c r="I42" t="s">
        <v>325</v>
      </c>
      <c r="J42" t="s">
        <v>335</v>
      </c>
      <c r="K42" t="s">
        <v>328</v>
      </c>
      <c r="L42" t="s">
        <v>327</v>
      </c>
      <c r="M42" t="s">
        <v>330</v>
      </c>
      <c r="N42" t="s">
        <v>324</v>
      </c>
      <c r="P42">
        <f t="shared" si="12"/>
        <v>41</v>
      </c>
      <c r="Q42" s="5" t="str">
        <f t="shared" si="2"/>
        <v>C</v>
      </c>
      <c r="R42" s="6" t="str">
        <f t="shared" si="3"/>
        <v>G</v>
      </c>
      <c r="S42" s="6" t="str">
        <f t="shared" si="4"/>
        <v>J</v>
      </c>
      <c r="T42" s="6" t="str">
        <f t="shared" si="5"/>
        <v>D</v>
      </c>
      <c r="U42" s="6" t="str">
        <f t="shared" si="6"/>
        <v>H</v>
      </c>
      <c r="V42" s="6" t="str">
        <f t="shared" si="7"/>
        <v>F</v>
      </c>
      <c r="W42" s="6" t="str">
        <f t="shared" si="8"/>
        <v>L</v>
      </c>
      <c r="X42" s="6" t="str">
        <f t="shared" si="9"/>
        <v>E</v>
      </c>
      <c r="Y42" s="8">
        <f t="shared" si="13"/>
        <v>6</v>
      </c>
    </row>
    <row r="43" spans="1:25" x14ac:dyDescent="0.2">
      <c r="A43" t="s">
        <v>377</v>
      </c>
      <c r="F43">
        <v>42</v>
      </c>
      <c r="G43" t="s">
        <v>338</v>
      </c>
      <c r="H43" t="s">
        <v>329</v>
      </c>
      <c r="I43" t="s">
        <v>325</v>
      </c>
      <c r="J43" t="s">
        <v>335</v>
      </c>
      <c r="K43" t="s">
        <v>328</v>
      </c>
      <c r="L43" t="s">
        <v>327</v>
      </c>
      <c r="M43" t="s">
        <v>324</v>
      </c>
      <c r="N43" t="s">
        <v>331</v>
      </c>
      <c r="P43">
        <f t="shared" si="12"/>
        <v>42</v>
      </c>
      <c r="Q43" s="5" t="str">
        <f t="shared" si="2"/>
        <v>C</v>
      </c>
      <c r="R43" s="6" t="str">
        <f t="shared" si="3"/>
        <v>G</v>
      </c>
      <c r="S43" s="6" t="str">
        <f t="shared" si="4"/>
        <v>J</v>
      </c>
      <c r="T43" s="6" t="str">
        <f t="shared" si="5"/>
        <v>D</v>
      </c>
      <c r="U43" s="6" t="str">
        <f t="shared" si="6"/>
        <v>H</v>
      </c>
      <c r="V43" s="6" t="str">
        <f t="shared" si="7"/>
        <v>F</v>
      </c>
      <c r="W43" s="6" t="str">
        <f t="shared" si="8"/>
        <v>E</v>
      </c>
      <c r="X43" s="6" t="str">
        <f t="shared" si="9"/>
        <v>K</v>
      </c>
      <c r="Y43" s="8">
        <f t="shared" si="13"/>
        <v>5</v>
      </c>
    </row>
    <row r="44" spans="1:25" x14ac:dyDescent="0.2">
      <c r="A44" t="s">
        <v>378</v>
      </c>
      <c r="F44">
        <v>43</v>
      </c>
      <c r="G44" t="s">
        <v>338</v>
      </c>
      <c r="H44" t="s">
        <v>329</v>
      </c>
      <c r="I44" t="s">
        <v>324</v>
      </c>
      <c r="J44" t="s">
        <v>335</v>
      </c>
      <c r="K44" t="s">
        <v>328</v>
      </c>
      <c r="L44" t="s">
        <v>327</v>
      </c>
      <c r="M44" t="s">
        <v>330</v>
      </c>
      <c r="N44" t="s">
        <v>326</v>
      </c>
      <c r="P44">
        <f t="shared" si="12"/>
        <v>43</v>
      </c>
      <c r="Q44" s="5" t="str">
        <f t="shared" si="2"/>
        <v>C</v>
      </c>
      <c r="R44" s="6" t="str">
        <f t="shared" si="3"/>
        <v>G</v>
      </c>
      <c r="S44" s="6" t="str">
        <f t="shared" si="4"/>
        <v>E</v>
      </c>
      <c r="T44" s="6" t="str">
        <f t="shared" si="5"/>
        <v>D</v>
      </c>
      <c r="U44" s="6" t="str">
        <f t="shared" si="6"/>
        <v>H</v>
      </c>
      <c r="V44" s="6" t="str">
        <f t="shared" si="7"/>
        <v>F</v>
      </c>
      <c r="W44" s="6" t="str">
        <f t="shared" si="8"/>
        <v>L</v>
      </c>
      <c r="X44" s="6" t="str">
        <f t="shared" si="9"/>
        <v>I</v>
      </c>
      <c r="Y44" s="8">
        <f t="shared" si="13"/>
        <v>6</v>
      </c>
    </row>
    <row r="45" spans="1:25" x14ac:dyDescent="0.2">
      <c r="A45" t="s">
        <v>379</v>
      </c>
      <c r="F45">
        <v>44</v>
      </c>
      <c r="G45" t="s">
        <v>338</v>
      </c>
      <c r="H45" t="s">
        <v>329</v>
      </c>
      <c r="I45" t="s">
        <v>324</v>
      </c>
      <c r="J45" t="s">
        <v>335</v>
      </c>
      <c r="K45" t="s">
        <v>328</v>
      </c>
      <c r="L45" t="s">
        <v>327</v>
      </c>
      <c r="M45" t="s">
        <v>326</v>
      </c>
      <c r="N45" t="s">
        <v>331</v>
      </c>
      <c r="P45">
        <f t="shared" si="12"/>
        <v>44</v>
      </c>
      <c r="Q45" s="5" t="str">
        <f t="shared" si="2"/>
        <v>C</v>
      </c>
      <c r="R45" s="6" t="str">
        <f t="shared" si="3"/>
        <v>G</v>
      </c>
      <c r="S45" s="6" t="str">
        <f t="shared" si="4"/>
        <v>E</v>
      </c>
      <c r="T45" s="6" t="str">
        <f t="shared" si="5"/>
        <v>D</v>
      </c>
      <c r="U45" s="6" t="str">
        <f t="shared" si="6"/>
        <v>H</v>
      </c>
      <c r="V45" s="6" t="str">
        <f t="shared" si="7"/>
        <v>F</v>
      </c>
      <c r="W45" s="6" t="str">
        <f t="shared" si="8"/>
        <v>I</v>
      </c>
      <c r="X45" s="6" t="str">
        <f t="shared" si="9"/>
        <v>K</v>
      </c>
      <c r="Y45" s="8">
        <f t="shared" si="13"/>
        <v>5</v>
      </c>
    </row>
    <row r="46" spans="1:25" x14ac:dyDescent="0.2">
      <c r="A46" t="s">
        <v>380</v>
      </c>
      <c r="F46">
        <v>45</v>
      </c>
      <c r="G46" t="s">
        <v>338</v>
      </c>
      <c r="H46" t="s">
        <v>329</v>
      </c>
      <c r="I46" t="s">
        <v>325</v>
      </c>
      <c r="J46" t="s">
        <v>335</v>
      </c>
      <c r="K46" t="s">
        <v>328</v>
      </c>
      <c r="L46" t="s">
        <v>327</v>
      </c>
      <c r="M46" t="s">
        <v>324</v>
      </c>
      <c r="N46" t="s">
        <v>326</v>
      </c>
      <c r="P46">
        <f t="shared" si="12"/>
        <v>45</v>
      </c>
      <c r="Q46" s="5" t="str">
        <f t="shared" si="2"/>
        <v>C</v>
      </c>
      <c r="R46" s="6" t="str">
        <f t="shared" si="3"/>
        <v>G</v>
      </c>
      <c r="S46" s="6" t="str">
        <f t="shared" si="4"/>
        <v>J</v>
      </c>
      <c r="T46" s="6" t="str">
        <f t="shared" si="5"/>
        <v>D</v>
      </c>
      <c r="U46" s="6" t="str">
        <f t="shared" si="6"/>
        <v>H</v>
      </c>
      <c r="V46" s="6" t="str">
        <f t="shared" si="7"/>
        <v>F</v>
      </c>
      <c r="W46" s="6" t="str">
        <f t="shared" si="8"/>
        <v>E</v>
      </c>
      <c r="X46" s="6" t="str">
        <f t="shared" si="9"/>
        <v>I</v>
      </c>
      <c r="Y46" s="8">
        <f t="shared" si="13"/>
        <v>6</v>
      </c>
    </row>
    <row r="47" spans="1:25" x14ac:dyDescent="0.2">
      <c r="A47" t="s">
        <v>381</v>
      </c>
      <c r="F47">
        <v>46</v>
      </c>
      <c r="G47" t="s">
        <v>328</v>
      </c>
      <c r="H47" t="s">
        <v>325</v>
      </c>
      <c r="I47" t="s">
        <v>336</v>
      </c>
      <c r="J47" t="s">
        <v>327</v>
      </c>
      <c r="K47" t="s">
        <v>326</v>
      </c>
      <c r="L47" t="s">
        <v>329</v>
      </c>
      <c r="M47" t="s">
        <v>330</v>
      </c>
      <c r="N47" t="s">
        <v>331</v>
      </c>
      <c r="P47">
        <f t="shared" si="12"/>
        <v>46</v>
      </c>
      <c r="Q47" s="5" t="str">
        <f t="shared" si="2"/>
        <v>H</v>
      </c>
      <c r="R47" s="6" t="str">
        <f t="shared" si="3"/>
        <v>J</v>
      </c>
      <c r="S47" s="6" t="str">
        <f t="shared" si="4"/>
        <v>B</v>
      </c>
      <c r="T47" s="6" t="str">
        <f t="shared" si="5"/>
        <v>F</v>
      </c>
      <c r="U47" s="6" t="str">
        <f t="shared" si="6"/>
        <v>I</v>
      </c>
      <c r="V47" s="6" t="str">
        <f t="shared" si="7"/>
        <v>G</v>
      </c>
      <c r="W47" s="6" t="str">
        <f t="shared" si="8"/>
        <v>L</v>
      </c>
      <c r="X47" s="6" t="str">
        <f t="shared" si="9"/>
        <v>K</v>
      </c>
      <c r="Y47" s="8">
        <f t="shared" si="13"/>
        <v>5</v>
      </c>
    </row>
    <row r="48" spans="1:25" x14ac:dyDescent="0.2">
      <c r="A48" t="s">
        <v>382</v>
      </c>
      <c r="F48">
        <v>47</v>
      </c>
      <c r="G48" t="s">
        <v>324</v>
      </c>
      <c r="H48" t="s">
        <v>325</v>
      </c>
      <c r="I48" t="s">
        <v>326</v>
      </c>
      <c r="J48" t="s">
        <v>336</v>
      </c>
      <c r="K48" t="s">
        <v>328</v>
      </c>
      <c r="L48" t="s">
        <v>329</v>
      </c>
      <c r="M48" t="s">
        <v>330</v>
      </c>
      <c r="N48" t="s">
        <v>331</v>
      </c>
      <c r="P48">
        <f t="shared" si="12"/>
        <v>47</v>
      </c>
      <c r="Q48" s="5" t="str">
        <f t="shared" si="2"/>
        <v>E</v>
      </c>
      <c r="R48" s="6" t="str">
        <f t="shared" si="3"/>
        <v>J</v>
      </c>
      <c r="S48" s="6" t="str">
        <f t="shared" si="4"/>
        <v>I</v>
      </c>
      <c r="T48" s="6" t="str">
        <f t="shared" si="5"/>
        <v>B</v>
      </c>
      <c r="U48" s="6" t="str">
        <f t="shared" si="6"/>
        <v>H</v>
      </c>
      <c r="V48" s="6" t="str">
        <f t="shared" si="7"/>
        <v>G</v>
      </c>
      <c r="W48" s="6" t="str">
        <f t="shared" si="8"/>
        <v>L</v>
      </c>
      <c r="X48" s="6" t="str">
        <f t="shared" si="9"/>
        <v>K</v>
      </c>
      <c r="Y48" s="8">
        <f t="shared" si="13"/>
        <v>5</v>
      </c>
    </row>
    <row r="49" spans="1:25" x14ac:dyDescent="0.2">
      <c r="A49" t="s">
        <v>383</v>
      </c>
      <c r="F49">
        <v>48</v>
      </c>
      <c r="G49" t="s">
        <v>324</v>
      </c>
      <c r="H49" t="s">
        <v>325</v>
      </c>
      <c r="I49" t="s">
        <v>336</v>
      </c>
      <c r="J49" t="s">
        <v>327</v>
      </c>
      <c r="K49" t="s">
        <v>326</v>
      </c>
      <c r="L49" t="s">
        <v>328</v>
      </c>
      <c r="M49" t="s">
        <v>330</v>
      </c>
      <c r="N49" t="s">
        <v>331</v>
      </c>
      <c r="P49">
        <f t="shared" si="12"/>
        <v>48</v>
      </c>
      <c r="Q49" s="5" t="str">
        <f t="shared" si="2"/>
        <v>E</v>
      </c>
      <c r="R49" s="6" t="str">
        <f t="shared" si="3"/>
        <v>J</v>
      </c>
      <c r="S49" s="6" t="str">
        <f t="shared" si="4"/>
        <v>B</v>
      </c>
      <c r="T49" s="6" t="str">
        <f t="shared" si="5"/>
        <v>F</v>
      </c>
      <c r="U49" s="6" t="str">
        <f t="shared" si="6"/>
        <v>I</v>
      </c>
      <c r="V49" s="6" t="str">
        <f t="shared" si="7"/>
        <v>H</v>
      </c>
      <c r="W49" s="6" t="str">
        <f t="shared" si="8"/>
        <v>L</v>
      </c>
      <c r="X49" s="6" t="str">
        <f t="shared" si="9"/>
        <v>K</v>
      </c>
      <c r="Y49" s="8">
        <f t="shared" si="13"/>
        <v>5</v>
      </c>
    </row>
    <row r="50" spans="1:25" x14ac:dyDescent="0.2">
      <c r="A50" t="s">
        <v>384</v>
      </c>
      <c r="F50">
        <v>49</v>
      </c>
      <c r="G50" t="s">
        <v>324</v>
      </c>
      <c r="H50" t="s">
        <v>325</v>
      </c>
      <c r="I50" t="s">
        <v>336</v>
      </c>
      <c r="J50" t="s">
        <v>327</v>
      </c>
      <c r="K50" t="s">
        <v>326</v>
      </c>
      <c r="L50" t="s">
        <v>329</v>
      </c>
      <c r="M50" t="s">
        <v>330</v>
      </c>
      <c r="N50" t="s">
        <v>331</v>
      </c>
      <c r="P50">
        <f t="shared" si="12"/>
        <v>49</v>
      </c>
      <c r="Q50" s="5" t="str">
        <f t="shared" si="2"/>
        <v>E</v>
      </c>
      <c r="R50" s="6" t="str">
        <f t="shared" si="3"/>
        <v>J</v>
      </c>
      <c r="S50" s="6" t="str">
        <f t="shared" si="4"/>
        <v>B</v>
      </c>
      <c r="T50" s="6" t="str">
        <f t="shared" si="5"/>
        <v>F</v>
      </c>
      <c r="U50" s="6" t="str">
        <f t="shared" si="6"/>
        <v>I</v>
      </c>
      <c r="V50" s="6" t="str">
        <f t="shared" si="7"/>
        <v>G</v>
      </c>
      <c r="W50" s="6" t="str">
        <f t="shared" si="8"/>
        <v>L</v>
      </c>
      <c r="X50" s="6" t="str">
        <f t="shared" si="9"/>
        <v>K</v>
      </c>
      <c r="Y50" s="8">
        <f t="shared" si="13"/>
        <v>6</v>
      </c>
    </row>
    <row r="51" spans="1:25" x14ac:dyDescent="0.2">
      <c r="A51" t="s">
        <v>385</v>
      </c>
      <c r="F51">
        <v>50</v>
      </c>
      <c r="G51" t="s">
        <v>324</v>
      </c>
      <c r="H51" t="s">
        <v>325</v>
      </c>
      <c r="I51" t="s">
        <v>336</v>
      </c>
      <c r="J51" t="s">
        <v>327</v>
      </c>
      <c r="K51" t="s">
        <v>328</v>
      </c>
      <c r="L51" t="s">
        <v>329</v>
      </c>
      <c r="M51" t="s">
        <v>330</v>
      </c>
      <c r="N51" t="s">
        <v>331</v>
      </c>
      <c r="P51">
        <f t="shared" si="12"/>
        <v>50</v>
      </c>
      <c r="Q51" s="5" t="str">
        <f t="shared" si="2"/>
        <v>E</v>
      </c>
      <c r="R51" s="6" t="str">
        <f t="shared" si="3"/>
        <v>J</v>
      </c>
      <c r="S51" s="6" t="str">
        <f t="shared" si="4"/>
        <v>B</v>
      </c>
      <c r="T51" s="6" t="str">
        <f t="shared" si="5"/>
        <v>F</v>
      </c>
      <c r="U51" s="6" t="str">
        <f t="shared" si="6"/>
        <v>H</v>
      </c>
      <c r="V51" s="6" t="str">
        <f t="shared" si="7"/>
        <v>G</v>
      </c>
      <c r="W51" s="6" t="str">
        <f t="shared" si="8"/>
        <v>L</v>
      </c>
      <c r="X51" s="6" t="str">
        <f t="shared" si="9"/>
        <v>K</v>
      </c>
      <c r="Y51" s="8">
        <f t="shared" si="13"/>
        <v>5</v>
      </c>
    </row>
    <row r="52" spans="1:25" x14ac:dyDescent="0.2">
      <c r="A52" t="s">
        <v>386</v>
      </c>
      <c r="F52">
        <v>51</v>
      </c>
      <c r="G52" t="s">
        <v>324</v>
      </c>
      <c r="H52" t="s">
        <v>329</v>
      </c>
      <c r="I52" t="s">
        <v>336</v>
      </c>
      <c r="J52" t="s">
        <v>327</v>
      </c>
      <c r="K52" t="s">
        <v>326</v>
      </c>
      <c r="L52" t="s">
        <v>328</v>
      </c>
      <c r="M52" t="s">
        <v>330</v>
      </c>
      <c r="N52" t="s">
        <v>331</v>
      </c>
      <c r="P52">
        <f t="shared" si="12"/>
        <v>51</v>
      </c>
      <c r="Q52" s="5" t="str">
        <f t="shared" si="2"/>
        <v>E</v>
      </c>
      <c r="R52" s="6" t="str">
        <f t="shared" si="3"/>
        <v>G</v>
      </c>
      <c r="S52" s="6" t="str">
        <f t="shared" si="4"/>
        <v>B</v>
      </c>
      <c r="T52" s="6" t="str">
        <f t="shared" si="5"/>
        <v>F</v>
      </c>
      <c r="U52" s="6" t="str">
        <f t="shared" si="6"/>
        <v>I</v>
      </c>
      <c r="V52" s="6" t="str">
        <f t="shared" si="7"/>
        <v>H</v>
      </c>
      <c r="W52" s="6" t="str">
        <f t="shared" si="8"/>
        <v>L</v>
      </c>
      <c r="X52" s="6" t="str">
        <f t="shared" si="9"/>
        <v>K</v>
      </c>
      <c r="Y52" s="8">
        <f t="shared" si="13"/>
        <v>5</v>
      </c>
    </row>
    <row r="53" spans="1:25" x14ac:dyDescent="0.2">
      <c r="A53" t="s">
        <v>387</v>
      </c>
      <c r="F53">
        <v>52</v>
      </c>
      <c r="G53" t="s">
        <v>324</v>
      </c>
      <c r="H53" t="s">
        <v>325</v>
      </c>
      <c r="I53" t="s">
        <v>336</v>
      </c>
      <c r="J53" t="s">
        <v>327</v>
      </c>
      <c r="K53" t="s">
        <v>328</v>
      </c>
      <c r="L53" t="s">
        <v>329</v>
      </c>
      <c r="M53" t="s">
        <v>330</v>
      </c>
      <c r="N53" t="s">
        <v>326</v>
      </c>
      <c r="P53">
        <f t="shared" si="12"/>
        <v>52</v>
      </c>
      <c r="Q53" s="5" t="str">
        <f t="shared" si="2"/>
        <v>E</v>
      </c>
      <c r="R53" s="6" t="str">
        <f t="shared" si="3"/>
        <v>J</v>
      </c>
      <c r="S53" s="6" t="str">
        <f t="shared" si="4"/>
        <v>B</v>
      </c>
      <c r="T53" s="6" t="str">
        <f t="shared" si="5"/>
        <v>F</v>
      </c>
      <c r="U53" s="6" t="str">
        <f t="shared" si="6"/>
        <v>H</v>
      </c>
      <c r="V53" s="6" t="str">
        <f t="shared" si="7"/>
        <v>G</v>
      </c>
      <c r="W53" s="6" t="str">
        <f t="shared" si="8"/>
        <v>L</v>
      </c>
      <c r="X53" s="6" t="str">
        <f t="shared" si="9"/>
        <v>I</v>
      </c>
      <c r="Y53" s="8">
        <f t="shared" si="13"/>
        <v>6</v>
      </c>
    </row>
    <row r="54" spans="1:25" x14ac:dyDescent="0.2">
      <c r="A54" t="s">
        <v>388</v>
      </c>
      <c r="F54">
        <v>53</v>
      </c>
      <c r="G54" t="s">
        <v>324</v>
      </c>
      <c r="H54" t="s">
        <v>325</v>
      </c>
      <c r="I54" t="s">
        <v>336</v>
      </c>
      <c r="J54" t="s">
        <v>327</v>
      </c>
      <c r="K54" t="s">
        <v>328</v>
      </c>
      <c r="L54" t="s">
        <v>329</v>
      </c>
      <c r="M54" t="s">
        <v>326</v>
      </c>
      <c r="N54" t="s">
        <v>331</v>
      </c>
      <c r="P54">
        <f t="shared" si="12"/>
        <v>53</v>
      </c>
      <c r="Q54" s="5" t="str">
        <f t="shared" si="2"/>
        <v>E</v>
      </c>
      <c r="R54" s="6" t="str">
        <f t="shared" si="3"/>
        <v>J</v>
      </c>
      <c r="S54" s="6" t="str">
        <f t="shared" si="4"/>
        <v>B</v>
      </c>
      <c r="T54" s="6" t="str">
        <f t="shared" si="5"/>
        <v>F</v>
      </c>
      <c r="U54" s="6" t="str">
        <f t="shared" si="6"/>
        <v>H</v>
      </c>
      <c r="V54" s="6" t="str">
        <f t="shared" si="7"/>
        <v>G</v>
      </c>
      <c r="W54" s="6" t="str">
        <f t="shared" si="8"/>
        <v>I</v>
      </c>
      <c r="X54" s="6" t="str">
        <f t="shared" si="9"/>
        <v>K</v>
      </c>
      <c r="Y54" s="8">
        <f t="shared" si="13"/>
        <v>5</v>
      </c>
    </row>
    <row r="55" spans="1:25" x14ac:dyDescent="0.2">
      <c r="A55" t="s">
        <v>389</v>
      </c>
      <c r="F55">
        <v>54</v>
      </c>
      <c r="G55" t="s">
        <v>328</v>
      </c>
      <c r="H55" t="s">
        <v>325</v>
      </c>
      <c r="I55" t="s">
        <v>336</v>
      </c>
      <c r="J55" t="s">
        <v>335</v>
      </c>
      <c r="K55" t="s">
        <v>326</v>
      </c>
      <c r="L55" t="s">
        <v>329</v>
      </c>
      <c r="M55" t="s">
        <v>330</v>
      </c>
      <c r="N55" t="s">
        <v>331</v>
      </c>
      <c r="P55">
        <f t="shared" si="12"/>
        <v>54</v>
      </c>
      <c r="Q55" s="5" t="str">
        <f t="shared" si="2"/>
        <v>H</v>
      </c>
      <c r="R55" s="6" t="str">
        <f t="shared" si="3"/>
        <v>J</v>
      </c>
      <c r="S55" s="6" t="str">
        <f t="shared" si="4"/>
        <v>B</v>
      </c>
      <c r="T55" s="6" t="str">
        <f t="shared" si="5"/>
        <v>D</v>
      </c>
      <c r="U55" s="6" t="str">
        <f t="shared" si="6"/>
        <v>I</v>
      </c>
      <c r="V55" s="6" t="str">
        <f t="shared" si="7"/>
        <v>G</v>
      </c>
      <c r="W55" s="6" t="str">
        <f t="shared" si="8"/>
        <v>L</v>
      </c>
      <c r="X55" s="6" t="str">
        <f t="shared" si="9"/>
        <v>K</v>
      </c>
      <c r="Y55" s="8">
        <f t="shared" si="13"/>
        <v>5</v>
      </c>
    </row>
    <row r="56" spans="1:25" x14ac:dyDescent="0.2">
      <c r="A56" t="s">
        <v>390</v>
      </c>
      <c r="F56">
        <v>55</v>
      </c>
      <c r="G56" t="s">
        <v>328</v>
      </c>
      <c r="H56" t="s">
        <v>325</v>
      </c>
      <c r="I56" t="s">
        <v>336</v>
      </c>
      <c r="J56" t="s">
        <v>335</v>
      </c>
      <c r="K56" t="s">
        <v>326</v>
      </c>
      <c r="L56" t="s">
        <v>327</v>
      </c>
      <c r="M56" t="s">
        <v>330</v>
      </c>
      <c r="N56" t="s">
        <v>331</v>
      </c>
      <c r="P56">
        <f t="shared" si="12"/>
        <v>55</v>
      </c>
      <c r="Q56" s="5" t="str">
        <f t="shared" si="2"/>
        <v>H</v>
      </c>
      <c r="R56" s="6" t="str">
        <f t="shared" si="3"/>
        <v>J</v>
      </c>
      <c r="S56" s="6" t="str">
        <f t="shared" si="4"/>
        <v>B</v>
      </c>
      <c r="T56" s="6" t="str">
        <f t="shared" si="5"/>
        <v>D</v>
      </c>
      <c r="U56" s="6" t="str">
        <f t="shared" si="6"/>
        <v>I</v>
      </c>
      <c r="V56" s="6" t="str">
        <f t="shared" si="7"/>
        <v>F</v>
      </c>
      <c r="W56" s="6" t="str">
        <f t="shared" si="8"/>
        <v>L</v>
      </c>
      <c r="X56" s="6" t="str">
        <f t="shared" si="9"/>
        <v>K</v>
      </c>
      <c r="Y56" s="8">
        <f t="shared" si="13"/>
        <v>5</v>
      </c>
    </row>
    <row r="57" spans="1:25" x14ac:dyDescent="0.2">
      <c r="A57" t="s">
        <v>391</v>
      </c>
      <c r="F57">
        <v>56</v>
      </c>
      <c r="G57" t="s">
        <v>326</v>
      </c>
      <c r="H57" t="s">
        <v>329</v>
      </c>
      <c r="I57" t="s">
        <v>336</v>
      </c>
      <c r="J57" t="s">
        <v>335</v>
      </c>
      <c r="K57" t="s">
        <v>325</v>
      </c>
      <c r="L57" t="s">
        <v>327</v>
      </c>
      <c r="M57" t="s">
        <v>330</v>
      </c>
      <c r="N57" t="s">
        <v>331</v>
      </c>
      <c r="P57">
        <f t="shared" si="12"/>
        <v>56</v>
      </c>
      <c r="Q57" s="5" t="str">
        <f t="shared" si="2"/>
        <v>I</v>
      </c>
      <c r="R57" s="6" t="str">
        <f t="shared" si="3"/>
        <v>G</v>
      </c>
      <c r="S57" s="6" t="str">
        <f t="shared" si="4"/>
        <v>B</v>
      </c>
      <c r="T57" s="6" t="str">
        <f t="shared" si="5"/>
        <v>D</v>
      </c>
      <c r="U57" s="6" t="str">
        <f t="shared" si="6"/>
        <v>J</v>
      </c>
      <c r="V57" s="6" t="str">
        <f t="shared" si="7"/>
        <v>F</v>
      </c>
      <c r="W57" s="6" t="str">
        <f t="shared" si="8"/>
        <v>L</v>
      </c>
      <c r="X57" s="6" t="str">
        <f t="shared" si="9"/>
        <v>K</v>
      </c>
      <c r="Y57" s="8">
        <f t="shared" si="13"/>
        <v>6</v>
      </c>
    </row>
    <row r="58" spans="1:25" x14ac:dyDescent="0.2">
      <c r="A58" t="s">
        <v>392</v>
      </c>
      <c r="F58">
        <v>57</v>
      </c>
      <c r="G58" t="s">
        <v>328</v>
      </c>
      <c r="H58" t="s">
        <v>329</v>
      </c>
      <c r="I58" t="s">
        <v>336</v>
      </c>
      <c r="J58" t="s">
        <v>335</v>
      </c>
      <c r="K58" t="s">
        <v>325</v>
      </c>
      <c r="L58" t="s">
        <v>327</v>
      </c>
      <c r="M58" t="s">
        <v>330</v>
      </c>
      <c r="N58" t="s">
        <v>331</v>
      </c>
      <c r="P58">
        <f t="shared" si="12"/>
        <v>57</v>
      </c>
      <c r="Q58" s="5" t="str">
        <f t="shared" si="2"/>
        <v>H</v>
      </c>
      <c r="R58" s="6" t="str">
        <f t="shared" si="3"/>
        <v>G</v>
      </c>
      <c r="S58" s="6" t="str">
        <f t="shared" si="4"/>
        <v>B</v>
      </c>
      <c r="T58" s="6" t="str">
        <f t="shared" si="5"/>
        <v>D</v>
      </c>
      <c r="U58" s="6" t="str">
        <f t="shared" si="6"/>
        <v>J</v>
      </c>
      <c r="V58" s="6" t="str">
        <f t="shared" si="7"/>
        <v>F</v>
      </c>
      <c r="W58" s="6" t="str">
        <f t="shared" si="8"/>
        <v>L</v>
      </c>
      <c r="X58" s="6" t="str">
        <f t="shared" si="9"/>
        <v>K</v>
      </c>
      <c r="Y58" s="8">
        <f t="shared" si="13"/>
        <v>5</v>
      </c>
    </row>
    <row r="59" spans="1:25" x14ac:dyDescent="0.2">
      <c r="A59" t="s">
        <v>393</v>
      </c>
      <c r="F59">
        <v>58</v>
      </c>
      <c r="G59" t="s">
        <v>328</v>
      </c>
      <c r="H59" t="s">
        <v>329</v>
      </c>
      <c r="I59" t="s">
        <v>336</v>
      </c>
      <c r="J59" t="s">
        <v>335</v>
      </c>
      <c r="K59" t="s">
        <v>326</v>
      </c>
      <c r="L59" t="s">
        <v>327</v>
      </c>
      <c r="M59" t="s">
        <v>330</v>
      </c>
      <c r="N59" t="s">
        <v>331</v>
      </c>
      <c r="P59">
        <f t="shared" si="12"/>
        <v>58</v>
      </c>
      <c r="Q59" s="5" t="str">
        <f t="shared" si="2"/>
        <v>H</v>
      </c>
      <c r="R59" s="6" t="str">
        <f t="shared" si="3"/>
        <v>G</v>
      </c>
      <c r="S59" s="6" t="str">
        <f t="shared" si="4"/>
        <v>B</v>
      </c>
      <c r="T59" s="6" t="str">
        <f t="shared" si="5"/>
        <v>D</v>
      </c>
      <c r="U59" s="6" t="str">
        <f t="shared" si="6"/>
        <v>I</v>
      </c>
      <c r="V59" s="6" t="str">
        <f t="shared" si="7"/>
        <v>F</v>
      </c>
      <c r="W59" s="6" t="str">
        <f t="shared" si="8"/>
        <v>L</v>
      </c>
      <c r="X59" s="6" t="str">
        <f t="shared" si="9"/>
        <v>K</v>
      </c>
      <c r="Y59" s="8">
        <f t="shared" si="13"/>
        <v>5</v>
      </c>
    </row>
    <row r="60" spans="1:25" x14ac:dyDescent="0.2">
      <c r="A60" t="s">
        <v>394</v>
      </c>
      <c r="F60">
        <v>59</v>
      </c>
      <c r="G60" t="s">
        <v>328</v>
      </c>
      <c r="H60" t="s">
        <v>329</v>
      </c>
      <c r="I60" t="s">
        <v>336</v>
      </c>
      <c r="J60" t="s">
        <v>335</v>
      </c>
      <c r="K60" t="s">
        <v>325</v>
      </c>
      <c r="L60" t="s">
        <v>327</v>
      </c>
      <c r="M60" t="s">
        <v>330</v>
      </c>
      <c r="N60" t="s">
        <v>326</v>
      </c>
      <c r="P60">
        <f t="shared" si="12"/>
        <v>59</v>
      </c>
      <c r="Q60" s="5" t="str">
        <f t="shared" si="2"/>
        <v>H</v>
      </c>
      <c r="R60" s="6" t="str">
        <f t="shared" si="3"/>
        <v>G</v>
      </c>
      <c r="S60" s="6" t="str">
        <f t="shared" si="4"/>
        <v>B</v>
      </c>
      <c r="T60" s="6" t="str">
        <f t="shared" si="5"/>
        <v>D</v>
      </c>
      <c r="U60" s="6" t="str">
        <f t="shared" si="6"/>
        <v>J</v>
      </c>
      <c r="V60" s="6" t="str">
        <f t="shared" si="7"/>
        <v>F</v>
      </c>
      <c r="W60" s="6" t="str">
        <f t="shared" si="8"/>
        <v>L</v>
      </c>
      <c r="X60" s="6" t="str">
        <f t="shared" si="9"/>
        <v>I</v>
      </c>
      <c r="Y60" s="8">
        <f t="shared" si="13"/>
        <v>6</v>
      </c>
    </row>
    <row r="61" spans="1:25" x14ac:dyDescent="0.2">
      <c r="A61" t="s">
        <v>395</v>
      </c>
      <c r="F61">
        <v>60</v>
      </c>
      <c r="G61" t="s">
        <v>328</v>
      </c>
      <c r="H61" t="s">
        <v>329</v>
      </c>
      <c r="I61" t="s">
        <v>336</v>
      </c>
      <c r="J61" t="s">
        <v>335</v>
      </c>
      <c r="K61" t="s">
        <v>325</v>
      </c>
      <c r="L61" t="s">
        <v>327</v>
      </c>
      <c r="M61" t="s">
        <v>326</v>
      </c>
      <c r="N61" t="s">
        <v>331</v>
      </c>
      <c r="P61">
        <f t="shared" si="12"/>
        <v>60</v>
      </c>
      <c r="Q61" s="5" t="str">
        <f t="shared" si="2"/>
        <v>H</v>
      </c>
      <c r="R61" s="6" t="str">
        <f t="shared" si="3"/>
        <v>G</v>
      </c>
      <c r="S61" s="6" t="str">
        <f t="shared" si="4"/>
        <v>B</v>
      </c>
      <c r="T61" s="6" t="str">
        <f t="shared" si="5"/>
        <v>D</v>
      </c>
      <c r="U61" s="6" t="str">
        <f t="shared" si="6"/>
        <v>J</v>
      </c>
      <c r="V61" s="6" t="str">
        <f t="shared" si="7"/>
        <v>F</v>
      </c>
      <c r="W61" s="6" t="str">
        <f t="shared" si="8"/>
        <v>I</v>
      </c>
      <c r="X61" s="6" t="str">
        <f t="shared" si="9"/>
        <v>K</v>
      </c>
      <c r="Y61" s="8">
        <f t="shared" si="13"/>
        <v>5</v>
      </c>
    </row>
    <row r="62" spans="1:25" x14ac:dyDescent="0.2">
      <c r="A62" t="s">
        <v>396</v>
      </c>
      <c r="F62">
        <v>61</v>
      </c>
      <c r="G62" t="s">
        <v>324</v>
      </c>
      <c r="H62" t="s">
        <v>325</v>
      </c>
      <c r="I62" t="s">
        <v>336</v>
      </c>
      <c r="J62" t="s">
        <v>335</v>
      </c>
      <c r="K62" t="s">
        <v>326</v>
      </c>
      <c r="L62" t="s">
        <v>328</v>
      </c>
      <c r="M62" t="s">
        <v>330</v>
      </c>
      <c r="N62" t="s">
        <v>331</v>
      </c>
      <c r="P62">
        <f t="shared" si="12"/>
        <v>61</v>
      </c>
      <c r="Q62" s="5" t="str">
        <f t="shared" si="2"/>
        <v>E</v>
      </c>
      <c r="R62" s="6" t="str">
        <f t="shared" si="3"/>
        <v>J</v>
      </c>
      <c r="S62" s="6" t="str">
        <f t="shared" si="4"/>
        <v>B</v>
      </c>
      <c r="T62" s="6" t="str">
        <f t="shared" si="5"/>
        <v>D</v>
      </c>
      <c r="U62" s="6" t="str">
        <f t="shared" si="6"/>
        <v>I</v>
      </c>
      <c r="V62" s="6" t="str">
        <f t="shared" si="7"/>
        <v>H</v>
      </c>
      <c r="W62" s="6" t="str">
        <f t="shared" si="8"/>
        <v>L</v>
      </c>
      <c r="X62" s="6" t="str">
        <f t="shared" si="9"/>
        <v>K</v>
      </c>
      <c r="Y62" s="8">
        <f t="shared" si="13"/>
        <v>5</v>
      </c>
    </row>
    <row r="63" spans="1:25" x14ac:dyDescent="0.2">
      <c r="A63" t="s">
        <v>397</v>
      </c>
      <c r="F63">
        <v>62</v>
      </c>
      <c r="G63" t="s">
        <v>324</v>
      </c>
      <c r="H63" t="s">
        <v>325</v>
      </c>
      <c r="I63" t="s">
        <v>336</v>
      </c>
      <c r="J63" t="s">
        <v>335</v>
      </c>
      <c r="K63" t="s">
        <v>326</v>
      </c>
      <c r="L63" t="s">
        <v>329</v>
      </c>
      <c r="M63" t="s">
        <v>330</v>
      </c>
      <c r="N63" t="s">
        <v>331</v>
      </c>
      <c r="P63">
        <f t="shared" si="12"/>
        <v>62</v>
      </c>
      <c r="Q63" s="5" t="str">
        <f t="shared" si="2"/>
        <v>E</v>
      </c>
      <c r="R63" s="6" t="str">
        <f t="shared" si="3"/>
        <v>J</v>
      </c>
      <c r="S63" s="6" t="str">
        <f t="shared" si="4"/>
        <v>B</v>
      </c>
      <c r="T63" s="6" t="str">
        <f t="shared" si="5"/>
        <v>D</v>
      </c>
      <c r="U63" s="6" t="str">
        <f t="shared" si="6"/>
        <v>I</v>
      </c>
      <c r="V63" s="6" t="str">
        <f t="shared" si="7"/>
        <v>G</v>
      </c>
      <c r="W63" s="6" t="str">
        <f t="shared" si="8"/>
        <v>L</v>
      </c>
      <c r="X63" s="6" t="str">
        <f t="shared" si="9"/>
        <v>K</v>
      </c>
      <c r="Y63" s="8">
        <f t="shared" si="13"/>
        <v>6</v>
      </c>
    </row>
    <row r="64" spans="1:25" x14ac:dyDescent="0.2">
      <c r="A64" t="s">
        <v>398</v>
      </c>
      <c r="F64">
        <v>63</v>
      </c>
      <c r="G64" t="s">
        <v>324</v>
      </c>
      <c r="H64" t="s">
        <v>325</v>
      </c>
      <c r="I64" t="s">
        <v>336</v>
      </c>
      <c r="J64" t="s">
        <v>335</v>
      </c>
      <c r="K64" t="s">
        <v>328</v>
      </c>
      <c r="L64" t="s">
        <v>329</v>
      </c>
      <c r="M64" t="s">
        <v>330</v>
      </c>
      <c r="N64" t="s">
        <v>331</v>
      </c>
      <c r="P64">
        <f t="shared" si="12"/>
        <v>63</v>
      </c>
      <c r="Q64" s="5" t="str">
        <f t="shared" si="2"/>
        <v>E</v>
      </c>
      <c r="R64" s="6" t="str">
        <f t="shared" si="3"/>
        <v>J</v>
      </c>
      <c r="S64" s="6" t="str">
        <f t="shared" si="4"/>
        <v>B</v>
      </c>
      <c r="T64" s="6" t="str">
        <f t="shared" si="5"/>
        <v>D</v>
      </c>
      <c r="U64" s="6" t="str">
        <f t="shared" si="6"/>
        <v>H</v>
      </c>
      <c r="V64" s="6" t="str">
        <f t="shared" si="7"/>
        <v>G</v>
      </c>
      <c r="W64" s="6" t="str">
        <f t="shared" si="8"/>
        <v>L</v>
      </c>
      <c r="X64" s="6" t="str">
        <f t="shared" si="9"/>
        <v>K</v>
      </c>
      <c r="Y64" s="8">
        <f t="shared" si="13"/>
        <v>5</v>
      </c>
    </row>
    <row r="65" spans="1:25" x14ac:dyDescent="0.2">
      <c r="A65" t="s">
        <v>399</v>
      </c>
      <c r="F65">
        <v>64</v>
      </c>
      <c r="G65" t="s">
        <v>324</v>
      </c>
      <c r="H65" t="s">
        <v>329</v>
      </c>
      <c r="I65" t="s">
        <v>336</v>
      </c>
      <c r="J65" t="s">
        <v>335</v>
      </c>
      <c r="K65" t="s">
        <v>326</v>
      </c>
      <c r="L65" t="s">
        <v>328</v>
      </c>
      <c r="M65" t="s">
        <v>330</v>
      </c>
      <c r="N65" t="s">
        <v>331</v>
      </c>
      <c r="P65">
        <f t="shared" si="12"/>
        <v>64</v>
      </c>
      <c r="Q65" s="5" t="str">
        <f t="shared" si="2"/>
        <v>E</v>
      </c>
      <c r="R65" s="6" t="str">
        <f t="shared" si="3"/>
        <v>G</v>
      </c>
      <c r="S65" s="6" t="str">
        <f t="shared" si="4"/>
        <v>B</v>
      </c>
      <c r="T65" s="6" t="str">
        <f t="shared" si="5"/>
        <v>D</v>
      </c>
      <c r="U65" s="6" t="str">
        <f t="shared" si="6"/>
        <v>I</v>
      </c>
      <c r="V65" s="6" t="str">
        <f t="shared" si="7"/>
        <v>H</v>
      </c>
      <c r="W65" s="6" t="str">
        <f t="shared" si="8"/>
        <v>L</v>
      </c>
      <c r="X65" s="6" t="str">
        <f t="shared" si="9"/>
        <v>K</v>
      </c>
      <c r="Y65" s="8">
        <f t="shared" si="13"/>
        <v>5</v>
      </c>
    </row>
    <row r="66" spans="1:25" x14ac:dyDescent="0.2">
      <c r="A66" t="s">
        <v>400</v>
      </c>
      <c r="F66">
        <v>65</v>
      </c>
      <c r="G66" t="s">
        <v>324</v>
      </c>
      <c r="H66" t="s">
        <v>325</v>
      </c>
      <c r="I66" t="s">
        <v>336</v>
      </c>
      <c r="J66" t="s">
        <v>335</v>
      </c>
      <c r="K66" t="s">
        <v>328</v>
      </c>
      <c r="L66" t="s">
        <v>329</v>
      </c>
      <c r="M66" t="s">
        <v>330</v>
      </c>
      <c r="N66" t="s">
        <v>326</v>
      </c>
      <c r="P66">
        <f t="shared" si="12"/>
        <v>65</v>
      </c>
      <c r="Q66" s="5" t="str">
        <f t="shared" ref="Q66:Q129" si="30">+RIGHT(G66,1)</f>
        <v>E</v>
      </c>
      <c r="R66" s="6" t="str">
        <f t="shared" ref="R66:R129" si="31">+RIGHT(H66,1)</f>
        <v>J</v>
      </c>
      <c r="S66" s="6" t="str">
        <f t="shared" ref="S66:S129" si="32">+RIGHT(I66,1)</f>
        <v>B</v>
      </c>
      <c r="T66" s="6" t="str">
        <f t="shared" ref="T66:T129" si="33">+RIGHT(J66,1)</f>
        <v>D</v>
      </c>
      <c r="U66" s="6" t="str">
        <f t="shared" ref="U66:U129" si="34">+RIGHT(K66,1)</f>
        <v>H</v>
      </c>
      <c r="V66" s="6" t="str">
        <f t="shared" ref="V66:V129" si="35">+RIGHT(L66,1)</f>
        <v>G</v>
      </c>
      <c r="W66" s="6" t="str">
        <f t="shared" ref="W66:W129" si="36">+RIGHT(M66,1)</f>
        <v>L</v>
      </c>
      <c r="X66" s="6" t="str">
        <f t="shared" ref="X66:X129" si="37">+RIGHT(N66,1)</f>
        <v>I</v>
      </c>
      <c r="Y66" s="8">
        <f t="shared" si="13"/>
        <v>6</v>
      </c>
    </row>
    <row r="67" spans="1:25" x14ac:dyDescent="0.2">
      <c r="A67" t="s">
        <v>401</v>
      </c>
      <c r="F67">
        <v>66</v>
      </c>
      <c r="G67" t="s">
        <v>324</v>
      </c>
      <c r="H67" t="s">
        <v>325</v>
      </c>
      <c r="I67" t="s">
        <v>336</v>
      </c>
      <c r="J67" t="s">
        <v>335</v>
      </c>
      <c r="K67" t="s">
        <v>328</v>
      </c>
      <c r="L67" t="s">
        <v>329</v>
      </c>
      <c r="M67" t="s">
        <v>326</v>
      </c>
      <c r="N67" t="s">
        <v>331</v>
      </c>
      <c r="P67">
        <f t="shared" ref="P67:P130" si="38">+F67</f>
        <v>66</v>
      </c>
      <c r="Q67" s="5" t="str">
        <f t="shared" si="30"/>
        <v>E</v>
      </c>
      <c r="R67" s="6" t="str">
        <f t="shared" si="31"/>
        <v>J</v>
      </c>
      <c r="S67" s="6" t="str">
        <f t="shared" si="32"/>
        <v>B</v>
      </c>
      <c r="T67" s="6" t="str">
        <f t="shared" si="33"/>
        <v>D</v>
      </c>
      <c r="U67" s="6" t="str">
        <f t="shared" si="34"/>
        <v>H</v>
      </c>
      <c r="V67" s="6" t="str">
        <f t="shared" si="35"/>
        <v>G</v>
      </c>
      <c r="W67" s="6" t="str">
        <f t="shared" si="36"/>
        <v>I</v>
      </c>
      <c r="X67" s="6" t="str">
        <f t="shared" si="37"/>
        <v>K</v>
      </c>
      <c r="Y67" s="8">
        <f t="shared" ref="Y67:Y130" si="39">+COUNTIF($AA$2:$AA$9,Q67)+COUNTIF($AA$2:$AA$9,R67)+COUNTIF($AA$2:$AA$9,S67)+COUNTIF($AA$2:$AA$9,T67)+COUNTIF($AA$2:$AA$9,U67)+COUNTIF($AA$2:$AA$9,V67)+COUNTIF($AA$2:$AA$9,W67)+COUNTIF($AA$2:$AA$9,X67)</f>
        <v>5</v>
      </c>
    </row>
    <row r="68" spans="1:25" x14ac:dyDescent="0.2">
      <c r="A68" t="s">
        <v>402</v>
      </c>
      <c r="F68">
        <v>67</v>
      </c>
      <c r="G68" t="s">
        <v>324</v>
      </c>
      <c r="H68" t="s">
        <v>325</v>
      </c>
      <c r="I68" t="s">
        <v>336</v>
      </c>
      <c r="J68" t="s">
        <v>335</v>
      </c>
      <c r="K68" t="s">
        <v>326</v>
      </c>
      <c r="L68" t="s">
        <v>327</v>
      </c>
      <c r="M68" t="s">
        <v>330</v>
      </c>
      <c r="N68" t="s">
        <v>331</v>
      </c>
      <c r="P68">
        <f t="shared" si="38"/>
        <v>67</v>
      </c>
      <c r="Q68" s="5" t="str">
        <f t="shared" si="30"/>
        <v>E</v>
      </c>
      <c r="R68" s="6" t="str">
        <f t="shared" si="31"/>
        <v>J</v>
      </c>
      <c r="S68" s="6" t="str">
        <f t="shared" si="32"/>
        <v>B</v>
      </c>
      <c r="T68" s="6" t="str">
        <f t="shared" si="33"/>
        <v>D</v>
      </c>
      <c r="U68" s="6" t="str">
        <f t="shared" si="34"/>
        <v>I</v>
      </c>
      <c r="V68" s="6" t="str">
        <f t="shared" si="35"/>
        <v>F</v>
      </c>
      <c r="W68" s="6" t="str">
        <f t="shared" si="36"/>
        <v>L</v>
      </c>
      <c r="X68" s="6" t="str">
        <f t="shared" si="37"/>
        <v>K</v>
      </c>
      <c r="Y68" s="8">
        <f t="shared" si="39"/>
        <v>6</v>
      </c>
    </row>
    <row r="69" spans="1:25" x14ac:dyDescent="0.2">
      <c r="A69" t="s">
        <v>403</v>
      </c>
      <c r="F69">
        <v>68</v>
      </c>
      <c r="G69" t="s">
        <v>324</v>
      </c>
      <c r="H69" t="s">
        <v>325</v>
      </c>
      <c r="I69" t="s">
        <v>336</v>
      </c>
      <c r="J69" t="s">
        <v>335</v>
      </c>
      <c r="K69" t="s">
        <v>328</v>
      </c>
      <c r="L69" t="s">
        <v>327</v>
      </c>
      <c r="M69" t="s">
        <v>330</v>
      </c>
      <c r="N69" t="s">
        <v>331</v>
      </c>
      <c r="P69">
        <f t="shared" si="38"/>
        <v>68</v>
      </c>
      <c r="Q69" s="5" t="str">
        <f t="shared" si="30"/>
        <v>E</v>
      </c>
      <c r="R69" s="6" t="str">
        <f t="shared" si="31"/>
        <v>J</v>
      </c>
      <c r="S69" s="6" t="str">
        <f t="shared" si="32"/>
        <v>B</v>
      </c>
      <c r="T69" s="6" t="str">
        <f t="shared" si="33"/>
        <v>D</v>
      </c>
      <c r="U69" s="6" t="str">
        <f t="shared" si="34"/>
        <v>H</v>
      </c>
      <c r="V69" s="6" t="str">
        <f t="shared" si="35"/>
        <v>F</v>
      </c>
      <c r="W69" s="6" t="str">
        <f t="shared" si="36"/>
        <v>L</v>
      </c>
      <c r="X69" s="6" t="str">
        <f t="shared" si="37"/>
        <v>K</v>
      </c>
      <c r="Y69" s="8">
        <f t="shared" si="39"/>
        <v>5</v>
      </c>
    </row>
    <row r="70" spans="1:25" x14ac:dyDescent="0.2">
      <c r="A70" t="s">
        <v>404</v>
      </c>
      <c r="F70">
        <v>69</v>
      </c>
      <c r="G70" t="s">
        <v>324</v>
      </c>
      <c r="H70" t="s">
        <v>326</v>
      </c>
      <c r="I70" t="s">
        <v>336</v>
      </c>
      <c r="J70" t="s">
        <v>335</v>
      </c>
      <c r="K70" t="s">
        <v>328</v>
      </c>
      <c r="L70" t="s">
        <v>327</v>
      </c>
      <c r="M70" t="s">
        <v>330</v>
      </c>
      <c r="N70" t="s">
        <v>331</v>
      </c>
      <c r="P70">
        <f t="shared" si="38"/>
        <v>69</v>
      </c>
      <c r="Q70" s="5" t="str">
        <f t="shared" si="30"/>
        <v>E</v>
      </c>
      <c r="R70" s="6" t="str">
        <f t="shared" si="31"/>
        <v>I</v>
      </c>
      <c r="S70" s="6" t="str">
        <f t="shared" si="32"/>
        <v>B</v>
      </c>
      <c r="T70" s="6" t="str">
        <f t="shared" si="33"/>
        <v>D</v>
      </c>
      <c r="U70" s="6" t="str">
        <f t="shared" si="34"/>
        <v>H</v>
      </c>
      <c r="V70" s="6" t="str">
        <f t="shared" si="35"/>
        <v>F</v>
      </c>
      <c r="W70" s="6" t="str">
        <f t="shared" si="36"/>
        <v>L</v>
      </c>
      <c r="X70" s="6" t="str">
        <f t="shared" si="37"/>
        <v>K</v>
      </c>
      <c r="Y70" s="8">
        <f t="shared" si="39"/>
        <v>5</v>
      </c>
    </row>
    <row r="71" spans="1:25" x14ac:dyDescent="0.2">
      <c r="A71" t="s">
        <v>405</v>
      </c>
      <c r="F71">
        <v>70</v>
      </c>
      <c r="G71" t="s">
        <v>324</v>
      </c>
      <c r="H71" t="s">
        <v>325</v>
      </c>
      <c r="I71" t="s">
        <v>336</v>
      </c>
      <c r="J71" t="s">
        <v>335</v>
      </c>
      <c r="K71" t="s">
        <v>328</v>
      </c>
      <c r="L71" t="s">
        <v>327</v>
      </c>
      <c r="M71" t="s">
        <v>330</v>
      </c>
      <c r="N71" t="s">
        <v>326</v>
      </c>
      <c r="P71">
        <f t="shared" si="38"/>
        <v>70</v>
      </c>
      <c r="Q71" s="5" t="str">
        <f t="shared" si="30"/>
        <v>E</v>
      </c>
      <c r="R71" s="6" t="str">
        <f t="shared" si="31"/>
        <v>J</v>
      </c>
      <c r="S71" s="6" t="str">
        <f t="shared" si="32"/>
        <v>B</v>
      </c>
      <c r="T71" s="6" t="str">
        <f t="shared" si="33"/>
        <v>D</v>
      </c>
      <c r="U71" s="6" t="str">
        <f t="shared" si="34"/>
        <v>H</v>
      </c>
      <c r="V71" s="6" t="str">
        <f t="shared" si="35"/>
        <v>F</v>
      </c>
      <c r="W71" s="6" t="str">
        <f t="shared" si="36"/>
        <v>L</v>
      </c>
      <c r="X71" s="6" t="str">
        <f t="shared" si="37"/>
        <v>I</v>
      </c>
      <c r="Y71" s="8">
        <f t="shared" si="39"/>
        <v>6</v>
      </c>
    </row>
    <row r="72" spans="1:25" x14ac:dyDescent="0.2">
      <c r="A72" t="s">
        <v>406</v>
      </c>
      <c r="F72">
        <v>71</v>
      </c>
      <c r="G72" t="s">
        <v>324</v>
      </c>
      <c r="H72" t="s">
        <v>325</v>
      </c>
      <c r="I72" t="s">
        <v>336</v>
      </c>
      <c r="J72" t="s">
        <v>335</v>
      </c>
      <c r="K72" t="s">
        <v>328</v>
      </c>
      <c r="L72" t="s">
        <v>327</v>
      </c>
      <c r="M72" t="s">
        <v>326</v>
      </c>
      <c r="N72" t="s">
        <v>331</v>
      </c>
      <c r="P72">
        <f t="shared" si="38"/>
        <v>71</v>
      </c>
      <c r="Q72" s="5" t="str">
        <f t="shared" si="30"/>
        <v>E</v>
      </c>
      <c r="R72" s="6" t="str">
        <f t="shared" si="31"/>
        <v>J</v>
      </c>
      <c r="S72" s="6" t="str">
        <f t="shared" si="32"/>
        <v>B</v>
      </c>
      <c r="T72" s="6" t="str">
        <f t="shared" si="33"/>
        <v>D</v>
      </c>
      <c r="U72" s="6" t="str">
        <f t="shared" si="34"/>
        <v>H</v>
      </c>
      <c r="V72" s="6" t="str">
        <f t="shared" si="35"/>
        <v>F</v>
      </c>
      <c r="W72" s="6" t="str">
        <f t="shared" si="36"/>
        <v>I</v>
      </c>
      <c r="X72" s="6" t="str">
        <f t="shared" si="37"/>
        <v>K</v>
      </c>
      <c r="Y72" s="8">
        <f t="shared" si="39"/>
        <v>5</v>
      </c>
    </row>
    <row r="73" spans="1:25" x14ac:dyDescent="0.2">
      <c r="A73" t="s">
        <v>407</v>
      </c>
      <c r="F73">
        <v>72</v>
      </c>
      <c r="G73" t="s">
        <v>324</v>
      </c>
      <c r="H73" t="s">
        <v>329</v>
      </c>
      <c r="I73" t="s">
        <v>336</v>
      </c>
      <c r="J73" t="s">
        <v>335</v>
      </c>
      <c r="K73" t="s">
        <v>325</v>
      </c>
      <c r="L73" t="s">
        <v>327</v>
      </c>
      <c r="M73" t="s">
        <v>330</v>
      </c>
      <c r="N73" t="s">
        <v>331</v>
      </c>
      <c r="P73">
        <f t="shared" si="38"/>
        <v>72</v>
      </c>
      <c r="Q73" s="5" t="str">
        <f t="shared" si="30"/>
        <v>E</v>
      </c>
      <c r="R73" s="6" t="str">
        <f t="shared" si="31"/>
        <v>G</v>
      </c>
      <c r="S73" s="6" t="str">
        <f t="shared" si="32"/>
        <v>B</v>
      </c>
      <c r="T73" s="6" t="str">
        <f t="shared" si="33"/>
        <v>D</v>
      </c>
      <c r="U73" s="6" t="str">
        <f t="shared" si="34"/>
        <v>J</v>
      </c>
      <c r="V73" s="6" t="str">
        <f t="shared" si="35"/>
        <v>F</v>
      </c>
      <c r="W73" s="6" t="str">
        <f t="shared" si="36"/>
        <v>L</v>
      </c>
      <c r="X73" s="6" t="str">
        <f t="shared" si="37"/>
        <v>K</v>
      </c>
      <c r="Y73" s="8">
        <f t="shared" si="39"/>
        <v>6</v>
      </c>
    </row>
    <row r="74" spans="1:25" x14ac:dyDescent="0.2">
      <c r="A74" t="s">
        <v>408</v>
      </c>
      <c r="F74">
        <v>73</v>
      </c>
      <c r="G74" t="s">
        <v>324</v>
      </c>
      <c r="H74" t="s">
        <v>329</v>
      </c>
      <c r="I74" t="s">
        <v>336</v>
      </c>
      <c r="J74" t="s">
        <v>335</v>
      </c>
      <c r="K74" t="s">
        <v>326</v>
      </c>
      <c r="L74" t="s">
        <v>327</v>
      </c>
      <c r="M74" t="s">
        <v>330</v>
      </c>
      <c r="N74" t="s">
        <v>331</v>
      </c>
      <c r="P74">
        <f t="shared" si="38"/>
        <v>73</v>
      </c>
      <c r="Q74" s="5" t="str">
        <f t="shared" si="30"/>
        <v>E</v>
      </c>
      <c r="R74" s="6" t="str">
        <f t="shared" si="31"/>
        <v>G</v>
      </c>
      <c r="S74" s="6" t="str">
        <f t="shared" si="32"/>
        <v>B</v>
      </c>
      <c r="T74" s="6" t="str">
        <f t="shared" si="33"/>
        <v>D</v>
      </c>
      <c r="U74" s="6" t="str">
        <f t="shared" si="34"/>
        <v>I</v>
      </c>
      <c r="V74" s="6" t="str">
        <f t="shared" si="35"/>
        <v>F</v>
      </c>
      <c r="W74" s="6" t="str">
        <f t="shared" si="36"/>
        <v>L</v>
      </c>
      <c r="X74" s="6" t="str">
        <f t="shared" si="37"/>
        <v>K</v>
      </c>
      <c r="Y74" s="8">
        <f t="shared" si="39"/>
        <v>6</v>
      </c>
    </row>
    <row r="75" spans="1:25" x14ac:dyDescent="0.2">
      <c r="A75" t="s">
        <v>409</v>
      </c>
      <c r="F75">
        <v>74</v>
      </c>
      <c r="G75" t="s">
        <v>324</v>
      </c>
      <c r="H75" t="s">
        <v>329</v>
      </c>
      <c r="I75" t="s">
        <v>336</v>
      </c>
      <c r="J75" t="s">
        <v>335</v>
      </c>
      <c r="K75" t="s">
        <v>325</v>
      </c>
      <c r="L75" t="s">
        <v>327</v>
      </c>
      <c r="M75" t="s">
        <v>330</v>
      </c>
      <c r="N75" t="s">
        <v>326</v>
      </c>
      <c r="P75">
        <f t="shared" si="38"/>
        <v>74</v>
      </c>
      <c r="Q75" s="5" t="str">
        <f t="shared" si="30"/>
        <v>E</v>
      </c>
      <c r="R75" s="6" t="str">
        <f t="shared" si="31"/>
        <v>G</v>
      </c>
      <c r="S75" s="6" t="str">
        <f t="shared" si="32"/>
        <v>B</v>
      </c>
      <c r="T75" s="6" t="str">
        <f t="shared" si="33"/>
        <v>D</v>
      </c>
      <c r="U75" s="6" t="str">
        <f t="shared" si="34"/>
        <v>J</v>
      </c>
      <c r="V75" s="6" t="str">
        <f t="shared" si="35"/>
        <v>F</v>
      </c>
      <c r="W75" s="6" t="str">
        <f t="shared" si="36"/>
        <v>L</v>
      </c>
      <c r="X75" s="6" t="str">
        <f t="shared" si="37"/>
        <v>I</v>
      </c>
      <c r="Y75" s="8">
        <f t="shared" si="39"/>
        <v>7</v>
      </c>
    </row>
    <row r="76" spans="1:25" x14ac:dyDescent="0.2">
      <c r="A76" t="s">
        <v>410</v>
      </c>
      <c r="F76">
        <v>75</v>
      </c>
      <c r="G76" t="s">
        <v>324</v>
      </c>
      <c r="H76" t="s">
        <v>329</v>
      </c>
      <c r="I76" t="s">
        <v>336</v>
      </c>
      <c r="J76" t="s">
        <v>335</v>
      </c>
      <c r="K76" t="s">
        <v>325</v>
      </c>
      <c r="L76" t="s">
        <v>327</v>
      </c>
      <c r="M76" t="s">
        <v>326</v>
      </c>
      <c r="N76" t="s">
        <v>331</v>
      </c>
      <c r="P76">
        <f t="shared" si="38"/>
        <v>75</v>
      </c>
      <c r="Q76" s="5" t="str">
        <f t="shared" si="30"/>
        <v>E</v>
      </c>
      <c r="R76" s="6" t="str">
        <f t="shared" si="31"/>
        <v>G</v>
      </c>
      <c r="S76" s="6" t="str">
        <f t="shared" si="32"/>
        <v>B</v>
      </c>
      <c r="T76" s="6" t="str">
        <f t="shared" si="33"/>
        <v>D</v>
      </c>
      <c r="U76" s="6" t="str">
        <f t="shared" si="34"/>
        <v>J</v>
      </c>
      <c r="V76" s="6" t="str">
        <f t="shared" si="35"/>
        <v>F</v>
      </c>
      <c r="W76" s="6" t="str">
        <f t="shared" si="36"/>
        <v>I</v>
      </c>
      <c r="X76" s="6" t="str">
        <f t="shared" si="37"/>
        <v>K</v>
      </c>
      <c r="Y76" s="8">
        <f t="shared" si="39"/>
        <v>6</v>
      </c>
    </row>
    <row r="77" spans="1:25" x14ac:dyDescent="0.2">
      <c r="A77" t="s">
        <v>411</v>
      </c>
      <c r="F77">
        <v>76</v>
      </c>
      <c r="G77" t="s">
        <v>324</v>
      </c>
      <c r="H77" t="s">
        <v>329</v>
      </c>
      <c r="I77" t="s">
        <v>336</v>
      </c>
      <c r="J77" t="s">
        <v>335</v>
      </c>
      <c r="K77" t="s">
        <v>328</v>
      </c>
      <c r="L77" t="s">
        <v>327</v>
      </c>
      <c r="M77" t="s">
        <v>330</v>
      </c>
      <c r="N77" t="s">
        <v>331</v>
      </c>
      <c r="P77">
        <f t="shared" si="38"/>
        <v>76</v>
      </c>
      <c r="Q77" s="5" t="str">
        <f t="shared" si="30"/>
        <v>E</v>
      </c>
      <c r="R77" s="6" t="str">
        <f t="shared" si="31"/>
        <v>G</v>
      </c>
      <c r="S77" s="6" t="str">
        <f t="shared" si="32"/>
        <v>B</v>
      </c>
      <c r="T77" s="6" t="str">
        <f t="shared" si="33"/>
        <v>D</v>
      </c>
      <c r="U77" s="6" t="str">
        <f t="shared" si="34"/>
        <v>H</v>
      </c>
      <c r="V77" s="6" t="str">
        <f t="shared" si="35"/>
        <v>F</v>
      </c>
      <c r="W77" s="6" t="str">
        <f t="shared" si="36"/>
        <v>L</v>
      </c>
      <c r="X77" s="6" t="str">
        <f t="shared" si="37"/>
        <v>K</v>
      </c>
      <c r="Y77" s="8">
        <f t="shared" si="39"/>
        <v>5</v>
      </c>
    </row>
    <row r="78" spans="1:25" x14ac:dyDescent="0.2">
      <c r="A78" t="s">
        <v>412</v>
      </c>
      <c r="F78">
        <v>77</v>
      </c>
      <c r="G78" t="s">
        <v>328</v>
      </c>
      <c r="H78" t="s">
        <v>329</v>
      </c>
      <c r="I78" t="s">
        <v>336</v>
      </c>
      <c r="J78" t="s">
        <v>335</v>
      </c>
      <c r="K78" t="s">
        <v>325</v>
      </c>
      <c r="L78" t="s">
        <v>327</v>
      </c>
      <c r="M78" t="s">
        <v>330</v>
      </c>
      <c r="N78" t="s">
        <v>324</v>
      </c>
      <c r="P78">
        <f t="shared" si="38"/>
        <v>77</v>
      </c>
      <c r="Q78" s="5" t="str">
        <f t="shared" si="30"/>
        <v>H</v>
      </c>
      <c r="R78" s="6" t="str">
        <f t="shared" si="31"/>
        <v>G</v>
      </c>
      <c r="S78" s="6" t="str">
        <f t="shared" si="32"/>
        <v>B</v>
      </c>
      <c r="T78" s="6" t="str">
        <f t="shared" si="33"/>
        <v>D</v>
      </c>
      <c r="U78" s="6" t="str">
        <f t="shared" si="34"/>
        <v>J</v>
      </c>
      <c r="V78" s="6" t="str">
        <f t="shared" si="35"/>
        <v>F</v>
      </c>
      <c r="W78" s="6" t="str">
        <f t="shared" si="36"/>
        <v>L</v>
      </c>
      <c r="X78" s="6" t="str">
        <f t="shared" si="37"/>
        <v>E</v>
      </c>
      <c r="Y78" s="8">
        <f t="shared" si="39"/>
        <v>6</v>
      </c>
    </row>
    <row r="79" spans="1:25" x14ac:dyDescent="0.2">
      <c r="A79" t="s">
        <v>413</v>
      </c>
      <c r="F79">
        <v>78</v>
      </c>
      <c r="G79" t="s">
        <v>328</v>
      </c>
      <c r="H79" t="s">
        <v>329</v>
      </c>
      <c r="I79" t="s">
        <v>336</v>
      </c>
      <c r="J79" t="s">
        <v>335</v>
      </c>
      <c r="K79" t="s">
        <v>325</v>
      </c>
      <c r="L79" t="s">
        <v>327</v>
      </c>
      <c r="M79" t="s">
        <v>324</v>
      </c>
      <c r="N79" t="s">
        <v>331</v>
      </c>
      <c r="P79">
        <f t="shared" si="38"/>
        <v>78</v>
      </c>
      <c r="Q79" s="5" t="str">
        <f t="shared" si="30"/>
        <v>H</v>
      </c>
      <c r="R79" s="6" t="str">
        <f t="shared" si="31"/>
        <v>G</v>
      </c>
      <c r="S79" s="6" t="str">
        <f t="shared" si="32"/>
        <v>B</v>
      </c>
      <c r="T79" s="6" t="str">
        <f t="shared" si="33"/>
        <v>D</v>
      </c>
      <c r="U79" s="6" t="str">
        <f t="shared" si="34"/>
        <v>J</v>
      </c>
      <c r="V79" s="6" t="str">
        <f t="shared" si="35"/>
        <v>F</v>
      </c>
      <c r="W79" s="6" t="str">
        <f t="shared" si="36"/>
        <v>E</v>
      </c>
      <c r="X79" s="6" t="str">
        <f t="shared" si="37"/>
        <v>K</v>
      </c>
      <c r="Y79" s="8">
        <f t="shared" si="39"/>
        <v>5</v>
      </c>
    </row>
    <row r="80" spans="1:25" x14ac:dyDescent="0.2">
      <c r="A80" t="s">
        <v>414</v>
      </c>
      <c r="F80">
        <v>79</v>
      </c>
      <c r="G80" t="s">
        <v>324</v>
      </c>
      <c r="H80" t="s">
        <v>329</v>
      </c>
      <c r="I80" t="s">
        <v>336</v>
      </c>
      <c r="J80" t="s">
        <v>335</v>
      </c>
      <c r="K80" t="s">
        <v>328</v>
      </c>
      <c r="L80" t="s">
        <v>327</v>
      </c>
      <c r="M80" t="s">
        <v>330</v>
      </c>
      <c r="N80" t="s">
        <v>326</v>
      </c>
      <c r="P80">
        <f t="shared" si="38"/>
        <v>79</v>
      </c>
      <c r="Q80" s="5" t="str">
        <f t="shared" si="30"/>
        <v>E</v>
      </c>
      <c r="R80" s="6" t="str">
        <f t="shared" si="31"/>
        <v>G</v>
      </c>
      <c r="S80" s="6" t="str">
        <f t="shared" si="32"/>
        <v>B</v>
      </c>
      <c r="T80" s="6" t="str">
        <f t="shared" si="33"/>
        <v>D</v>
      </c>
      <c r="U80" s="6" t="str">
        <f t="shared" si="34"/>
        <v>H</v>
      </c>
      <c r="V80" s="6" t="str">
        <f t="shared" si="35"/>
        <v>F</v>
      </c>
      <c r="W80" s="6" t="str">
        <f t="shared" si="36"/>
        <v>L</v>
      </c>
      <c r="X80" s="6" t="str">
        <f t="shared" si="37"/>
        <v>I</v>
      </c>
      <c r="Y80" s="8">
        <f t="shared" si="39"/>
        <v>6</v>
      </c>
    </row>
    <row r="81" spans="1:25" x14ac:dyDescent="0.2">
      <c r="A81" t="s">
        <v>415</v>
      </c>
      <c r="F81">
        <v>80</v>
      </c>
      <c r="G81" t="s">
        <v>324</v>
      </c>
      <c r="H81" t="s">
        <v>329</v>
      </c>
      <c r="I81" t="s">
        <v>336</v>
      </c>
      <c r="J81" t="s">
        <v>335</v>
      </c>
      <c r="K81" t="s">
        <v>328</v>
      </c>
      <c r="L81" t="s">
        <v>327</v>
      </c>
      <c r="M81" t="s">
        <v>326</v>
      </c>
      <c r="N81" t="s">
        <v>331</v>
      </c>
      <c r="P81">
        <f t="shared" si="38"/>
        <v>80</v>
      </c>
      <c r="Q81" s="5" t="str">
        <f t="shared" si="30"/>
        <v>E</v>
      </c>
      <c r="R81" s="6" t="str">
        <f t="shared" si="31"/>
        <v>G</v>
      </c>
      <c r="S81" s="6" t="str">
        <f t="shared" si="32"/>
        <v>B</v>
      </c>
      <c r="T81" s="6" t="str">
        <f t="shared" si="33"/>
        <v>D</v>
      </c>
      <c r="U81" s="6" t="str">
        <f t="shared" si="34"/>
        <v>H</v>
      </c>
      <c r="V81" s="6" t="str">
        <f t="shared" si="35"/>
        <v>F</v>
      </c>
      <c r="W81" s="6" t="str">
        <f t="shared" si="36"/>
        <v>I</v>
      </c>
      <c r="X81" s="6" t="str">
        <f t="shared" si="37"/>
        <v>K</v>
      </c>
      <c r="Y81" s="8">
        <f t="shared" si="39"/>
        <v>5</v>
      </c>
    </row>
    <row r="82" spans="1:25" x14ac:dyDescent="0.2">
      <c r="A82" t="s">
        <v>416</v>
      </c>
      <c r="F82">
        <v>81</v>
      </c>
      <c r="G82" t="s">
        <v>328</v>
      </c>
      <c r="H82" t="s">
        <v>329</v>
      </c>
      <c r="I82" t="s">
        <v>336</v>
      </c>
      <c r="J82" t="s">
        <v>335</v>
      </c>
      <c r="K82" t="s">
        <v>325</v>
      </c>
      <c r="L82" t="s">
        <v>327</v>
      </c>
      <c r="M82" t="s">
        <v>324</v>
      </c>
      <c r="N82" t="s">
        <v>326</v>
      </c>
      <c r="P82">
        <f t="shared" si="38"/>
        <v>81</v>
      </c>
      <c r="Q82" s="5" t="str">
        <f t="shared" si="30"/>
        <v>H</v>
      </c>
      <c r="R82" s="6" t="str">
        <f t="shared" si="31"/>
        <v>G</v>
      </c>
      <c r="S82" s="6" t="str">
        <f t="shared" si="32"/>
        <v>B</v>
      </c>
      <c r="T82" s="6" t="str">
        <f t="shared" si="33"/>
        <v>D</v>
      </c>
      <c r="U82" s="6" t="str">
        <f t="shared" si="34"/>
        <v>J</v>
      </c>
      <c r="V82" s="6" t="str">
        <f t="shared" si="35"/>
        <v>F</v>
      </c>
      <c r="W82" s="6" t="str">
        <f t="shared" si="36"/>
        <v>E</v>
      </c>
      <c r="X82" s="6" t="str">
        <f t="shared" si="37"/>
        <v>I</v>
      </c>
      <c r="Y82" s="8">
        <f t="shared" si="39"/>
        <v>6</v>
      </c>
    </row>
    <row r="83" spans="1:25" x14ac:dyDescent="0.2">
      <c r="A83" t="s">
        <v>417</v>
      </c>
      <c r="F83">
        <v>82</v>
      </c>
      <c r="G83" t="s">
        <v>328</v>
      </c>
      <c r="H83" t="s">
        <v>325</v>
      </c>
      <c r="I83" t="s">
        <v>336</v>
      </c>
      <c r="J83" t="s">
        <v>338</v>
      </c>
      <c r="K83" t="s">
        <v>326</v>
      </c>
      <c r="L83" t="s">
        <v>329</v>
      </c>
      <c r="M83" t="s">
        <v>330</v>
      </c>
      <c r="N83" t="s">
        <v>331</v>
      </c>
      <c r="P83">
        <f t="shared" si="38"/>
        <v>82</v>
      </c>
      <c r="Q83" s="5" t="str">
        <f t="shared" si="30"/>
        <v>H</v>
      </c>
      <c r="R83" s="6" t="str">
        <f t="shared" si="31"/>
        <v>J</v>
      </c>
      <c r="S83" s="6" t="str">
        <f t="shared" si="32"/>
        <v>B</v>
      </c>
      <c r="T83" s="6" t="str">
        <f t="shared" si="33"/>
        <v>C</v>
      </c>
      <c r="U83" s="6" t="str">
        <f t="shared" si="34"/>
        <v>I</v>
      </c>
      <c r="V83" s="6" t="str">
        <f t="shared" si="35"/>
        <v>G</v>
      </c>
      <c r="W83" s="6" t="str">
        <f t="shared" si="36"/>
        <v>L</v>
      </c>
      <c r="X83" s="6" t="str">
        <f t="shared" si="37"/>
        <v>K</v>
      </c>
      <c r="Y83" s="8">
        <f t="shared" si="39"/>
        <v>4</v>
      </c>
    </row>
    <row r="84" spans="1:25" x14ac:dyDescent="0.2">
      <c r="A84" t="s">
        <v>418</v>
      </c>
      <c r="F84">
        <v>83</v>
      </c>
      <c r="G84" t="s">
        <v>328</v>
      </c>
      <c r="H84" t="s">
        <v>325</v>
      </c>
      <c r="I84" t="s">
        <v>336</v>
      </c>
      <c r="J84" t="s">
        <v>338</v>
      </c>
      <c r="K84" t="s">
        <v>326</v>
      </c>
      <c r="L84" t="s">
        <v>327</v>
      </c>
      <c r="M84" t="s">
        <v>330</v>
      </c>
      <c r="N84" t="s">
        <v>331</v>
      </c>
      <c r="P84">
        <f t="shared" si="38"/>
        <v>83</v>
      </c>
      <c r="Q84" s="5" t="str">
        <f t="shared" si="30"/>
        <v>H</v>
      </c>
      <c r="R84" s="6" t="str">
        <f t="shared" si="31"/>
        <v>J</v>
      </c>
      <c r="S84" s="6" t="str">
        <f t="shared" si="32"/>
        <v>B</v>
      </c>
      <c r="T84" s="6" t="str">
        <f t="shared" si="33"/>
        <v>C</v>
      </c>
      <c r="U84" s="6" t="str">
        <f t="shared" si="34"/>
        <v>I</v>
      </c>
      <c r="V84" s="6" t="str">
        <f t="shared" si="35"/>
        <v>F</v>
      </c>
      <c r="W84" s="6" t="str">
        <f t="shared" si="36"/>
        <v>L</v>
      </c>
      <c r="X84" s="6" t="str">
        <f t="shared" si="37"/>
        <v>K</v>
      </c>
      <c r="Y84" s="8">
        <f t="shared" si="39"/>
        <v>4</v>
      </c>
    </row>
    <row r="85" spans="1:25" x14ac:dyDescent="0.2">
      <c r="A85" t="s">
        <v>419</v>
      </c>
      <c r="F85">
        <v>84</v>
      </c>
      <c r="G85" t="s">
        <v>326</v>
      </c>
      <c r="H85" t="s">
        <v>329</v>
      </c>
      <c r="I85" t="s">
        <v>336</v>
      </c>
      <c r="J85" t="s">
        <v>338</v>
      </c>
      <c r="K85" t="s">
        <v>325</v>
      </c>
      <c r="L85" t="s">
        <v>327</v>
      </c>
      <c r="M85" t="s">
        <v>330</v>
      </c>
      <c r="N85" t="s">
        <v>331</v>
      </c>
      <c r="P85">
        <f t="shared" si="38"/>
        <v>84</v>
      </c>
      <c r="Q85" s="5" t="str">
        <f t="shared" si="30"/>
        <v>I</v>
      </c>
      <c r="R85" s="6" t="str">
        <f t="shared" si="31"/>
        <v>G</v>
      </c>
      <c r="S85" s="6" t="str">
        <f t="shared" si="32"/>
        <v>B</v>
      </c>
      <c r="T85" s="6" t="str">
        <f t="shared" si="33"/>
        <v>C</v>
      </c>
      <c r="U85" s="6" t="str">
        <f t="shared" si="34"/>
        <v>J</v>
      </c>
      <c r="V85" s="6" t="str">
        <f t="shared" si="35"/>
        <v>F</v>
      </c>
      <c r="W85" s="6" t="str">
        <f t="shared" si="36"/>
        <v>L</v>
      </c>
      <c r="X85" s="6" t="str">
        <f t="shared" si="37"/>
        <v>K</v>
      </c>
      <c r="Y85" s="8">
        <f t="shared" si="39"/>
        <v>5</v>
      </c>
    </row>
    <row r="86" spans="1:25" x14ac:dyDescent="0.2">
      <c r="A86" t="s">
        <v>420</v>
      </c>
      <c r="F86">
        <v>85</v>
      </c>
      <c r="G86" t="s">
        <v>328</v>
      </c>
      <c r="H86" t="s">
        <v>329</v>
      </c>
      <c r="I86" t="s">
        <v>336</v>
      </c>
      <c r="J86" t="s">
        <v>338</v>
      </c>
      <c r="K86" t="s">
        <v>325</v>
      </c>
      <c r="L86" t="s">
        <v>327</v>
      </c>
      <c r="M86" t="s">
        <v>330</v>
      </c>
      <c r="N86" t="s">
        <v>331</v>
      </c>
      <c r="P86">
        <f t="shared" si="38"/>
        <v>85</v>
      </c>
      <c r="Q86" s="5" t="str">
        <f t="shared" si="30"/>
        <v>H</v>
      </c>
      <c r="R86" s="6" t="str">
        <f t="shared" si="31"/>
        <v>G</v>
      </c>
      <c r="S86" s="6" t="str">
        <f t="shared" si="32"/>
        <v>B</v>
      </c>
      <c r="T86" s="6" t="str">
        <f t="shared" si="33"/>
        <v>C</v>
      </c>
      <c r="U86" s="6" t="str">
        <f t="shared" si="34"/>
        <v>J</v>
      </c>
      <c r="V86" s="6" t="str">
        <f t="shared" si="35"/>
        <v>F</v>
      </c>
      <c r="W86" s="6" t="str">
        <f t="shared" si="36"/>
        <v>L</v>
      </c>
      <c r="X86" s="6" t="str">
        <f t="shared" si="37"/>
        <v>K</v>
      </c>
      <c r="Y86" s="8">
        <f t="shared" si="39"/>
        <v>4</v>
      </c>
    </row>
    <row r="87" spans="1:25" x14ac:dyDescent="0.2">
      <c r="A87" t="s">
        <v>421</v>
      </c>
      <c r="F87">
        <v>86</v>
      </c>
      <c r="G87" t="s">
        <v>328</v>
      </c>
      <c r="H87" t="s">
        <v>329</v>
      </c>
      <c r="I87" t="s">
        <v>336</v>
      </c>
      <c r="J87" t="s">
        <v>338</v>
      </c>
      <c r="K87" t="s">
        <v>326</v>
      </c>
      <c r="L87" t="s">
        <v>327</v>
      </c>
      <c r="M87" t="s">
        <v>330</v>
      </c>
      <c r="N87" t="s">
        <v>331</v>
      </c>
      <c r="P87">
        <f t="shared" si="38"/>
        <v>86</v>
      </c>
      <c r="Q87" s="5" t="str">
        <f t="shared" si="30"/>
        <v>H</v>
      </c>
      <c r="R87" s="6" t="str">
        <f t="shared" si="31"/>
        <v>G</v>
      </c>
      <c r="S87" s="6" t="str">
        <f t="shared" si="32"/>
        <v>B</v>
      </c>
      <c r="T87" s="6" t="str">
        <f t="shared" si="33"/>
        <v>C</v>
      </c>
      <c r="U87" s="6" t="str">
        <f t="shared" si="34"/>
        <v>I</v>
      </c>
      <c r="V87" s="6" t="str">
        <f t="shared" si="35"/>
        <v>F</v>
      </c>
      <c r="W87" s="6" t="str">
        <f t="shared" si="36"/>
        <v>L</v>
      </c>
      <c r="X87" s="6" t="str">
        <f t="shared" si="37"/>
        <v>K</v>
      </c>
      <c r="Y87" s="8">
        <f t="shared" si="39"/>
        <v>4</v>
      </c>
    </row>
    <row r="88" spans="1:25" x14ac:dyDescent="0.2">
      <c r="A88" t="s">
        <v>422</v>
      </c>
      <c r="F88">
        <v>87</v>
      </c>
      <c r="G88" t="s">
        <v>328</v>
      </c>
      <c r="H88" t="s">
        <v>329</v>
      </c>
      <c r="I88" t="s">
        <v>336</v>
      </c>
      <c r="J88" t="s">
        <v>338</v>
      </c>
      <c r="K88" t="s">
        <v>325</v>
      </c>
      <c r="L88" t="s">
        <v>327</v>
      </c>
      <c r="M88" t="s">
        <v>330</v>
      </c>
      <c r="N88" t="s">
        <v>326</v>
      </c>
      <c r="P88">
        <f t="shared" si="38"/>
        <v>87</v>
      </c>
      <c r="Q88" s="5" t="str">
        <f t="shared" si="30"/>
        <v>H</v>
      </c>
      <c r="R88" s="6" t="str">
        <f t="shared" si="31"/>
        <v>G</v>
      </c>
      <c r="S88" s="6" t="str">
        <f t="shared" si="32"/>
        <v>B</v>
      </c>
      <c r="T88" s="6" t="str">
        <f t="shared" si="33"/>
        <v>C</v>
      </c>
      <c r="U88" s="6" t="str">
        <f t="shared" si="34"/>
        <v>J</v>
      </c>
      <c r="V88" s="6" t="str">
        <f t="shared" si="35"/>
        <v>F</v>
      </c>
      <c r="W88" s="6" t="str">
        <f t="shared" si="36"/>
        <v>L</v>
      </c>
      <c r="X88" s="6" t="str">
        <f t="shared" si="37"/>
        <v>I</v>
      </c>
      <c r="Y88" s="8">
        <f t="shared" si="39"/>
        <v>5</v>
      </c>
    </row>
    <row r="89" spans="1:25" x14ac:dyDescent="0.2">
      <c r="A89" t="s">
        <v>423</v>
      </c>
      <c r="F89">
        <v>88</v>
      </c>
      <c r="G89" t="s">
        <v>328</v>
      </c>
      <c r="H89" t="s">
        <v>329</v>
      </c>
      <c r="I89" t="s">
        <v>336</v>
      </c>
      <c r="J89" t="s">
        <v>338</v>
      </c>
      <c r="K89" t="s">
        <v>325</v>
      </c>
      <c r="L89" t="s">
        <v>327</v>
      </c>
      <c r="M89" t="s">
        <v>326</v>
      </c>
      <c r="N89" t="s">
        <v>331</v>
      </c>
      <c r="P89">
        <f t="shared" si="38"/>
        <v>88</v>
      </c>
      <c r="Q89" s="5" t="str">
        <f t="shared" si="30"/>
        <v>H</v>
      </c>
      <c r="R89" s="6" t="str">
        <f t="shared" si="31"/>
        <v>G</v>
      </c>
      <c r="S89" s="6" t="str">
        <f t="shared" si="32"/>
        <v>B</v>
      </c>
      <c r="T89" s="6" t="str">
        <f t="shared" si="33"/>
        <v>C</v>
      </c>
      <c r="U89" s="6" t="str">
        <f t="shared" si="34"/>
        <v>J</v>
      </c>
      <c r="V89" s="6" t="str">
        <f t="shared" si="35"/>
        <v>F</v>
      </c>
      <c r="W89" s="6" t="str">
        <f t="shared" si="36"/>
        <v>I</v>
      </c>
      <c r="X89" s="6" t="str">
        <f t="shared" si="37"/>
        <v>K</v>
      </c>
      <c r="Y89" s="8">
        <f t="shared" si="39"/>
        <v>4</v>
      </c>
    </row>
    <row r="90" spans="1:25" x14ac:dyDescent="0.2">
      <c r="A90" t="s">
        <v>424</v>
      </c>
      <c r="F90">
        <v>89</v>
      </c>
      <c r="G90" t="s">
        <v>324</v>
      </c>
      <c r="H90" t="s">
        <v>325</v>
      </c>
      <c r="I90" t="s">
        <v>336</v>
      </c>
      <c r="J90" t="s">
        <v>338</v>
      </c>
      <c r="K90" t="s">
        <v>326</v>
      </c>
      <c r="L90" t="s">
        <v>328</v>
      </c>
      <c r="M90" t="s">
        <v>330</v>
      </c>
      <c r="N90" t="s">
        <v>331</v>
      </c>
      <c r="P90">
        <f t="shared" si="38"/>
        <v>89</v>
      </c>
      <c r="Q90" s="5" t="str">
        <f t="shared" si="30"/>
        <v>E</v>
      </c>
      <c r="R90" s="6" t="str">
        <f t="shared" si="31"/>
        <v>J</v>
      </c>
      <c r="S90" s="6" t="str">
        <f t="shared" si="32"/>
        <v>B</v>
      </c>
      <c r="T90" s="6" t="str">
        <f t="shared" si="33"/>
        <v>C</v>
      </c>
      <c r="U90" s="6" t="str">
        <f t="shared" si="34"/>
        <v>I</v>
      </c>
      <c r="V90" s="6" t="str">
        <f t="shared" si="35"/>
        <v>H</v>
      </c>
      <c r="W90" s="6" t="str">
        <f t="shared" si="36"/>
        <v>L</v>
      </c>
      <c r="X90" s="6" t="str">
        <f t="shared" si="37"/>
        <v>K</v>
      </c>
      <c r="Y90" s="8">
        <f t="shared" si="39"/>
        <v>4</v>
      </c>
    </row>
    <row r="91" spans="1:25" x14ac:dyDescent="0.2">
      <c r="A91" t="s">
        <v>425</v>
      </c>
      <c r="F91">
        <v>90</v>
      </c>
      <c r="G91" t="s">
        <v>324</v>
      </c>
      <c r="H91" t="s">
        <v>325</v>
      </c>
      <c r="I91" t="s">
        <v>336</v>
      </c>
      <c r="J91" t="s">
        <v>338</v>
      </c>
      <c r="K91" t="s">
        <v>326</v>
      </c>
      <c r="L91" t="s">
        <v>329</v>
      </c>
      <c r="M91" t="s">
        <v>330</v>
      </c>
      <c r="N91" t="s">
        <v>331</v>
      </c>
      <c r="P91">
        <f t="shared" si="38"/>
        <v>90</v>
      </c>
      <c r="Q91" s="5" t="str">
        <f t="shared" si="30"/>
        <v>E</v>
      </c>
      <c r="R91" s="6" t="str">
        <f t="shared" si="31"/>
        <v>J</v>
      </c>
      <c r="S91" s="6" t="str">
        <f t="shared" si="32"/>
        <v>B</v>
      </c>
      <c r="T91" s="6" t="str">
        <f t="shared" si="33"/>
        <v>C</v>
      </c>
      <c r="U91" s="6" t="str">
        <f t="shared" si="34"/>
        <v>I</v>
      </c>
      <c r="V91" s="6" t="str">
        <f t="shared" si="35"/>
        <v>G</v>
      </c>
      <c r="W91" s="6" t="str">
        <f t="shared" si="36"/>
        <v>L</v>
      </c>
      <c r="X91" s="6" t="str">
        <f t="shared" si="37"/>
        <v>K</v>
      </c>
      <c r="Y91" s="8">
        <f t="shared" si="39"/>
        <v>5</v>
      </c>
    </row>
    <row r="92" spans="1:25" x14ac:dyDescent="0.2">
      <c r="A92" t="s">
        <v>426</v>
      </c>
      <c r="F92">
        <v>91</v>
      </c>
      <c r="G92" t="s">
        <v>324</v>
      </c>
      <c r="H92" t="s">
        <v>325</v>
      </c>
      <c r="I92" t="s">
        <v>336</v>
      </c>
      <c r="J92" t="s">
        <v>338</v>
      </c>
      <c r="K92" t="s">
        <v>328</v>
      </c>
      <c r="L92" t="s">
        <v>329</v>
      </c>
      <c r="M92" t="s">
        <v>330</v>
      </c>
      <c r="N92" t="s">
        <v>331</v>
      </c>
      <c r="P92">
        <f t="shared" si="38"/>
        <v>91</v>
      </c>
      <c r="Q92" s="5" t="str">
        <f t="shared" si="30"/>
        <v>E</v>
      </c>
      <c r="R92" s="6" t="str">
        <f t="shared" si="31"/>
        <v>J</v>
      </c>
      <c r="S92" s="6" t="str">
        <f t="shared" si="32"/>
        <v>B</v>
      </c>
      <c r="T92" s="6" t="str">
        <f t="shared" si="33"/>
        <v>C</v>
      </c>
      <c r="U92" s="6" t="str">
        <f t="shared" si="34"/>
        <v>H</v>
      </c>
      <c r="V92" s="6" t="str">
        <f t="shared" si="35"/>
        <v>G</v>
      </c>
      <c r="W92" s="6" t="str">
        <f t="shared" si="36"/>
        <v>L</v>
      </c>
      <c r="X92" s="6" t="str">
        <f t="shared" si="37"/>
        <v>K</v>
      </c>
      <c r="Y92" s="8">
        <f t="shared" si="39"/>
        <v>4</v>
      </c>
    </row>
    <row r="93" spans="1:25" x14ac:dyDescent="0.2">
      <c r="A93" t="s">
        <v>427</v>
      </c>
      <c r="F93">
        <v>92</v>
      </c>
      <c r="G93" t="s">
        <v>324</v>
      </c>
      <c r="H93" t="s">
        <v>329</v>
      </c>
      <c r="I93" t="s">
        <v>336</v>
      </c>
      <c r="J93" t="s">
        <v>338</v>
      </c>
      <c r="K93" t="s">
        <v>326</v>
      </c>
      <c r="L93" t="s">
        <v>328</v>
      </c>
      <c r="M93" t="s">
        <v>330</v>
      </c>
      <c r="N93" t="s">
        <v>331</v>
      </c>
      <c r="P93">
        <f t="shared" si="38"/>
        <v>92</v>
      </c>
      <c r="Q93" s="5" t="str">
        <f t="shared" si="30"/>
        <v>E</v>
      </c>
      <c r="R93" s="6" t="str">
        <f t="shared" si="31"/>
        <v>G</v>
      </c>
      <c r="S93" s="6" t="str">
        <f t="shared" si="32"/>
        <v>B</v>
      </c>
      <c r="T93" s="6" t="str">
        <f t="shared" si="33"/>
        <v>C</v>
      </c>
      <c r="U93" s="6" t="str">
        <f t="shared" si="34"/>
        <v>I</v>
      </c>
      <c r="V93" s="6" t="str">
        <f t="shared" si="35"/>
        <v>H</v>
      </c>
      <c r="W93" s="6" t="str">
        <f t="shared" si="36"/>
        <v>L</v>
      </c>
      <c r="X93" s="6" t="str">
        <f t="shared" si="37"/>
        <v>K</v>
      </c>
      <c r="Y93" s="8">
        <f t="shared" si="39"/>
        <v>4</v>
      </c>
    </row>
    <row r="94" spans="1:25" x14ac:dyDescent="0.2">
      <c r="A94" t="s">
        <v>428</v>
      </c>
      <c r="F94">
        <v>93</v>
      </c>
      <c r="G94" t="s">
        <v>324</v>
      </c>
      <c r="H94" t="s">
        <v>325</v>
      </c>
      <c r="I94" t="s">
        <v>336</v>
      </c>
      <c r="J94" t="s">
        <v>338</v>
      </c>
      <c r="K94" t="s">
        <v>328</v>
      </c>
      <c r="L94" t="s">
        <v>329</v>
      </c>
      <c r="M94" t="s">
        <v>330</v>
      </c>
      <c r="N94" t="s">
        <v>326</v>
      </c>
      <c r="P94">
        <f t="shared" si="38"/>
        <v>93</v>
      </c>
      <c r="Q94" s="5" t="str">
        <f t="shared" si="30"/>
        <v>E</v>
      </c>
      <c r="R94" s="6" t="str">
        <f t="shared" si="31"/>
        <v>J</v>
      </c>
      <c r="S94" s="6" t="str">
        <f t="shared" si="32"/>
        <v>B</v>
      </c>
      <c r="T94" s="6" t="str">
        <f t="shared" si="33"/>
        <v>C</v>
      </c>
      <c r="U94" s="6" t="str">
        <f t="shared" si="34"/>
        <v>H</v>
      </c>
      <c r="V94" s="6" t="str">
        <f t="shared" si="35"/>
        <v>G</v>
      </c>
      <c r="W94" s="6" t="str">
        <f t="shared" si="36"/>
        <v>L</v>
      </c>
      <c r="X94" s="6" t="str">
        <f t="shared" si="37"/>
        <v>I</v>
      </c>
      <c r="Y94" s="8">
        <f t="shared" si="39"/>
        <v>5</v>
      </c>
    </row>
    <row r="95" spans="1:25" x14ac:dyDescent="0.2">
      <c r="A95" t="s">
        <v>429</v>
      </c>
      <c r="F95">
        <v>94</v>
      </c>
      <c r="G95" t="s">
        <v>324</v>
      </c>
      <c r="H95" t="s">
        <v>325</v>
      </c>
      <c r="I95" t="s">
        <v>336</v>
      </c>
      <c r="J95" t="s">
        <v>338</v>
      </c>
      <c r="K95" t="s">
        <v>328</v>
      </c>
      <c r="L95" t="s">
        <v>329</v>
      </c>
      <c r="M95" t="s">
        <v>326</v>
      </c>
      <c r="N95" t="s">
        <v>331</v>
      </c>
      <c r="P95">
        <f t="shared" si="38"/>
        <v>94</v>
      </c>
      <c r="Q95" s="5" t="str">
        <f t="shared" si="30"/>
        <v>E</v>
      </c>
      <c r="R95" s="6" t="str">
        <f t="shared" si="31"/>
        <v>J</v>
      </c>
      <c r="S95" s="6" t="str">
        <f t="shared" si="32"/>
        <v>B</v>
      </c>
      <c r="T95" s="6" t="str">
        <f t="shared" si="33"/>
        <v>C</v>
      </c>
      <c r="U95" s="6" t="str">
        <f t="shared" si="34"/>
        <v>H</v>
      </c>
      <c r="V95" s="6" t="str">
        <f t="shared" si="35"/>
        <v>G</v>
      </c>
      <c r="W95" s="6" t="str">
        <f t="shared" si="36"/>
        <v>I</v>
      </c>
      <c r="X95" s="6" t="str">
        <f t="shared" si="37"/>
        <v>K</v>
      </c>
      <c r="Y95" s="8">
        <f t="shared" si="39"/>
        <v>4</v>
      </c>
    </row>
    <row r="96" spans="1:25" x14ac:dyDescent="0.2">
      <c r="A96" t="s">
        <v>430</v>
      </c>
      <c r="F96">
        <v>95</v>
      </c>
      <c r="G96" t="s">
        <v>324</v>
      </c>
      <c r="H96" t="s">
        <v>325</v>
      </c>
      <c r="I96" t="s">
        <v>336</v>
      </c>
      <c r="J96" t="s">
        <v>338</v>
      </c>
      <c r="K96" t="s">
        <v>326</v>
      </c>
      <c r="L96" t="s">
        <v>327</v>
      </c>
      <c r="M96" t="s">
        <v>330</v>
      </c>
      <c r="N96" t="s">
        <v>331</v>
      </c>
      <c r="P96">
        <f t="shared" si="38"/>
        <v>95</v>
      </c>
      <c r="Q96" s="5" t="str">
        <f t="shared" si="30"/>
        <v>E</v>
      </c>
      <c r="R96" s="6" t="str">
        <f t="shared" si="31"/>
        <v>J</v>
      </c>
      <c r="S96" s="6" t="str">
        <f t="shared" si="32"/>
        <v>B</v>
      </c>
      <c r="T96" s="6" t="str">
        <f t="shared" si="33"/>
        <v>C</v>
      </c>
      <c r="U96" s="6" t="str">
        <f t="shared" si="34"/>
        <v>I</v>
      </c>
      <c r="V96" s="6" t="str">
        <f t="shared" si="35"/>
        <v>F</v>
      </c>
      <c r="W96" s="6" t="str">
        <f t="shared" si="36"/>
        <v>L</v>
      </c>
      <c r="X96" s="6" t="str">
        <f t="shared" si="37"/>
        <v>K</v>
      </c>
      <c r="Y96" s="8">
        <f t="shared" si="39"/>
        <v>5</v>
      </c>
    </row>
    <row r="97" spans="1:25" x14ac:dyDescent="0.2">
      <c r="A97" t="s">
        <v>431</v>
      </c>
      <c r="F97">
        <v>96</v>
      </c>
      <c r="G97" t="s">
        <v>324</v>
      </c>
      <c r="H97" t="s">
        <v>325</v>
      </c>
      <c r="I97" t="s">
        <v>336</v>
      </c>
      <c r="J97" t="s">
        <v>338</v>
      </c>
      <c r="K97" t="s">
        <v>328</v>
      </c>
      <c r="L97" t="s">
        <v>327</v>
      </c>
      <c r="M97" t="s">
        <v>330</v>
      </c>
      <c r="N97" t="s">
        <v>331</v>
      </c>
      <c r="P97">
        <f t="shared" si="38"/>
        <v>96</v>
      </c>
      <c r="Q97" s="5" t="str">
        <f t="shared" si="30"/>
        <v>E</v>
      </c>
      <c r="R97" s="6" t="str">
        <f t="shared" si="31"/>
        <v>J</v>
      </c>
      <c r="S97" s="6" t="str">
        <f t="shared" si="32"/>
        <v>B</v>
      </c>
      <c r="T97" s="6" t="str">
        <f t="shared" si="33"/>
        <v>C</v>
      </c>
      <c r="U97" s="6" t="str">
        <f t="shared" si="34"/>
        <v>H</v>
      </c>
      <c r="V97" s="6" t="str">
        <f t="shared" si="35"/>
        <v>F</v>
      </c>
      <c r="W97" s="6" t="str">
        <f t="shared" si="36"/>
        <v>L</v>
      </c>
      <c r="X97" s="6" t="str">
        <f t="shared" si="37"/>
        <v>K</v>
      </c>
      <c r="Y97" s="8">
        <f t="shared" si="39"/>
        <v>4</v>
      </c>
    </row>
    <row r="98" spans="1:25" x14ac:dyDescent="0.2">
      <c r="A98" t="s">
        <v>432</v>
      </c>
      <c r="F98">
        <v>97</v>
      </c>
      <c r="G98" t="s">
        <v>324</v>
      </c>
      <c r="H98" t="s">
        <v>326</v>
      </c>
      <c r="I98" t="s">
        <v>336</v>
      </c>
      <c r="J98" t="s">
        <v>338</v>
      </c>
      <c r="K98" t="s">
        <v>328</v>
      </c>
      <c r="L98" t="s">
        <v>327</v>
      </c>
      <c r="M98" t="s">
        <v>330</v>
      </c>
      <c r="N98" t="s">
        <v>331</v>
      </c>
      <c r="P98">
        <f t="shared" si="38"/>
        <v>97</v>
      </c>
      <c r="Q98" s="5" t="str">
        <f t="shared" si="30"/>
        <v>E</v>
      </c>
      <c r="R98" s="6" t="str">
        <f t="shared" si="31"/>
        <v>I</v>
      </c>
      <c r="S98" s="6" t="str">
        <f t="shared" si="32"/>
        <v>B</v>
      </c>
      <c r="T98" s="6" t="str">
        <f t="shared" si="33"/>
        <v>C</v>
      </c>
      <c r="U98" s="6" t="str">
        <f t="shared" si="34"/>
        <v>H</v>
      </c>
      <c r="V98" s="6" t="str">
        <f t="shared" si="35"/>
        <v>F</v>
      </c>
      <c r="W98" s="6" t="str">
        <f t="shared" si="36"/>
        <v>L</v>
      </c>
      <c r="X98" s="6" t="str">
        <f t="shared" si="37"/>
        <v>K</v>
      </c>
      <c r="Y98" s="8">
        <f t="shared" si="39"/>
        <v>4</v>
      </c>
    </row>
    <row r="99" spans="1:25" x14ac:dyDescent="0.2">
      <c r="A99" t="s">
        <v>433</v>
      </c>
      <c r="F99">
        <v>98</v>
      </c>
      <c r="G99" t="s">
        <v>324</v>
      </c>
      <c r="H99" t="s">
        <v>325</v>
      </c>
      <c r="I99" t="s">
        <v>336</v>
      </c>
      <c r="J99" t="s">
        <v>338</v>
      </c>
      <c r="K99" t="s">
        <v>328</v>
      </c>
      <c r="L99" t="s">
        <v>327</v>
      </c>
      <c r="M99" t="s">
        <v>330</v>
      </c>
      <c r="N99" t="s">
        <v>326</v>
      </c>
      <c r="P99">
        <f t="shared" si="38"/>
        <v>98</v>
      </c>
      <c r="Q99" s="5" t="str">
        <f t="shared" si="30"/>
        <v>E</v>
      </c>
      <c r="R99" s="6" t="str">
        <f t="shared" si="31"/>
        <v>J</v>
      </c>
      <c r="S99" s="6" t="str">
        <f t="shared" si="32"/>
        <v>B</v>
      </c>
      <c r="T99" s="6" t="str">
        <f t="shared" si="33"/>
        <v>C</v>
      </c>
      <c r="U99" s="6" t="str">
        <f t="shared" si="34"/>
        <v>H</v>
      </c>
      <c r="V99" s="6" t="str">
        <f t="shared" si="35"/>
        <v>F</v>
      </c>
      <c r="W99" s="6" t="str">
        <f t="shared" si="36"/>
        <v>L</v>
      </c>
      <c r="X99" s="6" t="str">
        <f t="shared" si="37"/>
        <v>I</v>
      </c>
      <c r="Y99" s="8">
        <f t="shared" si="39"/>
        <v>5</v>
      </c>
    </row>
    <row r="100" spans="1:25" x14ac:dyDescent="0.2">
      <c r="A100" t="s">
        <v>434</v>
      </c>
      <c r="F100">
        <v>99</v>
      </c>
      <c r="G100" t="s">
        <v>324</v>
      </c>
      <c r="H100" t="s">
        <v>325</v>
      </c>
      <c r="I100" t="s">
        <v>336</v>
      </c>
      <c r="J100" t="s">
        <v>338</v>
      </c>
      <c r="K100" t="s">
        <v>328</v>
      </c>
      <c r="L100" t="s">
        <v>327</v>
      </c>
      <c r="M100" t="s">
        <v>326</v>
      </c>
      <c r="N100" t="s">
        <v>331</v>
      </c>
      <c r="P100">
        <f t="shared" si="38"/>
        <v>99</v>
      </c>
      <c r="Q100" s="5" t="str">
        <f t="shared" si="30"/>
        <v>E</v>
      </c>
      <c r="R100" s="6" t="str">
        <f t="shared" si="31"/>
        <v>J</v>
      </c>
      <c r="S100" s="6" t="str">
        <f t="shared" si="32"/>
        <v>B</v>
      </c>
      <c r="T100" s="6" t="str">
        <f t="shared" si="33"/>
        <v>C</v>
      </c>
      <c r="U100" s="6" t="str">
        <f t="shared" si="34"/>
        <v>H</v>
      </c>
      <c r="V100" s="6" t="str">
        <f t="shared" si="35"/>
        <v>F</v>
      </c>
      <c r="W100" s="6" t="str">
        <f t="shared" si="36"/>
        <v>I</v>
      </c>
      <c r="X100" s="6" t="str">
        <f t="shared" si="37"/>
        <v>K</v>
      </c>
      <c r="Y100" s="8">
        <f t="shared" si="39"/>
        <v>4</v>
      </c>
    </row>
    <row r="101" spans="1:25" x14ac:dyDescent="0.2">
      <c r="A101" t="s">
        <v>435</v>
      </c>
      <c r="F101">
        <v>100</v>
      </c>
      <c r="G101" t="s">
        <v>324</v>
      </c>
      <c r="H101" t="s">
        <v>329</v>
      </c>
      <c r="I101" t="s">
        <v>336</v>
      </c>
      <c r="J101" t="s">
        <v>338</v>
      </c>
      <c r="K101" t="s">
        <v>325</v>
      </c>
      <c r="L101" t="s">
        <v>327</v>
      </c>
      <c r="M101" t="s">
        <v>330</v>
      </c>
      <c r="N101" t="s">
        <v>331</v>
      </c>
      <c r="P101">
        <f t="shared" si="38"/>
        <v>100</v>
      </c>
      <c r="Q101" s="5" t="str">
        <f t="shared" si="30"/>
        <v>E</v>
      </c>
      <c r="R101" s="6" t="str">
        <f t="shared" si="31"/>
        <v>G</v>
      </c>
      <c r="S101" s="6" t="str">
        <f t="shared" si="32"/>
        <v>B</v>
      </c>
      <c r="T101" s="6" t="str">
        <f t="shared" si="33"/>
        <v>C</v>
      </c>
      <c r="U101" s="6" t="str">
        <f t="shared" si="34"/>
        <v>J</v>
      </c>
      <c r="V101" s="6" t="str">
        <f t="shared" si="35"/>
        <v>F</v>
      </c>
      <c r="W101" s="6" t="str">
        <f t="shared" si="36"/>
        <v>L</v>
      </c>
      <c r="X101" s="6" t="str">
        <f t="shared" si="37"/>
        <v>K</v>
      </c>
      <c r="Y101" s="8">
        <f t="shared" si="39"/>
        <v>5</v>
      </c>
    </row>
    <row r="102" spans="1:25" x14ac:dyDescent="0.2">
      <c r="A102" t="s">
        <v>436</v>
      </c>
      <c r="F102">
        <v>101</v>
      </c>
      <c r="G102" t="s">
        <v>324</v>
      </c>
      <c r="H102" t="s">
        <v>329</v>
      </c>
      <c r="I102" t="s">
        <v>336</v>
      </c>
      <c r="J102" t="s">
        <v>338</v>
      </c>
      <c r="K102" t="s">
        <v>326</v>
      </c>
      <c r="L102" t="s">
        <v>327</v>
      </c>
      <c r="M102" t="s">
        <v>330</v>
      </c>
      <c r="N102" t="s">
        <v>331</v>
      </c>
      <c r="P102">
        <f t="shared" si="38"/>
        <v>101</v>
      </c>
      <c r="Q102" s="5" t="str">
        <f t="shared" si="30"/>
        <v>E</v>
      </c>
      <c r="R102" s="6" t="str">
        <f t="shared" si="31"/>
        <v>G</v>
      </c>
      <c r="S102" s="6" t="str">
        <f t="shared" si="32"/>
        <v>B</v>
      </c>
      <c r="T102" s="6" t="str">
        <f t="shared" si="33"/>
        <v>C</v>
      </c>
      <c r="U102" s="6" t="str">
        <f t="shared" si="34"/>
        <v>I</v>
      </c>
      <c r="V102" s="6" t="str">
        <f t="shared" si="35"/>
        <v>F</v>
      </c>
      <c r="W102" s="6" t="str">
        <f t="shared" si="36"/>
        <v>L</v>
      </c>
      <c r="X102" s="6" t="str">
        <f t="shared" si="37"/>
        <v>K</v>
      </c>
      <c r="Y102" s="8">
        <f t="shared" si="39"/>
        <v>5</v>
      </c>
    </row>
    <row r="103" spans="1:25" x14ac:dyDescent="0.2">
      <c r="A103" t="s">
        <v>437</v>
      </c>
      <c r="F103">
        <v>102</v>
      </c>
      <c r="G103" t="s">
        <v>324</v>
      </c>
      <c r="H103" t="s">
        <v>329</v>
      </c>
      <c r="I103" t="s">
        <v>336</v>
      </c>
      <c r="J103" t="s">
        <v>338</v>
      </c>
      <c r="K103" t="s">
        <v>325</v>
      </c>
      <c r="L103" t="s">
        <v>327</v>
      </c>
      <c r="M103" t="s">
        <v>330</v>
      </c>
      <c r="N103" t="s">
        <v>326</v>
      </c>
      <c r="P103">
        <f t="shared" si="38"/>
        <v>102</v>
      </c>
      <c r="Q103" s="5" t="str">
        <f t="shared" si="30"/>
        <v>E</v>
      </c>
      <c r="R103" s="6" t="str">
        <f t="shared" si="31"/>
        <v>G</v>
      </c>
      <c r="S103" s="6" t="str">
        <f t="shared" si="32"/>
        <v>B</v>
      </c>
      <c r="T103" s="6" t="str">
        <f t="shared" si="33"/>
        <v>C</v>
      </c>
      <c r="U103" s="6" t="str">
        <f t="shared" si="34"/>
        <v>J</v>
      </c>
      <c r="V103" s="6" t="str">
        <f t="shared" si="35"/>
        <v>F</v>
      </c>
      <c r="W103" s="6" t="str">
        <f t="shared" si="36"/>
        <v>L</v>
      </c>
      <c r="X103" s="6" t="str">
        <f t="shared" si="37"/>
        <v>I</v>
      </c>
      <c r="Y103" s="8">
        <f t="shared" si="39"/>
        <v>6</v>
      </c>
    </row>
    <row r="104" spans="1:25" x14ac:dyDescent="0.2">
      <c r="A104" t="s">
        <v>438</v>
      </c>
      <c r="F104">
        <v>103</v>
      </c>
      <c r="G104" t="s">
        <v>324</v>
      </c>
      <c r="H104" t="s">
        <v>329</v>
      </c>
      <c r="I104" t="s">
        <v>336</v>
      </c>
      <c r="J104" t="s">
        <v>338</v>
      </c>
      <c r="K104" t="s">
        <v>325</v>
      </c>
      <c r="L104" t="s">
        <v>327</v>
      </c>
      <c r="M104" t="s">
        <v>326</v>
      </c>
      <c r="N104" t="s">
        <v>331</v>
      </c>
      <c r="P104">
        <f t="shared" si="38"/>
        <v>103</v>
      </c>
      <c r="Q104" s="5" t="str">
        <f t="shared" si="30"/>
        <v>E</v>
      </c>
      <c r="R104" s="6" t="str">
        <f t="shared" si="31"/>
        <v>G</v>
      </c>
      <c r="S104" s="6" t="str">
        <f t="shared" si="32"/>
        <v>B</v>
      </c>
      <c r="T104" s="6" t="str">
        <f t="shared" si="33"/>
        <v>C</v>
      </c>
      <c r="U104" s="6" t="str">
        <f t="shared" si="34"/>
        <v>J</v>
      </c>
      <c r="V104" s="6" t="str">
        <f t="shared" si="35"/>
        <v>F</v>
      </c>
      <c r="W104" s="6" t="str">
        <f t="shared" si="36"/>
        <v>I</v>
      </c>
      <c r="X104" s="6" t="str">
        <f t="shared" si="37"/>
        <v>K</v>
      </c>
      <c r="Y104" s="8">
        <f t="shared" si="39"/>
        <v>5</v>
      </c>
    </row>
    <row r="105" spans="1:25" x14ac:dyDescent="0.2">
      <c r="A105" t="s">
        <v>439</v>
      </c>
      <c r="F105">
        <v>104</v>
      </c>
      <c r="G105" t="s">
        <v>324</v>
      </c>
      <c r="H105" t="s">
        <v>329</v>
      </c>
      <c r="I105" t="s">
        <v>336</v>
      </c>
      <c r="J105" t="s">
        <v>338</v>
      </c>
      <c r="K105" t="s">
        <v>328</v>
      </c>
      <c r="L105" t="s">
        <v>327</v>
      </c>
      <c r="M105" t="s">
        <v>330</v>
      </c>
      <c r="N105" t="s">
        <v>331</v>
      </c>
      <c r="P105">
        <f t="shared" si="38"/>
        <v>104</v>
      </c>
      <c r="Q105" s="5" t="str">
        <f t="shared" si="30"/>
        <v>E</v>
      </c>
      <c r="R105" s="6" t="str">
        <f t="shared" si="31"/>
        <v>G</v>
      </c>
      <c r="S105" s="6" t="str">
        <f t="shared" si="32"/>
        <v>B</v>
      </c>
      <c r="T105" s="6" t="str">
        <f t="shared" si="33"/>
        <v>C</v>
      </c>
      <c r="U105" s="6" t="str">
        <f t="shared" si="34"/>
        <v>H</v>
      </c>
      <c r="V105" s="6" t="str">
        <f t="shared" si="35"/>
        <v>F</v>
      </c>
      <c r="W105" s="6" t="str">
        <f t="shared" si="36"/>
        <v>L</v>
      </c>
      <c r="X105" s="6" t="str">
        <f t="shared" si="37"/>
        <v>K</v>
      </c>
      <c r="Y105" s="8">
        <f t="shared" si="39"/>
        <v>4</v>
      </c>
    </row>
    <row r="106" spans="1:25" x14ac:dyDescent="0.2">
      <c r="A106" t="s">
        <v>440</v>
      </c>
      <c r="F106">
        <v>105</v>
      </c>
      <c r="G106" t="s">
        <v>328</v>
      </c>
      <c r="H106" t="s">
        <v>329</v>
      </c>
      <c r="I106" t="s">
        <v>336</v>
      </c>
      <c r="J106" t="s">
        <v>338</v>
      </c>
      <c r="K106" t="s">
        <v>325</v>
      </c>
      <c r="L106" t="s">
        <v>327</v>
      </c>
      <c r="M106" t="s">
        <v>330</v>
      </c>
      <c r="N106" t="s">
        <v>324</v>
      </c>
      <c r="P106">
        <f t="shared" si="38"/>
        <v>105</v>
      </c>
      <c r="Q106" s="5" t="str">
        <f t="shared" si="30"/>
        <v>H</v>
      </c>
      <c r="R106" s="6" t="str">
        <f t="shared" si="31"/>
        <v>G</v>
      </c>
      <c r="S106" s="6" t="str">
        <f t="shared" si="32"/>
        <v>B</v>
      </c>
      <c r="T106" s="6" t="str">
        <f t="shared" si="33"/>
        <v>C</v>
      </c>
      <c r="U106" s="6" t="str">
        <f t="shared" si="34"/>
        <v>J</v>
      </c>
      <c r="V106" s="6" t="str">
        <f t="shared" si="35"/>
        <v>F</v>
      </c>
      <c r="W106" s="6" t="str">
        <f t="shared" si="36"/>
        <v>L</v>
      </c>
      <c r="X106" s="6" t="str">
        <f t="shared" si="37"/>
        <v>E</v>
      </c>
      <c r="Y106" s="8">
        <f t="shared" si="39"/>
        <v>5</v>
      </c>
    </row>
    <row r="107" spans="1:25" x14ac:dyDescent="0.2">
      <c r="A107" t="s">
        <v>441</v>
      </c>
      <c r="F107">
        <v>106</v>
      </c>
      <c r="G107" t="s">
        <v>328</v>
      </c>
      <c r="H107" t="s">
        <v>329</v>
      </c>
      <c r="I107" t="s">
        <v>336</v>
      </c>
      <c r="J107" t="s">
        <v>338</v>
      </c>
      <c r="K107" t="s">
        <v>325</v>
      </c>
      <c r="L107" t="s">
        <v>327</v>
      </c>
      <c r="M107" t="s">
        <v>324</v>
      </c>
      <c r="N107" t="s">
        <v>331</v>
      </c>
      <c r="P107">
        <f t="shared" si="38"/>
        <v>106</v>
      </c>
      <c r="Q107" s="5" t="str">
        <f t="shared" si="30"/>
        <v>H</v>
      </c>
      <c r="R107" s="6" t="str">
        <f t="shared" si="31"/>
        <v>G</v>
      </c>
      <c r="S107" s="6" t="str">
        <f t="shared" si="32"/>
        <v>B</v>
      </c>
      <c r="T107" s="6" t="str">
        <f t="shared" si="33"/>
        <v>C</v>
      </c>
      <c r="U107" s="6" t="str">
        <f t="shared" si="34"/>
        <v>J</v>
      </c>
      <c r="V107" s="6" t="str">
        <f t="shared" si="35"/>
        <v>F</v>
      </c>
      <c r="W107" s="6" t="str">
        <f t="shared" si="36"/>
        <v>E</v>
      </c>
      <c r="X107" s="6" t="str">
        <f t="shared" si="37"/>
        <v>K</v>
      </c>
      <c r="Y107" s="8">
        <f t="shared" si="39"/>
        <v>4</v>
      </c>
    </row>
    <row r="108" spans="1:25" x14ac:dyDescent="0.2">
      <c r="A108" t="s">
        <v>442</v>
      </c>
      <c r="F108">
        <v>107</v>
      </c>
      <c r="G108" t="s">
        <v>324</v>
      </c>
      <c r="H108" t="s">
        <v>329</v>
      </c>
      <c r="I108" t="s">
        <v>336</v>
      </c>
      <c r="J108" t="s">
        <v>338</v>
      </c>
      <c r="K108" t="s">
        <v>328</v>
      </c>
      <c r="L108" t="s">
        <v>327</v>
      </c>
      <c r="M108" t="s">
        <v>330</v>
      </c>
      <c r="N108" t="s">
        <v>326</v>
      </c>
      <c r="P108">
        <f t="shared" si="38"/>
        <v>107</v>
      </c>
      <c r="Q108" s="5" t="str">
        <f t="shared" si="30"/>
        <v>E</v>
      </c>
      <c r="R108" s="6" t="str">
        <f t="shared" si="31"/>
        <v>G</v>
      </c>
      <c r="S108" s="6" t="str">
        <f t="shared" si="32"/>
        <v>B</v>
      </c>
      <c r="T108" s="6" t="str">
        <f t="shared" si="33"/>
        <v>C</v>
      </c>
      <c r="U108" s="6" t="str">
        <f t="shared" si="34"/>
        <v>H</v>
      </c>
      <c r="V108" s="6" t="str">
        <f t="shared" si="35"/>
        <v>F</v>
      </c>
      <c r="W108" s="6" t="str">
        <f t="shared" si="36"/>
        <v>L</v>
      </c>
      <c r="X108" s="6" t="str">
        <f t="shared" si="37"/>
        <v>I</v>
      </c>
      <c r="Y108" s="8">
        <f t="shared" si="39"/>
        <v>5</v>
      </c>
    </row>
    <row r="109" spans="1:25" x14ac:dyDescent="0.2">
      <c r="A109" t="s">
        <v>443</v>
      </c>
      <c r="F109">
        <v>108</v>
      </c>
      <c r="G109" t="s">
        <v>324</v>
      </c>
      <c r="H109" t="s">
        <v>329</v>
      </c>
      <c r="I109" t="s">
        <v>336</v>
      </c>
      <c r="J109" t="s">
        <v>338</v>
      </c>
      <c r="K109" t="s">
        <v>328</v>
      </c>
      <c r="L109" t="s">
        <v>327</v>
      </c>
      <c r="M109" t="s">
        <v>326</v>
      </c>
      <c r="N109" t="s">
        <v>331</v>
      </c>
      <c r="P109">
        <f t="shared" si="38"/>
        <v>108</v>
      </c>
      <c r="Q109" s="5" t="str">
        <f t="shared" si="30"/>
        <v>E</v>
      </c>
      <c r="R109" s="6" t="str">
        <f t="shared" si="31"/>
        <v>G</v>
      </c>
      <c r="S109" s="6" t="str">
        <f t="shared" si="32"/>
        <v>B</v>
      </c>
      <c r="T109" s="6" t="str">
        <f t="shared" si="33"/>
        <v>C</v>
      </c>
      <c r="U109" s="6" t="str">
        <f t="shared" si="34"/>
        <v>H</v>
      </c>
      <c r="V109" s="6" t="str">
        <f t="shared" si="35"/>
        <v>F</v>
      </c>
      <c r="W109" s="6" t="str">
        <f t="shared" si="36"/>
        <v>I</v>
      </c>
      <c r="X109" s="6" t="str">
        <f t="shared" si="37"/>
        <v>K</v>
      </c>
      <c r="Y109" s="8">
        <f t="shared" si="39"/>
        <v>4</v>
      </c>
    </row>
    <row r="110" spans="1:25" x14ac:dyDescent="0.2">
      <c r="A110" t="s">
        <v>444</v>
      </c>
      <c r="F110">
        <v>109</v>
      </c>
      <c r="G110" t="s">
        <v>328</v>
      </c>
      <c r="H110" t="s">
        <v>329</v>
      </c>
      <c r="I110" t="s">
        <v>336</v>
      </c>
      <c r="J110" t="s">
        <v>338</v>
      </c>
      <c r="K110" t="s">
        <v>325</v>
      </c>
      <c r="L110" t="s">
        <v>327</v>
      </c>
      <c r="M110" t="s">
        <v>324</v>
      </c>
      <c r="N110" t="s">
        <v>326</v>
      </c>
      <c r="P110">
        <f t="shared" si="38"/>
        <v>109</v>
      </c>
      <c r="Q110" s="5" t="str">
        <f t="shared" si="30"/>
        <v>H</v>
      </c>
      <c r="R110" s="6" t="str">
        <f t="shared" si="31"/>
        <v>G</v>
      </c>
      <c r="S110" s="6" t="str">
        <f t="shared" si="32"/>
        <v>B</v>
      </c>
      <c r="T110" s="6" t="str">
        <f t="shared" si="33"/>
        <v>C</v>
      </c>
      <c r="U110" s="6" t="str">
        <f t="shared" si="34"/>
        <v>J</v>
      </c>
      <c r="V110" s="6" t="str">
        <f t="shared" si="35"/>
        <v>F</v>
      </c>
      <c r="W110" s="6" t="str">
        <f t="shared" si="36"/>
        <v>E</v>
      </c>
      <c r="X110" s="6" t="str">
        <f t="shared" si="37"/>
        <v>I</v>
      </c>
      <c r="Y110" s="8">
        <f t="shared" si="39"/>
        <v>5</v>
      </c>
    </row>
    <row r="111" spans="1:25" x14ac:dyDescent="0.2">
      <c r="A111" t="s">
        <v>445</v>
      </c>
      <c r="F111">
        <v>110</v>
      </c>
      <c r="G111" t="s">
        <v>328</v>
      </c>
      <c r="H111" t="s">
        <v>325</v>
      </c>
      <c r="I111" t="s">
        <v>336</v>
      </c>
      <c r="J111" t="s">
        <v>338</v>
      </c>
      <c r="K111" t="s">
        <v>326</v>
      </c>
      <c r="L111" t="s">
        <v>335</v>
      </c>
      <c r="M111" t="s">
        <v>330</v>
      </c>
      <c r="N111" t="s">
        <v>331</v>
      </c>
      <c r="P111">
        <f t="shared" si="38"/>
        <v>110</v>
      </c>
      <c r="Q111" s="5" t="str">
        <f t="shared" si="30"/>
        <v>H</v>
      </c>
      <c r="R111" s="6" t="str">
        <f t="shared" si="31"/>
        <v>J</v>
      </c>
      <c r="S111" s="6" t="str">
        <f t="shared" si="32"/>
        <v>B</v>
      </c>
      <c r="T111" s="6" t="str">
        <f t="shared" si="33"/>
        <v>C</v>
      </c>
      <c r="U111" s="6" t="str">
        <f t="shared" si="34"/>
        <v>I</v>
      </c>
      <c r="V111" s="6" t="str">
        <f t="shared" si="35"/>
        <v>D</v>
      </c>
      <c r="W111" s="6" t="str">
        <f t="shared" si="36"/>
        <v>L</v>
      </c>
      <c r="X111" s="6" t="str">
        <f t="shared" si="37"/>
        <v>K</v>
      </c>
      <c r="Y111" s="8">
        <f t="shared" si="39"/>
        <v>4</v>
      </c>
    </row>
    <row r="112" spans="1:25" x14ac:dyDescent="0.2">
      <c r="A112" t="s">
        <v>446</v>
      </c>
      <c r="F112">
        <v>111</v>
      </c>
      <c r="G112" t="s">
        <v>326</v>
      </c>
      <c r="H112" t="s">
        <v>329</v>
      </c>
      <c r="I112" t="s">
        <v>336</v>
      </c>
      <c r="J112" t="s">
        <v>338</v>
      </c>
      <c r="K112" t="s">
        <v>325</v>
      </c>
      <c r="L112" t="s">
        <v>335</v>
      </c>
      <c r="M112" t="s">
        <v>330</v>
      </c>
      <c r="N112" t="s">
        <v>331</v>
      </c>
      <c r="P112">
        <f t="shared" si="38"/>
        <v>111</v>
      </c>
      <c r="Q112" s="5" t="str">
        <f t="shared" si="30"/>
        <v>I</v>
      </c>
      <c r="R112" s="6" t="str">
        <f t="shared" si="31"/>
        <v>G</v>
      </c>
      <c r="S112" s="6" t="str">
        <f t="shared" si="32"/>
        <v>B</v>
      </c>
      <c r="T112" s="6" t="str">
        <f t="shared" si="33"/>
        <v>C</v>
      </c>
      <c r="U112" s="6" t="str">
        <f t="shared" si="34"/>
        <v>J</v>
      </c>
      <c r="V112" s="6" t="str">
        <f t="shared" si="35"/>
        <v>D</v>
      </c>
      <c r="W112" s="6" t="str">
        <f t="shared" si="36"/>
        <v>L</v>
      </c>
      <c r="X112" s="6" t="str">
        <f t="shared" si="37"/>
        <v>K</v>
      </c>
      <c r="Y112" s="8">
        <f t="shared" si="39"/>
        <v>5</v>
      </c>
    </row>
    <row r="113" spans="1:25" x14ac:dyDescent="0.2">
      <c r="A113" t="s">
        <v>447</v>
      </c>
      <c r="F113">
        <v>112</v>
      </c>
      <c r="G113" t="s">
        <v>328</v>
      </c>
      <c r="H113" t="s">
        <v>329</v>
      </c>
      <c r="I113" t="s">
        <v>336</v>
      </c>
      <c r="J113" t="s">
        <v>338</v>
      </c>
      <c r="K113" t="s">
        <v>325</v>
      </c>
      <c r="L113" t="s">
        <v>335</v>
      </c>
      <c r="M113" t="s">
        <v>330</v>
      </c>
      <c r="N113" t="s">
        <v>331</v>
      </c>
      <c r="P113">
        <f t="shared" si="38"/>
        <v>112</v>
      </c>
      <c r="Q113" s="5" t="str">
        <f t="shared" si="30"/>
        <v>H</v>
      </c>
      <c r="R113" s="6" t="str">
        <f t="shared" si="31"/>
        <v>G</v>
      </c>
      <c r="S113" s="6" t="str">
        <f t="shared" si="32"/>
        <v>B</v>
      </c>
      <c r="T113" s="6" t="str">
        <f t="shared" si="33"/>
        <v>C</v>
      </c>
      <c r="U113" s="6" t="str">
        <f t="shared" si="34"/>
        <v>J</v>
      </c>
      <c r="V113" s="6" t="str">
        <f t="shared" si="35"/>
        <v>D</v>
      </c>
      <c r="W113" s="6" t="str">
        <f t="shared" si="36"/>
        <v>L</v>
      </c>
      <c r="X113" s="6" t="str">
        <f t="shared" si="37"/>
        <v>K</v>
      </c>
      <c r="Y113" s="8">
        <f t="shared" si="39"/>
        <v>4</v>
      </c>
    </row>
    <row r="114" spans="1:25" x14ac:dyDescent="0.2">
      <c r="A114" t="s">
        <v>448</v>
      </c>
      <c r="F114">
        <v>113</v>
      </c>
      <c r="G114" t="s">
        <v>328</v>
      </c>
      <c r="H114" t="s">
        <v>329</v>
      </c>
      <c r="I114" t="s">
        <v>336</v>
      </c>
      <c r="J114" t="s">
        <v>338</v>
      </c>
      <c r="K114" t="s">
        <v>326</v>
      </c>
      <c r="L114" t="s">
        <v>335</v>
      </c>
      <c r="M114" t="s">
        <v>330</v>
      </c>
      <c r="N114" t="s">
        <v>331</v>
      </c>
      <c r="P114">
        <f t="shared" si="38"/>
        <v>113</v>
      </c>
      <c r="Q114" s="5" t="str">
        <f t="shared" si="30"/>
        <v>H</v>
      </c>
      <c r="R114" s="6" t="str">
        <f t="shared" si="31"/>
        <v>G</v>
      </c>
      <c r="S114" s="6" t="str">
        <f t="shared" si="32"/>
        <v>B</v>
      </c>
      <c r="T114" s="6" t="str">
        <f t="shared" si="33"/>
        <v>C</v>
      </c>
      <c r="U114" s="6" t="str">
        <f t="shared" si="34"/>
        <v>I</v>
      </c>
      <c r="V114" s="6" t="str">
        <f t="shared" si="35"/>
        <v>D</v>
      </c>
      <c r="W114" s="6" t="str">
        <f t="shared" si="36"/>
        <v>L</v>
      </c>
      <c r="X114" s="6" t="str">
        <f t="shared" si="37"/>
        <v>K</v>
      </c>
      <c r="Y114" s="8">
        <f t="shared" si="39"/>
        <v>4</v>
      </c>
    </row>
    <row r="115" spans="1:25" x14ac:dyDescent="0.2">
      <c r="A115" t="s">
        <v>449</v>
      </c>
      <c r="F115">
        <v>114</v>
      </c>
      <c r="G115" t="s">
        <v>328</v>
      </c>
      <c r="H115" t="s">
        <v>329</v>
      </c>
      <c r="I115" t="s">
        <v>336</v>
      </c>
      <c r="J115" t="s">
        <v>338</v>
      </c>
      <c r="K115" t="s">
        <v>325</v>
      </c>
      <c r="L115" t="s">
        <v>335</v>
      </c>
      <c r="M115" t="s">
        <v>330</v>
      </c>
      <c r="N115" t="s">
        <v>326</v>
      </c>
      <c r="P115">
        <f t="shared" si="38"/>
        <v>114</v>
      </c>
      <c r="Q115" s="5" t="str">
        <f t="shared" si="30"/>
        <v>H</v>
      </c>
      <c r="R115" s="6" t="str">
        <f t="shared" si="31"/>
        <v>G</v>
      </c>
      <c r="S115" s="6" t="str">
        <f t="shared" si="32"/>
        <v>B</v>
      </c>
      <c r="T115" s="6" t="str">
        <f t="shared" si="33"/>
        <v>C</v>
      </c>
      <c r="U115" s="6" t="str">
        <f t="shared" si="34"/>
        <v>J</v>
      </c>
      <c r="V115" s="6" t="str">
        <f t="shared" si="35"/>
        <v>D</v>
      </c>
      <c r="W115" s="6" t="str">
        <f t="shared" si="36"/>
        <v>L</v>
      </c>
      <c r="X115" s="6" t="str">
        <f t="shared" si="37"/>
        <v>I</v>
      </c>
      <c r="Y115" s="8">
        <f t="shared" si="39"/>
        <v>5</v>
      </c>
    </row>
    <row r="116" spans="1:25" x14ac:dyDescent="0.2">
      <c r="A116" t="s">
        <v>450</v>
      </c>
      <c r="F116">
        <v>115</v>
      </c>
      <c r="G116" t="s">
        <v>328</v>
      </c>
      <c r="H116" t="s">
        <v>329</v>
      </c>
      <c r="I116" t="s">
        <v>336</v>
      </c>
      <c r="J116" t="s">
        <v>338</v>
      </c>
      <c r="K116" t="s">
        <v>325</v>
      </c>
      <c r="L116" t="s">
        <v>335</v>
      </c>
      <c r="M116" t="s">
        <v>326</v>
      </c>
      <c r="N116" t="s">
        <v>331</v>
      </c>
      <c r="P116">
        <f t="shared" si="38"/>
        <v>115</v>
      </c>
      <c r="Q116" s="5" t="str">
        <f t="shared" si="30"/>
        <v>H</v>
      </c>
      <c r="R116" s="6" t="str">
        <f t="shared" si="31"/>
        <v>G</v>
      </c>
      <c r="S116" s="6" t="str">
        <f t="shared" si="32"/>
        <v>B</v>
      </c>
      <c r="T116" s="6" t="str">
        <f t="shared" si="33"/>
        <v>C</v>
      </c>
      <c r="U116" s="6" t="str">
        <f t="shared" si="34"/>
        <v>J</v>
      </c>
      <c r="V116" s="6" t="str">
        <f t="shared" si="35"/>
        <v>D</v>
      </c>
      <c r="W116" s="6" t="str">
        <f t="shared" si="36"/>
        <v>I</v>
      </c>
      <c r="X116" s="6" t="str">
        <f t="shared" si="37"/>
        <v>K</v>
      </c>
      <c r="Y116" s="8">
        <f t="shared" si="39"/>
        <v>4</v>
      </c>
    </row>
    <row r="117" spans="1:25" x14ac:dyDescent="0.2">
      <c r="A117" t="s">
        <v>451</v>
      </c>
      <c r="F117">
        <v>116</v>
      </c>
      <c r="G117" t="s">
        <v>338</v>
      </c>
      <c r="H117" t="s">
        <v>325</v>
      </c>
      <c r="I117" t="s">
        <v>336</v>
      </c>
      <c r="J117" t="s">
        <v>335</v>
      </c>
      <c r="K117" t="s">
        <v>326</v>
      </c>
      <c r="L117" t="s">
        <v>327</v>
      </c>
      <c r="M117" t="s">
        <v>330</v>
      </c>
      <c r="N117" t="s">
        <v>331</v>
      </c>
      <c r="P117">
        <f t="shared" si="38"/>
        <v>116</v>
      </c>
      <c r="Q117" s="5" t="str">
        <f t="shared" si="30"/>
        <v>C</v>
      </c>
      <c r="R117" s="6" t="str">
        <f t="shared" si="31"/>
        <v>J</v>
      </c>
      <c r="S117" s="6" t="str">
        <f t="shared" si="32"/>
        <v>B</v>
      </c>
      <c r="T117" s="6" t="str">
        <f t="shared" si="33"/>
        <v>D</v>
      </c>
      <c r="U117" s="6" t="str">
        <f t="shared" si="34"/>
        <v>I</v>
      </c>
      <c r="V117" s="6" t="str">
        <f t="shared" si="35"/>
        <v>F</v>
      </c>
      <c r="W117" s="6" t="str">
        <f t="shared" si="36"/>
        <v>L</v>
      </c>
      <c r="X117" s="6" t="str">
        <f t="shared" si="37"/>
        <v>K</v>
      </c>
      <c r="Y117" s="8">
        <f t="shared" si="39"/>
        <v>5</v>
      </c>
    </row>
    <row r="118" spans="1:25" x14ac:dyDescent="0.2">
      <c r="A118" t="s">
        <v>452</v>
      </c>
      <c r="F118">
        <v>117</v>
      </c>
      <c r="G118" t="s">
        <v>338</v>
      </c>
      <c r="H118" t="s">
        <v>325</v>
      </c>
      <c r="I118" t="s">
        <v>336</v>
      </c>
      <c r="J118" t="s">
        <v>335</v>
      </c>
      <c r="K118" t="s">
        <v>328</v>
      </c>
      <c r="L118" t="s">
        <v>327</v>
      </c>
      <c r="M118" t="s">
        <v>330</v>
      </c>
      <c r="N118" t="s">
        <v>331</v>
      </c>
      <c r="P118">
        <f t="shared" si="38"/>
        <v>117</v>
      </c>
      <c r="Q118" s="5" t="str">
        <f t="shared" si="30"/>
        <v>C</v>
      </c>
      <c r="R118" s="6" t="str">
        <f t="shared" si="31"/>
        <v>J</v>
      </c>
      <c r="S118" s="6" t="str">
        <f t="shared" si="32"/>
        <v>B</v>
      </c>
      <c r="T118" s="6" t="str">
        <f t="shared" si="33"/>
        <v>D</v>
      </c>
      <c r="U118" s="6" t="str">
        <f t="shared" si="34"/>
        <v>H</v>
      </c>
      <c r="V118" s="6" t="str">
        <f t="shared" si="35"/>
        <v>F</v>
      </c>
      <c r="W118" s="6" t="str">
        <f t="shared" si="36"/>
        <v>L</v>
      </c>
      <c r="X118" s="6" t="str">
        <f t="shared" si="37"/>
        <v>K</v>
      </c>
      <c r="Y118" s="8">
        <f t="shared" si="39"/>
        <v>4</v>
      </c>
    </row>
    <row r="119" spans="1:25" x14ac:dyDescent="0.2">
      <c r="A119" t="s">
        <v>453</v>
      </c>
      <c r="F119">
        <v>118</v>
      </c>
      <c r="G119" t="s">
        <v>338</v>
      </c>
      <c r="H119" t="s">
        <v>326</v>
      </c>
      <c r="I119" t="s">
        <v>336</v>
      </c>
      <c r="J119" t="s">
        <v>335</v>
      </c>
      <c r="K119" t="s">
        <v>328</v>
      </c>
      <c r="L119" t="s">
        <v>327</v>
      </c>
      <c r="M119" t="s">
        <v>330</v>
      </c>
      <c r="N119" t="s">
        <v>331</v>
      </c>
      <c r="P119">
        <f t="shared" si="38"/>
        <v>118</v>
      </c>
      <c r="Q119" s="5" t="str">
        <f t="shared" si="30"/>
        <v>C</v>
      </c>
      <c r="R119" s="6" t="str">
        <f t="shared" si="31"/>
        <v>I</v>
      </c>
      <c r="S119" s="6" t="str">
        <f t="shared" si="32"/>
        <v>B</v>
      </c>
      <c r="T119" s="6" t="str">
        <f t="shared" si="33"/>
        <v>D</v>
      </c>
      <c r="U119" s="6" t="str">
        <f t="shared" si="34"/>
        <v>H</v>
      </c>
      <c r="V119" s="6" t="str">
        <f t="shared" si="35"/>
        <v>F</v>
      </c>
      <c r="W119" s="6" t="str">
        <f t="shared" si="36"/>
        <v>L</v>
      </c>
      <c r="X119" s="6" t="str">
        <f t="shared" si="37"/>
        <v>K</v>
      </c>
      <c r="Y119" s="8">
        <f t="shared" si="39"/>
        <v>4</v>
      </c>
    </row>
    <row r="120" spans="1:25" x14ac:dyDescent="0.2">
      <c r="A120" t="s">
        <v>454</v>
      </c>
      <c r="F120">
        <v>119</v>
      </c>
      <c r="G120" t="s">
        <v>338</v>
      </c>
      <c r="H120" t="s">
        <v>325</v>
      </c>
      <c r="I120" t="s">
        <v>336</v>
      </c>
      <c r="J120" t="s">
        <v>335</v>
      </c>
      <c r="K120" t="s">
        <v>328</v>
      </c>
      <c r="L120" t="s">
        <v>327</v>
      </c>
      <c r="M120" t="s">
        <v>330</v>
      </c>
      <c r="N120" t="s">
        <v>326</v>
      </c>
      <c r="P120">
        <f t="shared" si="38"/>
        <v>119</v>
      </c>
      <c r="Q120" s="5" t="str">
        <f t="shared" si="30"/>
        <v>C</v>
      </c>
      <c r="R120" s="6" t="str">
        <f t="shared" si="31"/>
        <v>J</v>
      </c>
      <c r="S120" s="6" t="str">
        <f t="shared" si="32"/>
        <v>B</v>
      </c>
      <c r="T120" s="6" t="str">
        <f t="shared" si="33"/>
        <v>D</v>
      </c>
      <c r="U120" s="6" t="str">
        <f t="shared" si="34"/>
        <v>H</v>
      </c>
      <c r="V120" s="6" t="str">
        <f t="shared" si="35"/>
        <v>F</v>
      </c>
      <c r="W120" s="6" t="str">
        <f t="shared" si="36"/>
        <v>L</v>
      </c>
      <c r="X120" s="6" t="str">
        <f t="shared" si="37"/>
        <v>I</v>
      </c>
      <c r="Y120" s="8">
        <f t="shared" si="39"/>
        <v>5</v>
      </c>
    </row>
    <row r="121" spans="1:25" x14ac:dyDescent="0.2">
      <c r="A121" t="s">
        <v>455</v>
      </c>
      <c r="F121">
        <v>120</v>
      </c>
      <c r="G121" t="s">
        <v>338</v>
      </c>
      <c r="H121" t="s">
        <v>325</v>
      </c>
      <c r="I121" t="s">
        <v>336</v>
      </c>
      <c r="J121" t="s">
        <v>335</v>
      </c>
      <c r="K121" t="s">
        <v>328</v>
      </c>
      <c r="L121" t="s">
        <v>327</v>
      </c>
      <c r="M121" t="s">
        <v>326</v>
      </c>
      <c r="N121" t="s">
        <v>331</v>
      </c>
      <c r="P121">
        <f t="shared" si="38"/>
        <v>120</v>
      </c>
      <c r="Q121" s="5" t="str">
        <f t="shared" si="30"/>
        <v>C</v>
      </c>
      <c r="R121" s="6" t="str">
        <f t="shared" si="31"/>
        <v>J</v>
      </c>
      <c r="S121" s="6" t="str">
        <f t="shared" si="32"/>
        <v>B</v>
      </c>
      <c r="T121" s="6" t="str">
        <f t="shared" si="33"/>
        <v>D</v>
      </c>
      <c r="U121" s="6" t="str">
        <f t="shared" si="34"/>
        <v>H</v>
      </c>
      <c r="V121" s="6" t="str">
        <f t="shared" si="35"/>
        <v>F</v>
      </c>
      <c r="W121" s="6" t="str">
        <f t="shared" si="36"/>
        <v>I</v>
      </c>
      <c r="X121" s="6" t="str">
        <f t="shared" si="37"/>
        <v>K</v>
      </c>
      <c r="Y121" s="8">
        <f t="shared" si="39"/>
        <v>4</v>
      </c>
    </row>
    <row r="122" spans="1:25" x14ac:dyDescent="0.2">
      <c r="A122" t="s">
        <v>456</v>
      </c>
      <c r="F122">
        <v>121</v>
      </c>
      <c r="G122" t="s">
        <v>338</v>
      </c>
      <c r="H122" t="s">
        <v>329</v>
      </c>
      <c r="I122" t="s">
        <v>336</v>
      </c>
      <c r="J122" t="s">
        <v>335</v>
      </c>
      <c r="K122" t="s">
        <v>325</v>
      </c>
      <c r="L122" t="s">
        <v>327</v>
      </c>
      <c r="M122" t="s">
        <v>330</v>
      </c>
      <c r="N122" t="s">
        <v>331</v>
      </c>
      <c r="P122">
        <f t="shared" si="38"/>
        <v>121</v>
      </c>
      <c r="Q122" s="5" t="str">
        <f t="shared" si="30"/>
        <v>C</v>
      </c>
      <c r="R122" s="6" t="str">
        <f t="shared" si="31"/>
        <v>G</v>
      </c>
      <c r="S122" s="6" t="str">
        <f t="shared" si="32"/>
        <v>B</v>
      </c>
      <c r="T122" s="6" t="str">
        <f t="shared" si="33"/>
        <v>D</v>
      </c>
      <c r="U122" s="6" t="str">
        <f t="shared" si="34"/>
        <v>J</v>
      </c>
      <c r="V122" s="6" t="str">
        <f t="shared" si="35"/>
        <v>F</v>
      </c>
      <c r="W122" s="6" t="str">
        <f t="shared" si="36"/>
        <v>L</v>
      </c>
      <c r="X122" s="6" t="str">
        <f t="shared" si="37"/>
        <v>K</v>
      </c>
      <c r="Y122" s="8">
        <f t="shared" si="39"/>
        <v>5</v>
      </c>
    </row>
    <row r="123" spans="1:25" x14ac:dyDescent="0.2">
      <c r="A123" t="s">
        <v>457</v>
      </c>
      <c r="F123">
        <v>122</v>
      </c>
      <c r="G123" t="s">
        <v>338</v>
      </c>
      <c r="H123" t="s">
        <v>329</v>
      </c>
      <c r="I123" t="s">
        <v>336</v>
      </c>
      <c r="J123" t="s">
        <v>335</v>
      </c>
      <c r="K123" t="s">
        <v>326</v>
      </c>
      <c r="L123" t="s">
        <v>327</v>
      </c>
      <c r="M123" t="s">
        <v>330</v>
      </c>
      <c r="N123" t="s">
        <v>331</v>
      </c>
      <c r="P123">
        <f t="shared" si="38"/>
        <v>122</v>
      </c>
      <c r="Q123" s="5" t="str">
        <f t="shared" si="30"/>
        <v>C</v>
      </c>
      <c r="R123" s="6" t="str">
        <f t="shared" si="31"/>
        <v>G</v>
      </c>
      <c r="S123" s="6" t="str">
        <f t="shared" si="32"/>
        <v>B</v>
      </c>
      <c r="T123" s="6" t="str">
        <f t="shared" si="33"/>
        <v>D</v>
      </c>
      <c r="U123" s="6" t="str">
        <f t="shared" si="34"/>
        <v>I</v>
      </c>
      <c r="V123" s="6" t="str">
        <f t="shared" si="35"/>
        <v>F</v>
      </c>
      <c r="W123" s="6" t="str">
        <f t="shared" si="36"/>
        <v>L</v>
      </c>
      <c r="X123" s="6" t="str">
        <f t="shared" si="37"/>
        <v>K</v>
      </c>
      <c r="Y123" s="8">
        <f t="shared" si="39"/>
        <v>5</v>
      </c>
    </row>
    <row r="124" spans="1:25" x14ac:dyDescent="0.2">
      <c r="A124" t="s">
        <v>458</v>
      </c>
      <c r="F124">
        <v>123</v>
      </c>
      <c r="G124" t="s">
        <v>338</v>
      </c>
      <c r="H124" t="s">
        <v>329</v>
      </c>
      <c r="I124" t="s">
        <v>336</v>
      </c>
      <c r="J124" t="s">
        <v>335</v>
      </c>
      <c r="K124" t="s">
        <v>325</v>
      </c>
      <c r="L124" t="s">
        <v>327</v>
      </c>
      <c r="M124" t="s">
        <v>330</v>
      </c>
      <c r="N124" t="s">
        <v>326</v>
      </c>
      <c r="P124">
        <f t="shared" si="38"/>
        <v>123</v>
      </c>
      <c r="Q124" s="5" t="str">
        <f t="shared" si="30"/>
        <v>C</v>
      </c>
      <c r="R124" s="6" t="str">
        <f t="shared" si="31"/>
        <v>G</v>
      </c>
      <c r="S124" s="6" t="str">
        <f t="shared" si="32"/>
        <v>B</v>
      </c>
      <c r="T124" s="6" t="str">
        <f t="shared" si="33"/>
        <v>D</v>
      </c>
      <c r="U124" s="6" t="str">
        <f t="shared" si="34"/>
        <v>J</v>
      </c>
      <c r="V124" s="6" t="str">
        <f t="shared" si="35"/>
        <v>F</v>
      </c>
      <c r="W124" s="6" t="str">
        <f t="shared" si="36"/>
        <v>L</v>
      </c>
      <c r="X124" s="6" t="str">
        <f t="shared" si="37"/>
        <v>I</v>
      </c>
      <c r="Y124" s="8">
        <f t="shared" si="39"/>
        <v>6</v>
      </c>
    </row>
    <row r="125" spans="1:25" x14ac:dyDescent="0.2">
      <c r="A125" t="s">
        <v>459</v>
      </c>
      <c r="F125">
        <v>124</v>
      </c>
      <c r="G125" t="s">
        <v>338</v>
      </c>
      <c r="H125" t="s">
        <v>329</v>
      </c>
      <c r="I125" t="s">
        <v>336</v>
      </c>
      <c r="J125" t="s">
        <v>335</v>
      </c>
      <c r="K125" t="s">
        <v>325</v>
      </c>
      <c r="L125" t="s">
        <v>327</v>
      </c>
      <c r="M125" t="s">
        <v>326</v>
      </c>
      <c r="N125" t="s">
        <v>331</v>
      </c>
      <c r="P125">
        <f t="shared" si="38"/>
        <v>124</v>
      </c>
      <c r="Q125" s="5" t="str">
        <f t="shared" si="30"/>
        <v>C</v>
      </c>
      <c r="R125" s="6" t="str">
        <f t="shared" si="31"/>
        <v>G</v>
      </c>
      <c r="S125" s="6" t="str">
        <f t="shared" si="32"/>
        <v>B</v>
      </c>
      <c r="T125" s="6" t="str">
        <f t="shared" si="33"/>
        <v>D</v>
      </c>
      <c r="U125" s="6" t="str">
        <f t="shared" si="34"/>
        <v>J</v>
      </c>
      <c r="V125" s="6" t="str">
        <f t="shared" si="35"/>
        <v>F</v>
      </c>
      <c r="W125" s="6" t="str">
        <f t="shared" si="36"/>
        <v>I</v>
      </c>
      <c r="X125" s="6" t="str">
        <f t="shared" si="37"/>
        <v>K</v>
      </c>
      <c r="Y125" s="8">
        <f t="shared" si="39"/>
        <v>5</v>
      </c>
    </row>
    <row r="126" spans="1:25" x14ac:dyDescent="0.2">
      <c r="A126" t="s">
        <v>460</v>
      </c>
      <c r="F126">
        <v>125</v>
      </c>
      <c r="G126" t="s">
        <v>338</v>
      </c>
      <c r="H126" t="s">
        <v>329</v>
      </c>
      <c r="I126" t="s">
        <v>336</v>
      </c>
      <c r="J126" t="s">
        <v>335</v>
      </c>
      <c r="K126" t="s">
        <v>328</v>
      </c>
      <c r="L126" t="s">
        <v>327</v>
      </c>
      <c r="M126" t="s">
        <v>330</v>
      </c>
      <c r="N126" t="s">
        <v>331</v>
      </c>
      <c r="P126">
        <f t="shared" si="38"/>
        <v>125</v>
      </c>
      <c r="Q126" s="5" t="str">
        <f t="shared" si="30"/>
        <v>C</v>
      </c>
      <c r="R126" s="6" t="str">
        <f t="shared" si="31"/>
        <v>G</v>
      </c>
      <c r="S126" s="6" t="str">
        <f t="shared" si="32"/>
        <v>B</v>
      </c>
      <c r="T126" s="6" t="str">
        <f t="shared" si="33"/>
        <v>D</v>
      </c>
      <c r="U126" s="6" t="str">
        <f t="shared" si="34"/>
        <v>H</v>
      </c>
      <c r="V126" s="6" t="str">
        <f t="shared" si="35"/>
        <v>F</v>
      </c>
      <c r="W126" s="6" t="str">
        <f t="shared" si="36"/>
        <v>L</v>
      </c>
      <c r="X126" s="6" t="str">
        <f t="shared" si="37"/>
        <v>K</v>
      </c>
      <c r="Y126" s="8">
        <f t="shared" si="39"/>
        <v>4</v>
      </c>
    </row>
    <row r="127" spans="1:25" x14ac:dyDescent="0.2">
      <c r="A127" t="s">
        <v>461</v>
      </c>
      <c r="F127">
        <v>126</v>
      </c>
      <c r="G127" t="s">
        <v>338</v>
      </c>
      <c r="H127" t="s">
        <v>329</v>
      </c>
      <c r="I127" t="s">
        <v>336</v>
      </c>
      <c r="J127" t="s">
        <v>335</v>
      </c>
      <c r="K127" t="s">
        <v>328</v>
      </c>
      <c r="L127" t="s">
        <v>327</v>
      </c>
      <c r="M127" t="s">
        <v>330</v>
      </c>
      <c r="N127" t="s">
        <v>325</v>
      </c>
      <c r="P127">
        <f t="shared" si="38"/>
        <v>126</v>
      </c>
      <c r="Q127" s="5" t="str">
        <f t="shared" si="30"/>
        <v>C</v>
      </c>
      <c r="R127" s="6" t="str">
        <f t="shared" si="31"/>
        <v>G</v>
      </c>
      <c r="S127" s="6" t="str">
        <f t="shared" si="32"/>
        <v>B</v>
      </c>
      <c r="T127" s="6" t="str">
        <f t="shared" si="33"/>
        <v>D</v>
      </c>
      <c r="U127" s="6" t="str">
        <f t="shared" si="34"/>
        <v>H</v>
      </c>
      <c r="V127" s="6" t="str">
        <f t="shared" si="35"/>
        <v>F</v>
      </c>
      <c r="W127" s="6" t="str">
        <f t="shared" si="36"/>
        <v>L</v>
      </c>
      <c r="X127" s="6" t="str">
        <f t="shared" si="37"/>
        <v>J</v>
      </c>
      <c r="Y127" s="8">
        <f t="shared" si="39"/>
        <v>5</v>
      </c>
    </row>
    <row r="128" spans="1:25" x14ac:dyDescent="0.2">
      <c r="A128" t="s">
        <v>462</v>
      </c>
      <c r="F128">
        <v>127</v>
      </c>
      <c r="G128" t="s">
        <v>328</v>
      </c>
      <c r="H128" t="s">
        <v>329</v>
      </c>
      <c r="I128" t="s">
        <v>336</v>
      </c>
      <c r="J128" t="s">
        <v>338</v>
      </c>
      <c r="K128" t="s">
        <v>325</v>
      </c>
      <c r="L128" t="s">
        <v>327</v>
      </c>
      <c r="M128" t="s">
        <v>335</v>
      </c>
      <c r="N128" t="s">
        <v>331</v>
      </c>
      <c r="P128">
        <f t="shared" si="38"/>
        <v>127</v>
      </c>
      <c r="Q128" s="5" t="str">
        <f t="shared" si="30"/>
        <v>H</v>
      </c>
      <c r="R128" s="6" t="str">
        <f t="shared" si="31"/>
        <v>G</v>
      </c>
      <c r="S128" s="6" t="str">
        <f t="shared" si="32"/>
        <v>B</v>
      </c>
      <c r="T128" s="6" t="str">
        <f t="shared" si="33"/>
        <v>C</v>
      </c>
      <c r="U128" s="6" t="str">
        <f t="shared" si="34"/>
        <v>J</v>
      </c>
      <c r="V128" s="6" t="str">
        <f t="shared" si="35"/>
        <v>F</v>
      </c>
      <c r="W128" s="6" t="str">
        <f t="shared" si="36"/>
        <v>D</v>
      </c>
      <c r="X128" s="6" t="str">
        <f t="shared" si="37"/>
        <v>K</v>
      </c>
      <c r="Y128" s="8">
        <f t="shared" si="39"/>
        <v>4</v>
      </c>
    </row>
    <row r="129" spans="1:25" x14ac:dyDescent="0.2">
      <c r="A129" t="s">
        <v>463</v>
      </c>
      <c r="F129">
        <v>128</v>
      </c>
      <c r="G129" t="s">
        <v>338</v>
      </c>
      <c r="H129" t="s">
        <v>329</v>
      </c>
      <c r="I129" t="s">
        <v>336</v>
      </c>
      <c r="J129" t="s">
        <v>335</v>
      </c>
      <c r="K129" t="s">
        <v>328</v>
      </c>
      <c r="L129" t="s">
        <v>327</v>
      </c>
      <c r="M129" t="s">
        <v>330</v>
      </c>
      <c r="N129" t="s">
        <v>326</v>
      </c>
      <c r="P129">
        <f t="shared" si="38"/>
        <v>128</v>
      </c>
      <c r="Q129" s="5" t="str">
        <f t="shared" si="30"/>
        <v>C</v>
      </c>
      <c r="R129" s="6" t="str">
        <f t="shared" si="31"/>
        <v>G</v>
      </c>
      <c r="S129" s="6" t="str">
        <f t="shared" si="32"/>
        <v>B</v>
      </c>
      <c r="T129" s="6" t="str">
        <f t="shared" si="33"/>
        <v>D</v>
      </c>
      <c r="U129" s="6" t="str">
        <f t="shared" si="34"/>
        <v>H</v>
      </c>
      <c r="V129" s="6" t="str">
        <f t="shared" si="35"/>
        <v>F</v>
      </c>
      <c r="W129" s="6" t="str">
        <f t="shared" si="36"/>
        <v>L</v>
      </c>
      <c r="X129" s="6" t="str">
        <f t="shared" si="37"/>
        <v>I</v>
      </c>
      <c r="Y129" s="8">
        <f t="shared" si="39"/>
        <v>5</v>
      </c>
    </row>
    <row r="130" spans="1:25" x14ac:dyDescent="0.2">
      <c r="A130" t="s">
        <v>464</v>
      </c>
      <c r="F130">
        <v>129</v>
      </c>
      <c r="G130" t="s">
        <v>338</v>
      </c>
      <c r="H130" t="s">
        <v>329</v>
      </c>
      <c r="I130" t="s">
        <v>336</v>
      </c>
      <c r="J130" t="s">
        <v>335</v>
      </c>
      <c r="K130" t="s">
        <v>328</v>
      </c>
      <c r="L130" t="s">
        <v>327</v>
      </c>
      <c r="M130" t="s">
        <v>326</v>
      </c>
      <c r="N130" t="s">
        <v>331</v>
      </c>
      <c r="P130">
        <f t="shared" si="38"/>
        <v>129</v>
      </c>
      <c r="Q130" s="5" t="str">
        <f t="shared" ref="Q130:Q193" si="40">+RIGHT(G130,1)</f>
        <v>C</v>
      </c>
      <c r="R130" s="6" t="str">
        <f t="shared" ref="R130:R193" si="41">+RIGHT(H130,1)</f>
        <v>G</v>
      </c>
      <c r="S130" s="6" t="str">
        <f t="shared" ref="S130:S193" si="42">+RIGHT(I130,1)</f>
        <v>B</v>
      </c>
      <c r="T130" s="6" t="str">
        <f t="shared" ref="T130:T193" si="43">+RIGHT(J130,1)</f>
        <v>D</v>
      </c>
      <c r="U130" s="6" t="str">
        <f t="shared" ref="U130:U193" si="44">+RIGHT(K130,1)</f>
        <v>H</v>
      </c>
      <c r="V130" s="6" t="str">
        <f t="shared" ref="V130:V193" si="45">+RIGHT(L130,1)</f>
        <v>F</v>
      </c>
      <c r="W130" s="6" t="str">
        <f t="shared" ref="W130:W193" si="46">+RIGHT(M130,1)</f>
        <v>I</v>
      </c>
      <c r="X130" s="6" t="str">
        <f t="shared" ref="X130:X193" si="47">+RIGHT(N130,1)</f>
        <v>K</v>
      </c>
      <c r="Y130" s="8">
        <f t="shared" si="39"/>
        <v>4</v>
      </c>
    </row>
    <row r="131" spans="1:25" x14ac:dyDescent="0.2">
      <c r="A131" t="s">
        <v>465</v>
      </c>
      <c r="F131">
        <v>130</v>
      </c>
      <c r="G131" t="s">
        <v>328</v>
      </c>
      <c r="H131" t="s">
        <v>329</v>
      </c>
      <c r="I131" t="s">
        <v>336</v>
      </c>
      <c r="J131" t="s">
        <v>338</v>
      </c>
      <c r="K131" t="s">
        <v>325</v>
      </c>
      <c r="L131" t="s">
        <v>327</v>
      </c>
      <c r="M131" t="s">
        <v>335</v>
      </c>
      <c r="N131" t="s">
        <v>326</v>
      </c>
      <c r="P131">
        <f t="shared" ref="P131:P194" si="48">+F131</f>
        <v>130</v>
      </c>
      <c r="Q131" s="5" t="str">
        <f t="shared" si="40"/>
        <v>H</v>
      </c>
      <c r="R131" s="6" t="str">
        <f t="shared" si="41"/>
        <v>G</v>
      </c>
      <c r="S131" s="6" t="str">
        <f t="shared" si="42"/>
        <v>B</v>
      </c>
      <c r="T131" s="6" t="str">
        <f t="shared" si="43"/>
        <v>C</v>
      </c>
      <c r="U131" s="6" t="str">
        <f t="shared" si="44"/>
        <v>J</v>
      </c>
      <c r="V131" s="6" t="str">
        <f t="shared" si="45"/>
        <v>F</v>
      </c>
      <c r="W131" s="6" t="str">
        <f t="shared" si="46"/>
        <v>D</v>
      </c>
      <c r="X131" s="6" t="str">
        <f t="shared" si="47"/>
        <v>I</v>
      </c>
      <c r="Y131" s="8">
        <f t="shared" ref="Y131:Y194" si="49">+COUNTIF($AA$2:$AA$9,Q131)+COUNTIF($AA$2:$AA$9,R131)+COUNTIF($AA$2:$AA$9,S131)+COUNTIF($AA$2:$AA$9,T131)+COUNTIF($AA$2:$AA$9,U131)+COUNTIF($AA$2:$AA$9,V131)+COUNTIF($AA$2:$AA$9,W131)+COUNTIF($AA$2:$AA$9,X131)</f>
        <v>5</v>
      </c>
    </row>
    <row r="132" spans="1:25" x14ac:dyDescent="0.2">
      <c r="A132" t="s">
        <v>466</v>
      </c>
      <c r="F132">
        <v>131</v>
      </c>
      <c r="G132" t="s">
        <v>324</v>
      </c>
      <c r="H132" t="s">
        <v>325</v>
      </c>
      <c r="I132" t="s">
        <v>336</v>
      </c>
      <c r="J132" t="s">
        <v>338</v>
      </c>
      <c r="K132" t="s">
        <v>326</v>
      </c>
      <c r="L132" t="s">
        <v>335</v>
      </c>
      <c r="M132" t="s">
        <v>330</v>
      </c>
      <c r="N132" t="s">
        <v>331</v>
      </c>
      <c r="P132">
        <f t="shared" si="48"/>
        <v>131</v>
      </c>
      <c r="Q132" s="5" t="str">
        <f t="shared" si="40"/>
        <v>E</v>
      </c>
      <c r="R132" s="6" t="str">
        <f t="shared" si="41"/>
        <v>J</v>
      </c>
      <c r="S132" s="6" t="str">
        <f t="shared" si="42"/>
        <v>B</v>
      </c>
      <c r="T132" s="6" t="str">
        <f t="shared" si="43"/>
        <v>C</v>
      </c>
      <c r="U132" s="6" t="str">
        <f t="shared" si="44"/>
        <v>I</v>
      </c>
      <c r="V132" s="6" t="str">
        <f t="shared" si="45"/>
        <v>D</v>
      </c>
      <c r="W132" s="6" t="str">
        <f t="shared" si="46"/>
        <v>L</v>
      </c>
      <c r="X132" s="6" t="str">
        <f t="shared" si="47"/>
        <v>K</v>
      </c>
      <c r="Y132" s="8">
        <f t="shared" si="49"/>
        <v>5</v>
      </c>
    </row>
    <row r="133" spans="1:25" x14ac:dyDescent="0.2">
      <c r="A133" t="s">
        <v>467</v>
      </c>
      <c r="F133">
        <v>132</v>
      </c>
      <c r="G133" t="s">
        <v>324</v>
      </c>
      <c r="H133" t="s">
        <v>325</v>
      </c>
      <c r="I133" t="s">
        <v>336</v>
      </c>
      <c r="J133" t="s">
        <v>338</v>
      </c>
      <c r="K133" t="s">
        <v>328</v>
      </c>
      <c r="L133" t="s">
        <v>335</v>
      </c>
      <c r="M133" t="s">
        <v>330</v>
      </c>
      <c r="N133" t="s">
        <v>331</v>
      </c>
      <c r="P133">
        <f t="shared" si="48"/>
        <v>132</v>
      </c>
      <c r="Q133" s="5" t="str">
        <f t="shared" si="40"/>
        <v>E</v>
      </c>
      <c r="R133" s="6" t="str">
        <f t="shared" si="41"/>
        <v>J</v>
      </c>
      <c r="S133" s="6" t="str">
        <f t="shared" si="42"/>
        <v>B</v>
      </c>
      <c r="T133" s="6" t="str">
        <f t="shared" si="43"/>
        <v>C</v>
      </c>
      <c r="U133" s="6" t="str">
        <f t="shared" si="44"/>
        <v>H</v>
      </c>
      <c r="V133" s="6" t="str">
        <f t="shared" si="45"/>
        <v>D</v>
      </c>
      <c r="W133" s="6" t="str">
        <f t="shared" si="46"/>
        <v>L</v>
      </c>
      <c r="X133" s="6" t="str">
        <f t="shared" si="47"/>
        <v>K</v>
      </c>
      <c r="Y133" s="8">
        <f t="shared" si="49"/>
        <v>4</v>
      </c>
    </row>
    <row r="134" spans="1:25" x14ac:dyDescent="0.2">
      <c r="A134" t="s">
        <v>468</v>
      </c>
      <c r="F134">
        <v>133</v>
      </c>
      <c r="G134" t="s">
        <v>324</v>
      </c>
      <c r="H134" t="s">
        <v>326</v>
      </c>
      <c r="I134" t="s">
        <v>336</v>
      </c>
      <c r="J134" t="s">
        <v>338</v>
      </c>
      <c r="K134" t="s">
        <v>328</v>
      </c>
      <c r="L134" t="s">
        <v>335</v>
      </c>
      <c r="M134" t="s">
        <v>330</v>
      </c>
      <c r="N134" t="s">
        <v>331</v>
      </c>
      <c r="P134">
        <f t="shared" si="48"/>
        <v>133</v>
      </c>
      <c r="Q134" s="5" t="str">
        <f t="shared" si="40"/>
        <v>E</v>
      </c>
      <c r="R134" s="6" t="str">
        <f t="shared" si="41"/>
        <v>I</v>
      </c>
      <c r="S134" s="6" t="str">
        <f t="shared" si="42"/>
        <v>B</v>
      </c>
      <c r="T134" s="6" t="str">
        <f t="shared" si="43"/>
        <v>C</v>
      </c>
      <c r="U134" s="6" t="str">
        <f t="shared" si="44"/>
        <v>H</v>
      </c>
      <c r="V134" s="6" t="str">
        <f t="shared" si="45"/>
        <v>D</v>
      </c>
      <c r="W134" s="6" t="str">
        <f t="shared" si="46"/>
        <v>L</v>
      </c>
      <c r="X134" s="6" t="str">
        <f t="shared" si="47"/>
        <v>K</v>
      </c>
      <c r="Y134" s="8">
        <f t="shared" si="49"/>
        <v>4</v>
      </c>
    </row>
    <row r="135" spans="1:25" x14ac:dyDescent="0.2">
      <c r="A135" t="s">
        <v>469</v>
      </c>
      <c r="F135">
        <v>134</v>
      </c>
      <c r="G135" t="s">
        <v>324</v>
      </c>
      <c r="H135" t="s">
        <v>325</v>
      </c>
      <c r="I135" t="s">
        <v>336</v>
      </c>
      <c r="J135" t="s">
        <v>338</v>
      </c>
      <c r="K135" t="s">
        <v>328</v>
      </c>
      <c r="L135" t="s">
        <v>335</v>
      </c>
      <c r="M135" t="s">
        <v>330</v>
      </c>
      <c r="N135" t="s">
        <v>326</v>
      </c>
      <c r="P135">
        <f t="shared" si="48"/>
        <v>134</v>
      </c>
      <c r="Q135" s="5" t="str">
        <f t="shared" si="40"/>
        <v>E</v>
      </c>
      <c r="R135" s="6" t="str">
        <f t="shared" si="41"/>
        <v>J</v>
      </c>
      <c r="S135" s="6" t="str">
        <f t="shared" si="42"/>
        <v>B</v>
      </c>
      <c r="T135" s="6" t="str">
        <f t="shared" si="43"/>
        <v>C</v>
      </c>
      <c r="U135" s="6" t="str">
        <f t="shared" si="44"/>
        <v>H</v>
      </c>
      <c r="V135" s="6" t="str">
        <f t="shared" si="45"/>
        <v>D</v>
      </c>
      <c r="W135" s="6" t="str">
        <f t="shared" si="46"/>
        <v>L</v>
      </c>
      <c r="X135" s="6" t="str">
        <f t="shared" si="47"/>
        <v>I</v>
      </c>
      <c r="Y135" s="8">
        <f t="shared" si="49"/>
        <v>5</v>
      </c>
    </row>
    <row r="136" spans="1:25" x14ac:dyDescent="0.2">
      <c r="A136" t="s">
        <v>470</v>
      </c>
      <c r="F136">
        <v>135</v>
      </c>
      <c r="G136" t="s">
        <v>324</v>
      </c>
      <c r="H136" t="s">
        <v>325</v>
      </c>
      <c r="I136" t="s">
        <v>336</v>
      </c>
      <c r="J136" t="s">
        <v>338</v>
      </c>
      <c r="K136" t="s">
        <v>328</v>
      </c>
      <c r="L136" t="s">
        <v>335</v>
      </c>
      <c r="M136" t="s">
        <v>326</v>
      </c>
      <c r="N136" t="s">
        <v>331</v>
      </c>
      <c r="P136">
        <f t="shared" si="48"/>
        <v>135</v>
      </c>
      <c r="Q136" s="5" t="str">
        <f t="shared" si="40"/>
        <v>E</v>
      </c>
      <c r="R136" s="6" t="str">
        <f t="shared" si="41"/>
        <v>J</v>
      </c>
      <c r="S136" s="6" t="str">
        <f t="shared" si="42"/>
        <v>B</v>
      </c>
      <c r="T136" s="6" t="str">
        <f t="shared" si="43"/>
        <v>C</v>
      </c>
      <c r="U136" s="6" t="str">
        <f t="shared" si="44"/>
        <v>H</v>
      </c>
      <c r="V136" s="6" t="str">
        <f t="shared" si="45"/>
        <v>D</v>
      </c>
      <c r="W136" s="6" t="str">
        <f t="shared" si="46"/>
        <v>I</v>
      </c>
      <c r="X136" s="6" t="str">
        <f t="shared" si="47"/>
        <v>K</v>
      </c>
      <c r="Y136" s="8">
        <f t="shared" si="49"/>
        <v>4</v>
      </c>
    </row>
    <row r="137" spans="1:25" x14ac:dyDescent="0.2">
      <c r="A137" t="s">
        <v>471</v>
      </c>
      <c r="F137">
        <v>136</v>
      </c>
      <c r="G137" t="s">
        <v>324</v>
      </c>
      <c r="H137" t="s">
        <v>329</v>
      </c>
      <c r="I137" t="s">
        <v>336</v>
      </c>
      <c r="J137" t="s">
        <v>338</v>
      </c>
      <c r="K137" t="s">
        <v>325</v>
      </c>
      <c r="L137" t="s">
        <v>335</v>
      </c>
      <c r="M137" t="s">
        <v>330</v>
      </c>
      <c r="N137" t="s">
        <v>331</v>
      </c>
      <c r="P137">
        <f t="shared" si="48"/>
        <v>136</v>
      </c>
      <c r="Q137" s="5" t="str">
        <f t="shared" si="40"/>
        <v>E</v>
      </c>
      <c r="R137" s="6" t="str">
        <f t="shared" si="41"/>
        <v>G</v>
      </c>
      <c r="S137" s="6" t="str">
        <f t="shared" si="42"/>
        <v>B</v>
      </c>
      <c r="T137" s="6" t="str">
        <f t="shared" si="43"/>
        <v>C</v>
      </c>
      <c r="U137" s="6" t="str">
        <f t="shared" si="44"/>
        <v>J</v>
      </c>
      <c r="V137" s="6" t="str">
        <f t="shared" si="45"/>
        <v>D</v>
      </c>
      <c r="W137" s="6" t="str">
        <f t="shared" si="46"/>
        <v>L</v>
      </c>
      <c r="X137" s="6" t="str">
        <f t="shared" si="47"/>
        <v>K</v>
      </c>
      <c r="Y137" s="8">
        <f t="shared" si="49"/>
        <v>5</v>
      </c>
    </row>
    <row r="138" spans="1:25" x14ac:dyDescent="0.2">
      <c r="A138" t="s">
        <v>472</v>
      </c>
      <c r="F138">
        <v>137</v>
      </c>
      <c r="G138" t="s">
        <v>324</v>
      </c>
      <c r="H138" t="s">
        <v>329</v>
      </c>
      <c r="I138" t="s">
        <v>336</v>
      </c>
      <c r="J138" t="s">
        <v>338</v>
      </c>
      <c r="K138" t="s">
        <v>326</v>
      </c>
      <c r="L138" t="s">
        <v>335</v>
      </c>
      <c r="M138" t="s">
        <v>330</v>
      </c>
      <c r="N138" t="s">
        <v>331</v>
      </c>
      <c r="P138">
        <f t="shared" si="48"/>
        <v>137</v>
      </c>
      <c r="Q138" s="5" t="str">
        <f t="shared" si="40"/>
        <v>E</v>
      </c>
      <c r="R138" s="6" t="str">
        <f t="shared" si="41"/>
        <v>G</v>
      </c>
      <c r="S138" s="6" t="str">
        <f t="shared" si="42"/>
        <v>B</v>
      </c>
      <c r="T138" s="6" t="str">
        <f t="shared" si="43"/>
        <v>C</v>
      </c>
      <c r="U138" s="6" t="str">
        <f t="shared" si="44"/>
        <v>I</v>
      </c>
      <c r="V138" s="6" t="str">
        <f t="shared" si="45"/>
        <v>D</v>
      </c>
      <c r="W138" s="6" t="str">
        <f t="shared" si="46"/>
        <v>L</v>
      </c>
      <c r="X138" s="6" t="str">
        <f t="shared" si="47"/>
        <v>K</v>
      </c>
      <c r="Y138" s="8">
        <f t="shared" si="49"/>
        <v>5</v>
      </c>
    </row>
    <row r="139" spans="1:25" x14ac:dyDescent="0.2">
      <c r="A139" t="s">
        <v>473</v>
      </c>
      <c r="F139">
        <v>138</v>
      </c>
      <c r="G139" t="s">
        <v>324</v>
      </c>
      <c r="H139" t="s">
        <v>329</v>
      </c>
      <c r="I139" t="s">
        <v>336</v>
      </c>
      <c r="J139" t="s">
        <v>338</v>
      </c>
      <c r="K139" t="s">
        <v>325</v>
      </c>
      <c r="L139" t="s">
        <v>335</v>
      </c>
      <c r="M139" t="s">
        <v>330</v>
      </c>
      <c r="N139" t="s">
        <v>326</v>
      </c>
      <c r="P139">
        <f t="shared" si="48"/>
        <v>138</v>
      </c>
      <c r="Q139" s="5" t="str">
        <f t="shared" si="40"/>
        <v>E</v>
      </c>
      <c r="R139" s="6" t="str">
        <f t="shared" si="41"/>
        <v>G</v>
      </c>
      <c r="S139" s="6" t="str">
        <f t="shared" si="42"/>
        <v>B</v>
      </c>
      <c r="T139" s="6" t="str">
        <f t="shared" si="43"/>
        <v>C</v>
      </c>
      <c r="U139" s="6" t="str">
        <f t="shared" si="44"/>
        <v>J</v>
      </c>
      <c r="V139" s="6" t="str">
        <f t="shared" si="45"/>
        <v>D</v>
      </c>
      <c r="W139" s="6" t="str">
        <f t="shared" si="46"/>
        <v>L</v>
      </c>
      <c r="X139" s="6" t="str">
        <f t="shared" si="47"/>
        <v>I</v>
      </c>
      <c r="Y139" s="8">
        <f t="shared" si="49"/>
        <v>6</v>
      </c>
    </row>
    <row r="140" spans="1:25" x14ac:dyDescent="0.2">
      <c r="A140" t="s">
        <v>474</v>
      </c>
      <c r="F140">
        <v>139</v>
      </c>
      <c r="G140" t="s">
        <v>324</v>
      </c>
      <c r="H140" t="s">
        <v>329</v>
      </c>
      <c r="I140" t="s">
        <v>336</v>
      </c>
      <c r="J140" t="s">
        <v>338</v>
      </c>
      <c r="K140" t="s">
        <v>325</v>
      </c>
      <c r="L140" t="s">
        <v>335</v>
      </c>
      <c r="M140" t="s">
        <v>326</v>
      </c>
      <c r="N140" t="s">
        <v>331</v>
      </c>
      <c r="P140">
        <f t="shared" si="48"/>
        <v>139</v>
      </c>
      <c r="Q140" s="5" t="str">
        <f t="shared" si="40"/>
        <v>E</v>
      </c>
      <c r="R140" s="6" t="str">
        <f t="shared" si="41"/>
        <v>G</v>
      </c>
      <c r="S140" s="6" t="str">
        <f t="shared" si="42"/>
        <v>B</v>
      </c>
      <c r="T140" s="6" t="str">
        <f t="shared" si="43"/>
        <v>C</v>
      </c>
      <c r="U140" s="6" t="str">
        <f t="shared" si="44"/>
        <v>J</v>
      </c>
      <c r="V140" s="6" t="str">
        <f t="shared" si="45"/>
        <v>D</v>
      </c>
      <c r="W140" s="6" t="str">
        <f t="shared" si="46"/>
        <v>I</v>
      </c>
      <c r="X140" s="6" t="str">
        <f t="shared" si="47"/>
        <v>K</v>
      </c>
      <c r="Y140" s="8">
        <f t="shared" si="49"/>
        <v>5</v>
      </c>
    </row>
    <row r="141" spans="1:25" x14ac:dyDescent="0.2">
      <c r="A141" t="s">
        <v>475</v>
      </c>
      <c r="F141">
        <v>140</v>
      </c>
      <c r="G141" t="s">
        <v>324</v>
      </c>
      <c r="H141" t="s">
        <v>329</v>
      </c>
      <c r="I141" t="s">
        <v>336</v>
      </c>
      <c r="J141" t="s">
        <v>338</v>
      </c>
      <c r="K141" t="s">
        <v>328</v>
      </c>
      <c r="L141" t="s">
        <v>335</v>
      </c>
      <c r="M141" t="s">
        <v>330</v>
      </c>
      <c r="N141" t="s">
        <v>331</v>
      </c>
      <c r="P141">
        <f t="shared" si="48"/>
        <v>140</v>
      </c>
      <c r="Q141" s="5" t="str">
        <f t="shared" si="40"/>
        <v>E</v>
      </c>
      <c r="R141" s="6" t="str">
        <f t="shared" si="41"/>
        <v>G</v>
      </c>
      <c r="S141" s="6" t="str">
        <f t="shared" si="42"/>
        <v>B</v>
      </c>
      <c r="T141" s="6" t="str">
        <f t="shared" si="43"/>
        <v>C</v>
      </c>
      <c r="U141" s="6" t="str">
        <f t="shared" si="44"/>
        <v>H</v>
      </c>
      <c r="V141" s="6" t="str">
        <f t="shared" si="45"/>
        <v>D</v>
      </c>
      <c r="W141" s="6" t="str">
        <f t="shared" si="46"/>
        <v>L</v>
      </c>
      <c r="X141" s="6" t="str">
        <f t="shared" si="47"/>
        <v>K</v>
      </c>
      <c r="Y141" s="8">
        <f t="shared" si="49"/>
        <v>4</v>
      </c>
    </row>
    <row r="142" spans="1:25" x14ac:dyDescent="0.2">
      <c r="A142" t="s">
        <v>476</v>
      </c>
      <c r="F142">
        <v>141</v>
      </c>
      <c r="G142" t="s">
        <v>328</v>
      </c>
      <c r="H142" t="s">
        <v>329</v>
      </c>
      <c r="I142" t="s">
        <v>336</v>
      </c>
      <c r="J142" t="s">
        <v>338</v>
      </c>
      <c r="K142" t="s">
        <v>325</v>
      </c>
      <c r="L142" t="s">
        <v>335</v>
      </c>
      <c r="M142" t="s">
        <v>330</v>
      </c>
      <c r="N142" t="s">
        <v>324</v>
      </c>
      <c r="P142">
        <f t="shared" si="48"/>
        <v>141</v>
      </c>
      <c r="Q142" s="5" t="str">
        <f t="shared" si="40"/>
        <v>H</v>
      </c>
      <c r="R142" s="6" t="str">
        <f t="shared" si="41"/>
        <v>G</v>
      </c>
      <c r="S142" s="6" t="str">
        <f t="shared" si="42"/>
        <v>B</v>
      </c>
      <c r="T142" s="6" t="str">
        <f t="shared" si="43"/>
        <v>C</v>
      </c>
      <c r="U142" s="6" t="str">
        <f t="shared" si="44"/>
        <v>J</v>
      </c>
      <c r="V142" s="6" t="str">
        <f t="shared" si="45"/>
        <v>D</v>
      </c>
      <c r="W142" s="6" t="str">
        <f t="shared" si="46"/>
        <v>L</v>
      </c>
      <c r="X142" s="6" t="str">
        <f t="shared" si="47"/>
        <v>E</v>
      </c>
      <c r="Y142" s="8">
        <f t="shared" si="49"/>
        <v>5</v>
      </c>
    </row>
    <row r="143" spans="1:25" x14ac:dyDescent="0.2">
      <c r="A143" t="s">
        <v>477</v>
      </c>
      <c r="F143">
        <v>142</v>
      </c>
      <c r="G143" t="s">
        <v>328</v>
      </c>
      <c r="H143" t="s">
        <v>329</v>
      </c>
      <c r="I143" t="s">
        <v>336</v>
      </c>
      <c r="J143" t="s">
        <v>338</v>
      </c>
      <c r="K143" t="s">
        <v>325</v>
      </c>
      <c r="L143" t="s">
        <v>335</v>
      </c>
      <c r="M143" t="s">
        <v>324</v>
      </c>
      <c r="N143" t="s">
        <v>331</v>
      </c>
      <c r="P143">
        <f t="shared" si="48"/>
        <v>142</v>
      </c>
      <c r="Q143" s="5" t="str">
        <f t="shared" si="40"/>
        <v>H</v>
      </c>
      <c r="R143" s="6" t="str">
        <f t="shared" si="41"/>
        <v>G</v>
      </c>
      <c r="S143" s="6" t="str">
        <f t="shared" si="42"/>
        <v>B</v>
      </c>
      <c r="T143" s="6" t="str">
        <f t="shared" si="43"/>
        <v>C</v>
      </c>
      <c r="U143" s="6" t="str">
        <f t="shared" si="44"/>
        <v>J</v>
      </c>
      <c r="V143" s="6" t="str">
        <f t="shared" si="45"/>
        <v>D</v>
      </c>
      <c r="W143" s="6" t="str">
        <f t="shared" si="46"/>
        <v>E</v>
      </c>
      <c r="X143" s="6" t="str">
        <f t="shared" si="47"/>
        <v>K</v>
      </c>
      <c r="Y143" s="8">
        <f t="shared" si="49"/>
        <v>4</v>
      </c>
    </row>
    <row r="144" spans="1:25" x14ac:dyDescent="0.2">
      <c r="A144" t="s">
        <v>478</v>
      </c>
      <c r="F144">
        <v>143</v>
      </c>
      <c r="G144" t="s">
        <v>324</v>
      </c>
      <c r="H144" t="s">
        <v>329</v>
      </c>
      <c r="I144" t="s">
        <v>336</v>
      </c>
      <c r="J144" t="s">
        <v>338</v>
      </c>
      <c r="K144" t="s">
        <v>328</v>
      </c>
      <c r="L144" t="s">
        <v>335</v>
      </c>
      <c r="M144" t="s">
        <v>330</v>
      </c>
      <c r="N144" t="s">
        <v>326</v>
      </c>
      <c r="P144">
        <f t="shared" si="48"/>
        <v>143</v>
      </c>
      <c r="Q144" s="5" t="str">
        <f t="shared" si="40"/>
        <v>E</v>
      </c>
      <c r="R144" s="6" t="str">
        <f t="shared" si="41"/>
        <v>G</v>
      </c>
      <c r="S144" s="6" t="str">
        <f t="shared" si="42"/>
        <v>B</v>
      </c>
      <c r="T144" s="6" t="str">
        <f t="shared" si="43"/>
        <v>C</v>
      </c>
      <c r="U144" s="6" t="str">
        <f t="shared" si="44"/>
        <v>H</v>
      </c>
      <c r="V144" s="6" t="str">
        <f t="shared" si="45"/>
        <v>D</v>
      </c>
      <c r="W144" s="6" t="str">
        <f t="shared" si="46"/>
        <v>L</v>
      </c>
      <c r="X144" s="6" t="str">
        <f t="shared" si="47"/>
        <v>I</v>
      </c>
      <c r="Y144" s="8">
        <f t="shared" si="49"/>
        <v>5</v>
      </c>
    </row>
    <row r="145" spans="1:25" x14ac:dyDescent="0.2">
      <c r="A145" t="s">
        <v>479</v>
      </c>
      <c r="F145">
        <v>144</v>
      </c>
      <c r="G145" t="s">
        <v>324</v>
      </c>
      <c r="H145" t="s">
        <v>329</v>
      </c>
      <c r="I145" t="s">
        <v>336</v>
      </c>
      <c r="J145" t="s">
        <v>338</v>
      </c>
      <c r="K145" t="s">
        <v>328</v>
      </c>
      <c r="L145" t="s">
        <v>335</v>
      </c>
      <c r="M145" t="s">
        <v>326</v>
      </c>
      <c r="N145" t="s">
        <v>331</v>
      </c>
      <c r="P145">
        <f t="shared" si="48"/>
        <v>144</v>
      </c>
      <c r="Q145" s="5" t="str">
        <f t="shared" si="40"/>
        <v>E</v>
      </c>
      <c r="R145" s="6" t="str">
        <f t="shared" si="41"/>
        <v>G</v>
      </c>
      <c r="S145" s="6" t="str">
        <f t="shared" si="42"/>
        <v>B</v>
      </c>
      <c r="T145" s="6" t="str">
        <f t="shared" si="43"/>
        <v>C</v>
      </c>
      <c r="U145" s="6" t="str">
        <f t="shared" si="44"/>
        <v>H</v>
      </c>
      <c r="V145" s="6" t="str">
        <f t="shared" si="45"/>
        <v>D</v>
      </c>
      <c r="W145" s="6" t="str">
        <f t="shared" si="46"/>
        <v>I</v>
      </c>
      <c r="X145" s="6" t="str">
        <f t="shared" si="47"/>
        <v>K</v>
      </c>
      <c r="Y145" s="8">
        <f t="shared" si="49"/>
        <v>4</v>
      </c>
    </row>
    <row r="146" spans="1:25" x14ac:dyDescent="0.2">
      <c r="A146" t="s">
        <v>480</v>
      </c>
      <c r="F146">
        <v>145</v>
      </c>
      <c r="G146" t="s">
        <v>328</v>
      </c>
      <c r="H146" t="s">
        <v>329</v>
      </c>
      <c r="I146" t="s">
        <v>336</v>
      </c>
      <c r="J146" t="s">
        <v>338</v>
      </c>
      <c r="K146" t="s">
        <v>325</v>
      </c>
      <c r="L146" t="s">
        <v>335</v>
      </c>
      <c r="M146" t="s">
        <v>324</v>
      </c>
      <c r="N146" t="s">
        <v>326</v>
      </c>
      <c r="P146">
        <f t="shared" si="48"/>
        <v>145</v>
      </c>
      <c r="Q146" s="5" t="str">
        <f t="shared" si="40"/>
        <v>H</v>
      </c>
      <c r="R146" s="6" t="str">
        <f t="shared" si="41"/>
        <v>G</v>
      </c>
      <c r="S146" s="6" t="str">
        <f t="shared" si="42"/>
        <v>B</v>
      </c>
      <c r="T146" s="6" t="str">
        <f t="shared" si="43"/>
        <v>C</v>
      </c>
      <c r="U146" s="6" t="str">
        <f t="shared" si="44"/>
        <v>J</v>
      </c>
      <c r="V146" s="6" t="str">
        <f t="shared" si="45"/>
        <v>D</v>
      </c>
      <c r="W146" s="6" t="str">
        <f t="shared" si="46"/>
        <v>E</v>
      </c>
      <c r="X146" s="6" t="str">
        <f t="shared" si="47"/>
        <v>I</v>
      </c>
      <c r="Y146" s="8">
        <f t="shared" si="49"/>
        <v>5</v>
      </c>
    </row>
    <row r="147" spans="1:25" x14ac:dyDescent="0.2">
      <c r="A147" t="s">
        <v>481</v>
      </c>
      <c r="F147">
        <v>146</v>
      </c>
      <c r="G147" t="s">
        <v>338</v>
      </c>
      <c r="H147" t="s">
        <v>325</v>
      </c>
      <c r="I147" t="s">
        <v>336</v>
      </c>
      <c r="J147" t="s">
        <v>335</v>
      </c>
      <c r="K147" t="s">
        <v>324</v>
      </c>
      <c r="L147" t="s">
        <v>327</v>
      </c>
      <c r="M147" t="s">
        <v>330</v>
      </c>
      <c r="N147" t="s">
        <v>331</v>
      </c>
      <c r="P147">
        <f t="shared" si="48"/>
        <v>146</v>
      </c>
      <c r="Q147" s="5" t="str">
        <f t="shared" si="40"/>
        <v>C</v>
      </c>
      <c r="R147" s="6" t="str">
        <f t="shared" si="41"/>
        <v>J</v>
      </c>
      <c r="S147" s="6" t="str">
        <f t="shared" si="42"/>
        <v>B</v>
      </c>
      <c r="T147" s="6" t="str">
        <f t="shared" si="43"/>
        <v>D</v>
      </c>
      <c r="U147" s="6" t="str">
        <f t="shared" si="44"/>
        <v>E</v>
      </c>
      <c r="V147" s="6" t="str">
        <f t="shared" si="45"/>
        <v>F</v>
      </c>
      <c r="W147" s="6" t="str">
        <f t="shared" si="46"/>
        <v>L</v>
      </c>
      <c r="X147" s="6" t="str">
        <f t="shared" si="47"/>
        <v>K</v>
      </c>
      <c r="Y147" s="8">
        <f t="shared" si="49"/>
        <v>5</v>
      </c>
    </row>
    <row r="148" spans="1:25" x14ac:dyDescent="0.2">
      <c r="A148" t="s">
        <v>482</v>
      </c>
      <c r="F148">
        <v>147</v>
      </c>
      <c r="G148" t="s">
        <v>338</v>
      </c>
      <c r="H148" t="s">
        <v>324</v>
      </c>
      <c r="I148" t="s">
        <v>336</v>
      </c>
      <c r="J148" t="s">
        <v>335</v>
      </c>
      <c r="K148" t="s">
        <v>326</v>
      </c>
      <c r="L148" t="s">
        <v>327</v>
      </c>
      <c r="M148" t="s">
        <v>330</v>
      </c>
      <c r="N148" t="s">
        <v>331</v>
      </c>
      <c r="P148">
        <f t="shared" si="48"/>
        <v>147</v>
      </c>
      <c r="Q148" s="5" t="str">
        <f t="shared" si="40"/>
        <v>C</v>
      </c>
      <c r="R148" s="6" t="str">
        <f t="shared" si="41"/>
        <v>E</v>
      </c>
      <c r="S148" s="6" t="str">
        <f t="shared" si="42"/>
        <v>B</v>
      </c>
      <c r="T148" s="6" t="str">
        <f t="shared" si="43"/>
        <v>D</v>
      </c>
      <c r="U148" s="6" t="str">
        <f t="shared" si="44"/>
        <v>I</v>
      </c>
      <c r="V148" s="6" t="str">
        <f t="shared" si="45"/>
        <v>F</v>
      </c>
      <c r="W148" s="6" t="str">
        <f t="shared" si="46"/>
        <v>L</v>
      </c>
      <c r="X148" s="6" t="str">
        <f t="shared" si="47"/>
        <v>K</v>
      </c>
      <c r="Y148" s="8">
        <f t="shared" si="49"/>
        <v>5</v>
      </c>
    </row>
    <row r="149" spans="1:25" x14ac:dyDescent="0.2">
      <c r="A149" t="s">
        <v>483</v>
      </c>
      <c r="F149">
        <v>148</v>
      </c>
      <c r="G149" t="s">
        <v>338</v>
      </c>
      <c r="H149" t="s">
        <v>325</v>
      </c>
      <c r="I149" t="s">
        <v>336</v>
      </c>
      <c r="J149" t="s">
        <v>335</v>
      </c>
      <c r="K149" t="s">
        <v>324</v>
      </c>
      <c r="L149" t="s">
        <v>327</v>
      </c>
      <c r="M149" t="s">
        <v>330</v>
      </c>
      <c r="N149" t="s">
        <v>326</v>
      </c>
      <c r="P149">
        <f t="shared" si="48"/>
        <v>148</v>
      </c>
      <c r="Q149" s="5" t="str">
        <f t="shared" si="40"/>
        <v>C</v>
      </c>
      <c r="R149" s="6" t="str">
        <f t="shared" si="41"/>
        <v>J</v>
      </c>
      <c r="S149" s="6" t="str">
        <f t="shared" si="42"/>
        <v>B</v>
      </c>
      <c r="T149" s="6" t="str">
        <f t="shared" si="43"/>
        <v>D</v>
      </c>
      <c r="U149" s="6" t="str">
        <f t="shared" si="44"/>
        <v>E</v>
      </c>
      <c r="V149" s="6" t="str">
        <f t="shared" si="45"/>
        <v>F</v>
      </c>
      <c r="W149" s="6" t="str">
        <f t="shared" si="46"/>
        <v>L</v>
      </c>
      <c r="X149" s="6" t="str">
        <f t="shared" si="47"/>
        <v>I</v>
      </c>
      <c r="Y149" s="8">
        <f t="shared" si="49"/>
        <v>6</v>
      </c>
    </row>
    <row r="150" spans="1:25" x14ac:dyDescent="0.2">
      <c r="A150" t="s">
        <v>484</v>
      </c>
      <c r="F150">
        <v>149</v>
      </c>
      <c r="G150" t="s">
        <v>338</v>
      </c>
      <c r="H150" t="s">
        <v>325</v>
      </c>
      <c r="I150" t="s">
        <v>336</v>
      </c>
      <c r="J150" t="s">
        <v>335</v>
      </c>
      <c r="K150" t="s">
        <v>324</v>
      </c>
      <c r="L150" t="s">
        <v>327</v>
      </c>
      <c r="M150" t="s">
        <v>326</v>
      </c>
      <c r="N150" t="s">
        <v>331</v>
      </c>
      <c r="P150">
        <f t="shared" si="48"/>
        <v>149</v>
      </c>
      <c r="Q150" s="5" t="str">
        <f t="shared" si="40"/>
        <v>C</v>
      </c>
      <c r="R150" s="6" t="str">
        <f t="shared" si="41"/>
        <v>J</v>
      </c>
      <c r="S150" s="6" t="str">
        <f t="shared" si="42"/>
        <v>B</v>
      </c>
      <c r="T150" s="6" t="str">
        <f t="shared" si="43"/>
        <v>D</v>
      </c>
      <c r="U150" s="6" t="str">
        <f t="shared" si="44"/>
        <v>E</v>
      </c>
      <c r="V150" s="6" t="str">
        <f t="shared" si="45"/>
        <v>F</v>
      </c>
      <c r="W150" s="6" t="str">
        <f t="shared" si="46"/>
        <v>I</v>
      </c>
      <c r="X150" s="6" t="str">
        <f t="shared" si="47"/>
        <v>K</v>
      </c>
      <c r="Y150" s="8">
        <f t="shared" si="49"/>
        <v>5</v>
      </c>
    </row>
    <row r="151" spans="1:25" x14ac:dyDescent="0.2">
      <c r="A151" t="s">
        <v>485</v>
      </c>
      <c r="F151">
        <v>150</v>
      </c>
      <c r="G151" t="s">
        <v>338</v>
      </c>
      <c r="H151" t="s">
        <v>324</v>
      </c>
      <c r="I151" t="s">
        <v>336</v>
      </c>
      <c r="J151" t="s">
        <v>335</v>
      </c>
      <c r="K151" t="s">
        <v>328</v>
      </c>
      <c r="L151" t="s">
        <v>327</v>
      </c>
      <c r="M151" t="s">
        <v>330</v>
      </c>
      <c r="N151" t="s">
        <v>331</v>
      </c>
      <c r="P151">
        <f t="shared" si="48"/>
        <v>150</v>
      </c>
      <c r="Q151" s="5" t="str">
        <f t="shared" si="40"/>
        <v>C</v>
      </c>
      <c r="R151" s="6" t="str">
        <f t="shared" si="41"/>
        <v>E</v>
      </c>
      <c r="S151" s="6" t="str">
        <f t="shared" si="42"/>
        <v>B</v>
      </c>
      <c r="T151" s="6" t="str">
        <f t="shared" si="43"/>
        <v>D</v>
      </c>
      <c r="U151" s="6" t="str">
        <f t="shared" si="44"/>
        <v>H</v>
      </c>
      <c r="V151" s="6" t="str">
        <f t="shared" si="45"/>
        <v>F</v>
      </c>
      <c r="W151" s="6" t="str">
        <f t="shared" si="46"/>
        <v>L</v>
      </c>
      <c r="X151" s="6" t="str">
        <f t="shared" si="47"/>
        <v>K</v>
      </c>
      <c r="Y151" s="8">
        <f t="shared" si="49"/>
        <v>4</v>
      </c>
    </row>
    <row r="152" spans="1:25" x14ac:dyDescent="0.2">
      <c r="A152" t="s">
        <v>486</v>
      </c>
      <c r="F152">
        <v>151</v>
      </c>
      <c r="G152" t="s">
        <v>338</v>
      </c>
      <c r="H152" t="s">
        <v>325</v>
      </c>
      <c r="I152" t="s">
        <v>336</v>
      </c>
      <c r="J152" t="s">
        <v>335</v>
      </c>
      <c r="K152" t="s">
        <v>328</v>
      </c>
      <c r="L152" t="s">
        <v>327</v>
      </c>
      <c r="M152" t="s">
        <v>330</v>
      </c>
      <c r="N152" t="s">
        <v>324</v>
      </c>
      <c r="P152">
        <f t="shared" si="48"/>
        <v>151</v>
      </c>
      <c r="Q152" s="5" t="str">
        <f t="shared" si="40"/>
        <v>C</v>
      </c>
      <c r="R152" s="6" t="str">
        <f t="shared" si="41"/>
        <v>J</v>
      </c>
      <c r="S152" s="6" t="str">
        <f t="shared" si="42"/>
        <v>B</v>
      </c>
      <c r="T152" s="6" t="str">
        <f t="shared" si="43"/>
        <v>D</v>
      </c>
      <c r="U152" s="6" t="str">
        <f t="shared" si="44"/>
        <v>H</v>
      </c>
      <c r="V152" s="6" t="str">
        <f t="shared" si="45"/>
        <v>F</v>
      </c>
      <c r="W152" s="6" t="str">
        <f t="shared" si="46"/>
        <v>L</v>
      </c>
      <c r="X152" s="6" t="str">
        <f t="shared" si="47"/>
        <v>E</v>
      </c>
      <c r="Y152" s="8">
        <f t="shared" si="49"/>
        <v>5</v>
      </c>
    </row>
    <row r="153" spans="1:25" x14ac:dyDescent="0.2">
      <c r="A153" t="s">
        <v>487</v>
      </c>
      <c r="F153">
        <v>152</v>
      </c>
      <c r="G153" t="s">
        <v>338</v>
      </c>
      <c r="H153" t="s">
        <v>325</v>
      </c>
      <c r="I153" t="s">
        <v>336</v>
      </c>
      <c r="J153" t="s">
        <v>335</v>
      </c>
      <c r="K153" t="s">
        <v>328</v>
      </c>
      <c r="L153" t="s">
        <v>327</v>
      </c>
      <c r="M153" t="s">
        <v>324</v>
      </c>
      <c r="N153" t="s">
        <v>331</v>
      </c>
      <c r="P153">
        <f t="shared" si="48"/>
        <v>152</v>
      </c>
      <c r="Q153" s="5" t="str">
        <f t="shared" si="40"/>
        <v>C</v>
      </c>
      <c r="R153" s="6" t="str">
        <f t="shared" si="41"/>
        <v>J</v>
      </c>
      <c r="S153" s="6" t="str">
        <f t="shared" si="42"/>
        <v>B</v>
      </c>
      <c r="T153" s="6" t="str">
        <f t="shared" si="43"/>
        <v>D</v>
      </c>
      <c r="U153" s="6" t="str">
        <f t="shared" si="44"/>
        <v>H</v>
      </c>
      <c r="V153" s="6" t="str">
        <f t="shared" si="45"/>
        <v>F</v>
      </c>
      <c r="W153" s="6" t="str">
        <f t="shared" si="46"/>
        <v>E</v>
      </c>
      <c r="X153" s="6" t="str">
        <f t="shared" si="47"/>
        <v>K</v>
      </c>
      <c r="Y153" s="8">
        <f t="shared" si="49"/>
        <v>4</v>
      </c>
    </row>
    <row r="154" spans="1:25" x14ac:dyDescent="0.2">
      <c r="A154" t="s">
        <v>488</v>
      </c>
      <c r="F154">
        <v>153</v>
      </c>
      <c r="G154" t="s">
        <v>338</v>
      </c>
      <c r="H154" t="s">
        <v>324</v>
      </c>
      <c r="I154" t="s">
        <v>336</v>
      </c>
      <c r="J154" t="s">
        <v>335</v>
      </c>
      <c r="K154" t="s">
        <v>328</v>
      </c>
      <c r="L154" t="s">
        <v>327</v>
      </c>
      <c r="M154" t="s">
        <v>330</v>
      </c>
      <c r="N154" t="s">
        <v>326</v>
      </c>
      <c r="P154">
        <f t="shared" si="48"/>
        <v>153</v>
      </c>
      <c r="Q154" s="5" t="str">
        <f t="shared" si="40"/>
        <v>C</v>
      </c>
      <c r="R154" s="6" t="str">
        <f t="shared" si="41"/>
        <v>E</v>
      </c>
      <c r="S154" s="6" t="str">
        <f t="shared" si="42"/>
        <v>B</v>
      </c>
      <c r="T154" s="6" t="str">
        <f t="shared" si="43"/>
        <v>D</v>
      </c>
      <c r="U154" s="6" t="str">
        <f t="shared" si="44"/>
        <v>H</v>
      </c>
      <c r="V154" s="6" t="str">
        <f t="shared" si="45"/>
        <v>F</v>
      </c>
      <c r="W154" s="6" t="str">
        <f t="shared" si="46"/>
        <v>L</v>
      </c>
      <c r="X154" s="6" t="str">
        <f t="shared" si="47"/>
        <v>I</v>
      </c>
      <c r="Y154" s="8">
        <f t="shared" si="49"/>
        <v>5</v>
      </c>
    </row>
    <row r="155" spans="1:25" x14ac:dyDescent="0.2">
      <c r="A155" t="s">
        <v>489</v>
      </c>
      <c r="F155">
        <v>154</v>
      </c>
      <c r="G155" t="s">
        <v>338</v>
      </c>
      <c r="H155" t="s">
        <v>324</v>
      </c>
      <c r="I155" t="s">
        <v>336</v>
      </c>
      <c r="J155" t="s">
        <v>335</v>
      </c>
      <c r="K155" t="s">
        <v>328</v>
      </c>
      <c r="L155" t="s">
        <v>327</v>
      </c>
      <c r="M155" t="s">
        <v>326</v>
      </c>
      <c r="N155" t="s">
        <v>331</v>
      </c>
      <c r="P155">
        <f t="shared" si="48"/>
        <v>154</v>
      </c>
      <c r="Q155" s="5" t="str">
        <f t="shared" si="40"/>
        <v>C</v>
      </c>
      <c r="R155" s="6" t="str">
        <f t="shared" si="41"/>
        <v>E</v>
      </c>
      <c r="S155" s="6" t="str">
        <f t="shared" si="42"/>
        <v>B</v>
      </c>
      <c r="T155" s="6" t="str">
        <f t="shared" si="43"/>
        <v>D</v>
      </c>
      <c r="U155" s="6" t="str">
        <f t="shared" si="44"/>
        <v>H</v>
      </c>
      <c r="V155" s="6" t="str">
        <f t="shared" si="45"/>
        <v>F</v>
      </c>
      <c r="W155" s="6" t="str">
        <f t="shared" si="46"/>
        <v>I</v>
      </c>
      <c r="X155" s="6" t="str">
        <f t="shared" si="47"/>
        <v>K</v>
      </c>
      <c r="Y155" s="8">
        <f t="shared" si="49"/>
        <v>4</v>
      </c>
    </row>
    <row r="156" spans="1:25" x14ac:dyDescent="0.2">
      <c r="A156" t="s">
        <v>490</v>
      </c>
      <c r="F156">
        <v>155</v>
      </c>
      <c r="G156" t="s">
        <v>338</v>
      </c>
      <c r="H156" t="s">
        <v>325</v>
      </c>
      <c r="I156" t="s">
        <v>336</v>
      </c>
      <c r="J156" t="s">
        <v>335</v>
      </c>
      <c r="K156" t="s">
        <v>328</v>
      </c>
      <c r="L156" t="s">
        <v>327</v>
      </c>
      <c r="M156" t="s">
        <v>324</v>
      </c>
      <c r="N156" t="s">
        <v>326</v>
      </c>
      <c r="P156">
        <f t="shared" si="48"/>
        <v>155</v>
      </c>
      <c r="Q156" s="5" t="str">
        <f t="shared" si="40"/>
        <v>C</v>
      </c>
      <c r="R156" s="6" t="str">
        <f t="shared" si="41"/>
        <v>J</v>
      </c>
      <c r="S156" s="6" t="str">
        <f t="shared" si="42"/>
        <v>B</v>
      </c>
      <c r="T156" s="6" t="str">
        <f t="shared" si="43"/>
        <v>D</v>
      </c>
      <c r="U156" s="6" t="str">
        <f t="shared" si="44"/>
        <v>H</v>
      </c>
      <c r="V156" s="6" t="str">
        <f t="shared" si="45"/>
        <v>F</v>
      </c>
      <c r="W156" s="6" t="str">
        <f t="shared" si="46"/>
        <v>E</v>
      </c>
      <c r="X156" s="6" t="str">
        <f t="shared" si="47"/>
        <v>I</v>
      </c>
      <c r="Y156" s="8">
        <f t="shared" si="49"/>
        <v>5</v>
      </c>
    </row>
    <row r="157" spans="1:25" x14ac:dyDescent="0.2">
      <c r="A157" t="s">
        <v>491</v>
      </c>
      <c r="F157">
        <v>156</v>
      </c>
      <c r="G157" t="s">
        <v>338</v>
      </c>
      <c r="H157" t="s">
        <v>329</v>
      </c>
      <c r="I157" t="s">
        <v>336</v>
      </c>
      <c r="J157" t="s">
        <v>335</v>
      </c>
      <c r="K157" t="s">
        <v>324</v>
      </c>
      <c r="L157" t="s">
        <v>327</v>
      </c>
      <c r="M157" t="s">
        <v>330</v>
      </c>
      <c r="N157" t="s">
        <v>331</v>
      </c>
      <c r="P157">
        <f t="shared" si="48"/>
        <v>156</v>
      </c>
      <c r="Q157" s="5" t="str">
        <f t="shared" si="40"/>
        <v>C</v>
      </c>
      <c r="R157" s="6" t="str">
        <f t="shared" si="41"/>
        <v>G</v>
      </c>
      <c r="S157" s="6" t="str">
        <f t="shared" si="42"/>
        <v>B</v>
      </c>
      <c r="T157" s="6" t="str">
        <f t="shared" si="43"/>
        <v>D</v>
      </c>
      <c r="U157" s="6" t="str">
        <f t="shared" si="44"/>
        <v>E</v>
      </c>
      <c r="V157" s="6" t="str">
        <f t="shared" si="45"/>
        <v>F</v>
      </c>
      <c r="W157" s="6" t="str">
        <f t="shared" si="46"/>
        <v>L</v>
      </c>
      <c r="X157" s="6" t="str">
        <f t="shared" si="47"/>
        <v>K</v>
      </c>
      <c r="Y157" s="8">
        <f t="shared" si="49"/>
        <v>5</v>
      </c>
    </row>
    <row r="158" spans="1:25" x14ac:dyDescent="0.2">
      <c r="A158" t="s">
        <v>492</v>
      </c>
      <c r="F158">
        <v>157</v>
      </c>
      <c r="G158" t="s">
        <v>338</v>
      </c>
      <c r="H158" t="s">
        <v>329</v>
      </c>
      <c r="I158" t="s">
        <v>336</v>
      </c>
      <c r="J158" t="s">
        <v>335</v>
      </c>
      <c r="K158" t="s">
        <v>325</v>
      </c>
      <c r="L158" t="s">
        <v>327</v>
      </c>
      <c r="M158" t="s">
        <v>330</v>
      </c>
      <c r="N158" t="s">
        <v>324</v>
      </c>
      <c r="P158">
        <f t="shared" si="48"/>
        <v>157</v>
      </c>
      <c r="Q158" s="5" t="str">
        <f t="shared" si="40"/>
        <v>C</v>
      </c>
      <c r="R158" s="6" t="str">
        <f t="shared" si="41"/>
        <v>G</v>
      </c>
      <c r="S158" s="6" t="str">
        <f t="shared" si="42"/>
        <v>B</v>
      </c>
      <c r="T158" s="6" t="str">
        <f t="shared" si="43"/>
        <v>D</v>
      </c>
      <c r="U158" s="6" t="str">
        <f t="shared" si="44"/>
        <v>J</v>
      </c>
      <c r="V158" s="6" t="str">
        <f t="shared" si="45"/>
        <v>F</v>
      </c>
      <c r="W158" s="6" t="str">
        <f t="shared" si="46"/>
        <v>L</v>
      </c>
      <c r="X158" s="6" t="str">
        <f t="shared" si="47"/>
        <v>E</v>
      </c>
      <c r="Y158" s="8">
        <f t="shared" si="49"/>
        <v>6</v>
      </c>
    </row>
    <row r="159" spans="1:25" x14ac:dyDescent="0.2">
      <c r="A159" t="s">
        <v>493</v>
      </c>
      <c r="F159">
        <v>158</v>
      </c>
      <c r="G159" t="s">
        <v>338</v>
      </c>
      <c r="H159" t="s">
        <v>329</v>
      </c>
      <c r="I159" t="s">
        <v>336</v>
      </c>
      <c r="J159" t="s">
        <v>335</v>
      </c>
      <c r="K159" t="s">
        <v>325</v>
      </c>
      <c r="L159" t="s">
        <v>327</v>
      </c>
      <c r="M159" t="s">
        <v>324</v>
      </c>
      <c r="N159" t="s">
        <v>331</v>
      </c>
      <c r="P159">
        <f t="shared" si="48"/>
        <v>158</v>
      </c>
      <c r="Q159" s="5" t="str">
        <f t="shared" si="40"/>
        <v>C</v>
      </c>
      <c r="R159" s="6" t="str">
        <f t="shared" si="41"/>
        <v>G</v>
      </c>
      <c r="S159" s="6" t="str">
        <f t="shared" si="42"/>
        <v>B</v>
      </c>
      <c r="T159" s="6" t="str">
        <f t="shared" si="43"/>
        <v>D</v>
      </c>
      <c r="U159" s="6" t="str">
        <f t="shared" si="44"/>
        <v>J</v>
      </c>
      <c r="V159" s="6" t="str">
        <f t="shared" si="45"/>
        <v>F</v>
      </c>
      <c r="W159" s="6" t="str">
        <f t="shared" si="46"/>
        <v>E</v>
      </c>
      <c r="X159" s="6" t="str">
        <f t="shared" si="47"/>
        <v>K</v>
      </c>
      <c r="Y159" s="8">
        <f t="shared" si="49"/>
        <v>5</v>
      </c>
    </row>
    <row r="160" spans="1:25" x14ac:dyDescent="0.2">
      <c r="A160" t="s">
        <v>494</v>
      </c>
      <c r="F160">
        <v>159</v>
      </c>
      <c r="G160" t="s">
        <v>338</v>
      </c>
      <c r="H160" t="s">
        <v>329</v>
      </c>
      <c r="I160" t="s">
        <v>336</v>
      </c>
      <c r="J160" t="s">
        <v>335</v>
      </c>
      <c r="K160" t="s">
        <v>324</v>
      </c>
      <c r="L160" t="s">
        <v>327</v>
      </c>
      <c r="M160" t="s">
        <v>330</v>
      </c>
      <c r="N160" t="s">
        <v>326</v>
      </c>
      <c r="P160">
        <f t="shared" si="48"/>
        <v>159</v>
      </c>
      <c r="Q160" s="5" t="str">
        <f t="shared" si="40"/>
        <v>C</v>
      </c>
      <c r="R160" s="6" t="str">
        <f t="shared" si="41"/>
        <v>G</v>
      </c>
      <c r="S160" s="6" t="str">
        <f t="shared" si="42"/>
        <v>B</v>
      </c>
      <c r="T160" s="6" t="str">
        <f t="shared" si="43"/>
        <v>D</v>
      </c>
      <c r="U160" s="6" t="str">
        <f t="shared" si="44"/>
        <v>E</v>
      </c>
      <c r="V160" s="6" t="str">
        <f t="shared" si="45"/>
        <v>F</v>
      </c>
      <c r="W160" s="6" t="str">
        <f t="shared" si="46"/>
        <v>L</v>
      </c>
      <c r="X160" s="6" t="str">
        <f t="shared" si="47"/>
        <v>I</v>
      </c>
      <c r="Y160" s="8">
        <f t="shared" si="49"/>
        <v>6</v>
      </c>
    </row>
    <row r="161" spans="1:25" x14ac:dyDescent="0.2">
      <c r="A161" t="s">
        <v>495</v>
      </c>
      <c r="F161">
        <v>160</v>
      </c>
      <c r="G161" t="s">
        <v>338</v>
      </c>
      <c r="H161" t="s">
        <v>329</v>
      </c>
      <c r="I161" t="s">
        <v>336</v>
      </c>
      <c r="J161" t="s">
        <v>335</v>
      </c>
      <c r="K161" t="s">
        <v>324</v>
      </c>
      <c r="L161" t="s">
        <v>327</v>
      </c>
      <c r="M161" t="s">
        <v>326</v>
      </c>
      <c r="N161" t="s">
        <v>331</v>
      </c>
      <c r="P161">
        <f t="shared" si="48"/>
        <v>160</v>
      </c>
      <c r="Q161" s="5" t="str">
        <f t="shared" si="40"/>
        <v>C</v>
      </c>
      <c r="R161" s="6" t="str">
        <f t="shared" si="41"/>
        <v>G</v>
      </c>
      <c r="S161" s="6" t="str">
        <f t="shared" si="42"/>
        <v>B</v>
      </c>
      <c r="T161" s="6" t="str">
        <f t="shared" si="43"/>
        <v>D</v>
      </c>
      <c r="U161" s="6" t="str">
        <f t="shared" si="44"/>
        <v>E</v>
      </c>
      <c r="V161" s="6" t="str">
        <f t="shared" si="45"/>
        <v>F</v>
      </c>
      <c r="W161" s="6" t="str">
        <f t="shared" si="46"/>
        <v>I</v>
      </c>
      <c r="X161" s="6" t="str">
        <f t="shared" si="47"/>
        <v>K</v>
      </c>
      <c r="Y161" s="8">
        <f t="shared" si="49"/>
        <v>5</v>
      </c>
    </row>
    <row r="162" spans="1:25" x14ac:dyDescent="0.2">
      <c r="A162" t="s">
        <v>496</v>
      </c>
      <c r="F162">
        <v>161</v>
      </c>
      <c r="G162" t="s">
        <v>338</v>
      </c>
      <c r="H162" t="s">
        <v>329</v>
      </c>
      <c r="I162" t="s">
        <v>336</v>
      </c>
      <c r="J162" t="s">
        <v>335</v>
      </c>
      <c r="K162" t="s">
        <v>325</v>
      </c>
      <c r="L162" t="s">
        <v>327</v>
      </c>
      <c r="M162" t="s">
        <v>324</v>
      </c>
      <c r="N162" t="s">
        <v>326</v>
      </c>
      <c r="P162">
        <f t="shared" si="48"/>
        <v>161</v>
      </c>
      <c r="Q162" s="5" t="str">
        <f t="shared" si="40"/>
        <v>C</v>
      </c>
      <c r="R162" s="6" t="str">
        <f t="shared" si="41"/>
        <v>G</v>
      </c>
      <c r="S162" s="6" t="str">
        <f t="shared" si="42"/>
        <v>B</v>
      </c>
      <c r="T162" s="6" t="str">
        <f t="shared" si="43"/>
        <v>D</v>
      </c>
      <c r="U162" s="6" t="str">
        <f t="shared" si="44"/>
        <v>J</v>
      </c>
      <c r="V162" s="6" t="str">
        <f t="shared" si="45"/>
        <v>F</v>
      </c>
      <c r="W162" s="6" t="str">
        <f t="shared" si="46"/>
        <v>E</v>
      </c>
      <c r="X162" s="6" t="str">
        <f t="shared" si="47"/>
        <v>I</v>
      </c>
      <c r="Y162" s="8">
        <f t="shared" si="49"/>
        <v>6</v>
      </c>
    </row>
    <row r="163" spans="1:25" x14ac:dyDescent="0.2">
      <c r="A163" t="s">
        <v>497</v>
      </c>
      <c r="F163">
        <v>162</v>
      </c>
      <c r="G163" t="s">
        <v>338</v>
      </c>
      <c r="H163" t="s">
        <v>329</v>
      </c>
      <c r="I163" t="s">
        <v>336</v>
      </c>
      <c r="J163" t="s">
        <v>335</v>
      </c>
      <c r="K163" t="s">
        <v>328</v>
      </c>
      <c r="L163" t="s">
        <v>327</v>
      </c>
      <c r="M163" t="s">
        <v>330</v>
      </c>
      <c r="N163" t="s">
        <v>324</v>
      </c>
      <c r="P163">
        <f t="shared" si="48"/>
        <v>162</v>
      </c>
      <c r="Q163" s="5" t="str">
        <f t="shared" si="40"/>
        <v>C</v>
      </c>
      <c r="R163" s="6" t="str">
        <f t="shared" si="41"/>
        <v>G</v>
      </c>
      <c r="S163" s="6" t="str">
        <f t="shared" si="42"/>
        <v>B</v>
      </c>
      <c r="T163" s="6" t="str">
        <f t="shared" si="43"/>
        <v>D</v>
      </c>
      <c r="U163" s="6" t="str">
        <f t="shared" si="44"/>
        <v>H</v>
      </c>
      <c r="V163" s="6" t="str">
        <f t="shared" si="45"/>
        <v>F</v>
      </c>
      <c r="W163" s="6" t="str">
        <f t="shared" si="46"/>
        <v>L</v>
      </c>
      <c r="X163" s="6" t="str">
        <f t="shared" si="47"/>
        <v>E</v>
      </c>
      <c r="Y163" s="8">
        <f t="shared" si="49"/>
        <v>5</v>
      </c>
    </row>
    <row r="164" spans="1:25" x14ac:dyDescent="0.2">
      <c r="A164" t="s">
        <v>498</v>
      </c>
      <c r="F164">
        <v>163</v>
      </c>
      <c r="G164" t="s">
        <v>338</v>
      </c>
      <c r="H164" t="s">
        <v>329</v>
      </c>
      <c r="I164" t="s">
        <v>336</v>
      </c>
      <c r="J164" t="s">
        <v>335</v>
      </c>
      <c r="K164" t="s">
        <v>328</v>
      </c>
      <c r="L164" t="s">
        <v>327</v>
      </c>
      <c r="M164" t="s">
        <v>324</v>
      </c>
      <c r="N164" t="s">
        <v>331</v>
      </c>
      <c r="P164">
        <f t="shared" si="48"/>
        <v>163</v>
      </c>
      <c r="Q164" s="5" t="str">
        <f t="shared" si="40"/>
        <v>C</v>
      </c>
      <c r="R164" s="6" t="str">
        <f t="shared" si="41"/>
        <v>G</v>
      </c>
      <c r="S164" s="6" t="str">
        <f t="shared" si="42"/>
        <v>B</v>
      </c>
      <c r="T164" s="6" t="str">
        <f t="shared" si="43"/>
        <v>D</v>
      </c>
      <c r="U164" s="6" t="str">
        <f t="shared" si="44"/>
        <v>H</v>
      </c>
      <c r="V164" s="6" t="str">
        <f t="shared" si="45"/>
        <v>F</v>
      </c>
      <c r="W164" s="6" t="str">
        <f t="shared" si="46"/>
        <v>E</v>
      </c>
      <c r="X164" s="6" t="str">
        <f t="shared" si="47"/>
        <v>K</v>
      </c>
      <c r="Y164" s="8">
        <f t="shared" si="49"/>
        <v>4</v>
      </c>
    </row>
    <row r="165" spans="1:25" x14ac:dyDescent="0.2">
      <c r="A165" t="s">
        <v>499</v>
      </c>
      <c r="F165">
        <v>164</v>
      </c>
      <c r="G165" t="s">
        <v>328</v>
      </c>
      <c r="H165" t="s">
        <v>329</v>
      </c>
      <c r="I165" t="s">
        <v>336</v>
      </c>
      <c r="J165" t="s">
        <v>338</v>
      </c>
      <c r="K165" t="s">
        <v>325</v>
      </c>
      <c r="L165" t="s">
        <v>327</v>
      </c>
      <c r="M165" t="s">
        <v>335</v>
      </c>
      <c r="N165" t="s">
        <v>324</v>
      </c>
      <c r="P165">
        <f t="shared" si="48"/>
        <v>164</v>
      </c>
      <c r="Q165" s="5" t="str">
        <f t="shared" si="40"/>
        <v>H</v>
      </c>
      <c r="R165" s="6" t="str">
        <f t="shared" si="41"/>
        <v>G</v>
      </c>
      <c r="S165" s="6" t="str">
        <f t="shared" si="42"/>
        <v>B</v>
      </c>
      <c r="T165" s="6" t="str">
        <f t="shared" si="43"/>
        <v>C</v>
      </c>
      <c r="U165" s="6" t="str">
        <f t="shared" si="44"/>
        <v>J</v>
      </c>
      <c r="V165" s="6" t="str">
        <f t="shared" si="45"/>
        <v>F</v>
      </c>
      <c r="W165" s="6" t="str">
        <f t="shared" si="46"/>
        <v>D</v>
      </c>
      <c r="X165" s="6" t="str">
        <f t="shared" si="47"/>
        <v>E</v>
      </c>
      <c r="Y165" s="8">
        <f t="shared" si="49"/>
        <v>5</v>
      </c>
    </row>
    <row r="166" spans="1:25" x14ac:dyDescent="0.2">
      <c r="A166" t="s">
        <v>500</v>
      </c>
      <c r="F166">
        <v>165</v>
      </c>
      <c r="G166" t="s">
        <v>338</v>
      </c>
      <c r="H166" t="s">
        <v>329</v>
      </c>
      <c r="I166" t="s">
        <v>336</v>
      </c>
      <c r="J166" t="s">
        <v>335</v>
      </c>
      <c r="K166" t="s">
        <v>328</v>
      </c>
      <c r="L166" t="s">
        <v>327</v>
      </c>
      <c r="M166" t="s">
        <v>324</v>
      </c>
      <c r="N166" t="s">
        <v>326</v>
      </c>
      <c r="P166">
        <f t="shared" si="48"/>
        <v>165</v>
      </c>
      <c r="Q166" s="5" t="str">
        <f t="shared" si="40"/>
        <v>C</v>
      </c>
      <c r="R166" s="6" t="str">
        <f t="shared" si="41"/>
        <v>G</v>
      </c>
      <c r="S166" s="6" t="str">
        <f t="shared" si="42"/>
        <v>B</v>
      </c>
      <c r="T166" s="6" t="str">
        <f t="shared" si="43"/>
        <v>D</v>
      </c>
      <c r="U166" s="6" t="str">
        <f t="shared" si="44"/>
        <v>H</v>
      </c>
      <c r="V166" s="6" t="str">
        <f t="shared" si="45"/>
        <v>F</v>
      </c>
      <c r="W166" s="6" t="str">
        <f t="shared" si="46"/>
        <v>E</v>
      </c>
      <c r="X166" s="6" t="str">
        <f t="shared" si="47"/>
        <v>I</v>
      </c>
      <c r="Y166" s="8">
        <f t="shared" si="49"/>
        <v>5</v>
      </c>
    </row>
    <row r="167" spans="1:25" x14ac:dyDescent="0.2">
      <c r="A167" t="s">
        <v>501</v>
      </c>
      <c r="F167">
        <v>166</v>
      </c>
      <c r="G167" t="s">
        <v>328</v>
      </c>
      <c r="H167" t="s">
        <v>325</v>
      </c>
      <c r="I167" t="s">
        <v>326</v>
      </c>
      <c r="J167" t="s">
        <v>327</v>
      </c>
      <c r="K167" t="s">
        <v>333</v>
      </c>
      <c r="L167" t="s">
        <v>329</v>
      </c>
      <c r="M167" t="s">
        <v>330</v>
      </c>
      <c r="N167" t="s">
        <v>331</v>
      </c>
      <c r="P167">
        <f t="shared" si="48"/>
        <v>166</v>
      </c>
      <c r="Q167" s="5" t="str">
        <f t="shared" si="40"/>
        <v>H</v>
      </c>
      <c r="R167" s="6" t="str">
        <f t="shared" si="41"/>
        <v>J</v>
      </c>
      <c r="S167" s="6" t="str">
        <f t="shared" si="42"/>
        <v>I</v>
      </c>
      <c r="T167" s="6" t="str">
        <f t="shared" si="43"/>
        <v>F</v>
      </c>
      <c r="U167" s="6" t="str">
        <f t="shared" si="44"/>
        <v>A</v>
      </c>
      <c r="V167" s="6" t="str">
        <f t="shared" si="45"/>
        <v>G</v>
      </c>
      <c r="W167" s="6" t="str">
        <f t="shared" si="46"/>
        <v>L</v>
      </c>
      <c r="X167" s="6" t="str">
        <f t="shared" si="47"/>
        <v>K</v>
      </c>
      <c r="Y167" s="8">
        <f t="shared" si="49"/>
        <v>6</v>
      </c>
    </row>
    <row r="168" spans="1:25" x14ac:dyDescent="0.2">
      <c r="A168" t="s">
        <v>502</v>
      </c>
      <c r="F168">
        <v>167</v>
      </c>
      <c r="G168" t="s">
        <v>324</v>
      </c>
      <c r="H168" t="s">
        <v>325</v>
      </c>
      <c r="I168" t="s">
        <v>326</v>
      </c>
      <c r="J168" t="s">
        <v>333</v>
      </c>
      <c r="K168" t="s">
        <v>328</v>
      </c>
      <c r="L168" t="s">
        <v>329</v>
      </c>
      <c r="M168" t="s">
        <v>330</v>
      </c>
      <c r="N168" t="s">
        <v>331</v>
      </c>
      <c r="P168">
        <f t="shared" si="48"/>
        <v>167</v>
      </c>
      <c r="Q168" s="5" t="str">
        <f t="shared" si="40"/>
        <v>E</v>
      </c>
      <c r="R168" s="6" t="str">
        <f t="shared" si="41"/>
        <v>J</v>
      </c>
      <c r="S168" s="6" t="str">
        <f t="shared" si="42"/>
        <v>I</v>
      </c>
      <c r="T168" s="6" t="str">
        <f t="shared" si="43"/>
        <v>A</v>
      </c>
      <c r="U168" s="6" t="str">
        <f t="shared" si="44"/>
        <v>H</v>
      </c>
      <c r="V168" s="6" t="str">
        <f t="shared" si="45"/>
        <v>G</v>
      </c>
      <c r="W168" s="6" t="str">
        <f t="shared" si="46"/>
        <v>L</v>
      </c>
      <c r="X168" s="6" t="str">
        <f t="shared" si="47"/>
        <v>K</v>
      </c>
      <c r="Y168" s="8">
        <f t="shared" si="49"/>
        <v>6</v>
      </c>
    </row>
    <row r="169" spans="1:25" x14ac:dyDescent="0.2">
      <c r="A169" t="s">
        <v>503</v>
      </c>
      <c r="F169">
        <v>168</v>
      </c>
      <c r="G169" t="s">
        <v>324</v>
      </c>
      <c r="H169" t="s">
        <v>325</v>
      </c>
      <c r="I169" t="s">
        <v>326</v>
      </c>
      <c r="J169" t="s">
        <v>327</v>
      </c>
      <c r="K169" t="s">
        <v>333</v>
      </c>
      <c r="L169" t="s">
        <v>328</v>
      </c>
      <c r="M169" t="s">
        <v>330</v>
      </c>
      <c r="N169" t="s">
        <v>331</v>
      </c>
      <c r="P169">
        <f t="shared" si="48"/>
        <v>168</v>
      </c>
      <c r="Q169" s="5" t="str">
        <f t="shared" si="40"/>
        <v>E</v>
      </c>
      <c r="R169" s="6" t="str">
        <f t="shared" si="41"/>
        <v>J</v>
      </c>
      <c r="S169" s="6" t="str">
        <f t="shared" si="42"/>
        <v>I</v>
      </c>
      <c r="T169" s="6" t="str">
        <f t="shared" si="43"/>
        <v>F</v>
      </c>
      <c r="U169" s="6" t="str">
        <f t="shared" si="44"/>
        <v>A</v>
      </c>
      <c r="V169" s="6" t="str">
        <f t="shared" si="45"/>
        <v>H</v>
      </c>
      <c r="W169" s="6" t="str">
        <f t="shared" si="46"/>
        <v>L</v>
      </c>
      <c r="X169" s="6" t="str">
        <f t="shared" si="47"/>
        <v>K</v>
      </c>
      <c r="Y169" s="8">
        <f t="shared" si="49"/>
        <v>6</v>
      </c>
    </row>
    <row r="170" spans="1:25" x14ac:dyDescent="0.2">
      <c r="A170" t="s">
        <v>504</v>
      </c>
      <c r="F170">
        <v>169</v>
      </c>
      <c r="G170" t="s">
        <v>324</v>
      </c>
      <c r="H170" t="s">
        <v>325</v>
      </c>
      <c r="I170" t="s">
        <v>326</v>
      </c>
      <c r="J170" t="s">
        <v>327</v>
      </c>
      <c r="K170" t="s">
        <v>333</v>
      </c>
      <c r="L170" t="s">
        <v>329</v>
      </c>
      <c r="M170" t="s">
        <v>330</v>
      </c>
      <c r="N170" t="s">
        <v>331</v>
      </c>
      <c r="P170">
        <f t="shared" si="48"/>
        <v>169</v>
      </c>
      <c r="Q170" s="5" t="str">
        <f t="shared" si="40"/>
        <v>E</v>
      </c>
      <c r="R170" s="6" t="str">
        <f t="shared" si="41"/>
        <v>J</v>
      </c>
      <c r="S170" s="6" t="str">
        <f t="shared" si="42"/>
        <v>I</v>
      </c>
      <c r="T170" s="6" t="str">
        <f t="shared" si="43"/>
        <v>F</v>
      </c>
      <c r="U170" s="6" t="str">
        <f t="shared" si="44"/>
        <v>A</v>
      </c>
      <c r="V170" s="6" t="str">
        <f t="shared" si="45"/>
        <v>G</v>
      </c>
      <c r="W170" s="6" t="str">
        <f t="shared" si="46"/>
        <v>L</v>
      </c>
      <c r="X170" s="6" t="str">
        <f t="shared" si="47"/>
        <v>K</v>
      </c>
      <c r="Y170" s="8">
        <f t="shared" si="49"/>
        <v>7</v>
      </c>
    </row>
    <row r="171" spans="1:25" x14ac:dyDescent="0.2">
      <c r="A171" t="s">
        <v>505</v>
      </c>
      <c r="F171">
        <v>170</v>
      </c>
      <c r="G171" t="s">
        <v>324</v>
      </c>
      <c r="H171" t="s">
        <v>329</v>
      </c>
      <c r="I171" t="s">
        <v>325</v>
      </c>
      <c r="J171" t="s">
        <v>327</v>
      </c>
      <c r="K171" t="s">
        <v>333</v>
      </c>
      <c r="L171" t="s">
        <v>328</v>
      </c>
      <c r="M171" t="s">
        <v>330</v>
      </c>
      <c r="N171" t="s">
        <v>331</v>
      </c>
      <c r="P171">
        <f t="shared" si="48"/>
        <v>170</v>
      </c>
      <c r="Q171" s="5" t="str">
        <f t="shared" si="40"/>
        <v>E</v>
      </c>
      <c r="R171" s="6" t="str">
        <f t="shared" si="41"/>
        <v>G</v>
      </c>
      <c r="S171" s="6" t="str">
        <f t="shared" si="42"/>
        <v>J</v>
      </c>
      <c r="T171" s="6" t="str">
        <f t="shared" si="43"/>
        <v>F</v>
      </c>
      <c r="U171" s="6" t="str">
        <f t="shared" si="44"/>
        <v>A</v>
      </c>
      <c r="V171" s="6" t="str">
        <f t="shared" si="45"/>
        <v>H</v>
      </c>
      <c r="W171" s="6" t="str">
        <f t="shared" si="46"/>
        <v>L</v>
      </c>
      <c r="X171" s="6" t="str">
        <f t="shared" si="47"/>
        <v>K</v>
      </c>
      <c r="Y171" s="8">
        <f t="shared" si="49"/>
        <v>6</v>
      </c>
    </row>
    <row r="172" spans="1:25" x14ac:dyDescent="0.2">
      <c r="A172" t="s">
        <v>506</v>
      </c>
      <c r="F172">
        <v>171</v>
      </c>
      <c r="G172" t="s">
        <v>324</v>
      </c>
      <c r="H172" t="s">
        <v>329</v>
      </c>
      <c r="I172" t="s">
        <v>326</v>
      </c>
      <c r="J172" t="s">
        <v>327</v>
      </c>
      <c r="K172" t="s">
        <v>333</v>
      </c>
      <c r="L172" t="s">
        <v>328</v>
      </c>
      <c r="M172" t="s">
        <v>330</v>
      </c>
      <c r="N172" t="s">
        <v>331</v>
      </c>
      <c r="P172">
        <f t="shared" si="48"/>
        <v>171</v>
      </c>
      <c r="Q172" s="5" t="str">
        <f t="shared" si="40"/>
        <v>E</v>
      </c>
      <c r="R172" s="6" t="str">
        <f t="shared" si="41"/>
        <v>G</v>
      </c>
      <c r="S172" s="6" t="str">
        <f t="shared" si="42"/>
        <v>I</v>
      </c>
      <c r="T172" s="6" t="str">
        <f t="shared" si="43"/>
        <v>F</v>
      </c>
      <c r="U172" s="6" t="str">
        <f t="shared" si="44"/>
        <v>A</v>
      </c>
      <c r="V172" s="6" t="str">
        <f t="shared" si="45"/>
        <v>H</v>
      </c>
      <c r="W172" s="6" t="str">
        <f t="shared" si="46"/>
        <v>L</v>
      </c>
      <c r="X172" s="6" t="str">
        <f t="shared" si="47"/>
        <v>K</v>
      </c>
      <c r="Y172" s="8">
        <f t="shared" si="49"/>
        <v>6</v>
      </c>
    </row>
    <row r="173" spans="1:25" x14ac:dyDescent="0.2">
      <c r="A173" t="s">
        <v>507</v>
      </c>
      <c r="F173">
        <v>172</v>
      </c>
      <c r="G173" t="s">
        <v>324</v>
      </c>
      <c r="H173" t="s">
        <v>329</v>
      </c>
      <c r="I173" t="s">
        <v>325</v>
      </c>
      <c r="J173" t="s">
        <v>327</v>
      </c>
      <c r="K173" t="s">
        <v>333</v>
      </c>
      <c r="L173" t="s">
        <v>328</v>
      </c>
      <c r="M173" t="s">
        <v>330</v>
      </c>
      <c r="N173" t="s">
        <v>326</v>
      </c>
      <c r="P173">
        <f t="shared" si="48"/>
        <v>172</v>
      </c>
      <c r="Q173" s="5" t="str">
        <f t="shared" si="40"/>
        <v>E</v>
      </c>
      <c r="R173" s="6" t="str">
        <f t="shared" si="41"/>
        <v>G</v>
      </c>
      <c r="S173" s="6" t="str">
        <f t="shared" si="42"/>
        <v>J</v>
      </c>
      <c r="T173" s="6" t="str">
        <f t="shared" si="43"/>
        <v>F</v>
      </c>
      <c r="U173" s="6" t="str">
        <f t="shared" si="44"/>
        <v>A</v>
      </c>
      <c r="V173" s="6" t="str">
        <f t="shared" si="45"/>
        <v>H</v>
      </c>
      <c r="W173" s="6" t="str">
        <f t="shared" si="46"/>
        <v>L</v>
      </c>
      <c r="X173" s="6" t="str">
        <f t="shared" si="47"/>
        <v>I</v>
      </c>
      <c r="Y173" s="8">
        <f t="shared" si="49"/>
        <v>7</v>
      </c>
    </row>
    <row r="174" spans="1:25" x14ac:dyDescent="0.2">
      <c r="A174" t="s">
        <v>508</v>
      </c>
      <c r="F174">
        <v>173</v>
      </c>
      <c r="G174" t="s">
        <v>324</v>
      </c>
      <c r="H174" t="s">
        <v>329</v>
      </c>
      <c r="I174" t="s">
        <v>325</v>
      </c>
      <c r="J174" t="s">
        <v>327</v>
      </c>
      <c r="K174" t="s">
        <v>333</v>
      </c>
      <c r="L174" t="s">
        <v>328</v>
      </c>
      <c r="M174" t="s">
        <v>326</v>
      </c>
      <c r="N174" t="s">
        <v>331</v>
      </c>
      <c r="P174">
        <f t="shared" si="48"/>
        <v>173</v>
      </c>
      <c r="Q174" s="5" t="str">
        <f t="shared" si="40"/>
        <v>E</v>
      </c>
      <c r="R174" s="6" t="str">
        <f t="shared" si="41"/>
        <v>G</v>
      </c>
      <c r="S174" s="6" t="str">
        <f t="shared" si="42"/>
        <v>J</v>
      </c>
      <c r="T174" s="6" t="str">
        <f t="shared" si="43"/>
        <v>F</v>
      </c>
      <c r="U174" s="6" t="str">
        <f t="shared" si="44"/>
        <v>A</v>
      </c>
      <c r="V174" s="6" t="str">
        <f t="shared" si="45"/>
        <v>H</v>
      </c>
      <c r="W174" s="6" t="str">
        <f t="shared" si="46"/>
        <v>I</v>
      </c>
      <c r="X174" s="6" t="str">
        <f t="shared" si="47"/>
        <v>K</v>
      </c>
      <c r="Y174" s="8">
        <f t="shared" si="49"/>
        <v>6</v>
      </c>
    </row>
    <row r="175" spans="1:25" x14ac:dyDescent="0.2">
      <c r="A175" t="s">
        <v>509</v>
      </c>
      <c r="F175">
        <v>174</v>
      </c>
      <c r="G175" t="s">
        <v>328</v>
      </c>
      <c r="H175" t="s">
        <v>325</v>
      </c>
      <c r="I175" t="s">
        <v>326</v>
      </c>
      <c r="J175" t="s">
        <v>335</v>
      </c>
      <c r="K175" t="s">
        <v>333</v>
      </c>
      <c r="L175" t="s">
        <v>329</v>
      </c>
      <c r="M175" t="s">
        <v>330</v>
      </c>
      <c r="N175" t="s">
        <v>331</v>
      </c>
      <c r="P175">
        <f t="shared" si="48"/>
        <v>174</v>
      </c>
      <c r="Q175" s="5" t="str">
        <f t="shared" si="40"/>
        <v>H</v>
      </c>
      <c r="R175" s="6" t="str">
        <f t="shared" si="41"/>
        <v>J</v>
      </c>
      <c r="S175" s="6" t="str">
        <f t="shared" si="42"/>
        <v>I</v>
      </c>
      <c r="T175" s="6" t="str">
        <f t="shared" si="43"/>
        <v>D</v>
      </c>
      <c r="U175" s="6" t="str">
        <f t="shared" si="44"/>
        <v>A</v>
      </c>
      <c r="V175" s="6" t="str">
        <f t="shared" si="45"/>
        <v>G</v>
      </c>
      <c r="W175" s="6" t="str">
        <f t="shared" si="46"/>
        <v>L</v>
      </c>
      <c r="X175" s="6" t="str">
        <f t="shared" si="47"/>
        <v>K</v>
      </c>
      <c r="Y175" s="8">
        <f t="shared" si="49"/>
        <v>6</v>
      </c>
    </row>
    <row r="176" spans="1:25" x14ac:dyDescent="0.2">
      <c r="A176" t="s">
        <v>510</v>
      </c>
      <c r="F176">
        <v>175</v>
      </c>
      <c r="G176" t="s">
        <v>328</v>
      </c>
      <c r="H176" t="s">
        <v>325</v>
      </c>
      <c r="I176" t="s">
        <v>326</v>
      </c>
      <c r="J176" t="s">
        <v>335</v>
      </c>
      <c r="K176" t="s">
        <v>333</v>
      </c>
      <c r="L176" t="s">
        <v>327</v>
      </c>
      <c r="M176" t="s">
        <v>330</v>
      </c>
      <c r="N176" t="s">
        <v>331</v>
      </c>
      <c r="P176">
        <f t="shared" si="48"/>
        <v>175</v>
      </c>
      <c r="Q176" s="5" t="str">
        <f t="shared" si="40"/>
        <v>H</v>
      </c>
      <c r="R176" s="6" t="str">
        <f t="shared" si="41"/>
        <v>J</v>
      </c>
      <c r="S176" s="6" t="str">
        <f t="shared" si="42"/>
        <v>I</v>
      </c>
      <c r="T176" s="6" t="str">
        <f t="shared" si="43"/>
        <v>D</v>
      </c>
      <c r="U176" s="6" t="str">
        <f t="shared" si="44"/>
        <v>A</v>
      </c>
      <c r="V176" s="6" t="str">
        <f t="shared" si="45"/>
        <v>F</v>
      </c>
      <c r="W176" s="6" t="str">
        <f t="shared" si="46"/>
        <v>L</v>
      </c>
      <c r="X176" s="6" t="str">
        <f t="shared" si="47"/>
        <v>K</v>
      </c>
      <c r="Y176" s="8">
        <f t="shared" si="49"/>
        <v>6</v>
      </c>
    </row>
    <row r="177" spans="1:25" x14ac:dyDescent="0.2">
      <c r="A177" t="s">
        <v>511</v>
      </c>
      <c r="F177">
        <v>176</v>
      </c>
      <c r="G177" t="s">
        <v>326</v>
      </c>
      <c r="H177" t="s">
        <v>329</v>
      </c>
      <c r="I177" t="s">
        <v>325</v>
      </c>
      <c r="J177" t="s">
        <v>335</v>
      </c>
      <c r="K177" t="s">
        <v>333</v>
      </c>
      <c r="L177" t="s">
        <v>327</v>
      </c>
      <c r="M177" t="s">
        <v>330</v>
      </c>
      <c r="N177" t="s">
        <v>331</v>
      </c>
      <c r="P177">
        <f t="shared" si="48"/>
        <v>176</v>
      </c>
      <c r="Q177" s="5" t="str">
        <f t="shared" si="40"/>
        <v>I</v>
      </c>
      <c r="R177" s="6" t="str">
        <f t="shared" si="41"/>
        <v>G</v>
      </c>
      <c r="S177" s="6" t="str">
        <f t="shared" si="42"/>
        <v>J</v>
      </c>
      <c r="T177" s="6" t="str">
        <f t="shared" si="43"/>
        <v>D</v>
      </c>
      <c r="U177" s="6" t="str">
        <f t="shared" si="44"/>
        <v>A</v>
      </c>
      <c r="V177" s="6" t="str">
        <f t="shared" si="45"/>
        <v>F</v>
      </c>
      <c r="W177" s="6" t="str">
        <f t="shared" si="46"/>
        <v>L</v>
      </c>
      <c r="X177" s="6" t="str">
        <f t="shared" si="47"/>
        <v>K</v>
      </c>
      <c r="Y177" s="8">
        <f t="shared" si="49"/>
        <v>7</v>
      </c>
    </row>
    <row r="178" spans="1:25" x14ac:dyDescent="0.2">
      <c r="A178" t="s">
        <v>512</v>
      </c>
      <c r="F178">
        <v>177</v>
      </c>
      <c r="G178" t="s">
        <v>328</v>
      </c>
      <c r="H178" t="s">
        <v>329</v>
      </c>
      <c r="I178" t="s">
        <v>325</v>
      </c>
      <c r="J178" t="s">
        <v>335</v>
      </c>
      <c r="K178" t="s">
        <v>333</v>
      </c>
      <c r="L178" t="s">
        <v>327</v>
      </c>
      <c r="M178" t="s">
        <v>330</v>
      </c>
      <c r="N178" t="s">
        <v>331</v>
      </c>
      <c r="P178">
        <f t="shared" si="48"/>
        <v>177</v>
      </c>
      <c r="Q178" s="5" t="str">
        <f t="shared" si="40"/>
        <v>H</v>
      </c>
      <c r="R178" s="6" t="str">
        <f t="shared" si="41"/>
        <v>G</v>
      </c>
      <c r="S178" s="6" t="str">
        <f t="shared" si="42"/>
        <v>J</v>
      </c>
      <c r="T178" s="6" t="str">
        <f t="shared" si="43"/>
        <v>D</v>
      </c>
      <c r="U178" s="6" t="str">
        <f t="shared" si="44"/>
        <v>A</v>
      </c>
      <c r="V178" s="6" t="str">
        <f t="shared" si="45"/>
        <v>F</v>
      </c>
      <c r="W178" s="6" t="str">
        <f t="shared" si="46"/>
        <v>L</v>
      </c>
      <c r="X178" s="6" t="str">
        <f t="shared" si="47"/>
        <v>K</v>
      </c>
      <c r="Y178" s="8">
        <f t="shared" si="49"/>
        <v>6</v>
      </c>
    </row>
    <row r="179" spans="1:25" x14ac:dyDescent="0.2">
      <c r="A179" t="s">
        <v>513</v>
      </c>
      <c r="F179">
        <v>178</v>
      </c>
      <c r="G179" t="s">
        <v>328</v>
      </c>
      <c r="H179" t="s">
        <v>329</v>
      </c>
      <c r="I179" t="s">
        <v>326</v>
      </c>
      <c r="J179" t="s">
        <v>335</v>
      </c>
      <c r="K179" t="s">
        <v>333</v>
      </c>
      <c r="L179" t="s">
        <v>327</v>
      </c>
      <c r="M179" t="s">
        <v>330</v>
      </c>
      <c r="N179" t="s">
        <v>331</v>
      </c>
      <c r="P179">
        <f t="shared" si="48"/>
        <v>178</v>
      </c>
      <c r="Q179" s="5" t="str">
        <f t="shared" si="40"/>
        <v>H</v>
      </c>
      <c r="R179" s="6" t="str">
        <f t="shared" si="41"/>
        <v>G</v>
      </c>
      <c r="S179" s="6" t="str">
        <f t="shared" si="42"/>
        <v>I</v>
      </c>
      <c r="T179" s="6" t="str">
        <f t="shared" si="43"/>
        <v>D</v>
      </c>
      <c r="U179" s="6" t="str">
        <f t="shared" si="44"/>
        <v>A</v>
      </c>
      <c r="V179" s="6" t="str">
        <f t="shared" si="45"/>
        <v>F</v>
      </c>
      <c r="W179" s="6" t="str">
        <f t="shared" si="46"/>
        <v>L</v>
      </c>
      <c r="X179" s="6" t="str">
        <f t="shared" si="47"/>
        <v>K</v>
      </c>
      <c r="Y179" s="8">
        <f t="shared" si="49"/>
        <v>6</v>
      </c>
    </row>
    <row r="180" spans="1:25" x14ac:dyDescent="0.2">
      <c r="A180" t="s">
        <v>514</v>
      </c>
      <c r="F180">
        <v>179</v>
      </c>
      <c r="G180" t="s">
        <v>328</v>
      </c>
      <c r="H180" t="s">
        <v>329</v>
      </c>
      <c r="I180" t="s">
        <v>325</v>
      </c>
      <c r="J180" t="s">
        <v>335</v>
      </c>
      <c r="K180" t="s">
        <v>333</v>
      </c>
      <c r="L180" t="s">
        <v>327</v>
      </c>
      <c r="M180" t="s">
        <v>330</v>
      </c>
      <c r="N180" t="s">
        <v>326</v>
      </c>
      <c r="P180">
        <f t="shared" si="48"/>
        <v>179</v>
      </c>
      <c r="Q180" s="5" t="str">
        <f t="shared" si="40"/>
        <v>H</v>
      </c>
      <c r="R180" s="6" t="str">
        <f t="shared" si="41"/>
        <v>G</v>
      </c>
      <c r="S180" s="6" t="str">
        <f t="shared" si="42"/>
        <v>J</v>
      </c>
      <c r="T180" s="6" t="str">
        <f t="shared" si="43"/>
        <v>D</v>
      </c>
      <c r="U180" s="6" t="str">
        <f t="shared" si="44"/>
        <v>A</v>
      </c>
      <c r="V180" s="6" t="str">
        <f t="shared" si="45"/>
        <v>F</v>
      </c>
      <c r="W180" s="6" t="str">
        <f t="shared" si="46"/>
        <v>L</v>
      </c>
      <c r="X180" s="6" t="str">
        <f t="shared" si="47"/>
        <v>I</v>
      </c>
      <c r="Y180" s="8">
        <f t="shared" si="49"/>
        <v>7</v>
      </c>
    </row>
    <row r="181" spans="1:25" x14ac:dyDescent="0.2">
      <c r="A181" t="s">
        <v>515</v>
      </c>
      <c r="F181">
        <v>180</v>
      </c>
      <c r="G181" t="s">
        <v>328</v>
      </c>
      <c r="H181" t="s">
        <v>329</v>
      </c>
      <c r="I181" t="s">
        <v>325</v>
      </c>
      <c r="J181" t="s">
        <v>335</v>
      </c>
      <c r="K181" t="s">
        <v>333</v>
      </c>
      <c r="L181" t="s">
        <v>327</v>
      </c>
      <c r="M181" t="s">
        <v>326</v>
      </c>
      <c r="N181" t="s">
        <v>331</v>
      </c>
      <c r="P181">
        <f t="shared" si="48"/>
        <v>180</v>
      </c>
      <c r="Q181" s="5" t="str">
        <f t="shared" si="40"/>
        <v>H</v>
      </c>
      <c r="R181" s="6" t="str">
        <f t="shared" si="41"/>
        <v>G</v>
      </c>
      <c r="S181" s="6" t="str">
        <f t="shared" si="42"/>
        <v>J</v>
      </c>
      <c r="T181" s="6" t="str">
        <f t="shared" si="43"/>
        <v>D</v>
      </c>
      <c r="U181" s="6" t="str">
        <f t="shared" si="44"/>
        <v>A</v>
      </c>
      <c r="V181" s="6" t="str">
        <f t="shared" si="45"/>
        <v>F</v>
      </c>
      <c r="W181" s="6" t="str">
        <f t="shared" si="46"/>
        <v>I</v>
      </c>
      <c r="X181" s="6" t="str">
        <f t="shared" si="47"/>
        <v>K</v>
      </c>
      <c r="Y181" s="8">
        <f t="shared" si="49"/>
        <v>6</v>
      </c>
    </row>
    <row r="182" spans="1:25" x14ac:dyDescent="0.2">
      <c r="A182" t="s">
        <v>516</v>
      </c>
      <c r="F182">
        <v>181</v>
      </c>
      <c r="G182" t="s">
        <v>324</v>
      </c>
      <c r="H182" t="s">
        <v>325</v>
      </c>
      <c r="I182" t="s">
        <v>326</v>
      </c>
      <c r="J182" t="s">
        <v>335</v>
      </c>
      <c r="K182" t="s">
        <v>333</v>
      </c>
      <c r="L182" t="s">
        <v>328</v>
      </c>
      <c r="M182" t="s">
        <v>330</v>
      </c>
      <c r="N182" t="s">
        <v>331</v>
      </c>
      <c r="P182">
        <f t="shared" si="48"/>
        <v>181</v>
      </c>
      <c r="Q182" s="5" t="str">
        <f t="shared" si="40"/>
        <v>E</v>
      </c>
      <c r="R182" s="6" t="str">
        <f t="shared" si="41"/>
        <v>J</v>
      </c>
      <c r="S182" s="6" t="str">
        <f t="shared" si="42"/>
        <v>I</v>
      </c>
      <c r="T182" s="6" t="str">
        <f t="shared" si="43"/>
        <v>D</v>
      </c>
      <c r="U182" s="6" t="str">
        <f t="shared" si="44"/>
        <v>A</v>
      </c>
      <c r="V182" s="6" t="str">
        <f t="shared" si="45"/>
        <v>H</v>
      </c>
      <c r="W182" s="6" t="str">
        <f t="shared" si="46"/>
        <v>L</v>
      </c>
      <c r="X182" s="6" t="str">
        <f t="shared" si="47"/>
        <v>K</v>
      </c>
      <c r="Y182" s="8">
        <f t="shared" si="49"/>
        <v>6</v>
      </c>
    </row>
    <row r="183" spans="1:25" x14ac:dyDescent="0.2">
      <c r="A183" t="s">
        <v>517</v>
      </c>
      <c r="F183">
        <v>182</v>
      </c>
      <c r="G183" t="s">
        <v>324</v>
      </c>
      <c r="H183" t="s">
        <v>325</v>
      </c>
      <c r="I183" t="s">
        <v>326</v>
      </c>
      <c r="J183" t="s">
        <v>335</v>
      </c>
      <c r="K183" t="s">
        <v>333</v>
      </c>
      <c r="L183" t="s">
        <v>329</v>
      </c>
      <c r="M183" t="s">
        <v>330</v>
      </c>
      <c r="N183" t="s">
        <v>331</v>
      </c>
      <c r="P183">
        <f t="shared" si="48"/>
        <v>182</v>
      </c>
      <c r="Q183" s="5" t="str">
        <f t="shared" si="40"/>
        <v>E</v>
      </c>
      <c r="R183" s="6" t="str">
        <f t="shared" si="41"/>
        <v>J</v>
      </c>
      <c r="S183" s="6" t="str">
        <f t="shared" si="42"/>
        <v>I</v>
      </c>
      <c r="T183" s="6" t="str">
        <f t="shared" si="43"/>
        <v>D</v>
      </c>
      <c r="U183" s="6" t="str">
        <f t="shared" si="44"/>
        <v>A</v>
      </c>
      <c r="V183" s="6" t="str">
        <f t="shared" si="45"/>
        <v>G</v>
      </c>
      <c r="W183" s="6" t="str">
        <f t="shared" si="46"/>
        <v>L</v>
      </c>
      <c r="X183" s="6" t="str">
        <f t="shared" si="47"/>
        <v>K</v>
      </c>
      <c r="Y183" s="8">
        <f t="shared" si="49"/>
        <v>7</v>
      </c>
    </row>
    <row r="184" spans="1:25" x14ac:dyDescent="0.2">
      <c r="A184" t="s">
        <v>518</v>
      </c>
      <c r="F184">
        <v>183</v>
      </c>
      <c r="G184" t="s">
        <v>324</v>
      </c>
      <c r="H184" t="s">
        <v>329</v>
      </c>
      <c r="I184" t="s">
        <v>325</v>
      </c>
      <c r="J184" t="s">
        <v>335</v>
      </c>
      <c r="K184" t="s">
        <v>333</v>
      </c>
      <c r="L184" t="s">
        <v>328</v>
      </c>
      <c r="M184" t="s">
        <v>330</v>
      </c>
      <c r="N184" t="s">
        <v>331</v>
      </c>
      <c r="P184">
        <f t="shared" si="48"/>
        <v>183</v>
      </c>
      <c r="Q184" s="5" t="str">
        <f t="shared" si="40"/>
        <v>E</v>
      </c>
      <c r="R184" s="6" t="str">
        <f t="shared" si="41"/>
        <v>G</v>
      </c>
      <c r="S184" s="6" t="str">
        <f t="shared" si="42"/>
        <v>J</v>
      </c>
      <c r="T184" s="6" t="str">
        <f t="shared" si="43"/>
        <v>D</v>
      </c>
      <c r="U184" s="6" t="str">
        <f t="shared" si="44"/>
        <v>A</v>
      </c>
      <c r="V184" s="6" t="str">
        <f t="shared" si="45"/>
        <v>H</v>
      </c>
      <c r="W184" s="6" t="str">
        <f t="shared" si="46"/>
        <v>L</v>
      </c>
      <c r="X184" s="6" t="str">
        <f t="shared" si="47"/>
        <v>K</v>
      </c>
      <c r="Y184" s="8">
        <f t="shared" si="49"/>
        <v>6</v>
      </c>
    </row>
    <row r="185" spans="1:25" x14ac:dyDescent="0.2">
      <c r="A185" t="s">
        <v>519</v>
      </c>
      <c r="F185">
        <v>184</v>
      </c>
      <c r="G185" t="s">
        <v>324</v>
      </c>
      <c r="H185" t="s">
        <v>329</v>
      </c>
      <c r="I185" t="s">
        <v>326</v>
      </c>
      <c r="J185" t="s">
        <v>335</v>
      </c>
      <c r="K185" t="s">
        <v>333</v>
      </c>
      <c r="L185" t="s">
        <v>328</v>
      </c>
      <c r="M185" t="s">
        <v>330</v>
      </c>
      <c r="N185" t="s">
        <v>331</v>
      </c>
      <c r="P185">
        <f t="shared" si="48"/>
        <v>184</v>
      </c>
      <c r="Q185" s="5" t="str">
        <f t="shared" si="40"/>
        <v>E</v>
      </c>
      <c r="R185" s="6" t="str">
        <f t="shared" si="41"/>
        <v>G</v>
      </c>
      <c r="S185" s="6" t="str">
        <f t="shared" si="42"/>
        <v>I</v>
      </c>
      <c r="T185" s="6" t="str">
        <f t="shared" si="43"/>
        <v>D</v>
      </c>
      <c r="U185" s="6" t="str">
        <f t="shared" si="44"/>
        <v>A</v>
      </c>
      <c r="V185" s="6" t="str">
        <f t="shared" si="45"/>
        <v>H</v>
      </c>
      <c r="W185" s="6" t="str">
        <f t="shared" si="46"/>
        <v>L</v>
      </c>
      <c r="X185" s="6" t="str">
        <f t="shared" si="47"/>
        <v>K</v>
      </c>
      <c r="Y185" s="8">
        <f t="shared" si="49"/>
        <v>6</v>
      </c>
    </row>
    <row r="186" spans="1:25" x14ac:dyDescent="0.2">
      <c r="A186" t="s">
        <v>520</v>
      </c>
      <c r="F186">
        <v>185</v>
      </c>
      <c r="G186" t="s">
        <v>324</v>
      </c>
      <c r="H186" t="s">
        <v>329</v>
      </c>
      <c r="I186" t="s">
        <v>325</v>
      </c>
      <c r="J186" t="s">
        <v>335</v>
      </c>
      <c r="K186" t="s">
        <v>333</v>
      </c>
      <c r="L186" t="s">
        <v>328</v>
      </c>
      <c r="M186" t="s">
        <v>330</v>
      </c>
      <c r="N186" t="s">
        <v>326</v>
      </c>
      <c r="P186">
        <f t="shared" si="48"/>
        <v>185</v>
      </c>
      <c r="Q186" s="5" t="str">
        <f t="shared" si="40"/>
        <v>E</v>
      </c>
      <c r="R186" s="6" t="str">
        <f t="shared" si="41"/>
        <v>G</v>
      </c>
      <c r="S186" s="6" t="str">
        <f t="shared" si="42"/>
        <v>J</v>
      </c>
      <c r="T186" s="6" t="str">
        <f t="shared" si="43"/>
        <v>D</v>
      </c>
      <c r="U186" s="6" t="str">
        <f t="shared" si="44"/>
        <v>A</v>
      </c>
      <c r="V186" s="6" t="str">
        <f t="shared" si="45"/>
        <v>H</v>
      </c>
      <c r="W186" s="6" t="str">
        <f t="shared" si="46"/>
        <v>L</v>
      </c>
      <c r="X186" s="6" t="str">
        <f t="shared" si="47"/>
        <v>I</v>
      </c>
      <c r="Y186" s="8">
        <f t="shared" si="49"/>
        <v>7</v>
      </c>
    </row>
    <row r="187" spans="1:25" x14ac:dyDescent="0.2">
      <c r="A187" t="s">
        <v>521</v>
      </c>
      <c r="F187">
        <v>186</v>
      </c>
      <c r="G187" t="s">
        <v>324</v>
      </c>
      <c r="H187" t="s">
        <v>329</v>
      </c>
      <c r="I187" t="s">
        <v>325</v>
      </c>
      <c r="J187" t="s">
        <v>335</v>
      </c>
      <c r="K187" t="s">
        <v>333</v>
      </c>
      <c r="L187" t="s">
        <v>328</v>
      </c>
      <c r="M187" t="s">
        <v>326</v>
      </c>
      <c r="N187" t="s">
        <v>331</v>
      </c>
      <c r="P187">
        <f t="shared" si="48"/>
        <v>186</v>
      </c>
      <c r="Q187" s="5" t="str">
        <f t="shared" si="40"/>
        <v>E</v>
      </c>
      <c r="R187" s="6" t="str">
        <f t="shared" si="41"/>
        <v>G</v>
      </c>
      <c r="S187" s="6" t="str">
        <f t="shared" si="42"/>
        <v>J</v>
      </c>
      <c r="T187" s="6" t="str">
        <f t="shared" si="43"/>
        <v>D</v>
      </c>
      <c r="U187" s="6" t="str">
        <f t="shared" si="44"/>
        <v>A</v>
      </c>
      <c r="V187" s="6" t="str">
        <f t="shared" si="45"/>
        <v>H</v>
      </c>
      <c r="W187" s="6" t="str">
        <f t="shared" si="46"/>
        <v>I</v>
      </c>
      <c r="X187" s="6" t="str">
        <f t="shared" si="47"/>
        <v>K</v>
      </c>
      <c r="Y187" s="8">
        <f t="shared" si="49"/>
        <v>6</v>
      </c>
    </row>
    <row r="188" spans="1:25" x14ac:dyDescent="0.2">
      <c r="A188" t="s">
        <v>522</v>
      </c>
      <c r="F188">
        <v>187</v>
      </c>
      <c r="G188" t="s">
        <v>324</v>
      </c>
      <c r="H188" t="s">
        <v>325</v>
      </c>
      <c r="I188" t="s">
        <v>326</v>
      </c>
      <c r="J188" t="s">
        <v>335</v>
      </c>
      <c r="K188" t="s">
        <v>333</v>
      </c>
      <c r="L188" t="s">
        <v>327</v>
      </c>
      <c r="M188" t="s">
        <v>330</v>
      </c>
      <c r="N188" t="s">
        <v>331</v>
      </c>
      <c r="P188">
        <f t="shared" si="48"/>
        <v>187</v>
      </c>
      <c r="Q188" s="5" t="str">
        <f t="shared" si="40"/>
        <v>E</v>
      </c>
      <c r="R188" s="6" t="str">
        <f t="shared" si="41"/>
        <v>J</v>
      </c>
      <c r="S188" s="6" t="str">
        <f t="shared" si="42"/>
        <v>I</v>
      </c>
      <c r="T188" s="6" t="str">
        <f t="shared" si="43"/>
        <v>D</v>
      </c>
      <c r="U188" s="6" t="str">
        <f t="shared" si="44"/>
        <v>A</v>
      </c>
      <c r="V188" s="6" t="str">
        <f t="shared" si="45"/>
        <v>F</v>
      </c>
      <c r="W188" s="6" t="str">
        <f t="shared" si="46"/>
        <v>L</v>
      </c>
      <c r="X188" s="6" t="str">
        <f t="shared" si="47"/>
        <v>K</v>
      </c>
      <c r="Y188" s="8">
        <f t="shared" si="49"/>
        <v>7</v>
      </c>
    </row>
    <row r="189" spans="1:25" x14ac:dyDescent="0.2">
      <c r="A189" t="s">
        <v>523</v>
      </c>
      <c r="F189">
        <v>188</v>
      </c>
      <c r="G189" t="s">
        <v>328</v>
      </c>
      <c r="H189" t="s">
        <v>325</v>
      </c>
      <c r="I189" t="s">
        <v>324</v>
      </c>
      <c r="J189" t="s">
        <v>335</v>
      </c>
      <c r="K189" t="s">
        <v>333</v>
      </c>
      <c r="L189" t="s">
        <v>327</v>
      </c>
      <c r="M189" t="s">
        <v>330</v>
      </c>
      <c r="N189" t="s">
        <v>331</v>
      </c>
      <c r="P189">
        <f t="shared" si="48"/>
        <v>188</v>
      </c>
      <c r="Q189" s="5" t="str">
        <f t="shared" si="40"/>
        <v>H</v>
      </c>
      <c r="R189" s="6" t="str">
        <f t="shared" si="41"/>
        <v>J</v>
      </c>
      <c r="S189" s="6" t="str">
        <f t="shared" si="42"/>
        <v>E</v>
      </c>
      <c r="T189" s="6" t="str">
        <f t="shared" si="43"/>
        <v>D</v>
      </c>
      <c r="U189" s="6" t="str">
        <f t="shared" si="44"/>
        <v>A</v>
      </c>
      <c r="V189" s="6" t="str">
        <f t="shared" si="45"/>
        <v>F</v>
      </c>
      <c r="W189" s="6" t="str">
        <f t="shared" si="46"/>
        <v>L</v>
      </c>
      <c r="X189" s="6" t="str">
        <f t="shared" si="47"/>
        <v>K</v>
      </c>
      <c r="Y189" s="8">
        <f t="shared" si="49"/>
        <v>6</v>
      </c>
    </row>
    <row r="190" spans="1:25" x14ac:dyDescent="0.2">
      <c r="A190" t="s">
        <v>524</v>
      </c>
      <c r="F190">
        <v>189</v>
      </c>
      <c r="G190" t="s">
        <v>328</v>
      </c>
      <c r="H190" t="s">
        <v>324</v>
      </c>
      <c r="I190" t="s">
        <v>326</v>
      </c>
      <c r="J190" t="s">
        <v>335</v>
      </c>
      <c r="K190" t="s">
        <v>333</v>
      </c>
      <c r="L190" t="s">
        <v>327</v>
      </c>
      <c r="M190" t="s">
        <v>330</v>
      </c>
      <c r="N190" t="s">
        <v>331</v>
      </c>
      <c r="P190">
        <f t="shared" si="48"/>
        <v>189</v>
      </c>
      <c r="Q190" s="5" t="str">
        <f t="shared" si="40"/>
        <v>H</v>
      </c>
      <c r="R190" s="6" t="str">
        <f t="shared" si="41"/>
        <v>E</v>
      </c>
      <c r="S190" s="6" t="str">
        <f t="shared" si="42"/>
        <v>I</v>
      </c>
      <c r="T190" s="6" t="str">
        <f t="shared" si="43"/>
        <v>D</v>
      </c>
      <c r="U190" s="6" t="str">
        <f t="shared" si="44"/>
        <v>A</v>
      </c>
      <c r="V190" s="6" t="str">
        <f t="shared" si="45"/>
        <v>F</v>
      </c>
      <c r="W190" s="6" t="str">
        <f t="shared" si="46"/>
        <v>L</v>
      </c>
      <c r="X190" s="6" t="str">
        <f t="shared" si="47"/>
        <v>K</v>
      </c>
      <c r="Y190" s="8">
        <f t="shared" si="49"/>
        <v>6</v>
      </c>
    </row>
    <row r="191" spans="1:25" x14ac:dyDescent="0.2">
      <c r="A191" t="s">
        <v>525</v>
      </c>
      <c r="F191">
        <v>190</v>
      </c>
      <c r="G191" t="s">
        <v>328</v>
      </c>
      <c r="H191" t="s">
        <v>325</v>
      </c>
      <c r="I191" t="s">
        <v>324</v>
      </c>
      <c r="J191" t="s">
        <v>335</v>
      </c>
      <c r="K191" t="s">
        <v>333</v>
      </c>
      <c r="L191" t="s">
        <v>327</v>
      </c>
      <c r="M191" t="s">
        <v>330</v>
      </c>
      <c r="N191" t="s">
        <v>326</v>
      </c>
      <c r="P191">
        <f t="shared" si="48"/>
        <v>190</v>
      </c>
      <c r="Q191" s="5" t="str">
        <f t="shared" si="40"/>
        <v>H</v>
      </c>
      <c r="R191" s="6" t="str">
        <f t="shared" si="41"/>
        <v>J</v>
      </c>
      <c r="S191" s="6" t="str">
        <f t="shared" si="42"/>
        <v>E</v>
      </c>
      <c r="T191" s="6" t="str">
        <f t="shared" si="43"/>
        <v>D</v>
      </c>
      <c r="U191" s="6" t="str">
        <f t="shared" si="44"/>
        <v>A</v>
      </c>
      <c r="V191" s="6" t="str">
        <f t="shared" si="45"/>
        <v>F</v>
      </c>
      <c r="W191" s="6" t="str">
        <f t="shared" si="46"/>
        <v>L</v>
      </c>
      <c r="X191" s="6" t="str">
        <f t="shared" si="47"/>
        <v>I</v>
      </c>
      <c r="Y191" s="8">
        <f t="shared" si="49"/>
        <v>7</v>
      </c>
    </row>
    <row r="192" spans="1:25" x14ac:dyDescent="0.2">
      <c r="A192" t="s">
        <v>526</v>
      </c>
      <c r="F192">
        <v>191</v>
      </c>
      <c r="G192" t="s">
        <v>328</v>
      </c>
      <c r="H192" t="s">
        <v>325</v>
      </c>
      <c r="I192" t="s">
        <v>324</v>
      </c>
      <c r="J192" t="s">
        <v>335</v>
      </c>
      <c r="K192" t="s">
        <v>333</v>
      </c>
      <c r="L192" t="s">
        <v>327</v>
      </c>
      <c r="M192" t="s">
        <v>326</v>
      </c>
      <c r="N192" t="s">
        <v>331</v>
      </c>
      <c r="P192">
        <f t="shared" si="48"/>
        <v>191</v>
      </c>
      <c r="Q192" s="5" t="str">
        <f t="shared" si="40"/>
        <v>H</v>
      </c>
      <c r="R192" s="6" t="str">
        <f t="shared" si="41"/>
        <v>J</v>
      </c>
      <c r="S192" s="6" t="str">
        <f t="shared" si="42"/>
        <v>E</v>
      </c>
      <c r="T192" s="6" t="str">
        <f t="shared" si="43"/>
        <v>D</v>
      </c>
      <c r="U192" s="6" t="str">
        <f t="shared" si="44"/>
        <v>A</v>
      </c>
      <c r="V192" s="6" t="str">
        <f t="shared" si="45"/>
        <v>F</v>
      </c>
      <c r="W192" s="6" t="str">
        <f t="shared" si="46"/>
        <v>I</v>
      </c>
      <c r="X192" s="6" t="str">
        <f t="shared" si="47"/>
        <v>K</v>
      </c>
      <c r="Y192" s="8">
        <f t="shared" si="49"/>
        <v>6</v>
      </c>
    </row>
    <row r="193" spans="1:25" x14ac:dyDescent="0.2">
      <c r="A193" t="s">
        <v>527</v>
      </c>
      <c r="F193">
        <v>192</v>
      </c>
      <c r="G193" t="s">
        <v>324</v>
      </c>
      <c r="H193" t="s">
        <v>329</v>
      </c>
      <c r="I193" t="s">
        <v>325</v>
      </c>
      <c r="J193" t="s">
        <v>335</v>
      </c>
      <c r="K193" t="s">
        <v>333</v>
      </c>
      <c r="L193" t="s">
        <v>327</v>
      </c>
      <c r="M193" t="s">
        <v>330</v>
      </c>
      <c r="N193" t="s">
        <v>331</v>
      </c>
      <c r="P193">
        <f t="shared" si="48"/>
        <v>192</v>
      </c>
      <c r="Q193" s="5" t="str">
        <f t="shared" si="40"/>
        <v>E</v>
      </c>
      <c r="R193" s="6" t="str">
        <f t="shared" si="41"/>
        <v>G</v>
      </c>
      <c r="S193" s="6" t="str">
        <f t="shared" si="42"/>
        <v>J</v>
      </c>
      <c r="T193" s="6" t="str">
        <f t="shared" si="43"/>
        <v>D</v>
      </c>
      <c r="U193" s="6" t="str">
        <f t="shared" si="44"/>
        <v>A</v>
      </c>
      <c r="V193" s="6" t="str">
        <f t="shared" si="45"/>
        <v>F</v>
      </c>
      <c r="W193" s="6" t="str">
        <f t="shared" si="46"/>
        <v>L</v>
      </c>
      <c r="X193" s="6" t="str">
        <f t="shared" si="47"/>
        <v>K</v>
      </c>
      <c r="Y193" s="8">
        <f t="shared" si="49"/>
        <v>7</v>
      </c>
    </row>
    <row r="194" spans="1:25" x14ac:dyDescent="0.2">
      <c r="A194" t="s">
        <v>528</v>
      </c>
      <c r="F194">
        <v>193</v>
      </c>
      <c r="G194" t="s">
        <v>324</v>
      </c>
      <c r="H194" t="s">
        <v>329</v>
      </c>
      <c r="I194" t="s">
        <v>326</v>
      </c>
      <c r="J194" t="s">
        <v>335</v>
      </c>
      <c r="K194" t="s">
        <v>333</v>
      </c>
      <c r="L194" t="s">
        <v>327</v>
      </c>
      <c r="M194" t="s">
        <v>330</v>
      </c>
      <c r="N194" t="s">
        <v>331</v>
      </c>
      <c r="P194">
        <f t="shared" si="48"/>
        <v>193</v>
      </c>
      <c r="Q194" s="5" t="str">
        <f t="shared" ref="Q194:Q257" si="50">+RIGHT(G194,1)</f>
        <v>E</v>
      </c>
      <c r="R194" s="6" t="str">
        <f t="shared" ref="R194:R257" si="51">+RIGHT(H194,1)</f>
        <v>G</v>
      </c>
      <c r="S194" s="6" t="str">
        <f t="shared" ref="S194:S257" si="52">+RIGHT(I194,1)</f>
        <v>I</v>
      </c>
      <c r="T194" s="6" t="str">
        <f t="shared" ref="T194:T257" si="53">+RIGHT(J194,1)</f>
        <v>D</v>
      </c>
      <c r="U194" s="6" t="str">
        <f t="shared" ref="U194:U257" si="54">+RIGHT(K194,1)</f>
        <v>A</v>
      </c>
      <c r="V194" s="6" t="str">
        <f t="shared" ref="V194:V257" si="55">+RIGHT(L194,1)</f>
        <v>F</v>
      </c>
      <c r="W194" s="6" t="str">
        <f t="shared" ref="W194:W257" si="56">+RIGHT(M194,1)</f>
        <v>L</v>
      </c>
      <c r="X194" s="6" t="str">
        <f t="shared" ref="X194:X257" si="57">+RIGHT(N194,1)</f>
        <v>K</v>
      </c>
      <c r="Y194" s="8">
        <f t="shared" si="49"/>
        <v>7</v>
      </c>
    </row>
    <row r="195" spans="1:25" x14ac:dyDescent="0.2">
      <c r="A195" t="s">
        <v>529</v>
      </c>
      <c r="F195">
        <v>194</v>
      </c>
      <c r="G195" t="s">
        <v>324</v>
      </c>
      <c r="H195" t="s">
        <v>329</v>
      </c>
      <c r="I195" t="s">
        <v>325</v>
      </c>
      <c r="J195" t="s">
        <v>335</v>
      </c>
      <c r="K195" t="s">
        <v>333</v>
      </c>
      <c r="L195" t="s">
        <v>327</v>
      </c>
      <c r="M195" t="s">
        <v>330</v>
      </c>
      <c r="N195" t="s">
        <v>326</v>
      </c>
      <c r="P195">
        <f t="shared" ref="P195:P258" si="58">+F195</f>
        <v>194</v>
      </c>
      <c r="Q195" s="5" t="str">
        <f t="shared" si="50"/>
        <v>E</v>
      </c>
      <c r="R195" s="6" t="str">
        <f t="shared" si="51"/>
        <v>G</v>
      </c>
      <c r="S195" s="6" t="str">
        <f t="shared" si="52"/>
        <v>J</v>
      </c>
      <c r="T195" s="6" t="str">
        <f t="shared" si="53"/>
        <v>D</v>
      </c>
      <c r="U195" s="6" t="str">
        <f t="shared" si="54"/>
        <v>A</v>
      </c>
      <c r="V195" s="6" t="str">
        <f t="shared" si="55"/>
        <v>F</v>
      </c>
      <c r="W195" s="6" t="str">
        <f t="shared" si="56"/>
        <v>L</v>
      </c>
      <c r="X195" s="6" t="str">
        <f t="shared" si="57"/>
        <v>I</v>
      </c>
      <c r="Y195" s="8">
        <f t="shared" ref="Y195:Y258" si="59">+COUNTIF($AA$2:$AA$9,Q195)+COUNTIF($AA$2:$AA$9,R195)+COUNTIF($AA$2:$AA$9,S195)+COUNTIF($AA$2:$AA$9,T195)+COUNTIF($AA$2:$AA$9,U195)+COUNTIF($AA$2:$AA$9,V195)+COUNTIF($AA$2:$AA$9,W195)+COUNTIF($AA$2:$AA$9,X195)</f>
        <v>8</v>
      </c>
    </row>
    <row r="196" spans="1:25" x14ac:dyDescent="0.2">
      <c r="A196" t="s">
        <v>530</v>
      </c>
      <c r="F196">
        <v>195</v>
      </c>
      <c r="G196" t="s">
        <v>324</v>
      </c>
      <c r="H196" t="s">
        <v>329</v>
      </c>
      <c r="I196" t="s">
        <v>325</v>
      </c>
      <c r="J196" t="s">
        <v>335</v>
      </c>
      <c r="K196" t="s">
        <v>333</v>
      </c>
      <c r="L196" t="s">
        <v>327</v>
      </c>
      <c r="M196" t="s">
        <v>326</v>
      </c>
      <c r="N196" t="s">
        <v>331</v>
      </c>
      <c r="P196">
        <f t="shared" si="58"/>
        <v>195</v>
      </c>
      <c r="Q196" s="5" t="str">
        <f t="shared" si="50"/>
        <v>E</v>
      </c>
      <c r="R196" s="6" t="str">
        <f t="shared" si="51"/>
        <v>G</v>
      </c>
      <c r="S196" s="6" t="str">
        <f t="shared" si="52"/>
        <v>J</v>
      </c>
      <c r="T196" s="6" t="str">
        <f t="shared" si="53"/>
        <v>D</v>
      </c>
      <c r="U196" s="6" t="str">
        <f t="shared" si="54"/>
        <v>A</v>
      </c>
      <c r="V196" s="6" t="str">
        <f t="shared" si="55"/>
        <v>F</v>
      </c>
      <c r="W196" s="6" t="str">
        <f t="shared" si="56"/>
        <v>I</v>
      </c>
      <c r="X196" s="6" t="str">
        <f t="shared" si="57"/>
        <v>K</v>
      </c>
      <c r="Y196" s="8">
        <f t="shared" si="59"/>
        <v>7</v>
      </c>
    </row>
    <row r="197" spans="1:25" x14ac:dyDescent="0.2">
      <c r="A197" t="s">
        <v>531</v>
      </c>
      <c r="F197">
        <v>196</v>
      </c>
      <c r="G197" t="s">
        <v>328</v>
      </c>
      <c r="H197" t="s">
        <v>329</v>
      </c>
      <c r="I197" t="s">
        <v>324</v>
      </c>
      <c r="J197" t="s">
        <v>335</v>
      </c>
      <c r="K197" t="s">
        <v>333</v>
      </c>
      <c r="L197" t="s">
        <v>327</v>
      </c>
      <c r="M197" t="s">
        <v>330</v>
      </c>
      <c r="N197" t="s">
        <v>331</v>
      </c>
      <c r="P197">
        <f t="shared" si="58"/>
        <v>196</v>
      </c>
      <c r="Q197" s="5" t="str">
        <f t="shared" si="50"/>
        <v>H</v>
      </c>
      <c r="R197" s="6" t="str">
        <f t="shared" si="51"/>
        <v>G</v>
      </c>
      <c r="S197" s="6" t="str">
        <f t="shared" si="52"/>
        <v>E</v>
      </c>
      <c r="T197" s="6" t="str">
        <f t="shared" si="53"/>
        <v>D</v>
      </c>
      <c r="U197" s="6" t="str">
        <f t="shared" si="54"/>
        <v>A</v>
      </c>
      <c r="V197" s="6" t="str">
        <f t="shared" si="55"/>
        <v>F</v>
      </c>
      <c r="W197" s="6" t="str">
        <f t="shared" si="56"/>
        <v>L</v>
      </c>
      <c r="X197" s="6" t="str">
        <f t="shared" si="57"/>
        <v>K</v>
      </c>
      <c r="Y197" s="8">
        <f t="shared" si="59"/>
        <v>6</v>
      </c>
    </row>
    <row r="198" spans="1:25" x14ac:dyDescent="0.2">
      <c r="A198" t="s">
        <v>532</v>
      </c>
      <c r="F198">
        <v>197</v>
      </c>
      <c r="G198" t="s">
        <v>328</v>
      </c>
      <c r="H198" t="s">
        <v>329</v>
      </c>
      <c r="I198" t="s">
        <v>325</v>
      </c>
      <c r="J198" t="s">
        <v>335</v>
      </c>
      <c r="K198" t="s">
        <v>333</v>
      </c>
      <c r="L198" t="s">
        <v>327</v>
      </c>
      <c r="M198" t="s">
        <v>330</v>
      </c>
      <c r="N198" t="s">
        <v>324</v>
      </c>
      <c r="P198">
        <f t="shared" si="58"/>
        <v>197</v>
      </c>
      <c r="Q198" s="5" t="str">
        <f t="shared" si="50"/>
        <v>H</v>
      </c>
      <c r="R198" s="6" t="str">
        <f t="shared" si="51"/>
        <v>G</v>
      </c>
      <c r="S198" s="6" t="str">
        <f t="shared" si="52"/>
        <v>J</v>
      </c>
      <c r="T198" s="6" t="str">
        <f t="shared" si="53"/>
        <v>D</v>
      </c>
      <c r="U198" s="6" t="str">
        <f t="shared" si="54"/>
        <v>A</v>
      </c>
      <c r="V198" s="6" t="str">
        <f t="shared" si="55"/>
        <v>F</v>
      </c>
      <c r="W198" s="6" t="str">
        <f t="shared" si="56"/>
        <v>L</v>
      </c>
      <c r="X198" s="6" t="str">
        <f t="shared" si="57"/>
        <v>E</v>
      </c>
      <c r="Y198" s="8">
        <f t="shared" si="59"/>
        <v>7</v>
      </c>
    </row>
    <row r="199" spans="1:25" x14ac:dyDescent="0.2">
      <c r="A199" t="s">
        <v>533</v>
      </c>
      <c r="F199">
        <v>198</v>
      </c>
      <c r="G199" t="s">
        <v>328</v>
      </c>
      <c r="H199" t="s">
        <v>329</v>
      </c>
      <c r="I199" t="s">
        <v>325</v>
      </c>
      <c r="J199" t="s">
        <v>335</v>
      </c>
      <c r="K199" t="s">
        <v>333</v>
      </c>
      <c r="L199" t="s">
        <v>327</v>
      </c>
      <c r="M199" t="s">
        <v>324</v>
      </c>
      <c r="N199" t="s">
        <v>331</v>
      </c>
      <c r="P199">
        <f t="shared" si="58"/>
        <v>198</v>
      </c>
      <c r="Q199" s="5" t="str">
        <f t="shared" si="50"/>
        <v>H</v>
      </c>
      <c r="R199" s="6" t="str">
        <f t="shared" si="51"/>
        <v>G</v>
      </c>
      <c r="S199" s="6" t="str">
        <f t="shared" si="52"/>
        <v>J</v>
      </c>
      <c r="T199" s="6" t="str">
        <f t="shared" si="53"/>
        <v>D</v>
      </c>
      <c r="U199" s="6" t="str">
        <f t="shared" si="54"/>
        <v>A</v>
      </c>
      <c r="V199" s="6" t="str">
        <f t="shared" si="55"/>
        <v>F</v>
      </c>
      <c r="W199" s="6" t="str">
        <f t="shared" si="56"/>
        <v>E</v>
      </c>
      <c r="X199" s="6" t="str">
        <f t="shared" si="57"/>
        <v>K</v>
      </c>
      <c r="Y199" s="8">
        <f t="shared" si="59"/>
        <v>6</v>
      </c>
    </row>
    <row r="200" spans="1:25" x14ac:dyDescent="0.2">
      <c r="A200" t="s">
        <v>534</v>
      </c>
      <c r="F200">
        <v>199</v>
      </c>
      <c r="G200" t="s">
        <v>328</v>
      </c>
      <c r="H200" t="s">
        <v>329</v>
      </c>
      <c r="I200" t="s">
        <v>324</v>
      </c>
      <c r="J200" t="s">
        <v>335</v>
      </c>
      <c r="K200" t="s">
        <v>333</v>
      </c>
      <c r="L200" t="s">
        <v>327</v>
      </c>
      <c r="M200" t="s">
        <v>330</v>
      </c>
      <c r="N200" t="s">
        <v>326</v>
      </c>
      <c r="P200">
        <f t="shared" si="58"/>
        <v>199</v>
      </c>
      <c r="Q200" s="5" t="str">
        <f t="shared" si="50"/>
        <v>H</v>
      </c>
      <c r="R200" s="6" t="str">
        <f t="shared" si="51"/>
        <v>G</v>
      </c>
      <c r="S200" s="6" t="str">
        <f t="shared" si="52"/>
        <v>E</v>
      </c>
      <c r="T200" s="6" t="str">
        <f t="shared" si="53"/>
        <v>D</v>
      </c>
      <c r="U200" s="6" t="str">
        <f t="shared" si="54"/>
        <v>A</v>
      </c>
      <c r="V200" s="6" t="str">
        <f t="shared" si="55"/>
        <v>F</v>
      </c>
      <c r="W200" s="6" t="str">
        <f t="shared" si="56"/>
        <v>L</v>
      </c>
      <c r="X200" s="6" t="str">
        <f t="shared" si="57"/>
        <v>I</v>
      </c>
      <c r="Y200" s="8">
        <f t="shared" si="59"/>
        <v>7</v>
      </c>
    </row>
    <row r="201" spans="1:25" x14ac:dyDescent="0.2">
      <c r="A201" t="s">
        <v>535</v>
      </c>
      <c r="F201">
        <v>200</v>
      </c>
      <c r="G201" t="s">
        <v>328</v>
      </c>
      <c r="H201" t="s">
        <v>329</v>
      </c>
      <c r="I201" t="s">
        <v>324</v>
      </c>
      <c r="J201" t="s">
        <v>335</v>
      </c>
      <c r="K201" t="s">
        <v>333</v>
      </c>
      <c r="L201" t="s">
        <v>327</v>
      </c>
      <c r="M201" t="s">
        <v>326</v>
      </c>
      <c r="N201" t="s">
        <v>331</v>
      </c>
      <c r="P201">
        <f t="shared" si="58"/>
        <v>200</v>
      </c>
      <c r="Q201" s="5" t="str">
        <f t="shared" si="50"/>
        <v>H</v>
      </c>
      <c r="R201" s="6" t="str">
        <f t="shared" si="51"/>
        <v>G</v>
      </c>
      <c r="S201" s="6" t="str">
        <f t="shared" si="52"/>
        <v>E</v>
      </c>
      <c r="T201" s="6" t="str">
        <f t="shared" si="53"/>
        <v>D</v>
      </c>
      <c r="U201" s="6" t="str">
        <f t="shared" si="54"/>
        <v>A</v>
      </c>
      <c r="V201" s="6" t="str">
        <f t="shared" si="55"/>
        <v>F</v>
      </c>
      <c r="W201" s="6" t="str">
        <f t="shared" si="56"/>
        <v>I</v>
      </c>
      <c r="X201" s="6" t="str">
        <f t="shared" si="57"/>
        <v>K</v>
      </c>
      <c r="Y201" s="8">
        <f t="shared" si="59"/>
        <v>6</v>
      </c>
    </row>
    <row r="202" spans="1:25" x14ac:dyDescent="0.2">
      <c r="A202" t="s">
        <v>536</v>
      </c>
      <c r="F202">
        <v>201</v>
      </c>
      <c r="G202" t="s">
        <v>328</v>
      </c>
      <c r="H202" t="s">
        <v>329</v>
      </c>
      <c r="I202" t="s">
        <v>325</v>
      </c>
      <c r="J202" t="s">
        <v>335</v>
      </c>
      <c r="K202" t="s">
        <v>333</v>
      </c>
      <c r="L202" t="s">
        <v>327</v>
      </c>
      <c r="M202" t="s">
        <v>324</v>
      </c>
      <c r="N202" t="s">
        <v>326</v>
      </c>
      <c r="P202">
        <f t="shared" si="58"/>
        <v>201</v>
      </c>
      <c r="Q202" s="5" t="str">
        <f t="shared" si="50"/>
        <v>H</v>
      </c>
      <c r="R202" s="6" t="str">
        <f t="shared" si="51"/>
        <v>G</v>
      </c>
      <c r="S202" s="6" t="str">
        <f t="shared" si="52"/>
        <v>J</v>
      </c>
      <c r="T202" s="6" t="str">
        <f t="shared" si="53"/>
        <v>D</v>
      </c>
      <c r="U202" s="6" t="str">
        <f t="shared" si="54"/>
        <v>A</v>
      </c>
      <c r="V202" s="6" t="str">
        <f t="shared" si="55"/>
        <v>F</v>
      </c>
      <c r="W202" s="6" t="str">
        <f t="shared" si="56"/>
        <v>E</v>
      </c>
      <c r="X202" s="6" t="str">
        <f t="shared" si="57"/>
        <v>I</v>
      </c>
      <c r="Y202" s="8">
        <f t="shared" si="59"/>
        <v>7</v>
      </c>
    </row>
    <row r="203" spans="1:25" x14ac:dyDescent="0.2">
      <c r="A203" t="s">
        <v>537</v>
      </c>
      <c r="F203">
        <v>202</v>
      </c>
      <c r="G203" t="s">
        <v>328</v>
      </c>
      <c r="H203" t="s">
        <v>325</v>
      </c>
      <c r="I203" t="s">
        <v>326</v>
      </c>
      <c r="J203" t="s">
        <v>338</v>
      </c>
      <c r="K203" t="s">
        <v>333</v>
      </c>
      <c r="L203" t="s">
        <v>329</v>
      </c>
      <c r="M203" t="s">
        <v>330</v>
      </c>
      <c r="N203" t="s">
        <v>331</v>
      </c>
      <c r="P203">
        <f t="shared" si="58"/>
        <v>202</v>
      </c>
      <c r="Q203" s="5" t="str">
        <f t="shared" si="50"/>
        <v>H</v>
      </c>
      <c r="R203" s="6" t="str">
        <f t="shared" si="51"/>
        <v>J</v>
      </c>
      <c r="S203" s="6" t="str">
        <f t="shared" si="52"/>
        <v>I</v>
      </c>
      <c r="T203" s="6" t="str">
        <f t="shared" si="53"/>
        <v>C</v>
      </c>
      <c r="U203" s="6" t="str">
        <f t="shared" si="54"/>
        <v>A</v>
      </c>
      <c r="V203" s="6" t="str">
        <f t="shared" si="55"/>
        <v>G</v>
      </c>
      <c r="W203" s="6" t="str">
        <f t="shared" si="56"/>
        <v>L</v>
      </c>
      <c r="X203" s="6" t="str">
        <f t="shared" si="57"/>
        <v>K</v>
      </c>
      <c r="Y203" s="8">
        <f t="shared" si="59"/>
        <v>5</v>
      </c>
    </row>
    <row r="204" spans="1:25" x14ac:dyDescent="0.2">
      <c r="A204" t="s">
        <v>538</v>
      </c>
      <c r="F204">
        <v>203</v>
      </c>
      <c r="G204" t="s">
        <v>328</v>
      </c>
      <c r="H204" t="s">
        <v>325</v>
      </c>
      <c r="I204" t="s">
        <v>326</v>
      </c>
      <c r="J204" t="s">
        <v>338</v>
      </c>
      <c r="K204" t="s">
        <v>333</v>
      </c>
      <c r="L204" t="s">
        <v>327</v>
      </c>
      <c r="M204" t="s">
        <v>330</v>
      </c>
      <c r="N204" t="s">
        <v>331</v>
      </c>
      <c r="P204">
        <f t="shared" si="58"/>
        <v>203</v>
      </c>
      <c r="Q204" s="5" t="str">
        <f t="shared" si="50"/>
        <v>H</v>
      </c>
      <c r="R204" s="6" t="str">
        <f t="shared" si="51"/>
        <v>J</v>
      </c>
      <c r="S204" s="6" t="str">
        <f t="shared" si="52"/>
        <v>I</v>
      </c>
      <c r="T204" s="6" t="str">
        <f t="shared" si="53"/>
        <v>C</v>
      </c>
      <c r="U204" s="6" t="str">
        <f t="shared" si="54"/>
        <v>A</v>
      </c>
      <c r="V204" s="6" t="str">
        <f t="shared" si="55"/>
        <v>F</v>
      </c>
      <c r="W204" s="6" t="str">
        <f t="shared" si="56"/>
        <v>L</v>
      </c>
      <c r="X204" s="6" t="str">
        <f t="shared" si="57"/>
        <v>K</v>
      </c>
      <c r="Y204" s="8">
        <f t="shared" si="59"/>
        <v>5</v>
      </c>
    </row>
    <row r="205" spans="1:25" x14ac:dyDescent="0.2">
      <c r="A205" t="s">
        <v>539</v>
      </c>
      <c r="F205">
        <v>204</v>
      </c>
      <c r="G205" t="s">
        <v>326</v>
      </c>
      <c r="H205" t="s">
        <v>329</v>
      </c>
      <c r="I205" t="s">
        <v>325</v>
      </c>
      <c r="J205" t="s">
        <v>338</v>
      </c>
      <c r="K205" t="s">
        <v>333</v>
      </c>
      <c r="L205" t="s">
        <v>327</v>
      </c>
      <c r="M205" t="s">
        <v>330</v>
      </c>
      <c r="N205" t="s">
        <v>331</v>
      </c>
      <c r="P205">
        <f t="shared" si="58"/>
        <v>204</v>
      </c>
      <c r="Q205" s="5" t="str">
        <f t="shared" si="50"/>
        <v>I</v>
      </c>
      <c r="R205" s="6" t="str">
        <f t="shared" si="51"/>
        <v>G</v>
      </c>
      <c r="S205" s="6" t="str">
        <f t="shared" si="52"/>
        <v>J</v>
      </c>
      <c r="T205" s="6" t="str">
        <f t="shared" si="53"/>
        <v>C</v>
      </c>
      <c r="U205" s="6" t="str">
        <f t="shared" si="54"/>
        <v>A</v>
      </c>
      <c r="V205" s="6" t="str">
        <f t="shared" si="55"/>
        <v>F</v>
      </c>
      <c r="W205" s="6" t="str">
        <f t="shared" si="56"/>
        <v>L</v>
      </c>
      <c r="X205" s="6" t="str">
        <f t="shared" si="57"/>
        <v>K</v>
      </c>
      <c r="Y205" s="8">
        <f t="shared" si="59"/>
        <v>6</v>
      </c>
    </row>
    <row r="206" spans="1:25" x14ac:dyDescent="0.2">
      <c r="A206" t="s">
        <v>540</v>
      </c>
      <c r="F206">
        <v>205</v>
      </c>
      <c r="G206" t="s">
        <v>328</v>
      </c>
      <c r="H206" t="s">
        <v>329</v>
      </c>
      <c r="I206" t="s">
        <v>325</v>
      </c>
      <c r="J206" t="s">
        <v>338</v>
      </c>
      <c r="K206" t="s">
        <v>333</v>
      </c>
      <c r="L206" t="s">
        <v>327</v>
      </c>
      <c r="M206" t="s">
        <v>330</v>
      </c>
      <c r="N206" t="s">
        <v>331</v>
      </c>
      <c r="P206">
        <f t="shared" si="58"/>
        <v>205</v>
      </c>
      <c r="Q206" s="5" t="str">
        <f t="shared" si="50"/>
        <v>H</v>
      </c>
      <c r="R206" s="6" t="str">
        <f t="shared" si="51"/>
        <v>G</v>
      </c>
      <c r="S206" s="6" t="str">
        <f t="shared" si="52"/>
        <v>J</v>
      </c>
      <c r="T206" s="6" t="str">
        <f t="shared" si="53"/>
        <v>C</v>
      </c>
      <c r="U206" s="6" t="str">
        <f t="shared" si="54"/>
        <v>A</v>
      </c>
      <c r="V206" s="6" t="str">
        <f t="shared" si="55"/>
        <v>F</v>
      </c>
      <c r="W206" s="6" t="str">
        <f t="shared" si="56"/>
        <v>L</v>
      </c>
      <c r="X206" s="6" t="str">
        <f t="shared" si="57"/>
        <v>K</v>
      </c>
      <c r="Y206" s="8">
        <f t="shared" si="59"/>
        <v>5</v>
      </c>
    </row>
    <row r="207" spans="1:25" x14ac:dyDescent="0.2">
      <c r="A207" t="s">
        <v>541</v>
      </c>
      <c r="F207">
        <v>206</v>
      </c>
      <c r="G207" t="s">
        <v>328</v>
      </c>
      <c r="H207" t="s">
        <v>329</v>
      </c>
      <c r="I207" t="s">
        <v>326</v>
      </c>
      <c r="J207" t="s">
        <v>338</v>
      </c>
      <c r="K207" t="s">
        <v>333</v>
      </c>
      <c r="L207" t="s">
        <v>327</v>
      </c>
      <c r="M207" t="s">
        <v>330</v>
      </c>
      <c r="N207" t="s">
        <v>331</v>
      </c>
      <c r="P207">
        <f t="shared" si="58"/>
        <v>206</v>
      </c>
      <c r="Q207" s="5" t="str">
        <f t="shared" si="50"/>
        <v>H</v>
      </c>
      <c r="R207" s="6" t="str">
        <f t="shared" si="51"/>
        <v>G</v>
      </c>
      <c r="S207" s="6" t="str">
        <f t="shared" si="52"/>
        <v>I</v>
      </c>
      <c r="T207" s="6" t="str">
        <f t="shared" si="53"/>
        <v>C</v>
      </c>
      <c r="U207" s="6" t="str">
        <f t="shared" si="54"/>
        <v>A</v>
      </c>
      <c r="V207" s="6" t="str">
        <f t="shared" si="55"/>
        <v>F</v>
      </c>
      <c r="W207" s="6" t="str">
        <f t="shared" si="56"/>
        <v>L</v>
      </c>
      <c r="X207" s="6" t="str">
        <f t="shared" si="57"/>
        <v>K</v>
      </c>
      <c r="Y207" s="8">
        <f t="shared" si="59"/>
        <v>5</v>
      </c>
    </row>
    <row r="208" spans="1:25" x14ac:dyDescent="0.2">
      <c r="A208" t="s">
        <v>542</v>
      </c>
      <c r="F208">
        <v>207</v>
      </c>
      <c r="G208" t="s">
        <v>328</v>
      </c>
      <c r="H208" t="s">
        <v>329</v>
      </c>
      <c r="I208" t="s">
        <v>325</v>
      </c>
      <c r="J208" t="s">
        <v>338</v>
      </c>
      <c r="K208" t="s">
        <v>333</v>
      </c>
      <c r="L208" t="s">
        <v>327</v>
      </c>
      <c r="M208" t="s">
        <v>330</v>
      </c>
      <c r="N208" t="s">
        <v>326</v>
      </c>
      <c r="P208">
        <f t="shared" si="58"/>
        <v>207</v>
      </c>
      <c r="Q208" s="5" t="str">
        <f t="shared" si="50"/>
        <v>H</v>
      </c>
      <c r="R208" s="6" t="str">
        <f t="shared" si="51"/>
        <v>G</v>
      </c>
      <c r="S208" s="6" t="str">
        <f t="shared" si="52"/>
        <v>J</v>
      </c>
      <c r="T208" s="6" t="str">
        <f t="shared" si="53"/>
        <v>C</v>
      </c>
      <c r="U208" s="6" t="str">
        <f t="shared" si="54"/>
        <v>A</v>
      </c>
      <c r="V208" s="6" t="str">
        <f t="shared" si="55"/>
        <v>F</v>
      </c>
      <c r="W208" s="6" t="str">
        <f t="shared" si="56"/>
        <v>L</v>
      </c>
      <c r="X208" s="6" t="str">
        <f t="shared" si="57"/>
        <v>I</v>
      </c>
      <c r="Y208" s="8">
        <f t="shared" si="59"/>
        <v>6</v>
      </c>
    </row>
    <row r="209" spans="1:25" x14ac:dyDescent="0.2">
      <c r="A209" t="s">
        <v>543</v>
      </c>
      <c r="F209">
        <v>208</v>
      </c>
      <c r="G209" t="s">
        <v>328</v>
      </c>
      <c r="H209" t="s">
        <v>329</v>
      </c>
      <c r="I209" t="s">
        <v>325</v>
      </c>
      <c r="J209" t="s">
        <v>338</v>
      </c>
      <c r="K209" t="s">
        <v>333</v>
      </c>
      <c r="L209" t="s">
        <v>327</v>
      </c>
      <c r="M209" t="s">
        <v>326</v>
      </c>
      <c r="N209" t="s">
        <v>331</v>
      </c>
      <c r="P209">
        <f t="shared" si="58"/>
        <v>208</v>
      </c>
      <c r="Q209" s="5" t="str">
        <f t="shared" si="50"/>
        <v>H</v>
      </c>
      <c r="R209" s="6" t="str">
        <f t="shared" si="51"/>
        <v>G</v>
      </c>
      <c r="S209" s="6" t="str">
        <f t="shared" si="52"/>
        <v>J</v>
      </c>
      <c r="T209" s="6" t="str">
        <f t="shared" si="53"/>
        <v>C</v>
      </c>
      <c r="U209" s="6" t="str">
        <f t="shared" si="54"/>
        <v>A</v>
      </c>
      <c r="V209" s="6" t="str">
        <f t="shared" si="55"/>
        <v>F</v>
      </c>
      <c r="W209" s="6" t="str">
        <f t="shared" si="56"/>
        <v>I</v>
      </c>
      <c r="X209" s="6" t="str">
        <f t="shared" si="57"/>
        <v>K</v>
      </c>
      <c r="Y209" s="8">
        <f t="shared" si="59"/>
        <v>5</v>
      </c>
    </row>
    <row r="210" spans="1:25" x14ac:dyDescent="0.2">
      <c r="A210" t="s">
        <v>544</v>
      </c>
      <c r="F210">
        <v>209</v>
      </c>
      <c r="G210" t="s">
        <v>324</v>
      </c>
      <c r="H210" t="s">
        <v>325</v>
      </c>
      <c r="I210" t="s">
        <v>326</v>
      </c>
      <c r="J210" t="s">
        <v>338</v>
      </c>
      <c r="K210" t="s">
        <v>333</v>
      </c>
      <c r="L210" t="s">
        <v>328</v>
      </c>
      <c r="M210" t="s">
        <v>330</v>
      </c>
      <c r="N210" t="s">
        <v>331</v>
      </c>
      <c r="P210">
        <f t="shared" si="58"/>
        <v>209</v>
      </c>
      <c r="Q210" s="5" t="str">
        <f t="shared" si="50"/>
        <v>E</v>
      </c>
      <c r="R210" s="6" t="str">
        <f t="shared" si="51"/>
        <v>J</v>
      </c>
      <c r="S210" s="6" t="str">
        <f t="shared" si="52"/>
        <v>I</v>
      </c>
      <c r="T210" s="6" t="str">
        <f t="shared" si="53"/>
        <v>C</v>
      </c>
      <c r="U210" s="6" t="str">
        <f t="shared" si="54"/>
        <v>A</v>
      </c>
      <c r="V210" s="6" t="str">
        <f t="shared" si="55"/>
        <v>H</v>
      </c>
      <c r="W210" s="6" t="str">
        <f t="shared" si="56"/>
        <v>L</v>
      </c>
      <c r="X210" s="6" t="str">
        <f t="shared" si="57"/>
        <v>K</v>
      </c>
      <c r="Y210" s="8">
        <f t="shared" si="59"/>
        <v>5</v>
      </c>
    </row>
    <row r="211" spans="1:25" x14ac:dyDescent="0.2">
      <c r="A211" t="s">
        <v>545</v>
      </c>
      <c r="F211">
        <v>210</v>
      </c>
      <c r="G211" t="s">
        <v>324</v>
      </c>
      <c r="H211" t="s">
        <v>325</v>
      </c>
      <c r="I211" t="s">
        <v>326</v>
      </c>
      <c r="J211" t="s">
        <v>338</v>
      </c>
      <c r="K211" t="s">
        <v>333</v>
      </c>
      <c r="L211" t="s">
        <v>329</v>
      </c>
      <c r="M211" t="s">
        <v>330</v>
      </c>
      <c r="N211" t="s">
        <v>331</v>
      </c>
      <c r="P211">
        <f t="shared" si="58"/>
        <v>210</v>
      </c>
      <c r="Q211" s="5" t="str">
        <f t="shared" si="50"/>
        <v>E</v>
      </c>
      <c r="R211" s="6" t="str">
        <f t="shared" si="51"/>
        <v>J</v>
      </c>
      <c r="S211" s="6" t="str">
        <f t="shared" si="52"/>
        <v>I</v>
      </c>
      <c r="T211" s="6" t="str">
        <f t="shared" si="53"/>
        <v>C</v>
      </c>
      <c r="U211" s="6" t="str">
        <f t="shared" si="54"/>
        <v>A</v>
      </c>
      <c r="V211" s="6" t="str">
        <f t="shared" si="55"/>
        <v>G</v>
      </c>
      <c r="W211" s="6" t="str">
        <f t="shared" si="56"/>
        <v>L</v>
      </c>
      <c r="X211" s="6" t="str">
        <f t="shared" si="57"/>
        <v>K</v>
      </c>
      <c r="Y211" s="8">
        <f t="shared" si="59"/>
        <v>6</v>
      </c>
    </row>
    <row r="212" spans="1:25" x14ac:dyDescent="0.2">
      <c r="A212" t="s">
        <v>546</v>
      </c>
      <c r="F212">
        <v>211</v>
      </c>
      <c r="G212" t="s">
        <v>324</v>
      </c>
      <c r="H212" t="s">
        <v>329</v>
      </c>
      <c r="I212" t="s">
        <v>325</v>
      </c>
      <c r="J212" t="s">
        <v>338</v>
      </c>
      <c r="K212" t="s">
        <v>333</v>
      </c>
      <c r="L212" t="s">
        <v>328</v>
      </c>
      <c r="M212" t="s">
        <v>330</v>
      </c>
      <c r="N212" t="s">
        <v>331</v>
      </c>
      <c r="P212">
        <f t="shared" si="58"/>
        <v>211</v>
      </c>
      <c r="Q212" s="5" t="str">
        <f t="shared" si="50"/>
        <v>E</v>
      </c>
      <c r="R212" s="6" t="str">
        <f t="shared" si="51"/>
        <v>G</v>
      </c>
      <c r="S212" s="6" t="str">
        <f t="shared" si="52"/>
        <v>J</v>
      </c>
      <c r="T212" s="6" t="str">
        <f t="shared" si="53"/>
        <v>C</v>
      </c>
      <c r="U212" s="6" t="str">
        <f t="shared" si="54"/>
        <v>A</v>
      </c>
      <c r="V212" s="6" t="str">
        <f t="shared" si="55"/>
        <v>H</v>
      </c>
      <c r="W212" s="6" t="str">
        <f t="shared" si="56"/>
        <v>L</v>
      </c>
      <c r="X212" s="6" t="str">
        <f t="shared" si="57"/>
        <v>K</v>
      </c>
      <c r="Y212" s="8">
        <f t="shared" si="59"/>
        <v>5</v>
      </c>
    </row>
    <row r="213" spans="1:25" x14ac:dyDescent="0.2">
      <c r="A213" t="s">
        <v>547</v>
      </c>
      <c r="F213">
        <v>212</v>
      </c>
      <c r="G213" t="s">
        <v>324</v>
      </c>
      <c r="H213" t="s">
        <v>329</v>
      </c>
      <c r="I213" t="s">
        <v>326</v>
      </c>
      <c r="J213" t="s">
        <v>338</v>
      </c>
      <c r="K213" t="s">
        <v>333</v>
      </c>
      <c r="L213" t="s">
        <v>328</v>
      </c>
      <c r="M213" t="s">
        <v>330</v>
      </c>
      <c r="N213" t="s">
        <v>331</v>
      </c>
      <c r="P213">
        <f t="shared" si="58"/>
        <v>212</v>
      </c>
      <c r="Q213" s="5" t="str">
        <f t="shared" si="50"/>
        <v>E</v>
      </c>
      <c r="R213" s="6" t="str">
        <f t="shared" si="51"/>
        <v>G</v>
      </c>
      <c r="S213" s="6" t="str">
        <f t="shared" si="52"/>
        <v>I</v>
      </c>
      <c r="T213" s="6" t="str">
        <f t="shared" si="53"/>
        <v>C</v>
      </c>
      <c r="U213" s="6" t="str">
        <f t="shared" si="54"/>
        <v>A</v>
      </c>
      <c r="V213" s="6" t="str">
        <f t="shared" si="55"/>
        <v>H</v>
      </c>
      <c r="W213" s="6" t="str">
        <f t="shared" si="56"/>
        <v>L</v>
      </c>
      <c r="X213" s="6" t="str">
        <f t="shared" si="57"/>
        <v>K</v>
      </c>
      <c r="Y213" s="8">
        <f t="shared" si="59"/>
        <v>5</v>
      </c>
    </row>
    <row r="214" spans="1:25" x14ac:dyDescent="0.2">
      <c r="A214" t="s">
        <v>548</v>
      </c>
      <c r="F214">
        <v>213</v>
      </c>
      <c r="G214" t="s">
        <v>324</v>
      </c>
      <c r="H214" t="s">
        <v>329</v>
      </c>
      <c r="I214" t="s">
        <v>325</v>
      </c>
      <c r="J214" t="s">
        <v>338</v>
      </c>
      <c r="K214" t="s">
        <v>333</v>
      </c>
      <c r="L214" t="s">
        <v>328</v>
      </c>
      <c r="M214" t="s">
        <v>330</v>
      </c>
      <c r="N214" t="s">
        <v>326</v>
      </c>
      <c r="P214">
        <f t="shared" si="58"/>
        <v>213</v>
      </c>
      <c r="Q214" s="5" t="str">
        <f t="shared" si="50"/>
        <v>E</v>
      </c>
      <c r="R214" s="6" t="str">
        <f t="shared" si="51"/>
        <v>G</v>
      </c>
      <c r="S214" s="6" t="str">
        <f t="shared" si="52"/>
        <v>J</v>
      </c>
      <c r="T214" s="6" t="str">
        <f t="shared" si="53"/>
        <v>C</v>
      </c>
      <c r="U214" s="6" t="str">
        <f t="shared" si="54"/>
        <v>A</v>
      </c>
      <c r="V214" s="6" t="str">
        <f t="shared" si="55"/>
        <v>H</v>
      </c>
      <c r="W214" s="6" t="str">
        <f t="shared" si="56"/>
        <v>L</v>
      </c>
      <c r="X214" s="6" t="str">
        <f t="shared" si="57"/>
        <v>I</v>
      </c>
      <c r="Y214" s="8">
        <f t="shared" si="59"/>
        <v>6</v>
      </c>
    </row>
    <row r="215" spans="1:25" x14ac:dyDescent="0.2">
      <c r="A215" t="s">
        <v>549</v>
      </c>
      <c r="F215">
        <v>214</v>
      </c>
      <c r="G215" t="s">
        <v>324</v>
      </c>
      <c r="H215" t="s">
        <v>329</v>
      </c>
      <c r="I215" t="s">
        <v>325</v>
      </c>
      <c r="J215" t="s">
        <v>338</v>
      </c>
      <c r="K215" t="s">
        <v>333</v>
      </c>
      <c r="L215" t="s">
        <v>328</v>
      </c>
      <c r="M215" t="s">
        <v>326</v>
      </c>
      <c r="N215" t="s">
        <v>331</v>
      </c>
      <c r="P215">
        <f t="shared" si="58"/>
        <v>214</v>
      </c>
      <c r="Q215" s="5" t="str">
        <f t="shared" si="50"/>
        <v>E</v>
      </c>
      <c r="R215" s="6" t="str">
        <f t="shared" si="51"/>
        <v>G</v>
      </c>
      <c r="S215" s="6" t="str">
        <f t="shared" si="52"/>
        <v>J</v>
      </c>
      <c r="T215" s="6" t="str">
        <f t="shared" si="53"/>
        <v>C</v>
      </c>
      <c r="U215" s="6" t="str">
        <f t="shared" si="54"/>
        <v>A</v>
      </c>
      <c r="V215" s="6" t="str">
        <f t="shared" si="55"/>
        <v>H</v>
      </c>
      <c r="W215" s="6" t="str">
        <f t="shared" si="56"/>
        <v>I</v>
      </c>
      <c r="X215" s="6" t="str">
        <f t="shared" si="57"/>
        <v>K</v>
      </c>
      <c r="Y215" s="8">
        <f t="shared" si="59"/>
        <v>5</v>
      </c>
    </row>
    <row r="216" spans="1:25" x14ac:dyDescent="0.2">
      <c r="A216" t="s">
        <v>550</v>
      </c>
      <c r="F216">
        <v>215</v>
      </c>
      <c r="G216" t="s">
        <v>324</v>
      </c>
      <c r="H216" t="s">
        <v>325</v>
      </c>
      <c r="I216" t="s">
        <v>326</v>
      </c>
      <c r="J216" t="s">
        <v>338</v>
      </c>
      <c r="K216" t="s">
        <v>333</v>
      </c>
      <c r="L216" t="s">
        <v>327</v>
      </c>
      <c r="M216" t="s">
        <v>330</v>
      </c>
      <c r="N216" t="s">
        <v>331</v>
      </c>
      <c r="P216">
        <f t="shared" si="58"/>
        <v>215</v>
      </c>
      <c r="Q216" s="5" t="str">
        <f t="shared" si="50"/>
        <v>E</v>
      </c>
      <c r="R216" s="6" t="str">
        <f t="shared" si="51"/>
        <v>J</v>
      </c>
      <c r="S216" s="6" t="str">
        <f t="shared" si="52"/>
        <v>I</v>
      </c>
      <c r="T216" s="6" t="str">
        <f t="shared" si="53"/>
        <v>C</v>
      </c>
      <c r="U216" s="6" t="str">
        <f t="shared" si="54"/>
        <v>A</v>
      </c>
      <c r="V216" s="6" t="str">
        <f t="shared" si="55"/>
        <v>F</v>
      </c>
      <c r="W216" s="6" t="str">
        <f t="shared" si="56"/>
        <v>L</v>
      </c>
      <c r="X216" s="6" t="str">
        <f t="shared" si="57"/>
        <v>K</v>
      </c>
      <c r="Y216" s="8">
        <f t="shared" si="59"/>
        <v>6</v>
      </c>
    </row>
    <row r="217" spans="1:25" x14ac:dyDescent="0.2">
      <c r="A217" t="s">
        <v>551</v>
      </c>
      <c r="F217">
        <v>216</v>
      </c>
      <c r="G217" t="s">
        <v>328</v>
      </c>
      <c r="H217" t="s">
        <v>325</v>
      </c>
      <c r="I217" t="s">
        <v>324</v>
      </c>
      <c r="J217" t="s">
        <v>338</v>
      </c>
      <c r="K217" t="s">
        <v>333</v>
      </c>
      <c r="L217" t="s">
        <v>327</v>
      </c>
      <c r="M217" t="s">
        <v>330</v>
      </c>
      <c r="N217" t="s">
        <v>331</v>
      </c>
      <c r="P217">
        <f t="shared" si="58"/>
        <v>216</v>
      </c>
      <c r="Q217" s="5" t="str">
        <f t="shared" si="50"/>
        <v>H</v>
      </c>
      <c r="R217" s="6" t="str">
        <f t="shared" si="51"/>
        <v>J</v>
      </c>
      <c r="S217" s="6" t="str">
        <f t="shared" si="52"/>
        <v>E</v>
      </c>
      <c r="T217" s="6" t="str">
        <f t="shared" si="53"/>
        <v>C</v>
      </c>
      <c r="U217" s="6" t="str">
        <f t="shared" si="54"/>
        <v>A</v>
      </c>
      <c r="V217" s="6" t="str">
        <f t="shared" si="55"/>
        <v>F</v>
      </c>
      <c r="W217" s="6" t="str">
        <f t="shared" si="56"/>
        <v>L</v>
      </c>
      <c r="X217" s="6" t="str">
        <f t="shared" si="57"/>
        <v>K</v>
      </c>
      <c r="Y217" s="8">
        <f t="shared" si="59"/>
        <v>5</v>
      </c>
    </row>
    <row r="218" spans="1:25" x14ac:dyDescent="0.2">
      <c r="A218" t="s">
        <v>552</v>
      </c>
      <c r="F218">
        <v>217</v>
      </c>
      <c r="G218" t="s">
        <v>328</v>
      </c>
      <c r="H218" t="s">
        <v>324</v>
      </c>
      <c r="I218" t="s">
        <v>326</v>
      </c>
      <c r="J218" t="s">
        <v>338</v>
      </c>
      <c r="K218" t="s">
        <v>333</v>
      </c>
      <c r="L218" t="s">
        <v>327</v>
      </c>
      <c r="M218" t="s">
        <v>330</v>
      </c>
      <c r="N218" t="s">
        <v>331</v>
      </c>
      <c r="P218">
        <f t="shared" si="58"/>
        <v>217</v>
      </c>
      <c r="Q218" s="5" t="str">
        <f t="shared" si="50"/>
        <v>H</v>
      </c>
      <c r="R218" s="6" t="str">
        <f t="shared" si="51"/>
        <v>E</v>
      </c>
      <c r="S218" s="6" t="str">
        <f t="shared" si="52"/>
        <v>I</v>
      </c>
      <c r="T218" s="6" t="str">
        <f t="shared" si="53"/>
        <v>C</v>
      </c>
      <c r="U218" s="6" t="str">
        <f t="shared" si="54"/>
        <v>A</v>
      </c>
      <c r="V218" s="6" t="str">
        <f t="shared" si="55"/>
        <v>F</v>
      </c>
      <c r="W218" s="6" t="str">
        <f t="shared" si="56"/>
        <v>L</v>
      </c>
      <c r="X218" s="6" t="str">
        <f t="shared" si="57"/>
        <v>K</v>
      </c>
      <c r="Y218" s="8">
        <f t="shared" si="59"/>
        <v>5</v>
      </c>
    </row>
    <row r="219" spans="1:25" x14ac:dyDescent="0.2">
      <c r="A219" t="s">
        <v>553</v>
      </c>
      <c r="F219">
        <v>218</v>
      </c>
      <c r="G219" t="s">
        <v>328</v>
      </c>
      <c r="H219" t="s">
        <v>325</v>
      </c>
      <c r="I219" t="s">
        <v>324</v>
      </c>
      <c r="J219" t="s">
        <v>338</v>
      </c>
      <c r="K219" t="s">
        <v>333</v>
      </c>
      <c r="L219" t="s">
        <v>327</v>
      </c>
      <c r="M219" t="s">
        <v>330</v>
      </c>
      <c r="N219" t="s">
        <v>326</v>
      </c>
      <c r="P219">
        <f t="shared" si="58"/>
        <v>218</v>
      </c>
      <c r="Q219" s="5" t="str">
        <f t="shared" si="50"/>
        <v>H</v>
      </c>
      <c r="R219" s="6" t="str">
        <f t="shared" si="51"/>
        <v>J</v>
      </c>
      <c r="S219" s="6" t="str">
        <f t="shared" si="52"/>
        <v>E</v>
      </c>
      <c r="T219" s="6" t="str">
        <f t="shared" si="53"/>
        <v>C</v>
      </c>
      <c r="U219" s="6" t="str">
        <f t="shared" si="54"/>
        <v>A</v>
      </c>
      <c r="V219" s="6" t="str">
        <f t="shared" si="55"/>
        <v>F</v>
      </c>
      <c r="W219" s="6" t="str">
        <f t="shared" si="56"/>
        <v>L</v>
      </c>
      <c r="X219" s="6" t="str">
        <f t="shared" si="57"/>
        <v>I</v>
      </c>
      <c r="Y219" s="8">
        <f t="shared" si="59"/>
        <v>6</v>
      </c>
    </row>
    <row r="220" spans="1:25" x14ac:dyDescent="0.2">
      <c r="A220" t="s">
        <v>554</v>
      </c>
      <c r="F220">
        <v>219</v>
      </c>
      <c r="G220" t="s">
        <v>328</v>
      </c>
      <c r="H220" t="s">
        <v>325</v>
      </c>
      <c r="I220" t="s">
        <v>324</v>
      </c>
      <c r="J220" t="s">
        <v>338</v>
      </c>
      <c r="K220" t="s">
        <v>333</v>
      </c>
      <c r="L220" t="s">
        <v>327</v>
      </c>
      <c r="M220" t="s">
        <v>326</v>
      </c>
      <c r="N220" t="s">
        <v>331</v>
      </c>
      <c r="P220">
        <f t="shared" si="58"/>
        <v>219</v>
      </c>
      <c r="Q220" s="5" t="str">
        <f t="shared" si="50"/>
        <v>H</v>
      </c>
      <c r="R220" s="6" t="str">
        <f t="shared" si="51"/>
        <v>J</v>
      </c>
      <c r="S220" s="6" t="str">
        <f t="shared" si="52"/>
        <v>E</v>
      </c>
      <c r="T220" s="6" t="str">
        <f t="shared" si="53"/>
        <v>C</v>
      </c>
      <c r="U220" s="6" t="str">
        <f t="shared" si="54"/>
        <v>A</v>
      </c>
      <c r="V220" s="6" t="str">
        <f t="shared" si="55"/>
        <v>F</v>
      </c>
      <c r="W220" s="6" t="str">
        <f t="shared" si="56"/>
        <v>I</v>
      </c>
      <c r="X220" s="6" t="str">
        <f t="shared" si="57"/>
        <v>K</v>
      </c>
      <c r="Y220" s="8">
        <f t="shared" si="59"/>
        <v>5</v>
      </c>
    </row>
    <row r="221" spans="1:25" x14ac:dyDescent="0.2">
      <c r="A221" t="s">
        <v>555</v>
      </c>
      <c r="F221">
        <v>220</v>
      </c>
      <c r="G221" t="s">
        <v>324</v>
      </c>
      <c r="H221" t="s">
        <v>329</v>
      </c>
      <c r="I221" t="s">
        <v>325</v>
      </c>
      <c r="J221" t="s">
        <v>338</v>
      </c>
      <c r="K221" t="s">
        <v>333</v>
      </c>
      <c r="L221" t="s">
        <v>327</v>
      </c>
      <c r="M221" t="s">
        <v>330</v>
      </c>
      <c r="N221" t="s">
        <v>331</v>
      </c>
      <c r="P221">
        <f t="shared" si="58"/>
        <v>220</v>
      </c>
      <c r="Q221" s="5" t="str">
        <f t="shared" si="50"/>
        <v>E</v>
      </c>
      <c r="R221" s="6" t="str">
        <f t="shared" si="51"/>
        <v>G</v>
      </c>
      <c r="S221" s="6" t="str">
        <f t="shared" si="52"/>
        <v>J</v>
      </c>
      <c r="T221" s="6" t="str">
        <f t="shared" si="53"/>
        <v>C</v>
      </c>
      <c r="U221" s="6" t="str">
        <f t="shared" si="54"/>
        <v>A</v>
      </c>
      <c r="V221" s="6" t="str">
        <f t="shared" si="55"/>
        <v>F</v>
      </c>
      <c r="W221" s="6" t="str">
        <f t="shared" si="56"/>
        <v>L</v>
      </c>
      <c r="X221" s="6" t="str">
        <f t="shared" si="57"/>
        <v>K</v>
      </c>
      <c r="Y221" s="8">
        <f t="shared" si="59"/>
        <v>6</v>
      </c>
    </row>
    <row r="222" spans="1:25" x14ac:dyDescent="0.2">
      <c r="A222" t="s">
        <v>556</v>
      </c>
      <c r="F222">
        <v>221</v>
      </c>
      <c r="G222" t="s">
        <v>324</v>
      </c>
      <c r="H222" t="s">
        <v>329</v>
      </c>
      <c r="I222" t="s">
        <v>326</v>
      </c>
      <c r="J222" t="s">
        <v>338</v>
      </c>
      <c r="K222" t="s">
        <v>333</v>
      </c>
      <c r="L222" t="s">
        <v>327</v>
      </c>
      <c r="M222" t="s">
        <v>330</v>
      </c>
      <c r="N222" t="s">
        <v>331</v>
      </c>
      <c r="P222">
        <f t="shared" si="58"/>
        <v>221</v>
      </c>
      <c r="Q222" s="5" t="str">
        <f t="shared" si="50"/>
        <v>E</v>
      </c>
      <c r="R222" s="6" t="str">
        <f t="shared" si="51"/>
        <v>G</v>
      </c>
      <c r="S222" s="6" t="str">
        <f t="shared" si="52"/>
        <v>I</v>
      </c>
      <c r="T222" s="6" t="str">
        <f t="shared" si="53"/>
        <v>C</v>
      </c>
      <c r="U222" s="6" t="str">
        <f t="shared" si="54"/>
        <v>A</v>
      </c>
      <c r="V222" s="6" t="str">
        <f t="shared" si="55"/>
        <v>F</v>
      </c>
      <c r="W222" s="6" t="str">
        <f t="shared" si="56"/>
        <v>L</v>
      </c>
      <c r="X222" s="6" t="str">
        <f t="shared" si="57"/>
        <v>K</v>
      </c>
      <c r="Y222" s="8">
        <f t="shared" si="59"/>
        <v>6</v>
      </c>
    </row>
    <row r="223" spans="1:25" x14ac:dyDescent="0.2">
      <c r="A223" t="s">
        <v>557</v>
      </c>
      <c r="F223">
        <v>222</v>
      </c>
      <c r="G223" t="s">
        <v>324</v>
      </c>
      <c r="H223" t="s">
        <v>329</v>
      </c>
      <c r="I223" t="s">
        <v>325</v>
      </c>
      <c r="J223" t="s">
        <v>338</v>
      </c>
      <c r="K223" t="s">
        <v>333</v>
      </c>
      <c r="L223" t="s">
        <v>327</v>
      </c>
      <c r="M223" t="s">
        <v>330</v>
      </c>
      <c r="N223" t="s">
        <v>326</v>
      </c>
      <c r="P223">
        <f t="shared" si="58"/>
        <v>222</v>
      </c>
      <c r="Q223" s="5" t="str">
        <f t="shared" si="50"/>
        <v>E</v>
      </c>
      <c r="R223" s="6" t="str">
        <f t="shared" si="51"/>
        <v>G</v>
      </c>
      <c r="S223" s="6" t="str">
        <f t="shared" si="52"/>
        <v>J</v>
      </c>
      <c r="T223" s="6" t="str">
        <f t="shared" si="53"/>
        <v>C</v>
      </c>
      <c r="U223" s="6" t="str">
        <f t="shared" si="54"/>
        <v>A</v>
      </c>
      <c r="V223" s="6" t="str">
        <f t="shared" si="55"/>
        <v>F</v>
      </c>
      <c r="W223" s="6" t="str">
        <f t="shared" si="56"/>
        <v>L</v>
      </c>
      <c r="X223" s="6" t="str">
        <f t="shared" si="57"/>
        <v>I</v>
      </c>
      <c r="Y223" s="8">
        <f t="shared" si="59"/>
        <v>7</v>
      </c>
    </row>
    <row r="224" spans="1:25" x14ac:dyDescent="0.2">
      <c r="A224" t="s">
        <v>558</v>
      </c>
      <c r="F224">
        <v>223</v>
      </c>
      <c r="G224" t="s">
        <v>324</v>
      </c>
      <c r="H224" t="s">
        <v>329</v>
      </c>
      <c r="I224" t="s">
        <v>325</v>
      </c>
      <c r="J224" t="s">
        <v>338</v>
      </c>
      <c r="K224" t="s">
        <v>333</v>
      </c>
      <c r="L224" t="s">
        <v>327</v>
      </c>
      <c r="M224" t="s">
        <v>326</v>
      </c>
      <c r="N224" t="s">
        <v>331</v>
      </c>
      <c r="P224">
        <f t="shared" si="58"/>
        <v>223</v>
      </c>
      <c r="Q224" s="5" t="str">
        <f t="shared" si="50"/>
        <v>E</v>
      </c>
      <c r="R224" s="6" t="str">
        <f t="shared" si="51"/>
        <v>G</v>
      </c>
      <c r="S224" s="6" t="str">
        <f t="shared" si="52"/>
        <v>J</v>
      </c>
      <c r="T224" s="6" t="str">
        <f t="shared" si="53"/>
        <v>C</v>
      </c>
      <c r="U224" s="6" t="str">
        <f t="shared" si="54"/>
        <v>A</v>
      </c>
      <c r="V224" s="6" t="str">
        <f t="shared" si="55"/>
        <v>F</v>
      </c>
      <c r="W224" s="6" t="str">
        <f t="shared" si="56"/>
        <v>I</v>
      </c>
      <c r="X224" s="6" t="str">
        <f t="shared" si="57"/>
        <v>K</v>
      </c>
      <c r="Y224" s="8">
        <f t="shared" si="59"/>
        <v>6</v>
      </c>
    </row>
    <row r="225" spans="1:25" x14ac:dyDescent="0.2">
      <c r="A225" t="s">
        <v>559</v>
      </c>
      <c r="F225">
        <v>224</v>
      </c>
      <c r="G225" t="s">
        <v>328</v>
      </c>
      <c r="H225" t="s">
        <v>329</v>
      </c>
      <c r="I225" t="s">
        <v>324</v>
      </c>
      <c r="J225" t="s">
        <v>338</v>
      </c>
      <c r="K225" t="s">
        <v>333</v>
      </c>
      <c r="L225" t="s">
        <v>327</v>
      </c>
      <c r="M225" t="s">
        <v>330</v>
      </c>
      <c r="N225" t="s">
        <v>331</v>
      </c>
      <c r="P225">
        <f t="shared" si="58"/>
        <v>224</v>
      </c>
      <c r="Q225" s="5" t="str">
        <f t="shared" si="50"/>
        <v>H</v>
      </c>
      <c r="R225" s="6" t="str">
        <f t="shared" si="51"/>
        <v>G</v>
      </c>
      <c r="S225" s="6" t="str">
        <f t="shared" si="52"/>
        <v>E</v>
      </c>
      <c r="T225" s="6" t="str">
        <f t="shared" si="53"/>
        <v>C</v>
      </c>
      <c r="U225" s="6" t="str">
        <f t="shared" si="54"/>
        <v>A</v>
      </c>
      <c r="V225" s="6" t="str">
        <f t="shared" si="55"/>
        <v>F</v>
      </c>
      <c r="W225" s="6" t="str">
        <f t="shared" si="56"/>
        <v>L</v>
      </c>
      <c r="X225" s="6" t="str">
        <f t="shared" si="57"/>
        <v>K</v>
      </c>
      <c r="Y225" s="8">
        <f t="shared" si="59"/>
        <v>5</v>
      </c>
    </row>
    <row r="226" spans="1:25" x14ac:dyDescent="0.2">
      <c r="A226" t="s">
        <v>560</v>
      </c>
      <c r="F226">
        <v>225</v>
      </c>
      <c r="G226" t="s">
        <v>328</v>
      </c>
      <c r="H226" t="s">
        <v>329</v>
      </c>
      <c r="I226" t="s">
        <v>325</v>
      </c>
      <c r="J226" t="s">
        <v>338</v>
      </c>
      <c r="K226" t="s">
        <v>333</v>
      </c>
      <c r="L226" t="s">
        <v>327</v>
      </c>
      <c r="M226" t="s">
        <v>330</v>
      </c>
      <c r="N226" t="s">
        <v>324</v>
      </c>
      <c r="P226">
        <f t="shared" si="58"/>
        <v>225</v>
      </c>
      <c r="Q226" s="5" t="str">
        <f t="shared" si="50"/>
        <v>H</v>
      </c>
      <c r="R226" s="6" t="str">
        <f t="shared" si="51"/>
        <v>G</v>
      </c>
      <c r="S226" s="6" t="str">
        <f t="shared" si="52"/>
        <v>J</v>
      </c>
      <c r="T226" s="6" t="str">
        <f t="shared" si="53"/>
        <v>C</v>
      </c>
      <c r="U226" s="6" t="str">
        <f t="shared" si="54"/>
        <v>A</v>
      </c>
      <c r="V226" s="6" t="str">
        <f t="shared" si="55"/>
        <v>F</v>
      </c>
      <c r="W226" s="6" t="str">
        <f t="shared" si="56"/>
        <v>L</v>
      </c>
      <c r="X226" s="6" t="str">
        <f t="shared" si="57"/>
        <v>E</v>
      </c>
      <c r="Y226" s="8">
        <f t="shared" si="59"/>
        <v>6</v>
      </c>
    </row>
    <row r="227" spans="1:25" x14ac:dyDescent="0.2">
      <c r="A227" t="s">
        <v>561</v>
      </c>
      <c r="F227">
        <v>226</v>
      </c>
      <c r="G227" t="s">
        <v>328</v>
      </c>
      <c r="H227" t="s">
        <v>329</v>
      </c>
      <c r="I227" t="s">
        <v>325</v>
      </c>
      <c r="J227" t="s">
        <v>338</v>
      </c>
      <c r="K227" t="s">
        <v>333</v>
      </c>
      <c r="L227" t="s">
        <v>327</v>
      </c>
      <c r="M227" t="s">
        <v>324</v>
      </c>
      <c r="N227" t="s">
        <v>331</v>
      </c>
      <c r="P227">
        <f t="shared" si="58"/>
        <v>226</v>
      </c>
      <c r="Q227" s="5" t="str">
        <f t="shared" si="50"/>
        <v>H</v>
      </c>
      <c r="R227" s="6" t="str">
        <f t="shared" si="51"/>
        <v>G</v>
      </c>
      <c r="S227" s="6" t="str">
        <f t="shared" si="52"/>
        <v>J</v>
      </c>
      <c r="T227" s="6" t="str">
        <f t="shared" si="53"/>
        <v>C</v>
      </c>
      <c r="U227" s="6" t="str">
        <f t="shared" si="54"/>
        <v>A</v>
      </c>
      <c r="V227" s="6" t="str">
        <f t="shared" si="55"/>
        <v>F</v>
      </c>
      <c r="W227" s="6" t="str">
        <f t="shared" si="56"/>
        <v>E</v>
      </c>
      <c r="X227" s="6" t="str">
        <f t="shared" si="57"/>
        <v>K</v>
      </c>
      <c r="Y227" s="8">
        <f t="shared" si="59"/>
        <v>5</v>
      </c>
    </row>
    <row r="228" spans="1:25" x14ac:dyDescent="0.2">
      <c r="A228" t="s">
        <v>562</v>
      </c>
      <c r="F228">
        <v>227</v>
      </c>
      <c r="G228" t="s">
        <v>328</v>
      </c>
      <c r="H228" t="s">
        <v>329</v>
      </c>
      <c r="I228" t="s">
        <v>324</v>
      </c>
      <c r="J228" t="s">
        <v>338</v>
      </c>
      <c r="K228" t="s">
        <v>333</v>
      </c>
      <c r="L228" t="s">
        <v>327</v>
      </c>
      <c r="M228" t="s">
        <v>330</v>
      </c>
      <c r="N228" t="s">
        <v>326</v>
      </c>
      <c r="P228">
        <f t="shared" si="58"/>
        <v>227</v>
      </c>
      <c r="Q228" s="5" t="str">
        <f t="shared" si="50"/>
        <v>H</v>
      </c>
      <c r="R228" s="6" t="str">
        <f t="shared" si="51"/>
        <v>G</v>
      </c>
      <c r="S228" s="6" t="str">
        <f t="shared" si="52"/>
        <v>E</v>
      </c>
      <c r="T228" s="6" t="str">
        <f t="shared" si="53"/>
        <v>C</v>
      </c>
      <c r="U228" s="6" t="str">
        <f t="shared" si="54"/>
        <v>A</v>
      </c>
      <c r="V228" s="6" t="str">
        <f t="shared" si="55"/>
        <v>F</v>
      </c>
      <c r="W228" s="6" t="str">
        <f t="shared" si="56"/>
        <v>L</v>
      </c>
      <c r="X228" s="6" t="str">
        <f t="shared" si="57"/>
        <v>I</v>
      </c>
      <c r="Y228" s="8">
        <f t="shared" si="59"/>
        <v>6</v>
      </c>
    </row>
    <row r="229" spans="1:25" x14ac:dyDescent="0.2">
      <c r="A229" t="s">
        <v>563</v>
      </c>
      <c r="F229">
        <v>228</v>
      </c>
      <c r="G229" t="s">
        <v>328</v>
      </c>
      <c r="H229" t="s">
        <v>329</v>
      </c>
      <c r="I229" t="s">
        <v>324</v>
      </c>
      <c r="J229" t="s">
        <v>338</v>
      </c>
      <c r="K229" t="s">
        <v>333</v>
      </c>
      <c r="L229" t="s">
        <v>327</v>
      </c>
      <c r="M229" t="s">
        <v>326</v>
      </c>
      <c r="N229" t="s">
        <v>331</v>
      </c>
      <c r="P229">
        <f t="shared" si="58"/>
        <v>228</v>
      </c>
      <c r="Q229" s="5" t="str">
        <f t="shared" si="50"/>
        <v>H</v>
      </c>
      <c r="R229" s="6" t="str">
        <f t="shared" si="51"/>
        <v>G</v>
      </c>
      <c r="S229" s="6" t="str">
        <f t="shared" si="52"/>
        <v>E</v>
      </c>
      <c r="T229" s="6" t="str">
        <f t="shared" si="53"/>
        <v>C</v>
      </c>
      <c r="U229" s="6" t="str">
        <f t="shared" si="54"/>
        <v>A</v>
      </c>
      <c r="V229" s="6" t="str">
        <f t="shared" si="55"/>
        <v>F</v>
      </c>
      <c r="W229" s="6" t="str">
        <f t="shared" si="56"/>
        <v>I</v>
      </c>
      <c r="X229" s="6" t="str">
        <f t="shared" si="57"/>
        <v>K</v>
      </c>
      <c r="Y229" s="8">
        <f t="shared" si="59"/>
        <v>5</v>
      </c>
    </row>
    <row r="230" spans="1:25" x14ac:dyDescent="0.2">
      <c r="A230" t="s">
        <v>564</v>
      </c>
      <c r="F230">
        <v>229</v>
      </c>
      <c r="G230" t="s">
        <v>328</v>
      </c>
      <c r="H230" t="s">
        <v>329</v>
      </c>
      <c r="I230" t="s">
        <v>325</v>
      </c>
      <c r="J230" t="s">
        <v>338</v>
      </c>
      <c r="K230" t="s">
        <v>333</v>
      </c>
      <c r="L230" t="s">
        <v>327</v>
      </c>
      <c r="M230" t="s">
        <v>324</v>
      </c>
      <c r="N230" t="s">
        <v>326</v>
      </c>
      <c r="P230">
        <f t="shared" si="58"/>
        <v>229</v>
      </c>
      <c r="Q230" s="5" t="str">
        <f t="shared" si="50"/>
        <v>H</v>
      </c>
      <c r="R230" s="6" t="str">
        <f t="shared" si="51"/>
        <v>G</v>
      </c>
      <c r="S230" s="6" t="str">
        <f t="shared" si="52"/>
        <v>J</v>
      </c>
      <c r="T230" s="6" t="str">
        <f t="shared" si="53"/>
        <v>C</v>
      </c>
      <c r="U230" s="6" t="str">
        <f t="shared" si="54"/>
        <v>A</v>
      </c>
      <c r="V230" s="6" t="str">
        <f t="shared" si="55"/>
        <v>F</v>
      </c>
      <c r="W230" s="6" t="str">
        <f t="shared" si="56"/>
        <v>E</v>
      </c>
      <c r="X230" s="6" t="str">
        <f t="shared" si="57"/>
        <v>I</v>
      </c>
      <c r="Y230" s="8">
        <f t="shared" si="59"/>
        <v>6</v>
      </c>
    </row>
    <row r="231" spans="1:25" x14ac:dyDescent="0.2">
      <c r="A231" t="s">
        <v>565</v>
      </c>
      <c r="F231">
        <v>230</v>
      </c>
      <c r="G231" t="s">
        <v>328</v>
      </c>
      <c r="H231" t="s">
        <v>325</v>
      </c>
      <c r="I231" t="s">
        <v>326</v>
      </c>
      <c r="J231" t="s">
        <v>338</v>
      </c>
      <c r="K231" t="s">
        <v>333</v>
      </c>
      <c r="L231" t="s">
        <v>335</v>
      </c>
      <c r="M231" t="s">
        <v>330</v>
      </c>
      <c r="N231" t="s">
        <v>331</v>
      </c>
      <c r="P231">
        <f t="shared" si="58"/>
        <v>230</v>
      </c>
      <c r="Q231" s="5" t="str">
        <f t="shared" si="50"/>
        <v>H</v>
      </c>
      <c r="R231" s="6" t="str">
        <f t="shared" si="51"/>
        <v>J</v>
      </c>
      <c r="S231" s="6" t="str">
        <f t="shared" si="52"/>
        <v>I</v>
      </c>
      <c r="T231" s="6" t="str">
        <f t="shared" si="53"/>
        <v>C</v>
      </c>
      <c r="U231" s="6" t="str">
        <f t="shared" si="54"/>
        <v>A</v>
      </c>
      <c r="V231" s="6" t="str">
        <f t="shared" si="55"/>
        <v>D</v>
      </c>
      <c r="W231" s="6" t="str">
        <f t="shared" si="56"/>
        <v>L</v>
      </c>
      <c r="X231" s="6" t="str">
        <f t="shared" si="57"/>
        <v>K</v>
      </c>
      <c r="Y231" s="8">
        <f t="shared" si="59"/>
        <v>5</v>
      </c>
    </row>
    <row r="232" spans="1:25" x14ac:dyDescent="0.2">
      <c r="A232" t="s">
        <v>566</v>
      </c>
      <c r="F232">
        <v>231</v>
      </c>
      <c r="G232" t="s">
        <v>326</v>
      </c>
      <c r="H232" t="s">
        <v>329</v>
      </c>
      <c r="I232" t="s">
        <v>325</v>
      </c>
      <c r="J232" t="s">
        <v>338</v>
      </c>
      <c r="K232" t="s">
        <v>333</v>
      </c>
      <c r="L232" t="s">
        <v>335</v>
      </c>
      <c r="M232" t="s">
        <v>330</v>
      </c>
      <c r="N232" t="s">
        <v>331</v>
      </c>
      <c r="P232">
        <f t="shared" si="58"/>
        <v>231</v>
      </c>
      <c r="Q232" s="5" t="str">
        <f t="shared" si="50"/>
        <v>I</v>
      </c>
      <c r="R232" s="6" t="str">
        <f t="shared" si="51"/>
        <v>G</v>
      </c>
      <c r="S232" s="6" t="str">
        <f t="shared" si="52"/>
        <v>J</v>
      </c>
      <c r="T232" s="6" t="str">
        <f t="shared" si="53"/>
        <v>C</v>
      </c>
      <c r="U232" s="6" t="str">
        <f t="shared" si="54"/>
        <v>A</v>
      </c>
      <c r="V232" s="6" t="str">
        <f t="shared" si="55"/>
        <v>D</v>
      </c>
      <c r="W232" s="6" t="str">
        <f t="shared" si="56"/>
        <v>L</v>
      </c>
      <c r="X232" s="6" t="str">
        <f t="shared" si="57"/>
        <v>K</v>
      </c>
      <c r="Y232" s="8">
        <f t="shared" si="59"/>
        <v>6</v>
      </c>
    </row>
    <row r="233" spans="1:25" x14ac:dyDescent="0.2">
      <c r="A233" t="s">
        <v>567</v>
      </c>
      <c r="F233">
        <v>232</v>
      </c>
      <c r="G233" t="s">
        <v>328</v>
      </c>
      <c r="H233" t="s">
        <v>329</v>
      </c>
      <c r="I233" t="s">
        <v>325</v>
      </c>
      <c r="J233" t="s">
        <v>338</v>
      </c>
      <c r="K233" t="s">
        <v>333</v>
      </c>
      <c r="L233" t="s">
        <v>335</v>
      </c>
      <c r="M233" t="s">
        <v>330</v>
      </c>
      <c r="N233" t="s">
        <v>331</v>
      </c>
      <c r="P233">
        <f t="shared" si="58"/>
        <v>232</v>
      </c>
      <c r="Q233" s="5" t="str">
        <f t="shared" si="50"/>
        <v>H</v>
      </c>
      <c r="R233" s="6" t="str">
        <f t="shared" si="51"/>
        <v>G</v>
      </c>
      <c r="S233" s="6" t="str">
        <f t="shared" si="52"/>
        <v>J</v>
      </c>
      <c r="T233" s="6" t="str">
        <f t="shared" si="53"/>
        <v>C</v>
      </c>
      <c r="U233" s="6" t="str">
        <f t="shared" si="54"/>
        <v>A</v>
      </c>
      <c r="V233" s="6" t="str">
        <f t="shared" si="55"/>
        <v>D</v>
      </c>
      <c r="W233" s="6" t="str">
        <f t="shared" si="56"/>
        <v>L</v>
      </c>
      <c r="X233" s="6" t="str">
        <f t="shared" si="57"/>
        <v>K</v>
      </c>
      <c r="Y233" s="8">
        <f t="shared" si="59"/>
        <v>5</v>
      </c>
    </row>
    <row r="234" spans="1:25" x14ac:dyDescent="0.2">
      <c r="A234" t="s">
        <v>568</v>
      </c>
      <c r="F234">
        <v>233</v>
      </c>
      <c r="G234" t="s">
        <v>328</v>
      </c>
      <c r="H234" t="s">
        <v>329</v>
      </c>
      <c r="I234" t="s">
        <v>326</v>
      </c>
      <c r="J234" t="s">
        <v>338</v>
      </c>
      <c r="K234" t="s">
        <v>333</v>
      </c>
      <c r="L234" t="s">
        <v>335</v>
      </c>
      <c r="M234" t="s">
        <v>330</v>
      </c>
      <c r="N234" t="s">
        <v>331</v>
      </c>
      <c r="P234">
        <f t="shared" si="58"/>
        <v>233</v>
      </c>
      <c r="Q234" s="5" t="str">
        <f t="shared" si="50"/>
        <v>H</v>
      </c>
      <c r="R234" s="6" t="str">
        <f t="shared" si="51"/>
        <v>G</v>
      </c>
      <c r="S234" s="6" t="str">
        <f t="shared" si="52"/>
        <v>I</v>
      </c>
      <c r="T234" s="6" t="str">
        <f t="shared" si="53"/>
        <v>C</v>
      </c>
      <c r="U234" s="6" t="str">
        <f t="shared" si="54"/>
        <v>A</v>
      </c>
      <c r="V234" s="6" t="str">
        <f t="shared" si="55"/>
        <v>D</v>
      </c>
      <c r="W234" s="6" t="str">
        <f t="shared" si="56"/>
        <v>L</v>
      </c>
      <c r="X234" s="6" t="str">
        <f t="shared" si="57"/>
        <v>K</v>
      </c>
      <c r="Y234" s="8">
        <f t="shared" si="59"/>
        <v>5</v>
      </c>
    </row>
    <row r="235" spans="1:25" x14ac:dyDescent="0.2">
      <c r="A235" t="s">
        <v>569</v>
      </c>
      <c r="F235">
        <v>234</v>
      </c>
      <c r="G235" t="s">
        <v>328</v>
      </c>
      <c r="H235" t="s">
        <v>329</v>
      </c>
      <c r="I235" t="s">
        <v>325</v>
      </c>
      <c r="J235" t="s">
        <v>338</v>
      </c>
      <c r="K235" t="s">
        <v>333</v>
      </c>
      <c r="L235" t="s">
        <v>335</v>
      </c>
      <c r="M235" t="s">
        <v>330</v>
      </c>
      <c r="N235" t="s">
        <v>326</v>
      </c>
      <c r="P235">
        <f t="shared" si="58"/>
        <v>234</v>
      </c>
      <c r="Q235" s="5" t="str">
        <f t="shared" si="50"/>
        <v>H</v>
      </c>
      <c r="R235" s="6" t="str">
        <f t="shared" si="51"/>
        <v>G</v>
      </c>
      <c r="S235" s="6" t="str">
        <f t="shared" si="52"/>
        <v>J</v>
      </c>
      <c r="T235" s="6" t="str">
        <f t="shared" si="53"/>
        <v>C</v>
      </c>
      <c r="U235" s="6" t="str">
        <f t="shared" si="54"/>
        <v>A</v>
      </c>
      <c r="V235" s="6" t="str">
        <f t="shared" si="55"/>
        <v>D</v>
      </c>
      <c r="W235" s="6" t="str">
        <f t="shared" si="56"/>
        <v>L</v>
      </c>
      <c r="X235" s="6" t="str">
        <f t="shared" si="57"/>
        <v>I</v>
      </c>
      <c r="Y235" s="8">
        <f t="shared" si="59"/>
        <v>6</v>
      </c>
    </row>
    <row r="236" spans="1:25" x14ac:dyDescent="0.2">
      <c r="A236" t="s">
        <v>570</v>
      </c>
      <c r="F236">
        <v>235</v>
      </c>
      <c r="G236" t="s">
        <v>328</v>
      </c>
      <c r="H236" t="s">
        <v>329</v>
      </c>
      <c r="I236" t="s">
        <v>325</v>
      </c>
      <c r="J236" t="s">
        <v>338</v>
      </c>
      <c r="K236" t="s">
        <v>333</v>
      </c>
      <c r="L236" t="s">
        <v>335</v>
      </c>
      <c r="M236" t="s">
        <v>326</v>
      </c>
      <c r="N236" t="s">
        <v>331</v>
      </c>
      <c r="P236">
        <f t="shared" si="58"/>
        <v>235</v>
      </c>
      <c r="Q236" s="5" t="str">
        <f t="shared" si="50"/>
        <v>H</v>
      </c>
      <c r="R236" s="6" t="str">
        <f t="shared" si="51"/>
        <v>G</v>
      </c>
      <c r="S236" s="6" t="str">
        <f t="shared" si="52"/>
        <v>J</v>
      </c>
      <c r="T236" s="6" t="str">
        <f t="shared" si="53"/>
        <v>C</v>
      </c>
      <c r="U236" s="6" t="str">
        <f t="shared" si="54"/>
        <v>A</v>
      </c>
      <c r="V236" s="6" t="str">
        <f t="shared" si="55"/>
        <v>D</v>
      </c>
      <c r="W236" s="6" t="str">
        <f t="shared" si="56"/>
        <v>I</v>
      </c>
      <c r="X236" s="6" t="str">
        <f t="shared" si="57"/>
        <v>K</v>
      </c>
      <c r="Y236" s="8">
        <f t="shared" si="59"/>
        <v>5</v>
      </c>
    </row>
    <row r="237" spans="1:25" x14ac:dyDescent="0.2">
      <c r="A237" t="s">
        <v>571</v>
      </c>
      <c r="F237">
        <v>236</v>
      </c>
      <c r="G237" t="s">
        <v>338</v>
      </c>
      <c r="H237" t="s">
        <v>325</v>
      </c>
      <c r="I237" t="s">
        <v>326</v>
      </c>
      <c r="J237" t="s">
        <v>335</v>
      </c>
      <c r="K237" t="s">
        <v>333</v>
      </c>
      <c r="L237" t="s">
        <v>327</v>
      </c>
      <c r="M237" t="s">
        <v>330</v>
      </c>
      <c r="N237" t="s">
        <v>331</v>
      </c>
      <c r="P237">
        <f t="shared" si="58"/>
        <v>236</v>
      </c>
      <c r="Q237" s="5" t="str">
        <f t="shared" si="50"/>
        <v>C</v>
      </c>
      <c r="R237" s="6" t="str">
        <f t="shared" si="51"/>
        <v>J</v>
      </c>
      <c r="S237" s="6" t="str">
        <f t="shared" si="52"/>
        <v>I</v>
      </c>
      <c r="T237" s="6" t="str">
        <f t="shared" si="53"/>
        <v>D</v>
      </c>
      <c r="U237" s="6" t="str">
        <f t="shared" si="54"/>
        <v>A</v>
      </c>
      <c r="V237" s="6" t="str">
        <f t="shared" si="55"/>
        <v>F</v>
      </c>
      <c r="W237" s="6" t="str">
        <f t="shared" si="56"/>
        <v>L</v>
      </c>
      <c r="X237" s="6" t="str">
        <f t="shared" si="57"/>
        <v>K</v>
      </c>
      <c r="Y237" s="8">
        <f t="shared" si="59"/>
        <v>6</v>
      </c>
    </row>
    <row r="238" spans="1:25" x14ac:dyDescent="0.2">
      <c r="A238" t="s">
        <v>572</v>
      </c>
      <c r="F238">
        <v>237</v>
      </c>
      <c r="G238" t="s">
        <v>328</v>
      </c>
      <c r="H238" t="s">
        <v>325</v>
      </c>
      <c r="I238" t="s">
        <v>327</v>
      </c>
      <c r="J238" t="s">
        <v>338</v>
      </c>
      <c r="K238" t="s">
        <v>333</v>
      </c>
      <c r="L238" t="s">
        <v>335</v>
      </c>
      <c r="M238" t="s">
        <v>330</v>
      </c>
      <c r="N238" t="s">
        <v>331</v>
      </c>
      <c r="P238">
        <f t="shared" si="58"/>
        <v>237</v>
      </c>
      <c r="Q238" s="5" t="str">
        <f t="shared" si="50"/>
        <v>H</v>
      </c>
      <c r="R238" s="6" t="str">
        <f t="shared" si="51"/>
        <v>J</v>
      </c>
      <c r="S238" s="6" t="str">
        <f t="shared" si="52"/>
        <v>F</v>
      </c>
      <c r="T238" s="6" t="str">
        <f t="shared" si="53"/>
        <v>C</v>
      </c>
      <c r="U238" s="6" t="str">
        <f t="shared" si="54"/>
        <v>A</v>
      </c>
      <c r="V238" s="6" t="str">
        <f t="shared" si="55"/>
        <v>D</v>
      </c>
      <c r="W238" s="6" t="str">
        <f t="shared" si="56"/>
        <v>L</v>
      </c>
      <c r="X238" s="6" t="str">
        <f t="shared" si="57"/>
        <v>K</v>
      </c>
      <c r="Y238" s="8">
        <f t="shared" si="59"/>
        <v>5</v>
      </c>
    </row>
    <row r="239" spans="1:25" x14ac:dyDescent="0.2">
      <c r="A239" t="s">
        <v>573</v>
      </c>
      <c r="F239">
        <v>238</v>
      </c>
      <c r="G239" t="s">
        <v>328</v>
      </c>
      <c r="H239" t="s">
        <v>327</v>
      </c>
      <c r="I239" t="s">
        <v>326</v>
      </c>
      <c r="J239" t="s">
        <v>338</v>
      </c>
      <c r="K239" t="s">
        <v>333</v>
      </c>
      <c r="L239" t="s">
        <v>335</v>
      </c>
      <c r="M239" t="s">
        <v>330</v>
      </c>
      <c r="N239" t="s">
        <v>331</v>
      </c>
      <c r="P239">
        <f t="shared" si="58"/>
        <v>238</v>
      </c>
      <c r="Q239" s="5" t="str">
        <f t="shared" si="50"/>
        <v>H</v>
      </c>
      <c r="R239" s="6" t="str">
        <f t="shared" si="51"/>
        <v>F</v>
      </c>
      <c r="S239" s="6" t="str">
        <f t="shared" si="52"/>
        <v>I</v>
      </c>
      <c r="T239" s="6" t="str">
        <f t="shared" si="53"/>
        <v>C</v>
      </c>
      <c r="U239" s="6" t="str">
        <f t="shared" si="54"/>
        <v>A</v>
      </c>
      <c r="V239" s="6" t="str">
        <f t="shared" si="55"/>
        <v>D</v>
      </c>
      <c r="W239" s="6" t="str">
        <f t="shared" si="56"/>
        <v>L</v>
      </c>
      <c r="X239" s="6" t="str">
        <f t="shared" si="57"/>
        <v>K</v>
      </c>
      <c r="Y239" s="8">
        <f t="shared" si="59"/>
        <v>5</v>
      </c>
    </row>
    <row r="240" spans="1:25" x14ac:dyDescent="0.2">
      <c r="A240" t="s">
        <v>574</v>
      </c>
      <c r="F240">
        <v>239</v>
      </c>
      <c r="G240" t="s">
        <v>328</v>
      </c>
      <c r="H240" t="s">
        <v>325</v>
      </c>
      <c r="I240" t="s">
        <v>327</v>
      </c>
      <c r="J240" t="s">
        <v>338</v>
      </c>
      <c r="K240" t="s">
        <v>333</v>
      </c>
      <c r="L240" t="s">
        <v>335</v>
      </c>
      <c r="M240" t="s">
        <v>330</v>
      </c>
      <c r="N240" t="s">
        <v>326</v>
      </c>
      <c r="P240">
        <f t="shared" si="58"/>
        <v>239</v>
      </c>
      <c r="Q240" s="5" t="str">
        <f t="shared" si="50"/>
        <v>H</v>
      </c>
      <c r="R240" s="6" t="str">
        <f t="shared" si="51"/>
        <v>J</v>
      </c>
      <c r="S240" s="6" t="str">
        <f t="shared" si="52"/>
        <v>F</v>
      </c>
      <c r="T240" s="6" t="str">
        <f t="shared" si="53"/>
        <v>C</v>
      </c>
      <c r="U240" s="6" t="str">
        <f t="shared" si="54"/>
        <v>A</v>
      </c>
      <c r="V240" s="6" t="str">
        <f t="shared" si="55"/>
        <v>D</v>
      </c>
      <c r="W240" s="6" t="str">
        <f t="shared" si="56"/>
        <v>L</v>
      </c>
      <c r="X240" s="6" t="str">
        <f t="shared" si="57"/>
        <v>I</v>
      </c>
      <c r="Y240" s="8">
        <f t="shared" si="59"/>
        <v>6</v>
      </c>
    </row>
    <row r="241" spans="1:25" x14ac:dyDescent="0.2">
      <c r="A241" t="s">
        <v>575</v>
      </c>
      <c r="F241">
        <v>240</v>
      </c>
      <c r="G241" t="s">
        <v>328</v>
      </c>
      <c r="H241" t="s">
        <v>325</v>
      </c>
      <c r="I241" t="s">
        <v>327</v>
      </c>
      <c r="J241" t="s">
        <v>338</v>
      </c>
      <c r="K241" t="s">
        <v>333</v>
      </c>
      <c r="L241" t="s">
        <v>335</v>
      </c>
      <c r="M241" t="s">
        <v>326</v>
      </c>
      <c r="N241" t="s">
        <v>331</v>
      </c>
      <c r="P241">
        <f t="shared" si="58"/>
        <v>240</v>
      </c>
      <c r="Q241" s="5" t="str">
        <f t="shared" si="50"/>
        <v>H</v>
      </c>
      <c r="R241" s="6" t="str">
        <f t="shared" si="51"/>
        <v>J</v>
      </c>
      <c r="S241" s="6" t="str">
        <f t="shared" si="52"/>
        <v>F</v>
      </c>
      <c r="T241" s="6" t="str">
        <f t="shared" si="53"/>
        <v>C</v>
      </c>
      <c r="U241" s="6" t="str">
        <f t="shared" si="54"/>
        <v>A</v>
      </c>
      <c r="V241" s="6" t="str">
        <f t="shared" si="55"/>
        <v>D</v>
      </c>
      <c r="W241" s="6" t="str">
        <f t="shared" si="56"/>
        <v>I</v>
      </c>
      <c r="X241" s="6" t="str">
        <f t="shared" si="57"/>
        <v>K</v>
      </c>
      <c r="Y241" s="8">
        <f t="shared" si="59"/>
        <v>5</v>
      </c>
    </row>
    <row r="242" spans="1:25" x14ac:dyDescent="0.2">
      <c r="A242" t="s">
        <v>576</v>
      </c>
      <c r="F242">
        <v>241</v>
      </c>
      <c r="G242" t="s">
        <v>338</v>
      </c>
      <c r="H242" t="s">
        <v>329</v>
      </c>
      <c r="I242" t="s">
        <v>325</v>
      </c>
      <c r="J242" t="s">
        <v>335</v>
      </c>
      <c r="K242" t="s">
        <v>333</v>
      </c>
      <c r="L242" t="s">
        <v>327</v>
      </c>
      <c r="M242" t="s">
        <v>330</v>
      </c>
      <c r="N242" t="s">
        <v>331</v>
      </c>
      <c r="P242">
        <f t="shared" si="58"/>
        <v>241</v>
      </c>
      <c r="Q242" s="5" t="str">
        <f t="shared" si="50"/>
        <v>C</v>
      </c>
      <c r="R242" s="6" t="str">
        <f t="shared" si="51"/>
        <v>G</v>
      </c>
      <c r="S242" s="6" t="str">
        <f t="shared" si="52"/>
        <v>J</v>
      </c>
      <c r="T242" s="6" t="str">
        <f t="shared" si="53"/>
        <v>D</v>
      </c>
      <c r="U242" s="6" t="str">
        <f t="shared" si="54"/>
        <v>A</v>
      </c>
      <c r="V242" s="6" t="str">
        <f t="shared" si="55"/>
        <v>F</v>
      </c>
      <c r="W242" s="6" t="str">
        <f t="shared" si="56"/>
        <v>L</v>
      </c>
      <c r="X242" s="6" t="str">
        <f t="shared" si="57"/>
        <v>K</v>
      </c>
      <c r="Y242" s="8">
        <f t="shared" si="59"/>
        <v>6</v>
      </c>
    </row>
    <row r="243" spans="1:25" x14ac:dyDescent="0.2">
      <c r="A243" t="s">
        <v>577</v>
      </c>
      <c r="F243">
        <v>242</v>
      </c>
      <c r="G243" t="s">
        <v>338</v>
      </c>
      <c r="H243" t="s">
        <v>329</v>
      </c>
      <c r="I243" t="s">
        <v>326</v>
      </c>
      <c r="J243" t="s">
        <v>335</v>
      </c>
      <c r="K243" t="s">
        <v>333</v>
      </c>
      <c r="L243" t="s">
        <v>327</v>
      </c>
      <c r="M243" t="s">
        <v>330</v>
      </c>
      <c r="N243" t="s">
        <v>331</v>
      </c>
      <c r="P243">
        <f t="shared" si="58"/>
        <v>242</v>
      </c>
      <c r="Q243" s="5" t="str">
        <f t="shared" si="50"/>
        <v>C</v>
      </c>
      <c r="R243" s="6" t="str">
        <f t="shared" si="51"/>
        <v>G</v>
      </c>
      <c r="S243" s="6" t="str">
        <f t="shared" si="52"/>
        <v>I</v>
      </c>
      <c r="T243" s="6" t="str">
        <f t="shared" si="53"/>
        <v>D</v>
      </c>
      <c r="U243" s="6" t="str">
        <f t="shared" si="54"/>
        <v>A</v>
      </c>
      <c r="V243" s="6" t="str">
        <f t="shared" si="55"/>
        <v>F</v>
      </c>
      <c r="W243" s="6" t="str">
        <f t="shared" si="56"/>
        <v>L</v>
      </c>
      <c r="X243" s="6" t="str">
        <f t="shared" si="57"/>
        <v>K</v>
      </c>
      <c r="Y243" s="8">
        <f t="shared" si="59"/>
        <v>6</v>
      </c>
    </row>
    <row r="244" spans="1:25" x14ac:dyDescent="0.2">
      <c r="A244" t="s">
        <v>578</v>
      </c>
      <c r="F244">
        <v>243</v>
      </c>
      <c r="G244" t="s">
        <v>338</v>
      </c>
      <c r="H244" t="s">
        <v>329</v>
      </c>
      <c r="I244" t="s">
        <v>325</v>
      </c>
      <c r="J244" t="s">
        <v>335</v>
      </c>
      <c r="K244" t="s">
        <v>333</v>
      </c>
      <c r="L244" t="s">
        <v>327</v>
      </c>
      <c r="M244" t="s">
        <v>330</v>
      </c>
      <c r="N244" t="s">
        <v>326</v>
      </c>
      <c r="P244">
        <f t="shared" si="58"/>
        <v>243</v>
      </c>
      <c r="Q244" s="5" t="str">
        <f t="shared" si="50"/>
        <v>C</v>
      </c>
      <c r="R244" s="6" t="str">
        <f t="shared" si="51"/>
        <v>G</v>
      </c>
      <c r="S244" s="6" t="str">
        <f t="shared" si="52"/>
        <v>J</v>
      </c>
      <c r="T244" s="6" t="str">
        <f t="shared" si="53"/>
        <v>D</v>
      </c>
      <c r="U244" s="6" t="str">
        <f t="shared" si="54"/>
        <v>A</v>
      </c>
      <c r="V244" s="6" t="str">
        <f t="shared" si="55"/>
        <v>F</v>
      </c>
      <c r="W244" s="6" t="str">
        <f t="shared" si="56"/>
        <v>L</v>
      </c>
      <c r="X244" s="6" t="str">
        <f t="shared" si="57"/>
        <v>I</v>
      </c>
      <c r="Y244" s="8">
        <f t="shared" si="59"/>
        <v>7</v>
      </c>
    </row>
    <row r="245" spans="1:25" x14ac:dyDescent="0.2">
      <c r="A245" t="s">
        <v>579</v>
      </c>
      <c r="F245">
        <v>244</v>
      </c>
      <c r="G245" t="s">
        <v>338</v>
      </c>
      <c r="H245" t="s">
        <v>329</v>
      </c>
      <c r="I245" t="s">
        <v>325</v>
      </c>
      <c r="J245" t="s">
        <v>335</v>
      </c>
      <c r="K245" t="s">
        <v>333</v>
      </c>
      <c r="L245" t="s">
        <v>327</v>
      </c>
      <c r="M245" t="s">
        <v>326</v>
      </c>
      <c r="N245" t="s">
        <v>331</v>
      </c>
      <c r="P245">
        <f t="shared" si="58"/>
        <v>244</v>
      </c>
      <c r="Q245" s="5" t="str">
        <f t="shared" si="50"/>
        <v>C</v>
      </c>
      <c r="R245" s="6" t="str">
        <f t="shared" si="51"/>
        <v>G</v>
      </c>
      <c r="S245" s="6" t="str">
        <f t="shared" si="52"/>
        <v>J</v>
      </c>
      <c r="T245" s="6" t="str">
        <f t="shared" si="53"/>
        <v>D</v>
      </c>
      <c r="U245" s="6" t="str">
        <f t="shared" si="54"/>
        <v>A</v>
      </c>
      <c r="V245" s="6" t="str">
        <f t="shared" si="55"/>
        <v>F</v>
      </c>
      <c r="W245" s="6" t="str">
        <f t="shared" si="56"/>
        <v>I</v>
      </c>
      <c r="X245" s="6" t="str">
        <f t="shared" si="57"/>
        <v>K</v>
      </c>
      <c r="Y245" s="8">
        <f t="shared" si="59"/>
        <v>6</v>
      </c>
    </row>
    <row r="246" spans="1:25" x14ac:dyDescent="0.2">
      <c r="A246" t="s">
        <v>580</v>
      </c>
      <c r="F246">
        <v>245</v>
      </c>
      <c r="G246" t="s">
        <v>328</v>
      </c>
      <c r="H246" t="s">
        <v>329</v>
      </c>
      <c r="I246" t="s">
        <v>327</v>
      </c>
      <c r="J246" t="s">
        <v>338</v>
      </c>
      <c r="K246" t="s">
        <v>333</v>
      </c>
      <c r="L246" t="s">
        <v>335</v>
      </c>
      <c r="M246" t="s">
        <v>330</v>
      </c>
      <c r="N246" t="s">
        <v>331</v>
      </c>
      <c r="P246">
        <f t="shared" si="58"/>
        <v>245</v>
      </c>
      <c r="Q246" s="5" t="str">
        <f t="shared" si="50"/>
        <v>H</v>
      </c>
      <c r="R246" s="6" t="str">
        <f t="shared" si="51"/>
        <v>G</v>
      </c>
      <c r="S246" s="6" t="str">
        <f t="shared" si="52"/>
        <v>F</v>
      </c>
      <c r="T246" s="6" t="str">
        <f t="shared" si="53"/>
        <v>C</v>
      </c>
      <c r="U246" s="6" t="str">
        <f t="shared" si="54"/>
        <v>A</v>
      </c>
      <c r="V246" s="6" t="str">
        <f t="shared" si="55"/>
        <v>D</v>
      </c>
      <c r="W246" s="6" t="str">
        <f t="shared" si="56"/>
        <v>L</v>
      </c>
      <c r="X246" s="6" t="str">
        <f t="shared" si="57"/>
        <v>K</v>
      </c>
      <c r="Y246" s="8">
        <f t="shared" si="59"/>
        <v>5</v>
      </c>
    </row>
    <row r="247" spans="1:25" x14ac:dyDescent="0.2">
      <c r="A247" t="s">
        <v>581</v>
      </c>
      <c r="F247">
        <v>246</v>
      </c>
      <c r="G247" t="s">
        <v>338</v>
      </c>
      <c r="H247" t="s">
        <v>329</v>
      </c>
      <c r="I247" t="s">
        <v>325</v>
      </c>
      <c r="J247" t="s">
        <v>335</v>
      </c>
      <c r="K247" t="s">
        <v>333</v>
      </c>
      <c r="L247" t="s">
        <v>327</v>
      </c>
      <c r="M247" t="s">
        <v>330</v>
      </c>
      <c r="N247" t="s">
        <v>328</v>
      </c>
      <c r="P247">
        <f t="shared" si="58"/>
        <v>246</v>
      </c>
      <c r="Q247" s="5" t="str">
        <f t="shared" si="50"/>
        <v>C</v>
      </c>
      <c r="R247" s="6" t="str">
        <f t="shared" si="51"/>
        <v>G</v>
      </c>
      <c r="S247" s="6" t="str">
        <f t="shared" si="52"/>
        <v>J</v>
      </c>
      <c r="T247" s="6" t="str">
        <f t="shared" si="53"/>
        <v>D</v>
      </c>
      <c r="U247" s="6" t="str">
        <f t="shared" si="54"/>
        <v>A</v>
      </c>
      <c r="V247" s="6" t="str">
        <f t="shared" si="55"/>
        <v>F</v>
      </c>
      <c r="W247" s="6" t="str">
        <f t="shared" si="56"/>
        <v>L</v>
      </c>
      <c r="X247" s="6" t="str">
        <f t="shared" si="57"/>
        <v>H</v>
      </c>
      <c r="Y247" s="8">
        <f t="shared" si="59"/>
        <v>6</v>
      </c>
    </row>
    <row r="248" spans="1:25" x14ac:dyDescent="0.2">
      <c r="A248" t="s">
        <v>582</v>
      </c>
      <c r="F248">
        <v>247</v>
      </c>
      <c r="G248" t="s">
        <v>328</v>
      </c>
      <c r="H248" t="s">
        <v>329</v>
      </c>
      <c r="I248" t="s">
        <v>325</v>
      </c>
      <c r="J248" t="s">
        <v>338</v>
      </c>
      <c r="K248" t="s">
        <v>333</v>
      </c>
      <c r="L248" t="s">
        <v>327</v>
      </c>
      <c r="M248" t="s">
        <v>335</v>
      </c>
      <c r="N248" t="s">
        <v>331</v>
      </c>
      <c r="P248">
        <f t="shared" si="58"/>
        <v>247</v>
      </c>
      <c r="Q248" s="5" t="str">
        <f t="shared" si="50"/>
        <v>H</v>
      </c>
      <c r="R248" s="6" t="str">
        <f t="shared" si="51"/>
        <v>G</v>
      </c>
      <c r="S248" s="6" t="str">
        <f t="shared" si="52"/>
        <v>J</v>
      </c>
      <c r="T248" s="6" t="str">
        <f t="shared" si="53"/>
        <v>C</v>
      </c>
      <c r="U248" s="6" t="str">
        <f t="shared" si="54"/>
        <v>A</v>
      </c>
      <c r="V248" s="6" t="str">
        <f t="shared" si="55"/>
        <v>F</v>
      </c>
      <c r="W248" s="6" t="str">
        <f t="shared" si="56"/>
        <v>D</v>
      </c>
      <c r="X248" s="6" t="str">
        <f t="shared" si="57"/>
        <v>K</v>
      </c>
      <c r="Y248" s="8">
        <f t="shared" si="59"/>
        <v>5</v>
      </c>
    </row>
    <row r="249" spans="1:25" x14ac:dyDescent="0.2">
      <c r="A249" t="s">
        <v>583</v>
      </c>
      <c r="F249">
        <v>248</v>
      </c>
      <c r="G249" t="s">
        <v>328</v>
      </c>
      <c r="H249" t="s">
        <v>329</v>
      </c>
      <c r="I249" t="s">
        <v>327</v>
      </c>
      <c r="J249" t="s">
        <v>338</v>
      </c>
      <c r="K249" t="s">
        <v>333</v>
      </c>
      <c r="L249" t="s">
        <v>335</v>
      </c>
      <c r="M249" t="s">
        <v>330</v>
      </c>
      <c r="N249" t="s">
        <v>326</v>
      </c>
      <c r="P249">
        <f t="shared" si="58"/>
        <v>248</v>
      </c>
      <c r="Q249" s="5" t="str">
        <f t="shared" si="50"/>
        <v>H</v>
      </c>
      <c r="R249" s="6" t="str">
        <f t="shared" si="51"/>
        <v>G</v>
      </c>
      <c r="S249" s="6" t="str">
        <f t="shared" si="52"/>
        <v>F</v>
      </c>
      <c r="T249" s="6" t="str">
        <f t="shared" si="53"/>
        <v>C</v>
      </c>
      <c r="U249" s="6" t="str">
        <f t="shared" si="54"/>
        <v>A</v>
      </c>
      <c r="V249" s="6" t="str">
        <f t="shared" si="55"/>
        <v>D</v>
      </c>
      <c r="W249" s="6" t="str">
        <f t="shared" si="56"/>
        <v>L</v>
      </c>
      <c r="X249" s="6" t="str">
        <f t="shared" si="57"/>
        <v>I</v>
      </c>
      <c r="Y249" s="8">
        <f t="shared" si="59"/>
        <v>6</v>
      </c>
    </row>
    <row r="250" spans="1:25" x14ac:dyDescent="0.2">
      <c r="A250" t="s">
        <v>584</v>
      </c>
      <c r="F250">
        <v>249</v>
      </c>
      <c r="G250" t="s">
        <v>328</v>
      </c>
      <c r="H250" t="s">
        <v>329</v>
      </c>
      <c r="I250" t="s">
        <v>327</v>
      </c>
      <c r="J250" t="s">
        <v>338</v>
      </c>
      <c r="K250" t="s">
        <v>333</v>
      </c>
      <c r="L250" t="s">
        <v>335</v>
      </c>
      <c r="M250" t="s">
        <v>326</v>
      </c>
      <c r="N250" t="s">
        <v>331</v>
      </c>
      <c r="P250">
        <f t="shared" si="58"/>
        <v>249</v>
      </c>
      <c r="Q250" s="5" t="str">
        <f t="shared" si="50"/>
        <v>H</v>
      </c>
      <c r="R250" s="6" t="str">
        <f t="shared" si="51"/>
        <v>G</v>
      </c>
      <c r="S250" s="6" t="str">
        <f t="shared" si="52"/>
        <v>F</v>
      </c>
      <c r="T250" s="6" t="str">
        <f t="shared" si="53"/>
        <v>C</v>
      </c>
      <c r="U250" s="6" t="str">
        <f t="shared" si="54"/>
        <v>A</v>
      </c>
      <c r="V250" s="6" t="str">
        <f t="shared" si="55"/>
        <v>D</v>
      </c>
      <c r="W250" s="6" t="str">
        <f t="shared" si="56"/>
        <v>I</v>
      </c>
      <c r="X250" s="6" t="str">
        <f t="shared" si="57"/>
        <v>K</v>
      </c>
      <c r="Y250" s="8">
        <f t="shared" si="59"/>
        <v>5</v>
      </c>
    </row>
    <row r="251" spans="1:25" x14ac:dyDescent="0.2">
      <c r="A251" t="s">
        <v>585</v>
      </c>
      <c r="F251">
        <v>250</v>
      </c>
      <c r="G251" t="s">
        <v>328</v>
      </c>
      <c r="H251" t="s">
        <v>329</v>
      </c>
      <c r="I251" t="s">
        <v>325</v>
      </c>
      <c r="J251" t="s">
        <v>338</v>
      </c>
      <c r="K251" t="s">
        <v>333</v>
      </c>
      <c r="L251" t="s">
        <v>327</v>
      </c>
      <c r="M251" t="s">
        <v>335</v>
      </c>
      <c r="N251" t="s">
        <v>326</v>
      </c>
      <c r="P251">
        <f t="shared" si="58"/>
        <v>250</v>
      </c>
      <c r="Q251" s="5" t="str">
        <f t="shared" si="50"/>
        <v>H</v>
      </c>
      <c r="R251" s="6" t="str">
        <f t="shared" si="51"/>
        <v>G</v>
      </c>
      <c r="S251" s="6" t="str">
        <f t="shared" si="52"/>
        <v>J</v>
      </c>
      <c r="T251" s="6" t="str">
        <f t="shared" si="53"/>
        <v>C</v>
      </c>
      <c r="U251" s="6" t="str">
        <f t="shared" si="54"/>
        <v>A</v>
      </c>
      <c r="V251" s="6" t="str">
        <f t="shared" si="55"/>
        <v>F</v>
      </c>
      <c r="W251" s="6" t="str">
        <f t="shared" si="56"/>
        <v>D</v>
      </c>
      <c r="X251" s="6" t="str">
        <f t="shared" si="57"/>
        <v>I</v>
      </c>
      <c r="Y251" s="8">
        <f t="shared" si="59"/>
        <v>6</v>
      </c>
    </row>
    <row r="252" spans="1:25" x14ac:dyDescent="0.2">
      <c r="A252" t="s">
        <v>586</v>
      </c>
      <c r="F252">
        <v>251</v>
      </c>
      <c r="G252" t="s">
        <v>324</v>
      </c>
      <c r="H252" t="s">
        <v>325</v>
      </c>
      <c r="I252" t="s">
        <v>326</v>
      </c>
      <c r="J252" t="s">
        <v>338</v>
      </c>
      <c r="K252" t="s">
        <v>333</v>
      </c>
      <c r="L252" t="s">
        <v>335</v>
      </c>
      <c r="M252" t="s">
        <v>330</v>
      </c>
      <c r="N252" t="s">
        <v>331</v>
      </c>
      <c r="P252">
        <f t="shared" si="58"/>
        <v>251</v>
      </c>
      <c r="Q252" s="5" t="str">
        <f t="shared" si="50"/>
        <v>E</v>
      </c>
      <c r="R252" s="6" t="str">
        <f t="shared" si="51"/>
        <v>J</v>
      </c>
      <c r="S252" s="6" t="str">
        <f t="shared" si="52"/>
        <v>I</v>
      </c>
      <c r="T252" s="6" t="str">
        <f t="shared" si="53"/>
        <v>C</v>
      </c>
      <c r="U252" s="6" t="str">
        <f t="shared" si="54"/>
        <v>A</v>
      </c>
      <c r="V252" s="6" t="str">
        <f t="shared" si="55"/>
        <v>D</v>
      </c>
      <c r="W252" s="6" t="str">
        <f t="shared" si="56"/>
        <v>L</v>
      </c>
      <c r="X252" s="6" t="str">
        <f t="shared" si="57"/>
        <v>K</v>
      </c>
      <c r="Y252" s="8">
        <f t="shared" si="59"/>
        <v>6</v>
      </c>
    </row>
    <row r="253" spans="1:25" x14ac:dyDescent="0.2">
      <c r="A253" t="s">
        <v>587</v>
      </c>
      <c r="F253">
        <v>252</v>
      </c>
      <c r="G253" t="s">
        <v>328</v>
      </c>
      <c r="H253" t="s">
        <v>325</v>
      </c>
      <c r="I253" t="s">
        <v>324</v>
      </c>
      <c r="J253" t="s">
        <v>338</v>
      </c>
      <c r="K253" t="s">
        <v>333</v>
      </c>
      <c r="L253" t="s">
        <v>335</v>
      </c>
      <c r="M253" t="s">
        <v>330</v>
      </c>
      <c r="N253" t="s">
        <v>331</v>
      </c>
      <c r="P253">
        <f t="shared" si="58"/>
        <v>252</v>
      </c>
      <c r="Q253" s="5" t="str">
        <f t="shared" si="50"/>
        <v>H</v>
      </c>
      <c r="R253" s="6" t="str">
        <f t="shared" si="51"/>
        <v>J</v>
      </c>
      <c r="S253" s="6" t="str">
        <f t="shared" si="52"/>
        <v>E</v>
      </c>
      <c r="T253" s="6" t="str">
        <f t="shared" si="53"/>
        <v>C</v>
      </c>
      <c r="U253" s="6" t="str">
        <f t="shared" si="54"/>
        <v>A</v>
      </c>
      <c r="V253" s="6" t="str">
        <f t="shared" si="55"/>
        <v>D</v>
      </c>
      <c r="W253" s="6" t="str">
        <f t="shared" si="56"/>
        <v>L</v>
      </c>
      <c r="X253" s="6" t="str">
        <f t="shared" si="57"/>
        <v>K</v>
      </c>
      <c r="Y253" s="8">
        <f t="shared" si="59"/>
        <v>5</v>
      </c>
    </row>
    <row r="254" spans="1:25" x14ac:dyDescent="0.2">
      <c r="A254" t="s">
        <v>588</v>
      </c>
      <c r="F254">
        <v>253</v>
      </c>
      <c r="G254" t="s">
        <v>328</v>
      </c>
      <c r="H254" t="s">
        <v>324</v>
      </c>
      <c r="I254" t="s">
        <v>326</v>
      </c>
      <c r="J254" t="s">
        <v>338</v>
      </c>
      <c r="K254" t="s">
        <v>333</v>
      </c>
      <c r="L254" t="s">
        <v>335</v>
      </c>
      <c r="M254" t="s">
        <v>330</v>
      </c>
      <c r="N254" t="s">
        <v>331</v>
      </c>
      <c r="P254">
        <f t="shared" si="58"/>
        <v>253</v>
      </c>
      <c r="Q254" s="5" t="str">
        <f t="shared" si="50"/>
        <v>H</v>
      </c>
      <c r="R254" s="6" t="str">
        <f t="shared" si="51"/>
        <v>E</v>
      </c>
      <c r="S254" s="6" t="str">
        <f t="shared" si="52"/>
        <v>I</v>
      </c>
      <c r="T254" s="6" t="str">
        <f t="shared" si="53"/>
        <v>C</v>
      </c>
      <c r="U254" s="6" t="str">
        <f t="shared" si="54"/>
        <v>A</v>
      </c>
      <c r="V254" s="6" t="str">
        <f t="shared" si="55"/>
        <v>D</v>
      </c>
      <c r="W254" s="6" t="str">
        <f t="shared" si="56"/>
        <v>L</v>
      </c>
      <c r="X254" s="6" t="str">
        <f t="shared" si="57"/>
        <v>K</v>
      </c>
      <c r="Y254" s="8">
        <f t="shared" si="59"/>
        <v>5</v>
      </c>
    </row>
    <row r="255" spans="1:25" x14ac:dyDescent="0.2">
      <c r="A255" t="s">
        <v>589</v>
      </c>
      <c r="F255">
        <v>254</v>
      </c>
      <c r="G255" t="s">
        <v>328</v>
      </c>
      <c r="H255" t="s">
        <v>325</v>
      </c>
      <c r="I255" t="s">
        <v>324</v>
      </c>
      <c r="J255" t="s">
        <v>338</v>
      </c>
      <c r="K255" t="s">
        <v>333</v>
      </c>
      <c r="L255" t="s">
        <v>335</v>
      </c>
      <c r="M255" t="s">
        <v>330</v>
      </c>
      <c r="N255" t="s">
        <v>326</v>
      </c>
      <c r="P255">
        <f t="shared" si="58"/>
        <v>254</v>
      </c>
      <c r="Q255" s="5" t="str">
        <f t="shared" si="50"/>
        <v>H</v>
      </c>
      <c r="R255" s="6" t="str">
        <f t="shared" si="51"/>
        <v>J</v>
      </c>
      <c r="S255" s="6" t="str">
        <f t="shared" si="52"/>
        <v>E</v>
      </c>
      <c r="T255" s="6" t="str">
        <f t="shared" si="53"/>
        <v>C</v>
      </c>
      <c r="U255" s="6" t="str">
        <f t="shared" si="54"/>
        <v>A</v>
      </c>
      <c r="V255" s="6" t="str">
        <f t="shared" si="55"/>
        <v>D</v>
      </c>
      <c r="W255" s="6" t="str">
        <f t="shared" si="56"/>
        <v>L</v>
      </c>
      <c r="X255" s="6" t="str">
        <f t="shared" si="57"/>
        <v>I</v>
      </c>
      <c r="Y255" s="8">
        <f t="shared" si="59"/>
        <v>6</v>
      </c>
    </row>
    <row r="256" spans="1:25" x14ac:dyDescent="0.2">
      <c r="A256" t="s">
        <v>590</v>
      </c>
      <c r="F256">
        <v>255</v>
      </c>
      <c r="G256" t="s">
        <v>328</v>
      </c>
      <c r="H256" t="s">
        <v>325</v>
      </c>
      <c r="I256" t="s">
        <v>324</v>
      </c>
      <c r="J256" t="s">
        <v>338</v>
      </c>
      <c r="K256" t="s">
        <v>333</v>
      </c>
      <c r="L256" t="s">
        <v>335</v>
      </c>
      <c r="M256" t="s">
        <v>326</v>
      </c>
      <c r="N256" t="s">
        <v>331</v>
      </c>
      <c r="P256">
        <f t="shared" si="58"/>
        <v>255</v>
      </c>
      <c r="Q256" s="5" t="str">
        <f t="shared" si="50"/>
        <v>H</v>
      </c>
      <c r="R256" s="6" t="str">
        <f t="shared" si="51"/>
        <v>J</v>
      </c>
      <c r="S256" s="6" t="str">
        <f t="shared" si="52"/>
        <v>E</v>
      </c>
      <c r="T256" s="6" t="str">
        <f t="shared" si="53"/>
        <v>C</v>
      </c>
      <c r="U256" s="6" t="str">
        <f t="shared" si="54"/>
        <v>A</v>
      </c>
      <c r="V256" s="6" t="str">
        <f t="shared" si="55"/>
        <v>D</v>
      </c>
      <c r="W256" s="6" t="str">
        <f t="shared" si="56"/>
        <v>I</v>
      </c>
      <c r="X256" s="6" t="str">
        <f t="shared" si="57"/>
        <v>K</v>
      </c>
      <c r="Y256" s="8">
        <f t="shared" si="59"/>
        <v>5</v>
      </c>
    </row>
    <row r="257" spans="1:25" x14ac:dyDescent="0.2">
      <c r="A257" t="s">
        <v>591</v>
      </c>
      <c r="F257">
        <v>256</v>
      </c>
      <c r="G257" t="s">
        <v>324</v>
      </c>
      <c r="H257" t="s">
        <v>329</v>
      </c>
      <c r="I257" t="s">
        <v>325</v>
      </c>
      <c r="J257" t="s">
        <v>338</v>
      </c>
      <c r="K257" t="s">
        <v>333</v>
      </c>
      <c r="L257" t="s">
        <v>335</v>
      </c>
      <c r="M257" t="s">
        <v>330</v>
      </c>
      <c r="N257" t="s">
        <v>331</v>
      </c>
      <c r="P257">
        <f t="shared" si="58"/>
        <v>256</v>
      </c>
      <c r="Q257" s="5" t="str">
        <f t="shared" si="50"/>
        <v>E</v>
      </c>
      <c r="R257" s="6" t="str">
        <f t="shared" si="51"/>
        <v>G</v>
      </c>
      <c r="S257" s="6" t="str">
        <f t="shared" si="52"/>
        <v>J</v>
      </c>
      <c r="T257" s="6" t="str">
        <f t="shared" si="53"/>
        <v>C</v>
      </c>
      <c r="U257" s="6" t="str">
        <f t="shared" si="54"/>
        <v>A</v>
      </c>
      <c r="V257" s="6" t="str">
        <f t="shared" si="55"/>
        <v>D</v>
      </c>
      <c r="W257" s="6" t="str">
        <f t="shared" si="56"/>
        <v>L</v>
      </c>
      <c r="X257" s="6" t="str">
        <f t="shared" si="57"/>
        <v>K</v>
      </c>
      <c r="Y257" s="8">
        <f t="shared" si="59"/>
        <v>6</v>
      </c>
    </row>
    <row r="258" spans="1:25" x14ac:dyDescent="0.2">
      <c r="A258" t="s">
        <v>592</v>
      </c>
      <c r="F258">
        <v>257</v>
      </c>
      <c r="G258" t="s">
        <v>324</v>
      </c>
      <c r="H258" t="s">
        <v>329</v>
      </c>
      <c r="I258" t="s">
        <v>326</v>
      </c>
      <c r="J258" t="s">
        <v>338</v>
      </c>
      <c r="K258" t="s">
        <v>333</v>
      </c>
      <c r="L258" t="s">
        <v>335</v>
      </c>
      <c r="M258" t="s">
        <v>330</v>
      </c>
      <c r="N258" t="s">
        <v>331</v>
      </c>
      <c r="P258">
        <f t="shared" si="58"/>
        <v>257</v>
      </c>
      <c r="Q258" s="5" t="str">
        <f t="shared" ref="Q258:Q321" si="60">+RIGHT(G258,1)</f>
        <v>E</v>
      </c>
      <c r="R258" s="6" t="str">
        <f t="shared" ref="R258:R321" si="61">+RIGHT(H258,1)</f>
        <v>G</v>
      </c>
      <c r="S258" s="6" t="str">
        <f t="shared" ref="S258:S321" si="62">+RIGHT(I258,1)</f>
        <v>I</v>
      </c>
      <c r="T258" s="6" t="str">
        <f t="shared" ref="T258:T321" si="63">+RIGHT(J258,1)</f>
        <v>C</v>
      </c>
      <c r="U258" s="6" t="str">
        <f t="shared" ref="U258:U321" si="64">+RIGHT(K258,1)</f>
        <v>A</v>
      </c>
      <c r="V258" s="6" t="str">
        <f t="shared" ref="V258:V321" si="65">+RIGHT(L258,1)</f>
        <v>D</v>
      </c>
      <c r="W258" s="6" t="str">
        <f t="shared" ref="W258:W321" si="66">+RIGHT(M258,1)</f>
        <v>L</v>
      </c>
      <c r="X258" s="6" t="str">
        <f t="shared" ref="X258:X321" si="67">+RIGHT(N258,1)</f>
        <v>K</v>
      </c>
      <c r="Y258" s="8">
        <f t="shared" si="59"/>
        <v>6</v>
      </c>
    </row>
    <row r="259" spans="1:25" x14ac:dyDescent="0.2">
      <c r="A259" t="s">
        <v>593</v>
      </c>
      <c r="F259">
        <v>258</v>
      </c>
      <c r="G259" t="s">
        <v>324</v>
      </c>
      <c r="H259" t="s">
        <v>329</v>
      </c>
      <c r="I259" t="s">
        <v>325</v>
      </c>
      <c r="J259" t="s">
        <v>338</v>
      </c>
      <c r="K259" t="s">
        <v>333</v>
      </c>
      <c r="L259" t="s">
        <v>335</v>
      </c>
      <c r="M259" t="s">
        <v>330</v>
      </c>
      <c r="N259" t="s">
        <v>326</v>
      </c>
      <c r="P259">
        <f t="shared" ref="P259:P322" si="68">+F259</f>
        <v>258</v>
      </c>
      <c r="Q259" s="5" t="str">
        <f t="shared" si="60"/>
        <v>E</v>
      </c>
      <c r="R259" s="6" t="str">
        <f t="shared" si="61"/>
        <v>G</v>
      </c>
      <c r="S259" s="6" t="str">
        <f t="shared" si="62"/>
        <v>J</v>
      </c>
      <c r="T259" s="6" t="str">
        <f t="shared" si="63"/>
        <v>C</v>
      </c>
      <c r="U259" s="6" t="str">
        <f t="shared" si="64"/>
        <v>A</v>
      </c>
      <c r="V259" s="6" t="str">
        <f t="shared" si="65"/>
        <v>D</v>
      </c>
      <c r="W259" s="6" t="str">
        <f t="shared" si="66"/>
        <v>L</v>
      </c>
      <c r="X259" s="6" t="str">
        <f t="shared" si="67"/>
        <v>I</v>
      </c>
      <c r="Y259" s="8">
        <f t="shared" ref="Y259:Y322" si="69">+COUNTIF($AA$2:$AA$9,Q259)+COUNTIF($AA$2:$AA$9,R259)+COUNTIF($AA$2:$AA$9,S259)+COUNTIF($AA$2:$AA$9,T259)+COUNTIF($AA$2:$AA$9,U259)+COUNTIF($AA$2:$AA$9,V259)+COUNTIF($AA$2:$AA$9,W259)+COUNTIF($AA$2:$AA$9,X259)</f>
        <v>7</v>
      </c>
    </row>
    <row r="260" spans="1:25" x14ac:dyDescent="0.2">
      <c r="A260" t="s">
        <v>594</v>
      </c>
      <c r="F260">
        <v>259</v>
      </c>
      <c r="G260" t="s">
        <v>324</v>
      </c>
      <c r="H260" t="s">
        <v>329</v>
      </c>
      <c r="I260" t="s">
        <v>325</v>
      </c>
      <c r="J260" t="s">
        <v>338</v>
      </c>
      <c r="K260" t="s">
        <v>333</v>
      </c>
      <c r="L260" t="s">
        <v>335</v>
      </c>
      <c r="M260" t="s">
        <v>326</v>
      </c>
      <c r="N260" t="s">
        <v>331</v>
      </c>
      <c r="P260">
        <f t="shared" si="68"/>
        <v>259</v>
      </c>
      <c r="Q260" s="5" t="str">
        <f t="shared" si="60"/>
        <v>E</v>
      </c>
      <c r="R260" s="6" t="str">
        <f t="shared" si="61"/>
        <v>G</v>
      </c>
      <c r="S260" s="6" t="str">
        <f t="shared" si="62"/>
        <v>J</v>
      </c>
      <c r="T260" s="6" t="str">
        <f t="shared" si="63"/>
        <v>C</v>
      </c>
      <c r="U260" s="6" t="str">
        <f t="shared" si="64"/>
        <v>A</v>
      </c>
      <c r="V260" s="6" t="str">
        <f t="shared" si="65"/>
        <v>D</v>
      </c>
      <c r="W260" s="6" t="str">
        <f t="shared" si="66"/>
        <v>I</v>
      </c>
      <c r="X260" s="6" t="str">
        <f t="shared" si="67"/>
        <v>K</v>
      </c>
      <c r="Y260" s="8">
        <f t="shared" si="69"/>
        <v>6</v>
      </c>
    </row>
    <row r="261" spans="1:25" x14ac:dyDescent="0.2">
      <c r="A261" t="s">
        <v>595</v>
      </c>
      <c r="F261">
        <v>260</v>
      </c>
      <c r="G261" t="s">
        <v>328</v>
      </c>
      <c r="H261" t="s">
        <v>329</v>
      </c>
      <c r="I261" t="s">
        <v>324</v>
      </c>
      <c r="J261" t="s">
        <v>338</v>
      </c>
      <c r="K261" t="s">
        <v>333</v>
      </c>
      <c r="L261" t="s">
        <v>335</v>
      </c>
      <c r="M261" t="s">
        <v>330</v>
      </c>
      <c r="N261" t="s">
        <v>331</v>
      </c>
      <c r="P261">
        <f t="shared" si="68"/>
        <v>260</v>
      </c>
      <c r="Q261" s="5" t="str">
        <f t="shared" si="60"/>
        <v>H</v>
      </c>
      <c r="R261" s="6" t="str">
        <f t="shared" si="61"/>
        <v>G</v>
      </c>
      <c r="S261" s="6" t="str">
        <f t="shared" si="62"/>
        <v>E</v>
      </c>
      <c r="T261" s="6" t="str">
        <f t="shared" si="63"/>
        <v>C</v>
      </c>
      <c r="U261" s="6" t="str">
        <f t="shared" si="64"/>
        <v>A</v>
      </c>
      <c r="V261" s="6" t="str">
        <f t="shared" si="65"/>
        <v>D</v>
      </c>
      <c r="W261" s="6" t="str">
        <f t="shared" si="66"/>
        <v>L</v>
      </c>
      <c r="X261" s="6" t="str">
        <f t="shared" si="67"/>
        <v>K</v>
      </c>
      <c r="Y261" s="8">
        <f t="shared" si="69"/>
        <v>5</v>
      </c>
    </row>
    <row r="262" spans="1:25" x14ac:dyDescent="0.2">
      <c r="A262" t="s">
        <v>596</v>
      </c>
      <c r="F262">
        <v>261</v>
      </c>
      <c r="G262" t="s">
        <v>328</v>
      </c>
      <c r="H262" t="s">
        <v>329</v>
      </c>
      <c r="I262" t="s">
        <v>325</v>
      </c>
      <c r="J262" t="s">
        <v>338</v>
      </c>
      <c r="K262" t="s">
        <v>333</v>
      </c>
      <c r="L262" t="s">
        <v>335</v>
      </c>
      <c r="M262" t="s">
        <v>330</v>
      </c>
      <c r="N262" t="s">
        <v>324</v>
      </c>
      <c r="P262">
        <f t="shared" si="68"/>
        <v>261</v>
      </c>
      <c r="Q262" s="5" t="str">
        <f t="shared" si="60"/>
        <v>H</v>
      </c>
      <c r="R262" s="6" t="str">
        <f t="shared" si="61"/>
        <v>G</v>
      </c>
      <c r="S262" s="6" t="str">
        <f t="shared" si="62"/>
        <v>J</v>
      </c>
      <c r="T262" s="6" t="str">
        <f t="shared" si="63"/>
        <v>C</v>
      </c>
      <c r="U262" s="6" t="str">
        <f t="shared" si="64"/>
        <v>A</v>
      </c>
      <c r="V262" s="6" t="str">
        <f t="shared" si="65"/>
        <v>D</v>
      </c>
      <c r="W262" s="6" t="str">
        <f t="shared" si="66"/>
        <v>L</v>
      </c>
      <c r="X262" s="6" t="str">
        <f t="shared" si="67"/>
        <v>E</v>
      </c>
      <c r="Y262" s="8">
        <f t="shared" si="69"/>
        <v>6</v>
      </c>
    </row>
    <row r="263" spans="1:25" x14ac:dyDescent="0.2">
      <c r="A263" t="s">
        <v>597</v>
      </c>
      <c r="F263">
        <v>262</v>
      </c>
      <c r="G263" t="s">
        <v>328</v>
      </c>
      <c r="H263" t="s">
        <v>329</v>
      </c>
      <c r="I263" t="s">
        <v>325</v>
      </c>
      <c r="J263" t="s">
        <v>338</v>
      </c>
      <c r="K263" t="s">
        <v>333</v>
      </c>
      <c r="L263" t="s">
        <v>335</v>
      </c>
      <c r="M263" t="s">
        <v>324</v>
      </c>
      <c r="N263" t="s">
        <v>331</v>
      </c>
      <c r="P263">
        <f t="shared" si="68"/>
        <v>262</v>
      </c>
      <c r="Q263" s="5" t="str">
        <f t="shared" si="60"/>
        <v>H</v>
      </c>
      <c r="R263" s="6" t="str">
        <f t="shared" si="61"/>
        <v>G</v>
      </c>
      <c r="S263" s="6" t="str">
        <f t="shared" si="62"/>
        <v>J</v>
      </c>
      <c r="T263" s="6" t="str">
        <f t="shared" si="63"/>
        <v>C</v>
      </c>
      <c r="U263" s="6" t="str">
        <f t="shared" si="64"/>
        <v>A</v>
      </c>
      <c r="V263" s="6" t="str">
        <f t="shared" si="65"/>
        <v>D</v>
      </c>
      <c r="W263" s="6" t="str">
        <f t="shared" si="66"/>
        <v>E</v>
      </c>
      <c r="X263" s="6" t="str">
        <f t="shared" si="67"/>
        <v>K</v>
      </c>
      <c r="Y263" s="8">
        <f t="shared" si="69"/>
        <v>5</v>
      </c>
    </row>
    <row r="264" spans="1:25" x14ac:dyDescent="0.2">
      <c r="A264" t="s">
        <v>598</v>
      </c>
      <c r="F264">
        <v>263</v>
      </c>
      <c r="G264" t="s">
        <v>328</v>
      </c>
      <c r="H264" t="s">
        <v>329</v>
      </c>
      <c r="I264" t="s">
        <v>324</v>
      </c>
      <c r="J264" t="s">
        <v>338</v>
      </c>
      <c r="K264" t="s">
        <v>333</v>
      </c>
      <c r="L264" t="s">
        <v>335</v>
      </c>
      <c r="M264" t="s">
        <v>330</v>
      </c>
      <c r="N264" t="s">
        <v>326</v>
      </c>
      <c r="P264">
        <f t="shared" si="68"/>
        <v>263</v>
      </c>
      <c r="Q264" s="5" t="str">
        <f t="shared" si="60"/>
        <v>H</v>
      </c>
      <c r="R264" s="6" t="str">
        <f t="shared" si="61"/>
        <v>G</v>
      </c>
      <c r="S264" s="6" t="str">
        <f t="shared" si="62"/>
        <v>E</v>
      </c>
      <c r="T264" s="6" t="str">
        <f t="shared" si="63"/>
        <v>C</v>
      </c>
      <c r="U264" s="6" t="str">
        <f t="shared" si="64"/>
        <v>A</v>
      </c>
      <c r="V264" s="6" t="str">
        <f t="shared" si="65"/>
        <v>D</v>
      </c>
      <c r="W264" s="6" t="str">
        <f t="shared" si="66"/>
        <v>L</v>
      </c>
      <c r="X264" s="6" t="str">
        <f t="shared" si="67"/>
        <v>I</v>
      </c>
      <c r="Y264" s="8">
        <f t="shared" si="69"/>
        <v>6</v>
      </c>
    </row>
    <row r="265" spans="1:25" x14ac:dyDescent="0.2">
      <c r="A265" t="s">
        <v>599</v>
      </c>
      <c r="F265">
        <v>264</v>
      </c>
      <c r="G265" t="s">
        <v>328</v>
      </c>
      <c r="H265" t="s">
        <v>329</v>
      </c>
      <c r="I265" t="s">
        <v>324</v>
      </c>
      <c r="J265" t="s">
        <v>338</v>
      </c>
      <c r="K265" t="s">
        <v>333</v>
      </c>
      <c r="L265" t="s">
        <v>335</v>
      </c>
      <c r="M265" t="s">
        <v>326</v>
      </c>
      <c r="N265" t="s">
        <v>331</v>
      </c>
      <c r="P265">
        <f t="shared" si="68"/>
        <v>264</v>
      </c>
      <c r="Q265" s="5" t="str">
        <f t="shared" si="60"/>
        <v>H</v>
      </c>
      <c r="R265" s="6" t="str">
        <f t="shared" si="61"/>
        <v>G</v>
      </c>
      <c r="S265" s="6" t="str">
        <f t="shared" si="62"/>
        <v>E</v>
      </c>
      <c r="T265" s="6" t="str">
        <f t="shared" si="63"/>
        <v>C</v>
      </c>
      <c r="U265" s="6" t="str">
        <f t="shared" si="64"/>
        <v>A</v>
      </c>
      <c r="V265" s="6" t="str">
        <f t="shared" si="65"/>
        <v>D</v>
      </c>
      <c r="W265" s="6" t="str">
        <f t="shared" si="66"/>
        <v>I</v>
      </c>
      <c r="X265" s="6" t="str">
        <f t="shared" si="67"/>
        <v>K</v>
      </c>
      <c r="Y265" s="8">
        <f t="shared" si="69"/>
        <v>5</v>
      </c>
    </row>
    <row r="266" spans="1:25" x14ac:dyDescent="0.2">
      <c r="A266" t="s">
        <v>600</v>
      </c>
      <c r="F266">
        <v>265</v>
      </c>
      <c r="G266" t="s">
        <v>328</v>
      </c>
      <c r="H266" t="s">
        <v>329</v>
      </c>
      <c r="I266" t="s">
        <v>325</v>
      </c>
      <c r="J266" t="s">
        <v>338</v>
      </c>
      <c r="K266" t="s">
        <v>333</v>
      </c>
      <c r="L266" t="s">
        <v>335</v>
      </c>
      <c r="M266" t="s">
        <v>324</v>
      </c>
      <c r="N266" t="s">
        <v>326</v>
      </c>
      <c r="P266">
        <f t="shared" si="68"/>
        <v>265</v>
      </c>
      <c r="Q266" s="5" t="str">
        <f t="shared" si="60"/>
        <v>H</v>
      </c>
      <c r="R266" s="6" t="str">
        <f t="shared" si="61"/>
        <v>G</v>
      </c>
      <c r="S266" s="6" t="str">
        <f t="shared" si="62"/>
        <v>J</v>
      </c>
      <c r="T266" s="6" t="str">
        <f t="shared" si="63"/>
        <v>C</v>
      </c>
      <c r="U266" s="6" t="str">
        <f t="shared" si="64"/>
        <v>A</v>
      </c>
      <c r="V266" s="6" t="str">
        <f t="shared" si="65"/>
        <v>D</v>
      </c>
      <c r="W266" s="6" t="str">
        <f t="shared" si="66"/>
        <v>E</v>
      </c>
      <c r="X266" s="6" t="str">
        <f t="shared" si="67"/>
        <v>I</v>
      </c>
      <c r="Y266" s="8">
        <f t="shared" si="69"/>
        <v>6</v>
      </c>
    </row>
    <row r="267" spans="1:25" x14ac:dyDescent="0.2">
      <c r="A267" t="s">
        <v>601</v>
      </c>
      <c r="F267">
        <v>266</v>
      </c>
      <c r="G267" t="s">
        <v>338</v>
      </c>
      <c r="H267" t="s">
        <v>325</v>
      </c>
      <c r="I267" t="s">
        <v>324</v>
      </c>
      <c r="J267" t="s">
        <v>335</v>
      </c>
      <c r="K267" t="s">
        <v>333</v>
      </c>
      <c r="L267" t="s">
        <v>327</v>
      </c>
      <c r="M267" t="s">
        <v>330</v>
      </c>
      <c r="N267" t="s">
        <v>331</v>
      </c>
      <c r="P267">
        <f t="shared" si="68"/>
        <v>266</v>
      </c>
      <c r="Q267" s="5" t="str">
        <f t="shared" si="60"/>
        <v>C</v>
      </c>
      <c r="R267" s="6" t="str">
        <f t="shared" si="61"/>
        <v>J</v>
      </c>
      <c r="S267" s="6" t="str">
        <f t="shared" si="62"/>
        <v>E</v>
      </c>
      <c r="T267" s="6" t="str">
        <f t="shared" si="63"/>
        <v>D</v>
      </c>
      <c r="U267" s="6" t="str">
        <f t="shared" si="64"/>
        <v>A</v>
      </c>
      <c r="V267" s="6" t="str">
        <f t="shared" si="65"/>
        <v>F</v>
      </c>
      <c r="W267" s="6" t="str">
        <f t="shared" si="66"/>
        <v>L</v>
      </c>
      <c r="X267" s="6" t="str">
        <f t="shared" si="67"/>
        <v>K</v>
      </c>
      <c r="Y267" s="8">
        <f t="shared" si="69"/>
        <v>6</v>
      </c>
    </row>
    <row r="268" spans="1:25" x14ac:dyDescent="0.2">
      <c r="A268" t="s">
        <v>602</v>
      </c>
      <c r="F268">
        <v>267</v>
      </c>
      <c r="G268" t="s">
        <v>338</v>
      </c>
      <c r="H268" t="s">
        <v>324</v>
      </c>
      <c r="I268" t="s">
        <v>326</v>
      </c>
      <c r="J268" t="s">
        <v>335</v>
      </c>
      <c r="K268" t="s">
        <v>333</v>
      </c>
      <c r="L268" t="s">
        <v>327</v>
      </c>
      <c r="M268" t="s">
        <v>330</v>
      </c>
      <c r="N268" t="s">
        <v>331</v>
      </c>
      <c r="P268">
        <f t="shared" si="68"/>
        <v>267</v>
      </c>
      <c r="Q268" s="5" t="str">
        <f t="shared" si="60"/>
        <v>C</v>
      </c>
      <c r="R268" s="6" t="str">
        <f t="shared" si="61"/>
        <v>E</v>
      </c>
      <c r="S268" s="6" t="str">
        <f t="shared" si="62"/>
        <v>I</v>
      </c>
      <c r="T268" s="6" t="str">
        <f t="shared" si="63"/>
        <v>D</v>
      </c>
      <c r="U268" s="6" t="str">
        <f t="shared" si="64"/>
        <v>A</v>
      </c>
      <c r="V268" s="6" t="str">
        <f t="shared" si="65"/>
        <v>F</v>
      </c>
      <c r="W268" s="6" t="str">
        <f t="shared" si="66"/>
        <v>L</v>
      </c>
      <c r="X268" s="6" t="str">
        <f t="shared" si="67"/>
        <v>K</v>
      </c>
      <c r="Y268" s="8">
        <f t="shared" si="69"/>
        <v>6</v>
      </c>
    </row>
    <row r="269" spans="1:25" x14ac:dyDescent="0.2">
      <c r="A269" t="s">
        <v>603</v>
      </c>
      <c r="F269">
        <v>268</v>
      </c>
      <c r="G269" t="s">
        <v>338</v>
      </c>
      <c r="H269" t="s">
        <v>325</v>
      </c>
      <c r="I269" t="s">
        <v>324</v>
      </c>
      <c r="J269" t="s">
        <v>335</v>
      </c>
      <c r="K269" t="s">
        <v>333</v>
      </c>
      <c r="L269" t="s">
        <v>327</v>
      </c>
      <c r="M269" t="s">
        <v>330</v>
      </c>
      <c r="N269" t="s">
        <v>326</v>
      </c>
      <c r="P269">
        <f t="shared" si="68"/>
        <v>268</v>
      </c>
      <c r="Q269" s="5" t="str">
        <f t="shared" si="60"/>
        <v>C</v>
      </c>
      <c r="R269" s="6" t="str">
        <f t="shared" si="61"/>
        <v>J</v>
      </c>
      <c r="S269" s="6" t="str">
        <f t="shared" si="62"/>
        <v>E</v>
      </c>
      <c r="T269" s="6" t="str">
        <f t="shared" si="63"/>
        <v>D</v>
      </c>
      <c r="U269" s="6" t="str">
        <f t="shared" si="64"/>
        <v>A</v>
      </c>
      <c r="V269" s="6" t="str">
        <f t="shared" si="65"/>
        <v>F</v>
      </c>
      <c r="W269" s="6" t="str">
        <f t="shared" si="66"/>
        <v>L</v>
      </c>
      <c r="X269" s="6" t="str">
        <f t="shared" si="67"/>
        <v>I</v>
      </c>
      <c r="Y269" s="8">
        <f t="shared" si="69"/>
        <v>7</v>
      </c>
    </row>
    <row r="270" spans="1:25" x14ac:dyDescent="0.2">
      <c r="A270" t="s">
        <v>604</v>
      </c>
      <c r="F270">
        <v>269</v>
      </c>
      <c r="G270" t="s">
        <v>338</v>
      </c>
      <c r="H270" t="s">
        <v>325</v>
      </c>
      <c r="I270" t="s">
        <v>324</v>
      </c>
      <c r="J270" t="s">
        <v>335</v>
      </c>
      <c r="K270" t="s">
        <v>333</v>
      </c>
      <c r="L270" t="s">
        <v>327</v>
      </c>
      <c r="M270" t="s">
        <v>326</v>
      </c>
      <c r="N270" t="s">
        <v>331</v>
      </c>
      <c r="P270">
        <f t="shared" si="68"/>
        <v>269</v>
      </c>
      <c r="Q270" s="5" t="str">
        <f t="shared" si="60"/>
        <v>C</v>
      </c>
      <c r="R270" s="6" t="str">
        <f t="shared" si="61"/>
        <v>J</v>
      </c>
      <c r="S270" s="6" t="str">
        <f t="shared" si="62"/>
        <v>E</v>
      </c>
      <c r="T270" s="6" t="str">
        <f t="shared" si="63"/>
        <v>D</v>
      </c>
      <c r="U270" s="6" t="str">
        <f t="shared" si="64"/>
        <v>A</v>
      </c>
      <c r="V270" s="6" t="str">
        <f t="shared" si="65"/>
        <v>F</v>
      </c>
      <c r="W270" s="6" t="str">
        <f t="shared" si="66"/>
        <v>I</v>
      </c>
      <c r="X270" s="6" t="str">
        <f t="shared" si="67"/>
        <v>K</v>
      </c>
      <c r="Y270" s="8">
        <f t="shared" si="69"/>
        <v>6</v>
      </c>
    </row>
    <row r="271" spans="1:25" x14ac:dyDescent="0.2">
      <c r="A271" t="s">
        <v>605</v>
      </c>
      <c r="F271">
        <v>270</v>
      </c>
      <c r="G271" t="s">
        <v>328</v>
      </c>
      <c r="H271" t="s">
        <v>324</v>
      </c>
      <c r="I271" t="s">
        <v>327</v>
      </c>
      <c r="J271" t="s">
        <v>338</v>
      </c>
      <c r="K271" t="s">
        <v>333</v>
      </c>
      <c r="L271" t="s">
        <v>335</v>
      </c>
      <c r="M271" t="s">
        <v>330</v>
      </c>
      <c r="N271" t="s">
        <v>331</v>
      </c>
      <c r="P271">
        <f t="shared" si="68"/>
        <v>270</v>
      </c>
      <c r="Q271" s="5" t="str">
        <f t="shared" si="60"/>
        <v>H</v>
      </c>
      <c r="R271" s="6" t="str">
        <f t="shared" si="61"/>
        <v>E</v>
      </c>
      <c r="S271" s="6" t="str">
        <f t="shared" si="62"/>
        <v>F</v>
      </c>
      <c r="T271" s="6" t="str">
        <f t="shared" si="63"/>
        <v>C</v>
      </c>
      <c r="U271" s="6" t="str">
        <f t="shared" si="64"/>
        <v>A</v>
      </c>
      <c r="V271" s="6" t="str">
        <f t="shared" si="65"/>
        <v>D</v>
      </c>
      <c r="W271" s="6" t="str">
        <f t="shared" si="66"/>
        <v>L</v>
      </c>
      <c r="X271" s="6" t="str">
        <f t="shared" si="67"/>
        <v>K</v>
      </c>
      <c r="Y271" s="8">
        <f t="shared" si="69"/>
        <v>5</v>
      </c>
    </row>
    <row r="272" spans="1:25" x14ac:dyDescent="0.2">
      <c r="A272" t="s">
        <v>606</v>
      </c>
      <c r="F272">
        <v>271</v>
      </c>
      <c r="G272" t="s">
        <v>328</v>
      </c>
      <c r="H272" t="s">
        <v>325</v>
      </c>
      <c r="I272" t="s">
        <v>327</v>
      </c>
      <c r="J272" t="s">
        <v>338</v>
      </c>
      <c r="K272" t="s">
        <v>333</v>
      </c>
      <c r="L272" t="s">
        <v>335</v>
      </c>
      <c r="M272" t="s">
        <v>330</v>
      </c>
      <c r="N272" t="s">
        <v>324</v>
      </c>
      <c r="P272">
        <f t="shared" si="68"/>
        <v>271</v>
      </c>
      <c r="Q272" s="5" t="str">
        <f t="shared" si="60"/>
        <v>H</v>
      </c>
      <c r="R272" s="6" t="str">
        <f t="shared" si="61"/>
        <v>J</v>
      </c>
      <c r="S272" s="6" t="str">
        <f t="shared" si="62"/>
        <v>F</v>
      </c>
      <c r="T272" s="6" t="str">
        <f t="shared" si="63"/>
        <v>C</v>
      </c>
      <c r="U272" s="6" t="str">
        <f t="shared" si="64"/>
        <v>A</v>
      </c>
      <c r="V272" s="6" t="str">
        <f t="shared" si="65"/>
        <v>D</v>
      </c>
      <c r="W272" s="6" t="str">
        <f t="shared" si="66"/>
        <v>L</v>
      </c>
      <c r="X272" s="6" t="str">
        <f t="shared" si="67"/>
        <v>E</v>
      </c>
      <c r="Y272" s="8">
        <f t="shared" si="69"/>
        <v>6</v>
      </c>
    </row>
    <row r="273" spans="1:25" x14ac:dyDescent="0.2">
      <c r="A273" t="s">
        <v>607</v>
      </c>
      <c r="F273">
        <v>272</v>
      </c>
      <c r="G273" t="s">
        <v>328</v>
      </c>
      <c r="H273" t="s">
        <v>325</v>
      </c>
      <c r="I273" t="s">
        <v>324</v>
      </c>
      <c r="J273" t="s">
        <v>338</v>
      </c>
      <c r="K273" t="s">
        <v>333</v>
      </c>
      <c r="L273" t="s">
        <v>327</v>
      </c>
      <c r="M273" t="s">
        <v>335</v>
      </c>
      <c r="N273" t="s">
        <v>331</v>
      </c>
      <c r="P273">
        <f t="shared" si="68"/>
        <v>272</v>
      </c>
      <c r="Q273" s="5" t="str">
        <f t="shared" si="60"/>
        <v>H</v>
      </c>
      <c r="R273" s="6" t="str">
        <f t="shared" si="61"/>
        <v>J</v>
      </c>
      <c r="S273" s="6" t="str">
        <f t="shared" si="62"/>
        <v>E</v>
      </c>
      <c r="T273" s="6" t="str">
        <f t="shared" si="63"/>
        <v>C</v>
      </c>
      <c r="U273" s="6" t="str">
        <f t="shared" si="64"/>
        <v>A</v>
      </c>
      <c r="V273" s="6" t="str">
        <f t="shared" si="65"/>
        <v>F</v>
      </c>
      <c r="W273" s="6" t="str">
        <f t="shared" si="66"/>
        <v>D</v>
      </c>
      <c r="X273" s="6" t="str">
        <f t="shared" si="67"/>
        <v>K</v>
      </c>
      <c r="Y273" s="8">
        <f t="shared" si="69"/>
        <v>5</v>
      </c>
    </row>
    <row r="274" spans="1:25" x14ac:dyDescent="0.2">
      <c r="A274" t="s">
        <v>608</v>
      </c>
      <c r="F274">
        <v>273</v>
      </c>
      <c r="G274" t="s">
        <v>328</v>
      </c>
      <c r="H274" t="s">
        <v>324</v>
      </c>
      <c r="I274" t="s">
        <v>327</v>
      </c>
      <c r="J274" t="s">
        <v>338</v>
      </c>
      <c r="K274" t="s">
        <v>333</v>
      </c>
      <c r="L274" t="s">
        <v>335</v>
      </c>
      <c r="M274" t="s">
        <v>330</v>
      </c>
      <c r="N274" t="s">
        <v>326</v>
      </c>
      <c r="P274">
        <f t="shared" si="68"/>
        <v>273</v>
      </c>
      <c r="Q274" s="5" t="str">
        <f t="shared" si="60"/>
        <v>H</v>
      </c>
      <c r="R274" s="6" t="str">
        <f t="shared" si="61"/>
        <v>E</v>
      </c>
      <c r="S274" s="6" t="str">
        <f t="shared" si="62"/>
        <v>F</v>
      </c>
      <c r="T274" s="6" t="str">
        <f t="shared" si="63"/>
        <v>C</v>
      </c>
      <c r="U274" s="6" t="str">
        <f t="shared" si="64"/>
        <v>A</v>
      </c>
      <c r="V274" s="6" t="str">
        <f t="shared" si="65"/>
        <v>D</v>
      </c>
      <c r="W274" s="6" t="str">
        <f t="shared" si="66"/>
        <v>L</v>
      </c>
      <c r="X274" s="6" t="str">
        <f t="shared" si="67"/>
        <v>I</v>
      </c>
      <c r="Y274" s="8">
        <f t="shared" si="69"/>
        <v>6</v>
      </c>
    </row>
    <row r="275" spans="1:25" x14ac:dyDescent="0.2">
      <c r="A275" t="s">
        <v>609</v>
      </c>
      <c r="F275">
        <v>274</v>
      </c>
      <c r="G275" t="s">
        <v>328</v>
      </c>
      <c r="H275" t="s">
        <v>324</v>
      </c>
      <c r="I275" t="s">
        <v>327</v>
      </c>
      <c r="J275" t="s">
        <v>338</v>
      </c>
      <c r="K275" t="s">
        <v>333</v>
      </c>
      <c r="L275" t="s">
        <v>335</v>
      </c>
      <c r="M275" t="s">
        <v>326</v>
      </c>
      <c r="N275" t="s">
        <v>331</v>
      </c>
      <c r="P275">
        <f t="shared" si="68"/>
        <v>274</v>
      </c>
      <c r="Q275" s="5" t="str">
        <f t="shared" si="60"/>
        <v>H</v>
      </c>
      <c r="R275" s="6" t="str">
        <f t="shared" si="61"/>
        <v>E</v>
      </c>
      <c r="S275" s="6" t="str">
        <f t="shared" si="62"/>
        <v>F</v>
      </c>
      <c r="T275" s="6" t="str">
        <f t="shared" si="63"/>
        <v>C</v>
      </c>
      <c r="U275" s="6" t="str">
        <f t="shared" si="64"/>
        <v>A</v>
      </c>
      <c r="V275" s="6" t="str">
        <f t="shared" si="65"/>
        <v>D</v>
      </c>
      <c r="W275" s="6" t="str">
        <f t="shared" si="66"/>
        <v>I</v>
      </c>
      <c r="X275" s="6" t="str">
        <f t="shared" si="67"/>
        <v>K</v>
      </c>
      <c r="Y275" s="8">
        <f t="shared" si="69"/>
        <v>5</v>
      </c>
    </row>
    <row r="276" spans="1:25" x14ac:dyDescent="0.2">
      <c r="A276" t="s">
        <v>610</v>
      </c>
      <c r="F276">
        <v>275</v>
      </c>
      <c r="G276" t="s">
        <v>328</v>
      </c>
      <c r="H276" t="s">
        <v>325</v>
      </c>
      <c r="I276" t="s">
        <v>324</v>
      </c>
      <c r="J276" t="s">
        <v>338</v>
      </c>
      <c r="K276" t="s">
        <v>333</v>
      </c>
      <c r="L276" t="s">
        <v>327</v>
      </c>
      <c r="M276" t="s">
        <v>335</v>
      </c>
      <c r="N276" t="s">
        <v>326</v>
      </c>
      <c r="P276">
        <f t="shared" si="68"/>
        <v>275</v>
      </c>
      <c r="Q276" s="5" t="str">
        <f t="shared" si="60"/>
        <v>H</v>
      </c>
      <c r="R276" s="6" t="str">
        <f t="shared" si="61"/>
        <v>J</v>
      </c>
      <c r="S276" s="6" t="str">
        <f t="shared" si="62"/>
        <v>E</v>
      </c>
      <c r="T276" s="6" t="str">
        <f t="shared" si="63"/>
        <v>C</v>
      </c>
      <c r="U276" s="6" t="str">
        <f t="shared" si="64"/>
        <v>A</v>
      </c>
      <c r="V276" s="6" t="str">
        <f t="shared" si="65"/>
        <v>F</v>
      </c>
      <c r="W276" s="6" t="str">
        <f t="shared" si="66"/>
        <v>D</v>
      </c>
      <c r="X276" s="6" t="str">
        <f t="shared" si="67"/>
        <v>I</v>
      </c>
      <c r="Y276" s="8">
        <f t="shared" si="69"/>
        <v>6</v>
      </c>
    </row>
    <row r="277" spans="1:25" x14ac:dyDescent="0.2">
      <c r="A277" t="s">
        <v>611</v>
      </c>
      <c r="F277">
        <v>276</v>
      </c>
      <c r="G277" t="s">
        <v>338</v>
      </c>
      <c r="H277" t="s">
        <v>329</v>
      </c>
      <c r="I277" t="s">
        <v>324</v>
      </c>
      <c r="J277" t="s">
        <v>335</v>
      </c>
      <c r="K277" t="s">
        <v>333</v>
      </c>
      <c r="L277" t="s">
        <v>327</v>
      </c>
      <c r="M277" t="s">
        <v>330</v>
      </c>
      <c r="N277" t="s">
        <v>331</v>
      </c>
      <c r="P277">
        <f t="shared" si="68"/>
        <v>276</v>
      </c>
      <c r="Q277" s="5" t="str">
        <f t="shared" si="60"/>
        <v>C</v>
      </c>
      <c r="R277" s="6" t="str">
        <f t="shared" si="61"/>
        <v>G</v>
      </c>
      <c r="S277" s="6" t="str">
        <f t="shared" si="62"/>
        <v>E</v>
      </c>
      <c r="T277" s="6" t="str">
        <f t="shared" si="63"/>
        <v>D</v>
      </c>
      <c r="U277" s="6" t="str">
        <f t="shared" si="64"/>
        <v>A</v>
      </c>
      <c r="V277" s="6" t="str">
        <f t="shared" si="65"/>
        <v>F</v>
      </c>
      <c r="W277" s="6" t="str">
        <f t="shared" si="66"/>
        <v>L</v>
      </c>
      <c r="X277" s="6" t="str">
        <f t="shared" si="67"/>
        <v>K</v>
      </c>
      <c r="Y277" s="8">
        <f t="shared" si="69"/>
        <v>6</v>
      </c>
    </row>
    <row r="278" spans="1:25" x14ac:dyDescent="0.2">
      <c r="A278" t="s">
        <v>612</v>
      </c>
      <c r="F278">
        <v>277</v>
      </c>
      <c r="G278" t="s">
        <v>338</v>
      </c>
      <c r="H278" t="s">
        <v>329</v>
      </c>
      <c r="I278" t="s">
        <v>325</v>
      </c>
      <c r="J278" t="s">
        <v>335</v>
      </c>
      <c r="K278" t="s">
        <v>333</v>
      </c>
      <c r="L278" t="s">
        <v>327</v>
      </c>
      <c r="M278" t="s">
        <v>330</v>
      </c>
      <c r="N278" t="s">
        <v>324</v>
      </c>
      <c r="P278">
        <f t="shared" si="68"/>
        <v>277</v>
      </c>
      <c r="Q278" s="5" t="str">
        <f t="shared" si="60"/>
        <v>C</v>
      </c>
      <c r="R278" s="6" t="str">
        <f t="shared" si="61"/>
        <v>G</v>
      </c>
      <c r="S278" s="6" t="str">
        <f t="shared" si="62"/>
        <v>J</v>
      </c>
      <c r="T278" s="6" t="str">
        <f t="shared" si="63"/>
        <v>D</v>
      </c>
      <c r="U278" s="6" t="str">
        <f t="shared" si="64"/>
        <v>A</v>
      </c>
      <c r="V278" s="6" t="str">
        <f t="shared" si="65"/>
        <v>F</v>
      </c>
      <c r="W278" s="6" t="str">
        <f t="shared" si="66"/>
        <v>L</v>
      </c>
      <c r="X278" s="6" t="str">
        <f t="shared" si="67"/>
        <v>E</v>
      </c>
      <c r="Y278" s="8">
        <f t="shared" si="69"/>
        <v>7</v>
      </c>
    </row>
    <row r="279" spans="1:25" x14ac:dyDescent="0.2">
      <c r="A279" t="s">
        <v>613</v>
      </c>
      <c r="F279">
        <v>278</v>
      </c>
      <c r="G279" t="s">
        <v>338</v>
      </c>
      <c r="H279" t="s">
        <v>329</v>
      </c>
      <c r="I279" t="s">
        <v>325</v>
      </c>
      <c r="J279" t="s">
        <v>335</v>
      </c>
      <c r="K279" t="s">
        <v>333</v>
      </c>
      <c r="L279" t="s">
        <v>327</v>
      </c>
      <c r="M279" t="s">
        <v>324</v>
      </c>
      <c r="N279" t="s">
        <v>331</v>
      </c>
      <c r="P279">
        <f t="shared" si="68"/>
        <v>278</v>
      </c>
      <c r="Q279" s="5" t="str">
        <f t="shared" si="60"/>
        <v>C</v>
      </c>
      <c r="R279" s="6" t="str">
        <f t="shared" si="61"/>
        <v>G</v>
      </c>
      <c r="S279" s="6" t="str">
        <f t="shared" si="62"/>
        <v>J</v>
      </c>
      <c r="T279" s="6" t="str">
        <f t="shared" si="63"/>
        <v>D</v>
      </c>
      <c r="U279" s="6" t="str">
        <f t="shared" si="64"/>
        <v>A</v>
      </c>
      <c r="V279" s="6" t="str">
        <f t="shared" si="65"/>
        <v>F</v>
      </c>
      <c r="W279" s="6" t="str">
        <f t="shared" si="66"/>
        <v>E</v>
      </c>
      <c r="X279" s="6" t="str">
        <f t="shared" si="67"/>
        <v>K</v>
      </c>
      <c r="Y279" s="8">
        <f t="shared" si="69"/>
        <v>6</v>
      </c>
    </row>
    <row r="280" spans="1:25" x14ac:dyDescent="0.2">
      <c r="A280" t="s">
        <v>614</v>
      </c>
      <c r="F280">
        <v>279</v>
      </c>
      <c r="G280" t="s">
        <v>338</v>
      </c>
      <c r="H280" t="s">
        <v>329</v>
      </c>
      <c r="I280" t="s">
        <v>324</v>
      </c>
      <c r="J280" t="s">
        <v>335</v>
      </c>
      <c r="K280" t="s">
        <v>333</v>
      </c>
      <c r="L280" t="s">
        <v>327</v>
      </c>
      <c r="M280" t="s">
        <v>330</v>
      </c>
      <c r="N280" t="s">
        <v>326</v>
      </c>
      <c r="P280">
        <f t="shared" si="68"/>
        <v>279</v>
      </c>
      <c r="Q280" s="5" t="str">
        <f t="shared" si="60"/>
        <v>C</v>
      </c>
      <c r="R280" s="6" t="str">
        <f t="shared" si="61"/>
        <v>G</v>
      </c>
      <c r="S280" s="6" t="str">
        <f t="shared" si="62"/>
        <v>E</v>
      </c>
      <c r="T280" s="6" t="str">
        <f t="shared" si="63"/>
        <v>D</v>
      </c>
      <c r="U280" s="6" t="str">
        <f t="shared" si="64"/>
        <v>A</v>
      </c>
      <c r="V280" s="6" t="str">
        <f t="shared" si="65"/>
        <v>F</v>
      </c>
      <c r="W280" s="6" t="str">
        <f t="shared" si="66"/>
        <v>L</v>
      </c>
      <c r="X280" s="6" t="str">
        <f t="shared" si="67"/>
        <v>I</v>
      </c>
      <c r="Y280" s="8">
        <f t="shared" si="69"/>
        <v>7</v>
      </c>
    </row>
    <row r="281" spans="1:25" x14ac:dyDescent="0.2">
      <c r="A281" t="s">
        <v>615</v>
      </c>
      <c r="F281">
        <v>280</v>
      </c>
      <c r="G281" t="s">
        <v>338</v>
      </c>
      <c r="H281" t="s">
        <v>329</v>
      </c>
      <c r="I281" t="s">
        <v>324</v>
      </c>
      <c r="J281" t="s">
        <v>335</v>
      </c>
      <c r="K281" t="s">
        <v>333</v>
      </c>
      <c r="L281" t="s">
        <v>327</v>
      </c>
      <c r="M281" t="s">
        <v>326</v>
      </c>
      <c r="N281" t="s">
        <v>331</v>
      </c>
      <c r="P281">
        <f t="shared" si="68"/>
        <v>280</v>
      </c>
      <c r="Q281" s="5" t="str">
        <f t="shared" si="60"/>
        <v>C</v>
      </c>
      <c r="R281" s="6" t="str">
        <f t="shared" si="61"/>
        <v>G</v>
      </c>
      <c r="S281" s="6" t="str">
        <f t="shared" si="62"/>
        <v>E</v>
      </c>
      <c r="T281" s="6" t="str">
        <f t="shared" si="63"/>
        <v>D</v>
      </c>
      <c r="U281" s="6" t="str">
        <f t="shared" si="64"/>
        <v>A</v>
      </c>
      <c r="V281" s="6" t="str">
        <f t="shared" si="65"/>
        <v>F</v>
      </c>
      <c r="W281" s="6" t="str">
        <f t="shared" si="66"/>
        <v>I</v>
      </c>
      <c r="X281" s="6" t="str">
        <f t="shared" si="67"/>
        <v>K</v>
      </c>
      <c r="Y281" s="8">
        <f t="shared" si="69"/>
        <v>6</v>
      </c>
    </row>
    <row r="282" spans="1:25" x14ac:dyDescent="0.2">
      <c r="A282" t="s">
        <v>616</v>
      </c>
      <c r="F282">
        <v>281</v>
      </c>
      <c r="G282" t="s">
        <v>338</v>
      </c>
      <c r="H282" t="s">
        <v>329</v>
      </c>
      <c r="I282" t="s">
        <v>325</v>
      </c>
      <c r="J282" t="s">
        <v>335</v>
      </c>
      <c r="K282" t="s">
        <v>333</v>
      </c>
      <c r="L282" t="s">
        <v>327</v>
      </c>
      <c r="M282" t="s">
        <v>324</v>
      </c>
      <c r="N282" t="s">
        <v>326</v>
      </c>
      <c r="P282">
        <f t="shared" si="68"/>
        <v>281</v>
      </c>
      <c r="Q282" s="5" t="str">
        <f t="shared" si="60"/>
        <v>C</v>
      </c>
      <c r="R282" s="6" t="str">
        <f t="shared" si="61"/>
        <v>G</v>
      </c>
      <c r="S282" s="6" t="str">
        <f t="shared" si="62"/>
        <v>J</v>
      </c>
      <c r="T282" s="6" t="str">
        <f t="shared" si="63"/>
        <v>D</v>
      </c>
      <c r="U282" s="6" t="str">
        <f t="shared" si="64"/>
        <v>A</v>
      </c>
      <c r="V282" s="6" t="str">
        <f t="shared" si="65"/>
        <v>F</v>
      </c>
      <c r="W282" s="6" t="str">
        <f t="shared" si="66"/>
        <v>E</v>
      </c>
      <c r="X282" s="6" t="str">
        <f t="shared" si="67"/>
        <v>I</v>
      </c>
      <c r="Y282" s="8">
        <f t="shared" si="69"/>
        <v>7</v>
      </c>
    </row>
    <row r="283" spans="1:25" x14ac:dyDescent="0.2">
      <c r="A283" t="s">
        <v>617</v>
      </c>
      <c r="F283">
        <v>282</v>
      </c>
      <c r="G283" t="s">
        <v>328</v>
      </c>
      <c r="H283" t="s">
        <v>329</v>
      </c>
      <c r="I283" t="s">
        <v>327</v>
      </c>
      <c r="J283" t="s">
        <v>338</v>
      </c>
      <c r="K283" t="s">
        <v>333</v>
      </c>
      <c r="L283" t="s">
        <v>335</v>
      </c>
      <c r="M283" t="s">
        <v>330</v>
      </c>
      <c r="N283" t="s">
        <v>324</v>
      </c>
      <c r="P283">
        <f t="shared" si="68"/>
        <v>282</v>
      </c>
      <c r="Q283" s="5" t="str">
        <f t="shared" si="60"/>
        <v>H</v>
      </c>
      <c r="R283" s="6" t="str">
        <f t="shared" si="61"/>
        <v>G</v>
      </c>
      <c r="S283" s="6" t="str">
        <f t="shared" si="62"/>
        <v>F</v>
      </c>
      <c r="T283" s="6" t="str">
        <f t="shared" si="63"/>
        <v>C</v>
      </c>
      <c r="U283" s="6" t="str">
        <f t="shared" si="64"/>
        <v>A</v>
      </c>
      <c r="V283" s="6" t="str">
        <f t="shared" si="65"/>
        <v>D</v>
      </c>
      <c r="W283" s="6" t="str">
        <f t="shared" si="66"/>
        <v>L</v>
      </c>
      <c r="X283" s="6" t="str">
        <f t="shared" si="67"/>
        <v>E</v>
      </c>
      <c r="Y283" s="8">
        <f t="shared" si="69"/>
        <v>6</v>
      </c>
    </row>
    <row r="284" spans="1:25" x14ac:dyDescent="0.2">
      <c r="A284" t="s">
        <v>618</v>
      </c>
      <c r="F284">
        <v>283</v>
      </c>
      <c r="G284" t="s">
        <v>328</v>
      </c>
      <c r="H284" t="s">
        <v>329</v>
      </c>
      <c r="I284" t="s">
        <v>324</v>
      </c>
      <c r="J284" t="s">
        <v>338</v>
      </c>
      <c r="K284" t="s">
        <v>333</v>
      </c>
      <c r="L284" t="s">
        <v>327</v>
      </c>
      <c r="M284" t="s">
        <v>335</v>
      </c>
      <c r="N284" t="s">
        <v>331</v>
      </c>
      <c r="P284">
        <f t="shared" si="68"/>
        <v>283</v>
      </c>
      <c r="Q284" s="5" t="str">
        <f t="shared" si="60"/>
        <v>H</v>
      </c>
      <c r="R284" s="6" t="str">
        <f t="shared" si="61"/>
        <v>G</v>
      </c>
      <c r="S284" s="6" t="str">
        <f t="shared" si="62"/>
        <v>E</v>
      </c>
      <c r="T284" s="6" t="str">
        <f t="shared" si="63"/>
        <v>C</v>
      </c>
      <c r="U284" s="6" t="str">
        <f t="shared" si="64"/>
        <v>A</v>
      </c>
      <c r="V284" s="6" t="str">
        <f t="shared" si="65"/>
        <v>F</v>
      </c>
      <c r="W284" s="6" t="str">
        <f t="shared" si="66"/>
        <v>D</v>
      </c>
      <c r="X284" s="6" t="str">
        <f t="shared" si="67"/>
        <v>K</v>
      </c>
      <c r="Y284" s="8">
        <f t="shared" si="69"/>
        <v>5</v>
      </c>
    </row>
    <row r="285" spans="1:25" x14ac:dyDescent="0.2">
      <c r="A285" t="s">
        <v>619</v>
      </c>
      <c r="F285">
        <v>284</v>
      </c>
      <c r="G285" t="s">
        <v>328</v>
      </c>
      <c r="H285" t="s">
        <v>329</v>
      </c>
      <c r="I285" t="s">
        <v>325</v>
      </c>
      <c r="J285" t="s">
        <v>338</v>
      </c>
      <c r="K285" t="s">
        <v>333</v>
      </c>
      <c r="L285" t="s">
        <v>327</v>
      </c>
      <c r="M285" t="s">
        <v>335</v>
      </c>
      <c r="N285" t="s">
        <v>324</v>
      </c>
      <c r="P285">
        <f t="shared" si="68"/>
        <v>284</v>
      </c>
      <c r="Q285" s="5" t="str">
        <f t="shared" si="60"/>
        <v>H</v>
      </c>
      <c r="R285" s="6" t="str">
        <f t="shared" si="61"/>
        <v>G</v>
      </c>
      <c r="S285" s="6" t="str">
        <f t="shared" si="62"/>
        <v>J</v>
      </c>
      <c r="T285" s="6" t="str">
        <f t="shared" si="63"/>
        <v>C</v>
      </c>
      <c r="U285" s="6" t="str">
        <f t="shared" si="64"/>
        <v>A</v>
      </c>
      <c r="V285" s="6" t="str">
        <f t="shared" si="65"/>
        <v>F</v>
      </c>
      <c r="W285" s="6" t="str">
        <f t="shared" si="66"/>
        <v>D</v>
      </c>
      <c r="X285" s="6" t="str">
        <f t="shared" si="67"/>
        <v>E</v>
      </c>
      <c r="Y285" s="8">
        <f t="shared" si="69"/>
        <v>6</v>
      </c>
    </row>
    <row r="286" spans="1:25" x14ac:dyDescent="0.2">
      <c r="A286" t="s">
        <v>620</v>
      </c>
      <c r="F286">
        <v>285</v>
      </c>
      <c r="G286" t="s">
        <v>328</v>
      </c>
      <c r="H286" t="s">
        <v>329</v>
      </c>
      <c r="I286" t="s">
        <v>324</v>
      </c>
      <c r="J286" t="s">
        <v>338</v>
      </c>
      <c r="K286" t="s">
        <v>333</v>
      </c>
      <c r="L286" t="s">
        <v>327</v>
      </c>
      <c r="M286" t="s">
        <v>335</v>
      </c>
      <c r="N286" t="s">
        <v>326</v>
      </c>
      <c r="P286">
        <f t="shared" si="68"/>
        <v>285</v>
      </c>
      <c r="Q286" s="5" t="str">
        <f t="shared" si="60"/>
        <v>H</v>
      </c>
      <c r="R286" s="6" t="str">
        <f t="shared" si="61"/>
        <v>G</v>
      </c>
      <c r="S286" s="6" t="str">
        <f t="shared" si="62"/>
        <v>E</v>
      </c>
      <c r="T286" s="6" t="str">
        <f t="shared" si="63"/>
        <v>C</v>
      </c>
      <c r="U286" s="6" t="str">
        <f t="shared" si="64"/>
        <v>A</v>
      </c>
      <c r="V286" s="6" t="str">
        <f t="shared" si="65"/>
        <v>F</v>
      </c>
      <c r="W286" s="6" t="str">
        <f t="shared" si="66"/>
        <v>D</v>
      </c>
      <c r="X286" s="6" t="str">
        <f t="shared" si="67"/>
        <v>I</v>
      </c>
      <c r="Y286" s="8">
        <f t="shared" si="69"/>
        <v>6</v>
      </c>
    </row>
    <row r="287" spans="1:25" x14ac:dyDescent="0.2">
      <c r="A287" t="s">
        <v>621</v>
      </c>
      <c r="F287">
        <v>286</v>
      </c>
      <c r="G287" t="s">
        <v>328</v>
      </c>
      <c r="H287" t="s">
        <v>325</v>
      </c>
      <c r="I287" t="s">
        <v>336</v>
      </c>
      <c r="J287" t="s">
        <v>333</v>
      </c>
      <c r="K287" t="s">
        <v>326</v>
      </c>
      <c r="L287" t="s">
        <v>329</v>
      </c>
      <c r="M287" t="s">
        <v>330</v>
      </c>
      <c r="N287" t="s">
        <v>331</v>
      </c>
      <c r="P287">
        <f t="shared" si="68"/>
        <v>286</v>
      </c>
      <c r="Q287" s="5" t="str">
        <f t="shared" si="60"/>
        <v>H</v>
      </c>
      <c r="R287" s="6" t="str">
        <f t="shared" si="61"/>
        <v>J</v>
      </c>
      <c r="S287" s="6" t="str">
        <f t="shared" si="62"/>
        <v>B</v>
      </c>
      <c r="T287" s="6" t="str">
        <f t="shared" si="63"/>
        <v>A</v>
      </c>
      <c r="U287" s="6" t="str">
        <f t="shared" si="64"/>
        <v>I</v>
      </c>
      <c r="V287" s="6" t="str">
        <f t="shared" si="65"/>
        <v>G</v>
      </c>
      <c r="W287" s="6" t="str">
        <f t="shared" si="66"/>
        <v>L</v>
      </c>
      <c r="X287" s="6" t="str">
        <f t="shared" si="67"/>
        <v>K</v>
      </c>
      <c r="Y287" s="8">
        <f t="shared" si="69"/>
        <v>5</v>
      </c>
    </row>
    <row r="288" spans="1:25" x14ac:dyDescent="0.2">
      <c r="A288" t="s">
        <v>622</v>
      </c>
      <c r="F288">
        <v>287</v>
      </c>
      <c r="G288" t="s">
        <v>328</v>
      </c>
      <c r="H288" t="s">
        <v>325</v>
      </c>
      <c r="I288" t="s">
        <v>336</v>
      </c>
      <c r="J288" t="s">
        <v>333</v>
      </c>
      <c r="K288" t="s">
        <v>326</v>
      </c>
      <c r="L288" t="s">
        <v>327</v>
      </c>
      <c r="M288" t="s">
        <v>330</v>
      </c>
      <c r="N288" t="s">
        <v>331</v>
      </c>
      <c r="P288">
        <f t="shared" si="68"/>
        <v>287</v>
      </c>
      <c r="Q288" s="5" t="str">
        <f t="shared" si="60"/>
        <v>H</v>
      </c>
      <c r="R288" s="6" t="str">
        <f t="shared" si="61"/>
        <v>J</v>
      </c>
      <c r="S288" s="6" t="str">
        <f t="shared" si="62"/>
        <v>B</v>
      </c>
      <c r="T288" s="6" t="str">
        <f t="shared" si="63"/>
        <v>A</v>
      </c>
      <c r="U288" s="6" t="str">
        <f t="shared" si="64"/>
        <v>I</v>
      </c>
      <c r="V288" s="6" t="str">
        <f t="shared" si="65"/>
        <v>F</v>
      </c>
      <c r="W288" s="6" t="str">
        <f t="shared" si="66"/>
        <v>L</v>
      </c>
      <c r="X288" s="6" t="str">
        <f t="shared" si="67"/>
        <v>K</v>
      </c>
      <c r="Y288" s="8">
        <f t="shared" si="69"/>
        <v>5</v>
      </c>
    </row>
    <row r="289" spans="1:25" x14ac:dyDescent="0.2">
      <c r="A289" t="s">
        <v>623</v>
      </c>
      <c r="F289">
        <v>288</v>
      </c>
      <c r="G289" t="s">
        <v>326</v>
      </c>
      <c r="H289" t="s">
        <v>325</v>
      </c>
      <c r="I289" t="s">
        <v>336</v>
      </c>
      <c r="J289" t="s">
        <v>327</v>
      </c>
      <c r="K289" t="s">
        <v>333</v>
      </c>
      <c r="L289" t="s">
        <v>329</v>
      </c>
      <c r="M289" t="s">
        <v>330</v>
      </c>
      <c r="N289" t="s">
        <v>331</v>
      </c>
      <c r="P289">
        <f t="shared" si="68"/>
        <v>288</v>
      </c>
      <c r="Q289" s="5" t="str">
        <f t="shared" si="60"/>
        <v>I</v>
      </c>
      <c r="R289" s="6" t="str">
        <f t="shared" si="61"/>
        <v>J</v>
      </c>
      <c r="S289" s="6" t="str">
        <f t="shared" si="62"/>
        <v>B</v>
      </c>
      <c r="T289" s="6" t="str">
        <f t="shared" si="63"/>
        <v>F</v>
      </c>
      <c r="U289" s="6" t="str">
        <f t="shared" si="64"/>
        <v>A</v>
      </c>
      <c r="V289" s="6" t="str">
        <f t="shared" si="65"/>
        <v>G</v>
      </c>
      <c r="W289" s="6" t="str">
        <f t="shared" si="66"/>
        <v>L</v>
      </c>
      <c r="X289" s="6" t="str">
        <f t="shared" si="67"/>
        <v>K</v>
      </c>
      <c r="Y289" s="8">
        <f t="shared" si="69"/>
        <v>6</v>
      </c>
    </row>
    <row r="290" spans="1:25" x14ac:dyDescent="0.2">
      <c r="A290" t="s">
        <v>624</v>
      </c>
      <c r="F290">
        <v>289</v>
      </c>
      <c r="G290" t="s">
        <v>328</v>
      </c>
      <c r="H290" t="s">
        <v>325</v>
      </c>
      <c r="I290" t="s">
        <v>336</v>
      </c>
      <c r="J290" t="s">
        <v>327</v>
      </c>
      <c r="K290" t="s">
        <v>333</v>
      </c>
      <c r="L290" t="s">
        <v>329</v>
      </c>
      <c r="M290" t="s">
        <v>330</v>
      </c>
      <c r="N290" t="s">
        <v>331</v>
      </c>
      <c r="P290">
        <f t="shared" si="68"/>
        <v>289</v>
      </c>
      <c r="Q290" s="5" t="str">
        <f t="shared" si="60"/>
        <v>H</v>
      </c>
      <c r="R290" s="6" t="str">
        <f t="shared" si="61"/>
        <v>J</v>
      </c>
      <c r="S290" s="6" t="str">
        <f t="shared" si="62"/>
        <v>B</v>
      </c>
      <c r="T290" s="6" t="str">
        <f t="shared" si="63"/>
        <v>F</v>
      </c>
      <c r="U290" s="6" t="str">
        <f t="shared" si="64"/>
        <v>A</v>
      </c>
      <c r="V290" s="6" t="str">
        <f t="shared" si="65"/>
        <v>G</v>
      </c>
      <c r="W290" s="6" t="str">
        <f t="shared" si="66"/>
        <v>L</v>
      </c>
      <c r="X290" s="6" t="str">
        <f t="shared" si="67"/>
        <v>K</v>
      </c>
      <c r="Y290" s="8">
        <f t="shared" si="69"/>
        <v>5</v>
      </c>
    </row>
    <row r="291" spans="1:25" x14ac:dyDescent="0.2">
      <c r="A291" t="s">
        <v>625</v>
      </c>
      <c r="F291">
        <v>290</v>
      </c>
      <c r="G291" t="s">
        <v>328</v>
      </c>
      <c r="H291" t="s">
        <v>329</v>
      </c>
      <c r="I291" t="s">
        <v>336</v>
      </c>
      <c r="J291" t="s">
        <v>333</v>
      </c>
      <c r="K291" t="s">
        <v>326</v>
      </c>
      <c r="L291" t="s">
        <v>327</v>
      </c>
      <c r="M291" t="s">
        <v>330</v>
      </c>
      <c r="N291" t="s">
        <v>331</v>
      </c>
      <c r="P291">
        <f t="shared" si="68"/>
        <v>290</v>
      </c>
      <c r="Q291" s="5" t="str">
        <f t="shared" si="60"/>
        <v>H</v>
      </c>
      <c r="R291" s="6" t="str">
        <f t="shared" si="61"/>
        <v>G</v>
      </c>
      <c r="S291" s="6" t="str">
        <f t="shared" si="62"/>
        <v>B</v>
      </c>
      <c r="T291" s="6" t="str">
        <f t="shared" si="63"/>
        <v>A</v>
      </c>
      <c r="U291" s="6" t="str">
        <f t="shared" si="64"/>
        <v>I</v>
      </c>
      <c r="V291" s="6" t="str">
        <f t="shared" si="65"/>
        <v>F</v>
      </c>
      <c r="W291" s="6" t="str">
        <f t="shared" si="66"/>
        <v>L</v>
      </c>
      <c r="X291" s="6" t="str">
        <f t="shared" si="67"/>
        <v>K</v>
      </c>
      <c r="Y291" s="8">
        <f t="shared" si="69"/>
        <v>5</v>
      </c>
    </row>
    <row r="292" spans="1:25" x14ac:dyDescent="0.2">
      <c r="A292" t="s">
        <v>626</v>
      </c>
      <c r="F292">
        <v>291</v>
      </c>
      <c r="G292" t="s">
        <v>328</v>
      </c>
      <c r="H292" t="s">
        <v>325</v>
      </c>
      <c r="I292" t="s">
        <v>336</v>
      </c>
      <c r="J292" t="s">
        <v>327</v>
      </c>
      <c r="K292" t="s">
        <v>333</v>
      </c>
      <c r="L292" t="s">
        <v>329</v>
      </c>
      <c r="M292" t="s">
        <v>330</v>
      </c>
      <c r="N292" t="s">
        <v>326</v>
      </c>
      <c r="P292">
        <f t="shared" si="68"/>
        <v>291</v>
      </c>
      <c r="Q292" s="5" t="str">
        <f t="shared" si="60"/>
        <v>H</v>
      </c>
      <c r="R292" s="6" t="str">
        <f t="shared" si="61"/>
        <v>J</v>
      </c>
      <c r="S292" s="6" t="str">
        <f t="shared" si="62"/>
        <v>B</v>
      </c>
      <c r="T292" s="6" t="str">
        <f t="shared" si="63"/>
        <v>F</v>
      </c>
      <c r="U292" s="6" t="str">
        <f t="shared" si="64"/>
        <v>A</v>
      </c>
      <c r="V292" s="6" t="str">
        <f t="shared" si="65"/>
        <v>G</v>
      </c>
      <c r="W292" s="6" t="str">
        <f t="shared" si="66"/>
        <v>L</v>
      </c>
      <c r="X292" s="6" t="str">
        <f t="shared" si="67"/>
        <v>I</v>
      </c>
      <c r="Y292" s="8">
        <f t="shared" si="69"/>
        <v>6</v>
      </c>
    </row>
    <row r="293" spans="1:25" x14ac:dyDescent="0.2">
      <c r="A293" t="s">
        <v>627</v>
      </c>
      <c r="F293">
        <v>292</v>
      </c>
      <c r="G293" t="s">
        <v>328</v>
      </c>
      <c r="H293" t="s">
        <v>325</v>
      </c>
      <c r="I293" t="s">
        <v>336</v>
      </c>
      <c r="J293" t="s">
        <v>327</v>
      </c>
      <c r="K293" t="s">
        <v>333</v>
      </c>
      <c r="L293" t="s">
        <v>329</v>
      </c>
      <c r="M293" t="s">
        <v>326</v>
      </c>
      <c r="N293" t="s">
        <v>331</v>
      </c>
      <c r="P293">
        <f t="shared" si="68"/>
        <v>292</v>
      </c>
      <c r="Q293" s="5" t="str">
        <f t="shared" si="60"/>
        <v>H</v>
      </c>
      <c r="R293" s="6" t="str">
        <f t="shared" si="61"/>
        <v>J</v>
      </c>
      <c r="S293" s="6" t="str">
        <f t="shared" si="62"/>
        <v>B</v>
      </c>
      <c r="T293" s="6" t="str">
        <f t="shared" si="63"/>
        <v>F</v>
      </c>
      <c r="U293" s="6" t="str">
        <f t="shared" si="64"/>
        <v>A</v>
      </c>
      <c r="V293" s="6" t="str">
        <f t="shared" si="65"/>
        <v>G</v>
      </c>
      <c r="W293" s="6" t="str">
        <f t="shared" si="66"/>
        <v>I</v>
      </c>
      <c r="X293" s="6" t="str">
        <f t="shared" si="67"/>
        <v>K</v>
      </c>
      <c r="Y293" s="8">
        <f t="shared" si="69"/>
        <v>5</v>
      </c>
    </row>
    <row r="294" spans="1:25" x14ac:dyDescent="0.2">
      <c r="A294" t="s">
        <v>628</v>
      </c>
      <c r="F294">
        <v>293</v>
      </c>
      <c r="G294" t="s">
        <v>324</v>
      </c>
      <c r="H294" t="s">
        <v>325</v>
      </c>
      <c r="I294" t="s">
        <v>336</v>
      </c>
      <c r="J294" t="s">
        <v>333</v>
      </c>
      <c r="K294" t="s">
        <v>326</v>
      </c>
      <c r="L294" t="s">
        <v>328</v>
      </c>
      <c r="M294" t="s">
        <v>330</v>
      </c>
      <c r="N294" t="s">
        <v>331</v>
      </c>
      <c r="P294">
        <f t="shared" si="68"/>
        <v>293</v>
      </c>
      <c r="Q294" s="5" t="str">
        <f t="shared" si="60"/>
        <v>E</v>
      </c>
      <c r="R294" s="6" t="str">
        <f t="shared" si="61"/>
        <v>J</v>
      </c>
      <c r="S294" s="6" t="str">
        <f t="shared" si="62"/>
        <v>B</v>
      </c>
      <c r="T294" s="6" t="str">
        <f t="shared" si="63"/>
        <v>A</v>
      </c>
      <c r="U294" s="6" t="str">
        <f t="shared" si="64"/>
        <v>I</v>
      </c>
      <c r="V294" s="6" t="str">
        <f t="shared" si="65"/>
        <v>H</v>
      </c>
      <c r="W294" s="6" t="str">
        <f t="shared" si="66"/>
        <v>L</v>
      </c>
      <c r="X294" s="6" t="str">
        <f t="shared" si="67"/>
        <v>K</v>
      </c>
      <c r="Y294" s="8">
        <f t="shared" si="69"/>
        <v>5</v>
      </c>
    </row>
    <row r="295" spans="1:25" x14ac:dyDescent="0.2">
      <c r="A295" t="s">
        <v>629</v>
      </c>
      <c r="F295">
        <v>294</v>
      </c>
      <c r="G295" t="s">
        <v>324</v>
      </c>
      <c r="H295" t="s">
        <v>325</v>
      </c>
      <c r="I295" t="s">
        <v>336</v>
      </c>
      <c r="J295" t="s">
        <v>333</v>
      </c>
      <c r="K295" t="s">
        <v>326</v>
      </c>
      <c r="L295" t="s">
        <v>329</v>
      </c>
      <c r="M295" t="s">
        <v>330</v>
      </c>
      <c r="N295" t="s">
        <v>331</v>
      </c>
      <c r="P295">
        <f t="shared" si="68"/>
        <v>294</v>
      </c>
      <c r="Q295" s="5" t="str">
        <f t="shared" si="60"/>
        <v>E</v>
      </c>
      <c r="R295" s="6" t="str">
        <f t="shared" si="61"/>
        <v>J</v>
      </c>
      <c r="S295" s="6" t="str">
        <f t="shared" si="62"/>
        <v>B</v>
      </c>
      <c r="T295" s="6" t="str">
        <f t="shared" si="63"/>
        <v>A</v>
      </c>
      <c r="U295" s="6" t="str">
        <f t="shared" si="64"/>
        <v>I</v>
      </c>
      <c r="V295" s="6" t="str">
        <f t="shared" si="65"/>
        <v>G</v>
      </c>
      <c r="W295" s="6" t="str">
        <f t="shared" si="66"/>
        <v>L</v>
      </c>
      <c r="X295" s="6" t="str">
        <f t="shared" si="67"/>
        <v>K</v>
      </c>
      <c r="Y295" s="8">
        <f t="shared" si="69"/>
        <v>6</v>
      </c>
    </row>
    <row r="296" spans="1:25" x14ac:dyDescent="0.2">
      <c r="A296" t="s">
        <v>630</v>
      </c>
      <c r="F296">
        <v>295</v>
      </c>
      <c r="G296" t="s">
        <v>324</v>
      </c>
      <c r="H296" t="s">
        <v>325</v>
      </c>
      <c r="I296" t="s">
        <v>336</v>
      </c>
      <c r="J296" t="s">
        <v>333</v>
      </c>
      <c r="K296" t="s">
        <v>328</v>
      </c>
      <c r="L296" t="s">
        <v>329</v>
      </c>
      <c r="M296" t="s">
        <v>330</v>
      </c>
      <c r="N296" t="s">
        <v>331</v>
      </c>
      <c r="P296">
        <f t="shared" si="68"/>
        <v>295</v>
      </c>
      <c r="Q296" s="5" t="str">
        <f t="shared" si="60"/>
        <v>E</v>
      </c>
      <c r="R296" s="6" t="str">
        <f t="shared" si="61"/>
        <v>J</v>
      </c>
      <c r="S296" s="6" t="str">
        <f t="shared" si="62"/>
        <v>B</v>
      </c>
      <c r="T296" s="6" t="str">
        <f t="shared" si="63"/>
        <v>A</v>
      </c>
      <c r="U296" s="6" t="str">
        <f t="shared" si="64"/>
        <v>H</v>
      </c>
      <c r="V296" s="6" t="str">
        <f t="shared" si="65"/>
        <v>G</v>
      </c>
      <c r="W296" s="6" t="str">
        <f t="shared" si="66"/>
        <v>L</v>
      </c>
      <c r="X296" s="6" t="str">
        <f t="shared" si="67"/>
        <v>K</v>
      </c>
      <c r="Y296" s="8">
        <f t="shared" si="69"/>
        <v>5</v>
      </c>
    </row>
    <row r="297" spans="1:25" x14ac:dyDescent="0.2">
      <c r="A297" t="s">
        <v>631</v>
      </c>
      <c r="F297">
        <v>296</v>
      </c>
      <c r="G297" t="s">
        <v>324</v>
      </c>
      <c r="H297" t="s">
        <v>329</v>
      </c>
      <c r="I297" t="s">
        <v>336</v>
      </c>
      <c r="J297" t="s">
        <v>333</v>
      </c>
      <c r="K297" t="s">
        <v>326</v>
      </c>
      <c r="L297" t="s">
        <v>328</v>
      </c>
      <c r="M297" t="s">
        <v>330</v>
      </c>
      <c r="N297" t="s">
        <v>331</v>
      </c>
      <c r="P297">
        <f t="shared" si="68"/>
        <v>296</v>
      </c>
      <c r="Q297" s="5" t="str">
        <f t="shared" si="60"/>
        <v>E</v>
      </c>
      <c r="R297" s="6" t="str">
        <f t="shared" si="61"/>
        <v>G</v>
      </c>
      <c r="S297" s="6" t="str">
        <f t="shared" si="62"/>
        <v>B</v>
      </c>
      <c r="T297" s="6" t="str">
        <f t="shared" si="63"/>
        <v>A</v>
      </c>
      <c r="U297" s="6" t="str">
        <f t="shared" si="64"/>
        <v>I</v>
      </c>
      <c r="V297" s="6" t="str">
        <f t="shared" si="65"/>
        <v>H</v>
      </c>
      <c r="W297" s="6" t="str">
        <f t="shared" si="66"/>
        <v>L</v>
      </c>
      <c r="X297" s="6" t="str">
        <f t="shared" si="67"/>
        <v>K</v>
      </c>
      <c r="Y297" s="8">
        <f t="shared" si="69"/>
        <v>5</v>
      </c>
    </row>
    <row r="298" spans="1:25" x14ac:dyDescent="0.2">
      <c r="A298" t="s">
        <v>632</v>
      </c>
      <c r="F298">
        <v>297</v>
      </c>
      <c r="G298" t="s">
        <v>324</v>
      </c>
      <c r="H298" t="s">
        <v>325</v>
      </c>
      <c r="I298" t="s">
        <v>336</v>
      </c>
      <c r="J298" t="s">
        <v>333</v>
      </c>
      <c r="K298" t="s">
        <v>328</v>
      </c>
      <c r="L298" t="s">
        <v>329</v>
      </c>
      <c r="M298" t="s">
        <v>330</v>
      </c>
      <c r="N298" t="s">
        <v>326</v>
      </c>
      <c r="P298">
        <f t="shared" si="68"/>
        <v>297</v>
      </c>
      <c r="Q298" s="5" t="str">
        <f t="shared" si="60"/>
        <v>E</v>
      </c>
      <c r="R298" s="6" t="str">
        <f t="shared" si="61"/>
        <v>J</v>
      </c>
      <c r="S298" s="6" t="str">
        <f t="shared" si="62"/>
        <v>B</v>
      </c>
      <c r="T298" s="6" t="str">
        <f t="shared" si="63"/>
        <v>A</v>
      </c>
      <c r="U298" s="6" t="str">
        <f t="shared" si="64"/>
        <v>H</v>
      </c>
      <c r="V298" s="6" t="str">
        <f t="shared" si="65"/>
        <v>G</v>
      </c>
      <c r="W298" s="6" t="str">
        <f t="shared" si="66"/>
        <v>L</v>
      </c>
      <c r="X298" s="6" t="str">
        <f t="shared" si="67"/>
        <v>I</v>
      </c>
      <c r="Y298" s="8">
        <f t="shared" si="69"/>
        <v>6</v>
      </c>
    </row>
    <row r="299" spans="1:25" x14ac:dyDescent="0.2">
      <c r="A299" t="s">
        <v>633</v>
      </c>
      <c r="F299">
        <v>298</v>
      </c>
      <c r="G299" t="s">
        <v>324</v>
      </c>
      <c r="H299" t="s">
        <v>325</v>
      </c>
      <c r="I299" t="s">
        <v>336</v>
      </c>
      <c r="J299" t="s">
        <v>333</v>
      </c>
      <c r="K299" t="s">
        <v>328</v>
      </c>
      <c r="L299" t="s">
        <v>329</v>
      </c>
      <c r="M299" t="s">
        <v>326</v>
      </c>
      <c r="N299" t="s">
        <v>331</v>
      </c>
      <c r="P299">
        <f t="shared" si="68"/>
        <v>298</v>
      </c>
      <c r="Q299" s="5" t="str">
        <f t="shared" si="60"/>
        <v>E</v>
      </c>
      <c r="R299" s="6" t="str">
        <f t="shared" si="61"/>
        <v>J</v>
      </c>
      <c r="S299" s="6" t="str">
        <f t="shared" si="62"/>
        <v>B</v>
      </c>
      <c r="T299" s="6" t="str">
        <f t="shared" si="63"/>
        <v>A</v>
      </c>
      <c r="U299" s="6" t="str">
        <f t="shared" si="64"/>
        <v>H</v>
      </c>
      <c r="V299" s="6" t="str">
        <f t="shared" si="65"/>
        <v>G</v>
      </c>
      <c r="W299" s="6" t="str">
        <f t="shared" si="66"/>
        <v>I</v>
      </c>
      <c r="X299" s="6" t="str">
        <f t="shared" si="67"/>
        <v>K</v>
      </c>
      <c r="Y299" s="8">
        <f t="shared" si="69"/>
        <v>5</v>
      </c>
    </row>
    <row r="300" spans="1:25" x14ac:dyDescent="0.2">
      <c r="A300" t="s">
        <v>634</v>
      </c>
      <c r="F300">
        <v>299</v>
      </c>
      <c r="G300" t="s">
        <v>324</v>
      </c>
      <c r="H300" t="s">
        <v>325</v>
      </c>
      <c r="I300" t="s">
        <v>336</v>
      </c>
      <c r="J300" t="s">
        <v>333</v>
      </c>
      <c r="K300" t="s">
        <v>326</v>
      </c>
      <c r="L300" t="s">
        <v>327</v>
      </c>
      <c r="M300" t="s">
        <v>330</v>
      </c>
      <c r="N300" t="s">
        <v>331</v>
      </c>
      <c r="P300">
        <f t="shared" si="68"/>
        <v>299</v>
      </c>
      <c r="Q300" s="5" t="str">
        <f t="shared" si="60"/>
        <v>E</v>
      </c>
      <c r="R300" s="6" t="str">
        <f t="shared" si="61"/>
        <v>J</v>
      </c>
      <c r="S300" s="6" t="str">
        <f t="shared" si="62"/>
        <v>B</v>
      </c>
      <c r="T300" s="6" t="str">
        <f t="shared" si="63"/>
        <v>A</v>
      </c>
      <c r="U300" s="6" t="str">
        <f t="shared" si="64"/>
        <v>I</v>
      </c>
      <c r="V300" s="6" t="str">
        <f t="shared" si="65"/>
        <v>F</v>
      </c>
      <c r="W300" s="6" t="str">
        <f t="shared" si="66"/>
        <v>L</v>
      </c>
      <c r="X300" s="6" t="str">
        <f t="shared" si="67"/>
        <v>K</v>
      </c>
      <c r="Y300" s="8">
        <f t="shared" si="69"/>
        <v>6</v>
      </c>
    </row>
    <row r="301" spans="1:25" x14ac:dyDescent="0.2">
      <c r="A301" t="s">
        <v>635</v>
      </c>
      <c r="F301">
        <v>300</v>
      </c>
      <c r="G301" t="s">
        <v>324</v>
      </c>
      <c r="H301" t="s">
        <v>325</v>
      </c>
      <c r="I301" t="s">
        <v>336</v>
      </c>
      <c r="J301" t="s">
        <v>327</v>
      </c>
      <c r="K301" t="s">
        <v>333</v>
      </c>
      <c r="L301" t="s">
        <v>328</v>
      </c>
      <c r="M301" t="s">
        <v>330</v>
      </c>
      <c r="N301" t="s">
        <v>331</v>
      </c>
      <c r="P301">
        <f t="shared" si="68"/>
        <v>300</v>
      </c>
      <c r="Q301" s="5" t="str">
        <f t="shared" si="60"/>
        <v>E</v>
      </c>
      <c r="R301" s="6" t="str">
        <f t="shared" si="61"/>
        <v>J</v>
      </c>
      <c r="S301" s="6" t="str">
        <f t="shared" si="62"/>
        <v>B</v>
      </c>
      <c r="T301" s="6" t="str">
        <f t="shared" si="63"/>
        <v>F</v>
      </c>
      <c r="U301" s="6" t="str">
        <f t="shared" si="64"/>
        <v>A</v>
      </c>
      <c r="V301" s="6" t="str">
        <f t="shared" si="65"/>
        <v>H</v>
      </c>
      <c r="W301" s="6" t="str">
        <f t="shared" si="66"/>
        <v>L</v>
      </c>
      <c r="X301" s="6" t="str">
        <f t="shared" si="67"/>
        <v>K</v>
      </c>
      <c r="Y301" s="8">
        <f t="shared" si="69"/>
        <v>5</v>
      </c>
    </row>
    <row r="302" spans="1:25" x14ac:dyDescent="0.2">
      <c r="A302" t="s">
        <v>636</v>
      </c>
      <c r="F302">
        <v>301</v>
      </c>
      <c r="G302" t="s">
        <v>324</v>
      </c>
      <c r="H302" t="s">
        <v>326</v>
      </c>
      <c r="I302" t="s">
        <v>336</v>
      </c>
      <c r="J302" t="s">
        <v>327</v>
      </c>
      <c r="K302" t="s">
        <v>333</v>
      </c>
      <c r="L302" t="s">
        <v>328</v>
      </c>
      <c r="M302" t="s">
        <v>330</v>
      </c>
      <c r="N302" t="s">
        <v>331</v>
      </c>
      <c r="P302">
        <f t="shared" si="68"/>
        <v>301</v>
      </c>
      <c r="Q302" s="5" t="str">
        <f t="shared" si="60"/>
        <v>E</v>
      </c>
      <c r="R302" s="6" t="str">
        <f t="shared" si="61"/>
        <v>I</v>
      </c>
      <c r="S302" s="6" t="str">
        <f t="shared" si="62"/>
        <v>B</v>
      </c>
      <c r="T302" s="6" t="str">
        <f t="shared" si="63"/>
        <v>F</v>
      </c>
      <c r="U302" s="6" t="str">
        <f t="shared" si="64"/>
        <v>A</v>
      </c>
      <c r="V302" s="6" t="str">
        <f t="shared" si="65"/>
        <v>H</v>
      </c>
      <c r="W302" s="6" t="str">
        <f t="shared" si="66"/>
        <v>L</v>
      </c>
      <c r="X302" s="6" t="str">
        <f t="shared" si="67"/>
        <v>K</v>
      </c>
      <c r="Y302" s="8">
        <f t="shared" si="69"/>
        <v>5</v>
      </c>
    </row>
    <row r="303" spans="1:25" x14ac:dyDescent="0.2">
      <c r="A303" t="s">
        <v>637</v>
      </c>
      <c r="F303">
        <v>302</v>
      </c>
      <c r="G303" t="s">
        <v>324</v>
      </c>
      <c r="H303" t="s">
        <v>325</v>
      </c>
      <c r="I303" t="s">
        <v>336</v>
      </c>
      <c r="J303" t="s">
        <v>327</v>
      </c>
      <c r="K303" t="s">
        <v>333</v>
      </c>
      <c r="L303" t="s">
        <v>328</v>
      </c>
      <c r="M303" t="s">
        <v>330</v>
      </c>
      <c r="N303" t="s">
        <v>326</v>
      </c>
      <c r="P303">
        <f t="shared" si="68"/>
        <v>302</v>
      </c>
      <c r="Q303" s="5" t="str">
        <f t="shared" si="60"/>
        <v>E</v>
      </c>
      <c r="R303" s="6" t="str">
        <f t="shared" si="61"/>
        <v>J</v>
      </c>
      <c r="S303" s="6" t="str">
        <f t="shared" si="62"/>
        <v>B</v>
      </c>
      <c r="T303" s="6" t="str">
        <f t="shared" si="63"/>
        <v>F</v>
      </c>
      <c r="U303" s="6" t="str">
        <f t="shared" si="64"/>
        <v>A</v>
      </c>
      <c r="V303" s="6" t="str">
        <f t="shared" si="65"/>
        <v>H</v>
      </c>
      <c r="W303" s="6" t="str">
        <f t="shared" si="66"/>
        <v>L</v>
      </c>
      <c r="X303" s="6" t="str">
        <f t="shared" si="67"/>
        <v>I</v>
      </c>
      <c r="Y303" s="8">
        <f t="shared" si="69"/>
        <v>6</v>
      </c>
    </row>
    <row r="304" spans="1:25" x14ac:dyDescent="0.2">
      <c r="A304" t="s">
        <v>638</v>
      </c>
      <c r="F304">
        <v>303</v>
      </c>
      <c r="G304" t="s">
        <v>324</v>
      </c>
      <c r="H304" t="s">
        <v>325</v>
      </c>
      <c r="I304" t="s">
        <v>336</v>
      </c>
      <c r="J304" t="s">
        <v>327</v>
      </c>
      <c r="K304" t="s">
        <v>333</v>
      </c>
      <c r="L304" t="s">
        <v>328</v>
      </c>
      <c r="M304" t="s">
        <v>326</v>
      </c>
      <c r="N304" t="s">
        <v>331</v>
      </c>
      <c r="P304">
        <f t="shared" si="68"/>
        <v>303</v>
      </c>
      <c r="Q304" s="5" t="str">
        <f t="shared" si="60"/>
        <v>E</v>
      </c>
      <c r="R304" s="6" t="str">
        <f t="shared" si="61"/>
        <v>J</v>
      </c>
      <c r="S304" s="6" t="str">
        <f t="shared" si="62"/>
        <v>B</v>
      </c>
      <c r="T304" s="6" t="str">
        <f t="shared" si="63"/>
        <v>F</v>
      </c>
      <c r="U304" s="6" t="str">
        <f t="shared" si="64"/>
        <v>A</v>
      </c>
      <c r="V304" s="6" t="str">
        <f t="shared" si="65"/>
        <v>H</v>
      </c>
      <c r="W304" s="6" t="str">
        <f t="shared" si="66"/>
        <v>I</v>
      </c>
      <c r="X304" s="6" t="str">
        <f t="shared" si="67"/>
        <v>K</v>
      </c>
      <c r="Y304" s="8">
        <f t="shared" si="69"/>
        <v>5</v>
      </c>
    </row>
    <row r="305" spans="1:25" x14ac:dyDescent="0.2">
      <c r="A305" t="s">
        <v>639</v>
      </c>
      <c r="F305">
        <v>304</v>
      </c>
      <c r="G305" t="s">
        <v>324</v>
      </c>
      <c r="H305" t="s">
        <v>325</v>
      </c>
      <c r="I305" t="s">
        <v>336</v>
      </c>
      <c r="J305" t="s">
        <v>327</v>
      </c>
      <c r="K305" t="s">
        <v>333</v>
      </c>
      <c r="L305" t="s">
        <v>329</v>
      </c>
      <c r="M305" t="s">
        <v>330</v>
      </c>
      <c r="N305" t="s">
        <v>331</v>
      </c>
      <c r="P305">
        <f t="shared" si="68"/>
        <v>304</v>
      </c>
      <c r="Q305" s="5" t="str">
        <f t="shared" si="60"/>
        <v>E</v>
      </c>
      <c r="R305" s="6" t="str">
        <f t="shared" si="61"/>
        <v>J</v>
      </c>
      <c r="S305" s="6" t="str">
        <f t="shared" si="62"/>
        <v>B</v>
      </c>
      <c r="T305" s="6" t="str">
        <f t="shared" si="63"/>
        <v>F</v>
      </c>
      <c r="U305" s="6" t="str">
        <f t="shared" si="64"/>
        <v>A</v>
      </c>
      <c r="V305" s="6" t="str">
        <f t="shared" si="65"/>
        <v>G</v>
      </c>
      <c r="W305" s="6" t="str">
        <f t="shared" si="66"/>
        <v>L</v>
      </c>
      <c r="X305" s="6" t="str">
        <f t="shared" si="67"/>
        <v>K</v>
      </c>
      <c r="Y305" s="8">
        <f t="shared" si="69"/>
        <v>6</v>
      </c>
    </row>
    <row r="306" spans="1:25" x14ac:dyDescent="0.2">
      <c r="A306" t="s">
        <v>640</v>
      </c>
      <c r="F306">
        <v>305</v>
      </c>
      <c r="G306" t="s">
        <v>324</v>
      </c>
      <c r="H306" t="s">
        <v>329</v>
      </c>
      <c r="I306" t="s">
        <v>336</v>
      </c>
      <c r="J306" t="s">
        <v>333</v>
      </c>
      <c r="K306" t="s">
        <v>326</v>
      </c>
      <c r="L306" t="s">
        <v>327</v>
      </c>
      <c r="M306" t="s">
        <v>330</v>
      </c>
      <c r="N306" t="s">
        <v>331</v>
      </c>
      <c r="P306">
        <f t="shared" si="68"/>
        <v>305</v>
      </c>
      <c r="Q306" s="5" t="str">
        <f t="shared" si="60"/>
        <v>E</v>
      </c>
      <c r="R306" s="6" t="str">
        <f t="shared" si="61"/>
        <v>G</v>
      </c>
      <c r="S306" s="6" t="str">
        <f t="shared" si="62"/>
        <v>B</v>
      </c>
      <c r="T306" s="6" t="str">
        <f t="shared" si="63"/>
        <v>A</v>
      </c>
      <c r="U306" s="6" t="str">
        <f t="shared" si="64"/>
        <v>I</v>
      </c>
      <c r="V306" s="6" t="str">
        <f t="shared" si="65"/>
        <v>F</v>
      </c>
      <c r="W306" s="6" t="str">
        <f t="shared" si="66"/>
        <v>L</v>
      </c>
      <c r="X306" s="6" t="str">
        <f t="shared" si="67"/>
        <v>K</v>
      </c>
      <c r="Y306" s="8">
        <f t="shared" si="69"/>
        <v>6</v>
      </c>
    </row>
    <row r="307" spans="1:25" x14ac:dyDescent="0.2">
      <c r="A307" t="s">
        <v>641</v>
      </c>
      <c r="F307">
        <v>306</v>
      </c>
      <c r="G307" t="s">
        <v>324</v>
      </c>
      <c r="H307" t="s">
        <v>325</v>
      </c>
      <c r="I307" t="s">
        <v>336</v>
      </c>
      <c r="J307" t="s">
        <v>327</v>
      </c>
      <c r="K307" t="s">
        <v>333</v>
      </c>
      <c r="L307" t="s">
        <v>329</v>
      </c>
      <c r="M307" t="s">
        <v>330</v>
      </c>
      <c r="N307" t="s">
        <v>326</v>
      </c>
      <c r="P307">
        <f t="shared" si="68"/>
        <v>306</v>
      </c>
      <c r="Q307" s="5" t="str">
        <f t="shared" si="60"/>
        <v>E</v>
      </c>
      <c r="R307" s="6" t="str">
        <f t="shared" si="61"/>
        <v>J</v>
      </c>
      <c r="S307" s="6" t="str">
        <f t="shared" si="62"/>
        <v>B</v>
      </c>
      <c r="T307" s="6" t="str">
        <f t="shared" si="63"/>
        <v>F</v>
      </c>
      <c r="U307" s="6" t="str">
        <f t="shared" si="64"/>
        <v>A</v>
      </c>
      <c r="V307" s="6" t="str">
        <f t="shared" si="65"/>
        <v>G</v>
      </c>
      <c r="W307" s="6" t="str">
        <f t="shared" si="66"/>
        <v>L</v>
      </c>
      <c r="X307" s="6" t="str">
        <f t="shared" si="67"/>
        <v>I</v>
      </c>
      <c r="Y307" s="8">
        <f t="shared" si="69"/>
        <v>7</v>
      </c>
    </row>
    <row r="308" spans="1:25" x14ac:dyDescent="0.2">
      <c r="A308" t="s">
        <v>642</v>
      </c>
      <c r="F308">
        <v>307</v>
      </c>
      <c r="G308" t="s">
        <v>324</v>
      </c>
      <c r="H308" t="s">
        <v>325</v>
      </c>
      <c r="I308" t="s">
        <v>336</v>
      </c>
      <c r="J308" t="s">
        <v>327</v>
      </c>
      <c r="K308" t="s">
        <v>333</v>
      </c>
      <c r="L308" t="s">
        <v>329</v>
      </c>
      <c r="M308" t="s">
        <v>326</v>
      </c>
      <c r="N308" t="s">
        <v>331</v>
      </c>
      <c r="P308">
        <f t="shared" si="68"/>
        <v>307</v>
      </c>
      <c r="Q308" s="5" t="str">
        <f t="shared" si="60"/>
        <v>E</v>
      </c>
      <c r="R308" s="6" t="str">
        <f t="shared" si="61"/>
        <v>J</v>
      </c>
      <c r="S308" s="6" t="str">
        <f t="shared" si="62"/>
        <v>B</v>
      </c>
      <c r="T308" s="6" t="str">
        <f t="shared" si="63"/>
        <v>F</v>
      </c>
      <c r="U308" s="6" t="str">
        <f t="shared" si="64"/>
        <v>A</v>
      </c>
      <c r="V308" s="6" t="str">
        <f t="shared" si="65"/>
        <v>G</v>
      </c>
      <c r="W308" s="6" t="str">
        <f t="shared" si="66"/>
        <v>I</v>
      </c>
      <c r="X308" s="6" t="str">
        <f t="shared" si="67"/>
        <v>K</v>
      </c>
      <c r="Y308" s="8">
        <f t="shared" si="69"/>
        <v>6</v>
      </c>
    </row>
    <row r="309" spans="1:25" x14ac:dyDescent="0.2">
      <c r="A309" t="s">
        <v>643</v>
      </c>
      <c r="F309">
        <v>308</v>
      </c>
      <c r="G309" t="s">
        <v>324</v>
      </c>
      <c r="H309" t="s">
        <v>329</v>
      </c>
      <c r="I309" t="s">
        <v>336</v>
      </c>
      <c r="J309" t="s">
        <v>327</v>
      </c>
      <c r="K309" t="s">
        <v>333</v>
      </c>
      <c r="L309" t="s">
        <v>328</v>
      </c>
      <c r="M309" t="s">
        <v>330</v>
      </c>
      <c r="N309" t="s">
        <v>331</v>
      </c>
      <c r="P309">
        <f t="shared" si="68"/>
        <v>308</v>
      </c>
      <c r="Q309" s="5" t="str">
        <f t="shared" si="60"/>
        <v>E</v>
      </c>
      <c r="R309" s="6" t="str">
        <f t="shared" si="61"/>
        <v>G</v>
      </c>
      <c r="S309" s="6" t="str">
        <f t="shared" si="62"/>
        <v>B</v>
      </c>
      <c r="T309" s="6" t="str">
        <f t="shared" si="63"/>
        <v>F</v>
      </c>
      <c r="U309" s="6" t="str">
        <f t="shared" si="64"/>
        <v>A</v>
      </c>
      <c r="V309" s="6" t="str">
        <f t="shared" si="65"/>
        <v>H</v>
      </c>
      <c r="W309" s="6" t="str">
        <f t="shared" si="66"/>
        <v>L</v>
      </c>
      <c r="X309" s="6" t="str">
        <f t="shared" si="67"/>
        <v>K</v>
      </c>
      <c r="Y309" s="8">
        <f t="shared" si="69"/>
        <v>5</v>
      </c>
    </row>
    <row r="310" spans="1:25" x14ac:dyDescent="0.2">
      <c r="A310" t="s">
        <v>644</v>
      </c>
      <c r="F310">
        <v>309</v>
      </c>
      <c r="G310" t="s">
        <v>328</v>
      </c>
      <c r="H310" t="s">
        <v>325</v>
      </c>
      <c r="I310" t="s">
        <v>336</v>
      </c>
      <c r="J310" t="s">
        <v>327</v>
      </c>
      <c r="K310" t="s">
        <v>333</v>
      </c>
      <c r="L310" t="s">
        <v>329</v>
      </c>
      <c r="M310" t="s">
        <v>330</v>
      </c>
      <c r="N310" t="s">
        <v>324</v>
      </c>
      <c r="P310">
        <f t="shared" si="68"/>
        <v>309</v>
      </c>
      <c r="Q310" s="5" t="str">
        <f t="shared" si="60"/>
        <v>H</v>
      </c>
      <c r="R310" s="6" t="str">
        <f t="shared" si="61"/>
        <v>J</v>
      </c>
      <c r="S310" s="6" t="str">
        <f t="shared" si="62"/>
        <v>B</v>
      </c>
      <c r="T310" s="6" t="str">
        <f t="shared" si="63"/>
        <v>F</v>
      </c>
      <c r="U310" s="6" t="str">
        <f t="shared" si="64"/>
        <v>A</v>
      </c>
      <c r="V310" s="6" t="str">
        <f t="shared" si="65"/>
        <v>G</v>
      </c>
      <c r="W310" s="6" t="str">
        <f t="shared" si="66"/>
        <v>L</v>
      </c>
      <c r="X310" s="6" t="str">
        <f t="shared" si="67"/>
        <v>E</v>
      </c>
      <c r="Y310" s="8">
        <f t="shared" si="69"/>
        <v>6</v>
      </c>
    </row>
    <row r="311" spans="1:25" x14ac:dyDescent="0.2">
      <c r="A311" t="s">
        <v>645</v>
      </c>
      <c r="F311">
        <v>310</v>
      </c>
      <c r="G311" t="s">
        <v>328</v>
      </c>
      <c r="H311" t="s">
        <v>325</v>
      </c>
      <c r="I311" t="s">
        <v>336</v>
      </c>
      <c r="J311" t="s">
        <v>327</v>
      </c>
      <c r="K311" t="s">
        <v>333</v>
      </c>
      <c r="L311" t="s">
        <v>329</v>
      </c>
      <c r="M311" t="s">
        <v>324</v>
      </c>
      <c r="N311" t="s">
        <v>331</v>
      </c>
      <c r="P311">
        <f t="shared" si="68"/>
        <v>310</v>
      </c>
      <c r="Q311" s="5" t="str">
        <f t="shared" si="60"/>
        <v>H</v>
      </c>
      <c r="R311" s="6" t="str">
        <f t="shared" si="61"/>
        <v>J</v>
      </c>
      <c r="S311" s="6" t="str">
        <f t="shared" si="62"/>
        <v>B</v>
      </c>
      <c r="T311" s="6" t="str">
        <f t="shared" si="63"/>
        <v>F</v>
      </c>
      <c r="U311" s="6" t="str">
        <f t="shared" si="64"/>
        <v>A</v>
      </c>
      <c r="V311" s="6" t="str">
        <f t="shared" si="65"/>
        <v>G</v>
      </c>
      <c r="W311" s="6" t="str">
        <f t="shared" si="66"/>
        <v>E</v>
      </c>
      <c r="X311" s="6" t="str">
        <f t="shared" si="67"/>
        <v>K</v>
      </c>
      <c r="Y311" s="8">
        <f t="shared" si="69"/>
        <v>5</v>
      </c>
    </row>
    <row r="312" spans="1:25" x14ac:dyDescent="0.2">
      <c r="A312" t="s">
        <v>646</v>
      </c>
      <c r="F312">
        <v>311</v>
      </c>
      <c r="G312" t="s">
        <v>324</v>
      </c>
      <c r="H312" t="s">
        <v>329</v>
      </c>
      <c r="I312" t="s">
        <v>336</v>
      </c>
      <c r="J312" t="s">
        <v>327</v>
      </c>
      <c r="K312" t="s">
        <v>333</v>
      </c>
      <c r="L312" t="s">
        <v>328</v>
      </c>
      <c r="M312" t="s">
        <v>330</v>
      </c>
      <c r="N312" t="s">
        <v>326</v>
      </c>
      <c r="P312">
        <f t="shared" si="68"/>
        <v>311</v>
      </c>
      <c r="Q312" s="5" t="str">
        <f t="shared" si="60"/>
        <v>E</v>
      </c>
      <c r="R312" s="6" t="str">
        <f t="shared" si="61"/>
        <v>G</v>
      </c>
      <c r="S312" s="6" t="str">
        <f t="shared" si="62"/>
        <v>B</v>
      </c>
      <c r="T312" s="6" t="str">
        <f t="shared" si="63"/>
        <v>F</v>
      </c>
      <c r="U312" s="6" t="str">
        <f t="shared" si="64"/>
        <v>A</v>
      </c>
      <c r="V312" s="6" t="str">
        <f t="shared" si="65"/>
        <v>H</v>
      </c>
      <c r="W312" s="6" t="str">
        <f t="shared" si="66"/>
        <v>L</v>
      </c>
      <c r="X312" s="6" t="str">
        <f t="shared" si="67"/>
        <v>I</v>
      </c>
      <c r="Y312" s="8">
        <f t="shared" si="69"/>
        <v>6</v>
      </c>
    </row>
    <row r="313" spans="1:25" x14ac:dyDescent="0.2">
      <c r="A313" t="s">
        <v>647</v>
      </c>
      <c r="F313">
        <v>312</v>
      </c>
      <c r="G313" t="s">
        <v>324</v>
      </c>
      <c r="H313" t="s">
        <v>329</v>
      </c>
      <c r="I313" t="s">
        <v>336</v>
      </c>
      <c r="J313" t="s">
        <v>327</v>
      </c>
      <c r="K313" t="s">
        <v>333</v>
      </c>
      <c r="L313" t="s">
        <v>328</v>
      </c>
      <c r="M313" t="s">
        <v>326</v>
      </c>
      <c r="N313" t="s">
        <v>331</v>
      </c>
      <c r="P313">
        <f t="shared" si="68"/>
        <v>312</v>
      </c>
      <c r="Q313" s="5" t="str">
        <f t="shared" si="60"/>
        <v>E</v>
      </c>
      <c r="R313" s="6" t="str">
        <f t="shared" si="61"/>
        <v>G</v>
      </c>
      <c r="S313" s="6" t="str">
        <f t="shared" si="62"/>
        <v>B</v>
      </c>
      <c r="T313" s="6" t="str">
        <f t="shared" si="63"/>
        <v>F</v>
      </c>
      <c r="U313" s="6" t="str">
        <f t="shared" si="64"/>
        <v>A</v>
      </c>
      <c r="V313" s="6" t="str">
        <f t="shared" si="65"/>
        <v>H</v>
      </c>
      <c r="W313" s="6" t="str">
        <f t="shared" si="66"/>
        <v>I</v>
      </c>
      <c r="X313" s="6" t="str">
        <f t="shared" si="67"/>
        <v>K</v>
      </c>
      <c r="Y313" s="8">
        <f t="shared" si="69"/>
        <v>5</v>
      </c>
    </row>
    <row r="314" spans="1:25" x14ac:dyDescent="0.2">
      <c r="A314" t="s">
        <v>648</v>
      </c>
      <c r="F314">
        <v>313</v>
      </c>
      <c r="G314" t="s">
        <v>328</v>
      </c>
      <c r="H314" t="s">
        <v>325</v>
      </c>
      <c r="I314" t="s">
        <v>336</v>
      </c>
      <c r="J314" t="s">
        <v>327</v>
      </c>
      <c r="K314" t="s">
        <v>333</v>
      </c>
      <c r="L314" t="s">
        <v>329</v>
      </c>
      <c r="M314" t="s">
        <v>324</v>
      </c>
      <c r="N314" t="s">
        <v>326</v>
      </c>
      <c r="P314">
        <f t="shared" si="68"/>
        <v>313</v>
      </c>
      <c r="Q314" s="5" t="str">
        <f t="shared" si="60"/>
        <v>H</v>
      </c>
      <c r="R314" s="6" t="str">
        <f t="shared" si="61"/>
        <v>J</v>
      </c>
      <c r="S314" s="6" t="str">
        <f t="shared" si="62"/>
        <v>B</v>
      </c>
      <c r="T314" s="6" t="str">
        <f t="shared" si="63"/>
        <v>F</v>
      </c>
      <c r="U314" s="6" t="str">
        <f t="shared" si="64"/>
        <v>A</v>
      </c>
      <c r="V314" s="6" t="str">
        <f t="shared" si="65"/>
        <v>G</v>
      </c>
      <c r="W314" s="6" t="str">
        <f t="shared" si="66"/>
        <v>E</v>
      </c>
      <c r="X314" s="6" t="str">
        <f t="shared" si="67"/>
        <v>I</v>
      </c>
      <c r="Y314" s="8">
        <f t="shared" si="69"/>
        <v>6</v>
      </c>
    </row>
    <row r="315" spans="1:25" x14ac:dyDescent="0.2">
      <c r="A315" t="s">
        <v>649</v>
      </c>
      <c r="F315">
        <v>314</v>
      </c>
      <c r="G315" t="s">
        <v>326</v>
      </c>
      <c r="H315" t="s">
        <v>325</v>
      </c>
      <c r="I315" t="s">
        <v>336</v>
      </c>
      <c r="J315" t="s">
        <v>335</v>
      </c>
      <c r="K315" t="s">
        <v>333</v>
      </c>
      <c r="L315" t="s">
        <v>328</v>
      </c>
      <c r="M315" t="s">
        <v>330</v>
      </c>
      <c r="N315" t="s">
        <v>331</v>
      </c>
      <c r="P315">
        <f t="shared" si="68"/>
        <v>314</v>
      </c>
      <c r="Q315" s="5" t="str">
        <f t="shared" si="60"/>
        <v>I</v>
      </c>
      <c r="R315" s="6" t="str">
        <f t="shared" si="61"/>
        <v>J</v>
      </c>
      <c r="S315" s="6" t="str">
        <f t="shared" si="62"/>
        <v>B</v>
      </c>
      <c r="T315" s="6" t="str">
        <f t="shared" si="63"/>
        <v>D</v>
      </c>
      <c r="U315" s="6" t="str">
        <f t="shared" si="64"/>
        <v>A</v>
      </c>
      <c r="V315" s="6" t="str">
        <f t="shared" si="65"/>
        <v>H</v>
      </c>
      <c r="W315" s="6" t="str">
        <f t="shared" si="66"/>
        <v>L</v>
      </c>
      <c r="X315" s="6" t="str">
        <f t="shared" si="67"/>
        <v>K</v>
      </c>
      <c r="Y315" s="8">
        <f t="shared" si="69"/>
        <v>5</v>
      </c>
    </row>
    <row r="316" spans="1:25" x14ac:dyDescent="0.2">
      <c r="A316" t="s">
        <v>650</v>
      </c>
      <c r="F316">
        <v>315</v>
      </c>
      <c r="G316" t="s">
        <v>326</v>
      </c>
      <c r="H316" t="s">
        <v>325</v>
      </c>
      <c r="I316" t="s">
        <v>336</v>
      </c>
      <c r="J316" t="s">
        <v>335</v>
      </c>
      <c r="K316" t="s">
        <v>333</v>
      </c>
      <c r="L316" t="s">
        <v>329</v>
      </c>
      <c r="M316" t="s">
        <v>330</v>
      </c>
      <c r="N316" t="s">
        <v>331</v>
      </c>
      <c r="P316">
        <f t="shared" si="68"/>
        <v>315</v>
      </c>
      <c r="Q316" s="5" t="str">
        <f t="shared" si="60"/>
        <v>I</v>
      </c>
      <c r="R316" s="6" t="str">
        <f t="shared" si="61"/>
        <v>J</v>
      </c>
      <c r="S316" s="6" t="str">
        <f t="shared" si="62"/>
        <v>B</v>
      </c>
      <c r="T316" s="6" t="str">
        <f t="shared" si="63"/>
        <v>D</v>
      </c>
      <c r="U316" s="6" t="str">
        <f t="shared" si="64"/>
        <v>A</v>
      </c>
      <c r="V316" s="6" t="str">
        <f t="shared" si="65"/>
        <v>G</v>
      </c>
      <c r="W316" s="6" t="str">
        <f t="shared" si="66"/>
        <v>L</v>
      </c>
      <c r="X316" s="6" t="str">
        <f t="shared" si="67"/>
        <v>K</v>
      </c>
      <c r="Y316" s="8">
        <f t="shared" si="69"/>
        <v>6</v>
      </c>
    </row>
    <row r="317" spans="1:25" x14ac:dyDescent="0.2">
      <c r="A317" t="s">
        <v>651</v>
      </c>
      <c r="F317">
        <v>316</v>
      </c>
      <c r="G317" t="s">
        <v>328</v>
      </c>
      <c r="H317" t="s">
        <v>325</v>
      </c>
      <c r="I317" t="s">
        <v>336</v>
      </c>
      <c r="J317" t="s">
        <v>335</v>
      </c>
      <c r="K317" t="s">
        <v>333</v>
      </c>
      <c r="L317" t="s">
        <v>329</v>
      </c>
      <c r="M317" t="s">
        <v>330</v>
      </c>
      <c r="N317" t="s">
        <v>331</v>
      </c>
      <c r="P317">
        <f t="shared" si="68"/>
        <v>316</v>
      </c>
      <c r="Q317" s="5" t="str">
        <f t="shared" si="60"/>
        <v>H</v>
      </c>
      <c r="R317" s="6" t="str">
        <f t="shared" si="61"/>
        <v>J</v>
      </c>
      <c r="S317" s="6" t="str">
        <f t="shared" si="62"/>
        <v>B</v>
      </c>
      <c r="T317" s="6" t="str">
        <f t="shared" si="63"/>
        <v>D</v>
      </c>
      <c r="U317" s="6" t="str">
        <f t="shared" si="64"/>
        <v>A</v>
      </c>
      <c r="V317" s="6" t="str">
        <f t="shared" si="65"/>
        <v>G</v>
      </c>
      <c r="W317" s="6" t="str">
        <f t="shared" si="66"/>
        <v>L</v>
      </c>
      <c r="X317" s="6" t="str">
        <f t="shared" si="67"/>
        <v>K</v>
      </c>
      <c r="Y317" s="8">
        <f t="shared" si="69"/>
        <v>5</v>
      </c>
    </row>
    <row r="318" spans="1:25" x14ac:dyDescent="0.2">
      <c r="A318" t="s">
        <v>652</v>
      </c>
      <c r="F318">
        <v>317</v>
      </c>
      <c r="G318" t="s">
        <v>326</v>
      </c>
      <c r="H318" t="s">
        <v>329</v>
      </c>
      <c r="I318" t="s">
        <v>336</v>
      </c>
      <c r="J318" t="s">
        <v>335</v>
      </c>
      <c r="K318" t="s">
        <v>333</v>
      </c>
      <c r="L318" t="s">
        <v>328</v>
      </c>
      <c r="M318" t="s">
        <v>330</v>
      </c>
      <c r="N318" t="s">
        <v>331</v>
      </c>
      <c r="P318">
        <f t="shared" si="68"/>
        <v>317</v>
      </c>
      <c r="Q318" s="5" t="str">
        <f t="shared" si="60"/>
        <v>I</v>
      </c>
      <c r="R318" s="6" t="str">
        <f t="shared" si="61"/>
        <v>G</v>
      </c>
      <c r="S318" s="6" t="str">
        <f t="shared" si="62"/>
        <v>B</v>
      </c>
      <c r="T318" s="6" t="str">
        <f t="shared" si="63"/>
        <v>D</v>
      </c>
      <c r="U318" s="6" t="str">
        <f t="shared" si="64"/>
        <v>A</v>
      </c>
      <c r="V318" s="6" t="str">
        <f t="shared" si="65"/>
        <v>H</v>
      </c>
      <c r="W318" s="6" t="str">
        <f t="shared" si="66"/>
        <v>L</v>
      </c>
      <c r="X318" s="6" t="str">
        <f t="shared" si="67"/>
        <v>K</v>
      </c>
      <c r="Y318" s="8">
        <f t="shared" si="69"/>
        <v>5</v>
      </c>
    </row>
    <row r="319" spans="1:25" x14ac:dyDescent="0.2">
      <c r="A319" t="s">
        <v>653</v>
      </c>
      <c r="F319">
        <v>318</v>
      </c>
      <c r="G319" t="s">
        <v>328</v>
      </c>
      <c r="H319" t="s">
        <v>325</v>
      </c>
      <c r="I319" t="s">
        <v>336</v>
      </c>
      <c r="J319" t="s">
        <v>335</v>
      </c>
      <c r="K319" t="s">
        <v>333</v>
      </c>
      <c r="L319" t="s">
        <v>329</v>
      </c>
      <c r="M319" t="s">
        <v>330</v>
      </c>
      <c r="N319" t="s">
        <v>326</v>
      </c>
      <c r="P319">
        <f t="shared" si="68"/>
        <v>318</v>
      </c>
      <c r="Q319" s="5" t="str">
        <f t="shared" si="60"/>
        <v>H</v>
      </c>
      <c r="R319" s="6" t="str">
        <f t="shared" si="61"/>
        <v>J</v>
      </c>
      <c r="S319" s="6" t="str">
        <f t="shared" si="62"/>
        <v>B</v>
      </c>
      <c r="T319" s="6" t="str">
        <f t="shared" si="63"/>
        <v>D</v>
      </c>
      <c r="U319" s="6" t="str">
        <f t="shared" si="64"/>
        <v>A</v>
      </c>
      <c r="V319" s="6" t="str">
        <f t="shared" si="65"/>
        <v>G</v>
      </c>
      <c r="W319" s="6" t="str">
        <f t="shared" si="66"/>
        <v>L</v>
      </c>
      <c r="X319" s="6" t="str">
        <f t="shared" si="67"/>
        <v>I</v>
      </c>
      <c r="Y319" s="8">
        <f t="shared" si="69"/>
        <v>6</v>
      </c>
    </row>
    <row r="320" spans="1:25" x14ac:dyDescent="0.2">
      <c r="A320" t="s">
        <v>654</v>
      </c>
      <c r="F320">
        <v>319</v>
      </c>
      <c r="G320" t="s">
        <v>328</v>
      </c>
      <c r="H320" t="s">
        <v>325</v>
      </c>
      <c r="I320" t="s">
        <v>336</v>
      </c>
      <c r="J320" t="s">
        <v>335</v>
      </c>
      <c r="K320" t="s">
        <v>333</v>
      </c>
      <c r="L320" t="s">
        <v>329</v>
      </c>
      <c r="M320" t="s">
        <v>326</v>
      </c>
      <c r="N320" t="s">
        <v>331</v>
      </c>
      <c r="P320">
        <f t="shared" si="68"/>
        <v>319</v>
      </c>
      <c r="Q320" s="5" t="str">
        <f t="shared" si="60"/>
        <v>H</v>
      </c>
      <c r="R320" s="6" t="str">
        <f t="shared" si="61"/>
        <v>J</v>
      </c>
      <c r="S320" s="6" t="str">
        <f t="shared" si="62"/>
        <v>B</v>
      </c>
      <c r="T320" s="6" t="str">
        <f t="shared" si="63"/>
        <v>D</v>
      </c>
      <c r="U320" s="6" t="str">
        <f t="shared" si="64"/>
        <v>A</v>
      </c>
      <c r="V320" s="6" t="str">
        <f t="shared" si="65"/>
        <v>G</v>
      </c>
      <c r="W320" s="6" t="str">
        <f t="shared" si="66"/>
        <v>I</v>
      </c>
      <c r="X320" s="6" t="str">
        <f t="shared" si="67"/>
        <v>K</v>
      </c>
      <c r="Y320" s="8">
        <f t="shared" si="69"/>
        <v>5</v>
      </c>
    </row>
    <row r="321" spans="1:25" x14ac:dyDescent="0.2">
      <c r="A321" t="s">
        <v>655</v>
      </c>
      <c r="F321">
        <v>320</v>
      </c>
      <c r="G321" t="s">
        <v>326</v>
      </c>
      <c r="H321" t="s">
        <v>325</v>
      </c>
      <c r="I321" t="s">
        <v>336</v>
      </c>
      <c r="J321" t="s">
        <v>335</v>
      </c>
      <c r="K321" t="s">
        <v>333</v>
      </c>
      <c r="L321" t="s">
        <v>327</v>
      </c>
      <c r="M321" t="s">
        <v>330</v>
      </c>
      <c r="N321" t="s">
        <v>331</v>
      </c>
      <c r="P321">
        <f t="shared" si="68"/>
        <v>320</v>
      </c>
      <c r="Q321" s="5" t="str">
        <f t="shared" si="60"/>
        <v>I</v>
      </c>
      <c r="R321" s="6" t="str">
        <f t="shared" si="61"/>
        <v>J</v>
      </c>
      <c r="S321" s="6" t="str">
        <f t="shared" si="62"/>
        <v>B</v>
      </c>
      <c r="T321" s="6" t="str">
        <f t="shared" si="63"/>
        <v>D</v>
      </c>
      <c r="U321" s="6" t="str">
        <f t="shared" si="64"/>
        <v>A</v>
      </c>
      <c r="V321" s="6" t="str">
        <f t="shared" si="65"/>
        <v>F</v>
      </c>
      <c r="W321" s="6" t="str">
        <f t="shared" si="66"/>
        <v>L</v>
      </c>
      <c r="X321" s="6" t="str">
        <f t="shared" si="67"/>
        <v>K</v>
      </c>
      <c r="Y321" s="8">
        <f t="shared" si="69"/>
        <v>6</v>
      </c>
    </row>
    <row r="322" spans="1:25" x14ac:dyDescent="0.2">
      <c r="A322" t="s">
        <v>656</v>
      </c>
      <c r="F322">
        <v>321</v>
      </c>
      <c r="G322" t="s">
        <v>328</v>
      </c>
      <c r="H322" t="s">
        <v>325</v>
      </c>
      <c r="I322" t="s">
        <v>336</v>
      </c>
      <c r="J322" t="s">
        <v>335</v>
      </c>
      <c r="K322" t="s">
        <v>333</v>
      </c>
      <c r="L322" t="s">
        <v>327</v>
      </c>
      <c r="M322" t="s">
        <v>330</v>
      </c>
      <c r="N322" t="s">
        <v>331</v>
      </c>
      <c r="P322">
        <f t="shared" si="68"/>
        <v>321</v>
      </c>
      <c r="Q322" s="5" t="str">
        <f t="shared" ref="Q322:Q385" si="70">+RIGHT(G322,1)</f>
        <v>H</v>
      </c>
      <c r="R322" s="6" t="str">
        <f t="shared" ref="R322:R385" si="71">+RIGHT(H322,1)</f>
        <v>J</v>
      </c>
      <c r="S322" s="6" t="str">
        <f t="shared" ref="S322:S385" si="72">+RIGHT(I322,1)</f>
        <v>B</v>
      </c>
      <c r="T322" s="6" t="str">
        <f t="shared" ref="T322:T385" si="73">+RIGHT(J322,1)</f>
        <v>D</v>
      </c>
      <c r="U322" s="6" t="str">
        <f t="shared" ref="U322:U385" si="74">+RIGHT(K322,1)</f>
        <v>A</v>
      </c>
      <c r="V322" s="6" t="str">
        <f t="shared" ref="V322:V385" si="75">+RIGHT(L322,1)</f>
        <v>F</v>
      </c>
      <c r="W322" s="6" t="str">
        <f t="shared" ref="W322:W385" si="76">+RIGHT(M322,1)</f>
        <v>L</v>
      </c>
      <c r="X322" s="6" t="str">
        <f t="shared" ref="X322:X385" si="77">+RIGHT(N322,1)</f>
        <v>K</v>
      </c>
      <c r="Y322" s="8">
        <f t="shared" si="69"/>
        <v>5</v>
      </c>
    </row>
    <row r="323" spans="1:25" x14ac:dyDescent="0.2">
      <c r="A323" t="s">
        <v>657</v>
      </c>
      <c r="F323">
        <v>322</v>
      </c>
      <c r="G323" t="s">
        <v>328</v>
      </c>
      <c r="H323" t="s">
        <v>326</v>
      </c>
      <c r="I323" t="s">
        <v>336</v>
      </c>
      <c r="J323" t="s">
        <v>335</v>
      </c>
      <c r="K323" t="s">
        <v>333</v>
      </c>
      <c r="L323" t="s">
        <v>327</v>
      </c>
      <c r="M323" t="s">
        <v>330</v>
      </c>
      <c r="N323" t="s">
        <v>331</v>
      </c>
      <c r="P323">
        <f t="shared" ref="P323:P386" si="78">+F323</f>
        <v>322</v>
      </c>
      <c r="Q323" s="5" t="str">
        <f t="shared" si="70"/>
        <v>H</v>
      </c>
      <c r="R323" s="6" t="str">
        <f t="shared" si="71"/>
        <v>I</v>
      </c>
      <c r="S323" s="6" t="str">
        <f t="shared" si="72"/>
        <v>B</v>
      </c>
      <c r="T323" s="6" t="str">
        <f t="shared" si="73"/>
        <v>D</v>
      </c>
      <c r="U323" s="6" t="str">
        <f t="shared" si="74"/>
        <v>A</v>
      </c>
      <c r="V323" s="6" t="str">
        <f t="shared" si="75"/>
        <v>F</v>
      </c>
      <c r="W323" s="6" t="str">
        <f t="shared" si="76"/>
        <v>L</v>
      </c>
      <c r="X323" s="6" t="str">
        <f t="shared" si="77"/>
        <v>K</v>
      </c>
      <c r="Y323" s="8">
        <f t="shared" ref="Y323:Y386" si="79">+COUNTIF($AA$2:$AA$9,Q323)+COUNTIF($AA$2:$AA$9,R323)+COUNTIF($AA$2:$AA$9,S323)+COUNTIF($AA$2:$AA$9,T323)+COUNTIF($AA$2:$AA$9,U323)+COUNTIF($AA$2:$AA$9,V323)+COUNTIF($AA$2:$AA$9,W323)+COUNTIF($AA$2:$AA$9,X323)</f>
        <v>5</v>
      </c>
    </row>
    <row r="324" spans="1:25" x14ac:dyDescent="0.2">
      <c r="A324" t="s">
        <v>658</v>
      </c>
      <c r="F324">
        <v>323</v>
      </c>
      <c r="G324" t="s">
        <v>328</v>
      </c>
      <c r="H324" t="s">
        <v>325</v>
      </c>
      <c r="I324" t="s">
        <v>336</v>
      </c>
      <c r="J324" t="s">
        <v>335</v>
      </c>
      <c r="K324" t="s">
        <v>333</v>
      </c>
      <c r="L324" t="s">
        <v>327</v>
      </c>
      <c r="M324" t="s">
        <v>330</v>
      </c>
      <c r="N324" t="s">
        <v>326</v>
      </c>
      <c r="P324">
        <f t="shared" si="78"/>
        <v>323</v>
      </c>
      <c r="Q324" s="5" t="str">
        <f t="shared" si="70"/>
        <v>H</v>
      </c>
      <c r="R324" s="6" t="str">
        <f t="shared" si="71"/>
        <v>J</v>
      </c>
      <c r="S324" s="6" t="str">
        <f t="shared" si="72"/>
        <v>B</v>
      </c>
      <c r="T324" s="6" t="str">
        <f t="shared" si="73"/>
        <v>D</v>
      </c>
      <c r="U324" s="6" t="str">
        <f t="shared" si="74"/>
        <v>A</v>
      </c>
      <c r="V324" s="6" t="str">
        <f t="shared" si="75"/>
        <v>F</v>
      </c>
      <c r="W324" s="6" t="str">
        <f t="shared" si="76"/>
        <v>L</v>
      </c>
      <c r="X324" s="6" t="str">
        <f t="shared" si="77"/>
        <v>I</v>
      </c>
      <c r="Y324" s="8">
        <f t="shared" si="79"/>
        <v>6</v>
      </c>
    </row>
    <row r="325" spans="1:25" x14ac:dyDescent="0.2">
      <c r="A325" t="s">
        <v>659</v>
      </c>
      <c r="F325">
        <v>324</v>
      </c>
      <c r="G325" t="s">
        <v>328</v>
      </c>
      <c r="H325" t="s">
        <v>325</v>
      </c>
      <c r="I325" t="s">
        <v>336</v>
      </c>
      <c r="J325" t="s">
        <v>335</v>
      </c>
      <c r="K325" t="s">
        <v>333</v>
      </c>
      <c r="L325" t="s">
        <v>327</v>
      </c>
      <c r="M325" t="s">
        <v>326</v>
      </c>
      <c r="N325" t="s">
        <v>331</v>
      </c>
      <c r="P325">
        <f t="shared" si="78"/>
        <v>324</v>
      </c>
      <c r="Q325" s="5" t="str">
        <f t="shared" si="70"/>
        <v>H</v>
      </c>
      <c r="R325" s="6" t="str">
        <f t="shared" si="71"/>
        <v>J</v>
      </c>
      <c r="S325" s="6" t="str">
        <f t="shared" si="72"/>
        <v>B</v>
      </c>
      <c r="T325" s="6" t="str">
        <f t="shared" si="73"/>
        <v>D</v>
      </c>
      <c r="U325" s="6" t="str">
        <f t="shared" si="74"/>
        <v>A</v>
      </c>
      <c r="V325" s="6" t="str">
        <f t="shared" si="75"/>
        <v>F</v>
      </c>
      <c r="W325" s="6" t="str">
        <f t="shared" si="76"/>
        <v>I</v>
      </c>
      <c r="X325" s="6" t="str">
        <f t="shared" si="77"/>
        <v>K</v>
      </c>
      <c r="Y325" s="8">
        <f t="shared" si="79"/>
        <v>5</v>
      </c>
    </row>
    <row r="326" spans="1:25" x14ac:dyDescent="0.2">
      <c r="A326" t="s">
        <v>660</v>
      </c>
      <c r="F326">
        <v>325</v>
      </c>
      <c r="G326" t="s">
        <v>327</v>
      </c>
      <c r="H326" t="s">
        <v>325</v>
      </c>
      <c r="I326" t="s">
        <v>336</v>
      </c>
      <c r="J326" t="s">
        <v>335</v>
      </c>
      <c r="K326" t="s">
        <v>333</v>
      </c>
      <c r="L326" t="s">
        <v>329</v>
      </c>
      <c r="M326" t="s">
        <v>330</v>
      </c>
      <c r="N326" t="s">
        <v>331</v>
      </c>
      <c r="P326">
        <f t="shared" si="78"/>
        <v>325</v>
      </c>
      <c r="Q326" s="5" t="str">
        <f t="shared" si="70"/>
        <v>F</v>
      </c>
      <c r="R326" s="6" t="str">
        <f t="shared" si="71"/>
        <v>J</v>
      </c>
      <c r="S326" s="6" t="str">
        <f t="shared" si="72"/>
        <v>B</v>
      </c>
      <c r="T326" s="6" t="str">
        <f t="shared" si="73"/>
        <v>D</v>
      </c>
      <c r="U326" s="6" t="str">
        <f t="shared" si="74"/>
        <v>A</v>
      </c>
      <c r="V326" s="6" t="str">
        <f t="shared" si="75"/>
        <v>G</v>
      </c>
      <c r="W326" s="6" t="str">
        <f t="shared" si="76"/>
        <v>L</v>
      </c>
      <c r="X326" s="6" t="str">
        <f t="shared" si="77"/>
        <v>K</v>
      </c>
      <c r="Y326" s="8">
        <f t="shared" si="79"/>
        <v>6</v>
      </c>
    </row>
    <row r="327" spans="1:25" x14ac:dyDescent="0.2">
      <c r="A327" t="s">
        <v>661</v>
      </c>
      <c r="F327">
        <v>326</v>
      </c>
      <c r="G327" t="s">
        <v>326</v>
      </c>
      <c r="H327" t="s">
        <v>329</v>
      </c>
      <c r="I327" t="s">
        <v>336</v>
      </c>
      <c r="J327" t="s">
        <v>335</v>
      </c>
      <c r="K327" t="s">
        <v>333</v>
      </c>
      <c r="L327" t="s">
        <v>327</v>
      </c>
      <c r="M327" t="s">
        <v>330</v>
      </c>
      <c r="N327" t="s">
        <v>331</v>
      </c>
      <c r="P327">
        <f t="shared" si="78"/>
        <v>326</v>
      </c>
      <c r="Q327" s="5" t="str">
        <f t="shared" si="70"/>
        <v>I</v>
      </c>
      <c r="R327" s="6" t="str">
        <f t="shared" si="71"/>
        <v>G</v>
      </c>
      <c r="S327" s="6" t="str">
        <f t="shared" si="72"/>
        <v>B</v>
      </c>
      <c r="T327" s="6" t="str">
        <f t="shared" si="73"/>
        <v>D</v>
      </c>
      <c r="U327" s="6" t="str">
        <f t="shared" si="74"/>
        <v>A</v>
      </c>
      <c r="V327" s="6" t="str">
        <f t="shared" si="75"/>
        <v>F</v>
      </c>
      <c r="W327" s="6" t="str">
        <f t="shared" si="76"/>
        <v>L</v>
      </c>
      <c r="X327" s="6" t="str">
        <f t="shared" si="77"/>
        <v>K</v>
      </c>
      <c r="Y327" s="8">
        <f t="shared" si="79"/>
        <v>6</v>
      </c>
    </row>
    <row r="328" spans="1:25" x14ac:dyDescent="0.2">
      <c r="A328" t="s">
        <v>662</v>
      </c>
      <c r="F328">
        <v>327</v>
      </c>
      <c r="G328" t="s">
        <v>327</v>
      </c>
      <c r="H328" t="s">
        <v>325</v>
      </c>
      <c r="I328" t="s">
        <v>336</v>
      </c>
      <c r="J328" t="s">
        <v>335</v>
      </c>
      <c r="K328" t="s">
        <v>333</v>
      </c>
      <c r="L328" t="s">
        <v>329</v>
      </c>
      <c r="M328" t="s">
        <v>330</v>
      </c>
      <c r="N328" t="s">
        <v>326</v>
      </c>
      <c r="P328">
        <f t="shared" si="78"/>
        <v>327</v>
      </c>
      <c r="Q328" s="5" t="str">
        <f t="shared" si="70"/>
        <v>F</v>
      </c>
      <c r="R328" s="6" t="str">
        <f t="shared" si="71"/>
        <v>J</v>
      </c>
      <c r="S328" s="6" t="str">
        <f t="shared" si="72"/>
        <v>B</v>
      </c>
      <c r="T328" s="6" t="str">
        <f t="shared" si="73"/>
        <v>D</v>
      </c>
      <c r="U328" s="6" t="str">
        <f t="shared" si="74"/>
        <v>A</v>
      </c>
      <c r="V328" s="6" t="str">
        <f t="shared" si="75"/>
        <v>G</v>
      </c>
      <c r="W328" s="6" t="str">
        <f t="shared" si="76"/>
        <v>L</v>
      </c>
      <c r="X328" s="6" t="str">
        <f t="shared" si="77"/>
        <v>I</v>
      </c>
      <c r="Y328" s="8">
        <f t="shared" si="79"/>
        <v>7</v>
      </c>
    </row>
    <row r="329" spans="1:25" x14ac:dyDescent="0.2">
      <c r="A329" t="s">
        <v>663</v>
      </c>
      <c r="F329">
        <v>328</v>
      </c>
      <c r="G329" t="s">
        <v>327</v>
      </c>
      <c r="H329" t="s">
        <v>325</v>
      </c>
      <c r="I329" t="s">
        <v>336</v>
      </c>
      <c r="J329" t="s">
        <v>335</v>
      </c>
      <c r="K329" t="s">
        <v>333</v>
      </c>
      <c r="L329" t="s">
        <v>329</v>
      </c>
      <c r="M329" t="s">
        <v>326</v>
      </c>
      <c r="N329" t="s">
        <v>331</v>
      </c>
      <c r="P329">
        <f t="shared" si="78"/>
        <v>328</v>
      </c>
      <c r="Q329" s="5" t="str">
        <f t="shared" si="70"/>
        <v>F</v>
      </c>
      <c r="R329" s="6" t="str">
        <f t="shared" si="71"/>
        <v>J</v>
      </c>
      <c r="S329" s="6" t="str">
        <f t="shared" si="72"/>
        <v>B</v>
      </c>
      <c r="T329" s="6" t="str">
        <f t="shared" si="73"/>
        <v>D</v>
      </c>
      <c r="U329" s="6" t="str">
        <f t="shared" si="74"/>
        <v>A</v>
      </c>
      <c r="V329" s="6" t="str">
        <f t="shared" si="75"/>
        <v>G</v>
      </c>
      <c r="W329" s="6" t="str">
        <f t="shared" si="76"/>
        <v>I</v>
      </c>
      <c r="X329" s="6" t="str">
        <f t="shared" si="77"/>
        <v>K</v>
      </c>
      <c r="Y329" s="8">
        <f t="shared" si="79"/>
        <v>6</v>
      </c>
    </row>
    <row r="330" spans="1:25" x14ac:dyDescent="0.2">
      <c r="A330" t="s">
        <v>664</v>
      </c>
      <c r="F330">
        <v>329</v>
      </c>
      <c r="G330" t="s">
        <v>328</v>
      </c>
      <c r="H330" t="s">
        <v>329</v>
      </c>
      <c r="I330" t="s">
        <v>336</v>
      </c>
      <c r="J330" t="s">
        <v>335</v>
      </c>
      <c r="K330" t="s">
        <v>333</v>
      </c>
      <c r="L330" t="s">
        <v>327</v>
      </c>
      <c r="M330" t="s">
        <v>330</v>
      </c>
      <c r="N330" t="s">
        <v>331</v>
      </c>
      <c r="P330">
        <f t="shared" si="78"/>
        <v>329</v>
      </c>
      <c r="Q330" s="5" t="str">
        <f t="shared" si="70"/>
        <v>H</v>
      </c>
      <c r="R330" s="6" t="str">
        <f t="shared" si="71"/>
        <v>G</v>
      </c>
      <c r="S330" s="6" t="str">
        <f t="shared" si="72"/>
        <v>B</v>
      </c>
      <c r="T330" s="6" t="str">
        <f t="shared" si="73"/>
        <v>D</v>
      </c>
      <c r="U330" s="6" t="str">
        <f t="shared" si="74"/>
        <v>A</v>
      </c>
      <c r="V330" s="6" t="str">
        <f t="shared" si="75"/>
        <v>F</v>
      </c>
      <c r="W330" s="6" t="str">
        <f t="shared" si="76"/>
        <v>L</v>
      </c>
      <c r="X330" s="6" t="str">
        <f t="shared" si="77"/>
        <v>K</v>
      </c>
      <c r="Y330" s="8">
        <f t="shared" si="79"/>
        <v>5</v>
      </c>
    </row>
    <row r="331" spans="1:25" x14ac:dyDescent="0.2">
      <c r="A331" t="s">
        <v>665</v>
      </c>
      <c r="F331">
        <v>330</v>
      </c>
      <c r="G331" t="s">
        <v>328</v>
      </c>
      <c r="H331" t="s">
        <v>329</v>
      </c>
      <c r="I331" t="s">
        <v>336</v>
      </c>
      <c r="J331" t="s">
        <v>335</v>
      </c>
      <c r="K331" t="s">
        <v>333</v>
      </c>
      <c r="L331" t="s">
        <v>327</v>
      </c>
      <c r="M331" t="s">
        <v>330</v>
      </c>
      <c r="N331" t="s">
        <v>325</v>
      </c>
      <c r="P331">
        <f t="shared" si="78"/>
        <v>330</v>
      </c>
      <c r="Q331" s="5" t="str">
        <f t="shared" si="70"/>
        <v>H</v>
      </c>
      <c r="R331" s="6" t="str">
        <f t="shared" si="71"/>
        <v>G</v>
      </c>
      <c r="S331" s="6" t="str">
        <f t="shared" si="72"/>
        <v>B</v>
      </c>
      <c r="T331" s="6" t="str">
        <f t="shared" si="73"/>
        <v>D</v>
      </c>
      <c r="U331" s="6" t="str">
        <f t="shared" si="74"/>
        <v>A</v>
      </c>
      <c r="V331" s="6" t="str">
        <f t="shared" si="75"/>
        <v>F</v>
      </c>
      <c r="W331" s="6" t="str">
        <f t="shared" si="76"/>
        <v>L</v>
      </c>
      <c r="X331" s="6" t="str">
        <f t="shared" si="77"/>
        <v>J</v>
      </c>
      <c r="Y331" s="8">
        <f t="shared" si="79"/>
        <v>6</v>
      </c>
    </row>
    <row r="332" spans="1:25" x14ac:dyDescent="0.2">
      <c r="A332" t="s">
        <v>666</v>
      </c>
      <c r="F332">
        <v>331</v>
      </c>
      <c r="G332" t="s">
        <v>328</v>
      </c>
      <c r="H332" t="s">
        <v>329</v>
      </c>
      <c r="I332" t="s">
        <v>336</v>
      </c>
      <c r="J332" t="s">
        <v>335</v>
      </c>
      <c r="K332" t="s">
        <v>333</v>
      </c>
      <c r="L332" t="s">
        <v>327</v>
      </c>
      <c r="M332" t="s">
        <v>325</v>
      </c>
      <c r="N332" t="s">
        <v>331</v>
      </c>
      <c r="P332">
        <f t="shared" si="78"/>
        <v>331</v>
      </c>
      <c r="Q332" s="5" t="str">
        <f t="shared" si="70"/>
        <v>H</v>
      </c>
      <c r="R332" s="6" t="str">
        <f t="shared" si="71"/>
        <v>G</v>
      </c>
      <c r="S332" s="6" t="str">
        <f t="shared" si="72"/>
        <v>B</v>
      </c>
      <c r="T332" s="6" t="str">
        <f t="shared" si="73"/>
        <v>D</v>
      </c>
      <c r="U332" s="6" t="str">
        <f t="shared" si="74"/>
        <v>A</v>
      </c>
      <c r="V332" s="6" t="str">
        <f t="shared" si="75"/>
        <v>F</v>
      </c>
      <c r="W332" s="6" t="str">
        <f t="shared" si="76"/>
        <v>J</v>
      </c>
      <c r="X332" s="6" t="str">
        <f t="shared" si="77"/>
        <v>K</v>
      </c>
      <c r="Y332" s="8">
        <f t="shared" si="79"/>
        <v>5</v>
      </c>
    </row>
    <row r="333" spans="1:25" x14ac:dyDescent="0.2">
      <c r="A333" t="s">
        <v>667</v>
      </c>
      <c r="F333">
        <v>332</v>
      </c>
      <c r="G333" t="s">
        <v>328</v>
      </c>
      <c r="H333" t="s">
        <v>329</v>
      </c>
      <c r="I333" t="s">
        <v>336</v>
      </c>
      <c r="J333" t="s">
        <v>335</v>
      </c>
      <c r="K333" t="s">
        <v>333</v>
      </c>
      <c r="L333" t="s">
        <v>327</v>
      </c>
      <c r="M333" t="s">
        <v>330</v>
      </c>
      <c r="N333" t="s">
        <v>326</v>
      </c>
      <c r="P333">
        <f t="shared" si="78"/>
        <v>332</v>
      </c>
      <c r="Q333" s="5" t="str">
        <f t="shared" si="70"/>
        <v>H</v>
      </c>
      <c r="R333" s="6" t="str">
        <f t="shared" si="71"/>
        <v>G</v>
      </c>
      <c r="S333" s="6" t="str">
        <f t="shared" si="72"/>
        <v>B</v>
      </c>
      <c r="T333" s="6" t="str">
        <f t="shared" si="73"/>
        <v>D</v>
      </c>
      <c r="U333" s="6" t="str">
        <f t="shared" si="74"/>
        <v>A</v>
      </c>
      <c r="V333" s="6" t="str">
        <f t="shared" si="75"/>
        <v>F</v>
      </c>
      <c r="W333" s="6" t="str">
        <f t="shared" si="76"/>
        <v>L</v>
      </c>
      <c r="X333" s="6" t="str">
        <f t="shared" si="77"/>
        <v>I</v>
      </c>
      <c r="Y333" s="8">
        <f t="shared" si="79"/>
        <v>6</v>
      </c>
    </row>
    <row r="334" spans="1:25" x14ac:dyDescent="0.2">
      <c r="A334" t="s">
        <v>668</v>
      </c>
      <c r="F334">
        <v>333</v>
      </c>
      <c r="G334" t="s">
        <v>328</v>
      </c>
      <c r="H334" t="s">
        <v>329</v>
      </c>
      <c r="I334" t="s">
        <v>336</v>
      </c>
      <c r="J334" t="s">
        <v>335</v>
      </c>
      <c r="K334" t="s">
        <v>333</v>
      </c>
      <c r="L334" t="s">
        <v>327</v>
      </c>
      <c r="M334" t="s">
        <v>326</v>
      </c>
      <c r="N334" t="s">
        <v>331</v>
      </c>
      <c r="P334">
        <f t="shared" si="78"/>
        <v>333</v>
      </c>
      <c r="Q334" s="5" t="str">
        <f t="shared" si="70"/>
        <v>H</v>
      </c>
      <c r="R334" s="6" t="str">
        <f t="shared" si="71"/>
        <v>G</v>
      </c>
      <c r="S334" s="6" t="str">
        <f t="shared" si="72"/>
        <v>B</v>
      </c>
      <c r="T334" s="6" t="str">
        <f t="shared" si="73"/>
        <v>D</v>
      </c>
      <c r="U334" s="6" t="str">
        <f t="shared" si="74"/>
        <v>A</v>
      </c>
      <c r="V334" s="6" t="str">
        <f t="shared" si="75"/>
        <v>F</v>
      </c>
      <c r="W334" s="6" t="str">
        <f t="shared" si="76"/>
        <v>I</v>
      </c>
      <c r="X334" s="6" t="str">
        <f t="shared" si="77"/>
        <v>K</v>
      </c>
      <c r="Y334" s="8">
        <f t="shared" si="79"/>
        <v>5</v>
      </c>
    </row>
    <row r="335" spans="1:25" x14ac:dyDescent="0.2">
      <c r="A335" t="s">
        <v>669</v>
      </c>
      <c r="F335">
        <v>334</v>
      </c>
      <c r="G335" t="s">
        <v>328</v>
      </c>
      <c r="H335" t="s">
        <v>329</v>
      </c>
      <c r="I335" t="s">
        <v>336</v>
      </c>
      <c r="J335" t="s">
        <v>335</v>
      </c>
      <c r="K335" t="s">
        <v>333</v>
      </c>
      <c r="L335" t="s">
        <v>327</v>
      </c>
      <c r="M335" t="s">
        <v>326</v>
      </c>
      <c r="N335" t="s">
        <v>325</v>
      </c>
      <c r="P335">
        <f t="shared" si="78"/>
        <v>334</v>
      </c>
      <c r="Q335" s="5" t="str">
        <f t="shared" si="70"/>
        <v>H</v>
      </c>
      <c r="R335" s="6" t="str">
        <f t="shared" si="71"/>
        <v>G</v>
      </c>
      <c r="S335" s="6" t="str">
        <f t="shared" si="72"/>
        <v>B</v>
      </c>
      <c r="T335" s="6" t="str">
        <f t="shared" si="73"/>
        <v>D</v>
      </c>
      <c r="U335" s="6" t="str">
        <f t="shared" si="74"/>
        <v>A</v>
      </c>
      <c r="V335" s="6" t="str">
        <f t="shared" si="75"/>
        <v>F</v>
      </c>
      <c r="W335" s="6" t="str">
        <f t="shared" si="76"/>
        <v>I</v>
      </c>
      <c r="X335" s="6" t="str">
        <f t="shared" si="77"/>
        <v>J</v>
      </c>
      <c r="Y335" s="8">
        <f t="shared" si="79"/>
        <v>6</v>
      </c>
    </row>
    <row r="336" spans="1:25" x14ac:dyDescent="0.2">
      <c r="A336" t="s">
        <v>670</v>
      </c>
      <c r="F336">
        <v>335</v>
      </c>
      <c r="G336" t="s">
        <v>324</v>
      </c>
      <c r="H336" t="s">
        <v>325</v>
      </c>
      <c r="I336" t="s">
        <v>336</v>
      </c>
      <c r="J336" t="s">
        <v>333</v>
      </c>
      <c r="K336" t="s">
        <v>326</v>
      </c>
      <c r="L336" t="s">
        <v>335</v>
      </c>
      <c r="M336" t="s">
        <v>330</v>
      </c>
      <c r="N336" t="s">
        <v>331</v>
      </c>
      <c r="P336">
        <f t="shared" si="78"/>
        <v>335</v>
      </c>
      <c r="Q336" s="5" t="str">
        <f t="shared" si="70"/>
        <v>E</v>
      </c>
      <c r="R336" s="6" t="str">
        <f t="shared" si="71"/>
        <v>J</v>
      </c>
      <c r="S336" s="6" t="str">
        <f t="shared" si="72"/>
        <v>B</v>
      </c>
      <c r="T336" s="6" t="str">
        <f t="shared" si="73"/>
        <v>A</v>
      </c>
      <c r="U336" s="6" t="str">
        <f t="shared" si="74"/>
        <v>I</v>
      </c>
      <c r="V336" s="6" t="str">
        <f t="shared" si="75"/>
        <v>D</v>
      </c>
      <c r="W336" s="6" t="str">
        <f t="shared" si="76"/>
        <v>L</v>
      </c>
      <c r="X336" s="6" t="str">
        <f t="shared" si="77"/>
        <v>K</v>
      </c>
      <c r="Y336" s="8">
        <f t="shared" si="79"/>
        <v>6</v>
      </c>
    </row>
    <row r="337" spans="1:25" x14ac:dyDescent="0.2">
      <c r="A337" t="s">
        <v>671</v>
      </c>
      <c r="F337">
        <v>336</v>
      </c>
      <c r="G337" t="s">
        <v>324</v>
      </c>
      <c r="H337" t="s">
        <v>325</v>
      </c>
      <c r="I337" t="s">
        <v>336</v>
      </c>
      <c r="J337" t="s">
        <v>335</v>
      </c>
      <c r="K337" t="s">
        <v>333</v>
      </c>
      <c r="L337" t="s">
        <v>328</v>
      </c>
      <c r="M337" t="s">
        <v>330</v>
      </c>
      <c r="N337" t="s">
        <v>331</v>
      </c>
      <c r="P337">
        <f t="shared" si="78"/>
        <v>336</v>
      </c>
      <c r="Q337" s="5" t="str">
        <f t="shared" si="70"/>
        <v>E</v>
      </c>
      <c r="R337" s="6" t="str">
        <f t="shared" si="71"/>
        <v>J</v>
      </c>
      <c r="S337" s="6" t="str">
        <f t="shared" si="72"/>
        <v>B</v>
      </c>
      <c r="T337" s="6" t="str">
        <f t="shared" si="73"/>
        <v>D</v>
      </c>
      <c r="U337" s="6" t="str">
        <f t="shared" si="74"/>
        <v>A</v>
      </c>
      <c r="V337" s="6" t="str">
        <f t="shared" si="75"/>
        <v>H</v>
      </c>
      <c r="W337" s="6" t="str">
        <f t="shared" si="76"/>
        <v>L</v>
      </c>
      <c r="X337" s="6" t="str">
        <f t="shared" si="77"/>
        <v>K</v>
      </c>
      <c r="Y337" s="8">
        <f t="shared" si="79"/>
        <v>5</v>
      </c>
    </row>
    <row r="338" spans="1:25" x14ac:dyDescent="0.2">
      <c r="A338" t="s">
        <v>672</v>
      </c>
      <c r="F338">
        <v>337</v>
      </c>
      <c r="G338" t="s">
        <v>324</v>
      </c>
      <c r="H338" t="s">
        <v>326</v>
      </c>
      <c r="I338" t="s">
        <v>336</v>
      </c>
      <c r="J338" t="s">
        <v>335</v>
      </c>
      <c r="K338" t="s">
        <v>333</v>
      </c>
      <c r="L338" t="s">
        <v>328</v>
      </c>
      <c r="M338" t="s">
        <v>330</v>
      </c>
      <c r="N338" t="s">
        <v>331</v>
      </c>
      <c r="P338">
        <f t="shared" si="78"/>
        <v>337</v>
      </c>
      <c r="Q338" s="5" t="str">
        <f t="shared" si="70"/>
        <v>E</v>
      </c>
      <c r="R338" s="6" t="str">
        <f t="shared" si="71"/>
        <v>I</v>
      </c>
      <c r="S338" s="6" t="str">
        <f t="shared" si="72"/>
        <v>B</v>
      </c>
      <c r="T338" s="6" t="str">
        <f t="shared" si="73"/>
        <v>D</v>
      </c>
      <c r="U338" s="6" t="str">
        <f t="shared" si="74"/>
        <v>A</v>
      </c>
      <c r="V338" s="6" t="str">
        <f t="shared" si="75"/>
        <v>H</v>
      </c>
      <c r="W338" s="6" t="str">
        <f t="shared" si="76"/>
        <v>L</v>
      </c>
      <c r="X338" s="6" t="str">
        <f t="shared" si="77"/>
        <v>K</v>
      </c>
      <c r="Y338" s="8">
        <f t="shared" si="79"/>
        <v>5</v>
      </c>
    </row>
    <row r="339" spans="1:25" x14ac:dyDescent="0.2">
      <c r="A339" t="s">
        <v>673</v>
      </c>
      <c r="F339">
        <v>338</v>
      </c>
      <c r="G339" t="s">
        <v>324</v>
      </c>
      <c r="H339" t="s">
        <v>325</v>
      </c>
      <c r="I339" t="s">
        <v>336</v>
      </c>
      <c r="J339" t="s">
        <v>335</v>
      </c>
      <c r="K339" t="s">
        <v>333</v>
      </c>
      <c r="L339" t="s">
        <v>328</v>
      </c>
      <c r="M339" t="s">
        <v>330</v>
      </c>
      <c r="N339" t="s">
        <v>326</v>
      </c>
      <c r="P339">
        <f t="shared" si="78"/>
        <v>338</v>
      </c>
      <c r="Q339" s="5" t="str">
        <f t="shared" si="70"/>
        <v>E</v>
      </c>
      <c r="R339" s="6" t="str">
        <f t="shared" si="71"/>
        <v>J</v>
      </c>
      <c r="S339" s="6" t="str">
        <f t="shared" si="72"/>
        <v>B</v>
      </c>
      <c r="T339" s="6" t="str">
        <f t="shared" si="73"/>
        <v>D</v>
      </c>
      <c r="U339" s="6" t="str">
        <f t="shared" si="74"/>
        <v>A</v>
      </c>
      <c r="V339" s="6" t="str">
        <f t="shared" si="75"/>
        <v>H</v>
      </c>
      <c r="W339" s="6" t="str">
        <f t="shared" si="76"/>
        <v>L</v>
      </c>
      <c r="X339" s="6" t="str">
        <f t="shared" si="77"/>
        <v>I</v>
      </c>
      <c r="Y339" s="8">
        <f t="shared" si="79"/>
        <v>6</v>
      </c>
    </row>
    <row r="340" spans="1:25" x14ac:dyDescent="0.2">
      <c r="A340" t="s">
        <v>674</v>
      </c>
      <c r="F340">
        <v>339</v>
      </c>
      <c r="G340" t="s">
        <v>324</v>
      </c>
      <c r="H340" t="s">
        <v>325</v>
      </c>
      <c r="I340" t="s">
        <v>336</v>
      </c>
      <c r="J340" t="s">
        <v>335</v>
      </c>
      <c r="K340" t="s">
        <v>333</v>
      </c>
      <c r="L340" t="s">
        <v>328</v>
      </c>
      <c r="M340" t="s">
        <v>326</v>
      </c>
      <c r="N340" t="s">
        <v>331</v>
      </c>
      <c r="P340">
        <f t="shared" si="78"/>
        <v>339</v>
      </c>
      <c r="Q340" s="5" t="str">
        <f t="shared" si="70"/>
        <v>E</v>
      </c>
      <c r="R340" s="6" t="str">
        <f t="shared" si="71"/>
        <v>J</v>
      </c>
      <c r="S340" s="6" t="str">
        <f t="shared" si="72"/>
        <v>B</v>
      </c>
      <c r="T340" s="6" t="str">
        <f t="shared" si="73"/>
        <v>D</v>
      </c>
      <c r="U340" s="6" t="str">
        <f t="shared" si="74"/>
        <v>A</v>
      </c>
      <c r="V340" s="6" t="str">
        <f t="shared" si="75"/>
        <v>H</v>
      </c>
      <c r="W340" s="6" t="str">
        <f t="shared" si="76"/>
        <v>I</v>
      </c>
      <c r="X340" s="6" t="str">
        <f t="shared" si="77"/>
        <v>K</v>
      </c>
      <c r="Y340" s="8">
        <f t="shared" si="79"/>
        <v>5</v>
      </c>
    </row>
    <row r="341" spans="1:25" x14ac:dyDescent="0.2">
      <c r="A341" t="s">
        <v>675</v>
      </c>
      <c r="F341">
        <v>340</v>
      </c>
      <c r="G341" t="s">
        <v>324</v>
      </c>
      <c r="H341" t="s">
        <v>325</v>
      </c>
      <c r="I341" t="s">
        <v>336</v>
      </c>
      <c r="J341" t="s">
        <v>335</v>
      </c>
      <c r="K341" t="s">
        <v>333</v>
      </c>
      <c r="L341" t="s">
        <v>329</v>
      </c>
      <c r="M341" t="s">
        <v>330</v>
      </c>
      <c r="N341" t="s">
        <v>331</v>
      </c>
      <c r="P341">
        <f t="shared" si="78"/>
        <v>340</v>
      </c>
      <c r="Q341" s="5" t="str">
        <f t="shared" si="70"/>
        <v>E</v>
      </c>
      <c r="R341" s="6" t="str">
        <f t="shared" si="71"/>
        <v>J</v>
      </c>
      <c r="S341" s="6" t="str">
        <f t="shared" si="72"/>
        <v>B</v>
      </c>
      <c r="T341" s="6" t="str">
        <f t="shared" si="73"/>
        <v>D</v>
      </c>
      <c r="U341" s="6" t="str">
        <f t="shared" si="74"/>
        <v>A</v>
      </c>
      <c r="V341" s="6" t="str">
        <f t="shared" si="75"/>
        <v>G</v>
      </c>
      <c r="W341" s="6" t="str">
        <f t="shared" si="76"/>
        <v>L</v>
      </c>
      <c r="X341" s="6" t="str">
        <f t="shared" si="77"/>
        <v>K</v>
      </c>
      <c r="Y341" s="8">
        <f t="shared" si="79"/>
        <v>6</v>
      </c>
    </row>
    <row r="342" spans="1:25" x14ac:dyDescent="0.2">
      <c r="A342" t="s">
        <v>676</v>
      </c>
      <c r="F342">
        <v>341</v>
      </c>
      <c r="G342" t="s">
        <v>324</v>
      </c>
      <c r="H342" t="s">
        <v>329</v>
      </c>
      <c r="I342" t="s">
        <v>336</v>
      </c>
      <c r="J342" t="s">
        <v>333</v>
      </c>
      <c r="K342" t="s">
        <v>326</v>
      </c>
      <c r="L342" t="s">
        <v>335</v>
      </c>
      <c r="M342" t="s">
        <v>330</v>
      </c>
      <c r="N342" t="s">
        <v>331</v>
      </c>
      <c r="P342">
        <f t="shared" si="78"/>
        <v>341</v>
      </c>
      <c r="Q342" s="5" t="str">
        <f t="shared" si="70"/>
        <v>E</v>
      </c>
      <c r="R342" s="6" t="str">
        <f t="shared" si="71"/>
        <v>G</v>
      </c>
      <c r="S342" s="6" t="str">
        <f t="shared" si="72"/>
        <v>B</v>
      </c>
      <c r="T342" s="6" t="str">
        <f t="shared" si="73"/>
        <v>A</v>
      </c>
      <c r="U342" s="6" t="str">
        <f t="shared" si="74"/>
        <v>I</v>
      </c>
      <c r="V342" s="6" t="str">
        <f t="shared" si="75"/>
        <v>D</v>
      </c>
      <c r="W342" s="6" t="str">
        <f t="shared" si="76"/>
        <v>L</v>
      </c>
      <c r="X342" s="6" t="str">
        <f t="shared" si="77"/>
        <v>K</v>
      </c>
      <c r="Y342" s="8">
        <f t="shared" si="79"/>
        <v>6</v>
      </c>
    </row>
    <row r="343" spans="1:25" x14ac:dyDescent="0.2">
      <c r="A343" t="s">
        <v>677</v>
      </c>
      <c r="F343">
        <v>342</v>
      </c>
      <c r="G343" t="s">
        <v>324</v>
      </c>
      <c r="H343" t="s">
        <v>325</v>
      </c>
      <c r="I343" t="s">
        <v>336</v>
      </c>
      <c r="J343" t="s">
        <v>335</v>
      </c>
      <c r="K343" t="s">
        <v>333</v>
      </c>
      <c r="L343" t="s">
        <v>329</v>
      </c>
      <c r="M343" t="s">
        <v>330</v>
      </c>
      <c r="N343" t="s">
        <v>326</v>
      </c>
      <c r="P343">
        <f t="shared" si="78"/>
        <v>342</v>
      </c>
      <c r="Q343" s="5" t="str">
        <f t="shared" si="70"/>
        <v>E</v>
      </c>
      <c r="R343" s="6" t="str">
        <f t="shared" si="71"/>
        <v>J</v>
      </c>
      <c r="S343" s="6" t="str">
        <f t="shared" si="72"/>
        <v>B</v>
      </c>
      <c r="T343" s="6" t="str">
        <f t="shared" si="73"/>
        <v>D</v>
      </c>
      <c r="U343" s="6" t="str">
        <f t="shared" si="74"/>
        <v>A</v>
      </c>
      <c r="V343" s="6" t="str">
        <f t="shared" si="75"/>
        <v>G</v>
      </c>
      <c r="W343" s="6" t="str">
        <f t="shared" si="76"/>
        <v>L</v>
      </c>
      <c r="X343" s="6" t="str">
        <f t="shared" si="77"/>
        <v>I</v>
      </c>
      <c r="Y343" s="8">
        <f t="shared" si="79"/>
        <v>7</v>
      </c>
    </row>
    <row r="344" spans="1:25" x14ac:dyDescent="0.2">
      <c r="A344" t="s">
        <v>678</v>
      </c>
      <c r="F344">
        <v>343</v>
      </c>
      <c r="G344" t="s">
        <v>324</v>
      </c>
      <c r="H344" t="s">
        <v>325</v>
      </c>
      <c r="I344" t="s">
        <v>336</v>
      </c>
      <c r="J344" t="s">
        <v>335</v>
      </c>
      <c r="K344" t="s">
        <v>333</v>
      </c>
      <c r="L344" t="s">
        <v>329</v>
      </c>
      <c r="M344" t="s">
        <v>326</v>
      </c>
      <c r="N344" t="s">
        <v>331</v>
      </c>
      <c r="P344">
        <f t="shared" si="78"/>
        <v>343</v>
      </c>
      <c r="Q344" s="5" t="str">
        <f t="shared" si="70"/>
        <v>E</v>
      </c>
      <c r="R344" s="6" t="str">
        <f t="shared" si="71"/>
        <v>J</v>
      </c>
      <c r="S344" s="6" t="str">
        <f t="shared" si="72"/>
        <v>B</v>
      </c>
      <c r="T344" s="6" t="str">
        <f t="shared" si="73"/>
        <v>D</v>
      </c>
      <c r="U344" s="6" t="str">
        <f t="shared" si="74"/>
        <v>A</v>
      </c>
      <c r="V344" s="6" t="str">
        <f t="shared" si="75"/>
        <v>G</v>
      </c>
      <c r="W344" s="6" t="str">
        <f t="shared" si="76"/>
        <v>I</v>
      </c>
      <c r="X344" s="6" t="str">
        <f t="shared" si="77"/>
        <v>K</v>
      </c>
      <c r="Y344" s="8">
        <f t="shared" si="79"/>
        <v>6</v>
      </c>
    </row>
    <row r="345" spans="1:25" x14ac:dyDescent="0.2">
      <c r="A345" t="s">
        <v>679</v>
      </c>
      <c r="F345">
        <v>344</v>
      </c>
      <c r="G345" t="s">
        <v>324</v>
      </c>
      <c r="H345" t="s">
        <v>329</v>
      </c>
      <c r="I345" t="s">
        <v>336</v>
      </c>
      <c r="J345" t="s">
        <v>335</v>
      </c>
      <c r="K345" t="s">
        <v>333</v>
      </c>
      <c r="L345" t="s">
        <v>328</v>
      </c>
      <c r="M345" t="s">
        <v>330</v>
      </c>
      <c r="N345" t="s">
        <v>331</v>
      </c>
      <c r="P345">
        <f t="shared" si="78"/>
        <v>344</v>
      </c>
      <c r="Q345" s="5" t="str">
        <f t="shared" si="70"/>
        <v>E</v>
      </c>
      <c r="R345" s="6" t="str">
        <f t="shared" si="71"/>
        <v>G</v>
      </c>
      <c r="S345" s="6" t="str">
        <f t="shared" si="72"/>
        <v>B</v>
      </c>
      <c r="T345" s="6" t="str">
        <f t="shared" si="73"/>
        <v>D</v>
      </c>
      <c r="U345" s="6" t="str">
        <f t="shared" si="74"/>
        <v>A</v>
      </c>
      <c r="V345" s="6" t="str">
        <f t="shared" si="75"/>
        <v>H</v>
      </c>
      <c r="W345" s="6" t="str">
        <f t="shared" si="76"/>
        <v>L</v>
      </c>
      <c r="X345" s="6" t="str">
        <f t="shared" si="77"/>
        <v>K</v>
      </c>
      <c r="Y345" s="8">
        <f t="shared" si="79"/>
        <v>5</v>
      </c>
    </row>
    <row r="346" spans="1:25" x14ac:dyDescent="0.2">
      <c r="A346" t="s">
        <v>680</v>
      </c>
      <c r="F346">
        <v>345</v>
      </c>
      <c r="G346" t="s">
        <v>328</v>
      </c>
      <c r="H346" t="s">
        <v>325</v>
      </c>
      <c r="I346" t="s">
        <v>336</v>
      </c>
      <c r="J346" t="s">
        <v>335</v>
      </c>
      <c r="K346" t="s">
        <v>333</v>
      </c>
      <c r="L346" t="s">
        <v>329</v>
      </c>
      <c r="M346" t="s">
        <v>330</v>
      </c>
      <c r="N346" t="s">
        <v>324</v>
      </c>
      <c r="P346">
        <f t="shared" si="78"/>
        <v>345</v>
      </c>
      <c r="Q346" s="5" t="str">
        <f t="shared" si="70"/>
        <v>H</v>
      </c>
      <c r="R346" s="6" t="str">
        <f t="shared" si="71"/>
        <v>J</v>
      </c>
      <c r="S346" s="6" t="str">
        <f t="shared" si="72"/>
        <v>B</v>
      </c>
      <c r="T346" s="6" t="str">
        <f t="shared" si="73"/>
        <v>D</v>
      </c>
      <c r="U346" s="6" t="str">
        <f t="shared" si="74"/>
        <v>A</v>
      </c>
      <c r="V346" s="6" t="str">
        <f t="shared" si="75"/>
        <v>G</v>
      </c>
      <c r="W346" s="6" t="str">
        <f t="shared" si="76"/>
        <v>L</v>
      </c>
      <c r="X346" s="6" t="str">
        <f t="shared" si="77"/>
        <v>E</v>
      </c>
      <c r="Y346" s="8">
        <f t="shared" si="79"/>
        <v>6</v>
      </c>
    </row>
    <row r="347" spans="1:25" x14ac:dyDescent="0.2">
      <c r="A347" t="s">
        <v>681</v>
      </c>
      <c r="F347">
        <v>346</v>
      </c>
      <c r="G347" t="s">
        <v>328</v>
      </c>
      <c r="H347" t="s">
        <v>325</v>
      </c>
      <c r="I347" t="s">
        <v>336</v>
      </c>
      <c r="J347" t="s">
        <v>335</v>
      </c>
      <c r="K347" t="s">
        <v>333</v>
      </c>
      <c r="L347" t="s">
        <v>329</v>
      </c>
      <c r="M347" t="s">
        <v>324</v>
      </c>
      <c r="N347" t="s">
        <v>331</v>
      </c>
      <c r="P347">
        <f t="shared" si="78"/>
        <v>346</v>
      </c>
      <c r="Q347" s="5" t="str">
        <f t="shared" si="70"/>
        <v>H</v>
      </c>
      <c r="R347" s="6" t="str">
        <f t="shared" si="71"/>
        <v>J</v>
      </c>
      <c r="S347" s="6" t="str">
        <f t="shared" si="72"/>
        <v>B</v>
      </c>
      <c r="T347" s="6" t="str">
        <f t="shared" si="73"/>
        <v>D</v>
      </c>
      <c r="U347" s="6" t="str">
        <f t="shared" si="74"/>
        <v>A</v>
      </c>
      <c r="V347" s="6" t="str">
        <f t="shared" si="75"/>
        <v>G</v>
      </c>
      <c r="W347" s="6" t="str">
        <f t="shared" si="76"/>
        <v>E</v>
      </c>
      <c r="X347" s="6" t="str">
        <f t="shared" si="77"/>
        <v>K</v>
      </c>
      <c r="Y347" s="8">
        <f t="shared" si="79"/>
        <v>5</v>
      </c>
    </row>
    <row r="348" spans="1:25" x14ac:dyDescent="0.2">
      <c r="A348" t="s">
        <v>682</v>
      </c>
      <c r="F348">
        <v>347</v>
      </c>
      <c r="G348" t="s">
        <v>324</v>
      </c>
      <c r="H348" t="s">
        <v>329</v>
      </c>
      <c r="I348" t="s">
        <v>336</v>
      </c>
      <c r="J348" t="s">
        <v>335</v>
      </c>
      <c r="K348" t="s">
        <v>333</v>
      </c>
      <c r="L348" t="s">
        <v>328</v>
      </c>
      <c r="M348" t="s">
        <v>330</v>
      </c>
      <c r="N348" t="s">
        <v>326</v>
      </c>
      <c r="P348">
        <f t="shared" si="78"/>
        <v>347</v>
      </c>
      <c r="Q348" s="5" t="str">
        <f t="shared" si="70"/>
        <v>E</v>
      </c>
      <c r="R348" s="6" t="str">
        <f t="shared" si="71"/>
        <v>G</v>
      </c>
      <c r="S348" s="6" t="str">
        <f t="shared" si="72"/>
        <v>B</v>
      </c>
      <c r="T348" s="6" t="str">
        <f t="shared" si="73"/>
        <v>D</v>
      </c>
      <c r="U348" s="6" t="str">
        <f t="shared" si="74"/>
        <v>A</v>
      </c>
      <c r="V348" s="6" t="str">
        <f t="shared" si="75"/>
        <v>H</v>
      </c>
      <c r="W348" s="6" t="str">
        <f t="shared" si="76"/>
        <v>L</v>
      </c>
      <c r="X348" s="6" t="str">
        <f t="shared" si="77"/>
        <v>I</v>
      </c>
      <c r="Y348" s="8">
        <f t="shared" si="79"/>
        <v>6</v>
      </c>
    </row>
    <row r="349" spans="1:25" x14ac:dyDescent="0.2">
      <c r="A349" t="s">
        <v>683</v>
      </c>
      <c r="F349">
        <v>348</v>
      </c>
      <c r="G349" t="s">
        <v>324</v>
      </c>
      <c r="H349" t="s">
        <v>329</v>
      </c>
      <c r="I349" t="s">
        <v>336</v>
      </c>
      <c r="J349" t="s">
        <v>335</v>
      </c>
      <c r="K349" t="s">
        <v>333</v>
      </c>
      <c r="L349" t="s">
        <v>328</v>
      </c>
      <c r="M349" t="s">
        <v>326</v>
      </c>
      <c r="N349" t="s">
        <v>331</v>
      </c>
      <c r="P349">
        <f t="shared" si="78"/>
        <v>348</v>
      </c>
      <c r="Q349" s="5" t="str">
        <f t="shared" si="70"/>
        <v>E</v>
      </c>
      <c r="R349" s="6" t="str">
        <f t="shared" si="71"/>
        <v>G</v>
      </c>
      <c r="S349" s="6" t="str">
        <f t="shared" si="72"/>
        <v>B</v>
      </c>
      <c r="T349" s="6" t="str">
        <f t="shared" si="73"/>
        <v>D</v>
      </c>
      <c r="U349" s="6" t="str">
        <f t="shared" si="74"/>
        <v>A</v>
      </c>
      <c r="V349" s="6" t="str">
        <f t="shared" si="75"/>
        <v>H</v>
      </c>
      <c r="W349" s="6" t="str">
        <f t="shared" si="76"/>
        <v>I</v>
      </c>
      <c r="X349" s="6" t="str">
        <f t="shared" si="77"/>
        <v>K</v>
      </c>
      <c r="Y349" s="8">
        <f t="shared" si="79"/>
        <v>5</v>
      </c>
    </row>
    <row r="350" spans="1:25" x14ac:dyDescent="0.2">
      <c r="A350" t="s">
        <v>684</v>
      </c>
      <c r="F350">
        <v>349</v>
      </c>
      <c r="G350" t="s">
        <v>328</v>
      </c>
      <c r="H350" t="s">
        <v>325</v>
      </c>
      <c r="I350" t="s">
        <v>336</v>
      </c>
      <c r="J350" t="s">
        <v>335</v>
      </c>
      <c r="K350" t="s">
        <v>333</v>
      </c>
      <c r="L350" t="s">
        <v>329</v>
      </c>
      <c r="M350" t="s">
        <v>324</v>
      </c>
      <c r="N350" t="s">
        <v>326</v>
      </c>
      <c r="P350">
        <f t="shared" si="78"/>
        <v>349</v>
      </c>
      <c r="Q350" s="5" t="str">
        <f t="shared" si="70"/>
        <v>H</v>
      </c>
      <c r="R350" s="6" t="str">
        <f t="shared" si="71"/>
        <v>J</v>
      </c>
      <c r="S350" s="6" t="str">
        <f t="shared" si="72"/>
        <v>B</v>
      </c>
      <c r="T350" s="6" t="str">
        <f t="shared" si="73"/>
        <v>D</v>
      </c>
      <c r="U350" s="6" t="str">
        <f t="shared" si="74"/>
        <v>A</v>
      </c>
      <c r="V350" s="6" t="str">
        <f t="shared" si="75"/>
        <v>G</v>
      </c>
      <c r="W350" s="6" t="str">
        <f t="shared" si="76"/>
        <v>E</v>
      </c>
      <c r="X350" s="6" t="str">
        <f t="shared" si="77"/>
        <v>I</v>
      </c>
      <c r="Y350" s="8">
        <f t="shared" si="79"/>
        <v>6</v>
      </c>
    </row>
    <row r="351" spans="1:25" x14ac:dyDescent="0.2">
      <c r="A351" t="s">
        <v>685</v>
      </c>
      <c r="F351">
        <v>350</v>
      </c>
      <c r="G351" t="s">
        <v>324</v>
      </c>
      <c r="H351" t="s">
        <v>325</v>
      </c>
      <c r="I351" t="s">
        <v>336</v>
      </c>
      <c r="J351" t="s">
        <v>335</v>
      </c>
      <c r="K351" t="s">
        <v>333</v>
      </c>
      <c r="L351" t="s">
        <v>327</v>
      </c>
      <c r="M351" t="s">
        <v>330</v>
      </c>
      <c r="N351" t="s">
        <v>331</v>
      </c>
      <c r="P351">
        <f t="shared" si="78"/>
        <v>350</v>
      </c>
      <c r="Q351" s="5" t="str">
        <f t="shared" si="70"/>
        <v>E</v>
      </c>
      <c r="R351" s="6" t="str">
        <f t="shared" si="71"/>
        <v>J</v>
      </c>
      <c r="S351" s="6" t="str">
        <f t="shared" si="72"/>
        <v>B</v>
      </c>
      <c r="T351" s="6" t="str">
        <f t="shared" si="73"/>
        <v>D</v>
      </c>
      <c r="U351" s="6" t="str">
        <f t="shared" si="74"/>
        <v>A</v>
      </c>
      <c r="V351" s="6" t="str">
        <f t="shared" si="75"/>
        <v>F</v>
      </c>
      <c r="W351" s="6" t="str">
        <f t="shared" si="76"/>
        <v>L</v>
      </c>
      <c r="X351" s="6" t="str">
        <f t="shared" si="77"/>
        <v>K</v>
      </c>
      <c r="Y351" s="8">
        <f t="shared" si="79"/>
        <v>6</v>
      </c>
    </row>
    <row r="352" spans="1:25" x14ac:dyDescent="0.2">
      <c r="A352" t="s">
        <v>686</v>
      </c>
      <c r="F352">
        <v>351</v>
      </c>
      <c r="G352" t="s">
        <v>324</v>
      </c>
      <c r="H352" t="s">
        <v>326</v>
      </c>
      <c r="I352" t="s">
        <v>336</v>
      </c>
      <c r="J352" t="s">
        <v>335</v>
      </c>
      <c r="K352" t="s">
        <v>333</v>
      </c>
      <c r="L352" t="s">
        <v>327</v>
      </c>
      <c r="M352" t="s">
        <v>330</v>
      </c>
      <c r="N352" t="s">
        <v>331</v>
      </c>
      <c r="P352">
        <f t="shared" si="78"/>
        <v>351</v>
      </c>
      <c r="Q352" s="5" t="str">
        <f t="shared" si="70"/>
        <v>E</v>
      </c>
      <c r="R352" s="6" t="str">
        <f t="shared" si="71"/>
        <v>I</v>
      </c>
      <c r="S352" s="6" t="str">
        <f t="shared" si="72"/>
        <v>B</v>
      </c>
      <c r="T352" s="6" t="str">
        <f t="shared" si="73"/>
        <v>D</v>
      </c>
      <c r="U352" s="6" t="str">
        <f t="shared" si="74"/>
        <v>A</v>
      </c>
      <c r="V352" s="6" t="str">
        <f t="shared" si="75"/>
        <v>F</v>
      </c>
      <c r="W352" s="6" t="str">
        <f t="shared" si="76"/>
        <v>L</v>
      </c>
      <c r="X352" s="6" t="str">
        <f t="shared" si="77"/>
        <v>K</v>
      </c>
      <c r="Y352" s="8">
        <f t="shared" si="79"/>
        <v>6</v>
      </c>
    </row>
    <row r="353" spans="1:25" x14ac:dyDescent="0.2">
      <c r="A353" t="s">
        <v>687</v>
      </c>
      <c r="F353">
        <v>352</v>
      </c>
      <c r="G353" t="s">
        <v>324</v>
      </c>
      <c r="H353" t="s">
        <v>325</v>
      </c>
      <c r="I353" t="s">
        <v>336</v>
      </c>
      <c r="J353" t="s">
        <v>335</v>
      </c>
      <c r="K353" t="s">
        <v>333</v>
      </c>
      <c r="L353" t="s">
        <v>327</v>
      </c>
      <c r="M353" t="s">
        <v>330</v>
      </c>
      <c r="N353" t="s">
        <v>326</v>
      </c>
      <c r="P353">
        <f t="shared" si="78"/>
        <v>352</v>
      </c>
      <c r="Q353" s="5" t="str">
        <f t="shared" si="70"/>
        <v>E</v>
      </c>
      <c r="R353" s="6" t="str">
        <f t="shared" si="71"/>
        <v>J</v>
      </c>
      <c r="S353" s="6" t="str">
        <f t="shared" si="72"/>
        <v>B</v>
      </c>
      <c r="T353" s="6" t="str">
        <f t="shared" si="73"/>
        <v>D</v>
      </c>
      <c r="U353" s="6" t="str">
        <f t="shared" si="74"/>
        <v>A</v>
      </c>
      <c r="V353" s="6" t="str">
        <f t="shared" si="75"/>
        <v>F</v>
      </c>
      <c r="W353" s="6" t="str">
        <f t="shared" si="76"/>
        <v>L</v>
      </c>
      <c r="X353" s="6" t="str">
        <f t="shared" si="77"/>
        <v>I</v>
      </c>
      <c r="Y353" s="8">
        <f t="shared" si="79"/>
        <v>7</v>
      </c>
    </row>
    <row r="354" spans="1:25" x14ac:dyDescent="0.2">
      <c r="A354" t="s">
        <v>688</v>
      </c>
      <c r="F354">
        <v>353</v>
      </c>
      <c r="G354" t="s">
        <v>324</v>
      </c>
      <c r="H354" t="s">
        <v>325</v>
      </c>
      <c r="I354" t="s">
        <v>336</v>
      </c>
      <c r="J354" t="s">
        <v>335</v>
      </c>
      <c r="K354" t="s">
        <v>333</v>
      </c>
      <c r="L354" t="s">
        <v>327</v>
      </c>
      <c r="M354" t="s">
        <v>326</v>
      </c>
      <c r="N354" t="s">
        <v>331</v>
      </c>
      <c r="P354">
        <f t="shared" si="78"/>
        <v>353</v>
      </c>
      <c r="Q354" s="5" t="str">
        <f t="shared" si="70"/>
        <v>E</v>
      </c>
      <c r="R354" s="6" t="str">
        <f t="shared" si="71"/>
        <v>J</v>
      </c>
      <c r="S354" s="6" t="str">
        <f t="shared" si="72"/>
        <v>B</v>
      </c>
      <c r="T354" s="6" t="str">
        <f t="shared" si="73"/>
        <v>D</v>
      </c>
      <c r="U354" s="6" t="str">
        <f t="shared" si="74"/>
        <v>A</v>
      </c>
      <c r="V354" s="6" t="str">
        <f t="shared" si="75"/>
        <v>F</v>
      </c>
      <c r="W354" s="6" t="str">
        <f t="shared" si="76"/>
        <v>I</v>
      </c>
      <c r="X354" s="6" t="str">
        <f t="shared" si="77"/>
        <v>K</v>
      </c>
      <c r="Y354" s="8">
        <f t="shared" si="79"/>
        <v>6</v>
      </c>
    </row>
    <row r="355" spans="1:25" x14ac:dyDescent="0.2">
      <c r="A355" t="s">
        <v>689</v>
      </c>
      <c r="F355">
        <v>354</v>
      </c>
      <c r="G355" t="s">
        <v>328</v>
      </c>
      <c r="H355" t="s">
        <v>324</v>
      </c>
      <c r="I355" t="s">
        <v>336</v>
      </c>
      <c r="J355" t="s">
        <v>335</v>
      </c>
      <c r="K355" t="s">
        <v>333</v>
      </c>
      <c r="L355" t="s">
        <v>327</v>
      </c>
      <c r="M355" t="s">
        <v>330</v>
      </c>
      <c r="N355" t="s">
        <v>331</v>
      </c>
      <c r="P355">
        <f t="shared" si="78"/>
        <v>354</v>
      </c>
      <c r="Q355" s="5" t="str">
        <f t="shared" si="70"/>
        <v>H</v>
      </c>
      <c r="R355" s="6" t="str">
        <f t="shared" si="71"/>
        <v>E</v>
      </c>
      <c r="S355" s="6" t="str">
        <f t="shared" si="72"/>
        <v>B</v>
      </c>
      <c r="T355" s="6" t="str">
        <f t="shared" si="73"/>
        <v>D</v>
      </c>
      <c r="U355" s="6" t="str">
        <f t="shared" si="74"/>
        <v>A</v>
      </c>
      <c r="V355" s="6" t="str">
        <f t="shared" si="75"/>
        <v>F</v>
      </c>
      <c r="W355" s="6" t="str">
        <f t="shared" si="76"/>
        <v>L</v>
      </c>
      <c r="X355" s="6" t="str">
        <f t="shared" si="77"/>
        <v>K</v>
      </c>
      <c r="Y355" s="8">
        <f t="shared" si="79"/>
        <v>5</v>
      </c>
    </row>
    <row r="356" spans="1:25" x14ac:dyDescent="0.2">
      <c r="A356" t="s">
        <v>690</v>
      </c>
      <c r="F356">
        <v>355</v>
      </c>
      <c r="G356" t="s">
        <v>328</v>
      </c>
      <c r="H356" t="s">
        <v>325</v>
      </c>
      <c r="I356" t="s">
        <v>336</v>
      </c>
      <c r="J356" t="s">
        <v>335</v>
      </c>
      <c r="K356" t="s">
        <v>333</v>
      </c>
      <c r="L356" t="s">
        <v>327</v>
      </c>
      <c r="M356" t="s">
        <v>330</v>
      </c>
      <c r="N356" t="s">
        <v>324</v>
      </c>
      <c r="P356">
        <f t="shared" si="78"/>
        <v>355</v>
      </c>
      <c r="Q356" s="5" t="str">
        <f t="shared" si="70"/>
        <v>H</v>
      </c>
      <c r="R356" s="6" t="str">
        <f t="shared" si="71"/>
        <v>J</v>
      </c>
      <c r="S356" s="6" t="str">
        <f t="shared" si="72"/>
        <v>B</v>
      </c>
      <c r="T356" s="6" t="str">
        <f t="shared" si="73"/>
        <v>D</v>
      </c>
      <c r="U356" s="6" t="str">
        <f t="shared" si="74"/>
        <v>A</v>
      </c>
      <c r="V356" s="6" t="str">
        <f t="shared" si="75"/>
        <v>F</v>
      </c>
      <c r="W356" s="6" t="str">
        <f t="shared" si="76"/>
        <v>L</v>
      </c>
      <c r="X356" s="6" t="str">
        <f t="shared" si="77"/>
        <v>E</v>
      </c>
      <c r="Y356" s="8">
        <f t="shared" si="79"/>
        <v>6</v>
      </c>
    </row>
    <row r="357" spans="1:25" x14ac:dyDescent="0.2">
      <c r="A357" t="s">
        <v>691</v>
      </c>
      <c r="F357">
        <v>356</v>
      </c>
      <c r="G357" t="s">
        <v>328</v>
      </c>
      <c r="H357" t="s">
        <v>325</v>
      </c>
      <c r="I357" t="s">
        <v>336</v>
      </c>
      <c r="J357" t="s">
        <v>335</v>
      </c>
      <c r="K357" t="s">
        <v>333</v>
      </c>
      <c r="L357" t="s">
        <v>327</v>
      </c>
      <c r="M357" t="s">
        <v>324</v>
      </c>
      <c r="N357" t="s">
        <v>331</v>
      </c>
      <c r="P357">
        <f t="shared" si="78"/>
        <v>356</v>
      </c>
      <c r="Q357" s="5" t="str">
        <f t="shared" si="70"/>
        <v>H</v>
      </c>
      <c r="R357" s="6" t="str">
        <f t="shared" si="71"/>
        <v>J</v>
      </c>
      <c r="S357" s="6" t="str">
        <f t="shared" si="72"/>
        <v>B</v>
      </c>
      <c r="T357" s="6" t="str">
        <f t="shared" si="73"/>
        <v>D</v>
      </c>
      <c r="U357" s="6" t="str">
        <f t="shared" si="74"/>
        <v>A</v>
      </c>
      <c r="V357" s="6" t="str">
        <f t="shared" si="75"/>
        <v>F</v>
      </c>
      <c r="W357" s="6" t="str">
        <f t="shared" si="76"/>
        <v>E</v>
      </c>
      <c r="X357" s="6" t="str">
        <f t="shared" si="77"/>
        <v>K</v>
      </c>
      <c r="Y357" s="8">
        <f t="shared" si="79"/>
        <v>5</v>
      </c>
    </row>
    <row r="358" spans="1:25" x14ac:dyDescent="0.2">
      <c r="A358" t="s">
        <v>692</v>
      </c>
      <c r="F358">
        <v>357</v>
      </c>
      <c r="G358" t="s">
        <v>328</v>
      </c>
      <c r="H358" t="s">
        <v>324</v>
      </c>
      <c r="I358" t="s">
        <v>336</v>
      </c>
      <c r="J358" t="s">
        <v>335</v>
      </c>
      <c r="K358" t="s">
        <v>333</v>
      </c>
      <c r="L358" t="s">
        <v>327</v>
      </c>
      <c r="M358" t="s">
        <v>330</v>
      </c>
      <c r="N358" t="s">
        <v>326</v>
      </c>
      <c r="P358">
        <f t="shared" si="78"/>
        <v>357</v>
      </c>
      <c r="Q358" s="5" t="str">
        <f t="shared" si="70"/>
        <v>H</v>
      </c>
      <c r="R358" s="6" t="str">
        <f t="shared" si="71"/>
        <v>E</v>
      </c>
      <c r="S358" s="6" t="str">
        <f t="shared" si="72"/>
        <v>B</v>
      </c>
      <c r="T358" s="6" t="str">
        <f t="shared" si="73"/>
        <v>D</v>
      </c>
      <c r="U358" s="6" t="str">
        <f t="shared" si="74"/>
        <v>A</v>
      </c>
      <c r="V358" s="6" t="str">
        <f t="shared" si="75"/>
        <v>F</v>
      </c>
      <c r="W358" s="6" t="str">
        <f t="shared" si="76"/>
        <v>L</v>
      </c>
      <c r="X358" s="6" t="str">
        <f t="shared" si="77"/>
        <v>I</v>
      </c>
      <c r="Y358" s="8">
        <f t="shared" si="79"/>
        <v>6</v>
      </c>
    </row>
    <row r="359" spans="1:25" x14ac:dyDescent="0.2">
      <c r="A359" t="s">
        <v>693</v>
      </c>
      <c r="F359">
        <v>358</v>
      </c>
      <c r="G359" t="s">
        <v>328</v>
      </c>
      <c r="H359" t="s">
        <v>324</v>
      </c>
      <c r="I359" t="s">
        <v>336</v>
      </c>
      <c r="J359" t="s">
        <v>335</v>
      </c>
      <c r="K359" t="s">
        <v>333</v>
      </c>
      <c r="L359" t="s">
        <v>327</v>
      </c>
      <c r="M359" t="s">
        <v>326</v>
      </c>
      <c r="N359" t="s">
        <v>331</v>
      </c>
      <c r="P359">
        <f t="shared" si="78"/>
        <v>358</v>
      </c>
      <c r="Q359" s="5" t="str">
        <f t="shared" si="70"/>
        <v>H</v>
      </c>
      <c r="R359" s="6" t="str">
        <f t="shared" si="71"/>
        <v>E</v>
      </c>
      <c r="S359" s="6" t="str">
        <f t="shared" si="72"/>
        <v>B</v>
      </c>
      <c r="T359" s="6" t="str">
        <f t="shared" si="73"/>
        <v>D</v>
      </c>
      <c r="U359" s="6" t="str">
        <f t="shared" si="74"/>
        <v>A</v>
      </c>
      <c r="V359" s="6" t="str">
        <f t="shared" si="75"/>
        <v>F</v>
      </c>
      <c r="W359" s="6" t="str">
        <f t="shared" si="76"/>
        <v>I</v>
      </c>
      <c r="X359" s="6" t="str">
        <f t="shared" si="77"/>
        <v>K</v>
      </c>
      <c r="Y359" s="8">
        <f t="shared" si="79"/>
        <v>5</v>
      </c>
    </row>
    <row r="360" spans="1:25" x14ac:dyDescent="0.2">
      <c r="A360" t="s">
        <v>694</v>
      </c>
      <c r="F360">
        <v>359</v>
      </c>
      <c r="G360" t="s">
        <v>328</v>
      </c>
      <c r="H360" t="s">
        <v>325</v>
      </c>
      <c r="I360" t="s">
        <v>336</v>
      </c>
      <c r="J360" t="s">
        <v>335</v>
      </c>
      <c r="K360" t="s">
        <v>333</v>
      </c>
      <c r="L360" t="s">
        <v>327</v>
      </c>
      <c r="M360" t="s">
        <v>324</v>
      </c>
      <c r="N360" t="s">
        <v>326</v>
      </c>
      <c r="P360">
        <f t="shared" si="78"/>
        <v>359</v>
      </c>
      <c r="Q360" s="5" t="str">
        <f t="shared" si="70"/>
        <v>H</v>
      </c>
      <c r="R360" s="6" t="str">
        <f t="shared" si="71"/>
        <v>J</v>
      </c>
      <c r="S360" s="6" t="str">
        <f t="shared" si="72"/>
        <v>B</v>
      </c>
      <c r="T360" s="6" t="str">
        <f t="shared" si="73"/>
        <v>D</v>
      </c>
      <c r="U360" s="6" t="str">
        <f t="shared" si="74"/>
        <v>A</v>
      </c>
      <c r="V360" s="6" t="str">
        <f t="shared" si="75"/>
        <v>F</v>
      </c>
      <c r="W360" s="6" t="str">
        <f t="shared" si="76"/>
        <v>E</v>
      </c>
      <c r="X360" s="6" t="str">
        <f t="shared" si="77"/>
        <v>I</v>
      </c>
      <c r="Y360" s="8">
        <f t="shared" si="79"/>
        <v>6</v>
      </c>
    </row>
    <row r="361" spans="1:25" x14ac:dyDescent="0.2">
      <c r="A361" t="s">
        <v>695</v>
      </c>
      <c r="F361">
        <v>360</v>
      </c>
      <c r="G361" t="s">
        <v>324</v>
      </c>
      <c r="H361" t="s">
        <v>329</v>
      </c>
      <c r="I361" t="s">
        <v>336</v>
      </c>
      <c r="J361" t="s">
        <v>335</v>
      </c>
      <c r="K361" t="s">
        <v>333</v>
      </c>
      <c r="L361" t="s">
        <v>327</v>
      </c>
      <c r="M361" t="s">
        <v>330</v>
      </c>
      <c r="N361" t="s">
        <v>331</v>
      </c>
      <c r="P361">
        <f t="shared" si="78"/>
        <v>360</v>
      </c>
      <c r="Q361" s="5" t="str">
        <f t="shared" si="70"/>
        <v>E</v>
      </c>
      <c r="R361" s="6" t="str">
        <f t="shared" si="71"/>
        <v>G</v>
      </c>
      <c r="S361" s="6" t="str">
        <f t="shared" si="72"/>
        <v>B</v>
      </c>
      <c r="T361" s="6" t="str">
        <f t="shared" si="73"/>
        <v>D</v>
      </c>
      <c r="U361" s="6" t="str">
        <f t="shared" si="74"/>
        <v>A</v>
      </c>
      <c r="V361" s="6" t="str">
        <f t="shared" si="75"/>
        <v>F</v>
      </c>
      <c r="W361" s="6" t="str">
        <f t="shared" si="76"/>
        <v>L</v>
      </c>
      <c r="X361" s="6" t="str">
        <f t="shared" si="77"/>
        <v>K</v>
      </c>
      <c r="Y361" s="8">
        <f t="shared" si="79"/>
        <v>6</v>
      </c>
    </row>
    <row r="362" spans="1:25" x14ac:dyDescent="0.2">
      <c r="A362" t="s">
        <v>696</v>
      </c>
      <c r="F362">
        <v>361</v>
      </c>
      <c r="G362" t="s">
        <v>324</v>
      </c>
      <c r="H362" t="s">
        <v>329</v>
      </c>
      <c r="I362" t="s">
        <v>336</v>
      </c>
      <c r="J362" t="s">
        <v>335</v>
      </c>
      <c r="K362" t="s">
        <v>333</v>
      </c>
      <c r="L362" t="s">
        <v>327</v>
      </c>
      <c r="M362" t="s">
        <v>330</v>
      </c>
      <c r="N362" t="s">
        <v>325</v>
      </c>
      <c r="P362">
        <f t="shared" si="78"/>
        <v>361</v>
      </c>
      <c r="Q362" s="5" t="str">
        <f t="shared" si="70"/>
        <v>E</v>
      </c>
      <c r="R362" s="6" t="str">
        <f t="shared" si="71"/>
        <v>G</v>
      </c>
      <c r="S362" s="6" t="str">
        <f t="shared" si="72"/>
        <v>B</v>
      </c>
      <c r="T362" s="6" t="str">
        <f t="shared" si="73"/>
        <v>D</v>
      </c>
      <c r="U362" s="6" t="str">
        <f t="shared" si="74"/>
        <v>A</v>
      </c>
      <c r="V362" s="6" t="str">
        <f t="shared" si="75"/>
        <v>F</v>
      </c>
      <c r="W362" s="6" t="str">
        <f t="shared" si="76"/>
        <v>L</v>
      </c>
      <c r="X362" s="6" t="str">
        <f t="shared" si="77"/>
        <v>J</v>
      </c>
      <c r="Y362" s="8">
        <f t="shared" si="79"/>
        <v>7</v>
      </c>
    </row>
    <row r="363" spans="1:25" x14ac:dyDescent="0.2">
      <c r="A363" t="s">
        <v>697</v>
      </c>
      <c r="F363">
        <v>362</v>
      </c>
      <c r="G363" t="s">
        <v>324</v>
      </c>
      <c r="H363" t="s">
        <v>329</v>
      </c>
      <c r="I363" t="s">
        <v>336</v>
      </c>
      <c r="J363" t="s">
        <v>335</v>
      </c>
      <c r="K363" t="s">
        <v>333</v>
      </c>
      <c r="L363" t="s">
        <v>327</v>
      </c>
      <c r="M363" t="s">
        <v>325</v>
      </c>
      <c r="N363" t="s">
        <v>331</v>
      </c>
      <c r="P363">
        <f t="shared" si="78"/>
        <v>362</v>
      </c>
      <c r="Q363" s="5" t="str">
        <f t="shared" si="70"/>
        <v>E</v>
      </c>
      <c r="R363" s="6" t="str">
        <f t="shared" si="71"/>
        <v>G</v>
      </c>
      <c r="S363" s="6" t="str">
        <f t="shared" si="72"/>
        <v>B</v>
      </c>
      <c r="T363" s="6" t="str">
        <f t="shared" si="73"/>
        <v>D</v>
      </c>
      <c r="U363" s="6" t="str">
        <f t="shared" si="74"/>
        <v>A</v>
      </c>
      <c r="V363" s="6" t="str">
        <f t="shared" si="75"/>
        <v>F</v>
      </c>
      <c r="W363" s="6" t="str">
        <f t="shared" si="76"/>
        <v>J</v>
      </c>
      <c r="X363" s="6" t="str">
        <f t="shared" si="77"/>
        <v>K</v>
      </c>
      <c r="Y363" s="8">
        <f t="shared" si="79"/>
        <v>6</v>
      </c>
    </row>
    <row r="364" spans="1:25" x14ac:dyDescent="0.2">
      <c r="A364" t="s">
        <v>698</v>
      </c>
      <c r="F364">
        <v>363</v>
      </c>
      <c r="G364" t="s">
        <v>324</v>
      </c>
      <c r="H364" t="s">
        <v>329</v>
      </c>
      <c r="I364" t="s">
        <v>336</v>
      </c>
      <c r="J364" t="s">
        <v>335</v>
      </c>
      <c r="K364" t="s">
        <v>333</v>
      </c>
      <c r="L364" t="s">
        <v>327</v>
      </c>
      <c r="M364" t="s">
        <v>330</v>
      </c>
      <c r="N364" t="s">
        <v>326</v>
      </c>
      <c r="P364">
        <f t="shared" si="78"/>
        <v>363</v>
      </c>
      <c r="Q364" s="5" t="str">
        <f t="shared" si="70"/>
        <v>E</v>
      </c>
      <c r="R364" s="6" t="str">
        <f t="shared" si="71"/>
        <v>G</v>
      </c>
      <c r="S364" s="6" t="str">
        <f t="shared" si="72"/>
        <v>B</v>
      </c>
      <c r="T364" s="6" t="str">
        <f t="shared" si="73"/>
        <v>D</v>
      </c>
      <c r="U364" s="6" t="str">
        <f t="shared" si="74"/>
        <v>A</v>
      </c>
      <c r="V364" s="6" t="str">
        <f t="shared" si="75"/>
        <v>F</v>
      </c>
      <c r="W364" s="6" t="str">
        <f t="shared" si="76"/>
        <v>L</v>
      </c>
      <c r="X364" s="6" t="str">
        <f t="shared" si="77"/>
        <v>I</v>
      </c>
      <c r="Y364" s="8">
        <f t="shared" si="79"/>
        <v>7</v>
      </c>
    </row>
    <row r="365" spans="1:25" x14ac:dyDescent="0.2">
      <c r="A365" t="s">
        <v>699</v>
      </c>
      <c r="F365">
        <v>364</v>
      </c>
      <c r="G365" t="s">
        <v>324</v>
      </c>
      <c r="H365" t="s">
        <v>329</v>
      </c>
      <c r="I365" t="s">
        <v>336</v>
      </c>
      <c r="J365" t="s">
        <v>335</v>
      </c>
      <c r="K365" t="s">
        <v>333</v>
      </c>
      <c r="L365" t="s">
        <v>327</v>
      </c>
      <c r="M365" t="s">
        <v>326</v>
      </c>
      <c r="N365" t="s">
        <v>331</v>
      </c>
      <c r="P365">
        <f t="shared" si="78"/>
        <v>364</v>
      </c>
      <c r="Q365" s="5" t="str">
        <f t="shared" si="70"/>
        <v>E</v>
      </c>
      <c r="R365" s="6" t="str">
        <f t="shared" si="71"/>
        <v>G</v>
      </c>
      <c r="S365" s="6" t="str">
        <f t="shared" si="72"/>
        <v>B</v>
      </c>
      <c r="T365" s="6" t="str">
        <f t="shared" si="73"/>
        <v>D</v>
      </c>
      <c r="U365" s="6" t="str">
        <f t="shared" si="74"/>
        <v>A</v>
      </c>
      <c r="V365" s="6" t="str">
        <f t="shared" si="75"/>
        <v>F</v>
      </c>
      <c r="W365" s="6" t="str">
        <f t="shared" si="76"/>
        <v>I</v>
      </c>
      <c r="X365" s="6" t="str">
        <f t="shared" si="77"/>
        <v>K</v>
      </c>
      <c r="Y365" s="8">
        <f t="shared" si="79"/>
        <v>6</v>
      </c>
    </row>
    <row r="366" spans="1:25" x14ac:dyDescent="0.2">
      <c r="A366" t="s">
        <v>700</v>
      </c>
      <c r="F366">
        <v>365</v>
      </c>
      <c r="G366" t="s">
        <v>324</v>
      </c>
      <c r="H366" t="s">
        <v>329</v>
      </c>
      <c r="I366" t="s">
        <v>336</v>
      </c>
      <c r="J366" t="s">
        <v>335</v>
      </c>
      <c r="K366" t="s">
        <v>333</v>
      </c>
      <c r="L366" t="s">
        <v>327</v>
      </c>
      <c r="M366" t="s">
        <v>326</v>
      </c>
      <c r="N366" t="s">
        <v>325</v>
      </c>
      <c r="P366">
        <f t="shared" si="78"/>
        <v>365</v>
      </c>
      <c r="Q366" s="5" t="str">
        <f t="shared" si="70"/>
        <v>E</v>
      </c>
      <c r="R366" s="6" t="str">
        <f t="shared" si="71"/>
        <v>G</v>
      </c>
      <c r="S366" s="6" t="str">
        <f t="shared" si="72"/>
        <v>B</v>
      </c>
      <c r="T366" s="6" t="str">
        <f t="shared" si="73"/>
        <v>D</v>
      </c>
      <c r="U366" s="6" t="str">
        <f t="shared" si="74"/>
        <v>A</v>
      </c>
      <c r="V366" s="6" t="str">
        <f t="shared" si="75"/>
        <v>F</v>
      </c>
      <c r="W366" s="6" t="str">
        <f t="shared" si="76"/>
        <v>I</v>
      </c>
      <c r="X366" s="6" t="str">
        <f t="shared" si="77"/>
        <v>J</v>
      </c>
      <c r="Y366" s="8">
        <f t="shared" si="79"/>
        <v>7</v>
      </c>
    </row>
    <row r="367" spans="1:25" x14ac:dyDescent="0.2">
      <c r="A367" t="s">
        <v>701</v>
      </c>
      <c r="F367">
        <v>366</v>
      </c>
      <c r="G367" t="s">
        <v>328</v>
      </c>
      <c r="H367" t="s">
        <v>329</v>
      </c>
      <c r="I367" t="s">
        <v>336</v>
      </c>
      <c r="J367" t="s">
        <v>335</v>
      </c>
      <c r="K367" t="s">
        <v>333</v>
      </c>
      <c r="L367" t="s">
        <v>327</v>
      </c>
      <c r="M367" t="s">
        <v>330</v>
      </c>
      <c r="N367" t="s">
        <v>324</v>
      </c>
      <c r="P367">
        <f t="shared" si="78"/>
        <v>366</v>
      </c>
      <c r="Q367" s="5" t="str">
        <f t="shared" si="70"/>
        <v>H</v>
      </c>
      <c r="R367" s="6" t="str">
        <f t="shared" si="71"/>
        <v>G</v>
      </c>
      <c r="S367" s="6" t="str">
        <f t="shared" si="72"/>
        <v>B</v>
      </c>
      <c r="T367" s="6" t="str">
        <f t="shared" si="73"/>
        <v>D</v>
      </c>
      <c r="U367" s="6" t="str">
        <f t="shared" si="74"/>
        <v>A</v>
      </c>
      <c r="V367" s="6" t="str">
        <f t="shared" si="75"/>
        <v>F</v>
      </c>
      <c r="W367" s="6" t="str">
        <f t="shared" si="76"/>
        <v>L</v>
      </c>
      <c r="X367" s="6" t="str">
        <f t="shared" si="77"/>
        <v>E</v>
      </c>
      <c r="Y367" s="8">
        <f t="shared" si="79"/>
        <v>6</v>
      </c>
    </row>
    <row r="368" spans="1:25" x14ac:dyDescent="0.2">
      <c r="A368" t="s">
        <v>702</v>
      </c>
      <c r="F368">
        <v>367</v>
      </c>
      <c r="G368" t="s">
        <v>328</v>
      </c>
      <c r="H368" t="s">
        <v>329</v>
      </c>
      <c r="I368" t="s">
        <v>336</v>
      </c>
      <c r="J368" t="s">
        <v>335</v>
      </c>
      <c r="K368" t="s">
        <v>333</v>
      </c>
      <c r="L368" t="s">
        <v>327</v>
      </c>
      <c r="M368" t="s">
        <v>324</v>
      </c>
      <c r="N368" t="s">
        <v>331</v>
      </c>
      <c r="P368">
        <f t="shared" si="78"/>
        <v>367</v>
      </c>
      <c r="Q368" s="5" t="str">
        <f t="shared" si="70"/>
        <v>H</v>
      </c>
      <c r="R368" s="6" t="str">
        <f t="shared" si="71"/>
        <v>G</v>
      </c>
      <c r="S368" s="6" t="str">
        <f t="shared" si="72"/>
        <v>B</v>
      </c>
      <c r="T368" s="6" t="str">
        <f t="shared" si="73"/>
        <v>D</v>
      </c>
      <c r="U368" s="6" t="str">
        <f t="shared" si="74"/>
        <v>A</v>
      </c>
      <c r="V368" s="6" t="str">
        <f t="shared" si="75"/>
        <v>F</v>
      </c>
      <c r="W368" s="6" t="str">
        <f t="shared" si="76"/>
        <v>E</v>
      </c>
      <c r="X368" s="6" t="str">
        <f t="shared" si="77"/>
        <v>K</v>
      </c>
      <c r="Y368" s="8">
        <f t="shared" si="79"/>
        <v>5</v>
      </c>
    </row>
    <row r="369" spans="1:25" x14ac:dyDescent="0.2">
      <c r="A369" t="s">
        <v>703</v>
      </c>
      <c r="F369">
        <v>368</v>
      </c>
      <c r="G369" t="s">
        <v>328</v>
      </c>
      <c r="H369" t="s">
        <v>329</v>
      </c>
      <c r="I369" t="s">
        <v>336</v>
      </c>
      <c r="J369" t="s">
        <v>335</v>
      </c>
      <c r="K369" t="s">
        <v>333</v>
      </c>
      <c r="L369" t="s">
        <v>327</v>
      </c>
      <c r="M369" t="s">
        <v>324</v>
      </c>
      <c r="N369" t="s">
        <v>325</v>
      </c>
      <c r="P369">
        <f t="shared" si="78"/>
        <v>368</v>
      </c>
      <c r="Q369" s="5" t="str">
        <f t="shared" si="70"/>
        <v>H</v>
      </c>
      <c r="R369" s="6" t="str">
        <f t="shared" si="71"/>
        <v>G</v>
      </c>
      <c r="S369" s="6" t="str">
        <f t="shared" si="72"/>
        <v>B</v>
      </c>
      <c r="T369" s="6" t="str">
        <f t="shared" si="73"/>
        <v>D</v>
      </c>
      <c r="U369" s="6" t="str">
        <f t="shared" si="74"/>
        <v>A</v>
      </c>
      <c r="V369" s="6" t="str">
        <f t="shared" si="75"/>
        <v>F</v>
      </c>
      <c r="W369" s="6" t="str">
        <f t="shared" si="76"/>
        <v>E</v>
      </c>
      <c r="X369" s="6" t="str">
        <f t="shared" si="77"/>
        <v>J</v>
      </c>
      <c r="Y369" s="8">
        <f t="shared" si="79"/>
        <v>6</v>
      </c>
    </row>
    <row r="370" spans="1:25" x14ac:dyDescent="0.2">
      <c r="A370" t="s">
        <v>704</v>
      </c>
      <c r="F370">
        <v>369</v>
      </c>
      <c r="G370" t="s">
        <v>328</v>
      </c>
      <c r="H370" t="s">
        <v>329</v>
      </c>
      <c r="I370" t="s">
        <v>336</v>
      </c>
      <c r="J370" t="s">
        <v>335</v>
      </c>
      <c r="K370" t="s">
        <v>333</v>
      </c>
      <c r="L370" t="s">
        <v>327</v>
      </c>
      <c r="M370" t="s">
        <v>324</v>
      </c>
      <c r="N370" t="s">
        <v>326</v>
      </c>
      <c r="P370">
        <f t="shared" si="78"/>
        <v>369</v>
      </c>
      <c r="Q370" s="5" t="str">
        <f t="shared" si="70"/>
        <v>H</v>
      </c>
      <c r="R370" s="6" t="str">
        <f t="shared" si="71"/>
        <v>G</v>
      </c>
      <c r="S370" s="6" t="str">
        <f t="shared" si="72"/>
        <v>B</v>
      </c>
      <c r="T370" s="6" t="str">
        <f t="shared" si="73"/>
        <v>D</v>
      </c>
      <c r="U370" s="6" t="str">
        <f t="shared" si="74"/>
        <v>A</v>
      </c>
      <c r="V370" s="6" t="str">
        <f t="shared" si="75"/>
        <v>F</v>
      </c>
      <c r="W370" s="6" t="str">
        <f t="shared" si="76"/>
        <v>E</v>
      </c>
      <c r="X370" s="6" t="str">
        <f t="shared" si="77"/>
        <v>I</v>
      </c>
      <c r="Y370" s="8">
        <f t="shared" si="79"/>
        <v>6</v>
      </c>
    </row>
    <row r="371" spans="1:25" x14ac:dyDescent="0.2">
      <c r="A371" t="s">
        <v>705</v>
      </c>
      <c r="F371">
        <v>370</v>
      </c>
      <c r="G371" t="s">
        <v>326</v>
      </c>
      <c r="H371" t="s">
        <v>325</v>
      </c>
      <c r="I371" t="s">
        <v>336</v>
      </c>
      <c r="J371" t="s">
        <v>338</v>
      </c>
      <c r="K371" t="s">
        <v>333</v>
      </c>
      <c r="L371" t="s">
        <v>328</v>
      </c>
      <c r="M371" t="s">
        <v>330</v>
      </c>
      <c r="N371" t="s">
        <v>331</v>
      </c>
      <c r="P371">
        <f t="shared" si="78"/>
        <v>370</v>
      </c>
      <c r="Q371" s="5" t="str">
        <f t="shared" si="70"/>
        <v>I</v>
      </c>
      <c r="R371" s="6" t="str">
        <f t="shared" si="71"/>
        <v>J</v>
      </c>
      <c r="S371" s="6" t="str">
        <f t="shared" si="72"/>
        <v>B</v>
      </c>
      <c r="T371" s="6" t="str">
        <f t="shared" si="73"/>
        <v>C</v>
      </c>
      <c r="U371" s="6" t="str">
        <f t="shared" si="74"/>
        <v>A</v>
      </c>
      <c r="V371" s="6" t="str">
        <f t="shared" si="75"/>
        <v>H</v>
      </c>
      <c r="W371" s="6" t="str">
        <f t="shared" si="76"/>
        <v>L</v>
      </c>
      <c r="X371" s="6" t="str">
        <f t="shared" si="77"/>
        <v>K</v>
      </c>
      <c r="Y371" s="8">
        <f t="shared" si="79"/>
        <v>4</v>
      </c>
    </row>
    <row r="372" spans="1:25" x14ac:dyDescent="0.2">
      <c r="A372" t="s">
        <v>706</v>
      </c>
      <c r="F372">
        <v>371</v>
      </c>
      <c r="G372" t="s">
        <v>326</v>
      </c>
      <c r="H372" t="s">
        <v>325</v>
      </c>
      <c r="I372" t="s">
        <v>336</v>
      </c>
      <c r="J372" t="s">
        <v>338</v>
      </c>
      <c r="K372" t="s">
        <v>333</v>
      </c>
      <c r="L372" t="s">
        <v>329</v>
      </c>
      <c r="M372" t="s">
        <v>330</v>
      </c>
      <c r="N372" t="s">
        <v>331</v>
      </c>
      <c r="P372">
        <f t="shared" si="78"/>
        <v>371</v>
      </c>
      <c r="Q372" s="5" t="str">
        <f t="shared" si="70"/>
        <v>I</v>
      </c>
      <c r="R372" s="6" t="str">
        <f t="shared" si="71"/>
        <v>J</v>
      </c>
      <c r="S372" s="6" t="str">
        <f t="shared" si="72"/>
        <v>B</v>
      </c>
      <c r="T372" s="6" t="str">
        <f t="shared" si="73"/>
        <v>C</v>
      </c>
      <c r="U372" s="6" t="str">
        <f t="shared" si="74"/>
        <v>A</v>
      </c>
      <c r="V372" s="6" t="str">
        <f t="shared" si="75"/>
        <v>G</v>
      </c>
      <c r="W372" s="6" t="str">
        <f t="shared" si="76"/>
        <v>L</v>
      </c>
      <c r="X372" s="6" t="str">
        <f t="shared" si="77"/>
        <v>K</v>
      </c>
      <c r="Y372" s="8">
        <f t="shared" si="79"/>
        <v>5</v>
      </c>
    </row>
    <row r="373" spans="1:25" x14ac:dyDescent="0.2">
      <c r="A373" t="s">
        <v>707</v>
      </c>
      <c r="F373">
        <v>372</v>
      </c>
      <c r="G373" t="s">
        <v>328</v>
      </c>
      <c r="H373" t="s">
        <v>325</v>
      </c>
      <c r="I373" t="s">
        <v>336</v>
      </c>
      <c r="J373" t="s">
        <v>338</v>
      </c>
      <c r="K373" t="s">
        <v>333</v>
      </c>
      <c r="L373" t="s">
        <v>329</v>
      </c>
      <c r="M373" t="s">
        <v>330</v>
      </c>
      <c r="N373" t="s">
        <v>331</v>
      </c>
      <c r="P373">
        <f t="shared" si="78"/>
        <v>372</v>
      </c>
      <c r="Q373" s="5" t="str">
        <f t="shared" si="70"/>
        <v>H</v>
      </c>
      <c r="R373" s="6" t="str">
        <f t="shared" si="71"/>
        <v>J</v>
      </c>
      <c r="S373" s="6" t="str">
        <f t="shared" si="72"/>
        <v>B</v>
      </c>
      <c r="T373" s="6" t="str">
        <f t="shared" si="73"/>
        <v>C</v>
      </c>
      <c r="U373" s="6" t="str">
        <f t="shared" si="74"/>
        <v>A</v>
      </c>
      <c r="V373" s="6" t="str">
        <f t="shared" si="75"/>
        <v>G</v>
      </c>
      <c r="W373" s="6" t="str">
        <f t="shared" si="76"/>
        <v>L</v>
      </c>
      <c r="X373" s="6" t="str">
        <f t="shared" si="77"/>
        <v>K</v>
      </c>
      <c r="Y373" s="8">
        <f t="shared" si="79"/>
        <v>4</v>
      </c>
    </row>
    <row r="374" spans="1:25" x14ac:dyDescent="0.2">
      <c r="A374" t="s">
        <v>708</v>
      </c>
      <c r="F374">
        <v>373</v>
      </c>
      <c r="G374" t="s">
        <v>326</v>
      </c>
      <c r="H374" t="s">
        <v>329</v>
      </c>
      <c r="I374" t="s">
        <v>336</v>
      </c>
      <c r="J374" t="s">
        <v>338</v>
      </c>
      <c r="K374" t="s">
        <v>333</v>
      </c>
      <c r="L374" t="s">
        <v>328</v>
      </c>
      <c r="M374" t="s">
        <v>330</v>
      </c>
      <c r="N374" t="s">
        <v>331</v>
      </c>
      <c r="P374">
        <f t="shared" si="78"/>
        <v>373</v>
      </c>
      <c r="Q374" s="5" t="str">
        <f t="shared" si="70"/>
        <v>I</v>
      </c>
      <c r="R374" s="6" t="str">
        <f t="shared" si="71"/>
        <v>G</v>
      </c>
      <c r="S374" s="6" t="str">
        <f t="shared" si="72"/>
        <v>B</v>
      </c>
      <c r="T374" s="6" t="str">
        <f t="shared" si="73"/>
        <v>C</v>
      </c>
      <c r="U374" s="6" t="str">
        <f t="shared" si="74"/>
        <v>A</v>
      </c>
      <c r="V374" s="6" t="str">
        <f t="shared" si="75"/>
        <v>H</v>
      </c>
      <c r="W374" s="6" t="str">
        <f t="shared" si="76"/>
        <v>L</v>
      </c>
      <c r="X374" s="6" t="str">
        <f t="shared" si="77"/>
        <v>K</v>
      </c>
      <c r="Y374" s="8">
        <f t="shared" si="79"/>
        <v>4</v>
      </c>
    </row>
    <row r="375" spans="1:25" x14ac:dyDescent="0.2">
      <c r="A375" t="s">
        <v>709</v>
      </c>
      <c r="F375">
        <v>374</v>
      </c>
      <c r="G375" t="s">
        <v>328</v>
      </c>
      <c r="H375" t="s">
        <v>325</v>
      </c>
      <c r="I375" t="s">
        <v>336</v>
      </c>
      <c r="J375" t="s">
        <v>338</v>
      </c>
      <c r="K375" t="s">
        <v>333</v>
      </c>
      <c r="L375" t="s">
        <v>329</v>
      </c>
      <c r="M375" t="s">
        <v>330</v>
      </c>
      <c r="N375" t="s">
        <v>326</v>
      </c>
      <c r="P375">
        <f t="shared" si="78"/>
        <v>374</v>
      </c>
      <c r="Q375" s="5" t="str">
        <f t="shared" si="70"/>
        <v>H</v>
      </c>
      <c r="R375" s="6" t="str">
        <f t="shared" si="71"/>
        <v>J</v>
      </c>
      <c r="S375" s="6" t="str">
        <f t="shared" si="72"/>
        <v>B</v>
      </c>
      <c r="T375" s="6" t="str">
        <f t="shared" si="73"/>
        <v>C</v>
      </c>
      <c r="U375" s="6" t="str">
        <f t="shared" si="74"/>
        <v>A</v>
      </c>
      <c r="V375" s="6" t="str">
        <f t="shared" si="75"/>
        <v>G</v>
      </c>
      <c r="W375" s="6" t="str">
        <f t="shared" si="76"/>
        <v>L</v>
      </c>
      <c r="X375" s="6" t="str">
        <f t="shared" si="77"/>
        <v>I</v>
      </c>
      <c r="Y375" s="8">
        <f t="shared" si="79"/>
        <v>5</v>
      </c>
    </row>
    <row r="376" spans="1:25" x14ac:dyDescent="0.2">
      <c r="A376" t="s">
        <v>710</v>
      </c>
      <c r="F376">
        <v>375</v>
      </c>
      <c r="G376" t="s">
        <v>328</v>
      </c>
      <c r="H376" t="s">
        <v>325</v>
      </c>
      <c r="I376" t="s">
        <v>336</v>
      </c>
      <c r="J376" t="s">
        <v>338</v>
      </c>
      <c r="K376" t="s">
        <v>333</v>
      </c>
      <c r="L376" t="s">
        <v>329</v>
      </c>
      <c r="M376" t="s">
        <v>326</v>
      </c>
      <c r="N376" t="s">
        <v>331</v>
      </c>
      <c r="P376">
        <f t="shared" si="78"/>
        <v>375</v>
      </c>
      <c r="Q376" s="5" t="str">
        <f t="shared" si="70"/>
        <v>H</v>
      </c>
      <c r="R376" s="6" t="str">
        <f t="shared" si="71"/>
        <v>J</v>
      </c>
      <c r="S376" s="6" t="str">
        <f t="shared" si="72"/>
        <v>B</v>
      </c>
      <c r="T376" s="6" t="str">
        <f t="shared" si="73"/>
        <v>C</v>
      </c>
      <c r="U376" s="6" t="str">
        <f t="shared" si="74"/>
        <v>A</v>
      </c>
      <c r="V376" s="6" t="str">
        <f t="shared" si="75"/>
        <v>G</v>
      </c>
      <c r="W376" s="6" t="str">
        <f t="shared" si="76"/>
        <v>I</v>
      </c>
      <c r="X376" s="6" t="str">
        <f t="shared" si="77"/>
        <v>K</v>
      </c>
      <c r="Y376" s="8">
        <f t="shared" si="79"/>
        <v>4</v>
      </c>
    </row>
    <row r="377" spans="1:25" x14ac:dyDescent="0.2">
      <c r="A377" t="s">
        <v>711</v>
      </c>
      <c r="F377">
        <v>376</v>
      </c>
      <c r="G377" t="s">
        <v>326</v>
      </c>
      <c r="H377" t="s">
        <v>325</v>
      </c>
      <c r="I377" t="s">
        <v>336</v>
      </c>
      <c r="J377" t="s">
        <v>338</v>
      </c>
      <c r="K377" t="s">
        <v>333</v>
      </c>
      <c r="L377" t="s">
        <v>327</v>
      </c>
      <c r="M377" t="s">
        <v>330</v>
      </c>
      <c r="N377" t="s">
        <v>331</v>
      </c>
      <c r="P377">
        <f t="shared" si="78"/>
        <v>376</v>
      </c>
      <c r="Q377" s="5" t="str">
        <f t="shared" si="70"/>
        <v>I</v>
      </c>
      <c r="R377" s="6" t="str">
        <f t="shared" si="71"/>
        <v>J</v>
      </c>
      <c r="S377" s="6" t="str">
        <f t="shared" si="72"/>
        <v>B</v>
      </c>
      <c r="T377" s="6" t="str">
        <f t="shared" si="73"/>
        <v>C</v>
      </c>
      <c r="U377" s="6" t="str">
        <f t="shared" si="74"/>
        <v>A</v>
      </c>
      <c r="V377" s="6" t="str">
        <f t="shared" si="75"/>
        <v>F</v>
      </c>
      <c r="W377" s="6" t="str">
        <f t="shared" si="76"/>
        <v>L</v>
      </c>
      <c r="X377" s="6" t="str">
        <f t="shared" si="77"/>
        <v>K</v>
      </c>
      <c r="Y377" s="8">
        <f t="shared" si="79"/>
        <v>5</v>
      </c>
    </row>
    <row r="378" spans="1:25" x14ac:dyDescent="0.2">
      <c r="A378" t="s">
        <v>712</v>
      </c>
      <c r="F378">
        <v>377</v>
      </c>
      <c r="G378" t="s">
        <v>328</v>
      </c>
      <c r="H378" t="s">
        <v>325</v>
      </c>
      <c r="I378" t="s">
        <v>336</v>
      </c>
      <c r="J378" t="s">
        <v>338</v>
      </c>
      <c r="K378" t="s">
        <v>333</v>
      </c>
      <c r="L378" t="s">
        <v>327</v>
      </c>
      <c r="M378" t="s">
        <v>330</v>
      </c>
      <c r="N378" t="s">
        <v>331</v>
      </c>
      <c r="P378">
        <f t="shared" si="78"/>
        <v>377</v>
      </c>
      <c r="Q378" s="5" t="str">
        <f t="shared" si="70"/>
        <v>H</v>
      </c>
      <c r="R378" s="6" t="str">
        <f t="shared" si="71"/>
        <v>J</v>
      </c>
      <c r="S378" s="6" t="str">
        <f t="shared" si="72"/>
        <v>B</v>
      </c>
      <c r="T378" s="6" t="str">
        <f t="shared" si="73"/>
        <v>C</v>
      </c>
      <c r="U378" s="6" t="str">
        <f t="shared" si="74"/>
        <v>A</v>
      </c>
      <c r="V378" s="6" t="str">
        <f t="shared" si="75"/>
        <v>F</v>
      </c>
      <c r="W378" s="6" t="str">
        <f t="shared" si="76"/>
        <v>L</v>
      </c>
      <c r="X378" s="6" t="str">
        <f t="shared" si="77"/>
        <v>K</v>
      </c>
      <c r="Y378" s="8">
        <f t="shared" si="79"/>
        <v>4</v>
      </c>
    </row>
    <row r="379" spans="1:25" x14ac:dyDescent="0.2">
      <c r="A379" t="s">
        <v>713</v>
      </c>
      <c r="F379">
        <v>378</v>
      </c>
      <c r="G379" t="s">
        <v>328</v>
      </c>
      <c r="H379" t="s">
        <v>326</v>
      </c>
      <c r="I379" t="s">
        <v>336</v>
      </c>
      <c r="J379" t="s">
        <v>338</v>
      </c>
      <c r="K379" t="s">
        <v>333</v>
      </c>
      <c r="L379" t="s">
        <v>327</v>
      </c>
      <c r="M379" t="s">
        <v>330</v>
      </c>
      <c r="N379" t="s">
        <v>331</v>
      </c>
      <c r="P379">
        <f t="shared" si="78"/>
        <v>378</v>
      </c>
      <c r="Q379" s="5" t="str">
        <f t="shared" si="70"/>
        <v>H</v>
      </c>
      <c r="R379" s="6" t="str">
        <f t="shared" si="71"/>
        <v>I</v>
      </c>
      <c r="S379" s="6" t="str">
        <f t="shared" si="72"/>
        <v>B</v>
      </c>
      <c r="T379" s="6" t="str">
        <f t="shared" si="73"/>
        <v>C</v>
      </c>
      <c r="U379" s="6" t="str">
        <f t="shared" si="74"/>
        <v>A</v>
      </c>
      <c r="V379" s="6" t="str">
        <f t="shared" si="75"/>
        <v>F</v>
      </c>
      <c r="W379" s="6" t="str">
        <f t="shared" si="76"/>
        <v>L</v>
      </c>
      <c r="X379" s="6" t="str">
        <f t="shared" si="77"/>
        <v>K</v>
      </c>
      <c r="Y379" s="8">
        <f t="shared" si="79"/>
        <v>4</v>
      </c>
    </row>
    <row r="380" spans="1:25" x14ac:dyDescent="0.2">
      <c r="A380" t="s">
        <v>714</v>
      </c>
      <c r="F380">
        <v>379</v>
      </c>
      <c r="G380" t="s">
        <v>328</v>
      </c>
      <c r="H380" t="s">
        <v>325</v>
      </c>
      <c r="I380" t="s">
        <v>336</v>
      </c>
      <c r="J380" t="s">
        <v>338</v>
      </c>
      <c r="K380" t="s">
        <v>333</v>
      </c>
      <c r="L380" t="s">
        <v>327</v>
      </c>
      <c r="M380" t="s">
        <v>330</v>
      </c>
      <c r="N380" t="s">
        <v>326</v>
      </c>
      <c r="P380">
        <f t="shared" si="78"/>
        <v>379</v>
      </c>
      <c r="Q380" s="5" t="str">
        <f t="shared" si="70"/>
        <v>H</v>
      </c>
      <c r="R380" s="6" t="str">
        <f t="shared" si="71"/>
        <v>J</v>
      </c>
      <c r="S380" s="6" t="str">
        <f t="shared" si="72"/>
        <v>B</v>
      </c>
      <c r="T380" s="6" t="str">
        <f t="shared" si="73"/>
        <v>C</v>
      </c>
      <c r="U380" s="6" t="str">
        <f t="shared" si="74"/>
        <v>A</v>
      </c>
      <c r="V380" s="6" t="str">
        <f t="shared" si="75"/>
        <v>F</v>
      </c>
      <c r="W380" s="6" t="str">
        <f t="shared" si="76"/>
        <v>L</v>
      </c>
      <c r="X380" s="6" t="str">
        <f t="shared" si="77"/>
        <v>I</v>
      </c>
      <c r="Y380" s="8">
        <f t="shared" si="79"/>
        <v>5</v>
      </c>
    </row>
    <row r="381" spans="1:25" x14ac:dyDescent="0.2">
      <c r="A381" t="s">
        <v>715</v>
      </c>
      <c r="F381">
        <v>380</v>
      </c>
      <c r="G381" t="s">
        <v>328</v>
      </c>
      <c r="H381" t="s">
        <v>325</v>
      </c>
      <c r="I381" t="s">
        <v>336</v>
      </c>
      <c r="J381" t="s">
        <v>338</v>
      </c>
      <c r="K381" t="s">
        <v>333</v>
      </c>
      <c r="L381" t="s">
        <v>327</v>
      </c>
      <c r="M381" t="s">
        <v>326</v>
      </c>
      <c r="N381" t="s">
        <v>331</v>
      </c>
      <c r="P381">
        <f t="shared" si="78"/>
        <v>380</v>
      </c>
      <c r="Q381" s="5" t="str">
        <f t="shared" si="70"/>
        <v>H</v>
      </c>
      <c r="R381" s="6" t="str">
        <f t="shared" si="71"/>
        <v>J</v>
      </c>
      <c r="S381" s="6" t="str">
        <f t="shared" si="72"/>
        <v>B</v>
      </c>
      <c r="T381" s="6" t="str">
        <f t="shared" si="73"/>
        <v>C</v>
      </c>
      <c r="U381" s="6" t="str">
        <f t="shared" si="74"/>
        <v>A</v>
      </c>
      <c r="V381" s="6" t="str">
        <f t="shared" si="75"/>
        <v>F</v>
      </c>
      <c r="W381" s="6" t="str">
        <f t="shared" si="76"/>
        <v>I</v>
      </c>
      <c r="X381" s="6" t="str">
        <f t="shared" si="77"/>
        <v>K</v>
      </c>
      <c r="Y381" s="8">
        <f t="shared" si="79"/>
        <v>4</v>
      </c>
    </row>
    <row r="382" spans="1:25" x14ac:dyDescent="0.2">
      <c r="A382" t="s">
        <v>716</v>
      </c>
      <c r="F382">
        <v>381</v>
      </c>
      <c r="G382" t="s">
        <v>338</v>
      </c>
      <c r="H382" t="s">
        <v>325</v>
      </c>
      <c r="I382" t="s">
        <v>336</v>
      </c>
      <c r="J382" t="s">
        <v>327</v>
      </c>
      <c r="K382" t="s">
        <v>333</v>
      </c>
      <c r="L382" t="s">
        <v>329</v>
      </c>
      <c r="M382" t="s">
        <v>330</v>
      </c>
      <c r="N382" t="s">
        <v>331</v>
      </c>
      <c r="P382">
        <f t="shared" si="78"/>
        <v>381</v>
      </c>
      <c r="Q382" s="5" t="str">
        <f t="shared" si="70"/>
        <v>C</v>
      </c>
      <c r="R382" s="6" t="str">
        <f t="shared" si="71"/>
        <v>J</v>
      </c>
      <c r="S382" s="6" t="str">
        <f t="shared" si="72"/>
        <v>B</v>
      </c>
      <c r="T382" s="6" t="str">
        <f t="shared" si="73"/>
        <v>F</v>
      </c>
      <c r="U382" s="6" t="str">
        <f t="shared" si="74"/>
        <v>A</v>
      </c>
      <c r="V382" s="6" t="str">
        <f t="shared" si="75"/>
        <v>G</v>
      </c>
      <c r="W382" s="6" t="str">
        <f t="shared" si="76"/>
        <v>L</v>
      </c>
      <c r="X382" s="6" t="str">
        <f t="shared" si="77"/>
        <v>K</v>
      </c>
      <c r="Y382" s="8">
        <f t="shared" si="79"/>
        <v>5</v>
      </c>
    </row>
    <row r="383" spans="1:25" x14ac:dyDescent="0.2">
      <c r="A383" t="s">
        <v>717</v>
      </c>
      <c r="F383">
        <v>382</v>
      </c>
      <c r="G383" t="s">
        <v>326</v>
      </c>
      <c r="H383" t="s">
        <v>329</v>
      </c>
      <c r="I383" t="s">
        <v>336</v>
      </c>
      <c r="J383" t="s">
        <v>338</v>
      </c>
      <c r="K383" t="s">
        <v>333</v>
      </c>
      <c r="L383" t="s">
        <v>327</v>
      </c>
      <c r="M383" t="s">
        <v>330</v>
      </c>
      <c r="N383" t="s">
        <v>331</v>
      </c>
      <c r="P383">
        <f t="shared" si="78"/>
        <v>382</v>
      </c>
      <c r="Q383" s="5" t="str">
        <f t="shared" si="70"/>
        <v>I</v>
      </c>
      <c r="R383" s="6" t="str">
        <f t="shared" si="71"/>
        <v>G</v>
      </c>
      <c r="S383" s="6" t="str">
        <f t="shared" si="72"/>
        <v>B</v>
      </c>
      <c r="T383" s="6" t="str">
        <f t="shared" si="73"/>
        <v>C</v>
      </c>
      <c r="U383" s="6" t="str">
        <f t="shared" si="74"/>
        <v>A</v>
      </c>
      <c r="V383" s="6" t="str">
        <f t="shared" si="75"/>
        <v>F</v>
      </c>
      <c r="W383" s="6" t="str">
        <f t="shared" si="76"/>
        <v>L</v>
      </c>
      <c r="X383" s="6" t="str">
        <f t="shared" si="77"/>
        <v>K</v>
      </c>
      <c r="Y383" s="8">
        <f t="shared" si="79"/>
        <v>5</v>
      </c>
    </row>
    <row r="384" spans="1:25" x14ac:dyDescent="0.2">
      <c r="A384" t="s">
        <v>718</v>
      </c>
      <c r="F384">
        <v>383</v>
      </c>
      <c r="G384" t="s">
        <v>338</v>
      </c>
      <c r="H384" t="s">
        <v>325</v>
      </c>
      <c r="I384" t="s">
        <v>336</v>
      </c>
      <c r="J384" t="s">
        <v>327</v>
      </c>
      <c r="K384" t="s">
        <v>333</v>
      </c>
      <c r="L384" t="s">
        <v>329</v>
      </c>
      <c r="M384" t="s">
        <v>330</v>
      </c>
      <c r="N384" t="s">
        <v>326</v>
      </c>
      <c r="P384">
        <f t="shared" si="78"/>
        <v>383</v>
      </c>
      <c r="Q384" s="5" t="str">
        <f t="shared" si="70"/>
        <v>C</v>
      </c>
      <c r="R384" s="6" t="str">
        <f t="shared" si="71"/>
        <v>J</v>
      </c>
      <c r="S384" s="6" t="str">
        <f t="shared" si="72"/>
        <v>B</v>
      </c>
      <c r="T384" s="6" t="str">
        <f t="shared" si="73"/>
        <v>F</v>
      </c>
      <c r="U384" s="6" t="str">
        <f t="shared" si="74"/>
        <v>A</v>
      </c>
      <c r="V384" s="6" t="str">
        <f t="shared" si="75"/>
        <v>G</v>
      </c>
      <c r="W384" s="6" t="str">
        <f t="shared" si="76"/>
        <v>L</v>
      </c>
      <c r="X384" s="6" t="str">
        <f t="shared" si="77"/>
        <v>I</v>
      </c>
      <c r="Y384" s="8">
        <f t="shared" si="79"/>
        <v>6</v>
      </c>
    </row>
    <row r="385" spans="1:25" x14ac:dyDescent="0.2">
      <c r="A385" t="s">
        <v>719</v>
      </c>
      <c r="F385">
        <v>384</v>
      </c>
      <c r="G385" t="s">
        <v>338</v>
      </c>
      <c r="H385" t="s">
        <v>325</v>
      </c>
      <c r="I385" t="s">
        <v>336</v>
      </c>
      <c r="J385" t="s">
        <v>327</v>
      </c>
      <c r="K385" t="s">
        <v>333</v>
      </c>
      <c r="L385" t="s">
        <v>329</v>
      </c>
      <c r="M385" t="s">
        <v>326</v>
      </c>
      <c r="N385" t="s">
        <v>331</v>
      </c>
      <c r="P385">
        <f t="shared" si="78"/>
        <v>384</v>
      </c>
      <c r="Q385" s="5" t="str">
        <f t="shared" si="70"/>
        <v>C</v>
      </c>
      <c r="R385" s="6" t="str">
        <f t="shared" si="71"/>
        <v>J</v>
      </c>
      <c r="S385" s="6" t="str">
        <f t="shared" si="72"/>
        <v>B</v>
      </c>
      <c r="T385" s="6" t="str">
        <f t="shared" si="73"/>
        <v>F</v>
      </c>
      <c r="U385" s="6" t="str">
        <f t="shared" si="74"/>
        <v>A</v>
      </c>
      <c r="V385" s="6" t="str">
        <f t="shared" si="75"/>
        <v>G</v>
      </c>
      <c r="W385" s="6" t="str">
        <f t="shared" si="76"/>
        <v>I</v>
      </c>
      <c r="X385" s="6" t="str">
        <f t="shared" si="77"/>
        <v>K</v>
      </c>
      <c r="Y385" s="8">
        <f t="shared" si="79"/>
        <v>5</v>
      </c>
    </row>
    <row r="386" spans="1:25" x14ac:dyDescent="0.2">
      <c r="A386" t="s">
        <v>720</v>
      </c>
      <c r="F386">
        <v>385</v>
      </c>
      <c r="G386" t="s">
        <v>328</v>
      </c>
      <c r="H386" t="s">
        <v>329</v>
      </c>
      <c r="I386" t="s">
        <v>336</v>
      </c>
      <c r="J386" t="s">
        <v>338</v>
      </c>
      <c r="K386" t="s">
        <v>333</v>
      </c>
      <c r="L386" t="s">
        <v>327</v>
      </c>
      <c r="M386" t="s">
        <v>330</v>
      </c>
      <c r="N386" t="s">
        <v>331</v>
      </c>
      <c r="P386">
        <f t="shared" si="78"/>
        <v>385</v>
      </c>
      <c r="Q386" s="5" t="str">
        <f t="shared" ref="Q386:Q449" si="80">+RIGHT(G386,1)</f>
        <v>H</v>
      </c>
      <c r="R386" s="6" t="str">
        <f t="shared" ref="R386:R449" si="81">+RIGHT(H386,1)</f>
        <v>G</v>
      </c>
      <c r="S386" s="6" t="str">
        <f t="shared" ref="S386:S449" si="82">+RIGHT(I386,1)</f>
        <v>B</v>
      </c>
      <c r="T386" s="6" t="str">
        <f t="shared" ref="T386:T449" si="83">+RIGHT(J386,1)</f>
        <v>C</v>
      </c>
      <c r="U386" s="6" t="str">
        <f t="shared" ref="U386:U449" si="84">+RIGHT(K386,1)</f>
        <v>A</v>
      </c>
      <c r="V386" s="6" t="str">
        <f t="shared" ref="V386:V449" si="85">+RIGHT(L386,1)</f>
        <v>F</v>
      </c>
      <c r="W386" s="6" t="str">
        <f t="shared" ref="W386:W449" si="86">+RIGHT(M386,1)</f>
        <v>L</v>
      </c>
      <c r="X386" s="6" t="str">
        <f t="shared" ref="X386:X449" si="87">+RIGHT(N386,1)</f>
        <v>K</v>
      </c>
      <c r="Y386" s="8">
        <f t="shared" si="79"/>
        <v>4</v>
      </c>
    </row>
    <row r="387" spans="1:25" x14ac:dyDescent="0.2">
      <c r="A387" t="s">
        <v>721</v>
      </c>
      <c r="F387">
        <v>386</v>
      </c>
      <c r="G387" t="s">
        <v>328</v>
      </c>
      <c r="H387" t="s">
        <v>329</v>
      </c>
      <c r="I387" t="s">
        <v>336</v>
      </c>
      <c r="J387" t="s">
        <v>338</v>
      </c>
      <c r="K387" t="s">
        <v>333</v>
      </c>
      <c r="L387" t="s">
        <v>327</v>
      </c>
      <c r="M387" t="s">
        <v>330</v>
      </c>
      <c r="N387" t="s">
        <v>325</v>
      </c>
      <c r="P387">
        <f t="shared" ref="P387:P450" si="88">+F387</f>
        <v>386</v>
      </c>
      <c r="Q387" s="5" t="str">
        <f t="shared" si="80"/>
        <v>H</v>
      </c>
      <c r="R387" s="6" t="str">
        <f t="shared" si="81"/>
        <v>G</v>
      </c>
      <c r="S387" s="6" t="str">
        <f t="shared" si="82"/>
        <v>B</v>
      </c>
      <c r="T387" s="6" t="str">
        <f t="shared" si="83"/>
        <v>C</v>
      </c>
      <c r="U387" s="6" t="str">
        <f t="shared" si="84"/>
        <v>A</v>
      </c>
      <c r="V387" s="6" t="str">
        <f t="shared" si="85"/>
        <v>F</v>
      </c>
      <c r="W387" s="6" t="str">
        <f t="shared" si="86"/>
        <v>L</v>
      </c>
      <c r="X387" s="6" t="str">
        <f t="shared" si="87"/>
        <v>J</v>
      </c>
      <c r="Y387" s="8">
        <f t="shared" ref="Y387:Y450" si="89">+COUNTIF($AA$2:$AA$9,Q387)+COUNTIF($AA$2:$AA$9,R387)+COUNTIF($AA$2:$AA$9,S387)+COUNTIF($AA$2:$AA$9,T387)+COUNTIF($AA$2:$AA$9,U387)+COUNTIF($AA$2:$AA$9,V387)+COUNTIF($AA$2:$AA$9,W387)+COUNTIF($AA$2:$AA$9,X387)</f>
        <v>5</v>
      </c>
    </row>
    <row r="388" spans="1:25" x14ac:dyDescent="0.2">
      <c r="A388" t="s">
        <v>722</v>
      </c>
      <c r="F388">
        <v>387</v>
      </c>
      <c r="G388" t="s">
        <v>328</v>
      </c>
      <c r="H388" t="s">
        <v>329</v>
      </c>
      <c r="I388" t="s">
        <v>336</v>
      </c>
      <c r="J388" t="s">
        <v>338</v>
      </c>
      <c r="K388" t="s">
        <v>333</v>
      </c>
      <c r="L388" t="s">
        <v>327</v>
      </c>
      <c r="M388" t="s">
        <v>325</v>
      </c>
      <c r="N388" t="s">
        <v>331</v>
      </c>
      <c r="P388">
        <f t="shared" si="88"/>
        <v>387</v>
      </c>
      <c r="Q388" s="5" t="str">
        <f t="shared" si="80"/>
        <v>H</v>
      </c>
      <c r="R388" s="6" t="str">
        <f t="shared" si="81"/>
        <v>G</v>
      </c>
      <c r="S388" s="6" t="str">
        <f t="shared" si="82"/>
        <v>B</v>
      </c>
      <c r="T388" s="6" t="str">
        <f t="shared" si="83"/>
        <v>C</v>
      </c>
      <c r="U388" s="6" t="str">
        <f t="shared" si="84"/>
        <v>A</v>
      </c>
      <c r="V388" s="6" t="str">
        <f t="shared" si="85"/>
        <v>F</v>
      </c>
      <c r="W388" s="6" t="str">
        <f t="shared" si="86"/>
        <v>J</v>
      </c>
      <c r="X388" s="6" t="str">
        <f t="shared" si="87"/>
        <v>K</v>
      </c>
      <c r="Y388" s="8">
        <f t="shared" si="89"/>
        <v>4</v>
      </c>
    </row>
    <row r="389" spans="1:25" x14ac:dyDescent="0.2">
      <c r="A389" t="s">
        <v>723</v>
      </c>
      <c r="F389">
        <v>388</v>
      </c>
      <c r="G389" t="s">
        <v>328</v>
      </c>
      <c r="H389" t="s">
        <v>329</v>
      </c>
      <c r="I389" t="s">
        <v>336</v>
      </c>
      <c r="J389" t="s">
        <v>338</v>
      </c>
      <c r="K389" t="s">
        <v>333</v>
      </c>
      <c r="L389" t="s">
        <v>327</v>
      </c>
      <c r="M389" t="s">
        <v>330</v>
      </c>
      <c r="N389" t="s">
        <v>326</v>
      </c>
      <c r="P389">
        <f t="shared" si="88"/>
        <v>388</v>
      </c>
      <c r="Q389" s="5" t="str">
        <f t="shared" si="80"/>
        <v>H</v>
      </c>
      <c r="R389" s="6" t="str">
        <f t="shared" si="81"/>
        <v>G</v>
      </c>
      <c r="S389" s="6" t="str">
        <f t="shared" si="82"/>
        <v>B</v>
      </c>
      <c r="T389" s="6" t="str">
        <f t="shared" si="83"/>
        <v>C</v>
      </c>
      <c r="U389" s="6" t="str">
        <f t="shared" si="84"/>
        <v>A</v>
      </c>
      <c r="V389" s="6" t="str">
        <f t="shared" si="85"/>
        <v>F</v>
      </c>
      <c r="W389" s="6" t="str">
        <f t="shared" si="86"/>
        <v>L</v>
      </c>
      <c r="X389" s="6" t="str">
        <f t="shared" si="87"/>
        <v>I</v>
      </c>
      <c r="Y389" s="8">
        <f t="shared" si="89"/>
        <v>5</v>
      </c>
    </row>
    <row r="390" spans="1:25" x14ac:dyDescent="0.2">
      <c r="A390" t="s">
        <v>724</v>
      </c>
      <c r="F390">
        <v>389</v>
      </c>
      <c r="G390" t="s">
        <v>328</v>
      </c>
      <c r="H390" t="s">
        <v>329</v>
      </c>
      <c r="I390" t="s">
        <v>336</v>
      </c>
      <c r="J390" t="s">
        <v>338</v>
      </c>
      <c r="K390" t="s">
        <v>333</v>
      </c>
      <c r="L390" t="s">
        <v>327</v>
      </c>
      <c r="M390" t="s">
        <v>326</v>
      </c>
      <c r="N390" t="s">
        <v>331</v>
      </c>
      <c r="P390">
        <f t="shared" si="88"/>
        <v>389</v>
      </c>
      <c r="Q390" s="5" t="str">
        <f t="shared" si="80"/>
        <v>H</v>
      </c>
      <c r="R390" s="6" t="str">
        <f t="shared" si="81"/>
        <v>G</v>
      </c>
      <c r="S390" s="6" t="str">
        <f t="shared" si="82"/>
        <v>B</v>
      </c>
      <c r="T390" s="6" t="str">
        <f t="shared" si="83"/>
        <v>C</v>
      </c>
      <c r="U390" s="6" t="str">
        <f t="shared" si="84"/>
        <v>A</v>
      </c>
      <c r="V390" s="6" t="str">
        <f t="shared" si="85"/>
        <v>F</v>
      </c>
      <c r="W390" s="6" t="str">
        <f t="shared" si="86"/>
        <v>I</v>
      </c>
      <c r="X390" s="6" t="str">
        <f t="shared" si="87"/>
        <v>K</v>
      </c>
      <c r="Y390" s="8">
        <f t="shared" si="89"/>
        <v>4</v>
      </c>
    </row>
    <row r="391" spans="1:25" x14ac:dyDescent="0.2">
      <c r="A391" t="s">
        <v>725</v>
      </c>
      <c r="F391">
        <v>390</v>
      </c>
      <c r="G391" t="s">
        <v>328</v>
      </c>
      <c r="H391" t="s">
        <v>329</v>
      </c>
      <c r="I391" t="s">
        <v>336</v>
      </c>
      <c r="J391" t="s">
        <v>338</v>
      </c>
      <c r="K391" t="s">
        <v>333</v>
      </c>
      <c r="L391" t="s">
        <v>327</v>
      </c>
      <c r="M391" t="s">
        <v>326</v>
      </c>
      <c r="N391" t="s">
        <v>325</v>
      </c>
      <c r="P391">
        <f t="shared" si="88"/>
        <v>390</v>
      </c>
      <c r="Q391" s="5" t="str">
        <f t="shared" si="80"/>
        <v>H</v>
      </c>
      <c r="R391" s="6" t="str">
        <f t="shared" si="81"/>
        <v>G</v>
      </c>
      <c r="S391" s="6" t="str">
        <f t="shared" si="82"/>
        <v>B</v>
      </c>
      <c r="T391" s="6" t="str">
        <f t="shared" si="83"/>
        <v>C</v>
      </c>
      <c r="U391" s="6" t="str">
        <f t="shared" si="84"/>
        <v>A</v>
      </c>
      <c r="V391" s="6" t="str">
        <f t="shared" si="85"/>
        <v>F</v>
      </c>
      <c r="W391" s="6" t="str">
        <f t="shared" si="86"/>
        <v>I</v>
      </c>
      <c r="X391" s="6" t="str">
        <f t="shared" si="87"/>
        <v>J</v>
      </c>
      <c r="Y391" s="8">
        <f t="shared" si="89"/>
        <v>5</v>
      </c>
    </row>
    <row r="392" spans="1:25" x14ac:dyDescent="0.2">
      <c r="A392" t="s">
        <v>726</v>
      </c>
      <c r="F392">
        <v>391</v>
      </c>
      <c r="G392" t="s">
        <v>324</v>
      </c>
      <c r="H392" t="s">
        <v>325</v>
      </c>
      <c r="I392" t="s">
        <v>336</v>
      </c>
      <c r="J392" t="s">
        <v>333</v>
      </c>
      <c r="K392" t="s">
        <v>326</v>
      </c>
      <c r="L392" t="s">
        <v>338</v>
      </c>
      <c r="M392" t="s">
        <v>330</v>
      </c>
      <c r="N392" t="s">
        <v>331</v>
      </c>
      <c r="P392">
        <f t="shared" si="88"/>
        <v>391</v>
      </c>
      <c r="Q392" s="5" t="str">
        <f t="shared" si="80"/>
        <v>E</v>
      </c>
      <c r="R392" s="6" t="str">
        <f t="shared" si="81"/>
        <v>J</v>
      </c>
      <c r="S392" s="6" t="str">
        <f t="shared" si="82"/>
        <v>B</v>
      </c>
      <c r="T392" s="6" t="str">
        <f t="shared" si="83"/>
        <v>A</v>
      </c>
      <c r="U392" s="6" t="str">
        <f t="shared" si="84"/>
        <v>I</v>
      </c>
      <c r="V392" s="6" t="str">
        <f t="shared" si="85"/>
        <v>C</v>
      </c>
      <c r="W392" s="6" t="str">
        <f t="shared" si="86"/>
        <v>L</v>
      </c>
      <c r="X392" s="6" t="str">
        <f t="shared" si="87"/>
        <v>K</v>
      </c>
      <c r="Y392" s="8">
        <f t="shared" si="89"/>
        <v>5</v>
      </c>
    </row>
    <row r="393" spans="1:25" x14ac:dyDescent="0.2">
      <c r="A393" t="s">
        <v>727</v>
      </c>
      <c r="F393">
        <v>392</v>
      </c>
      <c r="G393" t="s">
        <v>324</v>
      </c>
      <c r="H393" t="s">
        <v>325</v>
      </c>
      <c r="I393" t="s">
        <v>336</v>
      </c>
      <c r="J393" t="s">
        <v>338</v>
      </c>
      <c r="K393" t="s">
        <v>333</v>
      </c>
      <c r="L393" t="s">
        <v>328</v>
      </c>
      <c r="M393" t="s">
        <v>330</v>
      </c>
      <c r="N393" t="s">
        <v>331</v>
      </c>
      <c r="P393">
        <f t="shared" si="88"/>
        <v>392</v>
      </c>
      <c r="Q393" s="5" t="str">
        <f t="shared" si="80"/>
        <v>E</v>
      </c>
      <c r="R393" s="6" t="str">
        <f t="shared" si="81"/>
        <v>J</v>
      </c>
      <c r="S393" s="6" t="str">
        <f t="shared" si="82"/>
        <v>B</v>
      </c>
      <c r="T393" s="6" t="str">
        <f t="shared" si="83"/>
        <v>C</v>
      </c>
      <c r="U393" s="6" t="str">
        <f t="shared" si="84"/>
        <v>A</v>
      </c>
      <c r="V393" s="6" t="str">
        <f t="shared" si="85"/>
        <v>H</v>
      </c>
      <c r="W393" s="6" t="str">
        <f t="shared" si="86"/>
        <v>L</v>
      </c>
      <c r="X393" s="6" t="str">
        <f t="shared" si="87"/>
        <v>K</v>
      </c>
      <c r="Y393" s="8">
        <f t="shared" si="89"/>
        <v>4</v>
      </c>
    </row>
    <row r="394" spans="1:25" x14ac:dyDescent="0.2">
      <c r="A394" t="s">
        <v>728</v>
      </c>
      <c r="F394">
        <v>393</v>
      </c>
      <c r="G394" t="s">
        <v>324</v>
      </c>
      <c r="H394" t="s">
        <v>326</v>
      </c>
      <c r="I394" t="s">
        <v>336</v>
      </c>
      <c r="J394" t="s">
        <v>338</v>
      </c>
      <c r="K394" t="s">
        <v>333</v>
      </c>
      <c r="L394" t="s">
        <v>328</v>
      </c>
      <c r="M394" t="s">
        <v>330</v>
      </c>
      <c r="N394" t="s">
        <v>331</v>
      </c>
      <c r="P394">
        <f t="shared" si="88"/>
        <v>393</v>
      </c>
      <c r="Q394" s="5" t="str">
        <f t="shared" si="80"/>
        <v>E</v>
      </c>
      <c r="R394" s="6" t="str">
        <f t="shared" si="81"/>
        <v>I</v>
      </c>
      <c r="S394" s="6" t="str">
        <f t="shared" si="82"/>
        <v>B</v>
      </c>
      <c r="T394" s="6" t="str">
        <f t="shared" si="83"/>
        <v>C</v>
      </c>
      <c r="U394" s="6" t="str">
        <f t="shared" si="84"/>
        <v>A</v>
      </c>
      <c r="V394" s="6" t="str">
        <f t="shared" si="85"/>
        <v>H</v>
      </c>
      <c r="W394" s="6" t="str">
        <f t="shared" si="86"/>
        <v>L</v>
      </c>
      <c r="X394" s="6" t="str">
        <f t="shared" si="87"/>
        <v>K</v>
      </c>
      <c r="Y394" s="8">
        <f t="shared" si="89"/>
        <v>4</v>
      </c>
    </row>
    <row r="395" spans="1:25" x14ac:dyDescent="0.2">
      <c r="A395" t="s">
        <v>729</v>
      </c>
      <c r="F395">
        <v>394</v>
      </c>
      <c r="G395" t="s">
        <v>324</v>
      </c>
      <c r="H395" t="s">
        <v>325</v>
      </c>
      <c r="I395" t="s">
        <v>336</v>
      </c>
      <c r="J395" t="s">
        <v>338</v>
      </c>
      <c r="K395" t="s">
        <v>333</v>
      </c>
      <c r="L395" t="s">
        <v>328</v>
      </c>
      <c r="M395" t="s">
        <v>330</v>
      </c>
      <c r="N395" t="s">
        <v>326</v>
      </c>
      <c r="P395">
        <f t="shared" si="88"/>
        <v>394</v>
      </c>
      <c r="Q395" s="5" t="str">
        <f t="shared" si="80"/>
        <v>E</v>
      </c>
      <c r="R395" s="6" t="str">
        <f t="shared" si="81"/>
        <v>J</v>
      </c>
      <c r="S395" s="6" t="str">
        <f t="shared" si="82"/>
        <v>B</v>
      </c>
      <c r="T395" s="6" t="str">
        <f t="shared" si="83"/>
        <v>C</v>
      </c>
      <c r="U395" s="6" t="str">
        <f t="shared" si="84"/>
        <v>A</v>
      </c>
      <c r="V395" s="6" t="str">
        <f t="shared" si="85"/>
        <v>H</v>
      </c>
      <c r="W395" s="6" t="str">
        <f t="shared" si="86"/>
        <v>L</v>
      </c>
      <c r="X395" s="6" t="str">
        <f t="shared" si="87"/>
        <v>I</v>
      </c>
      <c r="Y395" s="8">
        <f t="shared" si="89"/>
        <v>5</v>
      </c>
    </row>
    <row r="396" spans="1:25" x14ac:dyDescent="0.2">
      <c r="A396" t="s">
        <v>730</v>
      </c>
      <c r="F396">
        <v>395</v>
      </c>
      <c r="G396" t="s">
        <v>324</v>
      </c>
      <c r="H396" t="s">
        <v>325</v>
      </c>
      <c r="I396" t="s">
        <v>336</v>
      </c>
      <c r="J396" t="s">
        <v>338</v>
      </c>
      <c r="K396" t="s">
        <v>333</v>
      </c>
      <c r="L396" t="s">
        <v>328</v>
      </c>
      <c r="M396" t="s">
        <v>326</v>
      </c>
      <c r="N396" t="s">
        <v>331</v>
      </c>
      <c r="P396">
        <f t="shared" si="88"/>
        <v>395</v>
      </c>
      <c r="Q396" s="5" t="str">
        <f t="shared" si="80"/>
        <v>E</v>
      </c>
      <c r="R396" s="6" t="str">
        <f t="shared" si="81"/>
        <v>J</v>
      </c>
      <c r="S396" s="6" t="str">
        <f t="shared" si="82"/>
        <v>B</v>
      </c>
      <c r="T396" s="6" t="str">
        <f t="shared" si="83"/>
        <v>C</v>
      </c>
      <c r="U396" s="6" t="str">
        <f t="shared" si="84"/>
        <v>A</v>
      </c>
      <c r="V396" s="6" t="str">
        <f t="shared" si="85"/>
        <v>H</v>
      </c>
      <c r="W396" s="6" t="str">
        <f t="shared" si="86"/>
        <v>I</v>
      </c>
      <c r="X396" s="6" t="str">
        <f t="shared" si="87"/>
        <v>K</v>
      </c>
      <c r="Y396" s="8">
        <f t="shared" si="89"/>
        <v>4</v>
      </c>
    </row>
    <row r="397" spans="1:25" x14ac:dyDescent="0.2">
      <c r="A397" t="s">
        <v>731</v>
      </c>
      <c r="F397">
        <v>396</v>
      </c>
      <c r="G397" t="s">
        <v>324</v>
      </c>
      <c r="H397" t="s">
        <v>325</v>
      </c>
      <c r="I397" t="s">
        <v>336</v>
      </c>
      <c r="J397" t="s">
        <v>338</v>
      </c>
      <c r="K397" t="s">
        <v>333</v>
      </c>
      <c r="L397" t="s">
        <v>329</v>
      </c>
      <c r="M397" t="s">
        <v>330</v>
      </c>
      <c r="N397" t="s">
        <v>331</v>
      </c>
      <c r="P397">
        <f t="shared" si="88"/>
        <v>396</v>
      </c>
      <c r="Q397" s="5" t="str">
        <f t="shared" si="80"/>
        <v>E</v>
      </c>
      <c r="R397" s="6" t="str">
        <f t="shared" si="81"/>
        <v>J</v>
      </c>
      <c r="S397" s="6" t="str">
        <f t="shared" si="82"/>
        <v>B</v>
      </c>
      <c r="T397" s="6" t="str">
        <f t="shared" si="83"/>
        <v>C</v>
      </c>
      <c r="U397" s="6" t="str">
        <f t="shared" si="84"/>
        <v>A</v>
      </c>
      <c r="V397" s="6" t="str">
        <f t="shared" si="85"/>
        <v>G</v>
      </c>
      <c r="W397" s="6" t="str">
        <f t="shared" si="86"/>
        <v>L</v>
      </c>
      <c r="X397" s="6" t="str">
        <f t="shared" si="87"/>
        <v>K</v>
      </c>
      <c r="Y397" s="8">
        <f t="shared" si="89"/>
        <v>5</v>
      </c>
    </row>
    <row r="398" spans="1:25" x14ac:dyDescent="0.2">
      <c r="A398" t="s">
        <v>732</v>
      </c>
      <c r="F398">
        <v>397</v>
      </c>
      <c r="G398" t="s">
        <v>324</v>
      </c>
      <c r="H398" t="s">
        <v>329</v>
      </c>
      <c r="I398" t="s">
        <v>336</v>
      </c>
      <c r="J398" t="s">
        <v>333</v>
      </c>
      <c r="K398" t="s">
        <v>326</v>
      </c>
      <c r="L398" t="s">
        <v>338</v>
      </c>
      <c r="M398" t="s">
        <v>330</v>
      </c>
      <c r="N398" t="s">
        <v>331</v>
      </c>
      <c r="P398">
        <f t="shared" si="88"/>
        <v>397</v>
      </c>
      <c r="Q398" s="5" t="str">
        <f t="shared" si="80"/>
        <v>E</v>
      </c>
      <c r="R398" s="6" t="str">
        <f t="shared" si="81"/>
        <v>G</v>
      </c>
      <c r="S398" s="6" t="str">
        <f t="shared" si="82"/>
        <v>B</v>
      </c>
      <c r="T398" s="6" t="str">
        <f t="shared" si="83"/>
        <v>A</v>
      </c>
      <c r="U398" s="6" t="str">
        <f t="shared" si="84"/>
        <v>I</v>
      </c>
      <c r="V398" s="6" t="str">
        <f t="shared" si="85"/>
        <v>C</v>
      </c>
      <c r="W398" s="6" t="str">
        <f t="shared" si="86"/>
        <v>L</v>
      </c>
      <c r="X398" s="6" t="str">
        <f t="shared" si="87"/>
        <v>K</v>
      </c>
      <c r="Y398" s="8">
        <f t="shared" si="89"/>
        <v>5</v>
      </c>
    </row>
    <row r="399" spans="1:25" x14ac:dyDescent="0.2">
      <c r="A399" t="s">
        <v>733</v>
      </c>
      <c r="F399">
        <v>398</v>
      </c>
      <c r="G399" t="s">
        <v>324</v>
      </c>
      <c r="H399" t="s">
        <v>325</v>
      </c>
      <c r="I399" t="s">
        <v>336</v>
      </c>
      <c r="J399" t="s">
        <v>338</v>
      </c>
      <c r="K399" t="s">
        <v>333</v>
      </c>
      <c r="L399" t="s">
        <v>329</v>
      </c>
      <c r="M399" t="s">
        <v>330</v>
      </c>
      <c r="N399" t="s">
        <v>326</v>
      </c>
      <c r="P399">
        <f t="shared" si="88"/>
        <v>398</v>
      </c>
      <c r="Q399" s="5" t="str">
        <f t="shared" si="80"/>
        <v>E</v>
      </c>
      <c r="R399" s="6" t="str">
        <f t="shared" si="81"/>
        <v>J</v>
      </c>
      <c r="S399" s="6" t="str">
        <f t="shared" si="82"/>
        <v>B</v>
      </c>
      <c r="T399" s="6" t="str">
        <f t="shared" si="83"/>
        <v>C</v>
      </c>
      <c r="U399" s="6" t="str">
        <f t="shared" si="84"/>
        <v>A</v>
      </c>
      <c r="V399" s="6" t="str">
        <f t="shared" si="85"/>
        <v>G</v>
      </c>
      <c r="W399" s="6" t="str">
        <f t="shared" si="86"/>
        <v>L</v>
      </c>
      <c r="X399" s="6" t="str">
        <f t="shared" si="87"/>
        <v>I</v>
      </c>
      <c r="Y399" s="8">
        <f t="shared" si="89"/>
        <v>6</v>
      </c>
    </row>
    <row r="400" spans="1:25" x14ac:dyDescent="0.2">
      <c r="A400" t="s">
        <v>734</v>
      </c>
      <c r="F400">
        <v>399</v>
      </c>
      <c r="G400" t="s">
        <v>324</v>
      </c>
      <c r="H400" t="s">
        <v>325</v>
      </c>
      <c r="I400" t="s">
        <v>336</v>
      </c>
      <c r="J400" t="s">
        <v>338</v>
      </c>
      <c r="K400" t="s">
        <v>333</v>
      </c>
      <c r="L400" t="s">
        <v>329</v>
      </c>
      <c r="M400" t="s">
        <v>326</v>
      </c>
      <c r="N400" t="s">
        <v>331</v>
      </c>
      <c r="P400">
        <f t="shared" si="88"/>
        <v>399</v>
      </c>
      <c r="Q400" s="5" t="str">
        <f t="shared" si="80"/>
        <v>E</v>
      </c>
      <c r="R400" s="6" t="str">
        <f t="shared" si="81"/>
        <v>J</v>
      </c>
      <c r="S400" s="6" t="str">
        <f t="shared" si="82"/>
        <v>B</v>
      </c>
      <c r="T400" s="6" t="str">
        <f t="shared" si="83"/>
        <v>C</v>
      </c>
      <c r="U400" s="6" t="str">
        <f t="shared" si="84"/>
        <v>A</v>
      </c>
      <c r="V400" s="6" t="str">
        <f t="shared" si="85"/>
        <v>G</v>
      </c>
      <c r="W400" s="6" t="str">
        <f t="shared" si="86"/>
        <v>I</v>
      </c>
      <c r="X400" s="6" t="str">
        <f t="shared" si="87"/>
        <v>K</v>
      </c>
      <c r="Y400" s="8">
        <f t="shared" si="89"/>
        <v>5</v>
      </c>
    </row>
    <row r="401" spans="1:25" x14ac:dyDescent="0.2">
      <c r="A401" t="s">
        <v>735</v>
      </c>
      <c r="F401">
        <v>400</v>
      </c>
      <c r="G401" t="s">
        <v>324</v>
      </c>
      <c r="H401" t="s">
        <v>329</v>
      </c>
      <c r="I401" t="s">
        <v>336</v>
      </c>
      <c r="J401" t="s">
        <v>338</v>
      </c>
      <c r="K401" t="s">
        <v>333</v>
      </c>
      <c r="L401" t="s">
        <v>328</v>
      </c>
      <c r="M401" t="s">
        <v>330</v>
      </c>
      <c r="N401" t="s">
        <v>331</v>
      </c>
      <c r="P401">
        <f t="shared" si="88"/>
        <v>400</v>
      </c>
      <c r="Q401" s="5" t="str">
        <f t="shared" si="80"/>
        <v>E</v>
      </c>
      <c r="R401" s="6" t="str">
        <f t="shared" si="81"/>
        <v>G</v>
      </c>
      <c r="S401" s="6" t="str">
        <f t="shared" si="82"/>
        <v>B</v>
      </c>
      <c r="T401" s="6" t="str">
        <f t="shared" si="83"/>
        <v>C</v>
      </c>
      <c r="U401" s="6" t="str">
        <f t="shared" si="84"/>
        <v>A</v>
      </c>
      <c r="V401" s="6" t="str">
        <f t="shared" si="85"/>
        <v>H</v>
      </c>
      <c r="W401" s="6" t="str">
        <f t="shared" si="86"/>
        <v>L</v>
      </c>
      <c r="X401" s="6" t="str">
        <f t="shared" si="87"/>
        <v>K</v>
      </c>
      <c r="Y401" s="8">
        <f t="shared" si="89"/>
        <v>4</v>
      </c>
    </row>
    <row r="402" spans="1:25" x14ac:dyDescent="0.2">
      <c r="A402" t="s">
        <v>736</v>
      </c>
      <c r="F402">
        <v>401</v>
      </c>
      <c r="G402" t="s">
        <v>328</v>
      </c>
      <c r="H402" t="s">
        <v>325</v>
      </c>
      <c r="I402" t="s">
        <v>336</v>
      </c>
      <c r="J402" t="s">
        <v>338</v>
      </c>
      <c r="K402" t="s">
        <v>333</v>
      </c>
      <c r="L402" t="s">
        <v>329</v>
      </c>
      <c r="M402" t="s">
        <v>330</v>
      </c>
      <c r="N402" t="s">
        <v>324</v>
      </c>
      <c r="P402">
        <f t="shared" si="88"/>
        <v>401</v>
      </c>
      <c r="Q402" s="5" t="str">
        <f t="shared" si="80"/>
        <v>H</v>
      </c>
      <c r="R402" s="6" t="str">
        <f t="shared" si="81"/>
        <v>J</v>
      </c>
      <c r="S402" s="6" t="str">
        <f t="shared" si="82"/>
        <v>B</v>
      </c>
      <c r="T402" s="6" t="str">
        <f t="shared" si="83"/>
        <v>C</v>
      </c>
      <c r="U402" s="6" t="str">
        <f t="shared" si="84"/>
        <v>A</v>
      </c>
      <c r="V402" s="6" t="str">
        <f t="shared" si="85"/>
        <v>G</v>
      </c>
      <c r="W402" s="6" t="str">
        <f t="shared" si="86"/>
        <v>L</v>
      </c>
      <c r="X402" s="6" t="str">
        <f t="shared" si="87"/>
        <v>E</v>
      </c>
      <c r="Y402" s="8">
        <f t="shared" si="89"/>
        <v>5</v>
      </c>
    </row>
    <row r="403" spans="1:25" x14ac:dyDescent="0.2">
      <c r="A403" t="s">
        <v>737</v>
      </c>
      <c r="F403">
        <v>402</v>
      </c>
      <c r="G403" t="s">
        <v>328</v>
      </c>
      <c r="H403" t="s">
        <v>325</v>
      </c>
      <c r="I403" t="s">
        <v>336</v>
      </c>
      <c r="J403" t="s">
        <v>338</v>
      </c>
      <c r="K403" t="s">
        <v>333</v>
      </c>
      <c r="L403" t="s">
        <v>329</v>
      </c>
      <c r="M403" t="s">
        <v>324</v>
      </c>
      <c r="N403" t="s">
        <v>331</v>
      </c>
      <c r="P403">
        <f t="shared" si="88"/>
        <v>402</v>
      </c>
      <c r="Q403" s="5" t="str">
        <f t="shared" si="80"/>
        <v>H</v>
      </c>
      <c r="R403" s="6" t="str">
        <f t="shared" si="81"/>
        <v>J</v>
      </c>
      <c r="S403" s="6" t="str">
        <f t="shared" si="82"/>
        <v>B</v>
      </c>
      <c r="T403" s="6" t="str">
        <f t="shared" si="83"/>
        <v>C</v>
      </c>
      <c r="U403" s="6" t="str">
        <f t="shared" si="84"/>
        <v>A</v>
      </c>
      <c r="V403" s="6" t="str">
        <f t="shared" si="85"/>
        <v>G</v>
      </c>
      <c r="W403" s="6" t="str">
        <f t="shared" si="86"/>
        <v>E</v>
      </c>
      <c r="X403" s="6" t="str">
        <f t="shared" si="87"/>
        <v>K</v>
      </c>
      <c r="Y403" s="8">
        <f t="shared" si="89"/>
        <v>4</v>
      </c>
    </row>
    <row r="404" spans="1:25" x14ac:dyDescent="0.2">
      <c r="A404" t="s">
        <v>738</v>
      </c>
      <c r="F404">
        <v>403</v>
      </c>
      <c r="G404" t="s">
        <v>324</v>
      </c>
      <c r="H404" t="s">
        <v>329</v>
      </c>
      <c r="I404" t="s">
        <v>336</v>
      </c>
      <c r="J404" t="s">
        <v>338</v>
      </c>
      <c r="K404" t="s">
        <v>333</v>
      </c>
      <c r="L404" t="s">
        <v>328</v>
      </c>
      <c r="M404" t="s">
        <v>330</v>
      </c>
      <c r="N404" t="s">
        <v>326</v>
      </c>
      <c r="P404">
        <f t="shared" si="88"/>
        <v>403</v>
      </c>
      <c r="Q404" s="5" t="str">
        <f t="shared" si="80"/>
        <v>E</v>
      </c>
      <c r="R404" s="6" t="str">
        <f t="shared" si="81"/>
        <v>G</v>
      </c>
      <c r="S404" s="6" t="str">
        <f t="shared" si="82"/>
        <v>B</v>
      </c>
      <c r="T404" s="6" t="str">
        <f t="shared" si="83"/>
        <v>C</v>
      </c>
      <c r="U404" s="6" t="str">
        <f t="shared" si="84"/>
        <v>A</v>
      </c>
      <c r="V404" s="6" t="str">
        <f t="shared" si="85"/>
        <v>H</v>
      </c>
      <c r="W404" s="6" t="str">
        <f t="shared" si="86"/>
        <v>L</v>
      </c>
      <c r="X404" s="6" t="str">
        <f t="shared" si="87"/>
        <v>I</v>
      </c>
      <c r="Y404" s="8">
        <f t="shared" si="89"/>
        <v>5</v>
      </c>
    </row>
    <row r="405" spans="1:25" x14ac:dyDescent="0.2">
      <c r="A405" t="s">
        <v>739</v>
      </c>
      <c r="F405">
        <v>404</v>
      </c>
      <c r="G405" t="s">
        <v>324</v>
      </c>
      <c r="H405" t="s">
        <v>329</v>
      </c>
      <c r="I405" t="s">
        <v>336</v>
      </c>
      <c r="J405" t="s">
        <v>338</v>
      </c>
      <c r="K405" t="s">
        <v>333</v>
      </c>
      <c r="L405" t="s">
        <v>328</v>
      </c>
      <c r="M405" t="s">
        <v>326</v>
      </c>
      <c r="N405" t="s">
        <v>331</v>
      </c>
      <c r="P405">
        <f t="shared" si="88"/>
        <v>404</v>
      </c>
      <c r="Q405" s="5" t="str">
        <f t="shared" si="80"/>
        <v>E</v>
      </c>
      <c r="R405" s="6" t="str">
        <f t="shared" si="81"/>
        <v>G</v>
      </c>
      <c r="S405" s="6" t="str">
        <f t="shared" si="82"/>
        <v>B</v>
      </c>
      <c r="T405" s="6" t="str">
        <f t="shared" si="83"/>
        <v>C</v>
      </c>
      <c r="U405" s="6" t="str">
        <f t="shared" si="84"/>
        <v>A</v>
      </c>
      <c r="V405" s="6" t="str">
        <f t="shared" si="85"/>
        <v>H</v>
      </c>
      <c r="W405" s="6" t="str">
        <f t="shared" si="86"/>
        <v>I</v>
      </c>
      <c r="X405" s="6" t="str">
        <f t="shared" si="87"/>
        <v>K</v>
      </c>
      <c r="Y405" s="8">
        <f t="shared" si="89"/>
        <v>4</v>
      </c>
    </row>
    <row r="406" spans="1:25" x14ac:dyDescent="0.2">
      <c r="A406" t="s">
        <v>740</v>
      </c>
      <c r="F406">
        <v>405</v>
      </c>
      <c r="G406" t="s">
        <v>328</v>
      </c>
      <c r="H406" t="s">
        <v>325</v>
      </c>
      <c r="I406" t="s">
        <v>336</v>
      </c>
      <c r="J406" t="s">
        <v>338</v>
      </c>
      <c r="K406" t="s">
        <v>333</v>
      </c>
      <c r="L406" t="s">
        <v>329</v>
      </c>
      <c r="M406" t="s">
        <v>324</v>
      </c>
      <c r="N406" t="s">
        <v>326</v>
      </c>
      <c r="P406">
        <f t="shared" si="88"/>
        <v>405</v>
      </c>
      <c r="Q406" s="5" t="str">
        <f t="shared" si="80"/>
        <v>H</v>
      </c>
      <c r="R406" s="6" t="str">
        <f t="shared" si="81"/>
        <v>J</v>
      </c>
      <c r="S406" s="6" t="str">
        <f t="shared" si="82"/>
        <v>B</v>
      </c>
      <c r="T406" s="6" t="str">
        <f t="shared" si="83"/>
        <v>C</v>
      </c>
      <c r="U406" s="6" t="str">
        <f t="shared" si="84"/>
        <v>A</v>
      </c>
      <c r="V406" s="6" t="str">
        <f t="shared" si="85"/>
        <v>G</v>
      </c>
      <c r="W406" s="6" t="str">
        <f t="shared" si="86"/>
        <v>E</v>
      </c>
      <c r="X406" s="6" t="str">
        <f t="shared" si="87"/>
        <v>I</v>
      </c>
      <c r="Y406" s="8">
        <f t="shared" si="89"/>
        <v>5</v>
      </c>
    </row>
    <row r="407" spans="1:25" x14ac:dyDescent="0.2">
      <c r="A407" t="s">
        <v>741</v>
      </c>
      <c r="F407">
        <v>406</v>
      </c>
      <c r="G407" t="s">
        <v>324</v>
      </c>
      <c r="H407" t="s">
        <v>325</v>
      </c>
      <c r="I407" t="s">
        <v>336</v>
      </c>
      <c r="J407" t="s">
        <v>338</v>
      </c>
      <c r="K407" t="s">
        <v>333</v>
      </c>
      <c r="L407" t="s">
        <v>327</v>
      </c>
      <c r="M407" t="s">
        <v>330</v>
      </c>
      <c r="N407" t="s">
        <v>331</v>
      </c>
      <c r="P407">
        <f t="shared" si="88"/>
        <v>406</v>
      </c>
      <c r="Q407" s="5" t="str">
        <f t="shared" si="80"/>
        <v>E</v>
      </c>
      <c r="R407" s="6" t="str">
        <f t="shared" si="81"/>
        <v>J</v>
      </c>
      <c r="S407" s="6" t="str">
        <f t="shared" si="82"/>
        <v>B</v>
      </c>
      <c r="T407" s="6" t="str">
        <f t="shared" si="83"/>
        <v>C</v>
      </c>
      <c r="U407" s="6" t="str">
        <f t="shared" si="84"/>
        <v>A</v>
      </c>
      <c r="V407" s="6" t="str">
        <f t="shared" si="85"/>
        <v>F</v>
      </c>
      <c r="W407" s="6" t="str">
        <f t="shared" si="86"/>
        <v>L</v>
      </c>
      <c r="X407" s="6" t="str">
        <f t="shared" si="87"/>
        <v>K</v>
      </c>
      <c r="Y407" s="8">
        <f t="shared" si="89"/>
        <v>5</v>
      </c>
    </row>
    <row r="408" spans="1:25" x14ac:dyDescent="0.2">
      <c r="A408" t="s">
        <v>742</v>
      </c>
      <c r="F408">
        <v>407</v>
      </c>
      <c r="G408" t="s">
        <v>324</v>
      </c>
      <c r="H408" t="s">
        <v>326</v>
      </c>
      <c r="I408" t="s">
        <v>336</v>
      </c>
      <c r="J408" t="s">
        <v>338</v>
      </c>
      <c r="K408" t="s">
        <v>333</v>
      </c>
      <c r="L408" t="s">
        <v>327</v>
      </c>
      <c r="M408" t="s">
        <v>330</v>
      </c>
      <c r="N408" t="s">
        <v>331</v>
      </c>
      <c r="P408">
        <f t="shared" si="88"/>
        <v>407</v>
      </c>
      <c r="Q408" s="5" t="str">
        <f t="shared" si="80"/>
        <v>E</v>
      </c>
      <c r="R408" s="6" t="str">
        <f t="shared" si="81"/>
        <v>I</v>
      </c>
      <c r="S408" s="6" t="str">
        <f t="shared" si="82"/>
        <v>B</v>
      </c>
      <c r="T408" s="6" t="str">
        <f t="shared" si="83"/>
        <v>C</v>
      </c>
      <c r="U408" s="6" t="str">
        <f t="shared" si="84"/>
        <v>A</v>
      </c>
      <c r="V408" s="6" t="str">
        <f t="shared" si="85"/>
        <v>F</v>
      </c>
      <c r="W408" s="6" t="str">
        <f t="shared" si="86"/>
        <v>L</v>
      </c>
      <c r="X408" s="6" t="str">
        <f t="shared" si="87"/>
        <v>K</v>
      </c>
      <c r="Y408" s="8">
        <f t="shared" si="89"/>
        <v>5</v>
      </c>
    </row>
    <row r="409" spans="1:25" x14ac:dyDescent="0.2">
      <c r="A409" t="s">
        <v>743</v>
      </c>
      <c r="F409">
        <v>408</v>
      </c>
      <c r="G409" t="s">
        <v>324</v>
      </c>
      <c r="H409" t="s">
        <v>325</v>
      </c>
      <c r="I409" t="s">
        <v>336</v>
      </c>
      <c r="J409" t="s">
        <v>338</v>
      </c>
      <c r="K409" t="s">
        <v>333</v>
      </c>
      <c r="L409" t="s">
        <v>327</v>
      </c>
      <c r="M409" t="s">
        <v>330</v>
      </c>
      <c r="N409" t="s">
        <v>326</v>
      </c>
      <c r="P409">
        <f t="shared" si="88"/>
        <v>408</v>
      </c>
      <c r="Q409" s="5" t="str">
        <f t="shared" si="80"/>
        <v>E</v>
      </c>
      <c r="R409" s="6" t="str">
        <f t="shared" si="81"/>
        <v>J</v>
      </c>
      <c r="S409" s="6" t="str">
        <f t="shared" si="82"/>
        <v>B</v>
      </c>
      <c r="T409" s="6" t="str">
        <f t="shared" si="83"/>
        <v>C</v>
      </c>
      <c r="U409" s="6" t="str">
        <f t="shared" si="84"/>
        <v>A</v>
      </c>
      <c r="V409" s="6" t="str">
        <f t="shared" si="85"/>
        <v>F</v>
      </c>
      <c r="W409" s="6" t="str">
        <f t="shared" si="86"/>
        <v>L</v>
      </c>
      <c r="X409" s="6" t="str">
        <f t="shared" si="87"/>
        <v>I</v>
      </c>
      <c r="Y409" s="8">
        <f t="shared" si="89"/>
        <v>6</v>
      </c>
    </row>
    <row r="410" spans="1:25" x14ac:dyDescent="0.2">
      <c r="A410" t="s">
        <v>744</v>
      </c>
      <c r="F410">
        <v>409</v>
      </c>
      <c r="G410" t="s">
        <v>324</v>
      </c>
      <c r="H410" t="s">
        <v>325</v>
      </c>
      <c r="I410" t="s">
        <v>336</v>
      </c>
      <c r="J410" t="s">
        <v>338</v>
      </c>
      <c r="K410" t="s">
        <v>333</v>
      </c>
      <c r="L410" t="s">
        <v>327</v>
      </c>
      <c r="M410" t="s">
        <v>326</v>
      </c>
      <c r="N410" t="s">
        <v>331</v>
      </c>
      <c r="P410">
        <f t="shared" si="88"/>
        <v>409</v>
      </c>
      <c r="Q410" s="5" t="str">
        <f t="shared" si="80"/>
        <v>E</v>
      </c>
      <c r="R410" s="6" t="str">
        <f t="shared" si="81"/>
        <v>J</v>
      </c>
      <c r="S410" s="6" t="str">
        <f t="shared" si="82"/>
        <v>B</v>
      </c>
      <c r="T410" s="6" t="str">
        <f t="shared" si="83"/>
        <v>C</v>
      </c>
      <c r="U410" s="6" t="str">
        <f t="shared" si="84"/>
        <v>A</v>
      </c>
      <c r="V410" s="6" t="str">
        <f t="shared" si="85"/>
        <v>F</v>
      </c>
      <c r="W410" s="6" t="str">
        <f t="shared" si="86"/>
        <v>I</v>
      </c>
      <c r="X410" s="6" t="str">
        <f t="shared" si="87"/>
        <v>K</v>
      </c>
      <c r="Y410" s="8">
        <f t="shared" si="89"/>
        <v>5</v>
      </c>
    </row>
    <row r="411" spans="1:25" x14ac:dyDescent="0.2">
      <c r="A411" t="s">
        <v>745</v>
      </c>
      <c r="F411">
        <v>410</v>
      </c>
      <c r="G411" t="s">
        <v>328</v>
      </c>
      <c r="H411" t="s">
        <v>324</v>
      </c>
      <c r="I411" t="s">
        <v>336</v>
      </c>
      <c r="J411" t="s">
        <v>338</v>
      </c>
      <c r="K411" t="s">
        <v>333</v>
      </c>
      <c r="L411" t="s">
        <v>327</v>
      </c>
      <c r="M411" t="s">
        <v>330</v>
      </c>
      <c r="N411" t="s">
        <v>331</v>
      </c>
      <c r="P411">
        <f t="shared" si="88"/>
        <v>410</v>
      </c>
      <c r="Q411" s="5" t="str">
        <f t="shared" si="80"/>
        <v>H</v>
      </c>
      <c r="R411" s="6" t="str">
        <f t="shared" si="81"/>
        <v>E</v>
      </c>
      <c r="S411" s="6" t="str">
        <f t="shared" si="82"/>
        <v>B</v>
      </c>
      <c r="T411" s="6" t="str">
        <f t="shared" si="83"/>
        <v>C</v>
      </c>
      <c r="U411" s="6" t="str">
        <f t="shared" si="84"/>
        <v>A</v>
      </c>
      <c r="V411" s="6" t="str">
        <f t="shared" si="85"/>
        <v>F</v>
      </c>
      <c r="W411" s="6" t="str">
        <f t="shared" si="86"/>
        <v>L</v>
      </c>
      <c r="X411" s="6" t="str">
        <f t="shared" si="87"/>
        <v>K</v>
      </c>
      <c r="Y411" s="8">
        <f t="shared" si="89"/>
        <v>4</v>
      </c>
    </row>
    <row r="412" spans="1:25" x14ac:dyDescent="0.2">
      <c r="A412" t="s">
        <v>746</v>
      </c>
      <c r="F412">
        <v>411</v>
      </c>
      <c r="G412" t="s">
        <v>328</v>
      </c>
      <c r="H412" t="s">
        <v>325</v>
      </c>
      <c r="I412" t="s">
        <v>336</v>
      </c>
      <c r="J412" t="s">
        <v>338</v>
      </c>
      <c r="K412" t="s">
        <v>333</v>
      </c>
      <c r="L412" t="s">
        <v>327</v>
      </c>
      <c r="M412" t="s">
        <v>330</v>
      </c>
      <c r="N412" t="s">
        <v>324</v>
      </c>
      <c r="P412">
        <f t="shared" si="88"/>
        <v>411</v>
      </c>
      <c r="Q412" s="5" t="str">
        <f t="shared" si="80"/>
        <v>H</v>
      </c>
      <c r="R412" s="6" t="str">
        <f t="shared" si="81"/>
        <v>J</v>
      </c>
      <c r="S412" s="6" t="str">
        <f t="shared" si="82"/>
        <v>B</v>
      </c>
      <c r="T412" s="6" t="str">
        <f t="shared" si="83"/>
        <v>C</v>
      </c>
      <c r="U412" s="6" t="str">
        <f t="shared" si="84"/>
        <v>A</v>
      </c>
      <c r="V412" s="6" t="str">
        <f t="shared" si="85"/>
        <v>F</v>
      </c>
      <c r="W412" s="6" t="str">
        <f t="shared" si="86"/>
        <v>L</v>
      </c>
      <c r="X412" s="6" t="str">
        <f t="shared" si="87"/>
        <v>E</v>
      </c>
      <c r="Y412" s="8">
        <f t="shared" si="89"/>
        <v>5</v>
      </c>
    </row>
    <row r="413" spans="1:25" x14ac:dyDescent="0.2">
      <c r="A413" t="s">
        <v>747</v>
      </c>
      <c r="F413">
        <v>412</v>
      </c>
      <c r="G413" t="s">
        <v>328</v>
      </c>
      <c r="H413" t="s">
        <v>325</v>
      </c>
      <c r="I413" t="s">
        <v>336</v>
      </c>
      <c r="J413" t="s">
        <v>338</v>
      </c>
      <c r="K413" t="s">
        <v>333</v>
      </c>
      <c r="L413" t="s">
        <v>327</v>
      </c>
      <c r="M413" t="s">
        <v>324</v>
      </c>
      <c r="N413" t="s">
        <v>331</v>
      </c>
      <c r="P413">
        <f t="shared" si="88"/>
        <v>412</v>
      </c>
      <c r="Q413" s="5" t="str">
        <f t="shared" si="80"/>
        <v>H</v>
      </c>
      <c r="R413" s="6" t="str">
        <f t="shared" si="81"/>
        <v>J</v>
      </c>
      <c r="S413" s="6" t="str">
        <f t="shared" si="82"/>
        <v>B</v>
      </c>
      <c r="T413" s="6" t="str">
        <f t="shared" si="83"/>
        <v>C</v>
      </c>
      <c r="U413" s="6" t="str">
        <f t="shared" si="84"/>
        <v>A</v>
      </c>
      <c r="V413" s="6" t="str">
        <f t="shared" si="85"/>
        <v>F</v>
      </c>
      <c r="W413" s="6" t="str">
        <f t="shared" si="86"/>
        <v>E</v>
      </c>
      <c r="X413" s="6" t="str">
        <f t="shared" si="87"/>
        <v>K</v>
      </c>
      <c r="Y413" s="8">
        <f t="shared" si="89"/>
        <v>4</v>
      </c>
    </row>
    <row r="414" spans="1:25" x14ac:dyDescent="0.2">
      <c r="A414" t="s">
        <v>748</v>
      </c>
      <c r="F414">
        <v>413</v>
      </c>
      <c r="G414" t="s">
        <v>328</v>
      </c>
      <c r="H414" t="s">
        <v>324</v>
      </c>
      <c r="I414" t="s">
        <v>336</v>
      </c>
      <c r="J414" t="s">
        <v>338</v>
      </c>
      <c r="K414" t="s">
        <v>333</v>
      </c>
      <c r="L414" t="s">
        <v>327</v>
      </c>
      <c r="M414" t="s">
        <v>330</v>
      </c>
      <c r="N414" t="s">
        <v>326</v>
      </c>
      <c r="P414">
        <f t="shared" si="88"/>
        <v>413</v>
      </c>
      <c r="Q414" s="5" t="str">
        <f t="shared" si="80"/>
        <v>H</v>
      </c>
      <c r="R414" s="6" t="str">
        <f t="shared" si="81"/>
        <v>E</v>
      </c>
      <c r="S414" s="6" t="str">
        <f t="shared" si="82"/>
        <v>B</v>
      </c>
      <c r="T414" s="6" t="str">
        <f t="shared" si="83"/>
        <v>C</v>
      </c>
      <c r="U414" s="6" t="str">
        <f t="shared" si="84"/>
        <v>A</v>
      </c>
      <c r="V414" s="6" t="str">
        <f t="shared" si="85"/>
        <v>F</v>
      </c>
      <c r="W414" s="6" t="str">
        <f t="shared" si="86"/>
        <v>L</v>
      </c>
      <c r="X414" s="6" t="str">
        <f t="shared" si="87"/>
        <v>I</v>
      </c>
      <c r="Y414" s="8">
        <f t="shared" si="89"/>
        <v>5</v>
      </c>
    </row>
    <row r="415" spans="1:25" x14ac:dyDescent="0.2">
      <c r="A415" t="s">
        <v>749</v>
      </c>
      <c r="F415">
        <v>414</v>
      </c>
      <c r="G415" t="s">
        <v>328</v>
      </c>
      <c r="H415" t="s">
        <v>324</v>
      </c>
      <c r="I415" t="s">
        <v>336</v>
      </c>
      <c r="J415" t="s">
        <v>338</v>
      </c>
      <c r="K415" t="s">
        <v>333</v>
      </c>
      <c r="L415" t="s">
        <v>327</v>
      </c>
      <c r="M415" t="s">
        <v>326</v>
      </c>
      <c r="N415" t="s">
        <v>331</v>
      </c>
      <c r="P415">
        <f t="shared" si="88"/>
        <v>414</v>
      </c>
      <c r="Q415" s="5" t="str">
        <f t="shared" si="80"/>
        <v>H</v>
      </c>
      <c r="R415" s="6" t="str">
        <f t="shared" si="81"/>
        <v>E</v>
      </c>
      <c r="S415" s="6" t="str">
        <f t="shared" si="82"/>
        <v>B</v>
      </c>
      <c r="T415" s="6" t="str">
        <f t="shared" si="83"/>
        <v>C</v>
      </c>
      <c r="U415" s="6" t="str">
        <f t="shared" si="84"/>
        <v>A</v>
      </c>
      <c r="V415" s="6" t="str">
        <f t="shared" si="85"/>
        <v>F</v>
      </c>
      <c r="W415" s="6" t="str">
        <f t="shared" si="86"/>
        <v>I</v>
      </c>
      <c r="X415" s="6" t="str">
        <f t="shared" si="87"/>
        <v>K</v>
      </c>
      <c r="Y415" s="8">
        <f t="shared" si="89"/>
        <v>4</v>
      </c>
    </row>
    <row r="416" spans="1:25" x14ac:dyDescent="0.2">
      <c r="A416" t="s">
        <v>750</v>
      </c>
      <c r="F416">
        <v>415</v>
      </c>
      <c r="G416" t="s">
        <v>328</v>
      </c>
      <c r="H416" t="s">
        <v>325</v>
      </c>
      <c r="I416" t="s">
        <v>336</v>
      </c>
      <c r="J416" t="s">
        <v>338</v>
      </c>
      <c r="K416" t="s">
        <v>333</v>
      </c>
      <c r="L416" t="s">
        <v>327</v>
      </c>
      <c r="M416" t="s">
        <v>324</v>
      </c>
      <c r="N416" t="s">
        <v>326</v>
      </c>
      <c r="P416">
        <f t="shared" si="88"/>
        <v>415</v>
      </c>
      <c r="Q416" s="5" t="str">
        <f t="shared" si="80"/>
        <v>H</v>
      </c>
      <c r="R416" s="6" t="str">
        <f t="shared" si="81"/>
        <v>J</v>
      </c>
      <c r="S416" s="6" t="str">
        <f t="shared" si="82"/>
        <v>B</v>
      </c>
      <c r="T416" s="6" t="str">
        <f t="shared" si="83"/>
        <v>C</v>
      </c>
      <c r="U416" s="6" t="str">
        <f t="shared" si="84"/>
        <v>A</v>
      </c>
      <c r="V416" s="6" t="str">
        <f t="shared" si="85"/>
        <v>F</v>
      </c>
      <c r="W416" s="6" t="str">
        <f t="shared" si="86"/>
        <v>E</v>
      </c>
      <c r="X416" s="6" t="str">
        <f t="shared" si="87"/>
        <v>I</v>
      </c>
      <c r="Y416" s="8">
        <f t="shared" si="89"/>
        <v>5</v>
      </c>
    </row>
    <row r="417" spans="1:25" x14ac:dyDescent="0.2">
      <c r="A417" t="s">
        <v>751</v>
      </c>
      <c r="F417">
        <v>416</v>
      </c>
      <c r="G417" t="s">
        <v>324</v>
      </c>
      <c r="H417" t="s">
        <v>329</v>
      </c>
      <c r="I417" t="s">
        <v>336</v>
      </c>
      <c r="J417" t="s">
        <v>338</v>
      </c>
      <c r="K417" t="s">
        <v>333</v>
      </c>
      <c r="L417" t="s">
        <v>327</v>
      </c>
      <c r="M417" t="s">
        <v>330</v>
      </c>
      <c r="N417" t="s">
        <v>331</v>
      </c>
      <c r="P417">
        <f t="shared" si="88"/>
        <v>416</v>
      </c>
      <c r="Q417" s="5" t="str">
        <f t="shared" si="80"/>
        <v>E</v>
      </c>
      <c r="R417" s="6" t="str">
        <f t="shared" si="81"/>
        <v>G</v>
      </c>
      <c r="S417" s="6" t="str">
        <f t="shared" si="82"/>
        <v>B</v>
      </c>
      <c r="T417" s="6" t="str">
        <f t="shared" si="83"/>
        <v>C</v>
      </c>
      <c r="U417" s="6" t="str">
        <f t="shared" si="84"/>
        <v>A</v>
      </c>
      <c r="V417" s="6" t="str">
        <f t="shared" si="85"/>
        <v>F</v>
      </c>
      <c r="W417" s="6" t="str">
        <f t="shared" si="86"/>
        <v>L</v>
      </c>
      <c r="X417" s="6" t="str">
        <f t="shared" si="87"/>
        <v>K</v>
      </c>
      <c r="Y417" s="8">
        <f t="shared" si="89"/>
        <v>5</v>
      </c>
    </row>
    <row r="418" spans="1:25" x14ac:dyDescent="0.2">
      <c r="A418" t="s">
        <v>752</v>
      </c>
      <c r="F418">
        <v>417</v>
      </c>
      <c r="G418" t="s">
        <v>324</v>
      </c>
      <c r="H418" t="s">
        <v>329</v>
      </c>
      <c r="I418" t="s">
        <v>336</v>
      </c>
      <c r="J418" t="s">
        <v>338</v>
      </c>
      <c r="K418" t="s">
        <v>333</v>
      </c>
      <c r="L418" t="s">
        <v>327</v>
      </c>
      <c r="M418" t="s">
        <v>330</v>
      </c>
      <c r="N418" t="s">
        <v>325</v>
      </c>
      <c r="P418">
        <f t="shared" si="88"/>
        <v>417</v>
      </c>
      <c r="Q418" s="5" t="str">
        <f t="shared" si="80"/>
        <v>E</v>
      </c>
      <c r="R418" s="6" t="str">
        <f t="shared" si="81"/>
        <v>G</v>
      </c>
      <c r="S418" s="6" t="str">
        <f t="shared" si="82"/>
        <v>B</v>
      </c>
      <c r="T418" s="6" t="str">
        <f t="shared" si="83"/>
        <v>C</v>
      </c>
      <c r="U418" s="6" t="str">
        <f t="shared" si="84"/>
        <v>A</v>
      </c>
      <c r="V418" s="6" t="str">
        <f t="shared" si="85"/>
        <v>F</v>
      </c>
      <c r="W418" s="6" t="str">
        <f t="shared" si="86"/>
        <v>L</v>
      </c>
      <c r="X418" s="6" t="str">
        <f t="shared" si="87"/>
        <v>J</v>
      </c>
      <c r="Y418" s="8">
        <f t="shared" si="89"/>
        <v>6</v>
      </c>
    </row>
    <row r="419" spans="1:25" x14ac:dyDescent="0.2">
      <c r="A419" t="s">
        <v>753</v>
      </c>
      <c r="F419">
        <v>418</v>
      </c>
      <c r="G419" t="s">
        <v>324</v>
      </c>
      <c r="H419" t="s">
        <v>329</v>
      </c>
      <c r="I419" t="s">
        <v>336</v>
      </c>
      <c r="J419" t="s">
        <v>338</v>
      </c>
      <c r="K419" t="s">
        <v>333</v>
      </c>
      <c r="L419" t="s">
        <v>327</v>
      </c>
      <c r="M419" t="s">
        <v>325</v>
      </c>
      <c r="N419" t="s">
        <v>331</v>
      </c>
      <c r="P419">
        <f t="shared" si="88"/>
        <v>418</v>
      </c>
      <c r="Q419" s="5" t="str">
        <f t="shared" si="80"/>
        <v>E</v>
      </c>
      <c r="R419" s="6" t="str">
        <f t="shared" si="81"/>
        <v>G</v>
      </c>
      <c r="S419" s="6" t="str">
        <f t="shared" si="82"/>
        <v>B</v>
      </c>
      <c r="T419" s="6" t="str">
        <f t="shared" si="83"/>
        <v>C</v>
      </c>
      <c r="U419" s="6" t="str">
        <f t="shared" si="84"/>
        <v>A</v>
      </c>
      <c r="V419" s="6" t="str">
        <f t="shared" si="85"/>
        <v>F</v>
      </c>
      <c r="W419" s="6" t="str">
        <f t="shared" si="86"/>
        <v>J</v>
      </c>
      <c r="X419" s="6" t="str">
        <f t="shared" si="87"/>
        <v>K</v>
      </c>
      <c r="Y419" s="8">
        <f t="shared" si="89"/>
        <v>5</v>
      </c>
    </row>
    <row r="420" spans="1:25" x14ac:dyDescent="0.2">
      <c r="A420" t="s">
        <v>754</v>
      </c>
      <c r="F420">
        <v>419</v>
      </c>
      <c r="G420" t="s">
        <v>324</v>
      </c>
      <c r="H420" t="s">
        <v>329</v>
      </c>
      <c r="I420" t="s">
        <v>336</v>
      </c>
      <c r="J420" t="s">
        <v>338</v>
      </c>
      <c r="K420" t="s">
        <v>333</v>
      </c>
      <c r="L420" t="s">
        <v>327</v>
      </c>
      <c r="M420" t="s">
        <v>330</v>
      </c>
      <c r="N420" t="s">
        <v>326</v>
      </c>
      <c r="P420">
        <f t="shared" si="88"/>
        <v>419</v>
      </c>
      <c r="Q420" s="5" t="str">
        <f t="shared" si="80"/>
        <v>E</v>
      </c>
      <c r="R420" s="6" t="str">
        <f t="shared" si="81"/>
        <v>G</v>
      </c>
      <c r="S420" s="6" t="str">
        <f t="shared" si="82"/>
        <v>B</v>
      </c>
      <c r="T420" s="6" t="str">
        <f t="shared" si="83"/>
        <v>C</v>
      </c>
      <c r="U420" s="6" t="str">
        <f t="shared" si="84"/>
        <v>A</v>
      </c>
      <c r="V420" s="6" t="str">
        <f t="shared" si="85"/>
        <v>F</v>
      </c>
      <c r="W420" s="6" t="str">
        <f t="shared" si="86"/>
        <v>L</v>
      </c>
      <c r="X420" s="6" t="str">
        <f t="shared" si="87"/>
        <v>I</v>
      </c>
      <c r="Y420" s="8">
        <f t="shared" si="89"/>
        <v>6</v>
      </c>
    </row>
    <row r="421" spans="1:25" x14ac:dyDescent="0.2">
      <c r="A421" t="s">
        <v>755</v>
      </c>
      <c r="F421">
        <v>420</v>
      </c>
      <c r="G421" t="s">
        <v>324</v>
      </c>
      <c r="H421" t="s">
        <v>329</v>
      </c>
      <c r="I421" t="s">
        <v>336</v>
      </c>
      <c r="J421" t="s">
        <v>338</v>
      </c>
      <c r="K421" t="s">
        <v>333</v>
      </c>
      <c r="L421" t="s">
        <v>327</v>
      </c>
      <c r="M421" t="s">
        <v>326</v>
      </c>
      <c r="N421" t="s">
        <v>331</v>
      </c>
      <c r="P421">
        <f t="shared" si="88"/>
        <v>420</v>
      </c>
      <c r="Q421" s="5" t="str">
        <f t="shared" si="80"/>
        <v>E</v>
      </c>
      <c r="R421" s="6" t="str">
        <f t="shared" si="81"/>
        <v>G</v>
      </c>
      <c r="S421" s="6" t="str">
        <f t="shared" si="82"/>
        <v>B</v>
      </c>
      <c r="T421" s="6" t="str">
        <f t="shared" si="83"/>
        <v>C</v>
      </c>
      <c r="U421" s="6" t="str">
        <f t="shared" si="84"/>
        <v>A</v>
      </c>
      <c r="V421" s="6" t="str">
        <f t="shared" si="85"/>
        <v>F</v>
      </c>
      <c r="W421" s="6" t="str">
        <f t="shared" si="86"/>
        <v>I</v>
      </c>
      <c r="X421" s="6" t="str">
        <f t="shared" si="87"/>
        <v>K</v>
      </c>
      <c r="Y421" s="8">
        <f t="shared" si="89"/>
        <v>5</v>
      </c>
    </row>
    <row r="422" spans="1:25" x14ac:dyDescent="0.2">
      <c r="A422" t="s">
        <v>756</v>
      </c>
      <c r="F422">
        <v>421</v>
      </c>
      <c r="G422" t="s">
        <v>324</v>
      </c>
      <c r="H422" t="s">
        <v>329</v>
      </c>
      <c r="I422" t="s">
        <v>336</v>
      </c>
      <c r="J422" t="s">
        <v>338</v>
      </c>
      <c r="K422" t="s">
        <v>333</v>
      </c>
      <c r="L422" t="s">
        <v>327</v>
      </c>
      <c r="M422" t="s">
        <v>326</v>
      </c>
      <c r="N422" t="s">
        <v>325</v>
      </c>
      <c r="P422">
        <f t="shared" si="88"/>
        <v>421</v>
      </c>
      <c r="Q422" s="5" t="str">
        <f t="shared" si="80"/>
        <v>E</v>
      </c>
      <c r="R422" s="6" t="str">
        <f t="shared" si="81"/>
        <v>G</v>
      </c>
      <c r="S422" s="6" t="str">
        <f t="shared" si="82"/>
        <v>B</v>
      </c>
      <c r="T422" s="6" t="str">
        <f t="shared" si="83"/>
        <v>C</v>
      </c>
      <c r="U422" s="6" t="str">
        <f t="shared" si="84"/>
        <v>A</v>
      </c>
      <c r="V422" s="6" t="str">
        <f t="shared" si="85"/>
        <v>F</v>
      </c>
      <c r="W422" s="6" t="str">
        <f t="shared" si="86"/>
        <v>I</v>
      </c>
      <c r="X422" s="6" t="str">
        <f t="shared" si="87"/>
        <v>J</v>
      </c>
      <c r="Y422" s="8">
        <f t="shared" si="89"/>
        <v>6</v>
      </c>
    </row>
    <row r="423" spans="1:25" x14ac:dyDescent="0.2">
      <c r="A423" t="s">
        <v>757</v>
      </c>
      <c r="F423">
        <v>422</v>
      </c>
      <c r="G423" t="s">
        <v>328</v>
      </c>
      <c r="H423" t="s">
        <v>329</v>
      </c>
      <c r="I423" t="s">
        <v>336</v>
      </c>
      <c r="J423" t="s">
        <v>338</v>
      </c>
      <c r="K423" t="s">
        <v>333</v>
      </c>
      <c r="L423" t="s">
        <v>327</v>
      </c>
      <c r="M423" t="s">
        <v>330</v>
      </c>
      <c r="N423" t="s">
        <v>324</v>
      </c>
      <c r="P423">
        <f t="shared" si="88"/>
        <v>422</v>
      </c>
      <c r="Q423" s="5" t="str">
        <f t="shared" si="80"/>
        <v>H</v>
      </c>
      <c r="R423" s="6" t="str">
        <f t="shared" si="81"/>
        <v>G</v>
      </c>
      <c r="S423" s="6" t="str">
        <f t="shared" si="82"/>
        <v>B</v>
      </c>
      <c r="T423" s="6" t="str">
        <f t="shared" si="83"/>
        <v>C</v>
      </c>
      <c r="U423" s="6" t="str">
        <f t="shared" si="84"/>
        <v>A</v>
      </c>
      <c r="V423" s="6" t="str">
        <f t="shared" si="85"/>
        <v>F</v>
      </c>
      <c r="W423" s="6" t="str">
        <f t="shared" si="86"/>
        <v>L</v>
      </c>
      <c r="X423" s="6" t="str">
        <f t="shared" si="87"/>
        <v>E</v>
      </c>
      <c r="Y423" s="8">
        <f t="shared" si="89"/>
        <v>5</v>
      </c>
    </row>
    <row r="424" spans="1:25" x14ac:dyDescent="0.2">
      <c r="A424" t="s">
        <v>758</v>
      </c>
      <c r="F424">
        <v>423</v>
      </c>
      <c r="G424" t="s">
        <v>328</v>
      </c>
      <c r="H424" t="s">
        <v>329</v>
      </c>
      <c r="I424" t="s">
        <v>336</v>
      </c>
      <c r="J424" t="s">
        <v>338</v>
      </c>
      <c r="K424" t="s">
        <v>333</v>
      </c>
      <c r="L424" t="s">
        <v>327</v>
      </c>
      <c r="M424" t="s">
        <v>324</v>
      </c>
      <c r="N424" t="s">
        <v>331</v>
      </c>
      <c r="P424">
        <f t="shared" si="88"/>
        <v>423</v>
      </c>
      <c r="Q424" s="5" t="str">
        <f t="shared" si="80"/>
        <v>H</v>
      </c>
      <c r="R424" s="6" t="str">
        <f t="shared" si="81"/>
        <v>G</v>
      </c>
      <c r="S424" s="6" t="str">
        <f t="shared" si="82"/>
        <v>B</v>
      </c>
      <c r="T424" s="6" t="str">
        <f t="shared" si="83"/>
        <v>C</v>
      </c>
      <c r="U424" s="6" t="str">
        <f t="shared" si="84"/>
        <v>A</v>
      </c>
      <c r="V424" s="6" t="str">
        <f t="shared" si="85"/>
        <v>F</v>
      </c>
      <c r="W424" s="6" t="str">
        <f t="shared" si="86"/>
        <v>E</v>
      </c>
      <c r="X424" s="6" t="str">
        <f t="shared" si="87"/>
        <v>K</v>
      </c>
      <c r="Y424" s="8">
        <f t="shared" si="89"/>
        <v>4</v>
      </c>
    </row>
    <row r="425" spans="1:25" x14ac:dyDescent="0.2">
      <c r="A425" t="s">
        <v>759</v>
      </c>
      <c r="F425">
        <v>424</v>
      </c>
      <c r="G425" t="s">
        <v>328</v>
      </c>
      <c r="H425" t="s">
        <v>329</v>
      </c>
      <c r="I425" t="s">
        <v>336</v>
      </c>
      <c r="J425" t="s">
        <v>338</v>
      </c>
      <c r="K425" t="s">
        <v>333</v>
      </c>
      <c r="L425" t="s">
        <v>327</v>
      </c>
      <c r="M425" t="s">
        <v>324</v>
      </c>
      <c r="N425" t="s">
        <v>325</v>
      </c>
      <c r="P425">
        <f t="shared" si="88"/>
        <v>424</v>
      </c>
      <c r="Q425" s="5" t="str">
        <f t="shared" si="80"/>
        <v>H</v>
      </c>
      <c r="R425" s="6" t="str">
        <f t="shared" si="81"/>
        <v>G</v>
      </c>
      <c r="S425" s="6" t="str">
        <f t="shared" si="82"/>
        <v>B</v>
      </c>
      <c r="T425" s="6" t="str">
        <f t="shared" si="83"/>
        <v>C</v>
      </c>
      <c r="U425" s="6" t="str">
        <f t="shared" si="84"/>
        <v>A</v>
      </c>
      <c r="V425" s="6" t="str">
        <f t="shared" si="85"/>
        <v>F</v>
      </c>
      <c r="W425" s="6" t="str">
        <f t="shared" si="86"/>
        <v>E</v>
      </c>
      <c r="X425" s="6" t="str">
        <f t="shared" si="87"/>
        <v>J</v>
      </c>
      <c r="Y425" s="8">
        <f t="shared" si="89"/>
        <v>5</v>
      </c>
    </row>
    <row r="426" spans="1:25" x14ac:dyDescent="0.2">
      <c r="A426" t="s">
        <v>760</v>
      </c>
      <c r="F426">
        <v>425</v>
      </c>
      <c r="G426" t="s">
        <v>328</v>
      </c>
      <c r="H426" t="s">
        <v>329</v>
      </c>
      <c r="I426" t="s">
        <v>336</v>
      </c>
      <c r="J426" t="s">
        <v>338</v>
      </c>
      <c r="K426" t="s">
        <v>333</v>
      </c>
      <c r="L426" t="s">
        <v>327</v>
      </c>
      <c r="M426" t="s">
        <v>324</v>
      </c>
      <c r="N426" t="s">
        <v>326</v>
      </c>
      <c r="P426">
        <f t="shared" si="88"/>
        <v>425</v>
      </c>
      <c r="Q426" s="5" t="str">
        <f t="shared" si="80"/>
        <v>H</v>
      </c>
      <c r="R426" s="6" t="str">
        <f t="shared" si="81"/>
        <v>G</v>
      </c>
      <c r="S426" s="6" t="str">
        <f t="shared" si="82"/>
        <v>B</v>
      </c>
      <c r="T426" s="6" t="str">
        <f t="shared" si="83"/>
        <v>C</v>
      </c>
      <c r="U426" s="6" t="str">
        <f t="shared" si="84"/>
        <v>A</v>
      </c>
      <c r="V426" s="6" t="str">
        <f t="shared" si="85"/>
        <v>F</v>
      </c>
      <c r="W426" s="6" t="str">
        <f t="shared" si="86"/>
        <v>E</v>
      </c>
      <c r="X426" s="6" t="str">
        <f t="shared" si="87"/>
        <v>I</v>
      </c>
      <c r="Y426" s="8">
        <f t="shared" si="89"/>
        <v>5</v>
      </c>
    </row>
    <row r="427" spans="1:25" x14ac:dyDescent="0.2">
      <c r="A427" t="s">
        <v>761</v>
      </c>
      <c r="F427">
        <v>426</v>
      </c>
      <c r="G427" t="s">
        <v>326</v>
      </c>
      <c r="H427" t="s">
        <v>325</v>
      </c>
      <c r="I427" t="s">
        <v>336</v>
      </c>
      <c r="J427" t="s">
        <v>338</v>
      </c>
      <c r="K427" t="s">
        <v>333</v>
      </c>
      <c r="L427" t="s">
        <v>335</v>
      </c>
      <c r="M427" t="s">
        <v>330</v>
      </c>
      <c r="N427" t="s">
        <v>331</v>
      </c>
      <c r="P427">
        <f t="shared" si="88"/>
        <v>426</v>
      </c>
      <c r="Q427" s="5" t="str">
        <f t="shared" si="80"/>
        <v>I</v>
      </c>
      <c r="R427" s="6" t="str">
        <f t="shared" si="81"/>
        <v>J</v>
      </c>
      <c r="S427" s="6" t="str">
        <f t="shared" si="82"/>
        <v>B</v>
      </c>
      <c r="T427" s="6" t="str">
        <f t="shared" si="83"/>
        <v>C</v>
      </c>
      <c r="U427" s="6" t="str">
        <f t="shared" si="84"/>
        <v>A</v>
      </c>
      <c r="V427" s="6" t="str">
        <f t="shared" si="85"/>
        <v>D</v>
      </c>
      <c r="W427" s="6" t="str">
        <f t="shared" si="86"/>
        <v>L</v>
      </c>
      <c r="X427" s="6" t="str">
        <f t="shared" si="87"/>
        <v>K</v>
      </c>
      <c r="Y427" s="8">
        <f t="shared" si="89"/>
        <v>5</v>
      </c>
    </row>
    <row r="428" spans="1:25" x14ac:dyDescent="0.2">
      <c r="A428" t="s">
        <v>762</v>
      </c>
      <c r="F428">
        <v>427</v>
      </c>
      <c r="G428" t="s">
        <v>328</v>
      </c>
      <c r="H428" t="s">
        <v>325</v>
      </c>
      <c r="I428" t="s">
        <v>336</v>
      </c>
      <c r="J428" t="s">
        <v>338</v>
      </c>
      <c r="K428" t="s">
        <v>333</v>
      </c>
      <c r="L428" t="s">
        <v>335</v>
      </c>
      <c r="M428" t="s">
        <v>330</v>
      </c>
      <c r="N428" t="s">
        <v>331</v>
      </c>
      <c r="P428">
        <f t="shared" si="88"/>
        <v>427</v>
      </c>
      <c r="Q428" s="5" t="str">
        <f t="shared" si="80"/>
        <v>H</v>
      </c>
      <c r="R428" s="6" t="str">
        <f t="shared" si="81"/>
        <v>J</v>
      </c>
      <c r="S428" s="6" t="str">
        <f t="shared" si="82"/>
        <v>B</v>
      </c>
      <c r="T428" s="6" t="str">
        <f t="shared" si="83"/>
        <v>C</v>
      </c>
      <c r="U428" s="6" t="str">
        <f t="shared" si="84"/>
        <v>A</v>
      </c>
      <c r="V428" s="6" t="str">
        <f t="shared" si="85"/>
        <v>D</v>
      </c>
      <c r="W428" s="6" t="str">
        <f t="shared" si="86"/>
        <v>L</v>
      </c>
      <c r="X428" s="6" t="str">
        <f t="shared" si="87"/>
        <v>K</v>
      </c>
      <c r="Y428" s="8">
        <f t="shared" si="89"/>
        <v>4</v>
      </c>
    </row>
    <row r="429" spans="1:25" x14ac:dyDescent="0.2">
      <c r="A429" t="s">
        <v>763</v>
      </c>
      <c r="F429">
        <v>428</v>
      </c>
      <c r="G429" t="s">
        <v>328</v>
      </c>
      <c r="H429" t="s">
        <v>326</v>
      </c>
      <c r="I429" t="s">
        <v>336</v>
      </c>
      <c r="J429" t="s">
        <v>338</v>
      </c>
      <c r="K429" t="s">
        <v>333</v>
      </c>
      <c r="L429" t="s">
        <v>335</v>
      </c>
      <c r="M429" t="s">
        <v>330</v>
      </c>
      <c r="N429" t="s">
        <v>331</v>
      </c>
      <c r="P429">
        <f t="shared" si="88"/>
        <v>428</v>
      </c>
      <c r="Q429" s="5" t="str">
        <f t="shared" si="80"/>
        <v>H</v>
      </c>
      <c r="R429" s="6" t="str">
        <f t="shared" si="81"/>
        <v>I</v>
      </c>
      <c r="S429" s="6" t="str">
        <f t="shared" si="82"/>
        <v>B</v>
      </c>
      <c r="T429" s="6" t="str">
        <f t="shared" si="83"/>
        <v>C</v>
      </c>
      <c r="U429" s="6" t="str">
        <f t="shared" si="84"/>
        <v>A</v>
      </c>
      <c r="V429" s="6" t="str">
        <f t="shared" si="85"/>
        <v>D</v>
      </c>
      <c r="W429" s="6" t="str">
        <f t="shared" si="86"/>
        <v>L</v>
      </c>
      <c r="X429" s="6" t="str">
        <f t="shared" si="87"/>
        <v>K</v>
      </c>
      <c r="Y429" s="8">
        <f t="shared" si="89"/>
        <v>4</v>
      </c>
    </row>
    <row r="430" spans="1:25" x14ac:dyDescent="0.2">
      <c r="A430" t="s">
        <v>764</v>
      </c>
      <c r="F430">
        <v>429</v>
      </c>
      <c r="G430" t="s">
        <v>328</v>
      </c>
      <c r="H430" t="s">
        <v>325</v>
      </c>
      <c r="I430" t="s">
        <v>336</v>
      </c>
      <c r="J430" t="s">
        <v>338</v>
      </c>
      <c r="K430" t="s">
        <v>333</v>
      </c>
      <c r="L430" t="s">
        <v>335</v>
      </c>
      <c r="M430" t="s">
        <v>330</v>
      </c>
      <c r="N430" t="s">
        <v>326</v>
      </c>
      <c r="P430">
        <f t="shared" si="88"/>
        <v>429</v>
      </c>
      <c r="Q430" s="5" t="str">
        <f t="shared" si="80"/>
        <v>H</v>
      </c>
      <c r="R430" s="6" t="str">
        <f t="shared" si="81"/>
        <v>J</v>
      </c>
      <c r="S430" s="6" t="str">
        <f t="shared" si="82"/>
        <v>B</v>
      </c>
      <c r="T430" s="6" t="str">
        <f t="shared" si="83"/>
        <v>C</v>
      </c>
      <c r="U430" s="6" t="str">
        <f t="shared" si="84"/>
        <v>A</v>
      </c>
      <c r="V430" s="6" t="str">
        <f t="shared" si="85"/>
        <v>D</v>
      </c>
      <c r="W430" s="6" t="str">
        <f t="shared" si="86"/>
        <v>L</v>
      </c>
      <c r="X430" s="6" t="str">
        <f t="shared" si="87"/>
        <v>I</v>
      </c>
      <c r="Y430" s="8">
        <f t="shared" si="89"/>
        <v>5</v>
      </c>
    </row>
    <row r="431" spans="1:25" x14ac:dyDescent="0.2">
      <c r="A431" t="s">
        <v>765</v>
      </c>
      <c r="F431">
        <v>430</v>
      </c>
      <c r="G431" t="s">
        <v>328</v>
      </c>
      <c r="H431" t="s">
        <v>325</v>
      </c>
      <c r="I431" t="s">
        <v>336</v>
      </c>
      <c r="J431" t="s">
        <v>338</v>
      </c>
      <c r="K431" t="s">
        <v>333</v>
      </c>
      <c r="L431" t="s">
        <v>335</v>
      </c>
      <c r="M431" t="s">
        <v>326</v>
      </c>
      <c r="N431" t="s">
        <v>331</v>
      </c>
      <c r="P431">
        <f t="shared" si="88"/>
        <v>430</v>
      </c>
      <c r="Q431" s="5" t="str">
        <f t="shared" si="80"/>
        <v>H</v>
      </c>
      <c r="R431" s="6" t="str">
        <f t="shared" si="81"/>
        <v>J</v>
      </c>
      <c r="S431" s="6" t="str">
        <f t="shared" si="82"/>
        <v>B</v>
      </c>
      <c r="T431" s="6" t="str">
        <f t="shared" si="83"/>
        <v>C</v>
      </c>
      <c r="U431" s="6" t="str">
        <f t="shared" si="84"/>
        <v>A</v>
      </c>
      <c r="V431" s="6" t="str">
        <f t="shared" si="85"/>
        <v>D</v>
      </c>
      <c r="W431" s="6" t="str">
        <f t="shared" si="86"/>
        <v>I</v>
      </c>
      <c r="X431" s="6" t="str">
        <f t="shared" si="87"/>
        <v>K</v>
      </c>
      <c r="Y431" s="8">
        <f t="shared" si="89"/>
        <v>4</v>
      </c>
    </row>
    <row r="432" spans="1:25" x14ac:dyDescent="0.2">
      <c r="A432" t="s">
        <v>766</v>
      </c>
      <c r="F432">
        <v>431</v>
      </c>
      <c r="G432" t="s">
        <v>338</v>
      </c>
      <c r="H432" t="s">
        <v>325</v>
      </c>
      <c r="I432" t="s">
        <v>336</v>
      </c>
      <c r="J432" t="s">
        <v>335</v>
      </c>
      <c r="K432" t="s">
        <v>333</v>
      </c>
      <c r="L432" t="s">
        <v>329</v>
      </c>
      <c r="M432" t="s">
        <v>330</v>
      </c>
      <c r="N432" t="s">
        <v>331</v>
      </c>
      <c r="P432">
        <f t="shared" si="88"/>
        <v>431</v>
      </c>
      <c r="Q432" s="5" t="str">
        <f t="shared" si="80"/>
        <v>C</v>
      </c>
      <c r="R432" s="6" t="str">
        <f t="shared" si="81"/>
        <v>J</v>
      </c>
      <c r="S432" s="6" t="str">
        <f t="shared" si="82"/>
        <v>B</v>
      </c>
      <c r="T432" s="6" t="str">
        <f t="shared" si="83"/>
        <v>D</v>
      </c>
      <c r="U432" s="6" t="str">
        <f t="shared" si="84"/>
        <v>A</v>
      </c>
      <c r="V432" s="6" t="str">
        <f t="shared" si="85"/>
        <v>G</v>
      </c>
      <c r="W432" s="6" t="str">
        <f t="shared" si="86"/>
        <v>L</v>
      </c>
      <c r="X432" s="6" t="str">
        <f t="shared" si="87"/>
        <v>K</v>
      </c>
      <c r="Y432" s="8">
        <f t="shared" si="89"/>
        <v>5</v>
      </c>
    </row>
    <row r="433" spans="1:25" x14ac:dyDescent="0.2">
      <c r="A433" t="s">
        <v>767</v>
      </c>
      <c r="F433">
        <v>432</v>
      </c>
      <c r="G433" t="s">
        <v>326</v>
      </c>
      <c r="H433" t="s">
        <v>329</v>
      </c>
      <c r="I433" t="s">
        <v>336</v>
      </c>
      <c r="J433" t="s">
        <v>338</v>
      </c>
      <c r="K433" t="s">
        <v>333</v>
      </c>
      <c r="L433" t="s">
        <v>335</v>
      </c>
      <c r="M433" t="s">
        <v>330</v>
      </c>
      <c r="N433" t="s">
        <v>331</v>
      </c>
      <c r="P433">
        <f t="shared" si="88"/>
        <v>432</v>
      </c>
      <c r="Q433" s="5" t="str">
        <f t="shared" si="80"/>
        <v>I</v>
      </c>
      <c r="R433" s="6" t="str">
        <f t="shared" si="81"/>
        <v>G</v>
      </c>
      <c r="S433" s="6" t="str">
        <f t="shared" si="82"/>
        <v>B</v>
      </c>
      <c r="T433" s="6" t="str">
        <f t="shared" si="83"/>
        <v>C</v>
      </c>
      <c r="U433" s="6" t="str">
        <f t="shared" si="84"/>
        <v>A</v>
      </c>
      <c r="V433" s="6" t="str">
        <f t="shared" si="85"/>
        <v>D</v>
      </c>
      <c r="W433" s="6" t="str">
        <f t="shared" si="86"/>
        <v>L</v>
      </c>
      <c r="X433" s="6" t="str">
        <f t="shared" si="87"/>
        <v>K</v>
      </c>
      <c r="Y433" s="8">
        <f t="shared" si="89"/>
        <v>5</v>
      </c>
    </row>
    <row r="434" spans="1:25" x14ac:dyDescent="0.2">
      <c r="A434" t="s">
        <v>768</v>
      </c>
      <c r="F434">
        <v>433</v>
      </c>
      <c r="G434" t="s">
        <v>338</v>
      </c>
      <c r="H434" t="s">
        <v>325</v>
      </c>
      <c r="I434" t="s">
        <v>336</v>
      </c>
      <c r="J434" t="s">
        <v>335</v>
      </c>
      <c r="K434" t="s">
        <v>333</v>
      </c>
      <c r="L434" t="s">
        <v>329</v>
      </c>
      <c r="M434" t="s">
        <v>330</v>
      </c>
      <c r="N434" t="s">
        <v>326</v>
      </c>
      <c r="P434">
        <f t="shared" si="88"/>
        <v>433</v>
      </c>
      <c r="Q434" s="5" t="str">
        <f t="shared" si="80"/>
        <v>C</v>
      </c>
      <c r="R434" s="6" t="str">
        <f t="shared" si="81"/>
        <v>J</v>
      </c>
      <c r="S434" s="6" t="str">
        <f t="shared" si="82"/>
        <v>B</v>
      </c>
      <c r="T434" s="6" t="str">
        <f t="shared" si="83"/>
        <v>D</v>
      </c>
      <c r="U434" s="6" t="str">
        <f t="shared" si="84"/>
        <v>A</v>
      </c>
      <c r="V434" s="6" t="str">
        <f t="shared" si="85"/>
        <v>G</v>
      </c>
      <c r="W434" s="6" t="str">
        <f t="shared" si="86"/>
        <v>L</v>
      </c>
      <c r="X434" s="6" t="str">
        <f t="shared" si="87"/>
        <v>I</v>
      </c>
      <c r="Y434" s="8">
        <f t="shared" si="89"/>
        <v>6</v>
      </c>
    </row>
    <row r="435" spans="1:25" x14ac:dyDescent="0.2">
      <c r="A435" t="s">
        <v>769</v>
      </c>
      <c r="F435">
        <v>434</v>
      </c>
      <c r="G435" t="s">
        <v>338</v>
      </c>
      <c r="H435" t="s">
        <v>325</v>
      </c>
      <c r="I435" t="s">
        <v>336</v>
      </c>
      <c r="J435" t="s">
        <v>335</v>
      </c>
      <c r="K435" t="s">
        <v>333</v>
      </c>
      <c r="L435" t="s">
        <v>329</v>
      </c>
      <c r="M435" t="s">
        <v>326</v>
      </c>
      <c r="N435" t="s">
        <v>331</v>
      </c>
      <c r="P435">
        <f t="shared" si="88"/>
        <v>434</v>
      </c>
      <c r="Q435" s="5" t="str">
        <f t="shared" si="80"/>
        <v>C</v>
      </c>
      <c r="R435" s="6" t="str">
        <f t="shared" si="81"/>
        <v>J</v>
      </c>
      <c r="S435" s="6" t="str">
        <f t="shared" si="82"/>
        <v>B</v>
      </c>
      <c r="T435" s="6" t="str">
        <f t="shared" si="83"/>
        <v>D</v>
      </c>
      <c r="U435" s="6" t="str">
        <f t="shared" si="84"/>
        <v>A</v>
      </c>
      <c r="V435" s="6" t="str">
        <f t="shared" si="85"/>
        <v>G</v>
      </c>
      <c r="W435" s="6" t="str">
        <f t="shared" si="86"/>
        <v>I</v>
      </c>
      <c r="X435" s="6" t="str">
        <f t="shared" si="87"/>
        <v>K</v>
      </c>
      <c r="Y435" s="8">
        <f t="shared" si="89"/>
        <v>5</v>
      </c>
    </row>
    <row r="436" spans="1:25" x14ac:dyDescent="0.2">
      <c r="A436" t="s">
        <v>770</v>
      </c>
      <c r="F436">
        <v>435</v>
      </c>
      <c r="G436" t="s">
        <v>328</v>
      </c>
      <c r="H436" t="s">
        <v>329</v>
      </c>
      <c r="I436" t="s">
        <v>336</v>
      </c>
      <c r="J436" t="s">
        <v>338</v>
      </c>
      <c r="K436" t="s">
        <v>333</v>
      </c>
      <c r="L436" t="s">
        <v>335</v>
      </c>
      <c r="M436" t="s">
        <v>330</v>
      </c>
      <c r="N436" t="s">
        <v>331</v>
      </c>
      <c r="P436">
        <f t="shared" si="88"/>
        <v>435</v>
      </c>
      <c r="Q436" s="5" t="str">
        <f t="shared" si="80"/>
        <v>H</v>
      </c>
      <c r="R436" s="6" t="str">
        <f t="shared" si="81"/>
        <v>G</v>
      </c>
      <c r="S436" s="6" t="str">
        <f t="shared" si="82"/>
        <v>B</v>
      </c>
      <c r="T436" s="6" t="str">
        <f t="shared" si="83"/>
        <v>C</v>
      </c>
      <c r="U436" s="6" t="str">
        <f t="shared" si="84"/>
        <v>A</v>
      </c>
      <c r="V436" s="6" t="str">
        <f t="shared" si="85"/>
        <v>D</v>
      </c>
      <c r="W436" s="6" t="str">
        <f t="shared" si="86"/>
        <v>L</v>
      </c>
      <c r="X436" s="6" t="str">
        <f t="shared" si="87"/>
        <v>K</v>
      </c>
      <c r="Y436" s="8">
        <f t="shared" si="89"/>
        <v>4</v>
      </c>
    </row>
    <row r="437" spans="1:25" x14ac:dyDescent="0.2">
      <c r="A437" t="s">
        <v>771</v>
      </c>
      <c r="F437">
        <v>436</v>
      </c>
      <c r="G437" t="s">
        <v>328</v>
      </c>
      <c r="H437" t="s">
        <v>329</v>
      </c>
      <c r="I437" t="s">
        <v>336</v>
      </c>
      <c r="J437" t="s">
        <v>338</v>
      </c>
      <c r="K437" t="s">
        <v>333</v>
      </c>
      <c r="L437" t="s">
        <v>335</v>
      </c>
      <c r="M437" t="s">
        <v>330</v>
      </c>
      <c r="N437" t="s">
        <v>325</v>
      </c>
      <c r="P437">
        <f t="shared" si="88"/>
        <v>436</v>
      </c>
      <c r="Q437" s="5" t="str">
        <f t="shared" si="80"/>
        <v>H</v>
      </c>
      <c r="R437" s="6" t="str">
        <f t="shared" si="81"/>
        <v>G</v>
      </c>
      <c r="S437" s="6" t="str">
        <f t="shared" si="82"/>
        <v>B</v>
      </c>
      <c r="T437" s="6" t="str">
        <f t="shared" si="83"/>
        <v>C</v>
      </c>
      <c r="U437" s="6" t="str">
        <f t="shared" si="84"/>
        <v>A</v>
      </c>
      <c r="V437" s="6" t="str">
        <f t="shared" si="85"/>
        <v>D</v>
      </c>
      <c r="W437" s="6" t="str">
        <f t="shared" si="86"/>
        <v>L</v>
      </c>
      <c r="X437" s="6" t="str">
        <f t="shared" si="87"/>
        <v>J</v>
      </c>
      <c r="Y437" s="8">
        <f t="shared" si="89"/>
        <v>5</v>
      </c>
    </row>
    <row r="438" spans="1:25" x14ac:dyDescent="0.2">
      <c r="A438" t="s">
        <v>772</v>
      </c>
      <c r="F438">
        <v>437</v>
      </c>
      <c r="G438" t="s">
        <v>328</v>
      </c>
      <c r="H438" t="s">
        <v>329</v>
      </c>
      <c r="I438" t="s">
        <v>336</v>
      </c>
      <c r="J438" t="s">
        <v>338</v>
      </c>
      <c r="K438" t="s">
        <v>333</v>
      </c>
      <c r="L438" t="s">
        <v>335</v>
      </c>
      <c r="M438" t="s">
        <v>325</v>
      </c>
      <c r="N438" t="s">
        <v>331</v>
      </c>
      <c r="P438">
        <f t="shared" si="88"/>
        <v>437</v>
      </c>
      <c r="Q438" s="5" t="str">
        <f t="shared" si="80"/>
        <v>H</v>
      </c>
      <c r="R438" s="6" t="str">
        <f t="shared" si="81"/>
        <v>G</v>
      </c>
      <c r="S438" s="6" t="str">
        <f t="shared" si="82"/>
        <v>B</v>
      </c>
      <c r="T438" s="6" t="str">
        <f t="shared" si="83"/>
        <v>C</v>
      </c>
      <c r="U438" s="6" t="str">
        <f t="shared" si="84"/>
        <v>A</v>
      </c>
      <c r="V438" s="6" t="str">
        <f t="shared" si="85"/>
        <v>D</v>
      </c>
      <c r="W438" s="6" t="str">
        <f t="shared" si="86"/>
        <v>J</v>
      </c>
      <c r="X438" s="6" t="str">
        <f t="shared" si="87"/>
        <v>K</v>
      </c>
      <c r="Y438" s="8">
        <f t="shared" si="89"/>
        <v>4</v>
      </c>
    </row>
    <row r="439" spans="1:25" x14ac:dyDescent="0.2">
      <c r="A439" t="s">
        <v>773</v>
      </c>
      <c r="F439">
        <v>438</v>
      </c>
      <c r="G439" t="s">
        <v>328</v>
      </c>
      <c r="H439" t="s">
        <v>329</v>
      </c>
      <c r="I439" t="s">
        <v>336</v>
      </c>
      <c r="J439" t="s">
        <v>338</v>
      </c>
      <c r="K439" t="s">
        <v>333</v>
      </c>
      <c r="L439" t="s">
        <v>335</v>
      </c>
      <c r="M439" t="s">
        <v>330</v>
      </c>
      <c r="N439" t="s">
        <v>326</v>
      </c>
      <c r="P439">
        <f t="shared" si="88"/>
        <v>438</v>
      </c>
      <c r="Q439" s="5" t="str">
        <f t="shared" si="80"/>
        <v>H</v>
      </c>
      <c r="R439" s="6" t="str">
        <f t="shared" si="81"/>
        <v>G</v>
      </c>
      <c r="S439" s="6" t="str">
        <f t="shared" si="82"/>
        <v>B</v>
      </c>
      <c r="T439" s="6" t="str">
        <f t="shared" si="83"/>
        <v>C</v>
      </c>
      <c r="U439" s="6" t="str">
        <f t="shared" si="84"/>
        <v>A</v>
      </c>
      <c r="V439" s="6" t="str">
        <f t="shared" si="85"/>
        <v>D</v>
      </c>
      <c r="W439" s="6" t="str">
        <f t="shared" si="86"/>
        <v>L</v>
      </c>
      <c r="X439" s="6" t="str">
        <f t="shared" si="87"/>
        <v>I</v>
      </c>
      <c r="Y439" s="8">
        <f t="shared" si="89"/>
        <v>5</v>
      </c>
    </row>
    <row r="440" spans="1:25" x14ac:dyDescent="0.2">
      <c r="A440" t="s">
        <v>774</v>
      </c>
      <c r="F440">
        <v>439</v>
      </c>
      <c r="G440" t="s">
        <v>328</v>
      </c>
      <c r="H440" t="s">
        <v>329</v>
      </c>
      <c r="I440" t="s">
        <v>336</v>
      </c>
      <c r="J440" t="s">
        <v>338</v>
      </c>
      <c r="K440" t="s">
        <v>333</v>
      </c>
      <c r="L440" t="s">
        <v>335</v>
      </c>
      <c r="M440" t="s">
        <v>326</v>
      </c>
      <c r="N440" t="s">
        <v>331</v>
      </c>
      <c r="P440">
        <f t="shared" si="88"/>
        <v>439</v>
      </c>
      <c r="Q440" s="5" t="str">
        <f t="shared" si="80"/>
        <v>H</v>
      </c>
      <c r="R440" s="6" t="str">
        <f t="shared" si="81"/>
        <v>G</v>
      </c>
      <c r="S440" s="6" t="str">
        <f t="shared" si="82"/>
        <v>B</v>
      </c>
      <c r="T440" s="6" t="str">
        <f t="shared" si="83"/>
        <v>C</v>
      </c>
      <c r="U440" s="6" t="str">
        <f t="shared" si="84"/>
        <v>A</v>
      </c>
      <c r="V440" s="6" t="str">
        <f t="shared" si="85"/>
        <v>D</v>
      </c>
      <c r="W440" s="6" t="str">
        <f t="shared" si="86"/>
        <v>I</v>
      </c>
      <c r="X440" s="6" t="str">
        <f t="shared" si="87"/>
        <v>K</v>
      </c>
      <c r="Y440" s="8">
        <f t="shared" si="89"/>
        <v>4</v>
      </c>
    </row>
    <row r="441" spans="1:25" x14ac:dyDescent="0.2">
      <c r="A441" t="s">
        <v>775</v>
      </c>
      <c r="F441">
        <v>440</v>
      </c>
      <c r="G441" t="s">
        <v>328</v>
      </c>
      <c r="H441" t="s">
        <v>329</v>
      </c>
      <c r="I441" t="s">
        <v>336</v>
      </c>
      <c r="J441" t="s">
        <v>338</v>
      </c>
      <c r="K441" t="s">
        <v>333</v>
      </c>
      <c r="L441" t="s">
        <v>335</v>
      </c>
      <c r="M441" t="s">
        <v>326</v>
      </c>
      <c r="N441" t="s">
        <v>325</v>
      </c>
      <c r="P441">
        <f t="shared" si="88"/>
        <v>440</v>
      </c>
      <c r="Q441" s="5" t="str">
        <f t="shared" si="80"/>
        <v>H</v>
      </c>
      <c r="R441" s="6" t="str">
        <f t="shared" si="81"/>
        <v>G</v>
      </c>
      <c r="S441" s="6" t="str">
        <f t="shared" si="82"/>
        <v>B</v>
      </c>
      <c r="T441" s="6" t="str">
        <f t="shared" si="83"/>
        <v>C</v>
      </c>
      <c r="U441" s="6" t="str">
        <f t="shared" si="84"/>
        <v>A</v>
      </c>
      <c r="V441" s="6" t="str">
        <f t="shared" si="85"/>
        <v>D</v>
      </c>
      <c r="W441" s="6" t="str">
        <f t="shared" si="86"/>
        <v>I</v>
      </c>
      <c r="X441" s="6" t="str">
        <f t="shared" si="87"/>
        <v>J</v>
      </c>
      <c r="Y441" s="8">
        <f t="shared" si="89"/>
        <v>5</v>
      </c>
    </row>
    <row r="442" spans="1:25" x14ac:dyDescent="0.2">
      <c r="A442" t="s">
        <v>776</v>
      </c>
      <c r="F442">
        <v>441</v>
      </c>
      <c r="G442" t="s">
        <v>338</v>
      </c>
      <c r="H442" t="s">
        <v>325</v>
      </c>
      <c r="I442" t="s">
        <v>336</v>
      </c>
      <c r="J442" t="s">
        <v>335</v>
      </c>
      <c r="K442" t="s">
        <v>333</v>
      </c>
      <c r="L442" t="s">
        <v>327</v>
      </c>
      <c r="M442" t="s">
        <v>330</v>
      </c>
      <c r="N442" t="s">
        <v>331</v>
      </c>
      <c r="P442">
        <f t="shared" si="88"/>
        <v>441</v>
      </c>
      <c r="Q442" s="5" t="str">
        <f t="shared" si="80"/>
        <v>C</v>
      </c>
      <c r="R442" s="6" t="str">
        <f t="shared" si="81"/>
        <v>J</v>
      </c>
      <c r="S442" s="6" t="str">
        <f t="shared" si="82"/>
        <v>B</v>
      </c>
      <c r="T442" s="6" t="str">
        <f t="shared" si="83"/>
        <v>D</v>
      </c>
      <c r="U442" s="6" t="str">
        <f t="shared" si="84"/>
        <v>A</v>
      </c>
      <c r="V442" s="6" t="str">
        <f t="shared" si="85"/>
        <v>F</v>
      </c>
      <c r="W442" s="6" t="str">
        <f t="shared" si="86"/>
        <v>L</v>
      </c>
      <c r="X442" s="6" t="str">
        <f t="shared" si="87"/>
        <v>K</v>
      </c>
      <c r="Y442" s="8">
        <f t="shared" si="89"/>
        <v>5</v>
      </c>
    </row>
    <row r="443" spans="1:25" x14ac:dyDescent="0.2">
      <c r="A443" t="s">
        <v>777</v>
      </c>
      <c r="F443">
        <v>442</v>
      </c>
      <c r="G443" t="s">
        <v>338</v>
      </c>
      <c r="H443" t="s">
        <v>326</v>
      </c>
      <c r="I443" t="s">
        <v>336</v>
      </c>
      <c r="J443" t="s">
        <v>335</v>
      </c>
      <c r="K443" t="s">
        <v>333</v>
      </c>
      <c r="L443" t="s">
        <v>327</v>
      </c>
      <c r="M443" t="s">
        <v>330</v>
      </c>
      <c r="N443" t="s">
        <v>331</v>
      </c>
      <c r="P443">
        <f t="shared" si="88"/>
        <v>442</v>
      </c>
      <c r="Q443" s="5" t="str">
        <f t="shared" si="80"/>
        <v>C</v>
      </c>
      <c r="R443" s="6" t="str">
        <f t="shared" si="81"/>
        <v>I</v>
      </c>
      <c r="S443" s="6" t="str">
        <f t="shared" si="82"/>
        <v>B</v>
      </c>
      <c r="T443" s="6" t="str">
        <f t="shared" si="83"/>
        <v>D</v>
      </c>
      <c r="U443" s="6" t="str">
        <f t="shared" si="84"/>
        <v>A</v>
      </c>
      <c r="V443" s="6" t="str">
        <f t="shared" si="85"/>
        <v>F</v>
      </c>
      <c r="W443" s="6" t="str">
        <f t="shared" si="86"/>
        <v>L</v>
      </c>
      <c r="X443" s="6" t="str">
        <f t="shared" si="87"/>
        <v>K</v>
      </c>
      <c r="Y443" s="8">
        <f t="shared" si="89"/>
        <v>5</v>
      </c>
    </row>
    <row r="444" spans="1:25" x14ac:dyDescent="0.2">
      <c r="A444" t="s">
        <v>778</v>
      </c>
      <c r="F444">
        <v>443</v>
      </c>
      <c r="G444" t="s">
        <v>338</v>
      </c>
      <c r="H444" t="s">
        <v>325</v>
      </c>
      <c r="I444" t="s">
        <v>336</v>
      </c>
      <c r="J444" t="s">
        <v>335</v>
      </c>
      <c r="K444" t="s">
        <v>333</v>
      </c>
      <c r="L444" t="s">
        <v>327</v>
      </c>
      <c r="M444" t="s">
        <v>330</v>
      </c>
      <c r="N444" t="s">
        <v>326</v>
      </c>
      <c r="P444">
        <f t="shared" si="88"/>
        <v>443</v>
      </c>
      <c r="Q444" s="5" t="str">
        <f t="shared" si="80"/>
        <v>C</v>
      </c>
      <c r="R444" s="6" t="str">
        <f t="shared" si="81"/>
        <v>J</v>
      </c>
      <c r="S444" s="6" t="str">
        <f t="shared" si="82"/>
        <v>B</v>
      </c>
      <c r="T444" s="6" t="str">
        <f t="shared" si="83"/>
        <v>D</v>
      </c>
      <c r="U444" s="6" t="str">
        <f t="shared" si="84"/>
        <v>A</v>
      </c>
      <c r="V444" s="6" t="str">
        <f t="shared" si="85"/>
        <v>F</v>
      </c>
      <c r="W444" s="6" t="str">
        <f t="shared" si="86"/>
        <v>L</v>
      </c>
      <c r="X444" s="6" t="str">
        <f t="shared" si="87"/>
        <v>I</v>
      </c>
      <c r="Y444" s="8">
        <f t="shared" si="89"/>
        <v>6</v>
      </c>
    </row>
    <row r="445" spans="1:25" x14ac:dyDescent="0.2">
      <c r="A445" t="s">
        <v>779</v>
      </c>
      <c r="F445">
        <v>444</v>
      </c>
      <c r="G445" t="s">
        <v>338</v>
      </c>
      <c r="H445" t="s">
        <v>325</v>
      </c>
      <c r="I445" t="s">
        <v>336</v>
      </c>
      <c r="J445" t="s">
        <v>335</v>
      </c>
      <c r="K445" t="s">
        <v>333</v>
      </c>
      <c r="L445" t="s">
        <v>327</v>
      </c>
      <c r="M445" t="s">
        <v>326</v>
      </c>
      <c r="N445" t="s">
        <v>331</v>
      </c>
      <c r="P445">
        <f t="shared" si="88"/>
        <v>444</v>
      </c>
      <c r="Q445" s="5" t="str">
        <f t="shared" si="80"/>
        <v>C</v>
      </c>
      <c r="R445" s="6" t="str">
        <f t="shared" si="81"/>
        <v>J</v>
      </c>
      <c r="S445" s="6" t="str">
        <f t="shared" si="82"/>
        <v>B</v>
      </c>
      <c r="T445" s="6" t="str">
        <f t="shared" si="83"/>
        <v>D</v>
      </c>
      <c r="U445" s="6" t="str">
        <f t="shared" si="84"/>
        <v>A</v>
      </c>
      <c r="V445" s="6" t="str">
        <f t="shared" si="85"/>
        <v>F</v>
      </c>
      <c r="W445" s="6" t="str">
        <f t="shared" si="86"/>
        <v>I</v>
      </c>
      <c r="X445" s="6" t="str">
        <f t="shared" si="87"/>
        <v>K</v>
      </c>
      <c r="Y445" s="8">
        <f t="shared" si="89"/>
        <v>5</v>
      </c>
    </row>
    <row r="446" spans="1:25" x14ac:dyDescent="0.2">
      <c r="A446" t="s">
        <v>780</v>
      </c>
      <c r="F446">
        <v>445</v>
      </c>
      <c r="G446" t="s">
        <v>328</v>
      </c>
      <c r="H446" t="s">
        <v>327</v>
      </c>
      <c r="I446" t="s">
        <v>336</v>
      </c>
      <c r="J446" t="s">
        <v>338</v>
      </c>
      <c r="K446" t="s">
        <v>333</v>
      </c>
      <c r="L446" t="s">
        <v>335</v>
      </c>
      <c r="M446" t="s">
        <v>330</v>
      </c>
      <c r="N446" t="s">
        <v>331</v>
      </c>
      <c r="P446">
        <f t="shared" si="88"/>
        <v>445</v>
      </c>
      <c r="Q446" s="5" t="str">
        <f t="shared" si="80"/>
        <v>H</v>
      </c>
      <c r="R446" s="6" t="str">
        <f t="shared" si="81"/>
        <v>F</v>
      </c>
      <c r="S446" s="6" t="str">
        <f t="shared" si="82"/>
        <v>B</v>
      </c>
      <c r="T446" s="6" t="str">
        <f t="shared" si="83"/>
        <v>C</v>
      </c>
      <c r="U446" s="6" t="str">
        <f t="shared" si="84"/>
        <v>A</v>
      </c>
      <c r="V446" s="6" t="str">
        <f t="shared" si="85"/>
        <v>D</v>
      </c>
      <c r="W446" s="6" t="str">
        <f t="shared" si="86"/>
        <v>L</v>
      </c>
      <c r="X446" s="6" t="str">
        <f t="shared" si="87"/>
        <v>K</v>
      </c>
      <c r="Y446" s="8">
        <f t="shared" si="89"/>
        <v>4</v>
      </c>
    </row>
    <row r="447" spans="1:25" x14ac:dyDescent="0.2">
      <c r="A447" t="s">
        <v>781</v>
      </c>
      <c r="F447">
        <v>446</v>
      </c>
      <c r="G447" t="s">
        <v>338</v>
      </c>
      <c r="H447" t="s">
        <v>325</v>
      </c>
      <c r="I447" t="s">
        <v>336</v>
      </c>
      <c r="J447" t="s">
        <v>335</v>
      </c>
      <c r="K447" t="s">
        <v>333</v>
      </c>
      <c r="L447" t="s">
        <v>327</v>
      </c>
      <c r="M447" t="s">
        <v>330</v>
      </c>
      <c r="N447" t="s">
        <v>328</v>
      </c>
      <c r="P447">
        <f t="shared" si="88"/>
        <v>446</v>
      </c>
      <c r="Q447" s="5" t="str">
        <f t="shared" si="80"/>
        <v>C</v>
      </c>
      <c r="R447" s="6" t="str">
        <f t="shared" si="81"/>
        <v>J</v>
      </c>
      <c r="S447" s="6" t="str">
        <f t="shared" si="82"/>
        <v>B</v>
      </c>
      <c r="T447" s="6" t="str">
        <f t="shared" si="83"/>
        <v>D</v>
      </c>
      <c r="U447" s="6" t="str">
        <f t="shared" si="84"/>
        <v>A</v>
      </c>
      <c r="V447" s="6" t="str">
        <f t="shared" si="85"/>
        <v>F</v>
      </c>
      <c r="W447" s="6" t="str">
        <f t="shared" si="86"/>
        <v>L</v>
      </c>
      <c r="X447" s="6" t="str">
        <f t="shared" si="87"/>
        <v>H</v>
      </c>
      <c r="Y447" s="8">
        <f t="shared" si="89"/>
        <v>5</v>
      </c>
    </row>
    <row r="448" spans="1:25" x14ac:dyDescent="0.2">
      <c r="A448" t="s">
        <v>782</v>
      </c>
      <c r="F448">
        <v>447</v>
      </c>
      <c r="G448" t="s">
        <v>328</v>
      </c>
      <c r="H448" t="s">
        <v>325</v>
      </c>
      <c r="I448" t="s">
        <v>336</v>
      </c>
      <c r="J448" t="s">
        <v>338</v>
      </c>
      <c r="K448" t="s">
        <v>333</v>
      </c>
      <c r="L448" t="s">
        <v>327</v>
      </c>
      <c r="M448" t="s">
        <v>335</v>
      </c>
      <c r="N448" t="s">
        <v>331</v>
      </c>
      <c r="P448">
        <f t="shared" si="88"/>
        <v>447</v>
      </c>
      <c r="Q448" s="5" t="str">
        <f t="shared" si="80"/>
        <v>H</v>
      </c>
      <c r="R448" s="6" t="str">
        <f t="shared" si="81"/>
        <v>J</v>
      </c>
      <c r="S448" s="6" t="str">
        <f t="shared" si="82"/>
        <v>B</v>
      </c>
      <c r="T448" s="6" t="str">
        <f t="shared" si="83"/>
        <v>C</v>
      </c>
      <c r="U448" s="6" t="str">
        <f t="shared" si="84"/>
        <v>A</v>
      </c>
      <c r="V448" s="6" t="str">
        <f t="shared" si="85"/>
        <v>F</v>
      </c>
      <c r="W448" s="6" t="str">
        <f t="shared" si="86"/>
        <v>D</v>
      </c>
      <c r="X448" s="6" t="str">
        <f t="shared" si="87"/>
        <v>K</v>
      </c>
      <c r="Y448" s="8">
        <f t="shared" si="89"/>
        <v>4</v>
      </c>
    </row>
    <row r="449" spans="1:25" x14ac:dyDescent="0.2">
      <c r="A449" t="s">
        <v>783</v>
      </c>
      <c r="F449">
        <v>448</v>
      </c>
      <c r="G449" t="s">
        <v>328</v>
      </c>
      <c r="H449" t="s">
        <v>327</v>
      </c>
      <c r="I449" t="s">
        <v>336</v>
      </c>
      <c r="J449" t="s">
        <v>338</v>
      </c>
      <c r="K449" t="s">
        <v>333</v>
      </c>
      <c r="L449" t="s">
        <v>335</v>
      </c>
      <c r="M449" t="s">
        <v>330</v>
      </c>
      <c r="N449" t="s">
        <v>326</v>
      </c>
      <c r="P449">
        <f t="shared" si="88"/>
        <v>448</v>
      </c>
      <c r="Q449" s="5" t="str">
        <f t="shared" si="80"/>
        <v>H</v>
      </c>
      <c r="R449" s="6" t="str">
        <f t="shared" si="81"/>
        <v>F</v>
      </c>
      <c r="S449" s="6" t="str">
        <f t="shared" si="82"/>
        <v>B</v>
      </c>
      <c r="T449" s="6" t="str">
        <f t="shared" si="83"/>
        <v>C</v>
      </c>
      <c r="U449" s="6" t="str">
        <f t="shared" si="84"/>
        <v>A</v>
      </c>
      <c r="V449" s="6" t="str">
        <f t="shared" si="85"/>
        <v>D</v>
      </c>
      <c r="W449" s="6" t="str">
        <f t="shared" si="86"/>
        <v>L</v>
      </c>
      <c r="X449" s="6" t="str">
        <f t="shared" si="87"/>
        <v>I</v>
      </c>
      <c r="Y449" s="8">
        <f t="shared" si="89"/>
        <v>5</v>
      </c>
    </row>
    <row r="450" spans="1:25" x14ac:dyDescent="0.2">
      <c r="A450" t="s">
        <v>784</v>
      </c>
      <c r="F450">
        <v>449</v>
      </c>
      <c r="G450" t="s">
        <v>328</v>
      </c>
      <c r="H450" t="s">
        <v>327</v>
      </c>
      <c r="I450" t="s">
        <v>336</v>
      </c>
      <c r="J450" t="s">
        <v>338</v>
      </c>
      <c r="K450" t="s">
        <v>333</v>
      </c>
      <c r="L450" t="s">
        <v>335</v>
      </c>
      <c r="M450" t="s">
        <v>326</v>
      </c>
      <c r="N450" t="s">
        <v>331</v>
      </c>
      <c r="P450">
        <f t="shared" si="88"/>
        <v>449</v>
      </c>
      <c r="Q450" s="5" t="str">
        <f t="shared" ref="Q450:Q496" si="90">+RIGHT(G450,1)</f>
        <v>H</v>
      </c>
      <c r="R450" s="6" t="str">
        <f t="shared" ref="R450:R496" si="91">+RIGHT(H450,1)</f>
        <v>F</v>
      </c>
      <c r="S450" s="6" t="str">
        <f t="shared" ref="S450:S496" si="92">+RIGHT(I450,1)</f>
        <v>B</v>
      </c>
      <c r="T450" s="6" t="str">
        <f t="shared" ref="T450:T496" si="93">+RIGHT(J450,1)</f>
        <v>C</v>
      </c>
      <c r="U450" s="6" t="str">
        <f t="shared" ref="U450:U496" si="94">+RIGHT(K450,1)</f>
        <v>A</v>
      </c>
      <c r="V450" s="6" t="str">
        <f t="shared" ref="V450:V496" si="95">+RIGHT(L450,1)</f>
        <v>D</v>
      </c>
      <c r="W450" s="6" t="str">
        <f t="shared" ref="W450:W496" si="96">+RIGHT(M450,1)</f>
        <v>I</v>
      </c>
      <c r="X450" s="6" t="str">
        <f t="shared" ref="X450:X496" si="97">+RIGHT(N450,1)</f>
        <v>K</v>
      </c>
      <c r="Y450" s="8">
        <f t="shared" si="89"/>
        <v>4</v>
      </c>
    </row>
    <row r="451" spans="1:25" x14ac:dyDescent="0.2">
      <c r="A451" t="s">
        <v>785</v>
      </c>
      <c r="F451">
        <v>450</v>
      </c>
      <c r="G451" t="s">
        <v>328</v>
      </c>
      <c r="H451" t="s">
        <v>325</v>
      </c>
      <c r="I451" t="s">
        <v>336</v>
      </c>
      <c r="J451" t="s">
        <v>338</v>
      </c>
      <c r="K451" t="s">
        <v>333</v>
      </c>
      <c r="L451" t="s">
        <v>327</v>
      </c>
      <c r="M451" t="s">
        <v>335</v>
      </c>
      <c r="N451" t="s">
        <v>326</v>
      </c>
      <c r="P451">
        <f t="shared" ref="P451:P496" si="98">+F451</f>
        <v>450</v>
      </c>
      <c r="Q451" s="5" t="str">
        <f t="shared" si="90"/>
        <v>H</v>
      </c>
      <c r="R451" s="6" t="str">
        <f t="shared" si="91"/>
        <v>J</v>
      </c>
      <c r="S451" s="6" t="str">
        <f t="shared" si="92"/>
        <v>B</v>
      </c>
      <c r="T451" s="6" t="str">
        <f t="shared" si="93"/>
        <v>C</v>
      </c>
      <c r="U451" s="6" t="str">
        <f t="shared" si="94"/>
        <v>A</v>
      </c>
      <c r="V451" s="6" t="str">
        <f t="shared" si="95"/>
        <v>F</v>
      </c>
      <c r="W451" s="6" t="str">
        <f t="shared" si="96"/>
        <v>D</v>
      </c>
      <c r="X451" s="6" t="str">
        <f t="shared" si="97"/>
        <v>I</v>
      </c>
      <c r="Y451" s="8">
        <f t="shared" ref="Y451:Y496" si="99">+COUNTIF($AA$2:$AA$9,Q451)+COUNTIF($AA$2:$AA$9,R451)+COUNTIF($AA$2:$AA$9,S451)+COUNTIF($AA$2:$AA$9,T451)+COUNTIF($AA$2:$AA$9,U451)+COUNTIF($AA$2:$AA$9,V451)+COUNTIF($AA$2:$AA$9,W451)+COUNTIF($AA$2:$AA$9,X451)</f>
        <v>5</v>
      </c>
    </row>
    <row r="452" spans="1:25" x14ac:dyDescent="0.2">
      <c r="A452" t="s">
        <v>786</v>
      </c>
      <c r="F452">
        <v>451</v>
      </c>
      <c r="G452" t="s">
        <v>338</v>
      </c>
      <c r="H452" t="s">
        <v>329</v>
      </c>
      <c r="I452" t="s">
        <v>336</v>
      </c>
      <c r="J452" t="s">
        <v>335</v>
      </c>
      <c r="K452" t="s">
        <v>333</v>
      </c>
      <c r="L452" t="s">
        <v>327</v>
      </c>
      <c r="M452" t="s">
        <v>330</v>
      </c>
      <c r="N452" t="s">
        <v>331</v>
      </c>
      <c r="P452">
        <f t="shared" si="98"/>
        <v>451</v>
      </c>
      <c r="Q452" s="5" t="str">
        <f t="shared" si="90"/>
        <v>C</v>
      </c>
      <c r="R452" s="6" t="str">
        <f t="shared" si="91"/>
        <v>G</v>
      </c>
      <c r="S452" s="6" t="str">
        <f t="shared" si="92"/>
        <v>B</v>
      </c>
      <c r="T452" s="6" t="str">
        <f t="shared" si="93"/>
        <v>D</v>
      </c>
      <c r="U452" s="6" t="str">
        <f t="shared" si="94"/>
        <v>A</v>
      </c>
      <c r="V452" s="6" t="str">
        <f t="shared" si="95"/>
        <v>F</v>
      </c>
      <c r="W452" s="6" t="str">
        <f t="shared" si="96"/>
        <v>L</v>
      </c>
      <c r="X452" s="6" t="str">
        <f t="shared" si="97"/>
        <v>K</v>
      </c>
      <c r="Y452" s="8">
        <f t="shared" si="99"/>
        <v>5</v>
      </c>
    </row>
    <row r="453" spans="1:25" x14ac:dyDescent="0.2">
      <c r="A453" t="s">
        <v>787</v>
      </c>
      <c r="F453">
        <v>452</v>
      </c>
      <c r="G453" t="s">
        <v>338</v>
      </c>
      <c r="H453" t="s">
        <v>329</v>
      </c>
      <c r="I453" t="s">
        <v>336</v>
      </c>
      <c r="J453" t="s">
        <v>335</v>
      </c>
      <c r="K453" t="s">
        <v>333</v>
      </c>
      <c r="L453" t="s">
        <v>327</v>
      </c>
      <c r="M453" t="s">
        <v>330</v>
      </c>
      <c r="N453" t="s">
        <v>325</v>
      </c>
      <c r="P453">
        <f t="shared" si="98"/>
        <v>452</v>
      </c>
      <c r="Q453" s="5" t="str">
        <f t="shared" si="90"/>
        <v>C</v>
      </c>
      <c r="R453" s="6" t="str">
        <f t="shared" si="91"/>
        <v>G</v>
      </c>
      <c r="S453" s="6" t="str">
        <f t="shared" si="92"/>
        <v>B</v>
      </c>
      <c r="T453" s="6" t="str">
        <f t="shared" si="93"/>
        <v>D</v>
      </c>
      <c r="U453" s="6" t="str">
        <f t="shared" si="94"/>
        <v>A</v>
      </c>
      <c r="V453" s="6" t="str">
        <f t="shared" si="95"/>
        <v>F</v>
      </c>
      <c r="W453" s="6" t="str">
        <f t="shared" si="96"/>
        <v>L</v>
      </c>
      <c r="X453" s="6" t="str">
        <f t="shared" si="97"/>
        <v>J</v>
      </c>
      <c r="Y453" s="8">
        <f t="shared" si="99"/>
        <v>6</v>
      </c>
    </row>
    <row r="454" spans="1:25" x14ac:dyDescent="0.2">
      <c r="A454" t="s">
        <v>788</v>
      </c>
      <c r="F454">
        <v>453</v>
      </c>
      <c r="G454" t="s">
        <v>338</v>
      </c>
      <c r="H454" t="s">
        <v>329</v>
      </c>
      <c r="I454" t="s">
        <v>336</v>
      </c>
      <c r="J454" t="s">
        <v>335</v>
      </c>
      <c r="K454" t="s">
        <v>333</v>
      </c>
      <c r="L454" t="s">
        <v>327</v>
      </c>
      <c r="M454" t="s">
        <v>325</v>
      </c>
      <c r="N454" t="s">
        <v>331</v>
      </c>
      <c r="P454">
        <f t="shared" si="98"/>
        <v>453</v>
      </c>
      <c r="Q454" s="5" t="str">
        <f t="shared" si="90"/>
        <v>C</v>
      </c>
      <c r="R454" s="6" t="str">
        <f t="shared" si="91"/>
        <v>G</v>
      </c>
      <c r="S454" s="6" t="str">
        <f t="shared" si="92"/>
        <v>B</v>
      </c>
      <c r="T454" s="6" t="str">
        <f t="shared" si="93"/>
        <v>D</v>
      </c>
      <c r="U454" s="6" t="str">
        <f t="shared" si="94"/>
        <v>A</v>
      </c>
      <c r="V454" s="6" t="str">
        <f t="shared" si="95"/>
        <v>F</v>
      </c>
      <c r="W454" s="6" t="str">
        <f t="shared" si="96"/>
        <v>J</v>
      </c>
      <c r="X454" s="6" t="str">
        <f t="shared" si="97"/>
        <v>K</v>
      </c>
      <c r="Y454" s="8">
        <f t="shared" si="99"/>
        <v>5</v>
      </c>
    </row>
    <row r="455" spans="1:25" x14ac:dyDescent="0.2">
      <c r="A455" t="s">
        <v>789</v>
      </c>
      <c r="F455">
        <v>454</v>
      </c>
      <c r="G455" t="s">
        <v>338</v>
      </c>
      <c r="H455" t="s">
        <v>329</v>
      </c>
      <c r="I455" t="s">
        <v>336</v>
      </c>
      <c r="J455" t="s">
        <v>335</v>
      </c>
      <c r="K455" t="s">
        <v>333</v>
      </c>
      <c r="L455" t="s">
        <v>327</v>
      </c>
      <c r="M455" t="s">
        <v>330</v>
      </c>
      <c r="N455" t="s">
        <v>326</v>
      </c>
      <c r="P455">
        <f t="shared" si="98"/>
        <v>454</v>
      </c>
      <c r="Q455" s="5" t="str">
        <f t="shared" si="90"/>
        <v>C</v>
      </c>
      <c r="R455" s="6" t="str">
        <f t="shared" si="91"/>
        <v>G</v>
      </c>
      <c r="S455" s="6" t="str">
        <f t="shared" si="92"/>
        <v>B</v>
      </c>
      <c r="T455" s="6" t="str">
        <f t="shared" si="93"/>
        <v>D</v>
      </c>
      <c r="U455" s="6" t="str">
        <f t="shared" si="94"/>
        <v>A</v>
      </c>
      <c r="V455" s="6" t="str">
        <f t="shared" si="95"/>
        <v>F</v>
      </c>
      <c r="W455" s="6" t="str">
        <f t="shared" si="96"/>
        <v>L</v>
      </c>
      <c r="X455" s="6" t="str">
        <f t="shared" si="97"/>
        <v>I</v>
      </c>
      <c r="Y455" s="8">
        <f t="shared" si="99"/>
        <v>6</v>
      </c>
    </row>
    <row r="456" spans="1:25" x14ac:dyDescent="0.2">
      <c r="A456" t="s">
        <v>790</v>
      </c>
      <c r="F456">
        <v>455</v>
      </c>
      <c r="G456" t="s">
        <v>338</v>
      </c>
      <c r="H456" t="s">
        <v>329</v>
      </c>
      <c r="I456" t="s">
        <v>336</v>
      </c>
      <c r="J456" t="s">
        <v>335</v>
      </c>
      <c r="K456" t="s">
        <v>333</v>
      </c>
      <c r="L456" t="s">
        <v>327</v>
      </c>
      <c r="M456" t="s">
        <v>326</v>
      </c>
      <c r="N456" t="s">
        <v>331</v>
      </c>
      <c r="P456">
        <f t="shared" si="98"/>
        <v>455</v>
      </c>
      <c r="Q456" s="5" t="str">
        <f t="shared" si="90"/>
        <v>C</v>
      </c>
      <c r="R456" s="6" t="str">
        <f t="shared" si="91"/>
        <v>G</v>
      </c>
      <c r="S456" s="6" t="str">
        <f t="shared" si="92"/>
        <v>B</v>
      </c>
      <c r="T456" s="6" t="str">
        <f t="shared" si="93"/>
        <v>D</v>
      </c>
      <c r="U456" s="6" t="str">
        <f t="shared" si="94"/>
        <v>A</v>
      </c>
      <c r="V456" s="6" t="str">
        <f t="shared" si="95"/>
        <v>F</v>
      </c>
      <c r="W456" s="6" t="str">
        <f t="shared" si="96"/>
        <v>I</v>
      </c>
      <c r="X456" s="6" t="str">
        <f t="shared" si="97"/>
        <v>K</v>
      </c>
      <c r="Y456" s="8">
        <f t="shared" si="99"/>
        <v>5</v>
      </c>
    </row>
    <row r="457" spans="1:25" x14ac:dyDescent="0.2">
      <c r="A457" t="s">
        <v>791</v>
      </c>
      <c r="F457">
        <v>456</v>
      </c>
      <c r="G457" t="s">
        <v>338</v>
      </c>
      <c r="H457" t="s">
        <v>329</v>
      </c>
      <c r="I457" t="s">
        <v>336</v>
      </c>
      <c r="J457" t="s">
        <v>335</v>
      </c>
      <c r="K457" t="s">
        <v>333</v>
      </c>
      <c r="L457" t="s">
        <v>327</v>
      </c>
      <c r="M457" t="s">
        <v>326</v>
      </c>
      <c r="N457" t="s">
        <v>325</v>
      </c>
      <c r="P457">
        <f t="shared" si="98"/>
        <v>456</v>
      </c>
      <c r="Q457" s="5" t="str">
        <f t="shared" si="90"/>
        <v>C</v>
      </c>
      <c r="R457" s="6" t="str">
        <f t="shared" si="91"/>
        <v>G</v>
      </c>
      <c r="S457" s="6" t="str">
        <f t="shared" si="92"/>
        <v>B</v>
      </c>
      <c r="T457" s="6" t="str">
        <f t="shared" si="93"/>
        <v>D</v>
      </c>
      <c r="U457" s="6" t="str">
        <f t="shared" si="94"/>
        <v>A</v>
      </c>
      <c r="V457" s="6" t="str">
        <f t="shared" si="95"/>
        <v>F</v>
      </c>
      <c r="W457" s="6" t="str">
        <f t="shared" si="96"/>
        <v>I</v>
      </c>
      <c r="X457" s="6" t="str">
        <f t="shared" si="97"/>
        <v>J</v>
      </c>
      <c r="Y457" s="8">
        <f t="shared" si="99"/>
        <v>6</v>
      </c>
    </row>
    <row r="458" spans="1:25" x14ac:dyDescent="0.2">
      <c r="A458" t="s">
        <v>792</v>
      </c>
      <c r="F458">
        <v>457</v>
      </c>
      <c r="G458" t="s">
        <v>338</v>
      </c>
      <c r="H458" t="s">
        <v>329</v>
      </c>
      <c r="I458" t="s">
        <v>336</v>
      </c>
      <c r="J458" t="s">
        <v>335</v>
      </c>
      <c r="K458" t="s">
        <v>333</v>
      </c>
      <c r="L458" t="s">
        <v>327</v>
      </c>
      <c r="M458" t="s">
        <v>330</v>
      </c>
      <c r="N458" t="s">
        <v>328</v>
      </c>
      <c r="P458">
        <f t="shared" si="98"/>
        <v>457</v>
      </c>
      <c r="Q458" s="5" t="str">
        <f t="shared" si="90"/>
        <v>C</v>
      </c>
      <c r="R458" s="6" t="str">
        <f t="shared" si="91"/>
        <v>G</v>
      </c>
      <c r="S458" s="6" t="str">
        <f t="shared" si="92"/>
        <v>B</v>
      </c>
      <c r="T458" s="6" t="str">
        <f t="shared" si="93"/>
        <v>D</v>
      </c>
      <c r="U458" s="6" t="str">
        <f t="shared" si="94"/>
        <v>A</v>
      </c>
      <c r="V458" s="6" t="str">
        <f t="shared" si="95"/>
        <v>F</v>
      </c>
      <c r="W458" s="6" t="str">
        <f t="shared" si="96"/>
        <v>L</v>
      </c>
      <c r="X458" s="6" t="str">
        <f t="shared" si="97"/>
        <v>H</v>
      </c>
      <c r="Y458" s="8">
        <f t="shared" si="99"/>
        <v>5</v>
      </c>
    </row>
    <row r="459" spans="1:25" x14ac:dyDescent="0.2">
      <c r="A459" t="s">
        <v>793</v>
      </c>
      <c r="F459">
        <v>458</v>
      </c>
      <c r="G459" t="s">
        <v>328</v>
      </c>
      <c r="H459" t="s">
        <v>329</v>
      </c>
      <c r="I459" t="s">
        <v>336</v>
      </c>
      <c r="J459" t="s">
        <v>338</v>
      </c>
      <c r="K459" t="s">
        <v>333</v>
      </c>
      <c r="L459" t="s">
        <v>327</v>
      </c>
      <c r="M459" t="s">
        <v>335</v>
      </c>
      <c r="N459" t="s">
        <v>331</v>
      </c>
      <c r="P459">
        <f t="shared" si="98"/>
        <v>458</v>
      </c>
      <c r="Q459" s="5" t="str">
        <f t="shared" si="90"/>
        <v>H</v>
      </c>
      <c r="R459" s="6" t="str">
        <f t="shared" si="91"/>
        <v>G</v>
      </c>
      <c r="S459" s="6" t="str">
        <f t="shared" si="92"/>
        <v>B</v>
      </c>
      <c r="T459" s="6" t="str">
        <f t="shared" si="93"/>
        <v>C</v>
      </c>
      <c r="U459" s="6" t="str">
        <f t="shared" si="94"/>
        <v>A</v>
      </c>
      <c r="V459" s="6" t="str">
        <f t="shared" si="95"/>
        <v>F</v>
      </c>
      <c r="W459" s="6" t="str">
        <f t="shared" si="96"/>
        <v>D</v>
      </c>
      <c r="X459" s="6" t="str">
        <f t="shared" si="97"/>
        <v>K</v>
      </c>
      <c r="Y459" s="8">
        <f t="shared" si="99"/>
        <v>4</v>
      </c>
    </row>
    <row r="460" spans="1:25" x14ac:dyDescent="0.2">
      <c r="A460" t="s">
        <v>794</v>
      </c>
      <c r="F460">
        <v>459</v>
      </c>
      <c r="G460" t="s">
        <v>328</v>
      </c>
      <c r="H460" t="s">
        <v>329</v>
      </c>
      <c r="I460" t="s">
        <v>336</v>
      </c>
      <c r="J460" t="s">
        <v>338</v>
      </c>
      <c r="K460" t="s">
        <v>333</v>
      </c>
      <c r="L460" t="s">
        <v>327</v>
      </c>
      <c r="M460" t="s">
        <v>335</v>
      </c>
      <c r="N460" t="s">
        <v>325</v>
      </c>
      <c r="P460">
        <f t="shared" si="98"/>
        <v>459</v>
      </c>
      <c r="Q460" s="5" t="str">
        <f t="shared" si="90"/>
        <v>H</v>
      </c>
      <c r="R460" s="6" t="str">
        <f t="shared" si="91"/>
        <v>G</v>
      </c>
      <c r="S460" s="6" t="str">
        <f t="shared" si="92"/>
        <v>B</v>
      </c>
      <c r="T460" s="6" t="str">
        <f t="shared" si="93"/>
        <v>C</v>
      </c>
      <c r="U460" s="6" t="str">
        <f t="shared" si="94"/>
        <v>A</v>
      </c>
      <c r="V460" s="6" t="str">
        <f t="shared" si="95"/>
        <v>F</v>
      </c>
      <c r="W460" s="6" t="str">
        <f t="shared" si="96"/>
        <v>D</v>
      </c>
      <c r="X460" s="6" t="str">
        <f t="shared" si="97"/>
        <v>J</v>
      </c>
      <c r="Y460" s="8">
        <f t="shared" si="99"/>
        <v>5</v>
      </c>
    </row>
    <row r="461" spans="1:25" x14ac:dyDescent="0.2">
      <c r="A461" t="s">
        <v>795</v>
      </c>
      <c r="F461">
        <v>460</v>
      </c>
      <c r="G461" t="s">
        <v>328</v>
      </c>
      <c r="H461" t="s">
        <v>329</v>
      </c>
      <c r="I461" t="s">
        <v>336</v>
      </c>
      <c r="J461" t="s">
        <v>338</v>
      </c>
      <c r="K461" t="s">
        <v>333</v>
      </c>
      <c r="L461" t="s">
        <v>327</v>
      </c>
      <c r="M461" t="s">
        <v>335</v>
      </c>
      <c r="N461" t="s">
        <v>326</v>
      </c>
      <c r="P461">
        <f t="shared" si="98"/>
        <v>460</v>
      </c>
      <c r="Q461" s="5" t="str">
        <f t="shared" si="90"/>
        <v>H</v>
      </c>
      <c r="R461" s="6" t="str">
        <f t="shared" si="91"/>
        <v>G</v>
      </c>
      <c r="S461" s="6" t="str">
        <f t="shared" si="92"/>
        <v>B</v>
      </c>
      <c r="T461" s="6" t="str">
        <f t="shared" si="93"/>
        <v>C</v>
      </c>
      <c r="U461" s="6" t="str">
        <f t="shared" si="94"/>
        <v>A</v>
      </c>
      <c r="V461" s="6" t="str">
        <f t="shared" si="95"/>
        <v>F</v>
      </c>
      <c r="W461" s="6" t="str">
        <f t="shared" si="96"/>
        <v>D</v>
      </c>
      <c r="X461" s="6" t="str">
        <f t="shared" si="97"/>
        <v>I</v>
      </c>
      <c r="Y461" s="8">
        <f t="shared" si="99"/>
        <v>5</v>
      </c>
    </row>
    <row r="462" spans="1:25" x14ac:dyDescent="0.2">
      <c r="A462" t="s">
        <v>796</v>
      </c>
      <c r="F462">
        <v>461</v>
      </c>
      <c r="G462" t="s">
        <v>324</v>
      </c>
      <c r="H462" t="s">
        <v>325</v>
      </c>
      <c r="I462" t="s">
        <v>336</v>
      </c>
      <c r="J462" t="s">
        <v>338</v>
      </c>
      <c r="K462" t="s">
        <v>333</v>
      </c>
      <c r="L462" t="s">
        <v>335</v>
      </c>
      <c r="M462" t="s">
        <v>330</v>
      </c>
      <c r="N462" t="s">
        <v>331</v>
      </c>
      <c r="P462">
        <f t="shared" si="98"/>
        <v>461</v>
      </c>
      <c r="Q462" s="5" t="str">
        <f t="shared" si="90"/>
        <v>E</v>
      </c>
      <c r="R462" s="6" t="str">
        <f t="shared" si="91"/>
        <v>J</v>
      </c>
      <c r="S462" s="6" t="str">
        <f t="shared" si="92"/>
        <v>B</v>
      </c>
      <c r="T462" s="6" t="str">
        <f t="shared" si="93"/>
        <v>C</v>
      </c>
      <c r="U462" s="6" t="str">
        <f t="shared" si="94"/>
        <v>A</v>
      </c>
      <c r="V462" s="6" t="str">
        <f t="shared" si="95"/>
        <v>D</v>
      </c>
      <c r="W462" s="6" t="str">
        <f t="shared" si="96"/>
        <v>L</v>
      </c>
      <c r="X462" s="6" t="str">
        <f t="shared" si="97"/>
        <v>K</v>
      </c>
      <c r="Y462" s="8">
        <f t="shared" si="99"/>
        <v>5</v>
      </c>
    </row>
    <row r="463" spans="1:25" x14ac:dyDescent="0.2">
      <c r="A463" t="s">
        <v>797</v>
      </c>
      <c r="F463">
        <v>462</v>
      </c>
      <c r="G463" t="s">
        <v>324</v>
      </c>
      <c r="H463" t="s">
        <v>326</v>
      </c>
      <c r="I463" t="s">
        <v>336</v>
      </c>
      <c r="J463" t="s">
        <v>338</v>
      </c>
      <c r="K463" t="s">
        <v>333</v>
      </c>
      <c r="L463" t="s">
        <v>335</v>
      </c>
      <c r="M463" t="s">
        <v>330</v>
      </c>
      <c r="N463" t="s">
        <v>331</v>
      </c>
      <c r="P463">
        <f t="shared" si="98"/>
        <v>462</v>
      </c>
      <c r="Q463" s="5" t="str">
        <f t="shared" si="90"/>
        <v>E</v>
      </c>
      <c r="R463" s="6" t="str">
        <f t="shared" si="91"/>
        <v>I</v>
      </c>
      <c r="S463" s="6" t="str">
        <f t="shared" si="92"/>
        <v>B</v>
      </c>
      <c r="T463" s="6" t="str">
        <f t="shared" si="93"/>
        <v>C</v>
      </c>
      <c r="U463" s="6" t="str">
        <f t="shared" si="94"/>
        <v>A</v>
      </c>
      <c r="V463" s="6" t="str">
        <f t="shared" si="95"/>
        <v>D</v>
      </c>
      <c r="W463" s="6" t="str">
        <f t="shared" si="96"/>
        <v>L</v>
      </c>
      <c r="X463" s="6" t="str">
        <f t="shared" si="97"/>
        <v>K</v>
      </c>
      <c r="Y463" s="8">
        <f t="shared" si="99"/>
        <v>5</v>
      </c>
    </row>
    <row r="464" spans="1:25" x14ac:dyDescent="0.2">
      <c r="A464" t="s">
        <v>798</v>
      </c>
      <c r="F464">
        <v>463</v>
      </c>
      <c r="G464" t="s">
        <v>324</v>
      </c>
      <c r="H464" t="s">
        <v>325</v>
      </c>
      <c r="I464" t="s">
        <v>336</v>
      </c>
      <c r="J464" t="s">
        <v>338</v>
      </c>
      <c r="K464" t="s">
        <v>333</v>
      </c>
      <c r="L464" t="s">
        <v>335</v>
      </c>
      <c r="M464" t="s">
        <v>330</v>
      </c>
      <c r="N464" t="s">
        <v>326</v>
      </c>
      <c r="P464">
        <f t="shared" si="98"/>
        <v>463</v>
      </c>
      <c r="Q464" s="5" t="str">
        <f t="shared" si="90"/>
        <v>E</v>
      </c>
      <c r="R464" s="6" t="str">
        <f t="shared" si="91"/>
        <v>J</v>
      </c>
      <c r="S464" s="6" t="str">
        <f t="shared" si="92"/>
        <v>B</v>
      </c>
      <c r="T464" s="6" t="str">
        <f t="shared" si="93"/>
        <v>C</v>
      </c>
      <c r="U464" s="6" t="str">
        <f t="shared" si="94"/>
        <v>A</v>
      </c>
      <c r="V464" s="6" t="str">
        <f t="shared" si="95"/>
        <v>D</v>
      </c>
      <c r="W464" s="6" t="str">
        <f t="shared" si="96"/>
        <v>L</v>
      </c>
      <c r="X464" s="6" t="str">
        <f t="shared" si="97"/>
        <v>I</v>
      </c>
      <c r="Y464" s="8">
        <f t="shared" si="99"/>
        <v>6</v>
      </c>
    </row>
    <row r="465" spans="1:25" x14ac:dyDescent="0.2">
      <c r="A465" t="s">
        <v>799</v>
      </c>
      <c r="F465">
        <v>464</v>
      </c>
      <c r="G465" t="s">
        <v>324</v>
      </c>
      <c r="H465" t="s">
        <v>325</v>
      </c>
      <c r="I465" t="s">
        <v>336</v>
      </c>
      <c r="J465" t="s">
        <v>338</v>
      </c>
      <c r="K465" t="s">
        <v>333</v>
      </c>
      <c r="L465" t="s">
        <v>335</v>
      </c>
      <c r="M465" t="s">
        <v>326</v>
      </c>
      <c r="N465" t="s">
        <v>331</v>
      </c>
      <c r="P465">
        <f t="shared" si="98"/>
        <v>464</v>
      </c>
      <c r="Q465" s="5" t="str">
        <f t="shared" si="90"/>
        <v>E</v>
      </c>
      <c r="R465" s="6" t="str">
        <f t="shared" si="91"/>
        <v>J</v>
      </c>
      <c r="S465" s="6" t="str">
        <f t="shared" si="92"/>
        <v>B</v>
      </c>
      <c r="T465" s="6" t="str">
        <f t="shared" si="93"/>
        <v>C</v>
      </c>
      <c r="U465" s="6" t="str">
        <f t="shared" si="94"/>
        <v>A</v>
      </c>
      <c r="V465" s="6" t="str">
        <f t="shared" si="95"/>
        <v>D</v>
      </c>
      <c r="W465" s="6" t="str">
        <f t="shared" si="96"/>
        <v>I</v>
      </c>
      <c r="X465" s="6" t="str">
        <f t="shared" si="97"/>
        <v>K</v>
      </c>
      <c r="Y465" s="8">
        <f t="shared" si="99"/>
        <v>5</v>
      </c>
    </row>
    <row r="466" spans="1:25" x14ac:dyDescent="0.2">
      <c r="A466" t="s">
        <v>800</v>
      </c>
      <c r="F466">
        <v>465</v>
      </c>
      <c r="G466" t="s">
        <v>328</v>
      </c>
      <c r="H466" t="s">
        <v>324</v>
      </c>
      <c r="I466" t="s">
        <v>336</v>
      </c>
      <c r="J466" t="s">
        <v>338</v>
      </c>
      <c r="K466" t="s">
        <v>333</v>
      </c>
      <c r="L466" t="s">
        <v>335</v>
      </c>
      <c r="M466" t="s">
        <v>330</v>
      </c>
      <c r="N466" t="s">
        <v>331</v>
      </c>
      <c r="P466">
        <f t="shared" si="98"/>
        <v>465</v>
      </c>
      <c r="Q466" s="5" t="str">
        <f t="shared" si="90"/>
        <v>H</v>
      </c>
      <c r="R466" s="6" t="str">
        <f t="shared" si="91"/>
        <v>E</v>
      </c>
      <c r="S466" s="6" t="str">
        <f t="shared" si="92"/>
        <v>B</v>
      </c>
      <c r="T466" s="6" t="str">
        <f t="shared" si="93"/>
        <v>C</v>
      </c>
      <c r="U466" s="6" t="str">
        <f t="shared" si="94"/>
        <v>A</v>
      </c>
      <c r="V466" s="6" t="str">
        <f t="shared" si="95"/>
        <v>D</v>
      </c>
      <c r="W466" s="6" t="str">
        <f t="shared" si="96"/>
        <v>L</v>
      </c>
      <c r="X466" s="6" t="str">
        <f t="shared" si="97"/>
        <v>K</v>
      </c>
      <c r="Y466" s="8">
        <f t="shared" si="99"/>
        <v>4</v>
      </c>
    </row>
    <row r="467" spans="1:25" x14ac:dyDescent="0.2">
      <c r="A467" t="s">
        <v>801</v>
      </c>
      <c r="F467">
        <v>466</v>
      </c>
      <c r="G467" t="s">
        <v>328</v>
      </c>
      <c r="H467" t="s">
        <v>325</v>
      </c>
      <c r="I467" t="s">
        <v>336</v>
      </c>
      <c r="J467" t="s">
        <v>338</v>
      </c>
      <c r="K467" t="s">
        <v>333</v>
      </c>
      <c r="L467" t="s">
        <v>335</v>
      </c>
      <c r="M467" t="s">
        <v>330</v>
      </c>
      <c r="N467" t="s">
        <v>324</v>
      </c>
      <c r="P467">
        <f t="shared" si="98"/>
        <v>466</v>
      </c>
      <c r="Q467" s="5" t="str">
        <f t="shared" si="90"/>
        <v>H</v>
      </c>
      <c r="R467" s="6" t="str">
        <f t="shared" si="91"/>
        <v>J</v>
      </c>
      <c r="S467" s="6" t="str">
        <f t="shared" si="92"/>
        <v>B</v>
      </c>
      <c r="T467" s="6" t="str">
        <f t="shared" si="93"/>
        <v>C</v>
      </c>
      <c r="U467" s="6" t="str">
        <f t="shared" si="94"/>
        <v>A</v>
      </c>
      <c r="V467" s="6" t="str">
        <f t="shared" si="95"/>
        <v>D</v>
      </c>
      <c r="W467" s="6" t="str">
        <f t="shared" si="96"/>
        <v>L</v>
      </c>
      <c r="X467" s="6" t="str">
        <f t="shared" si="97"/>
        <v>E</v>
      </c>
      <c r="Y467" s="8">
        <f t="shared" si="99"/>
        <v>5</v>
      </c>
    </row>
    <row r="468" spans="1:25" x14ac:dyDescent="0.2">
      <c r="A468" t="s">
        <v>802</v>
      </c>
      <c r="F468">
        <v>467</v>
      </c>
      <c r="G468" t="s">
        <v>328</v>
      </c>
      <c r="H468" t="s">
        <v>325</v>
      </c>
      <c r="I468" t="s">
        <v>336</v>
      </c>
      <c r="J468" t="s">
        <v>338</v>
      </c>
      <c r="K468" t="s">
        <v>333</v>
      </c>
      <c r="L468" t="s">
        <v>335</v>
      </c>
      <c r="M468" t="s">
        <v>324</v>
      </c>
      <c r="N468" t="s">
        <v>331</v>
      </c>
      <c r="P468">
        <f t="shared" si="98"/>
        <v>467</v>
      </c>
      <c r="Q468" s="5" t="str">
        <f t="shared" si="90"/>
        <v>H</v>
      </c>
      <c r="R468" s="6" t="str">
        <f t="shared" si="91"/>
        <v>J</v>
      </c>
      <c r="S468" s="6" t="str">
        <f t="shared" si="92"/>
        <v>B</v>
      </c>
      <c r="T468" s="6" t="str">
        <f t="shared" si="93"/>
        <v>C</v>
      </c>
      <c r="U468" s="6" t="str">
        <f t="shared" si="94"/>
        <v>A</v>
      </c>
      <c r="V468" s="6" t="str">
        <f t="shared" si="95"/>
        <v>D</v>
      </c>
      <c r="W468" s="6" t="str">
        <f t="shared" si="96"/>
        <v>E</v>
      </c>
      <c r="X468" s="6" t="str">
        <f t="shared" si="97"/>
        <v>K</v>
      </c>
      <c r="Y468" s="8">
        <f t="shared" si="99"/>
        <v>4</v>
      </c>
    </row>
    <row r="469" spans="1:25" x14ac:dyDescent="0.2">
      <c r="A469" t="s">
        <v>803</v>
      </c>
      <c r="F469">
        <v>468</v>
      </c>
      <c r="G469" t="s">
        <v>328</v>
      </c>
      <c r="H469" t="s">
        <v>324</v>
      </c>
      <c r="I469" t="s">
        <v>336</v>
      </c>
      <c r="J469" t="s">
        <v>338</v>
      </c>
      <c r="K469" t="s">
        <v>333</v>
      </c>
      <c r="L469" t="s">
        <v>335</v>
      </c>
      <c r="M469" t="s">
        <v>330</v>
      </c>
      <c r="N469" t="s">
        <v>326</v>
      </c>
      <c r="P469">
        <f t="shared" si="98"/>
        <v>468</v>
      </c>
      <c r="Q469" s="5" t="str">
        <f t="shared" si="90"/>
        <v>H</v>
      </c>
      <c r="R469" s="6" t="str">
        <f t="shared" si="91"/>
        <v>E</v>
      </c>
      <c r="S469" s="6" t="str">
        <f t="shared" si="92"/>
        <v>B</v>
      </c>
      <c r="T469" s="6" t="str">
        <f t="shared" si="93"/>
        <v>C</v>
      </c>
      <c r="U469" s="6" t="str">
        <f t="shared" si="94"/>
        <v>A</v>
      </c>
      <c r="V469" s="6" t="str">
        <f t="shared" si="95"/>
        <v>D</v>
      </c>
      <c r="W469" s="6" t="str">
        <f t="shared" si="96"/>
        <v>L</v>
      </c>
      <c r="X469" s="6" t="str">
        <f t="shared" si="97"/>
        <v>I</v>
      </c>
      <c r="Y469" s="8">
        <f t="shared" si="99"/>
        <v>5</v>
      </c>
    </row>
    <row r="470" spans="1:25" x14ac:dyDescent="0.2">
      <c r="A470" t="s">
        <v>804</v>
      </c>
      <c r="F470">
        <v>469</v>
      </c>
      <c r="G470" t="s">
        <v>328</v>
      </c>
      <c r="H470" t="s">
        <v>324</v>
      </c>
      <c r="I470" t="s">
        <v>336</v>
      </c>
      <c r="J470" t="s">
        <v>338</v>
      </c>
      <c r="K470" t="s">
        <v>333</v>
      </c>
      <c r="L470" t="s">
        <v>335</v>
      </c>
      <c r="M470" t="s">
        <v>326</v>
      </c>
      <c r="N470" t="s">
        <v>331</v>
      </c>
      <c r="P470">
        <f t="shared" si="98"/>
        <v>469</v>
      </c>
      <c r="Q470" s="5" t="str">
        <f t="shared" si="90"/>
        <v>H</v>
      </c>
      <c r="R470" s="6" t="str">
        <f t="shared" si="91"/>
        <v>E</v>
      </c>
      <c r="S470" s="6" t="str">
        <f t="shared" si="92"/>
        <v>B</v>
      </c>
      <c r="T470" s="6" t="str">
        <f t="shared" si="93"/>
        <v>C</v>
      </c>
      <c r="U470" s="6" t="str">
        <f t="shared" si="94"/>
        <v>A</v>
      </c>
      <c r="V470" s="6" t="str">
        <f t="shared" si="95"/>
        <v>D</v>
      </c>
      <c r="W470" s="6" t="str">
        <f t="shared" si="96"/>
        <v>I</v>
      </c>
      <c r="X470" s="6" t="str">
        <f t="shared" si="97"/>
        <v>K</v>
      </c>
      <c r="Y470" s="8">
        <f t="shared" si="99"/>
        <v>4</v>
      </c>
    </row>
    <row r="471" spans="1:25" x14ac:dyDescent="0.2">
      <c r="A471" t="s">
        <v>805</v>
      </c>
      <c r="F471">
        <v>470</v>
      </c>
      <c r="G471" t="s">
        <v>328</v>
      </c>
      <c r="H471" t="s">
        <v>325</v>
      </c>
      <c r="I471" t="s">
        <v>336</v>
      </c>
      <c r="J471" t="s">
        <v>338</v>
      </c>
      <c r="K471" t="s">
        <v>333</v>
      </c>
      <c r="L471" t="s">
        <v>335</v>
      </c>
      <c r="M471" t="s">
        <v>324</v>
      </c>
      <c r="N471" t="s">
        <v>326</v>
      </c>
      <c r="P471">
        <f t="shared" si="98"/>
        <v>470</v>
      </c>
      <c r="Q471" s="5" t="str">
        <f t="shared" si="90"/>
        <v>H</v>
      </c>
      <c r="R471" s="6" t="str">
        <f t="shared" si="91"/>
        <v>J</v>
      </c>
      <c r="S471" s="6" t="str">
        <f t="shared" si="92"/>
        <v>B</v>
      </c>
      <c r="T471" s="6" t="str">
        <f t="shared" si="93"/>
        <v>C</v>
      </c>
      <c r="U471" s="6" t="str">
        <f t="shared" si="94"/>
        <v>A</v>
      </c>
      <c r="V471" s="6" t="str">
        <f t="shared" si="95"/>
        <v>D</v>
      </c>
      <c r="W471" s="6" t="str">
        <f t="shared" si="96"/>
        <v>E</v>
      </c>
      <c r="X471" s="6" t="str">
        <f t="shared" si="97"/>
        <v>I</v>
      </c>
      <c r="Y471" s="8">
        <f t="shared" si="99"/>
        <v>5</v>
      </c>
    </row>
    <row r="472" spans="1:25" x14ac:dyDescent="0.2">
      <c r="A472" t="s">
        <v>806</v>
      </c>
      <c r="F472">
        <v>471</v>
      </c>
      <c r="G472" t="s">
        <v>324</v>
      </c>
      <c r="H472" t="s">
        <v>329</v>
      </c>
      <c r="I472" t="s">
        <v>336</v>
      </c>
      <c r="J472" t="s">
        <v>338</v>
      </c>
      <c r="K472" t="s">
        <v>333</v>
      </c>
      <c r="L472" t="s">
        <v>335</v>
      </c>
      <c r="M472" t="s">
        <v>330</v>
      </c>
      <c r="N472" t="s">
        <v>331</v>
      </c>
      <c r="P472">
        <f t="shared" si="98"/>
        <v>471</v>
      </c>
      <c r="Q472" s="5" t="str">
        <f t="shared" si="90"/>
        <v>E</v>
      </c>
      <c r="R472" s="6" t="str">
        <f t="shared" si="91"/>
        <v>G</v>
      </c>
      <c r="S472" s="6" t="str">
        <f t="shared" si="92"/>
        <v>B</v>
      </c>
      <c r="T472" s="6" t="str">
        <f t="shared" si="93"/>
        <v>C</v>
      </c>
      <c r="U472" s="6" t="str">
        <f t="shared" si="94"/>
        <v>A</v>
      </c>
      <c r="V472" s="6" t="str">
        <f t="shared" si="95"/>
        <v>D</v>
      </c>
      <c r="W472" s="6" t="str">
        <f t="shared" si="96"/>
        <v>L</v>
      </c>
      <c r="X472" s="6" t="str">
        <f t="shared" si="97"/>
        <v>K</v>
      </c>
      <c r="Y472" s="8">
        <f t="shared" si="99"/>
        <v>5</v>
      </c>
    </row>
    <row r="473" spans="1:25" x14ac:dyDescent="0.2">
      <c r="A473" t="s">
        <v>807</v>
      </c>
      <c r="F473">
        <v>472</v>
      </c>
      <c r="G473" t="s">
        <v>324</v>
      </c>
      <c r="H473" t="s">
        <v>329</v>
      </c>
      <c r="I473" t="s">
        <v>336</v>
      </c>
      <c r="J473" t="s">
        <v>338</v>
      </c>
      <c r="K473" t="s">
        <v>333</v>
      </c>
      <c r="L473" t="s">
        <v>335</v>
      </c>
      <c r="M473" t="s">
        <v>330</v>
      </c>
      <c r="N473" t="s">
        <v>325</v>
      </c>
      <c r="P473">
        <f t="shared" si="98"/>
        <v>472</v>
      </c>
      <c r="Q473" s="5" t="str">
        <f t="shared" si="90"/>
        <v>E</v>
      </c>
      <c r="R473" s="6" t="str">
        <f t="shared" si="91"/>
        <v>G</v>
      </c>
      <c r="S473" s="6" t="str">
        <f t="shared" si="92"/>
        <v>B</v>
      </c>
      <c r="T473" s="6" t="str">
        <f t="shared" si="93"/>
        <v>C</v>
      </c>
      <c r="U473" s="6" t="str">
        <f t="shared" si="94"/>
        <v>A</v>
      </c>
      <c r="V473" s="6" t="str">
        <f t="shared" si="95"/>
        <v>D</v>
      </c>
      <c r="W473" s="6" t="str">
        <f t="shared" si="96"/>
        <v>L</v>
      </c>
      <c r="X473" s="6" t="str">
        <f t="shared" si="97"/>
        <v>J</v>
      </c>
      <c r="Y473" s="8">
        <f t="shared" si="99"/>
        <v>6</v>
      </c>
    </row>
    <row r="474" spans="1:25" x14ac:dyDescent="0.2">
      <c r="A474" t="s">
        <v>808</v>
      </c>
      <c r="F474">
        <v>473</v>
      </c>
      <c r="G474" t="s">
        <v>324</v>
      </c>
      <c r="H474" t="s">
        <v>329</v>
      </c>
      <c r="I474" t="s">
        <v>336</v>
      </c>
      <c r="J474" t="s">
        <v>338</v>
      </c>
      <c r="K474" t="s">
        <v>333</v>
      </c>
      <c r="L474" t="s">
        <v>335</v>
      </c>
      <c r="M474" t="s">
        <v>325</v>
      </c>
      <c r="N474" t="s">
        <v>331</v>
      </c>
      <c r="P474">
        <f t="shared" si="98"/>
        <v>473</v>
      </c>
      <c r="Q474" s="5" t="str">
        <f t="shared" si="90"/>
        <v>E</v>
      </c>
      <c r="R474" s="6" t="str">
        <f t="shared" si="91"/>
        <v>G</v>
      </c>
      <c r="S474" s="6" t="str">
        <f t="shared" si="92"/>
        <v>B</v>
      </c>
      <c r="T474" s="6" t="str">
        <f t="shared" si="93"/>
        <v>C</v>
      </c>
      <c r="U474" s="6" t="str">
        <f t="shared" si="94"/>
        <v>A</v>
      </c>
      <c r="V474" s="6" t="str">
        <f t="shared" si="95"/>
        <v>D</v>
      </c>
      <c r="W474" s="6" t="str">
        <f t="shared" si="96"/>
        <v>J</v>
      </c>
      <c r="X474" s="6" t="str">
        <f t="shared" si="97"/>
        <v>K</v>
      </c>
      <c r="Y474" s="8">
        <f t="shared" si="99"/>
        <v>5</v>
      </c>
    </row>
    <row r="475" spans="1:25" x14ac:dyDescent="0.2">
      <c r="A475" t="s">
        <v>809</v>
      </c>
      <c r="F475">
        <v>474</v>
      </c>
      <c r="G475" t="s">
        <v>324</v>
      </c>
      <c r="H475" t="s">
        <v>329</v>
      </c>
      <c r="I475" t="s">
        <v>336</v>
      </c>
      <c r="J475" t="s">
        <v>338</v>
      </c>
      <c r="K475" t="s">
        <v>333</v>
      </c>
      <c r="L475" t="s">
        <v>335</v>
      </c>
      <c r="M475" t="s">
        <v>330</v>
      </c>
      <c r="N475" t="s">
        <v>326</v>
      </c>
      <c r="P475">
        <f t="shared" si="98"/>
        <v>474</v>
      </c>
      <c r="Q475" s="5" t="str">
        <f t="shared" si="90"/>
        <v>E</v>
      </c>
      <c r="R475" s="6" t="str">
        <f t="shared" si="91"/>
        <v>G</v>
      </c>
      <c r="S475" s="6" t="str">
        <f t="shared" si="92"/>
        <v>B</v>
      </c>
      <c r="T475" s="6" t="str">
        <f t="shared" si="93"/>
        <v>C</v>
      </c>
      <c r="U475" s="6" t="str">
        <f t="shared" si="94"/>
        <v>A</v>
      </c>
      <c r="V475" s="6" t="str">
        <f t="shared" si="95"/>
        <v>D</v>
      </c>
      <c r="W475" s="6" t="str">
        <f t="shared" si="96"/>
        <v>L</v>
      </c>
      <c r="X475" s="6" t="str">
        <f t="shared" si="97"/>
        <v>I</v>
      </c>
      <c r="Y475" s="8">
        <f t="shared" si="99"/>
        <v>6</v>
      </c>
    </row>
    <row r="476" spans="1:25" x14ac:dyDescent="0.2">
      <c r="A476" t="s">
        <v>810</v>
      </c>
      <c r="F476">
        <v>475</v>
      </c>
      <c r="G476" t="s">
        <v>324</v>
      </c>
      <c r="H476" t="s">
        <v>329</v>
      </c>
      <c r="I476" t="s">
        <v>336</v>
      </c>
      <c r="J476" t="s">
        <v>338</v>
      </c>
      <c r="K476" t="s">
        <v>333</v>
      </c>
      <c r="L476" t="s">
        <v>335</v>
      </c>
      <c r="M476" t="s">
        <v>326</v>
      </c>
      <c r="N476" t="s">
        <v>331</v>
      </c>
      <c r="P476">
        <f t="shared" si="98"/>
        <v>475</v>
      </c>
      <c r="Q476" s="5" t="str">
        <f t="shared" si="90"/>
        <v>E</v>
      </c>
      <c r="R476" s="6" t="str">
        <f t="shared" si="91"/>
        <v>G</v>
      </c>
      <c r="S476" s="6" t="str">
        <f t="shared" si="92"/>
        <v>B</v>
      </c>
      <c r="T476" s="6" t="str">
        <f t="shared" si="93"/>
        <v>C</v>
      </c>
      <c r="U476" s="6" t="str">
        <f t="shared" si="94"/>
        <v>A</v>
      </c>
      <c r="V476" s="6" t="str">
        <f t="shared" si="95"/>
        <v>D</v>
      </c>
      <c r="W476" s="6" t="str">
        <f t="shared" si="96"/>
        <v>I</v>
      </c>
      <c r="X476" s="6" t="str">
        <f t="shared" si="97"/>
        <v>K</v>
      </c>
      <c r="Y476" s="8">
        <f t="shared" si="99"/>
        <v>5</v>
      </c>
    </row>
    <row r="477" spans="1:25" x14ac:dyDescent="0.2">
      <c r="A477" t="s">
        <v>811</v>
      </c>
      <c r="F477">
        <v>476</v>
      </c>
      <c r="G477" t="s">
        <v>324</v>
      </c>
      <c r="H477" t="s">
        <v>329</v>
      </c>
      <c r="I477" t="s">
        <v>336</v>
      </c>
      <c r="J477" t="s">
        <v>338</v>
      </c>
      <c r="K477" t="s">
        <v>333</v>
      </c>
      <c r="L477" t="s">
        <v>335</v>
      </c>
      <c r="M477" t="s">
        <v>326</v>
      </c>
      <c r="N477" t="s">
        <v>325</v>
      </c>
      <c r="P477">
        <f t="shared" si="98"/>
        <v>476</v>
      </c>
      <c r="Q477" s="5" t="str">
        <f t="shared" si="90"/>
        <v>E</v>
      </c>
      <c r="R477" s="6" t="str">
        <f t="shared" si="91"/>
        <v>G</v>
      </c>
      <c r="S477" s="6" t="str">
        <f t="shared" si="92"/>
        <v>B</v>
      </c>
      <c r="T477" s="6" t="str">
        <f t="shared" si="93"/>
        <v>C</v>
      </c>
      <c r="U477" s="6" t="str">
        <f t="shared" si="94"/>
        <v>A</v>
      </c>
      <c r="V477" s="6" t="str">
        <f t="shared" si="95"/>
        <v>D</v>
      </c>
      <c r="W477" s="6" t="str">
        <f t="shared" si="96"/>
        <v>I</v>
      </c>
      <c r="X477" s="6" t="str">
        <f t="shared" si="97"/>
        <v>J</v>
      </c>
      <c r="Y477" s="8">
        <f t="shared" si="99"/>
        <v>6</v>
      </c>
    </row>
    <row r="478" spans="1:25" x14ac:dyDescent="0.2">
      <c r="A478" t="s">
        <v>812</v>
      </c>
      <c r="F478">
        <v>477</v>
      </c>
      <c r="G478" t="s">
        <v>328</v>
      </c>
      <c r="H478" t="s">
        <v>329</v>
      </c>
      <c r="I478" t="s">
        <v>336</v>
      </c>
      <c r="J478" t="s">
        <v>338</v>
      </c>
      <c r="K478" t="s">
        <v>333</v>
      </c>
      <c r="L478" t="s">
        <v>335</v>
      </c>
      <c r="M478" t="s">
        <v>330</v>
      </c>
      <c r="N478" t="s">
        <v>324</v>
      </c>
      <c r="P478">
        <f t="shared" si="98"/>
        <v>477</v>
      </c>
      <c r="Q478" s="5" t="str">
        <f t="shared" si="90"/>
        <v>H</v>
      </c>
      <c r="R478" s="6" t="str">
        <f t="shared" si="91"/>
        <v>G</v>
      </c>
      <c r="S478" s="6" t="str">
        <f t="shared" si="92"/>
        <v>B</v>
      </c>
      <c r="T478" s="6" t="str">
        <f t="shared" si="93"/>
        <v>C</v>
      </c>
      <c r="U478" s="6" t="str">
        <f t="shared" si="94"/>
        <v>A</v>
      </c>
      <c r="V478" s="6" t="str">
        <f t="shared" si="95"/>
        <v>D</v>
      </c>
      <c r="W478" s="6" t="str">
        <f t="shared" si="96"/>
        <v>L</v>
      </c>
      <c r="X478" s="6" t="str">
        <f t="shared" si="97"/>
        <v>E</v>
      </c>
      <c r="Y478" s="8">
        <f t="shared" si="99"/>
        <v>5</v>
      </c>
    </row>
    <row r="479" spans="1:25" x14ac:dyDescent="0.2">
      <c r="A479" t="s">
        <v>813</v>
      </c>
      <c r="F479">
        <v>478</v>
      </c>
      <c r="G479" t="s">
        <v>328</v>
      </c>
      <c r="H479" t="s">
        <v>329</v>
      </c>
      <c r="I479" t="s">
        <v>336</v>
      </c>
      <c r="J479" t="s">
        <v>338</v>
      </c>
      <c r="K479" t="s">
        <v>333</v>
      </c>
      <c r="L479" t="s">
        <v>335</v>
      </c>
      <c r="M479" t="s">
        <v>324</v>
      </c>
      <c r="N479" t="s">
        <v>331</v>
      </c>
      <c r="P479">
        <f t="shared" si="98"/>
        <v>478</v>
      </c>
      <c r="Q479" s="5" t="str">
        <f t="shared" si="90"/>
        <v>H</v>
      </c>
      <c r="R479" s="6" t="str">
        <f t="shared" si="91"/>
        <v>G</v>
      </c>
      <c r="S479" s="6" t="str">
        <f t="shared" si="92"/>
        <v>B</v>
      </c>
      <c r="T479" s="6" t="str">
        <f t="shared" si="93"/>
        <v>C</v>
      </c>
      <c r="U479" s="6" t="str">
        <f t="shared" si="94"/>
        <v>A</v>
      </c>
      <c r="V479" s="6" t="str">
        <f t="shared" si="95"/>
        <v>D</v>
      </c>
      <c r="W479" s="6" t="str">
        <f t="shared" si="96"/>
        <v>E</v>
      </c>
      <c r="X479" s="6" t="str">
        <f t="shared" si="97"/>
        <v>K</v>
      </c>
      <c r="Y479" s="8">
        <f t="shared" si="99"/>
        <v>4</v>
      </c>
    </row>
    <row r="480" spans="1:25" x14ac:dyDescent="0.2">
      <c r="A480" t="s">
        <v>814</v>
      </c>
      <c r="F480">
        <v>479</v>
      </c>
      <c r="G480" t="s">
        <v>328</v>
      </c>
      <c r="H480" t="s">
        <v>329</v>
      </c>
      <c r="I480" t="s">
        <v>336</v>
      </c>
      <c r="J480" t="s">
        <v>338</v>
      </c>
      <c r="K480" t="s">
        <v>333</v>
      </c>
      <c r="L480" t="s">
        <v>335</v>
      </c>
      <c r="M480" t="s">
        <v>324</v>
      </c>
      <c r="N480" t="s">
        <v>325</v>
      </c>
      <c r="P480">
        <f t="shared" si="98"/>
        <v>479</v>
      </c>
      <c r="Q480" s="5" t="str">
        <f t="shared" si="90"/>
        <v>H</v>
      </c>
      <c r="R480" s="6" t="str">
        <f t="shared" si="91"/>
        <v>G</v>
      </c>
      <c r="S480" s="6" t="str">
        <f t="shared" si="92"/>
        <v>B</v>
      </c>
      <c r="T480" s="6" t="str">
        <f t="shared" si="93"/>
        <v>C</v>
      </c>
      <c r="U480" s="6" t="str">
        <f t="shared" si="94"/>
        <v>A</v>
      </c>
      <c r="V480" s="6" t="str">
        <f t="shared" si="95"/>
        <v>D</v>
      </c>
      <c r="W480" s="6" t="str">
        <f t="shared" si="96"/>
        <v>E</v>
      </c>
      <c r="X480" s="6" t="str">
        <f t="shared" si="97"/>
        <v>J</v>
      </c>
      <c r="Y480" s="8">
        <f t="shared" si="99"/>
        <v>5</v>
      </c>
    </row>
    <row r="481" spans="1:25" x14ac:dyDescent="0.2">
      <c r="A481" t="s">
        <v>815</v>
      </c>
      <c r="F481">
        <v>480</v>
      </c>
      <c r="G481" t="s">
        <v>328</v>
      </c>
      <c r="H481" t="s">
        <v>329</v>
      </c>
      <c r="I481" t="s">
        <v>336</v>
      </c>
      <c r="J481" t="s">
        <v>338</v>
      </c>
      <c r="K481" t="s">
        <v>333</v>
      </c>
      <c r="L481" t="s">
        <v>335</v>
      </c>
      <c r="M481" t="s">
        <v>324</v>
      </c>
      <c r="N481" t="s">
        <v>326</v>
      </c>
      <c r="P481">
        <f t="shared" si="98"/>
        <v>480</v>
      </c>
      <c r="Q481" s="5" t="str">
        <f t="shared" si="90"/>
        <v>H</v>
      </c>
      <c r="R481" s="6" t="str">
        <f t="shared" si="91"/>
        <v>G</v>
      </c>
      <c r="S481" s="6" t="str">
        <f t="shared" si="92"/>
        <v>B</v>
      </c>
      <c r="T481" s="6" t="str">
        <f t="shared" si="93"/>
        <v>C</v>
      </c>
      <c r="U481" s="6" t="str">
        <f t="shared" si="94"/>
        <v>A</v>
      </c>
      <c r="V481" s="6" t="str">
        <f t="shared" si="95"/>
        <v>D</v>
      </c>
      <c r="W481" s="6" t="str">
        <f t="shared" si="96"/>
        <v>E</v>
      </c>
      <c r="X481" s="6" t="str">
        <f t="shared" si="97"/>
        <v>I</v>
      </c>
      <c r="Y481" s="8">
        <f t="shared" si="99"/>
        <v>5</v>
      </c>
    </row>
    <row r="482" spans="1:25" x14ac:dyDescent="0.2">
      <c r="A482" t="s">
        <v>816</v>
      </c>
      <c r="F482">
        <v>481</v>
      </c>
      <c r="G482" t="s">
        <v>338</v>
      </c>
      <c r="H482" t="s">
        <v>324</v>
      </c>
      <c r="I482" t="s">
        <v>336</v>
      </c>
      <c r="J482" t="s">
        <v>335</v>
      </c>
      <c r="K482" t="s">
        <v>333</v>
      </c>
      <c r="L482" t="s">
        <v>327</v>
      </c>
      <c r="M482" t="s">
        <v>330</v>
      </c>
      <c r="N482" t="s">
        <v>331</v>
      </c>
      <c r="P482">
        <f t="shared" si="98"/>
        <v>481</v>
      </c>
      <c r="Q482" s="5" t="str">
        <f t="shared" si="90"/>
        <v>C</v>
      </c>
      <c r="R482" s="6" t="str">
        <f t="shared" si="91"/>
        <v>E</v>
      </c>
      <c r="S482" s="6" t="str">
        <f t="shared" si="92"/>
        <v>B</v>
      </c>
      <c r="T482" s="6" t="str">
        <f t="shared" si="93"/>
        <v>D</v>
      </c>
      <c r="U482" s="6" t="str">
        <f t="shared" si="94"/>
        <v>A</v>
      </c>
      <c r="V482" s="6" t="str">
        <f t="shared" si="95"/>
        <v>F</v>
      </c>
      <c r="W482" s="6" t="str">
        <f t="shared" si="96"/>
        <v>L</v>
      </c>
      <c r="X482" s="6" t="str">
        <f t="shared" si="97"/>
        <v>K</v>
      </c>
      <c r="Y482" s="8">
        <f t="shared" si="99"/>
        <v>5</v>
      </c>
    </row>
    <row r="483" spans="1:25" x14ac:dyDescent="0.2">
      <c r="A483" t="s">
        <v>817</v>
      </c>
      <c r="F483">
        <v>482</v>
      </c>
      <c r="G483" t="s">
        <v>338</v>
      </c>
      <c r="H483" t="s">
        <v>325</v>
      </c>
      <c r="I483" t="s">
        <v>336</v>
      </c>
      <c r="J483" t="s">
        <v>335</v>
      </c>
      <c r="K483" t="s">
        <v>333</v>
      </c>
      <c r="L483" t="s">
        <v>327</v>
      </c>
      <c r="M483" t="s">
        <v>330</v>
      </c>
      <c r="N483" t="s">
        <v>324</v>
      </c>
      <c r="P483">
        <f t="shared" si="98"/>
        <v>482</v>
      </c>
      <c r="Q483" s="5" t="str">
        <f t="shared" si="90"/>
        <v>C</v>
      </c>
      <c r="R483" s="6" t="str">
        <f t="shared" si="91"/>
        <v>J</v>
      </c>
      <c r="S483" s="6" t="str">
        <f t="shared" si="92"/>
        <v>B</v>
      </c>
      <c r="T483" s="6" t="str">
        <f t="shared" si="93"/>
        <v>D</v>
      </c>
      <c r="U483" s="6" t="str">
        <f t="shared" si="94"/>
        <v>A</v>
      </c>
      <c r="V483" s="6" t="str">
        <f t="shared" si="95"/>
        <v>F</v>
      </c>
      <c r="W483" s="6" t="str">
        <f t="shared" si="96"/>
        <v>L</v>
      </c>
      <c r="X483" s="6" t="str">
        <f t="shared" si="97"/>
        <v>E</v>
      </c>
      <c r="Y483" s="8">
        <f t="shared" si="99"/>
        <v>6</v>
      </c>
    </row>
    <row r="484" spans="1:25" x14ac:dyDescent="0.2">
      <c r="A484" t="s">
        <v>818</v>
      </c>
      <c r="F484">
        <v>483</v>
      </c>
      <c r="G484" t="s">
        <v>338</v>
      </c>
      <c r="H484" t="s">
        <v>325</v>
      </c>
      <c r="I484" t="s">
        <v>336</v>
      </c>
      <c r="J484" t="s">
        <v>335</v>
      </c>
      <c r="K484" t="s">
        <v>333</v>
      </c>
      <c r="L484" t="s">
        <v>327</v>
      </c>
      <c r="M484" t="s">
        <v>324</v>
      </c>
      <c r="N484" t="s">
        <v>331</v>
      </c>
      <c r="P484">
        <f t="shared" si="98"/>
        <v>483</v>
      </c>
      <c r="Q484" s="5" t="str">
        <f t="shared" si="90"/>
        <v>C</v>
      </c>
      <c r="R484" s="6" t="str">
        <f t="shared" si="91"/>
        <v>J</v>
      </c>
      <c r="S484" s="6" t="str">
        <f t="shared" si="92"/>
        <v>B</v>
      </c>
      <c r="T484" s="6" t="str">
        <f t="shared" si="93"/>
        <v>D</v>
      </c>
      <c r="U484" s="6" t="str">
        <f t="shared" si="94"/>
        <v>A</v>
      </c>
      <c r="V484" s="6" t="str">
        <f t="shared" si="95"/>
        <v>F</v>
      </c>
      <c r="W484" s="6" t="str">
        <f t="shared" si="96"/>
        <v>E</v>
      </c>
      <c r="X484" s="6" t="str">
        <f t="shared" si="97"/>
        <v>K</v>
      </c>
      <c r="Y484" s="8">
        <f t="shared" si="99"/>
        <v>5</v>
      </c>
    </row>
    <row r="485" spans="1:25" x14ac:dyDescent="0.2">
      <c r="A485" t="s">
        <v>819</v>
      </c>
      <c r="F485">
        <v>484</v>
      </c>
      <c r="G485" t="s">
        <v>338</v>
      </c>
      <c r="H485" t="s">
        <v>324</v>
      </c>
      <c r="I485" t="s">
        <v>336</v>
      </c>
      <c r="J485" t="s">
        <v>335</v>
      </c>
      <c r="K485" t="s">
        <v>333</v>
      </c>
      <c r="L485" t="s">
        <v>327</v>
      </c>
      <c r="M485" t="s">
        <v>330</v>
      </c>
      <c r="N485" t="s">
        <v>326</v>
      </c>
      <c r="P485">
        <f t="shared" si="98"/>
        <v>484</v>
      </c>
      <c r="Q485" s="5" t="str">
        <f t="shared" si="90"/>
        <v>C</v>
      </c>
      <c r="R485" s="6" t="str">
        <f t="shared" si="91"/>
        <v>E</v>
      </c>
      <c r="S485" s="6" t="str">
        <f t="shared" si="92"/>
        <v>B</v>
      </c>
      <c r="T485" s="6" t="str">
        <f t="shared" si="93"/>
        <v>D</v>
      </c>
      <c r="U485" s="6" t="str">
        <f t="shared" si="94"/>
        <v>A</v>
      </c>
      <c r="V485" s="6" t="str">
        <f t="shared" si="95"/>
        <v>F</v>
      </c>
      <c r="W485" s="6" t="str">
        <f t="shared" si="96"/>
        <v>L</v>
      </c>
      <c r="X485" s="6" t="str">
        <f t="shared" si="97"/>
        <v>I</v>
      </c>
      <c r="Y485" s="8">
        <f t="shared" si="99"/>
        <v>6</v>
      </c>
    </row>
    <row r="486" spans="1:25" x14ac:dyDescent="0.2">
      <c r="A486" t="s">
        <v>820</v>
      </c>
      <c r="F486">
        <v>485</v>
      </c>
      <c r="G486" t="s">
        <v>338</v>
      </c>
      <c r="H486" t="s">
        <v>324</v>
      </c>
      <c r="I486" t="s">
        <v>336</v>
      </c>
      <c r="J486" t="s">
        <v>335</v>
      </c>
      <c r="K486" t="s">
        <v>333</v>
      </c>
      <c r="L486" t="s">
        <v>327</v>
      </c>
      <c r="M486" t="s">
        <v>326</v>
      </c>
      <c r="N486" t="s">
        <v>331</v>
      </c>
      <c r="P486">
        <f t="shared" si="98"/>
        <v>485</v>
      </c>
      <c r="Q486" s="5" t="str">
        <f t="shared" si="90"/>
        <v>C</v>
      </c>
      <c r="R486" s="6" t="str">
        <f t="shared" si="91"/>
        <v>E</v>
      </c>
      <c r="S486" s="6" t="str">
        <f t="shared" si="92"/>
        <v>B</v>
      </c>
      <c r="T486" s="6" t="str">
        <f t="shared" si="93"/>
        <v>D</v>
      </c>
      <c r="U486" s="6" t="str">
        <f t="shared" si="94"/>
        <v>A</v>
      </c>
      <c r="V486" s="6" t="str">
        <f t="shared" si="95"/>
        <v>F</v>
      </c>
      <c r="W486" s="6" t="str">
        <f t="shared" si="96"/>
        <v>I</v>
      </c>
      <c r="X486" s="6" t="str">
        <f t="shared" si="97"/>
        <v>K</v>
      </c>
      <c r="Y486" s="8">
        <f t="shared" si="99"/>
        <v>5</v>
      </c>
    </row>
    <row r="487" spans="1:25" x14ac:dyDescent="0.2">
      <c r="A487" t="s">
        <v>821</v>
      </c>
      <c r="F487">
        <v>486</v>
      </c>
      <c r="G487" t="s">
        <v>338</v>
      </c>
      <c r="H487" t="s">
        <v>325</v>
      </c>
      <c r="I487" t="s">
        <v>336</v>
      </c>
      <c r="J487" t="s">
        <v>335</v>
      </c>
      <c r="K487" t="s">
        <v>333</v>
      </c>
      <c r="L487" t="s">
        <v>327</v>
      </c>
      <c r="M487" t="s">
        <v>324</v>
      </c>
      <c r="N487" t="s">
        <v>326</v>
      </c>
      <c r="P487">
        <f t="shared" si="98"/>
        <v>486</v>
      </c>
      <c r="Q487" s="5" t="str">
        <f t="shared" si="90"/>
        <v>C</v>
      </c>
      <c r="R487" s="6" t="str">
        <f t="shared" si="91"/>
        <v>J</v>
      </c>
      <c r="S487" s="6" t="str">
        <f t="shared" si="92"/>
        <v>B</v>
      </c>
      <c r="T487" s="6" t="str">
        <f t="shared" si="93"/>
        <v>D</v>
      </c>
      <c r="U487" s="6" t="str">
        <f t="shared" si="94"/>
        <v>A</v>
      </c>
      <c r="V487" s="6" t="str">
        <f t="shared" si="95"/>
        <v>F</v>
      </c>
      <c r="W487" s="6" t="str">
        <f t="shared" si="96"/>
        <v>E</v>
      </c>
      <c r="X487" s="6" t="str">
        <f t="shared" si="97"/>
        <v>I</v>
      </c>
      <c r="Y487" s="8">
        <f t="shared" si="99"/>
        <v>6</v>
      </c>
    </row>
    <row r="488" spans="1:25" x14ac:dyDescent="0.2">
      <c r="A488" t="s">
        <v>822</v>
      </c>
      <c r="F488">
        <v>487</v>
      </c>
      <c r="G488" t="s">
        <v>328</v>
      </c>
      <c r="H488" t="s">
        <v>327</v>
      </c>
      <c r="I488" t="s">
        <v>336</v>
      </c>
      <c r="J488" t="s">
        <v>338</v>
      </c>
      <c r="K488" t="s">
        <v>333</v>
      </c>
      <c r="L488" t="s">
        <v>335</v>
      </c>
      <c r="M488" t="s">
        <v>330</v>
      </c>
      <c r="N488" t="s">
        <v>324</v>
      </c>
      <c r="P488">
        <f t="shared" si="98"/>
        <v>487</v>
      </c>
      <c r="Q488" s="5" t="str">
        <f t="shared" si="90"/>
        <v>H</v>
      </c>
      <c r="R488" s="6" t="str">
        <f t="shared" si="91"/>
        <v>F</v>
      </c>
      <c r="S488" s="6" t="str">
        <f t="shared" si="92"/>
        <v>B</v>
      </c>
      <c r="T488" s="6" t="str">
        <f t="shared" si="93"/>
        <v>C</v>
      </c>
      <c r="U488" s="6" t="str">
        <f t="shared" si="94"/>
        <v>A</v>
      </c>
      <c r="V488" s="6" t="str">
        <f t="shared" si="95"/>
        <v>D</v>
      </c>
      <c r="W488" s="6" t="str">
        <f t="shared" si="96"/>
        <v>L</v>
      </c>
      <c r="X488" s="6" t="str">
        <f t="shared" si="97"/>
        <v>E</v>
      </c>
      <c r="Y488" s="8">
        <f t="shared" si="99"/>
        <v>5</v>
      </c>
    </row>
    <row r="489" spans="1:25" x14ac:dyDescent="0.2">
      <c r="A489" t="s">
        <v>823</v>
      </c>
      <c r="F489">
        <v>488</v>
      </c>
      <c r="G489" t="s">
        <v>328</v>
      </c>
      <c r="H489" t="s">
        <v>324</v>
      </c>
      <c r="I489" t="s">
        <v>336</v>
      </c>
      <c r="J489" t="s">
        <v>338</v>
      </c>
      <c r="K489" t="s">
        <v>333</v>
      </c>
      <c r="L489" t="s">
        <v>327</v>
      </c>
      <c r="M489" t="s">
        <v>335</v>
      </c>
      <c r="N489" t="s">
        <v>331</v>
      </c>
      <c r="P489">
        <f t="shared" si="98"/>
        <v>488</v>
      </c>
      <c r="Q489" s="5" t="str">
        <f t="shared" si="90"/>
        <v>H</v>
      </c>
      <c r="R489" s="6" t="str">
        <f t="shared" si="91"/>
        <v>E</v>
      </c>
      <c r="S489" s="6" t="str">
        <f t="shared" si="92"/>
        <v>B</v>
      </c>
      <c r="T489" s="6" t="str">
        <f t="shared" si="93"/>
        <v>C</v>
      </c>
      <c r="U489" s="6" t="str">
        <f t="shared" si="94"/>
        <v>A</v>
      </c>
      <c r="V489" s="6" t="str">
        <f t="shared" si="95"/>
        <v>F</v>
      </c>
      <c r="W489" s="6" t="str">
        <f t="shared" si="96"/>
        <v>D</v>
      </c>
      <c r="X489" s="6" t="str">
        <f t="shared" si="97"/>
        <v>K</v>
      </c>
      <c r="Y489" s="8">
        <f t="shared" si="99"/>
        <v>4</v>
      </c>
    </row>
    <row r="490" spans="1:25" x14ac:dyDescent="0.2">
      <c r="A490" t="s">
        <v>824</v>
      </c>
      <c r="F490">
        <v>489</v>
      </c>
      <c r="G490" t="s">
        <v>328</v>
      </c>
      <c r="H490" t="s">
        <v>325</v>
      </c>
      <c r="I490" t="s">
        <v>336</v>
      </c>
      <c r="J490" t="s">
        <v>338</v>
      </c>
      <c r="K490" t="s">
        <v>333</v>
      </c>
      <c r="L490" t="s">
        <v>327</v>
      </c>
      <c r="M490" t="s">
        <v>335</v>
      </c>
      <c r="N490" t="s">
        <v>324</v>
      </c>
      <c r="P490">
        <f t="shared" si="98"/>
        <v>489</v>
      </c>
      <c r="Q490" s="5" t="str">
        <f t="shared" si="90"/>
        <v>H</v>
      </c>
      <c r="R490" s="6" t="str">
        <f t="shared" si="91"/>
        <v>J</v>
      </c>
      <c r="S490" s="6" t="str">
        <f t="shared" si="92"/>
        <v>B</v>
      </c>
      <c r="T490" s="6" t="str">
        <f t="shared" si="93"/>
        <v>C</v>
      </c>
      <c r="U490" s="6" t="str">
        <f t="shared" si="94"/>
        <v>A</v>
      </c>
      <c r="V490" s="6" t="str">
        <f t="shared" si="95"/>
        <v>F</v>
      </c>
      <c r="W490" s="6" t="str">
        <f t="shared" si="96"/>
        <v>D</v>
      </c>
      <c r="X490" s="6" t="str">
        <f t="shared" si="97"/>
        <v>E</v>
      </c>
      <c r="Y490" s="8">
        <f t="shared" si="99"/>
        <v>5</v>
      </c>
    </row>
    <row r="491" spans="1:25" x14ac:dyDescent="0.2">
      <c r="A491" t="s">
        <v>825</v>
      </c>
      <c r="F491">
        <v>490</v>
      </c>
      <c r="G491" t="s">
        <v>328</v>
      </c>
      <c r="H491" t="s">
        <v>324</v>
      </c>
      <c r="I491" t="s">
        <v>336</v>
      </c>
      <c r="J491" t="s">
        <v>338</v>
      </c>
      <c r="K491" t="s">
        <v>333</v>
      </c>
      <c r="L491" t="s">
        <v>327</v>
      </c>
      <c r="M491" t="s">
        <v>335</v>
      </c>
      <c r="N491" t="s">
        <v>326</v>
      </c>
      <c r="P491">
        <f t="shared" si="98"/>
        <v>490</v>
      </c>
      <c r="Q491" s="5" t="str">
        <f t="shared" si="90"/>
        <v>H</v>
      </c>
      <c r="R491" s="6" t="str">
        <f t="shared" si="91"/>
        <v>E</v>
      </c>
      <c r="S491" s="6" t="str">
        <f t="shared" si="92"/>
        <v>B</v>
      </c>
      <c r="T491" s="6" t="str">
        <f t="shared" si="93"/>
        <v>C</v>
      </c>
      <c r="U491" s="6" t="str">
        <f t="shared" si="94"/>
        <v>A</v>
      </c>
      <c r="V491" s="6" t="str">
        <f t="shared" si="95"/>
        <v>F</v>
      </c>
      <c r="W491" s="6" t="str">
        <f t="shared" si="96"/>
        <v>D</v>
      </c>
      <c r="X491" s="6" t="str">
        <f t="shared" si="97"/>
        <v>I</v>
      </c>
      <c r="Y491" s="8">
        <f t="shared" si="99"/>
        <v>5</v>
      </c>
    </row>
    <row r="492" spans="1:25" x14ac:dyDescent="0.2">
      <c r="A492" t="s">
        <v>826</v>
      </c>
      <c r="F492">
        <v>491</v>
      </c>
      <c r="G492" t="s">
        <v>338</v>
      </c>
      <c r="H492" t="s">
        <v>329</v>
      </c>
      <c r="I492" t="s">
        <v>336</v>
      </c>
      <c r="J492" t="s">
        <v>335</v>
      </c>
      <c r="K492" t="s">
        <v>333</v>
      </c>
      <c r="L492" t="s">
        <v>327</v>
      </c>
      <c r="M492" t="s">
        <v>330</v>
      </c>
      <c r="N492" t="s">
        <v>324</v>
      </c>
      <c r="P492">
        <f t="shared" si="98"/>
        <v>491</v>
      </c>
      <c r="Q492" s="5" t="str">
        <f t="shared" si="90"/>
        <v>C</v>
      </c>
      <c r="R492" s="6" t="str">
        <f t="shared" si="91"/>
        <v>G</v>
      </c>
      <c r="S492" s="6" t="str">
        <f t="shared" si="92"/>
        <v>B</v>
      </c>
      <c r="T492" s="6" t="str">
        <f t="shared" si="93"/>
        <v>D</v>
      </c>
      <c r="U492" s="6" t="str">
        <f t="shared" si="94"/>
        <v>A</v>
      </c>
      <c r="V492" s="6" t="str">
        <f t="shared" si="95"/>
        <v>F</v>
      </c>
      <c r="W492" s="6" t="str">
        <f t="shared" si="96"/>
        <v>L</v>
      </c>
      <c r="X492" s="6" t="str">
        <f t="shared" si="97"/>
        <v>E</v>
      </c>
      <c r="Y492" s="8">
        <f t="shared" si="99"/>
        <v>6</v>
      </c>
    </row>
    <row r="493" spans="1:25" x14ac:dyDescent="0.2">
      <c r="A493" t="s">
        <v>827</v>
      </c>
      <c r="F493">
        <v>492</v>
      </c>
      <c r="G493" t="s">
        <v>338</v>
      </c>
      <c r="H493" t="s">
        <v>329</v>
      </c>
      <c r="I493" t="s">
        <v>336</v>
      </c>
      <c r="J493" t="s">
        <v>335</v>
      </c>
      <c r="K493" t="s">
        <v>333</v>
      </c>
      <c r="L493" t="s">
        <v>327</v>
      </c>
      <c r="M493" t="s">
        <v>324</v>
      </c>
      <c r="N493" t="s">
        <v>331</v>
      </c>
      <c r="P493">
        <f t="shared" si="98"/>
        <v>492</v>
      </c>
      <c r="Q493" s="5" t="str">
        <f t="shared" si="90"/>
        <v>C</v>
      </c>
      <c r="R493" s="6" t="str">
        <f t="shared" si="91"/>
        <v>G</v>
      </c>
      <c r="S493" s="6" t="str">
        <f t="shared" si="92"/>
        <v>B</v>
      </c>
      <c r="T493" s="6" t="str">
        <f t="shared" si="93"/>
        <v>D</v>
      </c>
      <c r="U493" s="6" t="str">
        <f t="shared" si="94"/>
        <v>A</v>
      </c>
      <c r="V493" s="6" t="str">
        <f t="shared" si="95"/>
        <v>F</v>
      </c>
      <c r="W493" s="6" t="str">
        <f t="shared" si="96"/>
        <v>E</v>
      </c>
      <c r="X493" s="6" t="str">
        <f t="shared" si="97"/>
        <v>K</v>
      </c>
      <c r="Y493" s="8">
        <f t="shared" si="99"/>
        <v>5</v>
      </c>
    </row>
    <row r="494" spans="1:25" x14ac:dyDescent="0.2">
      <c r="A494" t="s">
        <v>828</v>
      </c>
      <c r="F494">
        <v>493</v>
      </c>
      <c r="G494" t="s">
        <v>338</v>
      </c>
      <c r="H494" t="s">
        <v>329</v>
      </c>
      <c r="I494" t="s">
        <v>336</v>
      </c>
      <c r="J494" t="s">
        <v>335</v>
      </c>
      <c r="K494" t="s">
        <v>333</v>
      </c>
      <c r="L494" t="s">
        <v>327</v>
      </c>
      <c r="M494" t="s">
        <v>324</v>
      </c>
      <c r="N494" t="s">
        <v>325</v>
      </c>
      <c r="P494">
        <f t="shared" si="98"/>
        <v>493</v>
      </c>
      <c r="Q494" s="5" t="str">
        <f t="shared" si="90"/>
        <v>C</v>
      </c>
      <c r="R494" s="6" t="str">
        <f t="shared" si="91"/>
        <v>G</v>
      </c>
      <c r="S494" s="6" t="str">
        <f t="shared" si="92"/>
        <v>B</v>
      </c>
      <c r="T494" s="6" t="str">
        <f t="shared" si="93"/>
        <v>D</v>
      </c>
      <c r="U494" s="6" t="str">
        <f t="shared" si="94"/>
        <v>A</v>
      </c>
      <c r="V494" s="6" t="str">
        <f t="shared" si="95"/>
        <v>F</v>
      </c>
      <c r="W494" s="6" t="str">
        <f t="shared" si="96"/>
        <v>E</v>
      </c>
      <c r="X494" s="6" t="str">
        <f t="shared" si="97"/>
        <v>J</v>
      </c>
      <c r="Y494" s="8">
        <f t="shared" si="99"/>
        <v>6</v>
      </c>
    </row>
    <row r="495" spans="1:25" x14ac:dyDescent="0.2">
      <c r="A495" t="s">
        <v>829</v>
      </c>
      <c r="F495">
        <v>494</v>
      </c>
      <c r="G495" t="s">
        <v>338</v>
      </c>
      <c r="H495" t="s">
        <v>329</v>
      </c>
      <c r="I495" t="s">
        <v>336</v>
      </c>
      <c r="J495" t="s">
        <v>335</v>
      </c>
      <c r="K495" t="s">
        <v>333</v>
      </c>
      <c r="L495" t="s">
        <v>327</v>
      </c>
      <c r="M495" t="s">
        <v>324</v>
      </c>
      <c r="N495" t="s">
        <v>326</v>
      </c>
      <c r="P495">
        <f t="shared" si="98"/>
        <v>494</v>
      </c>
      <c r="Q495" s="5" t="str">
        <f t="shared" si="90"/>
        <v>C</v>
      </c>
      <c r="R495" s="6" t="str">
        <f t="shared" si="91"/>
        <v>G</v>
      </c>
      <c r="S495" s="6" t="str">
        <f t="shared" si="92"/>
        <v>B</v>
      </c>
      <c r="T495" s="6" t="str">
        <f t="shared" si="93"/>
        <v>D</v>
      </c>
      <c r="U495" s="6" t="str">
        <f t="shared" si="94"/>
        <v>A</v>
      </c>
      <c r="V495" s="6" t="str">
        <f t="shared" si="95"/>
        <v>F</v>
      </c>
      <c r="W495" s="6" t="str">
        <f t="shared" si="96"/>
        <v>E</v>
      </c>
      <c r="X495" s="6" t="str">
        <f t="shared" si="97"/>
        <v>I</v>
      </c>
      <c r="Y495" s="8">
        <f t="shared" si="99"/>
        <v>6</v>
      </c>
    </row>
    <row r="496" spans="1:25" x14ac:dyDescent="0.2">
      <c r="A496" t="s">
        <v>830</v>
      </c>
      <c r="F496">
        <v>495</v>
      </c>
      <c r="G496" t="s">
        <v>328</v>
      </c>
      <c r="H496" t="s">
        <v>329</v>
      </c>
      <c r="I496" t="s">
        <v>336</v>
      </c>
      <c r="J496" t="s">
        <v>338</v>
      </c>
      <c r="K496" t="s">
        <v>333</v>
      </c>
      <c r="L496" t="s">
        <v>327</v>
      </c>
      <c r="M496" t="s">
        <v>335</v>
      </c>
      <c r="N496" t="s">
        <v>324</v>
      </c>
      <c r="P496">
        <f t="shared" si="98"/>
        <v>495</v>
      </c>
      <c r="Q496" s="5" t="str">
        <f t="shared" si="90"/>
        <v>H</v>
      </c>
      <c r="R496" s="6" t="str">
        <f t="shared" si="91"/>
        <v>G</v>
      </c>
      <c r="S496" s="6" t="str">
        <f t="shared" si="92"/>
        <v>B</v>
      </c>
      <c r="T496" s="6" t="str">
        <f t="shared" si="93"/>
        <v>C</v>
      </c>
      <c r="U496" s="6" t="str">
        <f t="shared" si="94"/>
        <v>A</v>
      </c>
      <c r="V496" s="6" t="str">
        <f t="shared" si="95"/>
        <v>F</v>
      </c>
      <c r="W496" s="6" t="str">
        <f t="shared" si="96"/>
        <v>D</v>
      </c>
      <c r="X496" s="6" t="str">
        <f t="shared" si="97"/>
        <v>E</v>
      </c>
      <c r="Y496" s="8">
        <f t="shared" si="99"/>
        <v>5</v>
      </c>
    </row>
  </sheetData>
  <conditionalFormatting sqref="Y2:Y496">
    <cfRule type="cellIs" dxfId="1" priority="1" operator="equal">
      <formula>8</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4EAAB-CF15-47E4-8C97-B3496DEC1220}">
  <sheetPr codeName="Sheet4"/>
  <dimension ref="A1:BS51"/>
  <sheetViews>
    <sheetView zoomScale="90" zoomScaleNormal="90" workbookViewId="0">
      <pane ySplit="3" topLeftCell="A4" activePane="bottomLeft" state="frozen"/>
      <selection activeCell="B12" sqref="B12"/>
      <selection pane="bottomLeft" activeCell="B12" sqref="B12"/>
    </sheetView>
  </sheetViews>
  <sheetFormatPr defaultRowHeight="14.25" x14ac:dyDescent="0.2"/>
  <cols>
    <col min="7" max="7" width="2.875" bestFit="1" customWidth="1"/>
    <col min="8" max="8" width="13.625" bestFit="1" customWidth="1"/>
    <col min="9" max="15" width="10.25" customWidth="1"/>
    <col min="16" max="16" width="12.25" customWidth="1"/>
    <col min="24" max="24" width="12.625" bestFit="1" customWidth="1"/>
    <col min="25" max="26" width="12.625" customWidth="1"/>
    <col min="27" max="27" width="13.875" customWidth="1"/>
    <col min="42" max="42" width="11.875" style="457" bestFit="1" customWidth="1"/>
    <col min="43" max="43" width="13.875" bestFit="1" customWidth="1"/>
    <col min="44" max="45" width="9" style="6"/>
    <col min="46" max="46" width="10.375" style="169" bestFit="1" customWidth="1"/>
    <col min="49" max="49" width="11.75" customWidth="1"/>
    <col min="50" max="50" width="9.875" customWidth="1"/>
    <col min="51" max="51" width="13.875" bestFit="1" customWidth="1"/>
    <col min="52" max="52" width="11.25" customWidth="1"/>
    <col min="53" max="53" width="13.875" bestFit="1" customWidth="1"/>
    <col min="54" max="54" width="9.125" customWidth="1"/>
    <col min="55" max="55" width="13.875" bestFit="1" customWidth="1"/>
    <col min="56" max="56" width="14.25" customWidth="1"/>
    <col min="57" max="57" width="13.5" bestFit="1" customWidth="1"/>
    <col min="58" max="58" width="12.375" customWidth="1"/>
    <col min="59" max="59" width="13.875" bestFit="1" customWidth="1"/>
    <col min="61" max="61" width="13.875" bestFit="1" customWidth="1"/>
    <col min="75" max="75" width="13.75" bestFit="1" customWidth="1"/>
  </cols>
  <sheetData>
    <row r="1" spans="1:71" x14ac:dyDescent="0.2">
      <c r="I1" s="169">
        <v>1000000</v>
      </c>
      <c r="J1" s="169">
        <v>100000</v>
      </c>
      <c r="K1" s="169">
        <v>10000</v>
      </c>
      <c r="L1" s="169">
        <v>1000</v>
      </c>
      <c r="M1" s="169">
        <v>100</v>
      </c>
      <c r="N1" s="169">
        <v>10</v>
      </c>
      <c r="O1" s="169">
        <v>1</v>
      </c>
      <c r="BI1" t="s">
        <v>831</v>
      </c>
    </row>
    <row r="2" spans="1:71" x14ac:dyDescent="0.2">
      <c r="I2" s="6">
        <v>2</v>
      </c>
      <c r="J2" s="6">
        <v>2</v>
      </c>
      <c r="K2" s="6">
        <v>1</v>
      </c>
      <c r="L2" s="6">
        <v>1</v>
      </c>
      <c r="M2" s="6">
        <v>1</v>
      </c>
      <c r="N2" s="6">
        <v>1</v>
      </c>
      <c r="O2" s="6">
        <v>1</v>
      </c>
      <c r="AY2" s="169">
        <f>+M1</f>
        <v>100</v>
      </c>
      <c r="AZ2" s="169">
        <f>+L1</f>
        <v>1000</v>
      </c>
      <c r="BA2" s="169">
        <f>+K1</f>
        <v>10000</v>
      </c>
      <c r="BB2" s="169">
        <f>+J1</f>
        <v>100000</v>
      </c>
      <c r="BC2" s="169">
        <f>+I1</f>
        <v>1000000</v>
      </c>
      <c r="BH2" s="168"/>
      <c r="BI2" s="168"/>
      <c r="BJ2" s="168"/>
    </row>
    <row r="3" spans="1:71" ht="15" x14ac:dyDescent="0.25">
      <c r="A3">
        <v>1</v>
      </c>
      <c r="C3" t="s">
        <v>832</v>
      </c>
      <c r="G3" s="7"/>
      <c r="H3" s="2" t="s">
        <v>45</v>
      </c>
      <c r="I3" s="4" t="s">
        <v>20</v>
      </c>
      <c r="J3" s="4" t="s">
        <v>16</v>
      </c>
      <c r="K3" s="4" t="s">
        <v>833</v>
      </c>
      <c r="L3" s="4" t="s">
        <v>834</v>
      </c>
      <c r="M3" s="4" t="s">
        <v>14</v>
      </c>
      <c r="N3" s="4" t="s">
        <v>12</v>
      </c>
      <c r="O3" s="4" t="s">
        <v>9</v>
      </c>
      <c r="P3" s="4" t="s">
        <v>835</v>
      </c>
      <c r="Q3" s="158" t="s">
        <v>104</v>
      </c>
      <c r="R3" s="158" t="s">
        <v>105</v>
      </c>
      <c r="S3" s="158" t="s">
        <v>106</v>
      </c>
      <c r="T3" s="158" t="s">
        <v>836</v>
      </c>
      <c r="U3" s="158" t="s">
        <v>108</v>
      </c>
      <c r="V3" s="158" t="s">
        <v>109</v>
      </c>
      <c r="W3" s="158" t="s">
        <v>0</v>
      </c>
      <c r="X3" s="158" t="s">
        <v>837</v>
      </c>
      <c r="Y3" s="158" t="s">
        <v>46</v>
      </c>
      <c r="Z3" s="158" t="s">
        <v>838</v>
      </c>
      <c r="AA3" s="158" t="s">
        <v>44</v>
      </c>
      <c r="AB3" s="158"/>
      <c r="AC3" s="6" t="s">
        <v>20</v>
      </c>
      <c r="AD3" t="s">
        <v>16</v>
      </c>
      <c r="AE3" t="s">
        <v>18</v>
      </c>
      <c r="AF3" t="s">
        <v>294</v>
      </c>
      <c r="AG3" t="s">
        <v>14</v>
      </c>
      <c r="AH3" t="s">
        <v>12</v>
      </c>
      <c r="AI3" t="s">
        <v>9</v>
      </c>
      <c r="AP3" s="457" t="s">
        <v>44</v>
      </c>
      <c r="AQ3" t="s">
        <v>45</v>
      </c>
      <c r="AR3" s="6" t="s">
        <v>46</v>
      </c>
      <c r="AS3" s="6" t="s">
        <v>839</v>
      </c>
      <c r="AT3" s="169" t="s">
        <v>840</v>
      </c>
      <c r="AU3" s="6" t="s">
        <v>291</v>
      </c>
      <c r="AV3" s="6"/>
      <c r="AW3" s="6" t="s">
        <v>46</v>
      </c>
      <c r="AX3" s="6" t="s">
        <v>841</v>
      </c>
      <c r="AY3" s="6" t="s">
        <v>14</v>
      </c>
      <c r="AZ3" s="6" t="s">
        <v>842</v>
      </c>
      <c r="BA3" s="6" t="s">
        <v>843</v>
      </c>
      <c r="BB3" s="6" t="s">
        <v>844</v>
      </c>
      <c r="BC3" s="6" t="s">
        <v>845</v>
      </c>
      <c r="BD3" s="6" t="s">
        <v>846</v>
      </c>
      <c r="BE3" s="6" t="s">
        <v>0</v>
      </c>
      <c r="BF3" s="6" t="s">
        <v>847</v>
      </c>
      <c r="BH3" s="7"/>
      <c r="BI3" s="2" t="s">
        <v>45</v>
      </c>
      <c r="BJ3" s="158" t="s">
        <v>104</v>
      </c>
      <c r="BK3" s="158" t="s">
        <v>105</v>
      </c>
      <c r="BL3" s="158" t="s">
        <v>106</v>
      </c>
      <c r="BM3" s="158" t="s">
        <v>836</v>
      </c>
      <c r="BN3" s="158" t="s">
        <v>108</v>
      </c>
      <c r="BO3" s="158" t="s">
        <v>109</v>
      </c>
      <c r="BP3" s="158" t="s">
        <v>0</v>
      </c>
    </row>
    <row r="4" spans="1:71" x14ac:dyDescent="0.2">
      <c r="A4">
        <v>2</v>
      </c>
      <c r="C4" t="s">
        <v>848</v>
      </c>
      <c r="G4">
        <v>1</v>
      </c>
      <c r="H4" t="str">
        <f>+'Groups Stage'!O3</f>
        <v>Mexico</v>
      </c>
      <c r="I4" s="6">
        <f t="shared" ref="I4:I51" si="0">+IF(COUNTIF(AC:AC,$H4)&gt;0,I$2,0)</f>
        <v>0</v>
      </c>
      <c r="J4" s="6">
        <f t="shared" ref="J4:J51" si="1">+IF(COUNTIF(AD:AD,$H4)&gt;0,J$2,0)</f>
        <v>0</v>
      </c>
      <c r="K4" s="6">
        <f t="shared" ref="K4:K51" si="2">+IF(COUNTIF(AE:AE,$H4)&gt;0,K$2,0)</f>
        <v>0</v>
      </c>
      <c r="L4" s="6">
        <f t="shared" ref="L4:L51" si="3">+IF(COUNTIF(AF:AF,$H4)&gt;0,L$2,0)</f>
        <v>0</v>
      </c>
      <c r="M4" s="6">
        <f t="shared" ref="M4:M51" si="4">+IF(COUNTIF(AG:AG,$H4)&gt;0,M$2,0)</f>
        <v>0</v>
      </c>
      <c r="N4" s="6">
        <f t="shared" ref="N4:N51" si="5">+IF(COUNTIF(AH:AH,$H4)&gt;0,N$2,0)</f>
        <v>0</v>
      </c>
      <c r="O4" s="6">
        <f t="shared" ref="O4:O51" si="6">+IF(COUNTIF(AI:AI,$H4)&gt;0,O$2,0)</f>
        <v>1</v>
      </c>
      <c r="P4" s="6">
        <f>+SUM(I4:O4)</f>
        <v>1</v>
      </c>
      <c r="Q4" s="6">
        <f>+COUNTIFS('Inputs summary'!I:I,$H4)</f>
        <v>1</v>
      </c>
      <c r="R4" s="6">
        <f>+COUNTIFS('Inputs summary'!J:K,$H4)</f>
        <v>1</v>
      </c>
      <c r="S4" s="6">
        <f>+COUNTIFS('Inputs summary'!L:L,$H4)</f>
        <v>2</v>
      </c>
      <c r="T4" s="6">
        <f>+U4-V4</f>
        <v>-1</v>
      </c>
      <c r="U4" s="6">
        <f>+SUMIF('Inputs summary'!B:B,H4,'Inputs summary'!C:C)+SUMIF('Inputs summary'!E:E,H4,'Inputs summary'!D:D)</f>
        <v>5</v>
      </c>
      <c r="V4" s="6">
        <f>+SUMIF('Inputs summary'!B:B,H4,'Inputs summary'!D:D)+SUMIF('Inputs summary'!E:E,H4,'Inputs summary'!C:C)</f>
        <v>6</v>
      </c>
      <c r="W4" s="159">
        <f>+P4*100+Q4*3+R4+T4/100+U4/10000+(1/AA4)/100000000</f>
        <v>103.99050000066666</v>
      </c>
      <c r="X4" s="173">
        <f>+SUMPRODUCT(I4:O4,$I$1:$O$1)</f>
        <v>1</v>
      </c>
      <c r="Y4" s="167">
        <f t="shared" ref="Y4:Y51" si="7">+_xlfn.XLOOKUP(H4,AQ:AQ,AR:AR,"-",0)</f>
        <v>2</v>
      </c>
      <c r="Z4" s="173">
        <f>+W4+(1/Y4)*0.000001</f>
        <v>103.99050050066666</v>
      </c>
      <c r="AA4" s="173">
        <f>+_xlfn.XLOOKUP(H4,'Ranking FIFA'!B:B,'Ranking FIFA'!A:A,"--",0)</f>
        <v>15</v>
      </c>
      <c r="AC4" t="str">
        <f>+'Quarter, Semis &amp; Final'!P8</f>
        <v>Argentina</v>
      </c>
      <c r="AD4" t="str">
        <f>+'Quarter, Semis &amp; Final'!P4</f>
        <v>Francia</v>
      </c>
      <c r="AE4" t="str">
        <f>+'Quarter, Semis &amp; Final'!P15</f>
        <v>Brasil</v>
      </c>
      <c r="AF4" t="str">
        <f>+'Quarter, Semis &amp; Final'!B19</f>
        <v>Francia</v>
      </c>
      <c r="AG4" t="str">
        <f>+'Quarter, Semis &amp; Final'!B5</f>
        <v>Francia</v>
      </c>
      <c r="AH4" t="str">
        <f>+'Round of 32 &amp; Round of 16'!P5</f>
        <v>Alemania</v>
      </c>
      <c r="AI4" t="str">
        <f>+'Round of 32 &amp; Round of 16'!B5</f>
        <v>Repubilca Checa</v>
      </c>
      <c r="AP4" s="457">
        <f>+_xlfn.XLOOKUP(AQ4,'Ranking FIFA'!B:B,'Ranking FIFA'!A:A,"--",0)</f>
        <v>1</v>
      </c>
      <c r="AQ4" t="s">
        <v>48</v>
      </c>
      <c r="AR4" s="6">
        <v>1</v>
      </c>
      <c r="AS4" s="6">
        <v>1</v>
      </c>
      <c r="AT4" s="169">
        <f t="shared" ref="AT4:AT51" si="8">+SUMIF($H$4:$H$51,AQ4,$X$4:$X$51)</f>
        <v>201111</v>
      </c>
      <c r="AU4" s="166">
        <f t="shared" ref="AU4:AU51" si="9">+SUMIF($H$4:$H$51,AQ4,$W$4:$W$51)</f>
        <v>621.11160001000007</v>
      </c>
      <c r="AW4" s="6">
        <v>2</v>
      </c>
      <c r="AX4" s="169">
        <f>+_xlfn.MAXIFS(AT:AT,AR:AR,AW4)</f>
        <v>1111</v>
      </c>
      <c r="AY4" s="6">
        <f>+IF($AX4&gt;AY$2,1,0)</f>
        <v>1</v>
      </c>
      <c r="AZ4" s="6">
        <f t="shared" ref="AZ4:BC6" si="10">+IF($AX4&gt;AZ$2,1,0)</f>
        <v>1</v>
      </c>
      <c r="BA4" s="6">
        <f t="shared" si="10"/>
        <v>0</v>
      </c>
      <c r="BB4" s="6">
        <f t="shared" si="10"/>
        <v>0</v>
      </c>
      <c r="BC4" s="6">
        <f t="shared" si="10"/>
        <v>0</v>
      </c>
      <c r="BD4" s="6" t="str">
        <f>+_xlfn.XLOOKUP(BE4,W:W,H:H)</f>
        <v>Colombia</v>
      </c>
      <c r="BE4" s="166">
        <f>+_xlfn.MAXIFS(W:W,Y:Y,AW4)</f>
        <v>415.03110000076919</v>
      </c>
      <c r="BF4" s="168">
        <f>+IF(AZ4&gt;0,AX4,0)</f>
        <v>1111</v>
      </c>
      <c r="BH4">
        <v>1</v>
      </c>
      <c r="BI4" t="str">
        <f t="shared" ref="BI4:BI51" si="11">+H4</f>
        <v>Mexico</v>
      </c>
      <c r="BJ4" s="6">
        <f>+COUNTIFS('Inputs summary'!I$2:I$106,BI4)</f>
        <v>1</v>
      </c>
      <c r="BK4" s="6">
        <f>+COUNTIFS('Inputs summary'!J$2:K$106,BI4)</f>
        <v>1</v>
      </c>
      <c r="BL4" s="6">
        <f>+COUNTIFS('Inputs summary'!L$2:L$106,BI4)</f>
        <v>1</v>
      </c>
      <c r="BM4" s="6">
        <f>+BN4-BO4</f>
        <v>0</v>
      </c>
      <c r="BN4" s="6">
        <f>+SUMIF('Inputs summary'!$B$1:$B$106,$BI4,'Inputs summary'!$C$1:$C$106)+SUMIF('Inputs summary'!$E$1:$E$106,$BI4,'Inputs summary'!$D$1:$D$106)</f>
        <v>4</v>
      </c>
      <c r="BO4" s="6">
        <f>+SUMIF('Inputs summary'!$B$1:$B$106,$BI4,'Inputs summary'!$D$1:$D$106)+SUMIF('Inputs summary'!$E$1:$E$106,$BI4,'Inputs summary'!$C$1:$C$106)</f>
        <v>4</v>
      </c>
      <c r="BP4" s="166">
        <f t="shared" ref="BP4:BP51" si="12">+BJ4*3+BK4*2+BM4/100+BN4/1000+Y4/100000+AA4/10000000</f>
        <v>5.0040214999999995</v>
      </c>
      <c r="BR4">
        <f>+LARGE(BP4:BP51,1)</f>
        <v>9.0890109999999993</v>
      </c>
      <c r="BS4" s="175" t="str">
        <f>+_xlfn.XLOOKUP(BR4,$BP$4:$BP$51,$BI$4:$BI$51,"-",0)</f>
        <v>Alemania</v>
      </c>
    </row>
    <row r="5" spans="1:71" x14ac:dyDescent="0.2">
      <c r="A5">
        <v>3</v>
      </c>
      <c r="C5" t="s">
        <v>116</v>
      </c>
      <c r="G5">
        <v>2</v>
      </c>
      <c r="H5" t="str">
        <f>+'Groups Stage'!O4</f>
        <v>Sudafrica</v>
      </c>
      <c r="I5" s="6">
        <f t="shared" si="0"/>
        <v>0</v>
      </c>
      <c r="J5" s="6">
        <f t="shared" si="1"/>
        <v>0</v>
      </c>
      <c r="K5" s="6">
        <f t="shared" si="2"/>
        <v>0</v>
      </c>
      <c r="L5" s="6">
        <f t="shared" si="3"/>
        <v>0</v>
      </c>
      <c r="M5" s="6">
        <f t="shared" si="4"/>
        <v>0</v>
      </c>
      <c r="N5" s="6">
        <f t="shared" si="5"/>
        <v>0</v>
      </c>
      <c r="O5" s="6">
        <f t="shared" si="6"/>
        <v>0</v>
      </c>
      <c r="P5" s="6">
        <f t="shared" ref="P5:P51" si="13">+SUM(I5:O5)</f>
        <v>0</v>
      </c>
      <c r="Q5" s="6">
        <f>+COUNTIFS('Inputs summary'!I:I,$H5)</f>
        <v>0</v>
      </c>
      <c r="R5" s="6">
        <f>+COUNTIFS('Inputs summary'!J:K,$H5)</f>
        <v>0</v>
      </c>
      <c r="S5" s="6">
        <f>+COUNTIFS('Inputs summary'!L:L,$H5)</f>
        <v>3</v>
      </c>
      <c r="T5" s="6">
        <f t="shared" ref="T5:T51" si="14">+U5-V5</f>
        <v>-5</v>
      </c>
      <c r="U5" s="6">
        <f>+SUMIF('Inputs summary'!B:B,H5,'Inputs summary'!C:C)+SUMIF('Inputs summary'!E:E,H5,'Inputs summary'!D:D)</f>
        <v>1</v>
      </c>
      <c r="V5" s="6">
        <f>+SUMIF('Inputs summary'!B:B,H5,'Inputs summary'!D:D)+SUMIF('Inputs summary'!E:E,H5,'Inputs summary'!C:C)</f>
        <v>6</v>
      </c>
      <c r="W5" s="159">
        <f t="shared" ref="W5:W51" si="15">+P5*100+Q5*3+R5+T5/100+U5/10000+(1/AA5)/100000000</f>
        <v>-4.9899999833333333E-2</v>
      </c>
      <c r="X5" s="173">
        <f t="shared" ref="X5:X51" si="16">+SUMPRODUCT(I5:O5,$I$1:$O$1)</f>
        <v>0</v>
      </c>
      <c r="Y5" s="167">
        <f t="shared" si="7"/>
        <v>3</v>
      </c>
      <c r="Z5" s="173">
        <f t="shared" ref="Z5:Z51" si="17">+W5+(1/Y5)*0.000001</f>
        <v>-4.9899666500000002E-2</v>
      </c>
      <c r="AA5" s="173">
        <f>+_xlfn.XLOOKUP(H5,'Ranking FIFA'!B:B,'Ranking FIFA'!A:A,"--",0)</f>
        <v>60</v>
      </c>
      <c r="AD5" t="str">
        <f>+'Quarter, Semis &amp; Final'!S4</f>
        <v>Argentina</v>
      </c>
      <c r="AF5" t="str">
        <f>+'Quarter, Semis &amp; Final'!E19</f>
        <v>Colombia</v>
      </c>
      <c r="AG5" t="str">
        <f>+'Quarter, Semis &amp; Final'!E5</f>
        <v>Paises Bajos</v>
      </c>
      <c r="AH5" t="str">
        <f>+'Round of 32 &amp; Round of 16'!S5</f>
        <v>Francia</v>
      </c>
      <c r="AI5" t="str">
        <f>+'Round of 32 &amp; Round of 16'!E5</f>
        <v>Suiza</v>
      </c>
      <c r="AP5" s="457">
        <f>+_xlfn.XLOOKUP(AQ5,'Ranking FIFA'!B:B,'Ranking FIFA'!A:A,"--",0)</f>
        <v>2</v>
      </c>
      <c r="AQ5" t="s">
        <v>49</v>
      </c>
      <c r="AR5" s="6">
        <v>1</v>
      </c>
      <c r="AS5" s="6">
        <v>1</v>
      </c>
      <c r="AT5" s="169">
        <f t="shared" si="8"/>
        <v>11</v>
      </c>
      <c r="AU5" s="166">
        <f t="shared" si="9"/>
        <v>210.06100000500001</v>
      </c>
      <c r="AW5" s="6">
        <v>3</v>
      </c>
      <c r="AX5" s="169">
        <f>+_xlfn.MAXIFS(AT:AT,AR:AR,AW5)</f>
        <v>11</v>
      </c>
      <c r="AY5" s="6">
        <f t="shared" ref="AY5:AY6" si="18">+IF($AX5&gt;AY$2,1,0)</f>
        <v>0</v>
      </c>
      <c r="AZ5" s="6">
        <f t="shared" si="10"/>
        <v>0</v>
      </c>
      <c r="BA5" s="6">
        <f t="shared" si="10"/>
        <v>0</v>
      </c>
      <c r="BB5" s="6">
        <f t="shared" si="10"/>
        <v>0</v>
      </c>
      <c r="BC5" s="6">
        <f t="shared" si="10"/>
        <v>0</v>
      </c>
      <c r="BD5" s="6" t="str">
        <f>+_xlfn.XLOOKUP(BE5,W:W,H:H)</f>
        <v>Canada</v>
      </c>
      <c r="BE5" s="166">
        <f>+_xlfn.MAXIFS(W:W,Y:Y,AW5)</f>
        <v>210.05090000033334</v>
      </c>
      <c r="BF5" s="168">
        <f>+IF(AY5&gt;0,AX5,0)*1</f>
        <v>0</v>
      </c>
      <c r="BH5">
        <v>2</v>
      </c>
      <c r="BI5" t="str">
        <f t="shared" si="11"/>
        <v>Sudafrica</v>
      </c>
      <c r="BJ5" s="6">
        <f>+COUNTIFS('Inputs summary'!I$2:I$106,BI5)</f>
        <v>0</v>
      </c>
      <c r="BK5" s="6">
        <f>+COUNTIFS('Inputs summary'!J$2:K$106,BI5)</f>
        <v>0</v>
      </c>
      <c r="BL5" s="6">
        <f>+COUNTIFS('Inputs summary'!L$2:L$106,BI5)</f>
        <v>3</v>
      </c>
      <c r="BM5" s="6">
        <f t="shared" ref="BM5:BM51" si="19">+BN5-BO5</f>
        <v>-5</v>
      </c>
      <c r="BN5" s="6">
        <f>+SUMIF('Inputs summary'!$B$1:$B$106,$BI5,'Inputs summary'!$C$1:$C$106)+SUMIF('Inputs summary'!$E$1:$E$106,$BI5,'Inputs summary'!$D$1:$D$106)</f>
        <v>1</v>
      </c>
      <c r="BO5" s="6">
        <f>+SUMIF('Inputs summary'!$B$1:$B$106,$BI5,'Inputs summary'!$D$1:$D$106)+SUMIF('Inputs summary'!$E$1:$E$106,$BI5,'Inputs summary'!$C$1:$C$106)</f>
        <v>6</v>
      </c>
      <c r="BP5" s="166">
        <f t="shared" si="12"/>
        <v>-4.8964000000000001E-2</v>
      </c>
    </row>
    <row r="6" spans="1:71" x14ac:dyDescent="0.2">
      <c r="A6">
        <v>4</v>
      </c>
      <c r="G6">
        <v>3</v>
      </c>
      <c r="H6" t="str">
        <f>+'Groups Stage'!O5</f>
        <v>Corea del Sur</v>
      </c>
      <c r="I6" s="6">
        <f t="shared" si="0"/>
        <v>0</v>
      </c>
      <c r="J6" s="6">
        <f t="shared" si="1"/>
        <v>0</v>
      </c>
      <c r="K6" s="6">
        <f t="shared" si="2"/>
        <v>0</v>
      </c>
      <c r="L6" s="6">
        <f t="shared" si="3"/>
        <v>0</v>
      </c>
      <c r="M6" s="6">
        <f t="shared" si="4"/>
        <v>0</v>
      </c>
      <c r="N6" s="6">
        <f t="shared" si="5"/>
        <v>1</v>
      </c>
      <c r="O6" s="6">
        <f t="shared" si="6"/>
        <v>1</v>
      </c>
      <c r="P6" s="6">
        <f t="shared" si="13"/>
        <v>2</v>
      </c>
      <c r="Q6" s="6">
        <f>+COUNTIFS('Inputs summary'!I:I,$H6)</f>
        <v>3</v>
      </c>
      <c r="R6" s="6">
        <f>+COUNTIFS('Inputs summary'!J:K,$H6)</f>
        <v>1</v>
      </c>
      <c r="S6" s="6">
        <f>+COUNTIFS('Inputs summary'!L:L,$H6)</f>
        <v>1</v>
      </c>
      <c r="T6" s="6">
        <f t="shared" si="14"/>
        <v>3</v>
      </c>
      <c r="U6" s="6">
        <f>+SUMIF('Inputs summary'!B:B,H6,'Inputs summary'!C:C)+SUMIF('Inputs summary'!E:E,H6,'Inputs summary'!D:D)</f>
        <v>8</v>
      </c>
      <c r="V6" s="6">
        <f>+SUMIF('Inputs summary'!B:B,H6,'Inputs summary'!D:D)+SUMIF('Inputs summary'!E:E,H6,'Inputs summary'!C:C)</f>
        <v>5</v>
      </c>
      <c r="W6" s="159">
        <f t="shared" si="15"/>
        <v>210.03080000040001</v>
      </c>
      <c r="X6" s="173">
        <f t="shared" si="16"/>
        <v>11</v>
      </c>
      <c r="Y6" s="167">
        <f t="shared" si="7"/>
        <v>2</v>
      </c>
      <c r="Z6" s="173">
        <f t="shared" si="17"/>
        <v>210.03080050040001</v>
      </c>
      <c r="AA6" s="173">
        <f>+_xlfn.XLOOKUP(H6,'Ranking FIFA'!B:B,'Ranking FIFA'!A:A,"--",0)</f>
        <v>25</v>
      </c>
      <c r="AF6" t="str">
        <f>+'Quarter, Semis &amp; Final'!H19</f>
        <v>Brasil</v>
      </c>
      <c r="AG6" t="str">
        <f>+'Quarter, Semis &amp; Final'!B9</f>
        <v>Colombia</v>
      </c>
      <c r="AH6" t="str">
        <f>+'Round of 32 &amp; Round of 16'!P13</f>
        <v>Suiza</v>
      </c>
      <c r="AI6" t="str">
        <f>+'Round of 32 &amp; Round of 16'!B9</f>
        <v>Alemania</v>
      </c>
      <c r="AP6" s="457">
        <f>+_xlfn.XLOOKUP(AQ6,'Ranking FIFA'!B:B,'Ranking FIFA'!A:A,"--",0)</f>
        <v>3</v>
      </c>
      <c r="AQ6" t="s">
        <v>50</v>
      </c>
      <c r="AR6" s="6">
        <v>1</v>
      </c>
      <c r="AS6" s="6">
        <v>1</v>
      </c>
      <c r="AT6" s="169">
        <f t="shared" si="8"/>
        <v>2201111</v>
      </c>
      <c r="AU6" s="166">
        <f t="shared" si="9"/>
        <v>824.1517000033333</v>
      </c>
      <c r="AW6" s="154">
        <v>4</v>
      </c>
      <c r="AX6" s="170">
        <f>+_xlfn.MAXIFS(AT:AT,AR:AR,AW6)</f>
        <v>0</v>
      </c>
      <c r="AY6" s="154">
        <f t="shared" si="18"/>
        <v>0</v>
      </c>
      <c r="AZ6" s="154">
        <f t="shared" si="10"/>
        <v>0</v>
      </c>
      <c r="BA6" s="154">
        <f t="shared" si="10"/>
        <v>0</v>
      </c>
      <c r="BB6" s="154">
        <f t="shared" si="10"/>
        <v>0</v>
      </c>
      <c r="BC6" s="154">
        <f t="shared" si="10"/>
        <v>0</v>
      </c>
      <c r="BD6" s="154" t="str">
        <f>+_xlfn.XLOOKUP(BE6,W:W,H:H)</f>
        <v>Cabo Verde</v>
      </c>
      <c r="BE6" s="171">
        <f>+_xlfn.MAXIFS(W:W,Y:Y,AW6)</f>
        <v>2.9601000001449278</v>
      </c>
      <c r="BF6" s="172">
        <f>+IF(AY6&gt;0,AX6,0)*2</f>
        <v>0</v>
      </c>
      <c r="BH6">
        <v>3</v>
      </c>
      <c r="BI6" t="str">
        <f t="shared" si="11"/>
        <v>Corea del Sur</v>
      </c>
      <c r="BJ6" s="6">
        <f>+COUNTIFS('Inputs summary'!I$2:I$106,BI6)</f>
        <v>2</v>
      </c>
      <c r="BK6" s="6">
        <f>+COUNTIFS('Inputs summary'!J$2:K$106,BI6)</f>
        <v>1</v>
      </c>
      <c r="BL6" s="6">
        <f>+COUNTIFS('Inputs summary'!L$2:L$106,BI6)</f>
        <v>0</v>
      </c>
      <c r="BM6" s="6">
        <f t="shared" si="19"/>
        <v>4</v>
      </c>
      <c r="BN6" s="6">
        <f>+SUMIF('Inputs summary'!$B$1:$B$106,$BI6,'Inputs summary'!$C$1:$C$106)+SUMIF('Inputs summary'!$E$1:$E$106,$BI6,'Inputs summary'!$D$1:$D$106)</f>
        <v>6</v>
      </c>
      <c r="BO6" s="6">
        <f>+SUMIF('Inputs summary'!$B$1:$B$106,$BI6,'Inputs summary'!$D$1:$D$106)+SUMIF('Inputs summary'!$E$1:$E$106,$BI6,'Inputs summary'!$C$1:$C$106)</f>
        <v>2</v>
      </c>
      <c r="BP6" s="166">
        <f t="shared" si="12"/>
        <v>8.0460224999999994</v>
      </c>
    </row>
    <row r="7" spans="1:71" x14ac:dyDescent="0.2">
      <c r="G7">
        <v>4</v>
      </c>
      <c r="H7" t="str">
        <f>+'Groups Stage'!O6</f>
        <v>Repubilca Checa</v>
      </c>
      <c r="I7" s="6">
        <f t="shared" si="0"/>
        <v>0</v>
      </c>
      <c r="J7" s="6">
        <f t="shared" si="1"/>
        <v>0</v>
      </c>
      <c r="K7" s="6">
        <f t="shared" si="2"/>
        <v>0</v>
      </c>
      <c r="L7" s="6">
        <f t="shared" si="3"/>
        <v>0</v>
      </c>
      <c r="M7" s="6">
        <f t="shared" si="4"/>
        <v>0</v>
      </c>
      <c r="N7" s="6">
        <f t="shared" si="5"/>
        <v>0</v>
      </c>
      <c r="O7" s="6">
        <f t="shared" si="6"/>
        <v>1</v>
      </c>
      <c r="P7" s="6">
        <f t="shared" si="13"/>
        <v>1</v>
      </c>
      <c r="Q7" s="6">
        <f>+COUNTIFS('Inputs summary'!I:I,$H7)</f>
        <v>1</v>
      </c>
      <c r="R7" s="6">
        <f>+COUNTIFS('Inputs summary'!J:K,$H7)</f>
        <v>2</v>
      </c>
      <c r="S7" s="6">
        <f>+COUNTIFS('Inputs summary'!L:L,$H7)</f>
        <v>1</v>
      </c>
      <c r="T7" s="6">
        <f t="shared" si="14"/>
        <v>0</v>
      </c>
      <c r="U7" s="6">
        <f>+SUMIF('Inputs summary'!B:B,H7,'Inputs summary'!C:C)+SUMIF('Inputs summary'!E:E,H7,'Inputs summary'!D:D)</f>
        <v>3</v>
      </c>
      <c r="V7" s="6">
        <f>+SUMIF('Inputs summary'!B:B,H7,'Inputs summary'!D:D)+SUMIF('Inputs summary'!E:E,H7,'Inputs summary'!C:C)</f>
        <v>3</v>
      </c>
      <c r="W7" s="159">
        <f t="shared" si="15"/>
        <v>105.0003000002439</v>
      </c>
      <c r="X7" s="173">
        <f t="shared" si="16"/>
        <v>1</v>
      </c>
      <c r="Y7" s="167">
        <f t="shared" si="7"/>
        <v>3</v>
      </c>
      <c r="Z7" s="173">
        <f t="shared" si="17"/>
        <v>105.00030033357723</v>
      </c>
      <c r="AA7" s="173">
        <f>+_xlfn.XLOOKUP(H7,'Ranking FIFA'!B:B,'Ranking FIFA'!A:A,"--",0)</f>
        <v>41</v>
      </c>
      <c r="AF7" t="str">
        <f>+'Quarter, Semis &amp; Final'!K19</f>
        <v>Argentina</v>
      </c>
      <c r="AG7" t="str">
        <f>+'Quarter, Semis &amp; Final'!E9</f>
        <v>Estados Unidos</v>
      </c>
      <c r="AH7" t="str">
        <f>+'Round of 32 &amp; Round of 16'!S13</f>
        <v>Paises Bajos</v>
      </c>
      <c r="AI7" t="str">
        <f>+'Round of 32 &amp; Round of 16'!E9</f>
        <v>Paraguay</v>
      </c>
      <c r="AP7" s="457">
        <f>+_xlfn.XLOOKUP(AQ7,'Ranking FIFA'!B:B,'Ranking FIFA'!A:A,"--",0)</f>
        <v>4</v>
      </c>
      <c r="AQ7" t="s">
        <v>51</v>
      </c>
      <c r="AR7" s="6">
        <v>1</v>
      </c>
      <c r="AS7" s="6">
        <v>1</v>
      </c>
      <c r="AT7" s="169">
        <f t="shared" si="8"/>
        <v>111</v>
      </c>
      <c r="AU7" s="166">
        <f t="shared" si="9"/>
        <v>315.09120000249993</v>
      </c>
      <c r="BC7" t="s">
        <v>849</v>
      </c>
      <c r="BD7" s="175" t="str">
        <f>+IF(BF7=0,IF(AX6&lt;1,"No hay Revelación",BD6),_xlfn.XLOOKUP(BF7,BF4:BF6,BD4:BD6,"-",0))</f>
        <v>Colombia</v>
      </c>
      <c r="BF7" s="168">
        <f>+MAX(BF4:BF6)</f>
        <v>1111</v>
      </c>
      <c r="BH7">
        <v>4</v>
      </c>
      <c r="BI7" t="str">
        <f t="shared" si="11"/>
        <v>Repubilca Checa</v>
      </c>
      <c r="BJ7" s="6">
        <f>+COUNTIFS('Inputs summary'!I$2:I$106,BI7)</f>
        <v>1</v>
      </c>
      <c r="BK7" s="6">
        <f>+COUNTIFS('Inputs summary'!J$2:K$106,BI7)</f>
        <v>2</v>
      </c>
      <c r="BL7" s="6">
        <f>+COUNTIFS('Inputs summary'!L$2:L$106,BI7)</f>
        <v>0</v>
      </c>
      <c r="BM7" s="6">
        <f t="shared" si="19"/>
        <v>1</v>
      </c>
      <c r="BN7" s="6">
        <f>+SUMIF('Inputs summary'!$B$1:$B$106,$BI7,'Inputs summary'!$C$1:$C$106)+SUMIF('Inputs summary'!$E$1:$E$106,$BI7,'Inputs summary'!$D$1:$D$106)</f>
        <v>3</v>
      </c>
      <c r="BO7" s="6">
        <f>+SUMIF('Inputs summary'!$B$1:$B$106,$BI7,'Inputs summary'!$D$1:$D$106)+SUMIF('Inputs summary'!$E$1:$E$106,$BI7,'Inputs summary'!$C$1:$C$106)</f>
        <v>2</v>
      </c>
      <c r="BP7" s="166">
        <f t="shared" si="12"/>
        <v>7.0130340999999996</v>
      </c>
    </row>
    <row r="8" spans="1:71" x14ac:dyDescent="0.2">
      <c r="G8">
        <v>5</v>
      </c>
      <c r="H8" t="str">
        <f>+'Groups Stage'!O12</f>
        <v>Canada</v>
      </c>
      <c r="I8" s="6">
        <f t="shared" si="0"/>
        <v>0</v>
      </c>
      <c r="J8" s="6">
        <f t="shared" si="1"/>
        <v>0</v>
      </c>
      <c r="K8" s="6">
        <f t="shared" si="2"/>
        <v>0</v>
      </c>
      <c r="L8" s="6">
        <f t="shared" si="3"/>
        <v>0</v>
      </c>
      <c r="M8" s="6">
        <f t="shared" si="4"/>
        <v>0</v>
      </c>
      <c r="N8" s="6">
        <f t="shared" si="5"/>
        <v>1</v>
      </c>
      <c r="O8" s="6">
        <f t="shared" si="6"/>
        <v>1</v>
      </c>
      <c r="P8" s="6">
        <f t="shared" si="13"/>
        <v>2</v>
      </c>
      <c r="Q8" s="6">
        <f>+COUNTIFS('Inputs summary'!I:I,$H8)</f>
        <v>3</v>
      </c>
      <c r="R8" s="6">
        <f>+COUNTIFS('Inputs summary'!J:K,$H8)</f>
        <v>1</v>
      </c>
      <c r="S8" s="6">
        <f>+COUNTIFS('Inputs summary'!L:L,$H8)</f>
        <v>1</v>
      </c>
      <c r="T8" s="6">
        <f t="shared" si="14"/>
        <v>5</v>
      </c>
      <c r="U8" s="6">
        <f>+SUMIF('Inputs summary'!B:B,H8,'Inputs summary'!C:C)+SUMIF('Inputs summary'!E:E,H8,'Inputs summary'!D:D)</f>
        <v>9</v>
      </c>
      <c r="V8" s="6">
        <f>+SUMIF('Inputs summary'!B:B,H8,'Inputs summary'!D:D)+SUMIF('Inputs summary'!E:E,H8,'Inputs summary'!C:C)</f>
        <v>4</v>
      </c>
      <c r="W8" s="159">
        <f t="shared" si="15"/>
        <v>210.05090000033334</v>
      </c>
      <c r="X8" s="173">
        <f t="shared" si="16"/>
        <v>11</v>
      </c>
      <c r="Y8" s="167">
        <f t="shared" si="7"/>
        <v>3</v>
      </c>
      <c r="Z8" s="173">
        <f t="shared" si="17"/>
        <v>210.05090033366668</v>
      </c>
      <c r="AA8" s="173">
        <f>+_xlfn.XLOOKUP(H8,'Ranking FIFA'!B:B,'Ranking FIFA'!A:A,"--",0)</f>
        <v>30</v>
      </c>
      <c r="AG8" t="str">
        <f>+'Quarter, Semis &amp; Final'!H5</f>
        <v>Brasil</v>
      </c>
      <c r="AH8" t="str">
        <f>+'Round of 32 &amp; Round of 16'!P21</f>
        <v>Brasil</v>
      </c>
      <c r="AI8" t="str">
        <f>+'Round of 32 &amp; Round of 16'!B13</f>
        <v>Paises Bajos</v>
      </c>
      <c r="AP8" s="457">
        <f>+_xlfn.XLOOKUP(AQ8,'Ranking FIFA'!B:B,'Ranking FIFA'!A:A,"--",0)</f>
        <v>5</v>
      </c>
      <c r="AQ8" t="s">
        <v>52</v>
      </c>
      <c r="AR8" s="6">
        <v>1</v>
      </c>
      <c r="AS8" s="6">
        <v>1</v>
      </c>
      <c r="AT8" s="169">
        <f t="shared" si="8"/>
        <v>111</v>
      </c>
      <c r="AU8" s="166">
        <f t="shared" si="9"/>
        <v>315.12160000199998</v>
      </c>
      <c r="BH8">
        <v>5</v>
      </c>
      <c r="BI8" t="str">
        <f t="shared" si="11"/>
        <v>Canada</v>
      </c>
      <c r="BJ8" s="6">
        <f>+COUNTIFS('Inputs summary'!I$2:I$106,BI8)</f>
        <v>2</v>
      </c>
      <c r="BK8" s="6">
        <f>+COUNTIFS('Inputs summary'!J$2:K$106,BI8)</f>
        <v>1</v>
      </c>
      <c r="BL8" s="6">
        <f>+COUNTIFS('Inputs summary'!L$2:L$106,BI8)</f>
        <v>0</v>
      </c>
      <c r="BM8" s="6">
        <f t="shared" si="19"/>
        <v>5</v>
      </c>
      <c r="BN8" s="6">
        <f>+SUMIF('Inputs summary'!$B$1:$B$106,$BI8,'Inputs summary'!$C$1:$C$106)+SUMIF('Inputs summary'!$E$1:$E$106,$BI8,'Inputs summary'!$D$1:$D$106)</f>
        <v>6</v>
      </c>
      <c r="BO8" s="6">
        <f>+SUMIF('Inputs summary'!$B$1:$B$106,$BI8,'Inputs summary'!$D$1:$D$106)+SUMIF('Inputs summary'!$E$1:$E$106,$BI8,'Inputs summary'!$C$1:$C$106)</f>
        <v>1</v>
      </c>
      <c r="BP8" s="166">
        <f t="shared" si="12"/>
        <v>8.0560330000000011</v>
      </c>
    </row>
    <row r="9" spans="1:71" x14ac:dyDescent="0.2">
      <c r="G9">
        <v>6</v>
      </c>
      <c r="H9" t="str">
        <f>+'Groups Stage'!O13</f>
        <v>Bosnia</v>
      </c>
      <c r="I9" s="6">
        <f t="shared" si="0"/>
        <v>0</v>
      </c>
      <c r="J9" s="6">
        <f t="shared" si="1"/>
        <v>0</v>
      </c>
      <c r="K9" s="6">
        <f t="shared" si="2"/>
        <v>0</v>
      </c>
      <c r="L9" s="6">
        <f t="shared" si="3"/>
        <v>0</v>
      </c>
      <c r="M9" s="6">
        <f t="shared" si="4"/>
        <v>0</v>
      </c>
      <c r="N9" s="6">
        <f t="shared" si="5"/>
        <v>0</v>
      </c>
      <c r="O9" s="6">
        <f t="shared" si="6"/>
        <v>0</v>
      </c>
      <c r="P9" s="6">
        <f t="shared" si="13"/>
        <v>0</v>
      </c>
      <c r="Q9" s="6">
        <f>+COUNTIFS('Inputs summary'!I:I,$H9)</f>
        <v>0</v>
      </c>
      <c r="R9" s="6">
        <f>+COUNTIFS('Inputs summary'!J:K,$H9)</f>
        <v>1</v>
      </c>
      <c r="S9" s="6">
        <f>+COUNTIFS('Inputs summary'!L:L,$H9)</f>
        <v>2</v>
      </c>
      <c r="T9" s="6">
        <f t="shared" si="14"/>
        <v>-4</v>
      </c>
      <c r="U9" s="6">
        <f>+SUMIF('Inputs summary'!B:B,H9,'Inputs summary'!C:C)+SUMIF('Inputs summary'!E:E,H9,'Inputs summary'!D:D)</f>
        <v>1</v>
      </c>
      <c r="V9" s="6">
        <f>+SUMIF('Inputs summary'!B:B,H9,'Inputs summary'!D:D)+SUMIF('Inputs summary'!E:E,H9,'Inputs summary'!C:C)</f>
        <v>5</v>
      </c>
      <c r="W9" s="159">
        <f t="shared" si="15"/>
        <v>0.96010000015384611</v>
      </c>
      <c r="X9" s="173">
        <f t="shared" si="16"/>
        <v>0</v>
      </c>
      <c r="Y9" s="167">
        <f t="shared" si="7"/>
        <v>3</v>
      </c>
      <c r="Z9" s="173">
        <f t="shared" si="17"/>
        <v>0.96010033348717949</v>
      </c>
      <c r="AA9" s="173">
        <f>+_xlfn.XLOOKUP(H9,'Ranking FIFA'!B:B,'Ranking FIFA'!A:A,"--",0)</f>
        <v>65</v>
      </c>
      <c r="AG9" t="str">
        <f>+'Quarter, Semis &amp; Final'!K5</f>
        <v>Inglaterra</v>
      </c>
      <c r="AH9" t="str">
        <f>+'Round of 32 &amp; Round of 16'!S21</f>
        <v>Noruega</v>
      </c>
      <c r="AI9" t="str">
        <f>+'Round of 32 &amp; Round of 16'!E13</f>
        <v>Marruecos</v>
      </c>
      <c r="AP9" s="457">
        <f>+_xlfn.XLOOKUP(AQ9,'Ranking FIFA'!B:B,'Ranking FIFA'!A:A,"--",0)</f>
        <v>6</v>
      </c>
      <c r="AQ9" t="s">
        <v>53</v>
      </c>
      <c r="AR9" s="6">
        <v>1</v>
      </c>
      <c r="AS9" s="6">
        <v>1</v>
      </c>
      <c r="AT9" s="169">
        <f t="shared" si="8"/>
        <v>11111</v>
      </c>
      <c r="AU9" s="166">
        <f t="shared" si="9"/>
        <v>519.12190000166663</v>
      </c>
      <c r="AW9" t="s">
        <v>850</v>
      </c>
      <c r="AX9" t="str">
        <f>+_xlfn.XLOOKUP(AX10,AU:AU,AQ:AQ,"-",0)</f>
        <v>España</v>
      </c>
      <c r="BH9">
        <v>6</v>
      </c>
      <c r="BI9" t="str">
        <f t="shared" si="11"/>
        <v>Bosnia</v>
      </c>
      <c r="BJ9" s="6">
        <f>+COUNTIFS('Inputs summary'!I$2:I$106,BI9)</f>
        <v>0</v>
      </c>
      <c r="BK9" s="6">
        <f>+COUNTIFS('Inputs summary'!J$2:K$106,BI9)</f>
        <v>1</v>
      </c>
      <c r="BL9" s="6">
        <f>+COUNTIFS('Inputs summary'!L$2:L$106,BI9)</f>
        <v>2</v>
      </c>
      <c r="BM9" s="6">
        <f t="shared" si="19"/>
        <v>-4</v>
      </c>
      <c r="BN9" s="6">
        <f>+SUMIF('Inputs summary'!$B$1:$B$106,$BI9,'Inputs summary'!$C$1:$C$106)+SUMIF('Inputs summary'!$E$1:$E$106,$BI9,'Inputs summary'!$D$1:$D$106)</f>
        <v>1</v>
      </c>
      <c r="BO9" s="6">
        <f>+SUMIF('Inputs summary'!$B$1:$B$106,$BI9,'Inputs summary'!$D$1:$D$106)+SUMIF('Inputs summary'!$E$1:$E$106,$BI9,'Inputs summary'!$C$1:$C$106)</f>
        <v>5</v>
      </c>
      <c r="BP9" s="166">
        <f t="shared" si="12"/>
        <v>1.9610364999999998</v>
      </c>
    </row>
    <row r="10" spans="1:71" x14ac:dyDescent="0.2">
      <c r="G10">
        <v>7</v>
      </c>
      <c r="H10" t="str">
        <f>+'Groups Stage'!O14</f>
        <v>Qatar</v>
      </c>
      <c r="I10" s="6">
        <f t="shared" si="0"/>
        <v>0</v>
      </c>
      <c r="J10" s="6">
        <f t="shared" si="1"/>
        <v>0</v>
      </c>
      <c r="K10" s="6">
        <f t="shared" si="2"/>
        <v>0</v>
      </c>
      <c r="L10" s="6">
        <f t="shared" si="3"/>
        <v>0</v>
      </c>
      <c r="M10" s="6">
        <f t="shared" si="4"/>
        <v>0</v>
      </c>
      <c r="N10" s="6">
        <f t="shared" si="5"/>
        <v>0</v>
      </c>
      <c r="O10" s="6">
        <f t="shared" si="6"/>
        <v>0</v>
      </c>
      <c r="P10" s="6">
        <f t="shared" si="13"/>
        <v>0</v>
      </c>
      <c r="Q10" s="6">
        <f>+COUNTIFS('Inputs summary'!I:I,$H10)</f>
        <v>0</v>
      </c>
      <c r="R10" s="6">
        <f>+COUNTIFS('Inputs summary'!J:K,$H10)</f>
        <v>1</v>
      </c>
      <c r="S10" s="6">
        <f>+COUNTIFS('Inputs summary'!L:L,$H10)</f>
        <v>2</v>
      </c>
      <c r="T10" s="6">
        <f t="shared" si="14"/>
        <v>-5</v>
      </c>
      <c r="U10" s="6">
        <f>+SUMIF('Inputs summary'!B:B,H10,'Inputs summary'!C:C)+SUMIF('Inputs summary'!E:E,H10,'Inputs summary'!D:D)</f>
        <v>1</v>
      </c>
      <c r="V10" s="6">
        <f>+SUMIF('Inputs summary'!B:B,H10,'Inputs summary'!D:D)+SUMIF('Inputs summary'!E:E,H10,'Inputs summary'!C:C)</f>
        <v>6</v>
      </c>
      <c r="W10" s="159">
        <f t="shared" si="15"/>
        <v>0.95010000018181817</v>
      </c>
      <c r="X10" s="173">
        <f t="shared" si="16"/>
        <v>0</v>
      </c>
      <c r="Y10" s="167">
        <f t="shared" si="7"/>
        <v>4</v>
      </c>
      <c r="Z10" s="173">
        <f t="shared" si="17"/>
        <v>0.95010025018181821</v>
      </c>
      <c r="AA10" s="173">
        <f>+_xlfn.XLOOKUP(H10,'Ranking FIFA'!B:B,'Ranking FIFA'!A:A,"--",0)</f>
        <v>55</v>
      </c>
      <c r="AG10" t="str">
        <f>+'Quarter, Semis &amp; Final'!H9</f>
        <v>Argentina</v>
      </c>
      <c r="AH10" t="str">
        <f>+'Round of 32 &amp; Round of 16'!P29</f>
        <v>Corea del Sur</v>
      </c>
      <c r="AI10" t="str">
        <f>+'Round of 32 &amp; Round of 16'!B17</f>
        <v>Brasil</v>
      </c>
      <c r="AP10" s="457">
        <f>+_xlfn.XLOOKUP(AQ10,'Ranking FIFA'!B:B,'Ranking FIFA'!A:A,"--",0)</f>
        <v>7</v>
      </c>
      <c r="AQ10" t="s">
        <v>54</v>
      </c>
      <c r="AR10" s="6">
        <v>1</v>
      </c>
      <c r="AS10" s="6">
        <v>1</v>
      </c>
      <c r="AT10" s="169">
        <f t="shared" si="8"/>
        <v>111</v>
      </c>
      <c r="AU10" s="166">
        <f t="shared" si="9"/>
        <v>315.07100000142856</v>
      </c>
      <c r="AW10" t="s">
        <v>291</v>
      </c>
      <c r="AX10" s="174">
        <f>+_xlfn.MINIFS(AU:AU,AS:AS,1)</f>
        <v>210.06100000500001</v>
      </c>
      <c r="BH10">
        <v>7</v>
      </c>
      <c r="BI10" t="str">
        <f t="shared" si="11"/>
        <v>Qatar</v>
      </c>
      <c r="BJ10" s="6">
        <f>+COUNTIFS('Inputs summary'!I$2:I$106,BI10)</f>
        <v>0</v>
      </c>
      <c r="BK10" s="6">
        <f>+COUNTIFS('Inputs summary'!J$2:K$106,BI10)</f>
        <v>1</v>
      </c>
      <c r="BL10" s="6">
        <f>+COUNTIFS('Inputs summary'!L$2:L$106,BI10)</f>
        <v>2</v>
      </c>
      <c r="BM10" s="6">
        <f t="shared" si="19"/>
        <v>-5</v>
      </c>
      <c r="BN10" s="6">
        <f>+SUMIF('Inputs summary'!$B$1:$B$106,$BI10,'Inputs summary'!$C$1:$C$106)+SUMIF('Inputs summary'!$E$1:$E$106,$BI10,'Inputs summary'!$D$1:$D$106)</f>
        <v>1</v>
      </c>
      <c r="BO10" s="6">
        <f>+SUMIF('Inputs summary'!$B$1:$B$106,$BI10,'Inputs summary'!$D$1:$D$106)+SUMIF('Inputs summary'!$E$1:$E$106,$BI10,'Inputs summary'!$C$1:$C$106)</f>
        <v>6</v>
      </c>
      <c r="BP10" s="166">
        <f t="shared" si="12"/>
        <v>1.9510455</v>
      </c>
    </row>
    <row r="11" spans="1:71" x14ac:dyDescent="0.2">
      <c r="G11">
        <v>8</v>
      </c>
      <c r="H11" t="str">
        <f>+'Groups Stage'!O15</f>
        <v>Suiza</v>
      </c>
      <c r="I11" s="6">
        <f t="shared" si="0"/>
        <v>0</v>
      </c>
      <c r="J11" s="6">
        <f t="shared" si="1"/>
        <v>0</v>
      </c>
      <c r="K11" s="6">
        <f t="shared" si="2"/>
        <v>0</v>
      </c>
      <c r="L11" s="6">
        <f t="shared" si="3"/>
        <v>0</v>
      </c>
      <c r="M11" s="6">
        <f t="shared" si="4"/>
        <v>0</v>
      </c>
      <c r="N11" s="6">
        <f t="shared" si="5"/>
        <v>1</v>
      </c>
      <c r="O11" s="6">
        <f t="shared" si="6"/>
        <v>1</v>
      </c>
      <c r="P11" s="6">
        <f t="shared" si="13"/>
        <v>2</v>
      </c>
      <c r="Q11" s="6">
        <f>+COUNTIFS('Inputs summary'!I:I,$H11)</f>
        <v>3</v>
      </c>
      <c r="R11" s="6">
        <f>+COUNTIFS('Inputs summary'!J:K,$H11)</f>
        <v>1</v>
      </c>
      <c r="S11" s="6">
        <f>+COUNTIFS('Inputs summary'!L:L,$H11)</f>
        <v>1</v>
      </c>
      <c r="T11" s="6">
        <f t="shared" si="14"/>
        <v>4</v>
      </c>
      <c r="U11" s="6">
        <f>+SUMIF('Inputs summary'!B:B,H11,'Inputs summary'!C:C)+SUMIF('Inputs summary'!E:E,H11,'Inputs summary'!D:D)</f>
        <v>6</v>
      </c>
      <c r="V11" s="6">
        <f>+SUMIF('Inputs summary'!B:B,H11,'Inputs summary'!D:D)+SUMIF('Inputs summary'!E:E,H11,'Inputs summary'!C:C)</f>
        <v>2</v>
      </c>
      <c r="W11" s="159">
        <f t="shared" si="15"/>
        <v>210.0406000005263</v>
      </c>
      <c r="X11" s="173">
        <f t="shared" si="16"/>
        <v>11</v>
      </c>
      <c r="Y11" s="167">
        <f t="shared" si="7"/>
        <v>2</v>
      </c>
      <c r="Z11" s="173">
        <f t="shared" si="17"/>
        <v>210.0406005005263</v>
      </c>
      <c r="AA11" s="173">
        <f>+_xlfn.XLOOKUP(H11,'Ranking FIFA'!B:B,'Ranking FIFA'!A:A,"--",0)</f>
        <v>19</v>
      </c>
      <c r="AG11" t="str">
        <f>+'Quarter, Semis &amp; Final'!K9</f>
        <v>Portugal</v>
      </c>
      <c r="AH11" t="str">
        <f>+'Round of 32 &amp; Round of 16'!S29</f>
        <v>Inglaterra</v>
      </c>
      <c r="AI11" t="str">
        <f>+'Round of 32 &amp; Round of 16'!E17</f>
        <v>Suecia</v>
      </c>
      <c r="AP11" s="457">
        <f>+_xlfn.XLOOKUP(AQ11,'Ranking FIFA'!B:B,'Ranking FIFA'!A:A,"--",0)</f>
        <v>9</v>
      </c>
      <c r="AQ11" t="s">
        <v>55</v>
      </c>
      <c r="AR11" s="6">
        <v>1</v>
      </c>
      <c r="AS11" s="6">
        <v>2</v>
      </c>
      <c r="AT11" s="169">
        <f t="shared" si="8"/>
        <v>11</v>
      </c>
      <c r="AU11" s="166">
        <f t="shared" si="9"/>
        <v>212.08120000111114</v>
      </c>
      <c r="AW11" t="s">
        <v>851</v>
      </c>
      <c r="AX11" s="174">
        <f>+_xlfn.XLOOKUP(AX10,AU:AU,AT:AT,"-",0)</f>
        <v>11</v>
      </c>
      <c r="AY11" s="175" t="str">
        <f>+IF(AX11&gt;=AY2,"-",AX9)</f>
        <v>España</v>
      </c>
      <c r="BH11">
        <v>8</v>
      </c>
      <c r="BI11" t="str">
        <f t="shared" si="11"/>
        <v>Suiza</v>
      </c>
      <c r="BJ11" s="6">
        <f>+COUNTIFS('Inputs summary'!I$2:I$106,BI11)</f>
        <v>2</v>
      </c>
      <c r="BK11" s="6">
        <f>+COUNTIFS('Inputs summary'!J$2:K$106,BI11)</f>
        <v>1</v>
      </c>
      <c r="BL11" s="6">
        <f>+COUNTIFS('Inputs summary'!L$2:L$106,BI11)</f>
        <v>0</v>
      </c>
      <c r="BM11" s="6">
        <f t="shared" si="19"/>
        <v>4</v>
      </c>
      <c r="BN11" s="6">
        <f>+SUMIF('Inputs summary'!$B$1:$B$106,$BI11,'Inputs summary'!$C$1:$C$106)+SUMIF('Inputs summary'!$E$1:$E$106,$BI11,'Inputs summary'!$D$1:$D$106)</f>
        <v>5</v>
      </c>
      <c r="BO11" s="6">
        <f>+SUMIF('Inputs summary'!$B$1:$B$106,$BI11,'Inputs summary'!$D$1:$D$106)+SUMIF('Inputs summary'!$E$1:$E$106,$BI11,'Inputs summary'!$C$1:$C$106)</f>
        <v>1</v>
      </c>
      <c r="BP11" s="166">
        <f t="shared" si="12"/>
        <v>8.0450219000000001</v>
      </c>
    </row>
    <row r="12" spans="1:71" x14ac:dyDescent="0.2">
      <c r="G12">
        <v>9</v>
      </c>
      <c r="H12" t="str">
        <f>+'Groups Stage'!O21</f>
        <v>Brasil</v>
      </c>
      <c r="I12" s="6">
        <f t="shared" si="0"/>
        <v>0</v>
      </c>
      <c r="J12" s="6">
        <f t="shared" si="1"/>
        <v>0</v>
      </c>
      <c r="K12" s="6">
        <f t="shared" si="2"/>
        <v>1</v>
      </c>
      <c r="L12" s="6">
        <f t="shared" si="3"/>
        <v>1</v>
      </c>
      <c r="M12" s="6">
        <f t="shared" si="4"/>
        <v>1</v>
      </c>
      <c r="N12" s="6">
        <f t="shared" si="5"/>
        <v>1</v>
      </c>
      <c r="O12" s="6">
        <f t="shared" si="6"/>
        <v>1</v>
      </c>
      <c r="P12" s="6">
        <f t="shared" si="13"/>
        <v>5</v>
      </c>
      <c r="Q12" s="6">
        <f>+COUNTIFS('Inputs summary'!I:I,$H12)</f>
        <v>6</v>
      </c>
      <c r="R12" s="6">
        <f>+COUNTIFS('Inputs summary'!J:K,$H12)</f>
        <v>1</v>
      </c>
      <c r="S12" s="6">
        <f>+COUNTIFS('Inputs summary'!L:L,$H12)</f>
        <v>1</v>
      </c>
      <c r="T12" s="6">
        <f t="shared" si="14"/>
        <v>12</v>
      </c>
      <c r="U12" s="6">
        <f>+SUMIF('Inputs summary'!B:B,H12,'Inputs summary'!C:C)+SUMIF('Inputs summary'!E:E,H12,'Inputs summary'!D:D)</f>
        <v>19</v>
      </c>
      <c r="V12" s="6">
        <f>+SUMIF('Inputs summary'!B:B,H12,'Inputs summary'!D:D)+SUMIF('Inputs summary'!E:E,H12,'Inputs summary'!C:C)</f>
        <v>7</v>
      </c>
      <c r="W12" s="159">
        <f t="shared" si="15"/>
        <v>519.12190000166663</v>
      </c>
      <c r="X12" s="173">
        <f t="shared" si="16"/>
        <v>11111</v>
      </c>
      <c r="Y12" s="167">
        <f t="shared" si="7"/>
        <v>1</v>
      </c>
      <c r="Z12" s="173">
        <f t="shared" si="17"/>
        <v>519.12190100166663</v>
      </c>
      <c r="AA12" s="173">
        <f>+_xlfn.XLOOKUP(H12,'Ranking FIFA'!B:B,'Ranking FIFA'!A:A,"--",0)</f>
        <v>6</v>
      </c>
      <c r="AH12" t="str">
        <f>+'Round of 32 &amp; Round of 16'!V5</f>
        <v>Colombia</v>
      </c>
      <c r="AI12" t="str">
        <f>+'Round of 32 &amp; Round of 16'!B21</f>
        <v>Francia</v>
      </c>
      <c r="AP12" s="457">
        <f>+_xlfn.XLOOKUP(AQ12,'Ranking FIFA'!B:B,'Ranking FIFA'!A:A,"--",0)</f>
        <v>10</v>
      </c>
      <c r="AQ12" t="s">
        <v>56</v>
      </c>
      <c r="AR12" s="6">
        <v>1</v>
      </c>
      <c r="AS12" s="6">
        <v>1</v>
      </c>
      <c r="AT12" s="169">
        <f t="shared" si="8"/>
        <v>11</v>
      </c>
      <c r="AU12" s="166">
        <f t="shared" si="9"/>
        <v>212.091200001</v>
      </c>
      <c r="BH12">
        <v>9</v>
      </c>
      <c r="BI12" t="str">
        <f t="shared" si="11"/>
        <v>Brasil</v>
      </c>
      <c r="BJ12" s="6">
        <f>+COUNTIFS('Inputs summary'!I$2:I$106,BI12)</f>
        <v>2</v>
      </c>
      <c r="BK12" s="6">
        <f>+COUNTIFS('Inputs summary'!J$2:K$106,BI12)</f>
        <v>1</v>
      </c>
      <c r="BL12" s="6">
        <f>+COUNTIFS('Inputs summary'!L$2:L$106,BI12)</f>
        <v>0</v>
      </c>
      <c r="BM12" s="6">
        <f t="shared" si="19"/>
        <v>7</v>
      </c>
      <c r="BN12" s="6">
        <f>+SUMIF('Inputs summary'!$B$1:$B$106,$BI12,'Inputs summary'!$C$1:$C$106)+SUMIF('Inputs summary'!$E$1:$E$106,$BI12,'Inputs summary'!$D$1:$D$106)</f>
        <v>8</v>
      </c>
      <c r="BO12" s="6">
        <f>+SUMIF('Inputs summary'!$B$1:$B$106,$BI12,'Inputs summary'!$D$1:$D$106)+SUMIF('Inputs summary'!$E$1:$E$106,$BI12,'Inputs summary'!$C$1:$C$106)</f>
        <v>1</v>
      </c>
      <c r="BP12" s="166">
        <f t="shared" si="12"/>
        <v>8.0780105999999989</v>
      </c>
    </row>
    <row r="13" spans="1:71" x14ac:dyDescent="0.2">
      <c r="G13">
        <v>10</v>
      </c>
      <c r="H13" t="str">
        <f>+'Groups Stage'!O22</f>
        <v>Marruecos</v>
      </c>
      <c r="I13" s="6">
        <f t="shared" si="0"/>
        <v>0</v>
      </c>
      <c r="J13" s="6">
        <f t="shared" si="1"/>
        <v>0</v>
      </c>
      <c r="K13" s="6">
        <f t="shared" si="2"/>
        <v>0</v>
      </c>
      <c r="L13" s="6">
        <f t="shared" si="3"/>
        <v>0</v>
      </c>
      <c r="M13" s="6">
        <f t="shared" si="4"/>
        <v>0</v>
      </c>
      <c r="N13" s="6">
        <f t="shared" si="5"/>
        <v>0</v>
      </c>
      <c r="O13" s="6">
        <f t="shared" si="6"/>
        <v>1</v>
      </c>
      <c r="P13" s="6">
        <f t="shared" si="13"/>
        <v>1</v>
      </c>
      <c r="Q13" s="6">
        <f>+COUNTIFS('Inputs summary'!I:I,$H13)</f>
        <v>2</v>
      </c>
      <c r="R13" s="6">
        <f>+COUNTIFS('Inputs summary'!J:K,$H13)</f>
        <v>1</v>
      </c>
      <c r="S13" s="6">
        <f>+COUNTIFS('Inputs summary'!L:L,$H13)</f>
        <v>1</v>
      </c>
      <c r="T13" s="6">
        <f t="shared" si="14"/>
        <v>2</v>
      </c>
      <c r="U13" s="6">
        <f>+SUMIF('Inputs summary'!B:B,H13,'Inputs summary'!C:C)+SUMIF('Inputs summary'!E:E,H13,'Inputs summary'!D:D)</f>
        <v>4</v>
      </c>
      <c r="V13" s="6">
        <f>+SUMIF('Inputs summary'!B:B,H13,'Inputs summary'!D:D)+SUMIF('Inputs summary'!E:E,H13,'Inputs summary'!C:C)</f>
        <v>2</v>
      </c>
      <c r="W13" s="159">
        <f t="shared" si="15"/>
        <v>107.02040000125</v>
      </c>
      <c r="X13" s="173">
        <f t="shared" si="16"/>
        <v>1</v>
      </c>
      <c r="Y13" s="167">
        <f t="shared" si="7"/>
        <v>2</v>
      </c>
      <c r="Z13" s="173">
        <f t="shared" si="17"/>
        <v>107.02040050124999</v>
      </c>
      <c r="AA13" s="173">
        <f>+_xlfn.XLOOKUP(H13,'Ranking FIFA'!B:B,'Ranking FIFA'!A:A,"--",0)</f>
        <v>8</v>
      </c>
      <c r="AH13" t="str">
        <f>+'Round of 32 &amp; Round of 16'!Y5</f>
        <v>España</v>
      </c>
      <c r="AI13" t="str">
        <f>+'Round of 32 &amp; Round of 16'!E21</f>
        <v>Japon</v>
      </c>
      <c r="AP13" s="457">
        <f>+_xlfn.XLOOKUP(AQ13,'Ranking FIFA'!B:B,'Ranking FIFA'!A:A,"--",0)</f>
        <v>11</v>
      </c>
      <c r="AQ13" t="s">
        <v>57</v>
      </c>
      <c r="AR13" s="6">
        <v>1</v>
      </c>
      <c r="AS13" s="6">
        <v>2</v>
      </c>
      <c r="AT13" s="169">
        <f t="shared" si="8"/>
        <v>1</v>
      </c>
      <c r="AU13" s="166">
        <f t="shared" si="9"/>
        <v>106.0205000009091</v>
      </c>
      <c r="AW13" t="s">
        <v>852</v>
      </c>
      <c r="AX13" t="str">
        <f>+_xlfn.XLOOKUP(AX14,AU:AU,AQ:AQ,"-",0)</f>
        <v>Croacia</v>
      </c>
      <c r="BH13">
        <v>10</v>
      </c>
      <c r="BI13" t="str">
        <f t="shared" si="11"/>
        <v>Marruecos</v>
      </c>
      <c r="BJ13" s="6">
        <f>+COUNTIFS('Inputs summary'!I$2:I$106,BI13)</f>
        <v>2</v>
      </c>
      <c r="BK13" s="6">
        <f>+COUNTIFS('Inputs summary'!J$2:K$106,BI13)</f>
        <v>1</v>
      </c>
      <c r="BL13" s="6">
        <f>+COUNTIFS('Inputs summary'!L$2:L$106,BI13)</f>
        <v>0</v>
      </c>
      <c r="BM13" s="6">
        <f t="shared" si="19"/>
        <v>3</v>
      </c>
      <c r="BN13" s="6">
        <f>+SUMIF('Inputs summary'!$B$1:$B$106,$BI13,'Inputs summary'!$C$1:$C$106)+SUMIF('Inputs summary'!$E$1:$E$106,$BI13,'Inputs summary'!$D$1:$D$106)</f>
        <v>4</v>
      </c>
      <c r="BO13" s="6">
        <f>+SUMIF('Inputs summary'!$B$1:$B$106,$BI13,'Inputs summary'!$D$1:$D$106)+SUMIF('Inputs summary'!$E$1:$E$106,$BI13,'Inputs summary'!$C$1:$C$106)</f>
        <v>1</v>
      </c>
      <c r="BP13" s="166">
        <f t="shared" si="12"/>
        <v>8.0340207999999986</v>
      </c>
    </row>
    <row r="14" spans="1:71" x14ac:dyDescent="0.2">
      <c r="G14">
        <v>11</v>
      </c>
      <c r="H14" t="str">
        <f>+'Groups Stage'!O23</f>
        <v>Haiti</v>
      </c>
      <c r="I14" s="6">
        <f t="shared" si="0"/>
        <v>0</v>
      </c>
      <c r="J14" s="6">
        <f t="shared" si="1"/>
        <v>0</v>
      </c>
      <c r="K14" s="6">
        <f t="shared" si="2"/>
        <v>0</v>
      </c>
      <c r="L14" s="6">
        <f t="shared" si="3"/>
        <v>0</v>
      </c>
      <c r="M14" s="6">
        <f t="shared" si="4"/>
        <v>0</v>
      </c>
      <c r="N14" s="6">
        <f t="shared" si="5"/>
        <v>0</v>
      </c>
      <c r="O14" s="6">
        <f t="shared" si="6"/>
        <v>0</v>
      </c>
      <c r="P14" s="6">
        <f t="shared" si="13"/>
        <v>0</v>
      </c>
      <c r="Q14" s="6">
        <f>+COUNTIFS('Inputs summary'!I:I,$H14)</f>
        <v>0</v>
      </c>
      <c r="R14" s="6">
        <f>+COUNTIFS('Inputs summary'!J:K,$H14)</f>
        <v>0</v>
      </c>
      <c r="S14" s="6">
        <f>+COUNTIFS('Inputs summary'!L:L,$H14)</f>
        <v>3</v>
      </c>
      <c r="T14" s="6">
        <f t="shared" si="14"/>
        <v>-8</v>
      </c>
      <c r="U14" s="6">
        <f>+SUMIF('Inputs summary'!B:B,H14,'Inputs summary'!C:C)+SUMIF('Inputs summary'!E:E,H14,'Inputs summary'!D:D)</f>
        <v>0</v>
      </c>
      <c r="V14" s="6">
        <f>+SUMIF('Inputs summary'!B:B,H14,'Inputs summary'!D:D)+SUMIF('Inputs summary'!E:E,H14,'Inputs summary'!C:C)</f>
        <v>8</v>
      </c>
      <c r="W14" s="159">
        <f t="shared" si="15"/>
        <v>-7.9999999879518072E-2</v>
      </c>
      <c r="X14" s="173">
        <f t="shared" si="16"/>
        <v>0</v>
      </c>
      <c r="Y14" s="167">
        <f t="shared" si="7"/>
        <v>4</v>
      </c>
      <c r="Z14" s="173">
        <f t="shared" si="17"/>
        <v>-7.9999749879518078E-2</v>
      </c>
      <c r="AA14" s="173">
        <f>+_xlfn.XLOOKUP(H14,'Ranking FIFA'!B:B,'Ranking FIFA'!A:A,"--",0)</f>
        <v>83</v>
      </c>
      <c r="AH14" t="str">
        <f>+'Round of 32 &amp; Round of 16'!V13</f>
        <v>Estados Unidos</v>
      </c>
      <c r="AI14" t="str">
        <f>+'Round of 32 &amp; Round of 16'!B25</f>
        <v>Ecuador</v>
      </c>
      <c r="AP14" s="457">
        <f>+_xlfn.XLOOKUP(AQ14,'Ranking FIFA'!B:B,'Ranking FIFA'!A:A,"--",0)</f>
        <v>17</v>
      </c>
      <c r="AQ14" t="s">
        <v>58</v>
      </c>
      <c r="AR14" s="6">
        <v>1</v>
      </c>
      <c r="AS14" s="6">
        <v>2</v>
      </c>
      <c r="AT14" s="169">
        <f t="shared" si="8"/>
        <v>1</v>
      </c>
      <c r="AU14" s="166">
        <f t="shared" si="9"/>
        <v>107.03050000058823</v>
      </c>
      <c r="AW14" t="s">
        <v>291</v>
      </c>
      <c r="AX14" s="174">
        <f>+_xlfn.MINIFS(AU:AU,AS:AS,2)</f>
        <v>106.0205000009091</v>
      </c>
      <c r="BH14">
        <v>11</v>
      </c>
      <c r="BI14" t="str">
        <f t="shared" si="11"/>
        <v>Haiti</v>
      </c>
      <c r="BJ14" s="6">
        <f>+COUNTIFS('Inputs summary'!I$2:I$106,BI14)</f>
        <v>0</v>
      </c>
      <c r="BK14" s="6">
        <f>+COUNTIFS('Inputs summary'!J$2:K$106,BI14)</f>
        <v>0</v>
      </c>
      <c r="BL14" s="6">
        <f>+COUNTIFS('Inputs summary'!L$2:L$106,BI14)</f>
        <v>3</v>
      </c>
      <c r="BM14" s="6">
        <f t="shared" si="19"/>
        <v>-8</v>
      </c>
      <c r="BN14" s="6">
        <f>+SUMIF('Inputs summary'!$B$1:$B$106,$BI14,'Inputs summary'!$C$1:$C$106)+SUMIF('Inputs summary'!$E$1:$E$106,$BI14,'Inputs summary'!$D$1:$D$106)</f>
        <v>0</v>
      </c>
      <c r="BO14" s="6">
        <f>+SUMIF('Inputs summary'!$B$1:$B$106,$BI14,'Inputs summary'!$D$1:$D$106)+SUMIF('Inputs summary'!$E$1:$E$106,$BI14,'Inputs summary'!$C$1:$C$106)</f>
        <v>8</v>
      </c>
      <c r="BP14" s="166">
        <f t="shared" si="12"/>
        <v>-7.9951700000000001E-2</v>
      </c>
    </row>
    <row r="15" spans="1:71" x14ac:dyDescent="0.2">
      <c r="G15">
        <v>12</v>
      </c>
      <c r="H15" t="str">
        <f>+'Groups Stage'!O24</f>
        <v>Escocia</v>
      </c>
      <c r="I15" s="6">
        <f t="shared" si="0"/>
        <v>0</v>
      </c>
      <c r="J15" s="6">
        <f t="shared" si="1"/>
        <v>0</v>
      </c>
      <c r="K15" s="6">
        <f t="shared" si="2"/>
        <v>0</v>
      </c>
      <c r="L15" s="6">
        <f t="shared" si="3"/>
        <v>0</v>
      </c>
      <c r="M15" s="6">
        <f t="shared" si="4"/>
        <v>0</v>
      </c>
      <c r="N15" s="6">
        <f t="shared" si="5"/>
        <v>0</v>
      </c>
      <c r="O15" s="6">
        <f t="shared" si="6"/>
        <v>0</v>
      </c>
      <c r="P15" s="6">
        <f t="shared" si="13"/>
        <v>0</v>
      </c>
      <c r="Q15" s="6">
        <f>+COUNTIFS('Inputs summary'!I:I,$H15)</f>
        <v>1</v>
      </c>
      <c r="R15" s="6">
        <f>+COUNTIFS('Inputs summary'!J:K,$H15)</f>
        <v>0</v>
      </c>
      <c r="S15" s="6">
        <f>+COUNTIFS('Inputs summary'!L:L,$H15)</f>
        <v>2</v>
      </c>
      <c r="T15" s="6">
        <f t="shared" si="14"/>
        <v>-2</v>
      </c>
      <c r="U15" s="6">
        <f>+SUMIF('Inputs summary'!B:B,H15,'Inputs summary'!C:C)+SUMIF('Inputs summary'!E:E,H15,'Inputs summary'!D:D)</f>
        <v>2</v>
      </c>
      <c r="V15" s="6">
        <f>+SUMIF('Inputs summary'!B:B,H15,'Inputs summary'!D:D)+SUMIF('Inputs summary'!E:E,H15,'Inputs summary'!C:C)</f>
        <v>4</v>
      </c>
      <c r="W15" s="159">
        <f t="shared" si="15"/>
        <v>2.9802000002325579</v>
      </c>
      <c r="X15" s="173">
        <f t="shared" si="16"/>
        <v>0</v>
      </c>
      <c r="Y15" s="167">
        <f t="shared" si="7"/>
        <v>3</v>
      </c>
      <c r="Z15" s="173">
        <f t="shared" si="17"/>
        <v>2.9802003335658913</v>
      </c>
      <c r="AA15" s="173">
        <f>+_xlfn.XLOOKUP(H15,'Ranking FIFA'!B:B,'Ranking FIFA'!A:A,"--",0)</f>
        <v>43</v>
      </c>
      <c r="AH15" t="str">
        <f>+'Round of 32 &amp; Round of 16'!Y13</f>
        <v>Belgica</v>
      </c>
      <c r="AI15" t="str">
        <f>+'Round of 32 &amp; Round of 16'!E25</f>
        <v>Noruega</v>
      </c>
      <c r="AP15" s="457">
        <f>+_xlfn.XLOOKUP(AQ15,'Ranking FIFA'!B:B,'Ranking FIFA'!A:A,"--",0)</f>
        <v>8</v>
      </c>
      <c r="AQ15" t="s">
        <v>59</v>
      </c>
      <c r="AR15" s="6">
        <v>2</v>
      </c>
      <c r="AT15" s="169">
        <f t="shared" si="8"/>
        <v>1</v>
      </c>
      <c r="AU15" s="166">
        <f t="shared" si="9"/>
        <v>107.02040000125</v>
      </c>
      <c r="AW15" t="s">
        <v>851</v>
      </c>
      <c r="AX15" s="174">
        <f>+_xlfn.XLOOKUP(AX14,AU:AU,AT:AT,"-",0)</f>
        <v>1</v>
      </c>
      <c r="AY15" s="175" t="str">
        <f>+IF(AX15&gt;=AY2,"-",AX13)</f>
        <v>Croacia</v>
      </c>
      <c r="BH15">
        <v>12</v>
      </c>
      <c r="BI15" t="str">
        <f t="shared" si="11"/>
        <v>Escocia</v>
      </c>
      <c r="BJ15" s="6">
        <f>+COUNTIFS('Inputs summary'!I$2:I$106,BI15)</f>
        <v>1</v>
      </c>
      <c r="BK15" s="6">
        <f>+COUNTIFS('Inputs summary'!J$2:K$106,BI15)</f>
        <v>0</v>
      </c>
      <c r="BL15" s="6">
        <f>+COUNTIFS('Inputs summary'!L$2:L$106,BI15)</f>
        <v>2</v>
      </c>
      <c r="BM15" s="6">
        <f t="shared" si="19"/>
        <v>-2</v>
      </c>
      <c r="BN15" s="6">
        <f>+SUMIF('Inputs summary'!$B$1:$B$106,$BI15,'Inputs summary'!$C$1:$C$106)+SUMIF('Inputs summary'!$E$1:$E$106,$BI15,'Inputs summary'!$D$1:$D$106)</f>
        <v>2</v>
      </c>
      <c r="BO15" s="6">
        <f>+SUMIF('Inputs summary'!$B$1:$B$106,$BI15,'Inputs summary'!$D$1:$D$106)+SUMIF('Inputs summary'!$E$1:$E$106,$BI15,'Inputs summary'!$C$1:$C$106)</f>
        <v>4</v>
      </c>
      <c r="BP15" s="166">
        <f t="shared" si="12"/>
        <v>2.9820343</v>
      </c>
    </row>
    <row r="16" spans="1:71" x14ac:dyDescent="0.2">
      <c r="G16">
        <v>13</v>
      </c>
      <c r="H16" t="str">
        <f>+'Groups Stage'!O30</f>
        <v>Estados Unidos</v>
      </c>
      <c r="I16" s="6">
        <f t="shared" si="0"/>
        <v>0</v>
      </c>
      <c r="J16" s="6">
        <f t="shared" si="1"/>
        <v>0</v>
      </c>
      <c r="K16" s="6">
        <f t="shared" si="2"/>
        <v>0</v>
      </c>
      <c r="L16" s="6">
        <f t="shared" si="3"/>
        <v>0</v>
      </c>
      <c r="M16" s="6">
        <f t="shared" si="4"/>
        <v>1</v>
      </c>
      <c r="N16" s="6">
        <f t="shared" si="5"/>
        <v>1</v>
      </c>
      <c r="O16" s="6">
        <f t="shared" si="6"/>
        <v>1</v>
      </c>
      <c r="P16" s="6">
        <f t="shared" si="13"/>
        <v>3</v>
      </c>
      <c r="Q16" s="6">
        <f>+COUNTIFS('Inputs summary'!I:I,$H16)</f>
        <v>4</v>
      </c>
      <c r="R16" s="6">
        <f>+COUNTIFS('Inputs summary'!J:K,$H16)</f>
        <v>1</v>
      </c>
      <c r="S16" s="6">
        <f>+COUNTIFS('Inputs summary'!L:L,$H16)</f>
        <v>1</v>
      </c>
      <c r="T16" s="6">
        <f t="shared" si="14"/>
        <v>5</v>
      </c>
      <c r="U16" s="6">
        <f>+SUMIF('Inputs summary'!B:B,H16,'Inputs summary'!C:C)+SUMIF('Inputs summary'!E:E,H16,'Inputs summary'!D:D)</f>
        <v>9</v>
      </c>
      <c r="V16" s="6">
        <f>+SUMIF('Inputs summary'!B:B,H16,'Inputs summary'!D:D)+SUMIF('Inputs summary'!E:E,H16,'Inputs summary'!C:C)</f>
        <v>4</v>
      </c>
      <c r="W16" s="159">
        <f t="shared" si="15"/>
        <v>313.05090000062501</v>
      </c>
      <c r="X16" s="173">
        <f t="shared" si="16"/>
        <v>111</v>
      </c>
      <c r="Y16" s="167">
        <f t="shared" si="7"/>
        <v>2</v>
      </c>
      <c r="Z16" s="173">
        <f t="shared" si="17"/>
        <v>313.050900500625</v>
      </c>
      <c r="AA16" s="173">
        <f>+_xlfn.XLOOKUP(H16,'Ranking FIFA'!B:B,'Ranking FIFA'!A:A,"--",0)</f>
        <v>16</v>
      </c>
      <c r="AH16" t="str">
        <f>+'Round of 32 &amp; Round of 16'!V21</f>
        <v>Argentina</v>
      </c>
      <c r="AI16" t="str">
        <f>+'Round of 32 &amp; Round of 16'!B29</f>
        <v>Corea del Sur</v>
      </c>
      <c r="AP16" s="457">
        <f>+_xlfn.XLOOKUP(AQ16,'Ranking FIFA'!B:B,'Ranking FIFA'!A:A,"--",0)</f>
        <v>13</v>
      </c>
      <c r="AQ16" t="s">
        <v>60</v>
      </c>
      <c r="AR16" s="6">
        <v>2</v>
      </c>
      <c r="AT16" s="169">
        <f t="shared" si="8"/>
        <v>1111</v>
      </c>
      <c r="AU16" s="166">
        <f t="shared" si="9"/>
        <v>415.03110000076919</v>
      </c>
      <c r="BH16">
        <v>13</v>
      </c>
      <c r="BI16" t="str">
        <f t="shared" si="11"/>
        <v>Estados Unidos</v>
      </c>
      <c r="BJ16" s="6">
        <f>+COUNTIFS('Inputs summary'!I$2:I$106,BI16)</f>
        <v>2</v>
      </c>
      <c r="BK16" s="6">
        <f>+COUNTIFS('Inputs summary'!J$2:K$106,BI16)</f>
        <v>1</v>
      </c>
      <c r="BL16" s="6">
        <f>+COUNTIFS('Inputs summary'!L$2:L$106,BI16)</f>
        <v>0</v>
      </c>
      <c r="BM16" s="6">
        <f t="shared" si="19"/>
        <v>3</v>
      </c>
      <c r="BN16" s="6">
        <f>+SUMIF('Inputs summary'!$B$1:$B$106,$BI16,'Inputs summary'!$C$1:$C$106)+SUMIF('Inputs summary'!$E$1:$E$106,$BI16,'Inputs summary'!$D$1:$D$106)</f>
        <v>5</v>
      </c>
      <c r="BO16" s="6">
        <f>+SUMIF('Inputs summary'!$B$1:$B$106,$BI16,'Inputs summary'!$D$1:$D$106)+SUMIF('Inputs summary'!$E$1:$E$106,$BI16,'Inputs summary'!$C$1:$C$106)</f>
        <v>2</v>
      </c>
      <c r="BP16" s="166">
        <f t="shared" si="12"/>
        <v>8.0350215999999985</v>
      </c>
    </row>
    <row r="17" spans="7:68" x14ac:dyDescent="0.2">
      <c r="G17">
        <v>14</v>
      </c>
      <c r="H17" t="str">
        <f>+'Groups Stage'!O31</f>
        <v>Paraguay</v>
      </c>
      <c r="I17" s="6">
        <f t="shared" si="0"/>
        <v>0</v>
      </c>
      <c r="J17" s="6">
        <f t="shared" si="1"/>
        <v>0</v>
      </c>
      <c r="K17" s="6">
        <f t="shared" si="2"/>
        <v>0</v>
      </c>
      <c r="L17" s="6">
        <f t="shared" si="3"/>
        <v>0</v>
      </c>
      <c r="M17" s="6">
        <f t="shared" si="4"/>
        <v>0</v>
      </c>
      <c r="N17" s="6">
        <f t="shared" si="5"/>
        <v>0</v>
      </c>
      <c r="O17" s="6">
        <f t="shared" si="6"/>
        <v>1</v>
      </c>
      <c r="P17" s="6">
        <f t="shared" si="13"/>
        <v>1</v>
      </c>
      <c r="Q17" s="6">
        <f>+COUNTIFS('Inputs summary'!I:I,$H17)</f>
        <v>1</v>
      </c>
      <c r="R17" s="6">
        <f>+COUNTIFS('Inputs summary'!J:K,$H17)</f>
        <v>1</v>
      </c>
      <c r="S17" s="6">
        <f>+COUNTIFS('Inputs summary'!L:L,$H17)</f>
        <v>2</v>
      </c>
      <c r="T17" s="6">
        <f t="shared" si="14"/>
        <v>-2</v>
      </c>
      <c r="U17" s="6">
        <f>+SUMIF('Inputs summary'!B:B,H17,'Inputs summary'!C:C)+SUMIF('Inputs summary'!E:E,H17,'Inputs summary'!D:D)</f>
        <v>2</v>
      </c>
      <c r="V17" s="6">
        <f>+SUMIF('Inputs summary'!B:B,H17,'Inputs summary'!D:D)+SUMIF('Inputs summary'!E:E,H17,'Inputs summary'!C:C)</f>
        <v>4</v>
      </c>
      <c r="W17" s="159">
        <f t="shared" si="15"/>
        <v>103.98020000025001</v>
      </c>
      <c r="X17" s="173">
        <f t="shared" si="16"/>
        <v>1</v>
      </c>
      <c r="Y17" s="167">
        <f t="shared" si="7"/>
        <v>2</v>
      </c>
      <c r="Z17" s="173">
        <f t="shared" si="17"/>
        <v>103.98020050025001</v>
      </c>
      <c r="AA17" s="173">
        <f>+_xlfn.XLOOKUP(H17,'Ranking FIFA'!B:B,'Ranking FIFA'!A:A,"--",0)</f>
        <v>40</v>
      </c>
      <c r="AH17" t="str">
        <f>+'Round of 32 &amp; Round of 16'!Y21</f>
        <v>Turquia</v>
      </c>
      <c r="AI17" t="str">
        <f>+'Round of 32 &amp; Round of 16'!E29</f>
        <v>Costa de Marfil</v>
      </c>
      <c r="AP17" s="457">
        <f>+_xlfn.XLOOKUP(AQ17,'Ranking FIFA'!B:B,'Ranking FIFA'!A:A,"--",0)</f>
        <v>14</v>
      </c>
      <c r="AQ17" t="s">
        <v>61</v>
      </c>
      <c r="AR17" s="6">
        <v>2</v>
      </c>
      <c r="AT17" s="169">
        <f t="shared" si="8"/>
        <v>1</v>
      </c>
      <c r="AU17" s="166">
        <f t="shared" si="9"/>
        <v>103.99040000071427</v>
      </c>
      <c r="AY17" s="175" t="str">
        <f>+IF(AY11="-",IF(AY15="-","-",AY15),IF(AY15="-",AY11,IF(AX11&lt;=AX15,AY11,AY15)))</f>
        <v>Croacia</v>
      </c>
      <c r="BH17">
        <v>14</v>
      </c>
      <c r="BI17" t="str">
        <f t="shared" si="11"/>
        <v>Paraguay</v>
      </c>
      <c r="BJ17" s="6">
        <f>+COUNTIFS('Inputs summary'!I$2:I$106,BI17)</f>
        <v>1</v>
      </c>
      <c r="BK17" s="6">
        <f>+COUNTIFS('Inputs summary'!J$2:K$106,BI17)</f>
        <v>1</v>
      </c>
      <c r="BL17" s="6">
        <f>+COUNTIFS('Inputs summary'!L$2:L$106,BI17)</f>
        <v>1</v>
      </c>
      <c r="BM17" s="6">
        <f t="shared" si="19"/>
        <v>0</v>
      </c>
      <c r="BN17" s="6">
        <f>+SUMIF('Inputs summary'!$B$1:$B$106,$BI17,'Inputs summary'!$C$1:$C$106)+SUMIF('Inputs summary'!$E$1:$E$106,$BI17,'Inputs summary'!$D$1:$D$106)</f>
        <v>2</v>
      </c>
      <c r="BO17" s="6">
        <f>+SUMIF('Inputs summary'!$B$1:$B$106,$BI17,'Inputs summary'!$D$1:$D$106)+SUMIF('Inputs summary'!$E$1:$E$106,$BI17,'Inputs summary'!$C$1:$C$106)</f>
        <v>2</v>
      </c>
      <c r="BP17" s="166">
        <f t="shared" si="12"/>
        <v>5.0020239999999996</v>
      </c>
    </row>
    <row r="18" spans="7:68" x14ac:dyDescent="0.2">
      <c r="G18">
        <v>15</v>
      </c>
      <c r="H18" t="str">
        <f>+'Groups Stage'!O32</f>
        <v>Australia</v>
      </c>
      <c r="I18" s="6">
        <f t="shared" si="0"/>
        <v>0</v>
      </c>
      <c r="J18" s="6">
        <f t="shared" si="1"/>
        <v>0</v>
      </c>
      <c r="K18" s="6">
        <f t="shared" si="2"/>
        <v>0</v>
      </c>
      <c r="L18" s="6">
        <f t="shared" si="3"/>
        <v>0</v>
      </c>
      <c r="M18" s="6">
        <f t="shared" si="4"/>
        <v>0</v>
      </c>
      <c r="N18" s="6">
        <f t="shared" si="5"/>
        <v>0</v>
      </c>
      <c r="O18" s="6">
        <f t="shared" si="6"/>
        <v>0</v>
      </c>
      <c r="P18" s="6">
        <f t="shared" si="13"/>
        <v>0</v>
      </c>
      <c r="Q18" s="6">
        <f>+COUNTIFS('Inputs summary'!I:I,$H18)</f>
        <v>0</v>
      </c>
      <c r="R18" s="6">
        <f>+COUNTIFS('Inputs summary'!J:K,$H18)</f>
        <v>0</v>
      </c>
      <c r="S18" s="6">
        <f>+COUNTIFS('Inputs summary'!L:L,$H18)</f>
        <v>3</v>
      </c>
      <c r="T18" s="6">
        <f t="shared" si="14"/>
        <v>-4</v>
      </c>
      <c r="U18" s="6">
        <f>+SUMIF('Inputs summary'!B:B,H18,'Inputs summary'!C:C)+SUMIF('Inputs summary'!E:E,H18,'Inputs summary'!D:D)</f>
        <v>1</v>
      </c>
      <c r="V18" s="6">
        <f>+SUMIF('Inputs summary'!B:B,H18,'Inputs summary'!D:D)+SUMIF('Inputs summary'!E:E,H18,'Inputs summary'!C:C)</f>
        <v>5</v>
      </c>
      <c r="W18" s="159">
        <f t="shared" si="15"/>
        <v>-3.9899999629629625E-2</v>
      </c>
      <c r="X18" s="173">
        <f t="shared" si="16"/>
        <v>0</v>
      </c>
      <c r="Y18" s="167">
        <f t="shared" si="7"/>
        <v>3</v>
      </c>
      <c r="Z18" s="173">
        <f t="shared" si="17"/>
        <v>-3.9899666296296293E-2</v>
      </c>
      <c r="AA18" s="173">
        <f>+_xlfn.XLOOKUP(H18,'Ranking FIFA'!B:B,'Ranking FIFA'!A:A,"--",0)</f>
        <v>27</v>
      </c>
      <c r="AH18" t="str">
        <f>+'Round of 32 &amp; Round of 16'!V29</f>
        <v>Canada</v>
      </c>
      <c r="AI18" t="str">
        <f>+'Round of 32 &amp; Round of 16'!B33</f>
        <v>Inglaterra</v>
      </c>
      <c r="AP18" s="457">
        <f>+_xlfn.XLOOKUP(AQ18,'Ranking FIFA'!B:B,'Ranking FIFA'!A:A,"--",0)</f>
        <v>15</v>
      </c>
      <c r="AQ18" t="s">
        <v>62</v>
      </c>
      <c r="AR18" s="6">
        <v>2</v>
      </c>
      <c r="AT18" s="169">
        <f t="shared" si="8"/>
        <v>1</v>
      </c>
      <c r="AU18" s="166">
        <f t="shared" si="9"/>
        <v>103.99050000066666</v>
      </c>
      <c r="BH18">
        <v>15</v>
      </c>
      <c r="BI18" t="str">
        <f t="shared" si="11"/>
        <v>Australia</v>
      </c>
      <c r="BJ18" s="6">
        <f>+COUNTIFS('Inputs summary'!I$2:I$106,BI18)</f>
        <v>0</v>
      </c>
      <c r="BK18" s="6">
        <f>+COUNTIFS('Inputs summary'!J$2:K$106,BI18)</f>
        <v>0</v>
      </c>
      <c r="BL18" s="6">
        <f>+COUNTIFS('Inputs summary'!L$2:L$106,BI18)</f>
        <v>3</v>
      </c>
      <c r="BM18" s="6">
        <f t="shared" si="19"/>
        <v>-4</v>
      </c>
      <c r="BN18" s="6">
        <f>+SUMIF('Inputs summary'!$B$1:$B$106,$BI18,'Inputs summary'!$C$1:$C$106)+SUMIF('Inputs summary'!$E$1:$E$106,$BI18,'Inputs summary'!$D$1:$D$106)</f>
        <v>1</v>
      </c>
      <c r="BO18" s="6">
        <f>+SUMIF('Inputs summary'!$B$1:$B$106,$BI18,'Inputs summary'!$D$1:$D$106)+SUMIF('Inputs summary'!$E$1:$E$106,$BI18,'Inputs summary'!$C$1:$C$106)</f>
        <v>5</v>
      </c>
      <c r="BP18" s="166">
        <f t="shared" si="12"/>
        <v>-3.8967299999999996E-2</v>
      </c>
    </row>
    <row r="19" spans="7:68" x14ac:dyDescent="0.2">
      <c r="G19">
        <v>16</v>
      </c>
      <c r="H19" t="str">
        <f>+'Groups Stage'!O33</f>
        <v>Turquia</v>
      </c>
      <c r="I19" s="6">
        <f t="shared" si="0"/>
        <v>0</v>
      </c>
      <c r="J19" s="6">
        <f t="shared" si="1"/>
        <v>0</v>
      </c>
      <c r="K19" s="6">
        <f t="shared" si="2"/>
        <v>0</v>
      </c>
      <c r="L19" s="6">
        <f t="shared" si="3"/>
        <v>0</v>
      </c>
      <c r="M19" s="6">
        <f t="shared" si="4"/>
        <v>0</v>
      </c>
      <c r="N19" s="6">
        <f t="shared" si="5"/>
        <v>1</v>
      </c>
      <c r="O19" s="6">
        <f t="shared" si="6"/>
        <v>1</v>
      </c>
      <c r="P19" s="6">
        <f t="shared" si="13"/>
        <v>2</v>
      </c>
      <c r="Q19" s="6">
        <f>+COUNTIFS('Inputs summary'!I:I,$H19)</f>
        <v>2</v>
      </c>
      <c r="R19" s="6">
        <f>+COUNTIFS('Inputs summary'!J:K,$H19)</f>
        <v>2</v>
      </c>
      <c r="S19" s="6">
        <f>+COUNTIFS('Inputs summary'!L:L,$H19)</f>
        <v>1</v>
      </c>
      <c r="T19" s="6">
        <f t="shared" si="14"/>
        <v>-1</v>
      </c>
      <c r="U19" s="6">
        <f>+SUMIF('Inputs summary'!B:B,H19,'Inputs summary'!C:C)+SUMIF('Inputs summary'!E:E,H19,'Inputs summary'!D:D)</f>
        <v>7</v>
      </c>
      <c r="V19" s="6">
        <f>+SUMIF('Inputs summary'!B:B,H19,'Inputs summary'!D:D)+SUMIF('Inputs summary'!E:E,H19,'Inputs summary'!C:C)</f>
        <v>8</v>
      </c>
      <c r="W19" s="159">
        <f t="shared" si="15"/>
        <v>207.99070000045455</v>
      </c>
      <c r="X19" s="173">
        <f t="shared" si="16"/>
        <v>11</v>
      </c>
      <c r="Y19" s="167">
        <f t="shared" si="7"/>
        <v>2</v>
      </c>
      <c r="Z19" s="173">
        <f t="shared" si="17"/>
        <v>207.99070050045455</v>
      </c>
      <c r="AA19" s="173">
        <f>+_xlfn.XLOOKUP(H19,'Ranking FIFA'!B:B,'Ranking FIFA'!A:A,"--",0)</f>
        <v>22</v>
      </c>
      <c r="AH19" t="str">
        <f>+'Round of 32 &amp; Round of 16'!Y29</f>
        <v>Portugal</v>
      </c>
      <c r="AI19" t="str">
        <f>+'Round of 32 &amp; Round of 16'!E33</f>
        <v>Senegal</v>
      </c>
      <c r="AP19" s="457">
        <f>+_xlfn.XLOOKUP(AQ19,'Ranking FIFA'!B:B,'Ranking FIFA'!A:A,"--",0)</f>
        <v>16</v>
      </c>
      <c r="AQ19" t="s">
        <v>63</v>
      </c>
      <c r="AR19" s="6">
        <v>2</v>
      </c>
      <c r="AT19" s="169">
        <f t="shared" si="8"/>
        <v>111</v>
      </c>
      <c r="AU19" s="166">
        <f t="shared" si="9"/>
        <v>313.05090000062501</v>
      </c>
      <c r="BH19">
        <v>16</v>
      </c>
      <c r="BI19" t="str">
        <f t="shared" si="11"/>
        <v>Turquia</v>
      </c>
      <c r="BJ19" s="6">
        <f>+COUNTIFS('Inputs summary'!I$2:I$106,BI19)</f>
        <v>1</v>
      </c>
      <c r="BK19" s="6">
        <f>+COUNTIFS('Inputs summary'!J$2:K$106,BI19)</f>
        <v>2</v>
      </c>
      <c r="BL19" s="6">
        <f>+COUNTIFS('Inputs summary'!L$2:L$106,BI19)</f>
        <v>0</v>
      </c>
      <c r="BM19" s="6">
        <f t="shared" si="19"/>
        <v>1</v>
      </c>
      <c r="BN19" s="6">
        <f>+SUMIF('Inputs summary'!$B$1:$B$106,$BI19,'Inputs summary'!$C$1:$C$106)+SUMIF('Inputs summary'!$E$1:$E$106,$BI19,'Inputs summary'!$D$1:$D$106)</f>
        <v>5</v>
      </c>
      <c r="BO19" s="6">
        <f>+SUMIF('Inputs summary'!$B$1:$B$106,$BI19,'Inputs summary'!$D$1:$D$106)+SUMIF('Inputs summary'!$E$1:$E$106,$BI19,'Inputs summary'!$C$1:$C$106)</f>
        <v>4</v>
      </c>
      <c r="BP19" s="166">
        <f t="shared" si="12"/>
        <v>7.0150221999999998</v>
      </c>
    </row>
    <row r="20" spans="7:68" x14ac:dyDescent="0.2">
      <c r="G20">
        <v>17</v>
      </c>
      <c r="H20" t="str">
        <f>+'Groups Stage'!O39</f>
        <v>Alemania</v>
      </c>
      <c r="I20" s="6">
        <f t="shared" si="0"/>
        <v>0</v>
      </c>
      <c r="J20" s="6">
        <f t="shared" si="1"/>
        <v>0</v>
      </c>
      <c r="K20" s="6">
        <f t="shared" si="2"/>
        <v>0</v>
      </c>
      <c r="L20" s="6">
        <f t="shared" si="3"/>
        <v>0</v>
      </c>
      <c r="M20" s="6">
        <f t="shared" si="4"/>
        <v>0</v>
      </c>
      <c r="N20" s="6">
        <f t="shared" si="5"/>
        <v>1</v>
      </c>
      <c r="O20" s="6">
        <f t="shared" si="6"/>
        <v>1</v>
      </c>
      <c r="P20" s="6">
        <f t="shared" si="13"/>
        <v>2</v>
      </c>
      <c r="Q20" s="6">
        <f>+COUNTIFS('Inputs summary'!I:I,$H20)</f>
        <v>4</v>
      </c>
      <c r="R20" s="6">
        <f>+COUNTIFS('Inputs summary'!J:K,$H20)</f>
        <v>0</v>
      </c>
      <c r="S20" s="6">
        <f>+COUNTIFS('Inputs summary'!L:L,$H20)</f>
        <v>1</v>
      </c>
      <c r="T20" s="6">
        <f t="shared" si="14"/>
        <v>9</v>
      </c>
      <c r="U20" s="6">
        <f>+SUMIF('Inputs summary'!B:B,H20,'Inputs summary'!C:C)+SUMIF('Inputs summary'!E:E,H20,'Inputs summary'!D:D)</f>
        <v>12</v>
      </c>
      <c r="V20" s="6">
        <f>+SUMIF('Inputs summary'!B:B,H20,'Inputs summary'!D:D)+SUMIF('Inputs summary'!E:E,H20,'Inputs summary'!C:C)</f>
        <v>3</v>
      </c>
      <c r="W20" s="159">
        <f t="shared" si="15"/>
        <v>212.091200001</v>
      </c>
      <c r="X20" s="173">
        <f t="shared" si="16"/>
        <v>11</v>
      </c>
      <c r="Y20" s="167">
        <f t="shared" si="7"/>
        <v>1</v>
      </c>
      <c r="Z20" s="173">
        <f t="shared" si="17"/>
        <v>212.091201001</v>
      </c>
      <c r="AA20" s="173">
        <f>+_xlfn.XLOOKUP(H20,'Ranking FIFA'!B:B,'Ranking FIFA'!A:A,"--",0)</f>
        <v>10</v>
      </c>
      <c r="AI20" t="str">
        <f>+'Round of 32 &amp; Round of 16'!H5</f>
        <v>Estados Unidos</v>
      </c>
      <c r="AP20" s="457">
        <f>+_xlfn.XLOOKUP(AQ20,'Ranking FIFA'!B:B,'Ranking FIFA'!A:A,"--",0)</f>
        <v>18</v>
      </c>
      <c r="AQ20" t="s">
        <v>64</v>
      </c>
      <c r="AR20" s="6">
        <v>2</v>
      </c>
      <c r="AT20" s="169">
        <f t="shared" si="8"/>
        <v>1</v>
      </c>
      <c r="AU20" s="166">
        <f t="shared" si="9"/>
        <v>102.98040000055556</v>
      </c>
      <c r="BH20">
        <v>17</v>
      </c>
      <c r="BI20" t="str">
        <f t="shared" si="11"/>
        <v>Alemania</v>
      </c>
      <c r="BJ20" s="6">
        <f>+COUNTIFS('Inputs summary'!I$2:I$106,BI20)</f>
        <v>3</v>
      </c>
      <c r="BK20" s="6">
        <f>+COUNTIFS('Inputs summary'!J$2:K$106,BI20)</f>
        <v>0</v>
      </c>
      <c r="BL20" s="6">
        <f>+COUNTIFS('Inputs summary'!L$2:L$106,BI20)</f>
        <v>0</v>
      </c>
      <c r="BM20" s="6">
        <f t="shared" si="19"/>
        <v>8</v>
      </c>
      <c r="BN20" s="6">
        <f>+SUMIF('Inputs summary'!$B$1:$B$106,$BI20,'Inputs summary'!$C$1:$C$106)+SUMIF('Inputs summary'!$E$1:$E$106,$BI20,'Inputs summary'!$D$1:$D$106)</f>
        <v>9</v>
      </c>
      <c r="BO20" s="6">
        <f>+SUMIF('Inputs summary'!$B$1:$B$106,$BI20,'Inputs summary'!$D$1:$D$106)+SUMIF('Inputs summary'!$E$1:$E$106,$BI20,'Inputs summary'!$C$1:$C$106)</f>
        <v>1</v>
      </c>
      <c r="BP20" s="166">
        <f t="shared" si="12"/>
        <v>9.0890109999999993</v>
      </c>
    </row>
    <row r="21" spans="7:68" x14ac:dyDescent="0.2">
      <c r="G21">
        <v>18</v>
      </c>
      <c r="H21" t="str">
        <f>+'Groups Stage'!O40</f>
        <v>Curazao</v>
      </c>
      <c r="I21" s="6">
        <f t="shared" si="0"/>
        <v>0</v>
      </c>
      <c r="J21" s="6">
        <f t="shared" si="1"/>
        <v>0</v>
      </c>
      <c r="K21" s="6">
        <f t="shared" si="2"/>
        <v>0</v>
      </c>
      <c r="L21" s="6">
        <f t="shared" si="3"/>
        <v>0</v>
      </c>
      <c r="M21" s="6">
        <f t="shared" si="4"/>
        <v>0</v>
      </c>
      <c r="N21" s="6">
        <f t="shared" si="5"/>
        <v>0</v>
      </c>
      <c r="O21" s="6">
        <f t="shared" si="6"/>
        <v>0</v>
      </c>
      <c r="P21" s="6">
        <f t="shared" si="13"/>
        <v>0</v>
      </c>
      <c r="Q21" s="6">
        <f>+COUNTIFS('Inputs summary'!I:I,$H21)</f>
        <v>0</v>
      </c>
      <c r="R21" s="6">
        <f>+COUNTIFS('Inputs summary'!J:K,$H21)</f>
        <v>0</v>
      </c>
      <c r="S21" s="6">
        <f>+COUNTIFS('Inputs summary'!L:L,$H21)</f>
        <v>3</v>
      </c>
      <c r="T21" s="6">
        <f t="shared" si="14"/>
        <v>-9</v>
      </c>
      <c r="U21" s="6">
        <f>+SUMIF('Inputs summary'!B:B,H21,'Inputs summary'!C:C)+SUMIF('Inputs summary'!E:E,H21,'Inputs summary'!D:D)</f>
        <v>0</v>
      </c>
      <c r="V21" s="6">
        <f>+SUMIF('Inputs summary'!B:B,H21,'Inputs summary'!D:D)+SUMIF('Inputs summary'!E:E,H21,'Inputs summary'!C:C)</f>
        <v>9</v>
      </c>
      <c r="W21" s="159">
        <f t="shared" si="15"/>
        <v>-8.9999999878048784E-2</v>
      </c>
      <c r="X21" s="173">
        <f t="shared" si="16"/>
        <v>0</v>
      </c>
      <c r="Y21" s="167">
        <f t="shared" si="7"/>
        <v>4</v>
      </c>
      <c r="Z21" s="173">
        <f t="shared" si="17"/>
        <v>-8.999974987804879E-2</v>
      </c>
      <c r="AA21" s="173">
        <f>+_xlfn.XLOOKUP(H21,'Ranking FIFA'!B:B,'Ranking FIFA'!A:A,"--",0)</f>
        <v>82</v>
      </c>
      <c r="AI21" t="str">
        <f>+'Round of 32 &amp; Round of 16'!K5</f>
        <v>Argelia</v>
      </c>
      <c r="AP21" s="457">
        <f>+_xlfn.XLOOKUP(AQ21,'Ranking FIFA'!B:B,'Ranking FIFA'!A:A,"--",0)</f>
        <v>19</v>
      </c>
      <c r="AQ21" t="s">
        <v>65</v>
      </c>
      <c r="AR21" s="6">
        <v>2</v>
      </c>
      <c r="AT21" s="169">
        <f t="shared" si="8"/>
        <v>11</v>
      </c>
      <c r="AU21" s="166">
        <f t="shared" si="9"/>
        <v>210.0406000005263</v>
      </c>
      <c r="AW21" t="s">
        <v>32</v>
      </c>
      <c r="BH21">
        <v>18</v>
      </c>
      <c r="BI21" t="str">
        <f t="shared" si="11"/>
        <v>Curazao</v>
      </c>
      <c r="BJ21" s="6">
        <f>+COUNTIFS('Inputs summary'!I$2:I$106,BI21)</f>
        <v>0</v>
      </c>
      <c r="BK21" s="6">
        <f>+COUNTIFS('Inputs summary'!J$2:K$106,BI21)</f>
        <v>0</v>
      </c>
      <c r="BL21" s="6">
        <f>+COUNTIFS('Inputs summary'!L$2:L$106,BI21)</f>
        <v>3</v>
      </c>
      <c r="BM21" s="6">
        <f t="shared" si="19"/>
        <v>-9</v>
      </c>
      <c r="BN21" s="6">
        <f>+SUMIF('Inputs summary'!$B$1:$B$106,$BI21,'Inputs summary'!$C$1:$C$106)+SUMIF('Inputs summary'!$E$1:$E$106,$BI21,'Inputs summary'!$D$1:$D$106)</f>
        <v>0</v>
      </c>
      <c r="BO21" s="6">
        <f>+SUMIF('Inputs summary'!$B$1:$B$106,$BI21,'Inputs summary'!$D$1:$D$106)+SUMIF('Inputs summary'!$E$1:$E$106,$BI21,'Inputs summary'!$C$1:$C$106)</f>
        <v>9</v>
      </c>
      <c r="BP21" s="166">
        <f t="shared" si="12"/>
        <v>-8.9951799999999998E-2</v>
      </c>
    </row>
    <row r="22" spans="7:68" x14ac:dyDescent="0.2">
      <c r="G22">
        <v>19</v>
      </c>
      <c r="H22" t="str">
        <f>+'Groups Stage'!O41</f>
        <v>Costa de Marfil</v>
      </c>
      <c r="I22" s="6">
        <f t="shared" si="0"/>
        <v>0</v>
      </c>
      <c r="J22" s="6">
        <f t="shared" si="1"/>
        <v>0</v>
      </c>
      <c r="K22" s="6">
        <f t="shared" si="2"/>
        <v>0</v>
      </c>
      <c r="L22" s="6">
        <f t="shared" si="3"/>
        <v>0</v>
      </c>
      <c r="M22" s="6">
        <f t="shared" si="4"/>
        <v>0</v>
      </c>
      <c r="N22" s="6">
        <f t="shared" si="5"/>
        <v>0</v>
      </c>
      <c r="O22" s="6">
        <f t="shared" si="6"/>
        <v>1</v>
      </c>
      <c r="P22" s="6">
        <f t="shared" si="13"/>
        <v>1</v>
      </c>
      <c r="Q22" s="6">
        <f>+COUNTIFS('Inputs summary'!I:I,$H22)</f>
        <v>1</v>
      </c>
      <c r="R22" s="6">
        <f>+COUNTIFS('Inputs summary'!J:K,$H22)</f>
        <v>0</v>
      </c>
      <c r="S22" s="6">
        <f>+COUNTIFS('Inputs summary'!L:L,$H22)</f>
        <v>3</v>
      </c>
      <c r="T22" s="6">
        <f t="shared" si="14"/>
        <v>-2</v>
      </c>
      <c r="U22" s="6">
        <f>+SUMIF('Inputs summary'!B:B,H22,'Inputs summary'!C:C)+SUMIF('Inputs summary'!E:E,H22,'Inputs summary'!D:D)</f>
        <v>4</v>
      </c>
      <c r="V22" s="6">
        <f>+SUMIF('Inputs summary'!B:B,H22,'Inputs summary'!D:D)+SUMIF('Inputs summary'!E:E,H22,'Inputs summary'!C:C)</f>
        <v>6</v>
      </c>
      <c r="W22" s="159">
        <f t="shared" si="15"/>
        <v>102.98040000029413</v>
      </c>
      <c r="X22" s="173">
        <f t="shared" si="16"/>
        <v>1</v>
      </c>
      <c r="Y22" s="167">
        <f t="shared" si="7"/>
        <v>3</v>
      </c>
      <c r="Z22" s="173">
        <f t="shared" si="17"/>
        <v>102.98040033362746</v>
      </c>
      <c r="AA22" s="173">
        <f>+_xlfn.XLOOKUP(H22,'Ranking FIFA'!B:B,'Ranking FIFA'!A:A,"--",0)</f>
        <v>34</v>
      </c>
      <c r="AI22" t="str">
        <f>+'Round of 32 &amp; Round of 16'!H9</f>
        <v>Belgica</v>
      </c>
      <c r="AP22" s="457">
        <f>+_xlfn.XLOOKUP(AQ22,'Ranking FIFA'!B:B,'Ranking FIFA'!A:A,"--",0)</f>
        <v>22</v>
      </c>
      <c r="AQ22" s="456" t="s">
        <v>66</v>
      </c>
      <c r="AR22" s="6">
        <v>2</v>
      </c>
      <c r="AT22" s="169">
        <f t="shared" si="8"/>
        <v>11</v>
      </c>
      <c r="AU22" s="166">
        <f t="shared" si="9"/>
        <v>207.99070000045455</v>
      </c>
      <c r="AW22">
        <f>+SMALL($Z$3:$Z$51,1)</f>
        <v>-8.999974987804879E-2</v>
      </c>
      <c r="AX22" t="str">
        <f>+_xlfn.XLOOKUP(AW22,Z:Z,H:H,"-",0)</f>
        <v>Curazao</v>
      </c>
      <c r="BH22">
        <v>19</v>
      </c>
      <c r="BI22" t="str">
        <f t="shared" si="11"/>
        <v>Costa de Marfil</v>
      </c>
      <c r="BJ22" s="6">
        <f>+COUNTIFS('Inputs summary'!I$2:I$106,BI22)</f>
        <v>1</v>
      </c>
      <c r="BK22" s="6">
        <f>+COUNTIFS('Inputs summary'!J$2:K$106,BI22)</f>
        <v>0</v>
      </c>
      <c r="BL22" s="6">
        <f>+COUNTIFS('Inputs summary'!L$2:L$106,BI22)</f>
        <v>2</v>
      </c>
      <c r="BM22" s="6">
        <f t="shared" si="19"/>
        <v>-1</v>
      </c>
      <c r="BN22" s="6">
        <f>+SUMIF('Inputs summary'!$B$1:$B$106,$BI22,'Inputs summary'!$C$1:$C$106)+SUMIF('Inputs summary'!$E$1:$E$106,$BI22,'Inputs summary'!$D$1:$D$106)</f>
        <v>3</v>
      </c>
      <c r="BO22" s="6">
        <f>+SUMIF('Inputs summary'!$B$1:$B$106,$BI22,'Inputs summary'!$D$1:$D$106)+SUMIF('Inputs summary'!$E$1:$E$106,$BI22,'Inputs summary'!$C$1:$C$106)</f>
        <v>4</v>
      </c>
      <c r="BP22" s="166">
        <f t="shared" si="12"/>
        <v>2.9930334000000007</v>
      </c>
    </row>
    <row r="23" spans="7:68" x14ac:dyDescent="0.2">
      <c r="G23">
        <v>20</v>
      </c>
      <c r="H23" t="str">
        <f>+'Groups Stage'!O42</f>
        <v>Ecuador</v>
      </c>
      <c r="I23" s="6">
        <f t="shared" si="0"/>
        <v>0</v>
      </c>
      <c r="J23" s="6">
        <f t="shared" si="1"/>
        <v>0</v>
      </c>
      <c r="K23" s="6">
        <f t="shared" si="2"/>
        <v>0</v>
      </c>
      <c r="L23" s="6">
        <f t="shared" si="3"/>
        <v>0</v>
      </c>
      <c r="M23" s="6">
        <f t="shared" si="4"/>
        <v>0</v>
      </c>
      <c r="N23" s="6">
        <f t="shared" si="5"/>
        <v>0</v>
      </c>
      <c r="O23" s="6">
        <f t="shared" si="6"/>
        <v>1</v>
      </c>
      <c r="P23" s="6">
        <f t="shared" si="13"/>
        <v>1</v>
      </c>
      <c r="Q23" s="6">
        <f>+COUNTIFS('Inputs summary'!I:I,$H23)</f>
        <v>2</v>
      </c>
      <c r="R23" s="6">
        <f>+COUNTIFS('Inputs summary'!J:K,$H23)</f>
        <v>0</v>
      </c>
      <c r="S23" s="6">
        <f>+COUNTIFS('Inputs summary'!L:L,$H23)</f>
        <v>2</v>
      </c>
      <c r="T23" s="6">
        <f t="shared" si="14"/>
        <v>1</v>
      </c>
      <c r="U23" s="6">
        <f>+SUMIF('Inputs summary'!B:B,H23,'Inputs summary'!C:C)+SUMIF('Inputs summary'!E:E,H23,'Inputs summary'!D:D)</f>
        <v>7</v>
      </c>
      <c r="V23" s="6">
        <f>+SUMIF('Inputs summary'!B:B,H23,'Inputs summary'!D:D)+SUMIF('Inputs summary'!E:E,H23,'Inputs summary'!C:C)</f>
        <v>6</v>
      </c>
      <c r="W23" s="159">
        <f t="shared" si="15"/>
        <v>106.01070000043478</v>
      </c>
      <c r="X23" s="173">
        <f t="shared" si="16"/>
        <v>1</v>
      </c>
      <c r="Y23" s="167">
        <f t="shared" si="7"/>
        <v>2</v>
      </c>
      <c r="Z23" s="173">
        <f t="shared" si="17"/>
        <v>106.01070050043478</v>
      </c>
      <c r="AA23" s="173">
        <f>+_xlfn.XLOOKUP(H23,'Ranking FIFA'!B:B,'Ranking FIFA'!A:A,"--",0)</f>
        <v>23</v>
      </c>
      <c r="AI23" t="str">
        <f>+'Round of 32 &amp; Round of 16'!K9</f>
        <v>Mexico</v>
      </c>
      <c r="AP23" s="457">
        <f>+_xlfn.XLOOKUP(AQ23,'Ranking FIFA'!B:B,'Ranking FIFA'!A:A,"--",0)</f>
        <v>23</v>
      </c>
      <c r="AQ23" t="s">
        <v>67</v>
      </c>
      <c r="AR23" s="6">
        <v>2</v>
      </c>
      <c r="AT23" s="169">
        <f t="shared" si="8"/>
        <v>1</v>
      </c>
      <c r="AU23" s="166">
        <f t="shared" si="9"/>
        <v>106.01070000043478</v>
      </c>
      <c r="BH23">
        <v>20</v>
      </c>
      <c r="BI23" t="str">
        <f t="shared" si="11"/>
        <v>Ecuador</v>
      </c>
      <c r="BJ23" s="6">
        <f>+COUNTIFS('Inputs summary'!I$2:I$106,BI23)</f>
        <v>2</v>
      </c>
      <c r="BK23" s="6">
        <f>+COUNTIFS('Inputs summary'!J$2:K$106,BI23)</f>
        <v>0</v>
      </c>
      <c r="BL23" s="6">
        <f>+COUNTIFS('Inputs summary'!L$2:L$106,BI23)</f>
        <v>1</v>
      </c>
      <c r="BM23" s="6">
        <f t="shared" si="19"/>
        <v>2</v>
      </c>
      <c r="BN23" s="6">
        <f>+SUMIF('Inputs summary'!$B$1:$B$106,$BI23,'Inputs summary'!$C$1:$C$106)+SUMIF('Inputs summary'!$E$1:$E$106,$BI23,'Inputs summary'!$D$1:$D$106)</f>
        <v>6</v>
      </c>
      <c r="BO23" s="6">
        <f>+SUMIF('Inputs summary'!$B$1:$B$106,$BI23,'Inputs summary'!$D$1:$D$106)+SUMIF('Inputs summary'!$E$1:$E$106,$BI23,'Inputs summary'!$C$1:$C$106)</f>
        <v>4</v>
      </c>
      <c r="BP23" s="166">
        <f t="shared" si="12"/>
        <v>6.0260223000000002</v>
      </c>
    </row>
    <row r="24" spans="7:68" x14ac:dyDescent="0.2">
      <c r="G24">
        <v>21</v>
      </c>
      <c r="H24" t="str">
        <f>+'Groups Stage'!O48</f>
        <v>Paises Bajos</v>
      </c>
      <c r="I24" s="6">
        <f t="shared" si="0"/>
        <v>0</v>
      </c>
      <c r="J24" s="6">
        <f t="shared" si="1"/>
        <v>0</v>
      </c>
      <c r="K24" s="6">
        <f t="shared" si="2"/>
        <v>0</v>
      </c>
      <c r="L24" s="6">
        <f t="shared" si="3"/>
        <v>0</v>
      </c>
      <c r="M24" s="6">
        <f t="shared" si="4"/>
        <v>1</v>
      </c>
      <c r="N24" s="6">
        <f t="shared" si="5"/>
        <v>1</v>
      </c>
      <c r="O24" s="6">
        <f t="shared" si="6"/>
        <v>1</v>
      </c>
      <c r="P24" s="6">
        <f t="shared" si="13"/>
        <v>3</v>
      </c>
      <c r="Q24" s="6">
        <f>+COUNTIFS('Inputs summary'!I:I,$H24)</f>
        <v>5</v>
      </c>
      <c r="R24" s="6">
        <f>+COUNTIFS('Inputs summary'!J:K,$H24)</f>
        <v>0</v>
      </c>
      <c r="S24" s="6">
        <f>+COUNTIFS('Inputs summary'!L:L,$H24)</f>
        <v>1</v>
      </c>
      <c r="T24" s="6">
        <f t="shared" si="14"/>
        <v>7</v>
      </c>
      <c r="U24" s="6">
        <f>+SUMIF('Inputs summary'!B:B,H24,'Inputs summary'!C:C)+SUMIF('Inputs summary'!E:E,H24,'Inputs summary'!D:D)</f>
        <v>10</v>
      </c>
      <c r="V24" s="6">
        <f>+SUMIF('Inputs summary'!B:B,H24,'Inputs summary'!D:D)+SUMIF('Inputs summary'!E:E,H24,'Inputs summary'!C:C)</f>
        <v>3</v>
      </c>
      <c r="W24" s="159">
        <f t="shared" si="15"/>
        <v>315.07100000142856</v>
      </c>
      <c r="X24" s="173">
        <f t="shared" si="16"/>
        <v>111</v>
      </c>
      <c r="Y24" s="167">
        <f t="shared" si="7"/>
        <v>1</v>
      </c>
      <c r="Z24" s="173">
        <f t="shared" si="17"/>
        <v>315.07100100142856</v>
      </c>
      <c r="AA24" s="173">
        <f>+_xlfn.XLOOKUP(H24,'Ranking FIFA'!B:B,'Ranking FIFA'!A:A,"--",0)</f>
        <v>7</v>
      </c>
      <c r="AI24" t="str">
        <f>+'Round of 32 &amp; Round of 16'!H13</f>
        <v>Colombia</v>
      </c>
      <c r="AP24" s="457">
        <f>+_xlfn.XLOOKUP(AQ24,'Ranking FIFA'!B:B,'Ranking FIFA'!A:A,"--",0)</f>
        <v>25</v>
      </c>
      <c r="AQ24" t="s">
        <v>68</v>
      </c>
      <c r="AR24" s="6">
        <v>2</v>
      </c>
      <c r="AT24" s="169">
        <f t="shared" si="8"/>
        <v>11</v>
      </c>
      <c r="AU24" s="166">
        <f t="shared" si="9"/>
        <v>210.03080000040001</v>
      </c>
      <c r="BH24">
        <v>21</v>
      </c>
      <c r="BI24" t="str">
        <f t="shared" si="11"/>
        <v>Paises Bajos</v>
      </c>
      <c r="BJ24" s="6">
        <f>+COUNTIFS('Inputs summary'!I$2:I$106,BI24)</f>
        <v>3</v>
      </c>
      <c r="BK24" s="6">
        <f>+COUNTIFS('Inputs summary'!J$2:K$106,BI24)</f>
        <v>0</v>
      </c>
      <c r="BL24" s="6">
        <f>+COUNTIFS('Inputs summary'!L$2:L$106,BI24)</f>
        <v>0</v>
      </c>
      <c r="BM24" s="6">
        <f t="shared" si="19"/>
        <v>6</v>
      </c>
      <c r="BN24" s="6">
        <f>+SUMIF('Inputs summary'!$B$1:$B$106,$BI24,'Inputs summary'!$C$1:$C$106)+SUMIF('Inputs summary'!$E$1:$E$106,$BI24,'Inputs summary'!$D$1:$D$106)</f>
        <v>7</v>
      </c>
      <c r="BO24" s="6">
        <f>+SUMIF('Inputs summary'!$B$1:$B$106,$BI24,'Inputs summary'!$D$1:$D$106)+SUMIF('Inputs summary'!$E$1:$E$106,$BI24,'Inputs summary'!$C$1:$C$106)</f>
        <v>1</v>
      </c>
      <c r="BP24" s="166">
        <f t="shared" si="12"/>
        <v>9.0670106999999991</v>
      </c>
    </row>
    <row r="25" spans="7:68" x14ac:dyDescent="0.2">
      <c r="G25">
        <v>22</v>
      </c>
      <c r="H25" t="str">
        <f>+'Groups Stage'!O49</f>
        <v>Japon</v>
      </c>
      <c r="I25" s="6">
        <f t="shared" si="0"/>
        <v>0</v>
      </c>
      <c r="J25" s="6">
        <f t="shared" si="1"/>
        <v>0</v>
      </c>
      <c r="K25" s="6">
        <f t="shared" si="2"/>
        <v>0</v>
      </c>
      <c r="L25" s="6">
        <f t="shared" si="3"/>
        <v>0</v>
      </c>
      <c r="M25" s="6">
        <f t="shared" si="4"/>
        <v>0</v>
      </c>
      <c r="N25" s="6">
        <f t="shared" si="5"/>
        <v>0</v>
      </c>
      <c r="O25" s="6">
        <f t="shared" si="6"/>
        <v>1</v>
      </c>
      <c r="P25" s="6">
        <f t="shared" si="13"/>
        <v>1</v>
      </c>
      <c r="Q25" s="6">
        <f>+COUNTIFS('Inputs summary'!I:I,$H25)</f>
        <v>1</v>
      </c>
      <c r="R25" s="6">
        <f>+COUNTIFS('Inputs summary'!J:K,$H25)</f>
        <v>0</v>
      </c>
      <c r="S25" s="6">
        <f>+COUNTIFS('Inputs summary'!L:L,$H25)</f>
        <v>3</v>
      </c>
      <c r="T25" s="6">
        <f t="shared" si="14"/>
        <v>-2</v>
      </c>
      <c r="U25" s="6">
        <f>+SUMIF('Inputs summary'!B:B,H25,'Inputs summary'!C:C)+SUMIF('Inputs summary'!E:E,H25,'Inputs summary'!D:D)</f>
        <v>4</v>
      </c>
      <c r="V25" s="6">
        <f>+SUMIF('Inputs summary'!B:B,H25,'Inputs summary'!D:D)+SUMIF('Inputs summary'!E:E,H25,'Inputs summary'!C:C)</f>
        <v>6</v>
      </c>
      <c r="W25" s="159">
        <f t="shared" si="15"/>
        <v>102.98040000055556</v>
      </c>
      <c r="X25" s="173">
        <f t="shared" si="16"/>
        <v>1</v>
      </c>
      <c r="Y25" s="167">
        <f t="shared" si="7"/>
        <v>2</v>
      </c>
      <c r="Z25" s="173">
        <f t="shared" si="17"/>
        <v>102.98040050055556</v>
      </c>
      <c r="AA25" s="173">
        <f>+_xlfn.XLOOKUP(H25,'Ranking FIFA'!B:B,'Ranking FIFA'!A:A,"--",0)</f>
        <v>18</v>
      </c>
      <c r="AI25" t="str">
        <f>+'Round of 32 &amp; Round of 16'!K13</f>
        <v>Croacia</v>
      </c>
      <c r="AP25" s="457">
        <f>+_xlfn.XLOOKUP(AQ25,'Ranking FIFA'!B:B,'Ranking FIFA'!A:A,"--",0)</f>
        <v>31</v>
      </c>
      <c r="AQ25" t="s">
        <v>69</v>
      </c>
      <c r="AR25" s="6">
        <v>2</v>
      </c>
      <c r="AT25" s="169">
        <f t="shared" si="8"/>
        <v>11</v>
      </c>
      <c r="AU25" s="166">
        <f t="shared" si="9"/>
        <v>207.01080000032258</v>
      </c>
      <c r="BH25">
        <v>22</v>
      </c>
      <c r="BI25" t="str">
        <f t="shared" si="11"/>
        <v>Japon</v>
      </c>
      <c r="BJ25" s="6">
        <f>+COUNTIFS('Inputs summary'!I$2:I$106,BI25)</f>
        <v>1</v>
      </c>
      <c r="BK25" s="6">
        <f>+COUNTIFS('Inputs summary'!J$2:K$106,BI25)</f>
        <v>0</v>
      </c>
      <c r="BL25" s="6">
        <f>+COUNTIFS('Inputs summary'!L$2:L$106,BI25)</f>
        <v>2</v>
      </c>
      <c r="BM25" s="6">
        <f t="shared" si="19"/>
        <v>0</v>
      </c>
      <c r="BN25" s="6">
        <f>+SUMIF('Inputs summary'!$B$1:$B$106,$BI25,'Inputs summary'!$C$1:$C$106)+SUMIF('Inputs summary'!$E$1:$E$106,$BI25,'Inputs summary'!$D$1:$D$106)</f>
        <v>4</v>
      </c>
      <c r="BO25" s="6">
        <f>+SUMIF('Inputs summary'!$B$1:$B$106,$BI25,'Inputs summary'!$D$1:$D$106)+SUMIF('Inputs summary'!$E$1:$E$106,$BI25,'Inputs summary'!$C$1:$C$106)</f>
        <v>4</v>
      </c>
      <c r="BP25" s="166">
        <f t="shared" si="12"/>
        <v>3.0040218000000003</v>
      </c>
    </row>
    <row r="26" spans="7:68" x14ac:dyDescent="0.2">
      <c r="G26">
        <v>23</v>
      </c>
      <c r="H26" t="str">
        <f>+'Groups Stage'!O50</f>
        <v>Suecia</v>
      </c>
      <c r="I26" s="6">
        <f t="shared" si="0"/>
        <v>0</v>
      </c>
      <c r="J26" s="6">
        <f t="shared" si="1"/>
        <v>0</v>
      </c>
      <c r="K26" s="6">
        <f t="shared" si="2"/>
        <v>0</v>
      </c>
      <c r="L26" s="6">
        <f t="shared" si="3"/>
        <v>0</v>
      </c>
      <c r="M26" s="6">
        <f t="shared" si="4"/>
        <v>0</v>
      </c>
      <c r="N26" s="6">
        <f t="shared" si="5"/>
        <v>0</v>
      </c>
      <c r="O26" s="6">
        <f t="shared" si="6"/>
        <v>1</v>
      </c>
      <c r="P26" s="6">
        <f t="shared" si="13"/>
        <v>1</v>
      </c>
      <c r="Q26" s="6">
        <f>+COUNTIFS('Inputs summary'!I:I,$H26)</f>
        <v>2</v>
      </c>
      <c r="R26" s="6">
        <f>+COUNTIFS('Inputs summary'!J:K,$H26)</f>
        <v>0</v>
      </c>
      <c r="S26" s="6">
        <f>+COUNTIFS('Inputs summary'!L:L,$H26)</f>
        <v>2</v>
      </c>
      <c r="T26" s="6">
        <f t="shared" si="14"/>
        <v>-2</v>
      </c>
      <c r="U26" s="6">
        <f>+SUMIF('Inputs summary'!B:B,H26,'Inputs summary'!C:C)+SUMIF('Inputs summary'!E:E,H26,'Inputs summary'!D:D)</f>
        <v>4</v>
      </c>
      <c r="V26" s="6">
        <f>+SUMIF('Inputs summary'!B:B,H26,'Inputs summary'!D:D)+SUMIF('Inputs summary'!E:E,H26,'Inputs summary'!C:C)</f>
        <v>6</v>
      </c>
      <c r="W26" s="159">
        <f t="shared" si="15"/>
        <v>105.98040000026316</v>
      </c>
      <c r="X26" s="173">
        <f t="shared" si="16"/>
        <v>1</v>
      </c>
      <c r="Y26" s="167">
        <f t="shared" si="7"/>
        <v>2</v>
      </c>
      <c r="Z26" s="173">
        <f t="shared" si="17"/>
        <v>105.98040050026316</v>
      </c>
      <c r="AA26" s="173">
        <f>+_xlfn.XLOOKUP(H26,'Ranking FIFA'!B:B,'Ranking FIFA'!A:A,"--",0)</f>
        <v>38</v>
      </c>
      <c r="AI26" t="str">
        <f>+'Round of 32 &amp; Round of 16'!H17</f>
        <v>España</v>
      </c>
      <c r="AP26" s="457">
        <f>+_xlfn.XLOOKUP(AQ26,'Ranking FIFA'!B:B,'Ranking FIFA'!A:A,"--",0)</f>
        <v>38</v>
      </c>
      <c r="AQ26" s="456" t="s">
        <v>70</v>
      </c>
      <c r="AR26" s="6">
        <v>2</v>
      </c>
      <c r="AT26" s="169">
        <f t="shared" si="8"/>
        <v>1</v>
      </c>
      <c r="AU26" s="166">
        <f t="shared" si="9"/>
        <v>105.98040000026316</v>
      </c>
      <c r="BH26">
        <v>23</v>
      </c>
      <c r="BI26" t="str">
        <f t="shared" si="11"/>
        <v>Suecia</v>
      </c>
      <c r="BJ26" s="6">
        <f>+COUNTIFS('Inputs summary'!I$2:I$106,BI26)</f>
        <v>2</v>
      </c>
      <c r="BK26" s="6">
        <f>+COUNTIFS('Inputs summary'!J$2:K$106,BI26)</f>
        <v>0</v>
      </c>
      <c r="BL26" s="6">
        <f>+COUNTIFS('Inputs summary'!L$2:L$106,BI26)</f>
        <v>1</v>
      </c>
      <c r="BM26" s="6">
        <f t="shared" si="19"/>
        <v>0</v>
      </c>
      <c r="BN26" s="6">
        <f>+SUMIF('Inputs summary'!$B$1:$B$106,$BI26,'Inputs summary'!$C$1:$C$106)+SUMIF('Inputs summary'!$E$1:$E$106,$BI26,'Inputs summary'!$D$1:$D$106)</f>
        <v>3</v>
      </c>
      <c r="BO26" s="6">
        <f>+SUMIF('Inputs summary'!$B$1:$B$106,$BI26,'Inputs summary'!$D$1:$D$106)+SUMIF('Inputs summary'!$E$1:$E$106,$BI26,'Inputs summary'!$C$1:$C$106)</f>
        <v>3</v>
      </c>
      <c r="BP26" s="166">
        <f t="shared" si="12"/>
        <v>6.0030238000000002</v>
      </c>
    </row>
    <row r="27" spans="7:68" x14ac:dyDescent="0.2">
      <c r="G27">
        <v>24</v>
      </c>
      <c r="H27" t="str">
        <f>+'Groups Stage'!O51</f>
        <v>Tunez</v>
      </c>
      <c r="I27" s="6">
        <f t="shared" si="0"/>
        <v>0</v>
      </c>
      <c r="J27" s="6">
        <f t="shared" si="1"/>
        <v>0</v>
      </c>
      <c r="K27" s="6">
        <f t="shared" si="2"/>
        <v>0</v>
      </c>
      <c r="L27" s="6">
        <f t="shared" si="3"/>
        <v>0</v>
      </c>
      <c r="M27" s="6">
        <f t="shared" si="4"/>
        <v>0</v>
      </c>
      <c r="N27" s="6">
        <f t="shared" si="5"/>
        <v>0</v>
      </c>
      <c r="O27" s="6">
        <f t="shared" si="6"/>
        <v>0</v>
      </c>
      <c r="P27" s="6">
        <f t="shared" si="13"/>
        <v>0</v>
      </c>
      <c r="Q27" s="6">
        <f>+COUNTIFS('Inputs summary'!I:I,$H27)</f>
        <v>0</v>
      </c>
      <c r="R27" s="6">
        <f>+COUNTIFS('Inputs summary'!J:K,$H27)</f>
        <v>0</v>
      </c>
      <c r="S27" s="6">
        <f>+COUNTIFS('Inputs summary'!L:L,$H27)</f>
        <v>3</v>
      </c>
      <c r="T27" s="6">
        <f t="shared" si="14"/>
        <v>-6</v>
      </c>
      <c r="U27" s="6">
        <f>+SUMIF('Inputs summary'!B:B,H27,'Inputs summary'!C:C)+SUMIF('Inputs summary'!E:E,H27,'Inputs summary'!D:D)</f>
        <v>0</v>
      </c>
      <c r="V27" s="6">
        <f>+SUMIF('Inputs summary'!B:B,H27,'Inputs summary'!D:D)+SUMIF('Inputs summary'!E:E,H27,'Inputs summary'!C:C)</f>
        <v>6</v>
      </c>
      <c r="W27" s="159">
        <f t="shared" si="15"/>
        <v>-5.9999999772727269E-2</v>
      </c>
      <c r="X27" s="173">
        <f t="shared" si="16"/>
        <v>0</v>
      </c>
      <c r="Y27" s="167">
        <f t="shared" si="7"/>
        <v>3</v>
      </c>
      <c r="Z27" s="173">
        <f t="shared" si="17"/>
        <v>-5.9999666439393938E-2</v>
      </c>
      <c r="AA27" s="173">
        <f>+_xlfn.XLOOKUP(H27,'Ranking FIFA'!B:B,'Ranking FIFA'!A:A,"--",0)</f>
        <v>44</v>
      </c>
      <c r="AI27" t="str">
        <f>+'Round of 32 &amp; Round of 16'!K17</f>
        <v>Austria</v>
      </c>
      <c r="AP27" s="457">
        <f>+_xlfn.XLOOKUP(AQ27,'Ranking FIFA'!B:B,'Ranking FIFA'!A:A,"--",0)</f>
        <v>40</v>
      </c>
      <c r="AQ27" t="s">
        <v>71</v>
      </c>
      <c r="AR27" s="6">
        <v>2</v>
      </c>
      <c r="AT27" s="169">
        <f t="shared" si="8"/>
        <v>1</v>
      </c>
      <c r="AU27" s="166">
        <f t="shared" si="9"/>
        <v>103.98020000025001</v>
      </c>
      <c r="BH27">
        <v>24</v>
      </c>
      <c r="BI27" t="str">
        <f t="shared" si="11"/>
        <v>Tunez</v>
      </c>
      <c r="BJ27" s="6">
        <f>+COUNTIFS('Inputs summary'!I$2:I$106,BI27)</f>
        <v>0</v>
      </c>
      <c r="BK27" s="6">
        <f>+COUNTIFS('Inputs summary'!J$2:K$106,BI27)</f>
        <v>0</v>
      </c>
      <c r="BL27" s="6">
        <f>+COUNTIFS('Inputs summary'!L$2:L$106,BI27)</f>
        <v>3</v>
      </c>
      <c r="BM27" s="6">
        <f t="shared" si="19"/>
        <v>-6</v>
      </c>
      <c r="BN27" s="6">
        <f>+SUMIF('Inputs summary'!$B$1:$B$106,$BI27,'Inputs summary'!$C$1:$C$106)+SUMIF('Inputs summary'!$E$1:$E$106,$BI27,'Inputs summary'!$D$1:$D$106)</f>
        <v>0</v>
      </c>
      <c r="BO27" s="6">
        <f>+SUMIF('Inputs summary'!$B$1:$B$106,$BI27,'Inputs summary'!$D$1:$D$106)+SUMIF('Inputs summary'!$E$1:$E$106,$BI27,'Inputs summary'!$C$1:$C$106)</f>
        <v>6</v>
      </c>
      <c r="BP27" s="166">
        <f t="shared" si="12"/>
        <v>-5.9965599999999994E-2</v>
      </c>
    </row>
    <row r="28" spans="7:68" x14ac:dyDescent="0.2">
      <c r="G28">
        <v>25</v>
      </c>
      <c r="H28" t="str">
        <f>+'Groups Stage'!O57</f>
        <v>Iran</v>
      </c>
      <c r="I28" s="6">
        <f t="shared" si="0"/>
        <v>0</v>
      </c>
      <c r="J28" s="6">
        <f t="shared" si="1"/>
        <v>0</v>
      </c>
      <c r="K28" s="6">
        <f t="shared" si="2"/>
        <v>0</v>
      </c>
      <c r="L28" s="6">
        <f t="shared" si="3"/>
        <v>0</v>
      </c>
      <c r="M28" s="6">
        <f t="shared" si="4"/>
        <v>0</v>
      </c>
      <c r="N28" s="6">
        <f t="shared" si="5"/>
        <v>0</v>
      </c>
      <c r="O28" s="6">
        <f t="shared" si="6"/>
        <v>1</v>
      </c>
      <c r="P28" s="6">
        <f t="shared" si="13"/>
        <v>1</v>
      </c>
      <c r="Q28" s="6">
        <f>+COUNTIFS('Inputs summary'!I:I,$H28)</f>
        <v>1</v>
      </c>
      <c r="R28" s="6">
        <f>+COUNTIFS('Inputs summary'!J:K,$H28)</f>
        <v>1</v>
      </c>
      <c r="S28" s="6">
        <f>+COUNTIFS('Inputs summary'!L:L,$H28)</f>
        <v>2</v>
      </c>
      <c r="T28" s="6">
        <f t="shared" si="14"/>
        <v>-4</v>
      </c>
      <c r="U28" s="6">
        <f>+SUMIF('Inputs summary'!B:B,H28,'Inputs summary'!C:C)+SUMIF('Inputs summary'!E:E,H28,'Inputs summary'!D:D)</f>
        <v>2</v>
      </c>
      <c r="V28" s="6">
        <f>+SUMIF('Inputs summary'!B:B,H28,'Inputs summary'!D:D)+SUMIF('Inputs summary'!E:E,H28,'Inputs summary'!C:C)</f>
        <v>6</v>
      </c>
      <c r="W28" s="159">
        <f t="shared" si="15"/>
        <v>103.96020000047619</v>
      </c>
      <c r="X28" s="173">
        <f t="shared" si="16"/>
        <v>1</v>
      </c>
      <c r="Y28" s="167">
        <f t="shared" si="7"/>
        <v>3</v>
      </c>
      <c r="Z28" s="173">
        <f t="shared" si="17"/>
        <v>103.96020033380952</v>
      </c>
      <c r="AA28" s="173">
        <f>+_xlfn.XLOOKUP(H28,'Ranking FIFA'!B:B,'Ranking FIFA'!A:A,"--",0)</f>
        <v>21</v>
      </c>
      <c r="AI28" t="str">
        <f>+'Round of 32 &amp; Round of 16'!H21</f>
        <v>Canada</v>
      </c>
      <c r="AP28" s="457">
        <f>+_xlfn.XLOOKUP(AQ28,'Ranking FIFA'!B:B,'Ranking FIFA'!A:A,"--",0)</f>
        <v>24</v>
      </c>
      <c r="AQ28" t="s">
        <v>72</v>
      </c>
      <c r="AR28" s="6">
        <v>3</v>
      </c>
      <c r="AT28" s="169">
        <f t="shared" si="8"/>
        <v>1</v>
      </c>
      <c r="AU28" s="166">
        <f t="shared" si="9"/>
        <v>106.01060000041667</v>
      </c>
      <c r="BH28">
        <v>25</v>
      </c>
      <c r="BI28" t="str">
        <f t="shared" si="11"/>
        <v>Iran</v>
      </c>
      <c r="BJ28" s="6">
        <f>+COUNTIFS('Inputs summary'!I$2:I$106,BI28)</f>
        <v>1</v>
      </c>
      <c r="BK28" s="6">
        <f>+COUNTIFS('Inputs summary'!J$2:K$106,BI28)</f>
        <v>1</v>
      </c>
      <c r="BL28" s="6">
        <f>+COUNTIFS('Inputs summary'!L$2:L$106,BI28)</f>
        <v>1</v>
      </c>
      <c r="BM28" s="6">
        <f t="shared" si="19"/>
        <v>-2</v>
      </c>
      <c r="BN28" s="6">
        <f>+SUMIF('Inputs summary'!$B$1:$B$106,$BI28,'Inputs summary'!$C$1:$C$106)+SUMIF('Inputs summary'!$E$1:$E$106,$BI28,'Inputs summary'!$D$1:$D$106)</f>
        <v>2</v>
      </c>
      <c r="BO28" s="6">
        <f>+SUMIF('Inputs summary'!$B$1:$B$106,$BI28,'Inputs summary'!$D$1:$D$106)+SUMIF('Inputs summary'!$E$1:$E$106,$BI28,'Inputs summary'!$C$1:$C$106)</f>
        <v>4</v>
      </c>
      <c r="BP28" s="166">
        <f t="shared" si="12"/>
        <v>4.9820320999999996</v>
      </c>
    </row>
    <row r="29" spans="7:68" x14ac:dyDescent="0.2">
      <c r="G29">
        <v>26</v>
      </c>
      <c r="H29" t="str">
        <f>+'Groups Stage'!O58</f>
        <v>Nueva Zelanda</v>
      </c>
      <c r="I29" s="6">
        <f t="shared" si="0"/>
        <v>0</v>
      </c>
      <c r="J29" s="6">
        <f t="shared" si="1"/>
        <v>0</v>
      </c>
      <c r="K29" s="6">
        <f t="shared" si="2"/>
        <v>0</v>
      </c>
      <c r="L29" s="6">
        <f t="shared" si="3"/>
        <v>0</v>
      </c>
      <c r="M29" s="6">
        <f t="shared" si="4"/>
        <v>0</v>
      </c>
      <c r="N29" s="6">
        <f t="shared" si="5"/>
        <v>0</v>
      </c>
      <c r="O29" s="6">
        <f t="shared" si="6"/>
        <v>0</v>
      </c>
      <c r="P29" s="6">
        <f t="shared" si="13"/>
        <v>0</v>
      </c>
      <c r="Q29" s="6">
        <f>+COUNTIFS('Inputs summary'!I:I,$H29)</f>
        <v>0</v>
      </c>
      <c r="R29" s="6">
        <f>+COUNTIFS('Inputs summary'!J:K,$H29)</f>
        <v>0</v>
      </c>
      <c r="S29" s="6">
        <f>+COUNTIFS('Inputs summary'!L:L,$H29)</f>
        <v>3</v>
      </c>
      <c r="T29" s="6">
        <f t="shared" si="14"/>
        <v>-7</v>
      </c>
      <c r="U29" s="6">
        <f>+SUMIF('Inputs summary'!B:B,H29,'Inputs summary'!C:C)+SUMIF('Inputs summary'!E:E,H29,'Inputs summary'!D:D)</f>
        <v>0</v>
      </c>
      <c r="V29" s="6">
        <f>+SUMIF('Inputs summary'!B:B,H29,'Inputs summary'!D:D)+SUMIF('Inputs summary'!E:E,H29,'Inputs summary'!C:C)</f>
        <v>7</v>
      </c>
      <c r="W29" s="159">
        <f t="shared" si="15"/>
        <v>-6.9999999882352948E-2</v>
      </c>
      <c r="X29" s="173">
        <f t="shared" si="16"/>
        <v>0</v>
      </c>
      <c r="Y29" s="167">
        <f t="shared" si="7"/>
        <v>4</v>
      </c>
      <c r="Z29" s="173">
        <f t="shared" si="17"/>
        <v>-6.9999749882352955E-2</v>
      </c>
      <c r="AA29" s="173">
        <f>+_xlfn.XLOOKUP(H29,'Ranking FIFA'!B:B,'Ranking FIFA'!A:A,"--",0)</f>
        <v>85</v>
      </c>
      <c r="AI29" t="str">
        <f>+'Round of 32 &amp; Round of 16'!K21</f>
        <v>Iran</v>
      </c>
      <c r="AP29" s="457">
        <f>+_xlfn.XLOOKUP(AQ29,'Ranking FIFA'!B:B,'Ranking FIFA'!A:A,"--",0)</f>
        <v>27</v>
      </c>
      <c r="AQ29" t="s">
        <v>73</v>
      </c>
      <c r="AR29" s="6">
        <v>3</v>
      </c>
      <c r="AT29" s="169">
        <f t="shared" si="8"/>
        <v>0</v>
      </c>
      <c r="AU29" s="166">
        <f t="shared" si="9"/>
        <v>-3.9899999629629625E-2</v>
      </c>
      <c r="BH29">
        <v>26</v>
      </c>
      <c r="BI29" t="str">
        <f t="shared" si="11"/>
        <v>Nueva Zelanda</v>
      </c>
      <c r="BJ29" s="6">
        <f>+COUNTIFS('Inputs summary'!I$2:I$106,BI29)</f>
        <v>0</v>
      </c>
      <c r="BK29" s="6">
        <f>+COUNTIFS('Inputs summary'!J$2:K$106,BI29)</f>
        <v>0</v>
      </c>
      <c r="BL29" s="6">
        <f>+COUNTIFS('Inputs summary'!L$2:L$106,BI29)</f>
        <v>3</v>
      </c>
      <c r="BM29" s="6">
        <f t="shared" si="19"/>
        <v>-7</v>
      </c>
      <c r="BN29" s="6">
        <f>+SUMIF('Inputs summary'!$B$1:$B$106,$BI29,'Inputs summary'!$C$1:$C$106)+SUMIF('Inputs summary'!$E$1:$E$106,$BI29,'Inputs summary'!$D$1:$D$106)</f>
        <v>0</v>
      </c>
      <c r="BO29" s="6">
        <f>+SUMIF('Inputs summary'!$B$1:$B$106,$BI29,'Inputs summary'!$D$1:$D$106)+SUMIF('Inputs summary'!$E$1:$E$106,$BI29,'Inputs summary'!$C$1:$C$106)</f>
        <v>7</v>
      </c>
      <c r="BP29" s="166">
        <f t="shared" si="12"/>
        <v>-6.9951500000000014E-2</v>
      </c>
    </row>
    <row r="30" spans="7:68" x14ac:dyDescent="0.2">
      <c r="G30">
        <v>27</v>
      </c>
      <c r="H30" t="str">
        <f>+'Groups Stage'!O59</f>
        <v>Belgica</v>
      </c>
      <c r="I30" s="6">
        <f t="shared" si="0"/>
        <v>0</v>
      </c>
      <c r="J30" s="6">
        <f t="shared" si="1"/>
        <v>0</v>
      </c>
      <c r="K30" s="6">
        <f t="shared" si="2"/>
        <v>0</v>
      </c>
      <c r="L30" s="6">
        <f t="shared" si="3"/>
        <v>0</v>
      </c>
      <c r="M30" s="6">
        <f t="shared" si="4"/>
        <v>0</v>
      </c>
      <c r="N30" s="6">
        <f t="shared" si="5"/>
        <v>1</v>
      </c>
      <c r="O30" s="6">
        <f t="shared" si="6"/>
        <v>1</v>
      </c>
      <c r="P30" s="6">
        <f t="shared" si="13"/>
        <v>2</v>
      </c>
      <c r="Q30" s="6">
        <f>+COUNTIFS('Inputs summary'!I:I,$H30)</f>
        <v>4</v>
      </c>
      <c r="R30" s="6">
        <f>+COUNTIFS('Inputs summary'!J:K,$H30)</f>
        <v>0</v>
      </c>
      <c r="S30" s="6">
        <f>+COUNTIFS('Inputs summary'!L:L,$H30)</f>
        <v>1</v>
      </c>
      <c r="T30" s="6">
        <f t="shared" si="14"/>
        <v>8</v>
      </c>
      <c r="U30" s="6">
        <f>+SUMIF('Inputs summary'!B:B,H30,'Inputs summary'!C:C)+SUMIF('Inputs summary'!E:E,H30,'Inputs summary'!D:D)</f>
        <v>12</v>
      </c>
      <c r="V30" s="6">
        <f>+SUMIF('Inputs summary'!B:B,H30,'Inputs summary'!D:D)+SUMIF('Inputs summary'!E:E,H30,'Inputs summary'!C:C)</f>
        <v>4</v>
      </c>
      <c r="W30" s="159">
        <f t="shared" si="15"/>
        <v>212.08120000111114</v>
      </c>
      <c r="X30" s="173">
        <f t="shared" si="16"/>
        <v>11</v>
      </c>
      <c r="Y30" s="167">
        <f t="shared" si="7"/>
        <v>1</v>
      </c>
      <c r="Z30" s="173">
        <f t="shared" si="17"/>
        <v>212.08120100111114</v>
      </c>
      <c r="AA30" s="173">
        <f>+_xlfn.XLOOKUP(H30,'Ranking FIFA'!B:B,'Ranking FIFA'!A:A,"--",0)</f>
        <v>9</v>
      </c>
      <c r="AI30" t="str">
        <f>+'Round of 32 &amp; Round of 16'!H25</f>
        <v>Argentina</v>
      </c>
      <c r="AP30" s="457">
        <f>+_xlfn.XLOOKUP(AQ30,'Ranking FIFA'!B:B,'Ranking FIFA'!A:A,"--",0)</f>
        <v>28</v>
      </c>
      <c r="AQ30" t="s">
        <v>74</v>
      </c>
      <c r="AR30" s="6">
        <v>3</v>
      </c>
      <c r="AT30" s="169">
        <f t="shared" si="8"/>
        <v>1</v>
      </c>
      <c r="AU30" s="166">
        <f t="shared" si="9"/>
        <v>102.96030000035714</v>
      </c>
      <c r="BH30">
        <v>27</v>
      </c>
      <c r="BI30" t="str">
        <f t="shared" si="11"/>
        <v>Belgica</v>
      </c>
      <c r="BJ30" s="6">
        <f>+COUNTIFS('Inputs summary'!I$2:I$106,BI30)</f>
        <v>3</v>
      </c>
      <c r="BK30" s="6">
        <f>+COUNTIFS('Inputs summary'!J$2:K$106,BI30)</f>
        <v>0</v>
      </c>
      <c r="BL30" s="6">
        <f>+COUNTIFS('Inputs summary'!L$2:L$106,BI30)</f>
        <v>0</v>
      </c>
      <c r="BM30" s="6">
        <f t="shared" si="19"/>
        <v>8</v>
      </c>
      <c r="BN30" s="6">
        <f>+SUMIF('Inputs summary'!$B$1:$B$106,$BI30,'Inputs summary'!$C$1:$C$106)+SUMIF('Inputs summary'!$E$1:$E$106,$BI30,'Inputs summary'!$D$1:$D$106)</f>
        <v>9</v>
      </c>
      <c r="BO30" s="6">
        <f>+SUMIF('Inputs summary'!$B$1:$B$106,$BI30,'Inputs summary'!$D$1:$D$106)+SUMIF('Inputs summary'!$E$1:$E$106,$BI30,'Inputs summary'!$C$1:$C$106)</f>
        <v>1</v>
      </c>
      <c r="BP30" s="166">
        <f t="shared" si="12"/>
        <v>9.0890108999999999</v>
      </c>
    </row>
    <row r="31" spans="7:68" x14ac:dyDescent="0.2">
      <c r="G31">
        <v>28</v>
      </c>
      <c r="H31" t="str">
        <f>+'Groups Stage'!O60</f>
        <v>Egipto</v>
      </c>
      <c r="I31" s="6">
        <f t="shared" si="0"/>
        <v>0</v>
      </c>
      <c r="J31" s="6">
        <f t="shared" si="1"/>
        <v>0</v>
      </c>
      <c r="K31" s="6">
        <f t="shared" si="2"/>
        <v>0</v>
      </c>
      <c r="L31" s="6">
        <f t="shared" si="3"/>
        <v>0</v>
      </c>
      <c r="M31" s="6">
        <f t="shared" si="4"/>
        <v>0</v>
      </c>
      <c r="N31" s="6">
        <f t="shared" si="5"/>
        <v>0</v>
      </c>
      <c r="O31" s="6">
        <f t="shared" si="6"/>
        <v>1</v>
      </c>
      <c r="P31" s="6">
        <f t="shared" si="13"/>
        <v>1</v>
      </c>
      <c r="Q31" s="6">
        <f>+COUNTIFS('Inputs summary'!I:I,$H31)</f>
        <v>1</v>
      </c>
      <c r="R31" s="6">
        <f>+COUNTIFS('Inputs summary'!J:K,$H31)</f>
        <v>1</v>
      </c>
      <c r="S31" s="6">
        <f>+COUNTIFS('Inputs summary'!L:L,$H31)</f>
        <v>2</v>
      </c>
      <c r="T31" s="6">
        <f t="shared" si="14"/>
        <v>0</v>
      </c>
      <c r="U31" s="6">
        <f>+SUMIF('Inputs summary'!B:B,H31,'Inputs summary'!C:C)+SUMIF('Inputs summary'!E:E,H31,'Inputs summary'!D:D)</f>
        <v>5</v>
      </c>
      <c r="V31" s="6">
        <f>+SUMIF('Inputs summary'!B:B,H31,'Inputs summary'!D:D)+SUMIF('Inputs summary'!E:E,H31,'Inputs summary'!C:C)</f>
        <v>5</v>
      </c>
      <c r="W31" s="159">
        <f t="shared" si="15"/>
        <v>104.00050000034483</v>
      </c>
      <c r="X31" s="173">
        <f t="shared" si="16"/>
        <v>1</v>
      </c>
      <c r="Y31" s="167">
        <f t="shared" si="7"/>
        <v>3</v>
      </c>
      <c r="Z31" s="173">
        <f t="shared" si="17"/>
        <v>104.00050033367816</v>
      </c>
      <c r="AA31" s="173">
        <f>+_xlfn.XLOOKUP(H31,'Ranking FIFA'!B:B,'Ranking FIFA'!A:A,"--",0)</f>
        <v>29</v>
      </c>
      <c r="AI31" t="str">
        <f>+'Round of 32 &amp; Round of 16'!K25</f>
        <v>Uruguay</v>
      </c>
      <c r="AP31" s="457">
        <f>+_xlfn.XLOOKUP(AQ31,'Ranking FIFA'!B:B,'Ranking FIFA'!A:A,"--",0)</f>
        <v>29</v>
      </c>
      <c r="AQ31" t="s">
        <v>75</v>
      </c>
      <c r="AR31" s="6">
        <v>3</v>
      </c>
      <c r="AT31" s="169">
        <f t="shared" si="8"/>
        <v>1</v>
      </c>
      <c r="AU31" s="166">
        <f t="shared" si="9"/>
        <v>104.00050000034483</v>
      </c>
      <c r="BH31">
        <v>28</v>
      </c>
      <c r="BI31" t="str">
        <f t="shared" si="11"/>
        <v>Egipto</v>
      </c>
      <c r="BJ31" s="6">
        <f>+COUNTIFS('Inputs summary'!I$2:I$106,BI31)</f>
        <v>1</v>
      </c>
      <c r="BK31" s="6">
        <f>+COUNTIFS('Inputs summary'!J$2:K$106,BI31)</f>
        <v>1</v>
      </c>
      <c r="BL31" s="6">
        <f>+COUNTIFS('Inputs summary'!L$2:L$106,BI31)</f>
        <v>1</v>
      </c>
      <c r="BM31" s="6">
        <f t="shared" si="19"/>
        <v>1</v>
      </c>
      <c r="BN31" s="6">
        <f>+SUMIF('Inputs summary'!$B$1:$B$106,$BI31,'Inputs summary'!$C$1:$C$106)+SUMIF('Inputs summary'!$E$1:$E$106,$BI31,'Inputs summary'!$D$1:$D$106)</f>
        <v>4</v>
      </c>
      <c r="BO31" s="6">
        <f>+SUMIF('Inputs summary'!$B$1:$B$106,$BI31,'Inputs summary'!$D$1:$D$106)+SUMIF('Inputs summary'!$E$1:$E$106,$BI31,'Inputs summary'!$C$1:$C$106)</f>
        <v>3</v>
      </c>
      <c r="BP31" s="166">
        <f t="shared" si="12"/>
        <v>5.0140328999999992</v>
      </c>
    </row>
    <row r="32" spans="7:68" x14ac:dyDescent="0.2">
      <c r="G32">
        <v>29</v>
      </c>
      <c r="H32" t="str">
        <f>+'Groups Stage'!O66</f>
        <v>España</v>
      </c>
      <c r="I32" s="6">
        <f t="shared" si="0"/>
        <v>0</v>
      </c>
      <c r="J32" s="6">
        <f t="shared" si="1"/>
        <v>0</v>
      </c>
      <c r="K32" s="6">
        <f t="shared" si="2"/>
        <v>0</v>
      </c>
      <c r="L32" s="6">
        <f t="shared" si="3"/>
        <v>0</v>
      </c>
      <c r="M32" s="6">
        <f t="shared" si="4"/>
        <v>0</v>
      </c>
      <c r="N32" s="6">
        <f t="shared" si="5"/>
        <v>1</v>
      </c>
      <c r="O32" s="6">
        <f t="shared" si="6"/>
        <v>1</v>
      </c>
      <c r="P32" s="6">
        <f t="shared" si="13"/>
        <v>2</v>
      </c>
      <c r="Q32" s="6">
        <f>+COUNTIFS('Inputs summary'!I:I,$H32)</f>
        <v>3</v>
      </c>
      <c r="R32" s="6">
        <f>+COUNTIFS('Inputs summary'!J:K,$H32)</f>
        <v>1</v>
      </c>
      <c r="S32" s="6">
        <f>+COUNTIFS('Inputs summary'!L:L,$H32)</f>
        <v>1</v>
      </c>
      <c r="T32" s="6">
        <f t="shared" si="14"/>
        <v>6</v>
      </c>
      <c r="U32" s="6">
        <f>+SUMIF('Inputs summary'!B:B,H32,'Inputs summary'!C:C)+SUMIF('Inputs summary'!E:E,H32,'Inputs summary'!D:D)</f>
        <v>10</v>
      </c>
      <c r="V32" s="6">
        <f>+SUMIF('Inputs summary'!B:B,H32,'Inputs summary'!D:D)+SUMIF('Inputs summary'!E:E,H32,'Inputs summary'!C:C)</f>
        <v>4</v>
      </c>
      <c r="W32" s="159">
        <f t="shared" si="15"/>
        <v>210.06100000500001</v>
      </c>
      <c r="X32" s="173">
        <f t="shared" si="16"/>
        <v>11</v>
      </c>
      <c r="Y32" s="167">
        <f t="shared" si="7"/>
        <v>1</v>
      </c>
      <c r="Z32" s="173">
        <f t="shared" si="17"/>
        <v>210.06100100500001</v>
      </c>
      <c r="AA32" s="173">
        <f>+_xlfn.XLOOKUP(H32,'Ranking FIFA'!B:B,'Ranking FIFA'!A:A,"--",0)</f>
        <v>2</v>
      </c>
      <c r="AI32" t="str">
        <f>+'Round of 32 &amp; Round of 16'!H29</f>
        <v>Portugal</v>
      </c>
      <c r="AP32" s="457">
        <f>+_xlfn.XLOOKUP(AQ32,'Ranking FIFA'!B:B,'Ranking FIFA'!A:A,"--",0)</f>
        <v>30</v>
      </c>
      <c r="AQ32" t="s">
        <v>76</v>
      </c>
      <c r="AR32" s="6">
        <v>3</v>
      </c>
      <c r="AT32" s="169">
        <f t="shared" si="8"/>
        <v>11</v>
      </c>
      <c r="AU32" s="166">
        <f t="shared" si="9"/>
        <v>210.05090000033334</v>
      </c>
      <c r="BH32">
        <v>29</v>
      </c>
      <c r="BI32" t="str">
        <f t="shared" si="11"/>
        <v>España</v>
      </c>
      <c r="BJ32" s="6">
        <f>+COUNTIFS('Inputs summary'!I$2:I$106,BI32)</f>
        <v>2</v>
      </c>
      <c r="BK32" s="6">
        <f>+COUNTIFS('Inputs summary'!J$2:K$106,BI32)</f>
        <v>1</v>
      </c>
      <c r="BL32" s="6">
        <f>+COUNTIFS('Inputs summary'!L$2:L$106,BI32)</f>
        <v>0</v>
      </c>
      <c r="BM32" s="6">
        <f t="shared" si="19"/>
        <v>6</v>
      </c>
      <c r="BN32" s="6">
        <f>+SUMIF('Inputs summary'!$B$1:$B$106,$BI32,'Inputs summary'!$C$1:$C$106)+SUMIF('Inputs summary'!$E$1:$E$106,$BI32,'Inputs summary'!$D$1:$D$106)</f>
        <v>7</v>
      </c>
      <c r="BO32" s="6">
        <f>+SUMIF('Inputs summary'!$B$1:$B$106,$BI32,'Inputs summary'!$D$1:$D$106)+SUMIF('Inputs summary'!$E$1:$E$106,$BI32,'Inputs summary'!$C$1:$C$106)</f>
        <v>1</v>
      </c>
      <c r="BP32" s="166">
        <f t="shared" si="12"/>
        <v>8.0670102000000004</v>
      </c>
    </row>
    <row r="33" spans="7:68" x14ac:dyDescent="0.2">
      <c r="G33">
        <v>30</v>
      </c>
      <c r="H33" t="str">
        <f>+'Groups Stage'!O67</f>
        <v>Cabo Verde</v>
      </c>
      <c r="I33" s="6">
        <f t="shared" si="0"/>
        <v>0</v>
      </c>
      <c r="J33" s="6">
        <f t="shared" si="1"/>
        <v>0</v>
      </c>
      <c r="K33" s="6">
        <f t="shared" si="2"/>
        <v>0</v>
      </c>
      <c r="L33" s="6">
        <f t="shared" si="3"/>
        <v>0</v>
      </c>
      <c r="M33" s="6">
        <f t="shared" si="4"/>
        <v>0</v>
      </c>
      <c r="N33" s="6">
        <f t="shared" si="5"/>
        <v>0</v>
      </c>
      <c r="O33" s="6">
        <f t="shared" si="6"/>
        <v>0</v>
      </c>
      <c r="P33" s="6">
        <f t="shared" si="13"/>
        <v>0</v>
      </c>
      <c r="Q33" s="6">
        <f>+COUNTIFS('Inputs summary'!I:I,$H33)</f>
        <v>1</v>
      </c>
      <c r="R33" s="6">
        <f>+COUNTIFS('Inputs summary'!J:K,$H33)</f>
        <v>0</v>
      </c>
      <c r="S33" s="6">
        <f>+COUNTIFS('Inputs summary'!L:L,$H33)</f>
        <v>2</v>
      </c>
      <c r="T33" s="6">
        <f t="shared" si="14"/>
        <v>-4</v>
      </c>
      <c r="U33" s="6">
        <f>+SUMIF('Inputs summary'!B:B,H33,'Inputs summary'!C:C)+SUMIF('Inputs summary'!E:E,H33,'Inputs summary'!D:D)</f>
        <v>1</v>
      </c>
      <c r="V33" s="6">
        <f>+SUMIF('Inputs summary'!B:B,H33,'Inputs summary'!D:D)+SUMIF('Inputs summary'!E:E,H33,'Inputs summary'!C:C)</f>
        <v>5</v>
      </c>
      <c r="W33" s="159">
        <f t="shared" si="15"/>
        <v>2.9601000001449278</v>
      </c>
      <c r="X33" s="173">
        <f t="shared" si="16"/>
        <v>0</v>
      </c>
      <c r="Y33" s="167">
        <f t="shared" si="7"/>
        <v>4</v>
      </c>
      <c r="Z33" s="173">
        <f t="shared" si="17"/>
        <v>2.9601002501449276</v>
      </c>
      <c r="AA33" s="173">
        <f>+_xlfn.XLOOKUP(H33,'Ranking FIFA'!B:B,'Ranking FIFA'!A:A,"--",0)</f>
        <v>69</v>
      </c>
      <c r="AI33" t="str">
        <f>+'Round of 32 &amp; Round of 16'!K29</f>
        <v>Ghana</v>
      </c>
      <c r="AP33" s="457">
        <f>+_xlfn.XLOOKUP(AQ33,'Ranking FIFA'!B:B,'Ranking FIFA'!A:A,"--",0)</f>
        <v>33</v>
      </c>
      <c r="AQ33" t="s">
        <v>77</v>
      </c>
      <c r="AR33" s="6">
        <v>3</v>
      </c>
      <c r="AT33" s="169">
        <f t="shared" si="8"/>
        <v>0</v>
      </c>
      <c r="AU33" s="166">
        <f t="shared" si="9"/>
        <v>-8.9999999696969687E-2</v>
      </c>
      <c r="BH33">
        <v>30</v>
      </c>
      <c r="BI33" t="str">
        <f t="shared" si="11"/>
        <v>Cabo Verde</v>
      </c>
      <c r="BJ33" s="6">
        <f>+COUNTIFS('Inputs summary'!I$2:I$106,BI33)</f>
        <v>1</v>
      </c>
      <c r="BK33" s="6">
        <f>+COUNTIFS('Inputs summary'!J$2:K$106,BI33)</f>
        <v>0</v>
      </c>
      <c r="BL33" s="6">
        <f>+COUNTIFS('Inputs summary'!L$2:L$106,BI33)</f>
        <v>2</v>
      </c>
      <c r="BM33" s="6">
        <f t="shared" si="19"/>
        <v>-4</v>
      </c>
      <c r="BN33" s="6">
        <f>+SUMIF('Inputs summary'!$B$1:$B$106,$BI33,'Inputs summary'!$C$1:$C$106)+SUMIF('Inputs summary'!$E$1:$E$106,$BI33,'Inputs summary'!$D$1:$D$106)</f>
        <v>1</v>
      </c>
      <c r="BO33" s="6">
        <f>+SUMIF('Inputs summary'!$B$1:$B$106,$BI33,'Inputs summary'!$D$1:$D$106)+SUMIF('Inputs summary'!$E$1:$E$106,$BI33,'Inputs summary'!$C$1:$C$106)</f>
        <v>5</v>
      </c>
      <c r="BP33" s="166">
        <f t="shared" si="12"/>
        <v>2.9610468999999995</v>
      </c>
    </row>
    <row r="34" spans="7:68" x14ac:dyDescent="0.2">
      <c r="G34">
        <v>31</v>
      </c>
      <c r="H34" t="str">
        <f>+'Groups Stage'!O68</f>
        <v>Arabia Saudita</v>
      </c>
      <c r="I34" s="6">
        <f t="shared" si="0"/>
        <v>0</v>
      </c>
      <c r="J34" s="6">
        <f t="shared" si="1"/>
        <v>0</v>
      </c>
      <c r="K34" s="6">
        <f t="shared" si="2"/>
        <v>0</v>
      </c>
      <c r="L34" s="6">
        <f t="shared" si="3"/>
        <v>0</v>
      </c>
      <c r="M34" s="6">
        <f t="shared" si="4"/>
        <v>0</v>
      </c>
      <c r="N34" s="6">
        <f t="shared" si="5"/>
        <v>0</v>
      </c>
      <c r="O34" s="6">
        <f t="shared" si="6"/>
        <v>0</v>
      </c>
      <c r="P34" s="6">
        <f t="shared" si="13"/>
        <v>0</v>
      </c>
      <c r="Q34" s="6">
        <f>+COUNTIFS('Inputs summary'!I:I,$H34)</f>
        <v>0</v>
      </c>
      <c r="R34" s="6">
        <f>+COUNTIFS('Inputs summary'!J:K,$H34)</f>
        <v>0</v>
      </c>
      <c r="S34" s="6">
        <f>+COUNTIFS('Inputs summary'!L:L,$H34)</f>
        <v>3</v>
      </c>
      <c r="T34" s="6">
        <f t="shared" si="14"/>
        <v>-6</v>
      </c>
      <c r="U34" s="6">
        <f>+SUMIF('Inputs summary'!B:B,H34,'Inputs summary'!C:C)+SUMIF('Inputs summary'!E:E,H34,'Inputs summary'!D:D)</f>
        <v>0</v>
      </c>
      <c r="V34" s="6">
        <f>+SUMIF('Inputs summary'!B:B,H34,'Inputs summary'!D:D)+SUMIF('Inputs summary'!E:E,H34,'Inputs summary'!C:C)</f>
        <v>6</v>
      </c>
      <c r="W34" s="159">
        <f t="shared" si="15"/>
        <v>-5.9999999836065569E-2</v>
      </c>
      <c r="X34" s="173">
        <f t="shared" si="16"/>
        <v>0</v>
      </c>
      <c r="Y34" s="167">
        <f t="shared" si="7"/>
        <v>3</v>
      </c>
      <c r="Z34" s="173">
        <f t="shared" si="17"/>
        <v>-5.9999666502732238E-2</v>
      </c>
      <c r="AA34" s="173">
        <f>+_xlfn.XLOOKUP(H34,'Ranking FIFA'!B:B,'Ranking FIFA'!A:A,"--",0)</f>
        <v>61</v>
      </c>
      <c r="AI34" t="str">
        <f>+'Round of 32 &amp; Round of 16'!H33</f>
        <v>Turquia</v>
      </c>
      <c r="AP34" s="457">
        <f>+_xlfn.XLOOKUP(AQ34,'Ranking FIFA'!B:B,'Ranking FIFA'!A:A,"--",0)</f>
        <v>34</v>
      </c>
      <c r="AQ34" t="s">
        <v>78</v>
      </c>
      <c r="AR34" s="6">
        <v>3</v>
      </c>
      <c r="AT34" s="169">
        <f t="shared" si="8"/>
        <v>1</v>
      </c>
      <c r="AU34" s="166">
        <f t="shared" si="9"/>
        <v>102.98040000029413</v>
      </c>
      <c r="BH34">
        <v>31</v>
      </c>
      <c r="BI34" t="str">
        <f t="shared" si="11"/>
        <v>Arabia Saudita</v>
      </c>
      <c r="BJ34" s="6">
        <f>+COUNTIFS('Inputs summary'!I$2:I$106,BI34)</f>
        <v>0</v>
      </c>
      <c r="BK34" s="6">
        <f>+COUNTIFS('Inputs summary'!J$2:K$106,BI34)</f>
        <v>0</v>
      </c>
      <c r="BL34" s="6">
        <f>+COUNTIFS('Inputs summary'!L$2:L$106,BI34)</f>
        <v>3</v>
      </c>
      <c r="BM34" s="6">
        <f t="shared" si="19"/>
        <v>-6</v>
      </c>
      <c r="BN34" s="6">
        <f>+SUMIF('Inputs summary'!$B$1:$B$106,$BI34,'Inputs summary'!$C$1:$C$106)+SUMIF('Inputs summary'!$E$1:$E$106,$BI34,'Inputs summary'!$D$1:$D$106)</f>
        <v>0</v>
      </c>
      <c r="BO34" s="6">
        <f>+SUMIF('Inputs summary'!$B$1:$B$106,$BI34,'Inputs summary'!$D$1:$D$106)+SUMIF('Inputs summary'!$E$1:$E$106,$BI34,'Inputs summary'!$C$1:$C$106)</f>
        <v>6</v>
      </c>
      <c r="BP34" s="166">
        <f t="shared" si="12"/>
        <v>-5.9963899999999994E-2</v>
      </c>
    </row>
    <row r="35" spans="7:68" x14ac:dyDescent="0.2">
      <c r="G35">
        <v>32</v>
      </c>
      <c r="H35" t="str">
        <f>+'Groups Stage'!O69</f>
        <v>Uruguay</v>
      </c>
      <c r="I35" s="6">
        <f t="shared" si="0"/>
        <v>0</v>
      </c>
      <c r="J35" s="6">
        <f t="shared" si="1"/>
        <v>0</v>
      </c>
      <c r="K35" s="6">
        <f t="shared" si="2"/>
        <v>0</v>
      </c>
      <c r="L35" s="6">
        <f t="shared" si="3"/>
        <v>0</v>
      </c>
      <c r="M35" s="6">
        <f t="shared" si="4"/>
        <v>0</v>
      </c>
      <c r="N35" s="6">
        <f t="shared" si="5"/>
        <v>0</v>
      </c>
      <c r="O35" s="6">
        <f t="shared" si="6"/>
        <v>1</v>
      </c>
      <c r="P35" s="6">
        <f t="shared" si="13"/>
        <v>1</v>
      </c>
      <c r="Q35" s="6">
        <f>+COUNTIFS('Inputs summary'!I:I,$H35)</f>
        <v>2</v>
      </c>
      <c r="R35" s="6">
        <f>+COUNTIFS('Inputs summary'!J:K,$H35)</f>
        <v>1</v>
      </c>
      <c r="S35" s="6">
        <f>+COUNTIFS('Inputs summary'!L:L,$H35)</f>
        <v>1</v>
      </c>
      <c r="T35" s="6">
        <f t="shared" si="14"/>
        <v>3</v>
      </c>
      <c r="U35" s="6">
        <f>+SUMIF('Inputs summary'!B:B,H35,'Inputs summary'!C:C)+SUMIF('Inputs summary'!E:E,H35,'Inputs summary'!D:D)</f>
        <v>5</v>
      </c>
      <c r="V35" s="6">
        <f>+SUMIF('Inputs summary'!B:B,H35,'Inputs summary'!D:D)+SUMIF('Inputs summary'!E:E,H35,'Inputs summary'!C:C)</f>
        <v>2</v>
      </c>
      <c r="W35" s="159">
        <f t="shared" si="15"/>
        <v>107.03050000058823</v>
      </c>
      <c r="X35" s="173">
        <f t="shared" si="16"/>
        <v>1</v>
      </c>
      <c r="Y35" s="167">
        <f t="shared" si="7"/>
        <v>1</v>
      </c>
      <c r="Z35" s="173">
        <f t="shared" si="17"/>
        <v>107.03050100058823</v>
      </c>
      <c r="AA35" s="173">
        <f>+_xlfn.XLOOKUP(H35,'Ranking FIFA'!B:B,'Ranking FIFA'!A:A,"--",0)</f>
        <v>17</v>
      </c>
      <c r="AI35" t="str">
        <f>+'Round of 32 &amp; Round of 16'!K33</f>
        <v>Egipto</v>
      </c>
      <c r="AP35" s="457">
        <f>+_xlfn.XLOOKUP(AQ35,'Ranking FIFA'!B:B,'Ranking FIFA'!A:A,"--",0)</f>
        <v>41</v>
      </c>
      <c r="AQ35" s="456" t="s">
        <v>79</v>
      </c>
      <c r="AR35" s="6">
        <v>3</v>
      </c>
      <c r="AT35" s="169">
        <f t="shared" si="8"/>
        <v>1</v>
      </c>
      <c r="AU35" s="166">
        <f t="shared" si="9"/>
        <v>105.0003000002439</v>
      </c>
      <c r="BH35">
        <v>32</v>
      </c>
      <c r="BI35" t="str">
        <f t="shared" si="11"/>
        <v>Uruguay</v>
      </c>
      <c r="BJ35" s="6">
        <f>+COUNTIFS('Inputs summary'!I$2:I$106,BI35)</f>
        <v>2</v>
      </c>
      <c r="BK35" s="6">
        <f>+COUNTIFS('Inputs summary'!J$2:K$106,BI35)</f>
        <v>1</v>
      </c>
      <c r="BL35" s="6">
        <f>+COUNTIFS('Inputs summary'!L$2:L$106,BI35)</f>
        <v>0</v>
      </c>
      <c r="BM35" s="6">
        <f t="shared" si="19"/>
        <v>4</v>
      </c>
      <c r="BN35" s="6">
        <f>+SUMIF('Inputs summary'!$B$1:$B$106,$BI35,'Inputs summary'!$C$1:$C$106)+SUMIF('Inputs summary'!$E$1:$E$106,$BI35,'Inputs summary'!$D$1:$D$106)</f>
        <v>5</v>
      </c>
      <c r="BO35" s="6">
        <f>+SUMIF('Inputs summary'!$B$1:$B$106,$BI35,'Inputs summary'!$D$1:$D$106)+SUMIF('Inputs summary'!$E$1:$E$106,$BI35,'Inputs summary'!$C$1:$C$106)</f>
        <v>1</v>
      </c>
      <c r="BP35" s="166">
        <f t="shared" si="12"/>
        <v>8.0450116999999999</v>
      </c>
    </row>
    <row r="36" spans="7:68" x14ac:dyDescent="0.2">
      <c r="G36">
        <v>33</v>
      </c>
      <c r="H36" t="str">
        <f>+'Groups Stage'!O75</f>
        <v>Francia</v>
      </c>
      <c r="I36" s="6">
        <f t="shared" si="0"/>
        <v>0</v>
      </c>
      <c r="J36" s="6">
        <f t="shared" si="1"/>
        <v>2</v>
      </c>
      <c r="K36" s="6">
        <f t="shared" si="2"/>
        <v>0</v>
      </c>
      <c r="L36" s="6">
        <f t="shared" si="3"/>
        <v>1</v>
      </c>
      <c r="M36" s="6">
        <f t="shared" si="4"/>
        <v>1</v>
      </c>
      <c r="N36" s="6">
        <f t="shared" si="5"/>
        <v>1</v>
      </c>
      <c r="O36" s="6">
        <f t="shared" si="6"/>
        <v>1</v>
      </c>
      <c r="P36" s="6">
        <f t="shared" si="13"/>
        <v>6</v>
      </c>
      <c r="Q36" s="6">
        <f>+COUNTIFS('Inputs summary'!I:I,$H36)</f>
        <v>7</v>
      </c>
      <c r="R36" s="6">
        <f>+COUNTIFS('Inputs summary'!J:K,$H36)</f>
        <v>0</v>
      </c>
      <c r="S36" s="6">
        <f>+COUNTIFS('Inputs summary'!L:L,$H36)</f>
        <v>1</v>
      </c>
      <c r="T36" s="6">
        <f t="shared" si="14"/>
        <v>11</v>
      </c>
      <c r="U36" s="6">
        <f>+SUMIF('Inputs summary'!B:B,H36,'Inputs summary'!C:C)+SUMIF('Inputs summary'!E:E,H36,'Inputs summary'!D:D)</f>
        <v>16</v>
      </c>
      <c r="V36" s="6">
        <f>+SUMIF('Inputs summary'!B:B,H36,'Inputs summary'!D:D)+SUMIF('Inputs summary'!E:E,H36,'Inputs summary'!C:C)</f>
        <v>5</v>
      </c>
      <c r="W36" s="159">
        <f t="shared" si="15"/>
        <v>621.11160001000007</v>
      </c>
      <c r="X36" s="173">
        <f t="shared" si="16"/>
        <v>201111</v>
      </c>
      <c r="Y36" s="167">
        <f t="shared" si="7"/>
        <v>1</v>
      </c>
      <c r="Z36" s="173">
        <f t="shared" si="17"/>
        <v>621.11160101000007</v>
      </c>
      <c r="AA36" s="173">
        <f>+_xlfn.XLOOKUP(H36,'Ranking FIFA'!B:B,'Ranking FIFA'!A:A,"--",0)</f>
        <v>1</v>
      </c>
      <c r="AP36" s="457">
        <f>+_xlfn.XLOOKUP(AQ36,'Ranking FIFA'!B:B,'Ranking FIFA'!A:A,"--",0)</f>
        <v>43</v>
      </c>
      <c r="AQ36" t="s">
        <v>80</v>
      </c>
      <c r="AR36" s="6">
        <v>3</v>
      </c>
      <c r="AT36" s="169">
        <f t="shared" si="8"/>
        <v>0</v>
      </c>
      <c r="AU36" s="166">
        <f t="shared" si="9"/>
        <v>2.9802000002325579</v>
      </c>
      <c r="BH36">
        <v>33</v>
      </c>
      <c r="BI36" t="str">
        <f t="shared" si="11"/>
        <v>Francia</v>
      </c>
      <c r="BJ36" s="6">
        <f>+COUNTIFS('Inputs summary'!I$2:I$106,BI36)</f>
        <v>3</v>
      </c>
      <c r="BK36" s="6">
        <f>+COUNTIFS('Inputs summary'!J$2:K$106,BI36)</f>
        <v>0</v>
      </c>
      <c r="BL36" s="6">
        <f>+COUNTIFS('Inputs summary'!L$2:L$106,BI36)</f>
        <v>0</v>
      </c>
      <c r="BM36" s="6">
        <f t="shared" si="19"/>
        <v>6</v>
      </c>
      <c r="BN36" s="6">
        <f>+SUMIF('Inputs summary'!$B$1:$B$106,$BI36,'Inputs summary'!$C$1:$C$106)+SUMIF('Inputs summary'!$E$1:$E$106,$BI36,'Inputs summary'!$D$1:$D$106)</f>
        <v>8</v>
      </c>
      <c r="BO36" s="6">
        <f>+SUMIF('Inputs summary'!$B$1:$B$106,$BI36,'Inputs summary'!$D$1:$D$106)+SUMIF('Inputs summary'!$E$1:$E$106,$BI36,'Inputs summary'!$C$1:$C$106)</f>
        <v>2</v>
      </c>
      <c r="BP36" s="166">
        <f t="shared" si="12"/>
        <v>9.0680100999999986</v>
      </c>
    </row>
    <row r="37" spans="7:68" x14ac:dyDescent="0.2">
      <c r="G37">
        <v>34</v>
      </c>
      <c r="H37" t="str">
        <f>+'Groups Stage'!O76</f>
        <v>Senegal</v>
      </c>
      <c r="I37" s="6">
        <f t="shared" si="0"/>
        <v>0</v>
      </c>
      <c r="J37" s="6">
        <f t="shared" si="1"/>
        <v>0</v>
      </c>
      <c r="K37" s="6">
        <f t="shared" si="2"/>
        <v>0</v>
      </c>
      <c r="L37" s="6">
        <f t="shared" si="3"/>
        <v>0</v>
      </c>
      <c r="M37" s="6">
        <f t="shared" si="4"/>
        <v>0</v>
      </c>
      <c r="N37" s="6">
        <f t="shared" si="5"/>
        <v>0</v>
      </c>
      <c r="O37" s="6">
        <f t="shared" si="6"/>
        <v>1</v>
      </c>
      <c r="P37" s="6">
        <f t="shared" si="13"/>
        <v>1</v>
      </c>
      <c r="Q37" s="6">
        <f>+COUNTIFS('Inputs summary'!I:I,$H37)</f>
        <v>1</v>
      </c>
      <c r="R37" s="6">
        <f>+COUNTIFS('Inputs summary'!J:K,$H37)</f>
        <v>1</v>
      </c>
      <c r="S37" s="6">
        <f>+COUNTIFS('Inputs summary'!L:L,$H37)</f>
        <v>2</v>
      </c>
      <c r="T37" s="6">
        <f t="shared" si="14"/>
        <v>-1</v>
      </c>
      <c r="U37" s="6">
        <f>+SUMIF('Inputs summary'!B:B,H37,'Inputs summary'!C:C)+SUMIF('Inputs summary'!E:E,H37,'Inputs summary'!D:D)</f>
        <v>4</v>
      </c>
      <c r="V37" s="6">
        <f>+SUMIF('Inputs summary'!B:B,H37,'Inputs summary'!D:D)+SUMIF('Inputs summary'!E:E,H37,'Inputs summary'!C:C)</f>
        <v>5</v>
      </c>
      <c r="W37" s="159">
        <f t="shared" si="15"/>
        <v>103.99040000071427</v>
      </c>
      <c r="X37" s="173">
        <f t="shared" si="16"/>
        <v>1</v>
      </c>
      <c r="Y37" s="167">
        <f t="shared" si="7"/>
        <v>2</v>
      </c>
      <c r="Z37" s="173">
        <f t="shared" si="17"/>
        <v>103.99040050071427</v>
      </c>
      <c r="AA37" s="173">
        <f>+_xlfn.XLOOKUP(H37,'Ranking FIFA'!B:B,'Ranking FIFA'!A:A,"--",0)</f>
        <v>14</v>
      </c>
      <c r="AP37" s="457">
        <f>+_xlfn.XLOOKUP(AQ37,'Ranking FIFA'!B:B,'Ranking FIFA'!A:A,"--",0)</f>
        <v>44</v>
      </c>
      <c r="AQ37" t="s">
        <v>81</v>
      </c>
      <c r="AR37" s="6">
        <v>3</v>
      </c>
      <c r="AT37" s="169">
        <f t="shared" si="8"/>
        <v>0</v>
      </c>
      <c r="AU37" s="166">
        <f t="shared" si="9"/>
        <v>-5.9999999772727269E-2</v>
      </c>
      <c r="BH37">
        <v>34</v>
      </c>
      <c r="BI37" t="str">
        <f t="shared" si="11"/>
        <v>Senegal</v>
      </c>
      <c r="BJ37" s="6">
        <f>+COUNTIFS('Inputs summary'!I$2:I$106,BI37)</f>
        <v>1</v>
      </c>
      <c r="BK37" s="6">
        <f>+COUNTIFS('Inputs summary'!J$2:K$106,BI37)</f>
        <v>1</v>
      </c>
      <c r="BL37" s="6">
        <f>+COUNTIFS('Inputs summary'!L$2:L$106,BI37)</f>
        <v>1</v>
      </c>
      <c r="BM37" s="6">
        <f t="shared" si="19"/>
        <v>1</v>
      </c>
      <c r="BN37" s="6">
        <f>+SUMIF('Inputs summary'!$B$1:$B$106,$BI37,'Inputs summary'!$C$1:$C$106)+SUMIF('Inputs summary'!$E$1:$E$106,$BI37,'Inputs summary'!$D$1:$D$106)</f>
        <v>4</v>
      </c>
      <c r="BO37" s="6">
        <f>+SUMIF('Inputs summary'!$B$1:$B$106,$BI37,'Inputs summary'!$D$1:$D$106)+SUMIF('Inputs summary'!$E$1:$E$106,$BI37,'Inputs summary'!$C$1:$C$106)</f>
        <v>3</v>
      </c>
      <c r="BP37" s="166">
        <f t="shared" si="12"/>
        <v>5.0140213999999999</v>
      </c>
    </row>
    <row r="38" spans="7:68" x14ac:dyDescent="0.2">
      <c r="G38">
        <v>35</v>
      </c>
      <c r="H38" t="str">
        <f>+'Groups Stage'!O77</f>
        <v>Irak</v>
      </c>
      <c r="I38" s="6">
        <f t="shared" si="0"/>
        <v>0</v>
      </c>
      <c r="J38" s="6">
        <f t="shared" si="1"/>
        <v>0</v>
      </c>
      <c r="K38" s="6">
        <f t="shared" si="2"/>
        <v>0</v>
      </c>
      <c r="L38" s="6">
        <f t="shared" si="3"/>
        <v>0</v>
      </c>
      <c r="M38" s="6">
        <f t="shared" si="4"/>
        <v>0</v>
      </c>
      <c r="N38" s="6">
        <f t="shared" si="5"/>
        <v>0</v>
      </c>
      <c r="O38" s="6">
        <f t="shared" si="6"/>
        <v>0</v>
      </c>
      <c r="P38" s="6">
        <f t="shared" si="13"/>
        <v>0</v>
      </c>
      <c r="Q38" s="6">
        <f>+COUNTIFS('Inputs summary'!I:I,$H38)</f>
        <v>0</v>
      </c>
      <c r="R38" s="6">
        <f>+COUNTIFS('Inputs summary'!J:K,$H38)</f>
        <v>0</v>
      </c>
      <c r="S38" s="6">
        <f>+COUNTIFS('Inputs summary'!L:L,$H38)</f>
        <v>3</v>
      </c>
      <c r="T38" s="6">
        <f t="shared" si="14"/>
        <v>-9</v>
      </c>
      <c r="U38" s="6">
        <f>+SUMIF('Inputs summary'!B:B,H38,'Inputs summary'!C:C)+SUMIF('Inputs summary'!E:E,H38,'Inputs summary'!D:D)</f>
        <v>0</v>
      </c>
      <c r="V38" s="6">
        <f>+SUMIF('Inputs summary'!B:B,H38,'Inputs summary'!D:D)+SUMIF('Inputs summary'!E:E,H38,'Inputs summary'!C:C)</f>
        <v>9</v>
      </c>
      <c r="W38" s="159">
        <f t="shared" si="15"/>
        <v>-8.9999999824561402E-2</v>
      </c>
      <c r="X38" s="173">
        <f t="shared" si="16"/>
        <v>0</v>
      </c>
      <c r="Y38" s="167">
        <f t="shared" si="7"/>
        <v>4</v>
      </c>
      <c r="Z38" s="173">
        <f t="shared" si="17"/>
        <v>-8.9999749824561409E-2</v>
      </c>
      <c r="AA38" s="173">
        <f>+_xlfn.XLOOKUP(H38,'Ranking FIFA'!B:B,'Ranking FIFA'!A:A,"--",0)</f>
        <v>57</v>
      </c>
      <c r="AP38" s="457">
        <f>+_xlfn.XLOOKUP(AQ38,'Ranking FIFA'!B:B,'Ranking FIFA'!A:A,"--",0)</f>
        <v>60</v>
      </c>
      <c r="AQ38" t="s">
        <v>82</v>
      </c>
      <c r="AR38" s="6">
        <v>3</v>
      </c>
      <c r="AT38" s="169">
        <f t="shared" si="8"/>
        <v>0</v>
      </c>
      <c r="AU38" s="166">
        <f t="shared" si="9"/>
        <v>-4.9899999833333333E-2</v>
      </c>
      <c r="BH38">
        <v>35</v>
      </c>
      <c r="BI38" t="str">
        <f t="shared" si="11"/>
        <v>Irak</v>
      </c>
      <c r="BJ38" s="6">
        <f>+COUNTIFS('Inputs summary'!I$2:I$106,BI38)</f>
        <v>0</v>
      </c>
      <c r="BK38" s="6">
        <f>+COUNTIFS('Inputs summary'!J$2:K$106,BI38)</f>
        <v>0</v>
      </c>
      <c r="BL38" s="6">
        <f>+COUNTIFS('Inputs summary'!L$2:L$106,BI38)</f>
        <v>3</v>
      </c>
      <c r="BM38" s="6">
        <f t="shared" si="19"/>
        <v>-9</v>
      </c>
      <c r="BN38" s="6">
        <f>+SUMIF('Inputs summary'!$B$1:$B$106,$BI38,'Inputs summary'!$C$1:$C$106)+SUMIF('Inputs summary'!$E$1:$E$106,$BI38,'Inputs summary'!$D$1:$D$106)</f>
        <v>0</v>
      </c>
      <c r="BO38" s="6">
        <f>+SUMIF('Inputs summary'!$B$1:$B$106,$BI38,'Inputs summary'!$D$1:$D$106)+SUMIF('Inputs summary'!$E$1:$E$106,$BI38,'Inputs summary'!$C$1:$C$106)</f>
        <v>9</v>
      </c>
      <c r="BP38" s="166">
        <f t="shared" si="12"/>
        <v>-8.9954300000000001E-2</v>
      </c>
    </row>
    <row r="39" spans="7:68" x14ac:dyDescent="0.2">
      <c r="G39">
        <v>36</v>
      </c>
      <c r="H39" t="str">
        <f>+'Groups Stage'!O78</f>
        <v>Noruega</v>
      </c>
      <c r="I39" s="6">
        <f t="shared" si="0"/>
        <v>0</v>
      </c>
      <c r="J39" s="6">
        <f t="shared" si="1"/>
        <v>0</v>
      </c>
      <c r="K39" s="6">
        <f t="shared" si="2"/>
        <v>0</v>
      </c>
      <c r="L39" s="6">
        <f t="shared" si="3"/>
        <v>0</v>
      </c>
      <c r="M39" s="6">
        <f t="shared" si="4"/>
        <v>0</v>
      </c>
      <c r="N39" s="6">
        <f t="shared" si="5"/>
        <v>1</v>
      </c>
      <c r="O39" s="6">
        <f t="shared" si="6"/>
        <v>1</v>
      </c>
      <c r="P39" s="6">
        <f t="shared" si="13"/>
        <v>2</v>
      </c>
      <c r="Q39" s="6">
        <f>+COUNTIFS('Inputs summary'!I:I,$H39)</f>
        <v>2</v>
      </c>
      <c r="R39" s="6">
        <f>+COUNTIFS('Inputs summary'!J:K,$H39)</f>
        <v>1</v>
      </c>
      <c r="S39" s="6">
        <f>+COUNTIFS('Inputs summary'!L:L,$H39)</f>
        <v>2</v>
      </c>
      <c r="T39" s="6">
        <f t="shared" si="14"/>
        <v>1</v>
      </c>
      <c r="U39" s="6">
        <f>+SUMIF('Inputs summary'!B:B,H39,'Inputs summary'!C:C)+SUMIF('Inputs summary'!E:E,H39,'Inputs summary'!D:D)</f>
        <v>8</v>
      </c>
      <c r="V39" s="6">
        <f>+SUMIF('Inputs summary'!B:B,H39,'Inputs summary'!D:D)+SUMIF('Inputs summary'!E:E,H39,'Inputs summary'!C:C)</f>
        <v>7</v>
      </c>
      <c r="W39" s="159">
        <f t="shared" si="15"/>
        <v>207.01080000032258</v>
      </c>
      <c r="X39" s="173">
        <f t="shared" si="16"/>
        <v>11</v>
      </c>
      <c r="Y39" s="167">
        <f t="shared" si="7"/>
        <v>2</v>
      </c>
      <c r="Z39" s="173">
        <f t="shared" si="17"/>
        <v>207.01080050032257</v>
      </c>
      <c r="AA39" s="173">
        <f>+_xlfn.XLOOKUP(H39,'Ranking FIFA'!B:B,'Ranking FIFA'!A:A,"--",0)</f>
        <v>31</v>
      </c>
      <c r="AP39" s="457">
        <f>+_xlfn.XLOOKUP(AQ39,'Ranking FIFA'!B:B,'Ranking FIFA'!A:A,"--",0)</f>
        <v>61</v>
      </c>
      <c r="AQ39" t="s">
        <v>83</v>
      </c>
      <c r="AR39" s="6">
        <v>3</v>
      </c>
      <c r="AT39" s="169">
        <f t="shared" si="8"/>
        <v>0</v>
      </c>
      <c r="AU39" s="166">
        <f t="shared" si="9"/>
        <v>-5.9999999836065569E-2</v>
      </c>
      <c r="BH39">
        <v>36</v>
      </c>
      <c r="BI39" t="str">
        <f t="shared" si="11"/>
        <v>Noruega</v>
      </c>
      <c r="BJ39" s="6">
        <f>+COUNTIFS('Inputs summary'!I$2:I$106,BI39)</f>
        <v>1</v>
      </c>
      <c r="BK39" s="6">
        <f>+COUNTIFS('Inputs summary'!J$2:K$106,BI39)</f>
        <v>1</v>
      </c>
      <c r="BL39" s="6">
        <f>+COUNTIFS('Inputs summary'!L$2:L$106,BI39)</f>
        <v>1</v>
      </c>
      <c r="BM39" s="6">
        <f t="shared" si="19"/>
        <v>2</v>
      </c>
      <c r="BN39" s="6">
        <f>+SUMIF('Inputs summary'!$B$1:$B$106,$BI39,'Inputs summary'!$C$1:$C$106)+SUMIF('Inputs summary'!$E$1:$E$106,$BI39,'Inputs summary'!$D$1:$D$106)</f>
        <v>5</v>
      </c>
      <c r="BO39" s="6">
        <f>+SUMIF('Inputs summary'!$B$1:$B$106,$BI39,'Inputs summary'!$D$1:$D$106)+SUMIF('Inputs summary'!$E$1:$E$106,$BI39,'Inputs summary'!$C$1:$C$106)</f>
        <v>3</v>
      </c>
      <c r="BP39" s="166">
        <f t="shared" si="12"/>
        <v>5.0250230999999994</v>
      </c>
    </row>
    <row r="40" spans="7:68" x14ac:dyDescent="0.2">
      <c r="G40">
        <v>37</v>
      </c>
      <c r="H40" t="str">
        <f>+'Groups Stage'!O84</f>
        <v>Argentina</v>
      </c>
      <c r="I40" s="6">
        <f t="shared" si="0"/>
        <v>2</v>
      </c>
      <c r="J40" s="6">
        <f t="shared" si="1"/>
        <v>2</v>
      </c>
      <c r="K40" s="6">
        <f t="shared" si="2"/>
        <v>0</v>
      </c>
      <c r="L40" s="6">
        <f t="shared" si="3"/>
        <v>1</v>
      </c>
      <c r="M40" s="6">
        <f t="shared" si="4"/>
        <v>1</v>
      </c>
      <c r="N40" s="6">
        <f t="shared" si="5"/>
        <v>1</v>
      </c>
      <c r="O40" s="6">
        <f t="shared" si="6"/>
        <v>1</v>
      </c>
      <c r="P40" s="6">
        <f t="shared" si="13"/>
        <v>8</v>
      </c>
      <c r="Q40" s="6">
        <f>+COUNTIFS('Inputs summary'!I:I,$H40)</f>
        <v>8</v>
      </c>
      <c r="R40" s="6">
        <f>+COUNTIFS('Inputs summary'!J:K,$H40)</f>
        <v>0</v>
      </c>
      <c r="S40" s="6">
        <f>+COUNTIFS('Inputs summary'!L:L,$H40)</f>
        <v>0</v>
      </c>
      <c r="T40" s="6">
        <f t="shared" si="14"/>
        <v>15</v>
      </c>
      <c r="U40" s="6">
        <f>+SUMIF('Inputs summary'!B:B,H40,'Inputs summary'!C:C)+SUMIF('Inputs summary'!E:E,H40,'Inputs summary'!D:D)</f>
        <v>17</v>
      </c>
      <c r="V40" s="6">
        <f>+SUMIF('Inputs summary'!B:B,H40,'Inputs summary'!D:D)+SUMIF('Inputs summary'!E:E,H40,'Inputs summary'!C:C)</f>
        <v>2</v>
      </c>
      <c r="W40" s="159">
        <f t="shared" si="15"/>
        <v>824.1517000033333</v>
      </c>
      <c r="X40" s="173">
        <f t="shared" si="16"/>
        <v>2201111</v>
      </c>
      <c r="Y40" s="167">
        <f t="shared" si="7"/>
        <v>1</v>
      </c>
      <c r="Z40" s="173">
        <f t="shared" si="17"/>
        <v>824.1517010033333</v>
      </c>
      <c r="AA40" s="173">
        <f>+_xlfn.XLOOKUP(H40,'Ranking FIFA'!B:B,'Ranking FIFA'!A:A,"--",0)</f>
        <v>3</v>
      </c>
      <c r="AP40" s="457">
        <f>+_xlfn.XLOOKUP(AQ40,'Ranking FIFA'!B:B,'Ranking FIFA'!A:A,"--",0)</f>
        <v>65</v>
      </c>
      <c r="AQ40" s="456" t="s">
        <v>84</v>
      </c>
      <c r="AR40" s="6">
        <v>3</v>
      </c>
      <c r="AT40" s="169">
        <f t="shared" si="8"/>
        <v>0</v>
      </c>
      <c r="AU40" s="166">
        <f t="shared" si="9"/>
        <v>0.96010000015384611</v>
      </c>
      <c r="BH40">
        <v>37</v>
      </c>
      <c r="BI40" t="str">
        <f t="shared" si="11"/>
        <v>Argentina</v>
      </c>
      <c r="BJ40" s="6">
        <f>+COUNTIFS('Inputs summary'!I$2:I$106,BI40)</f>
        <v>3</v>
      </c>
      <c r="BK40" s="6">
        <f>+COUNTIFS('Inputs summary'!J$2:K$106,BI40)</f>
        <v>0</v>
      </c>
      <c r="BL40" s="6">
        <f>+COUNTIFS('Inputs summary'!L$2:L$106,BI40)</f>
        <v>0</v>
      </c>
      <c r="BM40" s="6">
        <f t="shared" si="19"/>
        <v>8</v>
      </c>
      <c r="BN40" s="6">
        <f>+SUMIF('Inputs summary'!$B$1:$B$106,$BI40,'Inputs summary'!$C$1:$C$106)+SUMIF('Inputs summary'!$E$1:$E$106,$BI40,'Inputs summary'!$D$1:$D$106)</f>
        <v>9</v>
      </c>
      <c r="BO40" s="6">
        <f>+SUMIF('Inputs summary'!$B$1:$B$106,$BI40,'Inputs summary'!$D$1:$D$106)+SUMIF('Inputs summary'!$E$1:$E$106,$BI40,'Inputs summary'!$C$1:$C$106)</f>
        <v>1</v>
      </c>
      <c r="BP40" s="166">
        <f t="shared" si="12"/>
        <v>9.0890103</v>
      </c>
    </row>
    <row r="41" spans="7:68" x14ac:dyDescent="0.2">
      <c r="G41">
        <v>38</v>
      </c>
      <c r="H41" t="str">
        <f>+'Groups Stage'!O85</f>
        <v>Argelia</v>
      </c>
      <c r="I41" s="6">
        <f t="shared" si="0"/>
        <v>0</v>
      </c>
      <c r="J41" s="6">
        <f t="shared" si="1"/>
        <v>0</v>
      </c>
      <c r="K41" s="6">
        <f t="shared" si="2"/>
        <v>0</v>
      </c>
      <c r="L41" s="6">
        <f t="shared" si="3"/>
        <v>0</v>
      </c>
      <c r="M41" s="6">
        <f t="shared" si="4"/>
        <v>0</v>
      </c>
      <c r="N41" s="6">
        <f t="shared" si="5"/>
        <v>0</v>
      </c>
      <c r="O41" s="6">
        <f t="shared" si="6"/>
        <v>1</v>
      </c>
      <c r="P41" s="6">
        <f t="shared" si="13"/>
        <v>1</v>
      </c>
      <c r="Q41" s="6">
        <f>+COUNTIFS('Inputs summary'!I:I,$H41)</f>
        <v>1</v>
      </c>
      <c r="R41" s="6">
        <f>+COUNTIFS('Inputs summary'!J:K,$H41)</f>
        <v>0</v>
      </c>
      <c r="S41" s="6">
        <f>+COUNTIFS('Inputs summary'!L:L,$H41)</f>
        <v>3</v>
      </c>
      <c r="T41" s="6">
        <f t="shared" si="14"/>
        <v>-4</v>
      </c>
      <c r="U41" s="6">
        <f>+SUMIF('Inputs summary'!B:B,H41,'Inputs summary'!C:C)+SUMIF('Inputs summary'!E:E,H41,'Inputs summary'!D:D)</f>
        <v>3</v>
      </c>
      <c r="V41" s="6">
        <f>+SUMIF('Inputs summary'!B:B,H41,'Inputs summary'!D:D)+SUMIF('Inputs summary'!E:E,H41,'Inputs summary'!C:C)</f>
        <v>7</v>
      </c>
      <c r="W41" s="159">
        <f t="shared" si="15"/>
        <v>102.96030000035714</v>
      </c>
      <c r="X41" s="173">
        <f t="shared" si="16"/>
        <v>1</v>
      </c>
      <c r="Y41" s="167">
        <f t="shared" si="7"/>
        <v>3</v>
      </c>
      <c r="Z41" s="173">
        <f t="shared" si="17"/>
        <v>102.96030033369047</v>
      </c>
      <c r="AA41" s="173">
        <f>+_xlfn.XLOOKUP(H41,'Ranking FIFA'!B:B,'Ranking FIFA'!A:A,"--",0)</f>
        <v>28</v>
      </c>
      <c r="AP41" s="457">
        <f>+_xlfn.XLOOKUP(AQ41,'Ranking FIFA'!B:B,'Ranking FIFA'!A:A,"--",0)</f>
        <v>74</v>
      </c>
      <c r="AQ41" t="s">
        <v>85</v>
      </c>
      <c r="AR41" s="6">
        <v>3</v>
      </c>
      <c r="AT41" s="169">
        <f t="shared" si="8"/>
        <v>1</v>
      </c>
      <c r="AU41" s="166">
        <f t="shared" si="9"/>
        <v>102.97040000013513</v>
      </c>
      <c r="BH41">
        <v>38</v>
      </c>
      <c r="BI41" t="str">
        <f t="shared" si="11"/>
        <v>Argelia</v>
      </c>
      <c r="BJ41" s="6">
        <f>+COUNTIFS('Inputs summary'!I$2:I$106,BI41)</f>
        <v>1</v>
      </c>
      <c r="BK41" s="6">
        <f>+COUNTIFS('Inputs summary'!J$2:K$106,BI41)</f>
        <v>0</v>
      </c>
      <c r="BL41" s="6">
        <f>+COUNTIFS('Inputs summary'!L$2:L$106,BI41)</f>
        <v>2</v>
      </c>
      <c r="BM41" s="6">
        <f t="shared" si="19"/>
        <v>-2</v>
      </c>
      <c r="BN41" s="6">
        <f>+SUMIF('Inputs summary'!$B$1:$B$106,$BI41,'Inputs summary'!$C$1:$C$106)+SUMIF('Inputs summary'!$E$1:$E$106,$BI41,'Inputs summary'!$D$1:$D$106)</f>
        <v>3</v>
      </c>
      <c r="BO41" s="6">
        <f>+SUMIF('Inputs summary'!$B$1:$B$106,$BI41,'Inputs summary'!$D$1:$D$106)+SUMIF('Inputs summary'!$E$1:$E$106,$BI41,'Inputs summary'!$C$1:$C$106)</f>
        <v>5</v>
      </c>
      <c r="BP41" s="166">
        <f t="shared" si="12"/>
        <v>2.9830328000000002</v>
      </c>
    </row>
    <row r="42" spans="7:68" x14ac:dyDescent="0.2">
      <c r="G42">
        <v>39</v>
      </c>
      <c r="H42" t="str">
        <f>+'Groups Stage'!O86</f>
        <v>Austria</v>
      </c>
      <c r="I42" s="6">
        <f t="shared" si="0"/>
        <v>0</v>
      </c>
      <c r="J42" s="6">
        <f t="shared" si="1"/>
        <v>0</v>
      </c>
      <c r="K42" s="6">
        <f t="shared" si="2"/>
        <v>0</v>
      </c>
      <c r="L42" s="6">
        <f t="shared" si="3"/>
        <v>0</v>
      </c>
      <c r="M42" s="6">
        <f t="shared" si="4"/>
        <v>0</v>
      </c>
      <c r="N42" s="6">
        <f t="shared" si="5"/>
        <v>0</v>
      </c>
      <c r="O42" s="6">
        <f t="shared" si="6"/>
        <v>1</v>
      </c>
      <c r="P42" s="6">
        <f t="shared" si="13"/>
        <v>1</v>
      </c>
      <c r="Q42" s="6">
        <f>+COUNTIFS('Inputs summary'!I:I,$H42)</f>
        <v>2</v>
      </c>
      <c r="R42" s="6">
        <f>+COUNTIFS('Inputs summary'!J:K,$H42)</f>
        <v>0</v>
      </c>
      <c r="S42" s="6">
        <f>+COUNTIFS('Inputs summary'!L:L,$H42)</f>
        <v>2</v>
      </c>
      <c r="T42" s="6">
        <f t="shared" si="14"/>
        <v>1</v>
      </c>
      <c r="U42" s="6">
        <f>+SUMIF('Inputs summary'!B:B,H42,'Inputs summary'!C:C)+SUMIF('Inputs summary'!E:E,H42,'Inputs summary'!D:D)</f>
        <v>6</v>
      </c>
      <c r="V42" s="6">
        <f>+SUMIF('Inputs summary'!B:B,H42,'Inputs summary'!D:D)+SUMIF('Inputs summary'!E:E,H42,'Inputs summary'!C:C)</f>
        <v>5</v>
      </c>
      <c r="W42" s="159">
        <f t="shared" si="15"/>
        <v>106.01060000041667</v>
      </c>
      <c r="X42" s="173">
        <f t="shared" si="16"/>
        <v>1</v>
      </c>
      <c r="Y42" s="167">
        <f t="shared" si="7"/>
        <v>3</v>
      </c>
      <c r="Z42" s="173">
        <f t="shared" si="17"/>
        <v>106.01060033375001</v>
      </c>
      <c r="AA42" s="173">
        <f>+_xlfn.XLOOKUP(H42,'Ranking FIFA'!B:B,'Ranking FIFA'!A:A,"--",0)</f>
        <v>24</v>
      </c>
      <c r="AP42" s="457">
        <f>+_xlfn.XLOOKUP(AQ42,'Ranking FIFA'!B:B,'Ranking FIFA'!A:A,"--",0)</f>
        <v>21</v>
      </c>
      <c r="AQ42" t="s">
        <v>86</v>
      </c>
      <c r="AR42" s="6">
        <v>3</v>
      </c>
      <c r="AT42" s="169">
        <f t="shared" si="8"/>
        <v>1</v>
      </c>
      <c r="AU42" s="166">
        <f t="shared" si="9"/>
        <v>103.96020000047619</v>
      </c>
      <c r="BH42">
        <v>39</v>
      </c>
      <c r="BI42" t="str">
        <f t="shared" si="11"/>
        <v>Austria</v>
      </c>
      <c r="BJ42" s="6">
        <f>+COUNTIFS('Inputs summary'!I$2:I$106,BI42)</f>
        <v>2</v>
      </c>
      <c r="BK42" s="6">
        <f>+COUNTIFS('Inputs summary'!J$2:K$106,BI42)</f>
        <v>0</v>
      </c>
      <c r="BL42" s="6">
        <f>+COUNTIFS('Inputs summary'!L$2:L$106,BI42)</f>
        <v>1</v>
      </c>
      <c r="BM42" s="6">
        <f t="shared" si="19"/>
        <v>2</v>
      </c>
      <c r="BN42" s="6">
        <f>+SUMIF('Inputs summary'!$B$1:$B$106,$BI42,'Inputs summary'!$C$1:$C$106)+SUMIF('Inputs summary'!$E$1:$E$106,$BI42,'Inputs summary'!$D$1:$D$106)</f>
        <v>5</v>
      </c>
      <c r="BO42" s="6">
        <f>+SUMIF('Inputs summary'!$B$1:$B$106,$BI42,'Inputs summary'!$D$1:$D$106)+SUMIF('Inputs summary'!$E$1:$E$106,$BI42,'Inputs summary'!$C$1:$C$106)</f>
        <v>3</v>
      </c>
      <c r="BP42" s="166">
        <f t="shared" si="12"/>
        <v>6.0250323999999988</v>
      </c>
    </row>
    <row r="43" spans="7:68" x14ac:dyDescent="0.2">
      <c r="G43">
        <v>40</v>
      </c>
      <c r="H43" t="str">
        <f>+'Groups Stage'!O87</f>
        <v>Jordania</v>
      </c>
      <c r="I43" s="6">
        <f t="shared" si="0"/>
        <v>0</v>
      </c>
      <c r="J43" s="6">
        <f t="shared" si="1"/>
        <v>0</v>
      </c>
      <c r="K43" s="6">
        <f t="shared" si="2"/>
        <v>0</v>
      </c>
      <c r="L43" s="6">
        <f t="shared" si="3"/>
        <v>0</v>
      </c>
      <c r="M43" s="6">
        <f t="shared" si="4"/>
        <v>0</v>
      </c>
      <c r="N43" s="6">
        <f t="shared" si="5"/>
        <v>0</v>
      </c>
      <c r="O43" s="6">
        <f t="shared" si="6"/>
        <v>0</v>
      </c>
      <c r="P43" s="6">
        <f t="shared" si="13"/>
        <v>0</v>
      </c>
      <c r="Q43" s="6">
        <f>+COUNTIFS('Inputs summary'!I:I,$H43)</f>
        <v>0</v>
      </c>
      <c r="R43" s="6">
        <f>+COUNTIFS('Inputs summary'!J:K,$H43)</f>
        <v>0</v>
      </c>
      <c r="S43" s="6">
        <f>+COUNTIFS('Inputs summary'!L:L,$H43)</f>
        <v>3</v>
      </c>
      <c r="T43" s="6">
        <f t="shared" si="14"/>
        <v>-8</v>
      </c>
      <c r="U43" s="6">
        <f>+SUMIF('Inputs summary'!B:B,H43,'Inputs summary'!C:C)+SUMIF('Inputs summary'!E:E,H43,'Inputs summary'!D:D)</f>
        <v>0</v>
      </c>
      <c r="V43" s="6">
        <f>+SUMIF('Inputs summary'!B:B,H43,'Inputs summary'!D:D)+SUMIF('Inputs summary'!E:E,H43,'Inputs summary'!C:C)</f>
        <v>8</v>
      </c>
      <c r="W43" s="159">
        <f t="shared" si="15"/>
        <v>-7.9999999841269848E-2</v>
      </c>
      <c r="X43" s="173">
        <f t="shared" si="16"/>
        <v>0</v>
      </c>
      <c r="Y43" s="167">
        <f t="shared" si="7"/>
        <v>4</v>
      </c>
      <c r="Z43" s="173">
        <f t="shared" si="17"/>
        <v>-7.9999749841269854E-2</v>
      </c>
      <c r="AA43" s="173">
        <f>+_xlfn.XLOOKUP(H43,'Ranking FIFA'!B:B,'Ranking FIFA'!A:A,"--",0)</f>
        <v>63</v>
      </c>
      <c r="AP43" s="457">
        <f>+_xlfn.XLOOKUP(AQ43,'Ranking FIFA'!B:B,'Ranking FIFA'!A:A,"--",0)</f>
        <v>46</v>
      </c>
      <c r="AQ43" s="456" t="s">
        <v>87</v>
      </c>
      <c r="AR43" s="6">
        <v>4</v>
      </c>
      <c r="AT43" s="169">
        <f t="shared" si="8"/>
        <v>0</v>
      </c>
      <c r="AU43" s="166">
        <f t="shared" si="9"/>
        <v>0.95010000021739127</v>
      </c>
      <c r="BH43">
        <v>40</v>
      </c>
      <c r="BI43" t="str">
        <f t="shared" si="11"/>
        <v>Jordania</v>
      </c>
      <c r="BJ43" s="6">
        <f>+COUNTIFS('Inputs summary'!I$2:I$106,BI43)</f>
        <v>0</v>
      </c>
      <c r="BK43" s="6">
        <f>+COUNTIFS('Inputs summary'!J$2:K$106,BI43)</f>
        <v>0</v>
      </c>
      <c r="BL43" s="6">
        <f>+COUNTIFS('Inputs summary'!L$2:L$106,BI43)</f>
        <v>3</v>
      </c>
      <c r="BM43" s="6">
        <f t="shared" si="19"/>
        <v>-8</v>
      </c>
      <c r="BN43" s="6">
        <f>+SUMIF('Inputs summary'!$B$1:$B$106,$BI43,'Inputs summary'!$C$1:$C$106)+SUMIF('Inputs summary'!$E$1:$E$106,$BI43,'Inputs summary'!$D$1:$D$106)</f>
        <v>0</v>
      </c>
      <c r="BO43" s="6">
        <f>+SUMIF('Inputs summary'!$B$1:$B$106,$BI43,'Inputs summary'!$D$1:$D$106)+SUMIF('Inputs summary'!$E$1:$E$106,$BI43,'Inputs summary'!$C$1:$C$106)</f>
        <v>8</v>
      </c>
      <c r="BP43" s="166">
        <f t="shared" si="12"/>
        <v>-7.9953700000000003E-2</v>
      </c>
    </row>
    <row r="44" spans="7:68" x14ac:dyDescent="0.2">
      <c r="G44">
        <v>41</v>
      </c>
      <c r="H44" t="str">
        <f>+'Groups Stage'!O93</f>
        <v>Portugal</v>
      </c>
      <c r="I44" s="6">
        <f t="shared" si="0"/>
        <v>0</v>
      </c>
      <c r="J44" s="6">
        <f t="shared" si="1"/>
        <v>0</v>
      </c>
      <c r="K44" s="6">
        <f t="shared" si="2"/>
        <v>0</v>
      </c>
      <c r="L44" s="6">
        <f t="shared" si="3"/>
        <v>0</v>
      </c>
      <c r="M44" s="6">
        <f t="shared" si="4"/>
        <v>1</v>
      </c>
      <c r="N44" s="6">
        <f t="shared" si="5"/>
        <v>1</v>
      </c>
      <c r="O44" s="6">
        <f t="shared" si="6"/>
        <v>1</v>
      </c>
      <c r="P44" s="6">
        <f t="shared" si="13"/>
        <v>3</v>
      </c>
      <c r="Q44" s="6">
        <f>+COUNTIFS('Inputs summary'!I:I,$H44)</f>
        <v>5</v>
      </c>
      <c r="R44" s="6">
        <f>+COUNTIFS('Inputs summary'!J:K,$H44)</f>
        <v>0</v>
      </c>
      <c r="S44" s="6">
        <f>+COUNTIFS('Inputs summary'!L:L,$H44)</f>
        <v>1</v>
      </c>
      <c r="T44" s="6">
        <f t="shared" si="14"/>
        <v>12</v>
      </c>
      <c r="U44" s="6">
        <f>+SUMIF('Inputs summary'!B:B,H44,'Inputs summary'!C:C)+SUMIF('Inputs summary'!E:E,H44,'Inputs summary'!D:D)</f>
        <v>16</v>
      </c>
      <c r="V44" s="6">
        <f>+SUMIF('Inputs summary'!B:B,H44,'Inputs summary'!D:D)+SUMIF('Inputs summary'!E:E,H44,'Inputs summary'!C:C)</f>
        <v>4</v>
      </c>
      <c r="W44" s="159">
        <f t="shared" si="15"/>
        <v>315.12160000199998</v>
      </c>
      <c r="X44" s="173">
        <f t="shared" si="16"/>
        <v>111</v>
      </c>
      <c r="Y44" s="167">
        <f t="shared" si="7"/>
        <v>1</v>
      </c>
      <c r="Z44" s="173">
        <f t="shared" si="17"/>
        <v>315.12160100199998</v>
      </c>
      <c r="AA44" s="173">
        <f>+_xlfn.XLOOKUP(H44,'Ranking FIFA'!B:B,'Ranking FIFA'!A:A,"--",0)</f>
        <v>5</v>
      </c>
      <c r="AP44" s="457">
        <f>+_xlfn.XLOOKUP(AQ44,'Ranking FIFA'!B:B,'Ranking FIFA'!A:A,"--",0)</f>
        <v>50</v>
      </c>
      <c r="AQ44" t="s">
        <v>88</v>
      </c>
      <c r="AR44" s="6">
        <v>4</v>
      </c>
      <c r="AT44" s="169">
        <f t="shared" si="8"/>
        <v>0</v>
      </c>
      <c r="AU44" s="166">
        <f t="shared" si="9"/>
        <v>0.94010000019999995</v>
      </c>
      <c r="BH44">
        <v>41</v>
      </c>
      <c r="BI44" t="str">
        <f t="shared" si="11"/>
        <v>Portugal</v>
      </c>
      <c r="BJ44" s="6">
        <f>+COUNTIFS('Inputs summary'!I$2:I$106,BI44)</f>
        <v>3</v>
      </c>
      <c r="BK44" s="6">
        <f>+COUNTIFS('Inputs summary'!J$2:K$106,BI44)</f>
        <v>0</v>
      </c>
      <c r="BL44" s="6">
        <f>+COUNTIFS('Inputs summary'!L$2:L$106,BI44)</f>
        <v>0</v>
      </c>
      <c r="BM44" s="6">
        <f t="shared" si="19"/>
        <v>8</v>
      </c>
      <c r="BN44" s="6">
        <f>+SUMIF('Inputs summary'!$B$1:$B$106,$BI44,'Inputs summary'!$C$1:$C$106)+SUMIF('Inputs summary'!$E$1:$E$106,$BI44,'Inputs summary'!$D$1:$D$106)</f>
        <v>9</v>
      </c>
      <c r="BO44" s="6">
        <f>+SUMIF('Inputs summary'!$B$1:$B$106,$BI44,'Inputs summary'!$D$1:$D$106)+SUMIF('Inputs summary'!$E$1:$E$106,$BI44,'Inputs summary'!$C$1:$C$106)</f>
        <v>1</v>
      </c>
      <c r="BP44" s="166">
        <f t="shared" si="12"/>
        <v>9.0890105000000005</v>
      </c>
    </row>
    <row r="45" spans="7:68" x14ac:dyDescent="0.2">
      <c r="G45">
        <v>42</v>
      </c>
      <c r="H45" t="str">
        <f>+'Groups Stage'!O94</f>
        <v>Congo</v>
      </c>
      <c r="I45" s="6">
        <f t="shared" si="0"/>
        <v>0</v>
      </c>
      <c r="J45" s="6">
        <f t="shared" si="1"/>
        <v>0</v>
      </c>
      <c r="K45" s="6">
        <f t="shared" si="2"/>
        <v>0</v>
      </c>
      <c r="L45" s="6">
        <f t="shared" si="3"/>
        <v>0</v>
      </c>
      <c r="M45" s="6">
        <f t="shared" si="4"/>
        <v>0</v>
      </c>
      <c r="N45" s="6">
        <f t="shared" si="5"/>
        <v>0</v>
      </c>
      <c r="O45" s="6">
        <f t="shared" si="6"/>
        <v>0</v>
      </c>
      <c r="P45" s="6">
        <f t="shared" si="13"/>
        <v>0</v>
      </c>
      <c r="Q45" s="6">
        <f>+COUNTIFS('Inputs summary'!I:I,$H45)</f>
        <v>0</v>
      </c>
      <c r="R45" s="6">
        <f>+COUNTIFS('Inputs summary'!J:K,$H45)</f>
        <v>1</v>
      </c>
      <c r="S45" s="6">
        <f>+COUNTIFS('Inputs summary'!L:L,$H45)</f>
        <v>2</v>
      </c>
      <c r="T45" s="6">
        <f t="shared" si="14"/>
        <v>-5</v>
      </c>
      <c r="U45" s="6">
        <f>+SUMIF('Inputs summary'!B:B,H45,'Inputs summary'!C:C)+SUMIF('Inputs summary'!E:E,H45,'Inputs summary'!D:D)</f>
        <v>1</v>
      </c>
      <c r="V45" s="6">
        <f>+SUMIF('Inputs summary'!B:B,H45,'Inputs summary'!D:D)+SUMIF('Inputs summary'!E:E,H45,'Inputs summary'!C:C)</f>
        <v>6</v>
      </c>
      <c r="W45" s="159">
        <f t="shared" si="15"/>
        <v>0.95010000021739127</v>
      </c>
      <c r="X45" s="173">
        <f t="shared" si="16"/>
        <v>0</v>
      </c>
      <c r="Y45" s="167">
        <f t="shared" si="7"/>
        <v>4</v>
      </c>
      <c r="Z45" s="173">
        <f t="shared" si="17"/>
        <v>0.95010025021739131</v>
      </c>
      <c r="AA45" s="173">
        <f>+_xlfn.XLOOKUP(H45,'Ranking FIFA'!B:B,'Ranking FIFA'!A:A,"--",0)</f>
        <v>46</v>
      </c>
      <c r="AP45" s="457">
        <f>+_xlfn.XLOOKUP(AQ45,'Ranking FIFA'!B:B,'Ranking FIFA'!A:A,"--",0)</f>
        <v>55</v>
      </c>
      <c r="AQ45" t="s">
        <v>89</v>
      </c>
      <c r="AR45" s="6">
        <v>4</v>
      </c>
      <c r="AT45" s="169">
        <f t="shared" si="8"/>
        <v>0</v>
      </c>
      <c r="AU45" s="166">
        <f t="shared" si="9"/>
        <v>0.95010000018181817</v>
      </c>
      <c r="BH45">
        <v>42</v>
      </c>
      <c r="BI45" t="str">
        <f t="shared" si="11"/>
        <v>Congo</v>
      </c>
      <c r="BJ45" s="6">
        <f>+COUNTIFS('Inputs summary'!I$2:I$106,BI45)</f>
        <v>0</v>
      </c>
      <c r="BK45" s="6">
        <f>+COUNTIFS('Inputs summary'!J$2:K$106,BI45)</f>
        <v>1</v>
      </c>
      <c r="BL45" s="6">
        <f>+COUNTIFS('Inputs summary'!L$2:L$106,BI45)</f>
        <v>2</v>
      </c>
      <c r="BM45" s="6">
        <f t="shared" si="19"/>
        <v>-5</v>
      </c>
      <c r="BN45" s="6">
        <f>+SUMIF('Inputs summary'!$B$1:$B$106,$BI45,'Inputs summary'!$C$1:$C$106)+SUMIF('Inputs summary'!$E$1:$E$106,$BI45,'Inputs summary'!$D$1:$D$106)</f>
        <v>1</v>
      </c>
      <c r="BO45" s="6">
        <f>+SUMIF('Inputs summary'!$B$1:$B$106,$BI45,'Inputs summary'!$D$1:$D$106)+SUMIF('Inputs summary'!$E$1:$E$106,$BI45,'Inputs summary'!$C$1:$C$106)</f>
        <v>6</v>
      </c>
      <c r="BP45" s="166">
        <f t="shared" si="12"/>
        <v>1.9510445999999999</v>
      </c>
    </row>
    <row r="46" spans="7:68" x14ac:dyDescent="0.2">
      <c r="G46">
        <v>43</v>
      </c>
      <c r="H46" t="str">
        <f>+'Groups Stage'!O95</f>
        <v>Uzbekistan</v>
      </c>
      <c r="I46" s="6">
        <f t="shared" si="0"/>
        <v>0</v>
      </c>
      <c r="J46" s="6">
        <f t="shared" si="1"/>
        <v>0</v>
      </c>
      <c r="K46" s="6">
        <f t="shared" si="2"/>
        <v>0</v>
      </c>
      <c r="L46" s="6">
        <f t="shared" si="3"/>
        <v>0</v>
      </c>
      <c r="M46" s="6">
        <f t="shared" si="4"/>
        <v>0</v>
      </c>
      <c r="N46" s="6">
        <f t="shared" si="5"/>
        <v>0</v>
      </c>
      <c r="O46" s="6">
        <f t="shared" si="6"/>
        <v>0</v>
      </c>
      <c r="P46" s="6">
        <f t="shared" si="13"/>
        <v>0</v>
      </c>
      <c r="Q46" s="6">
        <f>+COUNTIFS('Inputs summary'!I:I,$H46)</f>
        <v>0</v>
      </c>
      <c r="R46" s="6">
        <f>+COUNTIFS('Inputs summary'!J:K,$H46)</f>
        <v>1</v>
      </c>
      <c r="S46" s="6">
        <f>+COUNTIFS('Inputs summary'!L:L,$H46)</f>
        <v>2</v>
      </c>
      <c r="T46" s="6">
        <f t="shared" si="14"/>
        <v>-6</v>
      </c>
      <c r="U46" s="6">
        <f>+SUMIF('Inputs summary'!B:B,H46,'Inputs summary'!C:C)+SUMIF('Inputs summary'!E:E,H46,'Inputs summary'!D:D)</f>
        <v>1</v>
      </c>
      <c r="V46" s="6">
        <f>+SUMIF('Inputs summary'!B:B,H46,'Inputs summary'!D:D)+SUMIF('Inputs summary'!E:E,H46,'Inputs summary'!C:C)</f>
        <v>7</v>
      </c>
      <c r="W46" s="159">
        <f t="shared" si="15"/>
        <v>0.94010000019999995</v>
      </c>
      <c r="X46" s="173">
        <f t="shared" si="16"/>
        <v>0</v>
      </c>
      <c r="Y46" s="167">
        <f t="shared" si="7"/>
        <v>4</v>
      </c>
      <c r="Z46" s="173">
        <f t="shared" si="17"/>
        <v>0.94010025019999999</v>
      </c>
      <c r="AA46" s="173">
        <f>+_xlfn.XLOOKUP(H46,'Ranking FIFA'!B:B,'Ranking FIFA'!A:A,"--",0)</f>
        <v>50</v>
      </c>
      <c r="AP46" s="457">
        <f>+_xlfn.XLOOKUP(AQ46,'Ranking FIFA'!B:B,'Ranking FIFA'!A:A,"--",0)</f>
        <v>57</v>
      </c>
      <c r="AQ46" s="456" t="s">
        <v>90</v>
      </c>
      <c r="AR46" s="6">
        <v>4</v>
      </c>
      <c r="AT46" s="169">
        <f t="shared" si="8"/>
        <v>0</v>
      </c>
      <c r="AU46" s="166">
        <f t="shared" si="9"/>
        <v>-8.9999999824561402E-2</v>
      </c>
      <c r="BH46">
        <v>43</v>
      </c>
      <c r="BI46" t="str">
        <f t="shared" si="11"/>
        <v>Uzbekistan</v>
      </c>
      <c r="BJ46" s="6">
        <f>+COUNTIFS('Inputs summary'!I$2:I$106,BI46)</f>
        <v>0</v>
      </c>
      <c r="BK46" s="6">
        <f>+COUNTIFS('Inputs summary'!J$2:K$106,BI46)</f>
        <v>1</v>
      </c>
      <c r="BL46" s="6">
        <f>+COUNTIFS('Inputs summary'!L$2:L$106,BI46)</f>
        <v>2</v>
      </c>
      <c r="BM46" s="6">
        <f t="shared" si="19"/>
        <v>-6</v>
      </c>
      <c r="BN46" s="6">
        <f>+SUMIF('Inputs summary'!$B$1:$B$106,$BI46,'Inputs summary'!$C$1:$C$106)+SUMIF('Inputs summary'!$E$1:$E$106,$BI46,'Inputs summary'!$D$1:$D$106)</f>
        <v>1</v>
      </c>
      <c r="BO46" s="6">
        <f>+SUMIF('Inputs summary'!$B$1:$B$106,$BI46,'Inputs summary'!$D$1:$D$106)+SUMIF('Inputs summary'!$E$1:$E$106,$BI46,'Inputs summary'!$C$1:$C$106)</f>
        <v>7</v>
      </c>
      <c r="BP46" s="166">
        <f t="shared" si="12"/>
        <v>1.9410449999999999</v>
      </c>
    </row>
    <row r="47" spans="7:68" x14ac:dyDescent="0.2">
      <c r="G47">
        <v>44</v>
      </c>
      <c r="H47" t="str">
        <f>+'Groups Stage'!O96</f>
        <v>Colombia</v>
      </c>
      <c r="I47" s="6">
        <f t="shared" si="0"/>
        <v>0</v>
      </c>
      <c r="J47" s="6">
        <f t="shared" si="1"/>
        <v>0</v>
      </c>
      <c r="K47" s="6">
        <f t="shared" si="2"/>
        <v>0</v>
      </c>
      <c r="L47" s="6">
        <f t="shared" si="3"/>
        <v>1</v>
      </c>
      <c r="M47" s="6">
        <f t="shared" si="4"/>
        <v>1</v>
      </c>
      <c r="N47" s="6">
        <f t="shared" si="5"/>
        <v>1</v>
      </c>
      <c r="O47" s="6">
        <f t="shared" si="6"/>
        <v>1</v>
      </c>
      <c r="P47" s="6">
        <f t="shared" si="13"/>
        <v>4</v>
      </c>
      <c r="Q47" s="6">
        <f>+COUNTIFS('Inputs summary'!I:I,$H47)</f>
        <v>5</v>
      </c>
      <c r="R47" s="6">
        <f>+COUNTIFS('Inputs summary'!J:K,$H47)</f>
        <v>0</v>
      </c>
      <c r="S47" s="6">
        <f>+COUNTIFS('Inputs summary'!L:L,$H47)</f>
        <v>3</v>
      </c>
      <c r="T47" s="6">
        <f t="shared" si="14"/>
        <v>3</v>
      </c>
      <c r="U47" s="6">
        <f>+SUMIF('Inputs summary'!B:B,H47,'Inputs summary'!C:C)+SUMIF('Inputs summary'!E:E,H47,'Inputs summary'!D:D)</f>
        <v>11</v>
      </c>
      <c r="V47" s="6">
        <f>+SUMIF('Inputs summary'!B:B,H47,'Inputs summary'!D:D)+SUMIF('Inputs summary'!E:E,H47,'Inputs summary'!C:C)</f>
        <v>8</v>
      </c>
      <c r="W47" s="159">
        <f t="shared" si="15"/>
        <v>415.03110000076919</v>
      </c>
      <c r="X47" s="173">
        <f t="shared" si="16"/>
        <v>1111</v>
      </c>
      <c r="Y47" s="167">
        <f t="shared" si="7"/>
        <v>2</v>
      </c>
      <c r="Z47" s="173">
        <f t="shared" si="17"/>
        <v>415.03110050076918</v>
      </c>
      <c r="AA47" s="173">
        <f>+_xlfn.XLOOKUP(H47,'Ranking FIFA'!B:B,'Ranking FIFA'!A:A,"--",0)</f>
        <v>13</v>
      </c>
      <c r="AP47" s="457">
        <f>+_xlfn.XLOOKUP(AQ47,'Ranking FIFA'!B:B,'Ranking FIFA'!A:A,"--",0)</f>
        <v>63</v>
      </c>
      <c r="AQ47" t="s">
        <v>91</v>
      </c>
      <c r="AR47" s="6">
        <v>4</v>
      </c>
      <c r="AT47" s="169">
        <f t="shared" si="8"/>
        <v>0</v>
      </c>
      <c r="AU47" s="166">
        <f t="shared" si="9"/>
        <v>-7.9999999841269848E-2</v>
      </c>
      <c r="BH47">
        <v>44</v>
      </c>
      <c r="BI47" t="str">
        <f t="shared" si="11"/>
        <v>Colombia</v>
      </c>
      <c r="BJ47" s="6">
        <f>+COUNTIFS('Inputs summary'!I$2:I$106,BI47)</f>
        <v>2</v>
      </c>
      <c r="BK47" s="6">
        <f>+COUNTIFS('Inputs summary'!J$2:K$106,BI47)</f>
        <v>0</v>
      </c>
      <c r="BL47" s="6">
        <f>+COUNTIFS('Inputs summary'!L$2:L$106,BI47)</f>
        <v>1</v>
      </c>
      <c r="BM47" s="6">
        <f t="shared" si="19"/>
        <v>3</v>
      </c>
      <c r="BN47" s="6">
        <f>+SUMIF('Inputs summary'!$B$1:$B$106,$BI47,'Inputs summary'!$C$1:$C$106)+SUMIF('Inputs summary'!$E$1:$E$106,$BI47,'Inputs summary'!$D$1:$D$106)</f>
        <v>5</v>
      </c>
      <c r="BO47" s="6">
        <f>+SUMIF('Inputs summary'!$B$1:$B$106,$BI47,'Inputs summary'!$D$1:$D$106)+SUMIF('Inputs summary'!$E$1:$E$106,$BI47,'Inputs summary'!$C$1:$C$106)</f>
        <v>2</v>
      </c>
      <c r="BP47" s="166">
        <f t="shared" si="12"/>
        <v>6.0350213000000004</v>
      </c>
    </row>
    <row r="48" spans="7:68" x14ac:dyDescent="0.2">
      <c r="G48">
        <v>45</v>
      </c>
      <c r="H48" t="str">
        <f>+'Groups Stage'!O102</f>
        <v>Inglaterra</v>
      </c>
      <c r="I48" s="6">
        <f t="shared" si="0"/>
        <v>0</v>
      </c>
      <c r="J48" s="6">
        <f t="shared" si="1"/>
        <v>0</v>
      </c>
      <c r="K48" s="6">
        <f t="shared" si="2"/>
        <v>0</v>
      </c>
      <c r="L48" s="6">
        <f t="shared" si="3"/>
        <v>0</v>
      </c>
      <c r="M48" s="6">
        <f t="shared" si="4"/>
        <v>1</v>
      </c>
      <c r="N48" s="6">
        <f t="shared" si="5"/>
        <v>1</v>
      </c>
      <c r="O48" s="6">
        <f t="shared" si="6"/>
        <v>1</v>
      </c>
      <c r="P48" s="6">
        <f t="shared" si="13"/>
        <v>3</v>
      </c>
      <c r="Q48" s="6">
        <f>+COUNTIFS('Inputs summary'!I:I,$H48)</f>
        <v>5</v>
      </c>
      <c r="R48" s="6">
        <f>+COUNTIFS('Inputs summary'!J:K,$H48)</f>
        <v>0</v>
      </c>
      <c r="S48" s="6">
        <f>+COUNTIFS('Inputs summary'!L:L,$H48)</f>
        <v>1</v>
      </c>
      <c r="T48" s="6">
        <f t="shared" si="14"/>
        <v>9</v>
      </c>
      <c r="U48" s="6">
        <f>+SUMIF('Inputs summary'!B:B,H48,'Inputs summary'!C:C)+SUMIF('Inputs summary'!E:E,H48,'Inputs summary'!D:D)</f>
        <v>12</v>
      </c>
      <c r="V48" s="6">
        <f>+SUMIF('Inputs summary'!B:B,H48,'Inputs summary'!D:D)+SUMIF('Inputs summary'!E:E,H48,'Inputs summary'!C:C)</f>
        <v>3</v>
      </c>
      <c r="W48" s="159">
        <f t="shared" si="15"/>
        <v>315.09120000249993</v>
      </c>
      <c r="X48" s="173">
        <f t="shared" si="16"/>
        <v>111</v>
      </c>
      <c r="Y48" s="167">
        <f t="shared" si="7"/>
        <v>1</v>
      </c>
      <c r="Z48" s="173">
        <f t="shared" si="17"/>
        <v>315.09120100249993</v>
      </c>
      <c r="AA48" s="173">
        <f>+_xlfn.XLOOKUP(H48,'Ranking FIFA'!B:B,'Ranking FIFA'!A:A,"--",0)</f>
        <v>4</v>
      </c>
      <c r="AP48" s="457">
        <f>+_xlfn.XLOOKUP(AQ48,'Ranking FIFA'!B:B,'Ranking FIFA'!A:A,"--",0)</f>
        <v>69</v>
      </c>
      <c r="AQ48" t="s">
        <v>92</v>
      </c>
      <c r="AR48" s="6">
        <v>4</v>
      </c>
      <c r="AT48" s="169">
        <f t="shared" si="8"/>
        <v>0</v>
      </c>
      <c r="AU48" s="166">
        <f t="shared" si="9"/>
        <v>2.9601000001449278</v>
      </c>
      <c r="BH48">
        <v>45</v>
      </c>
      <c r="BI48" t="str">
        <f t="shared" si="11"/>
        <v>Inglaterra</v>
      </c>
      <c r="BJ48" s="6">
        <f>+COUNTIFS('Inputs summary'!I$2:I$106,BI48)</f>
        <v>3</v>
      </c>
      <c r="BK48" s="6">
        <f>+COUNTIFS('Inputs summary'!J$2:K$106,BI48)</f>
        <v>0</v>
      </c>
      <c r="BL48" s="6">
        <f>+COUNTIFS('Inputs summary'!L$2:L$106,BI48)</f>
        <v>0</v>
      </c>
      <c r="BM48" s="6">
        <f t="shared" si="19"/>
        <v>6</v>
      </c>
      <c r="BN48" s="6">
        <f>+SUMIF('Inputs summary'!$B$1:$B$106,$BI48,'Inputs summary'!$C$1:$C$106)+SUMIF('Inputs summary'!$E$1:$E$106,$BI48,'Inputs summary'!$D$1:$D$106)</f>
        <v>7</v>
      </c>
      <c r="BO48" s="6">
        <f>+SUMIF('Inputs summary'!$B$1:$B$106,$BI48,'Inputs summary'!$D$1:$D$106)+SUMIF('Inputs summary'!$E$1:$E$106,$BI48,'Inputs summary'!$C$1:$C$106)</f>
        <v>1</v>
      </c>
      <c r="BP48" s="166">
        <f t="shared" si="12"/>
        <v>9.0670103999999991</v>
      </c>
    </row>
    <row r="49" spans="7:68" x14ac:dyDescent="0.2">
      <c r="G49">
        <v>46</v>
      </c>
      <c r="H49" t="str">
        <f>+'Groups Stage'!O103</f>
        <v>Croacia</v>
      </c>
      <c r="I49" s="6">
        <f t="shared" si="0"/>
        <v>0</v>
      </c>
      <c r="J49" s="6">
        <f t="shared" si="1"/>
        <v>0</v>
      </c>
      <c r="K49" s="6">
        <f t="shared" si="2"/>
        <v>0</v>
      </c>
      <c r="L49" s="6">
        <f t="shared" si="3"/>
        <v>0</v>
      </c>
      <c r="M49" s="6">
        <f t="shared" si="4"/>
        <v>0</v>
      </c>
      <c r="N49" s="6">
        <f t="shared" si="5"/>
        <v>0</v>
      </c>
      <c r="O49" s="6">
        <f t="shared" si="6"/>
        <v>1</v>
      </c>
      <c r="P49" s="6">
        <f t="shared" si="13"/>
        <v>1</v>
      </c>
      <c r="Q49" s="6">
        <f>+COUNTIFS('Inputs summary'!I:I,$H49)</f>
        <v>2</v>
      </c>
      <c r="R49" s="6">
        <f>+COUNTIFS('Inputs summary'!J:K,$H49)</f>
        <v>0</v>
      </c>
      <c r="S49" s="6">
        <f>+COUNTIFS('Inputs summary'!L:L,$H49)</f>
        <v>2</v>
      </c>
      <c r="T49" s="6">
        <f t="shared" si="14"/>
        <v>2</v>
      </c>
      <c r="U49" s="6">
        <f>+SUMIF('Inputs summary'!B:B,H49,'Inputs summary'!C:C)+SUMIF('Inputs summary'!E:E,H49,'Inputs summary'!D:D)</f>
        <v>5</v>
      </c>
      <c r="V49" s="6">
        <f>+SUMIF('Inputs summary'!B:B,H49,'Inputs summary'!D:D)+SUMIF('Inputs summary'!E:E,H49,'Inputs summary'!C:C)</f>
        <v>3</v>
      </c>
      <c r="W49" s="159">
        <f t="shared" si="15"/>
        <v>106.0205000009091</v>
      </c>
      <c r="X49" s="173">
        <f t="shared" si="16"/>
        <v>1</v>
      </c>
      <c r="Y49" s="167">
        <f t="shared" si="7"/>
        <v>1</v>
      </c>
      <c r="Z49" s="173">
        <f t="shared" si="17"/>
        <v>106.02050100090909</v>
      </c>
      <c r="AA49" s="173">
        <f>+_xlfn.XLOOKUP(H49,'Ranking FIFA'!B:B,'Ranking FIFA'!A:A,"--",0)</f>
        <v>11</v>
      </c>
      <c r="AP49" s="457">
        <f>+_xlfn.XLOOKUP(AQ49,'Ranking FIFA'!B:B,'Ranking FIFA'!A:A,"--",0)</f>
        <v>82</v>
      </c>
      <c r="AQ49" t="s">
        <v>93</v>
      </c>
      <c r="AR49" s="6">
        <v>4</v>
      </c>
      <c r="AT49" s="169">
        <f t="shared" si="8"/>
        <v>0</v>
      </c>
      <c r="AU49" s="166">
        <f t="shared" si="9"/>
        <v>-8.9999999878048784E-2</v>
      </c>
      <c r="BH49">
        <v>46</v>
      </c>
      <c r="BI49" t="str">
        <f t="shared" si="11"/>
        <v>Croacia</v>
      </c>
      <c r="BJ49" s="6">
        <f>+COUNTIFS('Inputs summary'!I$2:I$106,BI49)</f>
        <v>2</v>
      </c>
      <c r="BK49" s="6">
        <f>+COUNTIFS('Inputs summary'!J$2:K$106,BI49)</f>
        <v>0</v>
      </c>
      <c r="BL49" s="6">
        <f>+COUNTIFS('Inputs summary'!L$2:L$106,BI49)</f>
        <v>1</v>
      </c>
      <c r="BM49" s="6">
        <f t="shared" si="19"/>
        <v>3</v>
      </c>
      <c r="BN49" s="6">
        <f>+SUMIF('Inputs summary'!$B$1:$B$106,$BI49,'Inputs summary'!$C$1:$C$106)+SUMIF('Inputs summary'!$E$1:$E$106,$BI49,'Inputs summary'!$D$1:$D$106)</f>
        <v>5</v>
      </c>
      <c r="BO49" s="6">
        <f>+SUMIF('Inputs summary'!$B$1:$B$106,$BI49,'Inputs summary'!$D$1:$D$106)+SUMIF('Inputs summary'!$E$1:$E$106,$BI49,'Inputs summary'!$C$1:$C$106)</f>
        <v>2</v>
      </c>
      <c r="BP49" s="166">
        <f t="shared" si="12"/>
        <v>6.0350111000000002</v>
      </c>
    </row>
    <row r="50" spans="7:68" x14ac:dyDescent="0.2">
      <c r="G50">
        <v>47</v>
      </c>
      <c r="H50" t="str">
        <f>+'Groups Stage'!O104</f>
        <v>Ghana</v>
      </c>
      <c r="I50" s="6">
        <f t="shared" si="0"/>
        <v>0</v>
      </c>
      <c r="J50" s="6">
        <f t="shared" si="1"/>
        <v>0</v>
      </c>
      <c r="K50" s="6">
        <f t="shared" si="2"/>
        <v>0</v>
      </c>
      <c r="L50" s="6">
        <f t="shared" si="3"/>
        <v>0</v>
      </c>
      <c r="M50" s="6">
        <f t="shared" si="4"/>
        <v>0</v>
      </c>
      <c r="N50" s="6">
        <f t="shared" si="5"/>
        <v>0</v>
      </c>
      <c r="O50" s="6">
        <f t="shared" si="6"/>
        <v>1</v>
      </c>
      <c r="P50" s="6">
        <f t="shared" si="13"/>
        <v>1</v>
      </c>
      <c r="Q50" s="6">
        <f>+COUNTIFS('Inputs summary'!I:I,$H50)</f>
        <v>1</v>
      </c>
      <c r="R50" s="6">
        <f>+COUNTIFS('Inputs summary'!J:K,$H50)</f>
        <v>0</v>
      </c>
      <c r="S50" s="6">
        <f>+COUNTIFS('Inputs summary'!L:L,$H50)</f>
        <v>3</v>
      </c>
      <c r="T50" s="6">
        <f t="shared" si="14"/>
        <v>-3</v>
      </c>
      <c r="U50" s="6">
        <f>+SUMIF('Inputs summary'!B:B,H50,'Inputs summary'!C:C)+SUMIF('Inputs summary'!E:E,H50,'Inputs summary'!D:D)</f>
        <v>4</v>
      </c>
      <c r="V50" s="6">
        <f>+SUMIF('Inputs summary'!B:B,H50,'Inputs summary'!D:D)+SUMIF('Inputs summary'!E:E,H50,'Inputs summary'!C:C)</f>
        <v>7</v>
      </c>
      <c r="W50" s="159">
        <f t="shared" si="15"/>
        <v>102.97040000013513</v>
      </c>
      <c r="X50" s="173">
        <f t="shared" si="16"/>
        <v>1</v>
      </c>
      <c r="Y50" s="167">
        <f t="shared" si="7"/>
        <v>3</v>
      </c>
      <c r="Z50" s="173">
        <f t="shared" si="17"/>
        <v>102.97040033346846</v>
      </c>
      <c r="AA50" s="173">
        <f>+_xlfn.XLOOKUP(H50,'Ranking FIFA'!B:B,'Ranking FIFA'!A:A,"--",0)</f>
        <v>74</v>
      </c>
      <c r="AP50" s="457">
        <f>+_xlfn.XLOOKUP(AQ50,'Ranking FIFA'!B:B,'Ranking FIFA'!A:A,"--",0)</f>
        <v>83</v>
      </c>
      <c r="AQ50" t="s">
        <v>94</v>
      </c>
      <c r="AR50" s="6">
        <v>4</v>
      </c>
      <c r="AT50" s="169">
        <f t="shared" si="8"/>
        <v>0</v>
      </c>
      <c r="AU50" s="166">
        <f t="shared" si="9"/>
        <v>-7.9999999879518072E-2</v>
      </c>
      <c r="BH50">
        <v>47</v>
      </c>
      <c r="BI50" t="str">
        <f t="shared" si="11"/>
        <v>Ghana</v>
      </c>
      <c r="BJ50" s="6">
        <f>+COUNTIFS('Inputs summary'!I$2:I$106,BI50)</f>
        <v>1</v>
      </c>
      <c r="BK50" s="6">
        <f>+COUNTIFS('Inputs summary'!J$2:K$106,BI50)</f>
        <v>0</v>
      </c>
      <c r="BL50" s="6">
        <f>+COUNTIFS('Inputs summary'!L$2:L$106,BI50)</f>
        <v>2</v>
      </c>
      <c r="BM50" s="6">
        <f t="shared" si="19"/>
        <v>0</v>
      </c>
      <c r="BN50" s="6">
        <f>+SUMIF('Inputs summary'!$B$1:$B$106,$BI50,'Inputs summary'!$C$1:$C$106)+SUMIF('Inputs summary'!$E$1:$E$106,$BI50,'Inputs summary'!$D$1:$D$106)</f>
        <v>4</v>
      </c>
      <c r="BO50" s="6">
        <f>+SUMIF('Inputs summary'!$B$1:$B$106,$BI50,'Inputs summary'!$D$1:$D$106)+SUMIF('Inputs summary'!$E$1:$E$106,$BI50,'Inputs summary'!$C$1:$C$106)</f>
        <v>4</v>
      </c>
      <c r="BP50" s="166">
        <f t="shared" si="12"/>
        <v>3.0040374000000001</v>
      </c>
    </row>
    <row r="51" spans="7:68" x14ac:dyDescent="0.2">
      <c r="G51">
        <v>48</v>
      </c>
      <c r="H51" t="str">
        <f>+'Groups Stage'!O105</f>
        <v>Panama</v>
      </c>
      <c r="I51" s="6">
        <f t="shared" si="0"/>
        <v>0</v>
      </c>
      <c r="J51" s="6">
        <f t="shared" si="1"/>
        <v>0</v>
      </c>
      <c r="K51" s="6">
        <f t="shared" si="2"/>
        <v>0</v>
      </c>
      <c r="L51" s="6">
        <f t="shared" si="3"/>
        <v>0</v>
      </c>
      <c r="M51" s="6">
        <f t="shared" si="4"/>
        <v>0</v>
      </c>
      <c r="N51" s="6">
        <f t="shared" si="5"/>
        <v>0</v>
      </c>
      <c r="O51" s="6">
        <f t="shared" si="6"/>
        <v>0</v>
      </c>
      <c r="P51" s="6">
        <f t="shared" si="13"/>
        <v>0</v>
      </c>
      <c r="Q51" s="6">
        <f>+COUNTIFS('Inputs summary'!I:I,$H51)</f>
        <v>0</v>
      </c>
      <c r="R51" s="6">
        <f>+COUNTIFS('Inputs summary'!J:K,$H51)</f>
        <v>0</v>
      </c>
      <c r="S51" s="6">
        <f>+COUNTIFS('Inputs summary'!L:L,$H51)</f>
        <v>3</v>
      </c>
      <c r="T51" s="6">
        <f t="shared" si="14"/>
        <v>-9</v>
      </c>
      <c r="U51" s="6">
        <f>+SUMIF('Inputs summary'!B:B,H51,'Inputs summary'!C:C)+SUMIF('Inputs summary'!E:E,H51,'Inputs summary'!D:D)</f>
        <v>0</v>
      </c>
      <c r="V51" s="6">
        <f>+SUMIF('Inputs summary'!B:B,H51,'Inputs summary'!D:D)+SUMIF('Inputs summary'!E:E,H51,'Inputs summary'!C:C)</f>
        <v>9</v>
      </c>
      <c r="W51" s="159">
        <f t="shared" si="15"/>
        <v>-8.9999999696969687E-2</v>
      </c>
      <c r="X51" s="173">
        <f t="shared" si="16"/>
        <v>0</v>
      </c>
      <c r="Y51" s="167">
        <f t="shared" si="7"/>
        <v>3</v>
      </c>
      <c r="Z51" s="173">
        <f t="shared" si="17"/>
        <v>-8.9999666363636349E-2</v>
      </c>
      <c r="AA51" s="173">
        <f>+_xlfn.XLOOKUP(H51,'Ranking FIFA'!B:B,'Ranking FIFA'!A:A,"--",0)</f>
        <v>33</v>
      </c>
      <c r="AP51" s="457">
        <f>+_xlfn.XLOOKUP(AQ51,'Ranking FIFA'!B:B,'Ranking FIFA'!A:A,"--",0)</f>
        <v>85</v>
      </c>
      <c r="AQ51" t="s">
        <v>95</v>
      </c>
      <c r="AR51" s="6">
        <v>4</v>
      </c>
      <c r="AT51" s="169">
        <f t="shared" si="8"/>
        <v>0</v>
      </c>
      <c r="AU51" s="166">
        <f t="shared" si="9"/>
        <v>-6.9999999882352948E-2</v>
      </c>
      <c r="BH51">
        <v>48</v>
      </c>
      <c r="BI51" t="str">
        <f t="shared" si="11"/>
        <v>Panama</v>
      </c>
      <c r="BJ51" s="6">
        <f>+COUNTIFS('Inputs summary'!I$2:I$106,BI51)</f>
        <v>0</v>
      </c>
      <c r="BK51" s="6">
        <f>+COUNTIFS('Inputs summary'!J$2:K$106,BI51)</f>
        <v>0</v>
      </c>
      <c r="BL51" s="6">
        <f>+COUNTIFS('Inputs summary'!L$2:L$106,BI51)</f>
        <v>3</v>
      </c>
      <c r="BM51" s="6">
        <f t="shared" si="19"/>
        <v>-9</v>
      </c>
      <c r="BN51" s="6">
        <f>+SUMIF('Inputs summary'!$B$1:$B$106,$BI51,'Inputs summary'!$C$1:$C$106)+SUMIF('Inputs summary'!$E$1:$E$106,$BI51,'Inputs summary'!$D$1:$D$106)</f>
        <v>0</v>
      </c>
      <c r="BO51" s="6">
        <f>+SUMIF('Inputs summary'!$B$1:$B$106,$BI51,'Inputs summary'!$D$1:$D$106)+SUMIF('Inputs summary'!$E$1:$E$106,$BI51,'Inputs summary'!$C$1:$C$106)</f>
        <v>9</v>
      </c>
      <c r="BP51" s="166">
        <f t="shared" si="12"/>
        <v>-8.9966699999999997E-2</v>
      </c>
    </row>
  </sheetData>
  <autoFilter ref="V3:Y51" xr:uid="{8234EAAB-CF15-47E4-8C97-B3496DEC1220}"/>
  <sortState xmlns:xlrd2="http://schemas.microsoft.com/office/spreadsheetml/2017/richdata2" ref="AP4:AR51">
    <sortCondition ref="AR4:AR51"/>
    <sortCondition ref="AP4:AP51"/>
  </sortState>
  <phoneticPr fontId="6" type="noConversion"/>
  <conditionalFormatting sqref="I4:P51">
    <cfRule type="cellIs" dxfId="0" priority="4" operator="greaterThan">
      <formula>0</formula>
    </cfRule>
  </conditionalFormatting>
  <conditionalFormatting sqref="P4:P51">
    <cfRule type="colorScale" priority="3">
      <colorScale>
        <cfvo type="min"/>
        <cfvo type="percentile" val="50"/>
        <cfvo type="max"/>
        <color rgb="FFF8696B"/>
        <color rgb="FFFFEB84"/>
        <color rgb="FF63BE7B"/>
      </colorScale>
    </cfRule>
  </conditionalFormatting>
  <conditionalFormatting sqref="AR4:AR14 AR15:AS51">
    <cfRule type="colorScale" priority="226">
      <colorScale>
        <cfvo type="min"/>
        <cfvo type="percentile" val="50"/>
        <cfvo type="max"/>
        <color rgb="FF63BE7B"/>
        <color rgb="FFFFEB84"/>
        <color rgb="FFF8696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7C5CA-7905-4A23-9DDD-8FB830AE39DC}">
  <dimension ref="A1:B21"/>
  <sheetViews>
    <sheetView workbookViewId="0">
      <selection activeCell="B12" sqref="B12"/>
    </sheetView>
  </sheetViews>
  <sheetFormatPr defaultRowHeight="14.25" x14ac:dyDescent="0.2"/>
  <cols>
    <col min="1" max="1" width="13.625" style="453" bestFit="1" customWidth="1"/>
    <col min="2" max="2" width="88.75" style="453" customWidth="1"/>
  </cols>
  <sheetData>
    <row r="1" spans="1:2" ht="71.25" x14ac:dyDescent="0.2">
      <c r="A1" s="453" t="s">
        <v>53</v>
      </c>
      <c r="B1" s="455" t="s">
        <v>853</v>
      </c>
    </row>
    <row r="2" spans="1:2" ht="42.75" x14ac:dyDescent="0.2">
      <c r="A2" s="453" t="s">
        <v>56</v>
      </c>
      <c r="B2" s="455" t="s">
        <v>854</v>
      </c>
    </row>
    <row r="3" spans="1:2" ht="71.25" x14ac:dyDescent="0.2">
      <c r="A3" s="453" t="s">
        <v>54</v>
      </c>
      <c r="B3" s="455" t="s">
        <v>855</v>
      </c>
    </row>
    <row r="4" spans="1:2" ht="42.75" x14ac:dyDescent="0.2">
      <c r="A4" s="453" t="s">
        <v>55</v>
      </c>
      <c r="B4" s="455" t="s">
        <v>856</v>
      </c>
    </row>
    <row r="5" spans="1:2" ht="57" x14ac:dyDescent="0.2">
      <c r="A5" s="453" t="s">
        <v>49</v>
      </c>
      <c r="B5" s="455" t="s">
        <v>857</v>
      </c>
    </row>
    <row r="6" spans="1:2" ht="57" x14ac:dyDescent="0.2">
      <c r="A6" s="453" t="s">
        <v>58</v>
      </c>
      <c r="B6" s="455" t="s">
        <v>858</v>
      </c>
    </row>
    <row r="7" spans="1:2" ht="42.75" x14ac:dyDescent="0.2">
      <c r="A7" s="453" t="s">
        <v>48</v>
      </c>
      <c r="B7" s="455" t="s">
        <v>859</v>
      </c>
    </row>
    <row r="8" spans="1:2" ht="57" x14ac:dyDescent="0.2">
      <c r="A8" s="453" t="s">
        <v>50</v>
      </c>
      <c r="B8" s="455" t="s">
        <v>860</v>
      </c>
    </row>
    <row r="9" spans="1:2" ht="128.25" x14ac:dyDescent="0.2">
      <c r="A9" s="453" t="s">
        <v>52</v>
      </c>
      <c r="B9" s="455" t="s">
        <v>861</v>
      </c>
    </row>
    <row r="10" spans="1:2" ht="42.75" x14ac:dyDescent="0.2">
      <c r="A10" s="453" t="s">
        <v>51</v>
      </c>
      <c r="B10" s="455" t="s">
        <v>862</v>
      </c>
    </row>
    <row r="11" spans="1:2" ht="42.75" x14ac:dyDescent="0.2">
      <c r="A11" s="453" t="s">
        <v>57</v>
      </c>
      <c r="B11" s="455" t="s">
        <v>863</v>
      </c>
    </row>
    <row r="12" spans="1:2" ht="42.75" x14ac:dyDescent="0.2">
      <c r="B12" s="455" t="str">
        <f>"Felicitaciones. Usted a elegido a " &amp; 'Total Results'!D2 &amp; " como campeón. Desconocemos si lo hace a conciencia, si lo hace para destacarse, o si simplemente lo hace para joder. Sea como sea lo felicitamos; LA ESPERANZA ES LO ÚLTIMO QUE SE PIERDE. Celebramos su elección y le deseamos mucha suerte."</f>
        <v>Felicitaciones. Usted a elegido a Argentina como campeón. Desconocemos si lo hace a conciencia, si lo hace para destacarse, o si simplemente lo hace para joder. Sea como sea lo felicitamos; LA ESPERANZA ES LO ÚLTIMO QUE SE PIERDE. Celebramos su elección y le deseamos mucha suerte.</v>
      </c>
    </row>
    <row r="13" spans="1:2" x14ac:dyDescent="0.2">
      <c r="B13" s="454"/>
    </row>
    <row r="14" spans="1:2" x14ac:dyDescent="0.2">
      <c r="B14" s="454"/>
    </row>
    <row r="15" spans="1:2" x14ac:dyDescent="0.2">
      <c r="B15" s="454"/>
    </row>
    <row r="16" spans="1:2" x14ac:dyDescent="0.2">
      <c r="B16" s="454"/>
    </row>
    <row r="17" spans="2:2" x14ac:dyDescent="0.2">
      <c r="B17" s="454"/>
    </row>
    <row r="18" spans="2:2" x14ac:dyDescent="0.2">
      <c r="B18" s="454"/>
    </row>
    <row r="19" spans="2:2" x14ac:dyDescent="0.2">
      <c r="B19" s="454"/>
    </row>
    <row r="20" spans="2:2" x14ac:dyDescent="0.2">
      <c r="B20" s="454"/>
    </row>
    <row r="21" spans="2:2" x14ac:dyDescent="0.2">
      <c r="B21" s="45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36E2E-98ED-4F7F-A5C9-11B0E7E5938C}">
  <dimension ref="A1:F102"/>
  <sheetViews>
    <sheetView zoomScale="80" zoomScaleNormal="80" workbookViewId="0">
      <selection activeCell="E1" sqref="E1:F1048576"/>
    </sheetView>
  </sheetViews>
  <sheetFormatPr defaultRowHeight="14.25" x14ac:dyDescent="0.2"/>
  <cols>
    <col min="1" max="1" width="8.125" bestFit="1" customWidth="1"/>
    <col min="2" max="2" width="20.5" bestFit="1" customWidth="1"/>
    <col min="3" max="3" width="15.375" bestFit="1" customWidth="1"/>
    <col min="4" max="4" width="10.25" bestFit="1" customWidth="1"/>
    <col min="5" max="5" width="16.125" bestFit="1" customWidth="1"/>
  </cols>
  <sheetData>
    <row r="1" spans="1:6" x14ac:dyDescent="0.2">
      <c r="A1">
        <v>1</v>
      </c>
      <c r="B1" t="str">
        <f>+_xlfn.XLOOKUP(A1,F:F,E:E,"--",0)</f>
        <v>Francia</v>
      </c>
      <c r="E1" t="s">
        <v>56</v>
      </c>
      <c r="F1">
        <v>10</v>
      </c>
    </row>
    <row r="2" spans="1:6" x14ac:dyDescent="0.2">
      <c r="A2">
        <v>2</v>
      </c>
      <c r="B2" t="str">
        <f t="shared" ref="B2:B48" si="0">+_xlfn.XLOOKUP(A2,F:F,E:E,"--",0)</f>
        <v>España</v>
      </c>
      <c r="E2" t="s">
        <v>83</v>
      </c>
      <c r="F2">
        <v>61</v>
      </c>
    </row>
    <row r="3" spans="1:6" x14ac:dyDescent="0.2">
      <c r="A3">
        <v>3</v>
      </c>
      <c r="B3" t="str">
        <f t="shared" si="0"/>
        <v>Argentina</v>
      </c>
      <c r="C3" s="188"/>
      <c r="D3" s="168"/>
      <c r="E3" t="s">
        <v>74</v>
      </c>
      <c r="F3">
        <v>28</v>
      </c>
    </row>
    <row r="4" spans="1:6" x14ac:dyDescent="0.2">
      <c r="A4">
        <v>4</v>
      </c>
      <c r="B4" t="str">
        <f t="shared" si="0"/>
        <v>Inglaterra</v>
      </c>
      <c r="C4" s="188"/>
      <c r="D4" s="168"/>
      <c r="E4" t="s">
        <v>50</v>
      </c>
      <c r="F4">
        <v>3</v>
      </c>
    </row>
    <row r="5" spans="1:6" x14ac:dyDescent="0.2">
      <c r="A5">
        <v>5</v>
      </c>
      <c r="B5" t="str">
        <f t="shared" si="0"/>
        <v>Portugal</v>
      </c>
      <c r="C5" s="188"/>
      <c r="D5" s="168"/>
      <c r="E5" t="s">
        <v>73</v>
      </c>
      <c r="F5">
        <v>27</v>
      </c>
    </row>
    <row r="6" spans="1:6" x14ac:dyDescent="0.2">
      <c r="A6">
        <v>6</v>
      </c>
      <c r="B6" t="str">
        <f t="shared" si="0"/>
        <v>Brasil</v>
      </c>
      <c r="C6" s="188"/>
      <c r="D6" s="168"/>
      <c r="E6" t="s">
        <v>72</v>
      </c>
      <c r="F6">
        <v>24</v>
      </c>
    </row>
    <row r="7" spans="1:6" x14ac:dyDescent="0.2">
      <c r="A7">
        <v>7</v>
      </c>
      <c r="B7" t="str">
        <f t="shared" si="0"/>
        <v>Paises Bajos</v>
      </c>
      <c r="C7" s="188"/>
      <c r="D7" s="168"/>
      <c r="E7" t="s">
        <v>55</v>
      </c>
      <c r="F7">
        <v>9</v>
      </c>
    </row>
    <row r="8" spans="1:6" x14ac:dyDescent="0.2">
      <c r="A8">
        <v>8</v>
      </c>
      <c r="B8" t="str">
        <f t="shared" si="0"/>
        <v>Marruecos</v>
      </c>
      <c r="C8" s="188"/>
      <c r="D8" s="168"/>
      <c r="E8" t="s">
        <v>84</v>
      </c>
      <c r="F8">
        <v>65</v>
      </c>
    </row>
    <row r="9" spans="1:6" x14ac:dyDescent="0.2">
      <c r="A9">
        <v>9</v>
      </c>
      <c r="B9" t="str">
        <f t="shared" si="0"/>
        <v>Belgica</v>
      </c>
      <c r="C9" s="188"/>
      <c r="D9" s="168"/>
      <c r="E9" t="s">
        <v>53</v>
      </c>
      <c r="F9">
        <v>6</v>
      </c>
    </row>
    <row r="10" spans="1:6" x14ac:dyDescent="0.2">
      <c r="A10">
        <v>10</v>
      </c>
      <c r="B10" t="str">
        <f t="shared" si="0"/>
        <v>Alemania</v>
      </c>
      <c r="D10" s="168"/>
      <c r="E10" t="s">
        <v>92</v>
      </c>
      <c r="F10">
        <v>69</v>
      </c>
    </row>
    <row r="11" spans="1:6" x14ac:dyDescent="0.2">
      <c r="A11">
        <v>11</v>
      </c>
      <c r="B11" t="str">
        <f t="shared" si="0"/>
        <v>Croacia</v>
      </c>
      <c r="C11" s="188"/>
      <c r="D11" s="168"/>
      <c r="E11" t="s">
        <v>76</v>
      </c>
      <c r="F11">
        <v>30</v>
      </c>
    </row>
    <row r="12" spans="1:6" x14ac:dyDescent="0.2">
      <c r="A12">
        <v>13</v>
      </c>
      <c r="B12" t="str">
        <f t="shared" si="0"/>
        <v>Colombia</v>
      </c>
      <c r="C12" s="188"/>
      <c r="D12" s="168"/>
      <c r="E12" t="s">
        <v>60</v>
      </c>
      <c r="F12">
        <v>13</v>
      </c>
    </row>
    <row r="13" spans="1:6" x14ac:dyDescent="0.2">
      <c r="A13">
        <v>14</v>
      </c>
      <c r="B13" t="str">
        <f t="shared" si="0"/>
        <v>Senegal</v>
      </c>
      <c r="C13" s="188"/>
      <c r="D13" s="168"/>
      <c r="E13" t="s">
        <v>87</v>
      </c>
      <c r="F13">
        <v>46</v>
      </c>
    </row>
    <row r="14" spans="1:6" x14ac:dyDescent="0.2">
      <c r="A14">
        <v>15</v>
      </c>
      <c r="B14" t="str">
        <f t="shared" si="0"/>
        <v>Mexico</v>
      </c>
      <c r="C14" s="188"/>
      <c r="D14" s="168"/>
      <c r="E14" t="s">
        <v>68</v>
      </c>
      <c r="F14">
        <v>25</v>
      </c>
    </row>
    <row r="15" spans="1:6" x14ac:dyDescent="0.2">
      <c r="A15">
        <v>16</v>
      </c>
      <c r="B15" t="str">
        <f t="shared" si="0"/>
        <v>Estados Unidos</v>
      </c>
      <c r="C15" s="188"/>
      <c r="D15" s="168"/>
      <c r="E15" t="s">
        <v>78</v>
      </c>
      <c r="F15">
        <v>34</v>
      </c>
    </row>
    <row r="16" spans="1:6" x14ac:dyDescent="0.2">
      <c r="A16">
        <v>17</v>
      </c>
      <c r="B16" t="str">
        <f t="shared" si="0"/>
        <v>Uruguay</v>
      </c>
      <c r="D16" s="168"/>
      <c r="E16" t="s">
        <v>57</v>
      </c>
      <c r="F16">
        <v>11</v>
      </c>
    </row>
    <row r="17" spans="1:6" x14ac:dyDescent="0.2">
      <c r="A17">
        <v>18</v>
      </c>
      <c r="B17" t="str">
        <f t="shared" si="0"/>
        <v>Japon</v>
      </c>
      <c r="C17" s="188"/>
      <c r="D17" s="168"/>
      <c r="E17" t="s">
        <v>93</v>
      </c>
      <c r="F17">
        <v>82</v>
      </c>
    </row>
    <row r="18" spans="1:6" x14ac:dyDescent="0.2">
      <c r="A18">
        <v>19</v>
      </c>
      <c r="B18" t="str">
        <f t="shared" si="0"/>
        <v>Suiza</v>
      </c>
      <c r="C18" s="188"/>
      <c r="D18" s="168"/>
      <c r="E18" t="s">
        <v>67</v>
      </c>
      <c r="F18">
        <v>23</v>
      </c>
    </row>
    <row r="19" spans="1:6" x14ac:dyDescent="0.2">
      <c r="A19">
        <v>21</v>
      </c>
      <c r="B19" t="str">
        <f t="shared" si="0"/>
        <v>Iran</v>
      </c>
      <c r="C19" s="188"/>
      <c r="D19" s="168"/>
      <c r="E19" t="s">
        <v>75</v>
      </c>
      <c r="F19">
        <v>29</v>
      </c>
    </row>
    <row r="20" spans="1:6" x14ac:dyDescent="0.2">
      <c r="A20">
        <v>22</v>
      </c>
      <c r="B20" t="str">
        <f t="shared" si="0"/>
        <v>Turquia</v>
      </c>
      <c r="C20" s="188"/>
      <c r="D20" s="168"/>
      <c r="E20" t="s">
        <v>80</v>
      </c>
      <c r="F20">
        <v>43</v>
      </c>
    </row>
    <row r="21" spans="1:6" x14ac:dyDescent="0.2">
      <c r="A21">
        <v>23</v>
      </c>
      <c r="B21" t="str">
        <f t="shared" si="0"/>
        <v>Ecuador</v>
      </c>
      <c r="C21" s="188"/>
      <c r="D21" s="168"/>
      <c r="E21" t="s">
        <v>49</v>
      </c>
      <c r="F21">
        <v>2</v>
      </c>
    </row>
    <row r="22" spans="1:6" x14ac:dyDescent="0.2">
      <c r="A22">
        <v>24</v>
      </c>
      <c r="B22" t="str">
        <f t="shared" si="0"/>
        <v>Austria</v>
      </c>
      <c r="C22" s="188"/>
      <c r="D22" s="168"/>
      <c r="E22" t="s">
        <v>63</v>
      </c>
      <c r="F22">
        <v>16</v>
      </c>
    </row>
    <row r="23" spans="1:6" x14ac:dyDescent="0.2">
      <c r="A23">
        <v>25</v>
      </c>
      <c r="B23" t="str">
        <f t="shared" si="0"/>
        <v>Corea del Sur</v>
      </c>
      <c r="C23" s="188"/>
      <c r="D23" s="168"/>
      <c r="E23" t="s">
        <v>48</v>
      </c>
      <c r="F23">
        <v>1</v>
      </c>
    </row>
    <row r="24" spans="1:6" x14ac:dyDescent="0.2">
      <c r="A24">
        <v>27</v>
      </c>
      <c r="B24" t="str">
        <f t="shared" si="0"/>
        <v>Australia</v>
      </c>
      <c r="C24" s="188"/>
      <c r="D24" s="168"/>
      <c r="E24" t="s">
        <v>85</v>
      </c>
      <c r="F24">
        <v>74</v>
      </c>
    </row>
    <row r="25" spans="1:6" x14ac:dyDescent="0.2">
      <c r="A25">
        <v>28</v>
      </c>
      <c r="B25" t="str">
        <f t="shared" si="0"/>
        <v>Argelia</v>
      </c>
      <c r="C25" s="188"/>
      <c r="D25" s="168"/>
      <c r="E25" t="s">
        <v>94</v>
      </c>
      <c r="F25">
        <v>83</v>
      </c>
    </row>
    <row r="26" spans="1:6" x14ac:dyDescent="0.2">
      <c r="A26">
        <v>29</v>
      </c>
      <c r="B26" t="str">
        <f t="shared" si="0"/>
        <v>Egipto</v>
      </c>
      <c r="C26" s="188"/>
      <c r="D26" s="168"/>
      <c r="E26" t="s">
        <v>51</v>
      </c>
      <c r="F26">
        <v>4</v>
      </c>
    </row>
    <row r="27" spans="1:6" x14ac:dyDescent="0.2">
      <c r="A27">
        <v>30</v>
      </c>
      <c r="B27" t="str">
        <f t="shared" si="0"/>
        <v>Canada</v>
      </c>
      <c r="C27" s="188"/>
      <c r="D27" s="168"/>
      <c r="E27" t="s">
        <v>90</v>
      </c>
      <c r="F27">
        <v>57</v>
      </c>
    </row>
    <row r="28" spans="1:6" x14ac:dyDescent="0.2">
      <c r="A28">
        <v>31</v>
      </c>
      <c r="B28" t="str">
        <f t="shared" si="0"/>
        <v>Noruega</v>
      </c>
      <c r="C28" s="188"/>
      <c r="D28" s="168"/>
      <c r="E28" t="s">
        <v>86</v>
      </c>
      <c r="F28">
        <v>21</v>
      </c>
    </row>
    <row r="29" spans="1:6" x14ac:dyDescent="0.2">
      <c r="A29">
        <v>33</v>
      </c>
      <c r="B29" t="str">
        <f t="shared" si="0"/>
        <v>Panama</v>
      </c>
      <c r="D29" s="168"/>
      <c r="E29" t="s">
        <v>64</v>
      </c>
      <c r="F29">
        <v>18</v>
      </c>
    </row>
    <row r="30" spans="1:6" x14ac:dyDescent="0.2">
      <c r="A30">
        <v>34</v>
      </c>
      <c r="B30" t="str">
        <f t="shared" si="0"/>
        <v>Costa de Marfil</v>
      </c>
      <c r="D30" s="168"/>
      <c r="E30" t="s">
        <v>91</v>
      </c>
      <c r="F30">
        <v>63</v>
      </c>
    </row>
    <row r="31" spans="1:6" x14ac:dyDescent="0.2">
      <c r="A31">
        <v>38</v>
      </c>
      <c r="B31" t="str">
        <f t="shared" si="0"/>
        <v>Suecia</v>
      </c>
      <c r="C31" s="188"/>
      <c r="D31" s="168"/>
      <c r="E31" t="s">
        <v>59</v>
      </c>
      <c r="F31">
        <v>8</v>
      </c>
    </row>
    <row r="32" spans="1:6" x14ac:dyDescent="0.2">
      <c r="A32">
        <v>40</v>
      </c>
      <c r="B32" t="str">
        <f t="shared" si="0"/>
        <v>Paraguay</v>
      </c>
      <c r="C32" s="188"/>
      <c r="D32" s="168"/>
      <c r="E32" t="s">
        <v>62</v>
      </c>
      <c r="F32">
        <v>15</v>
      </c>
    </row>
    <row r="33" spans="1:6" x14ac:dyDescent="0.2">
      <c r="A33">
        <v>41</v>
      </c>
      <c r="B33" t="str">
        <f t="shared" si="0"/>
        <v>Repubilca Checa</v>
      </c>
      <c r="D33" s="168"/>
      <c r="E33" t="s">
        <v>69</v>
      </c>
      <c r="F33">
        <v>31</v>
      </c>
    </row>
    <row r="34" spans="1:6" x14ac:dyDescent="0.2">
      <c r="A34">
        <v>43</v>
      </c>
      <c r="B34" t="str">
        <f t="shared" si="0"/>
        <v>Escocia</v>
      </c>
      <c r="C34" s="188"/>
      <c r="D34" s="168"/>
      <c r="E34" t="s">
        <v>95</v>
      </c>
      <c r="F34">
        <v>85</v>
      </c>
    </row>
    <row r="35" spans="1:6" x14ac:dyDescent="0.2">
      <c r="A35">
        <v>44</v>
      </c>
      <c r="B35" t="str">
        <f t="shared" si="0"/>
        <v>Tunez</v>
      </c>
      <c r="C35" s="188"/>
      <c r="D35" s="168"/>
      <c r="E35" t="s">
        <v>54</v>
      </c>
      <c r="F35">
        <v>7</v>
      </c>
    </row>
    <row r="36" spans="1:6" x14ac:dyDescent="0.2">
      <c r="A36">
        <v>46</v>
      </c>
      <c r="B36" t="str">
        <f t="shared" si="0"/>
        <v>Congo</v>
      </c>
      <c r="C36" s="188"/>
      <c r="D36" s="168"/>
      <c r="E36" t="s">
        <v>77</v>
      </c>
      <c r="F36">
        <v>33</v>
      </c>
    </row>
    <row r="37" spans="1:6" x14ac:dyDescent="0.2">
      <c r="A37">
        <v>50</v>
      </c>
      <c r="B37" t="str">
        <f t="shared" si="0"/>
        <v>Uzbekistan</v>
      </c>
      <c r="C37" s="188"/>
      <c r="D37" s="168"/>
      <c r="E37" t="s">
        <v>71</v>
      </c>
      <c r="F37">
        <v>40</v>
      </c>
    </row>
    <row r="38" spans="1:6" x14ac:dyDescent="0.2">
      <c r="A38">
        <v>55</v>
      </c>
      <c r="B38" t="str">
        <f t="shared" si="0"/>
        <v>Qatar</v>
      </c>
      <c r="C38" s="188"/>
      <c r="D38" s="168"/>
      <c r="E38" t="s">
        <v>52</v>
      </c>
      <c r="F38">
        <v>5</v>
      </c>
    </row>
    <row r="39" spans="1:6" x14ac:dyDescent="0.2">
      <c r="A39">
        <v>57</v>
      </c>
      <c r="B39" t="str">
        <f t="shared" si="0"/>
        <v>Irak</v>
      </c>
      <c r="D39" s="168"/>
      <c r="E39" t="s">
        <v>89</v>
      </c>
      <c r="F39">
        <v>55</v>
      </c>
    </row>
    <row r="40" spans="1:6" x14ac:dyDescent="0.2">
      <c r="A40">
        <v>60</v>
      </c>
      <c r="B40" t="str">
        <f t="shared" si="0"/>
        <v>Sudafrica</v>
      </c>
      <c r="C40" s="188"/>
      <c r="D40" s="168"/>
      <c r="E40" t="s">
        <v>79</v>
      </c>
      <c r="F40">
        <v>41</v>
      </c>
    </row>
    <row r="41" spans="1:6" x14ac:dyDescent="0.2">
      <c r="A41">
        <v>61</v>
      </c>
      <c r="B41" t="str">
        <f t="shared" si="0"/>
        <v>Arabia Saudita</v>
      </c>
      <c r="C41" s="188"/>
      <c r="D41" s="168"/>
      <c r="E41" t="s">
        <v>61</v>
      </c>
      <c r="F41">
        <v>14</v>
      </c>
    </row>
    <row r="42" spans="1:6" x14ac:dyDescent="0.2">
      <c r="A42">
        <v>63</v>
      </c>
      <c r="B42" t="str">
        <f t="shared" si="0"/>
        <v>Jordania</v>
      </c>
      <c r="C42" s="188"/>
      <c r="D42" s="168"/>
      <c r="E42" t="s">
        <v>82</v>
      </c>
      <c r="F42">
        <v>60</v>
      </c>
    </row>
    <row r="43" spans="1:6" x14ac:dyDescent="0.2">
      <c r="A43">
        <v>65</v>
      </c>
      <c r="B43" t="str">
        <f t="shared" si="0"/>
        <v>Bosnia</v>
      </c>
      <c r="C43" s="188"/>
      <c r="D43" s="168"/>
      <c r="E43" t="s">
        <v>70</v>
      </c>
      <c r="F43">
        <v>38</v>
      </c>
    </row>
    <row r="44" spans="1:6" x14ac:dyDescent="0.2">
      <c r="A44">
        <v>69</v>
      </c>
      <c r="B44" t="str">
        <f t="shared" si="0"/>
        <v>Cabo Verde</v>
      </c>
      <c r="C44" s="188"/>
      <c r="D44" s="168"/>
      <c r="E44" t="s">
        <v>65</v>
      </c>
      <c r="F44">
        <v>19</v>
      </c>
    </row>
    <row r="45" spans="1:6" x14ac:dyDescent="0.2">
      <c r="A45">
        <v>74</v>
      </c>
      <c r="B45" t="str">
        <f t="shared" si="0"/>
        <v>Ghana</v>
      </c>
      <c r="C45" s="188"/>
      <c r="D45" s="168"/>
      <c r="E45" t="s">
        <v>81</v>
      </c>
      <c r="F45">
        <v>44</v>
      </c>
    </row>
    <row r="46" spans="1:6" x14ac:dyDescent="0.2">
      <c r="A46">
        <v>82</v>
      </c>
      <c r="B46" t="str">
        <f t="shared" si="0"/>
        <v>Curazao</v>
      </c>
      <c r="C46" s="188"/>
      <c r="D46" s="168"/>
      <c r="E46" t="s">
        <v>66</v>
      </c>
      <c r="F46">
        <v>22</v>
      </c>
    </row>
    <row r="47" spans="1:6" x14ac:dyDescent="0.2">
      <c r="A47">
        <v>83</v>
      </c>
      <c r="B47" t="str">
        <f t="shared" si="0"/>
        <v>Haiti</v>
      </c>
      <c r="D47" s="168"/>
      <c r="E47" t="s">
        <v>58</v>
      </c>
      <c r="F47">
        <v>17</v>
      </c>
    </row>
    <row r="48" spans="1:6" x14ac:dyDescent="0.2">
      <c r="A48">
        <v>85</v>
      </c>
      <c r="B48" t="str">
        <f t="shared" si="0"/>
        <v>Nueva Zelanda</v>
      </c>
      <c r="C48" s="188"/>
      <c r="D48" s="168"/>
      <c r="E48" t="s">
        <v>88</v>
      </c>
      <c r="F48">
        <v>50</v>
      </c>
    </row>
    <row r="49" spans="3:4" x14ac:dyDescent="0.2">
      <c r="D49" s="168"/>
    </row>
    <row r="50" spans="3:4" x14ac:dyDescent="0.2">
      <c r="D50" s="168"/>
    </row>
    <row r="51" spans="3:4" x14ac:dyDescent="0.2">
      <c r="C51" s="188"/>
      <c r="D51" s="168"/>
    </row>
    <row r="52" spans="3:4" x14ac:dyDescent="0.2">
      <c r="C52" s="188"/>
      <c r="D52" s="168"/>
    </row>
    <row r="53" spans="3:4" x14ac:dyDescent="0.2">
      <c r="C53" s="188"/>
      <c r="D53" s="168"/>
    </row>
    <row r="54" spans="3:4" x14ac:dyDescent="0.2">
      <c r="C54" s="188"/>
      <c r="D54" s="168"/>
    </row>
    <row r="55" spans="3:4" x14ac:dyDescent="0.2">
      <c r="D55" s="168"/>
    </row>
    <row r="56" spans="3:4" x14ac:dyDescent="0.2">
      <c r="D56" s="168"/>
    </row>
    <row r="57" spans="3:4" x14ac:dyDescent="0.2">
      <c r="C57" s="188"/>
      <c r="D57" s="168"/>
    </row>
    <row r="58" spans="3:4" x14ac:dyDescent="0.2">
      <c r="C58" s="188"/>
      <c r="D58" s="168"/>
    </row>
    <row r="59" spans="3:4" x14ac:dyDescent="0.2">
      <c r="C59" s="188"/>
      <c r="D59" s="168"/>
    </row>
    <row r="60" spans="3:4" x14ac:dyDescent="0.2">
      <c r="C60" s="188"/>
      <c r="D60" s="168"/>
    </row>
    <row r="61" spans="3:4" x14ac:dyDescent="0.2">
      <c r="C61" s="188"/>
      <c r="D61" s="168"/>
    </row>
    <row r="62" spans="3:4" x14ac:dyDescent="0.2">
      <c r="D62" s="168"/>
    </row>
    <row r="63" spans="3:4" x14ac:dyDescent="0.2">
      <c r="C63" s="188"/>
      <c r="D63" s="168"/>
    </row>
    <row r="64" spans="3:4" x14ac:dyDescent="0.2">
      <c r="D64" s="168"/>
    </row>
    <row r="65" spans="3:4" x14ac:dyDescent="0.2">
      <c r="C65" s="188"/>
      <c r="D65" s="168"/>
    </row>
    <row r="66" spans="3:4" x14ac:dyDescent="0.2">
      <c r="C66" s="188"/>
      <c r="D66" s="168"/>
    </row>
    <row r="67" spans="3:4" x14ac:dyDescent="0.2">
      <c r="C67" s="188"/>
      <c r="D67" s="168"/>
    </row>
    <row r="68" spans="3:4" x14ac:dyDescent="0.2">
      <c r="C68" s="188"/>
      <c r="D68" s="168"/>
    </row>
    <row r="69" spans="3:4" x14ac:dyDescent="0.2">
      <c r="C69" s="188"/>
      <c r="D69" s="168"/>
    </row>
    <row r="70" spans="3:4" x14ac:dyDescent="0.2">
      <c r="C70" s="188"/>
      <c r="D70" s="168"/>
    </row>
    <row r="71" spans="3:4" x14ac:dyDescent="0.2">
      <c r="C71" s="188"/>
      <c r="D71" s="168"/>
    </row>
    <row r="72" spans="3:4" x14ac:dyDescent="0.2">
      <c r="C72" s="188"/>
      <c r="D72" s="168"/>
    </row>
    <row r="73" spans="3:4" x14ac:dyDescent="0.2">
      <c r="C73" s="188"/>
      <c r="D73" s="168"/>
    </row>
    <row r="74" spans="3:4" x14ac:dyDescent="0.2">
      <c r="C74" s="188"/>
      <c r="D74" s="168"/>
    </row>
    <row r="75" spans="3:4" x14ac:dyDescent="0.2">
      <c r="C75" s="188"/>
      <c r="D75" s="168"/>
    </row>
    <row r="76" spans="3:4" x14ac:dyDescent="0.2">
      <c r="C76" s="188"/>
      <c r="D76" s="168"/>
    </row>
    <row r="77" spans="3:4" x14ac:dyDescent="0.2">
      <c r="C77" s="188"/>
      <c r="D77" s="168"/>
    </row>
    <row r="78" spans="3:4" x14ac:dyDescent="0.2">
      <c r="C78" s="188"/>
      <c r="D78" s="168"/>
    </row>
    <row r="79" spans="3:4" x14ac:dyDescent="0.2">
      <c r="D79" s="168"/>
    </row>
    <row r="80" spans="3:4" x14ac:dyDescent="0.2">
      <c r="C80" s="188"/>
      <c r="D80" s="168"/>
    </row>
    <row r="81" spans="3:4" x14ac:dyDescent="0.2">
      <c r="C81" s="188"/>
      <c r="D81" s="168"/>
    </row>
    <row r="82" spans="3:4" x14ac:dyDescent="0.2">
      <c r="C82" s="188"/>
      <c r="D82" s="168"/>
    </row>
    <row r="83" spans="3:4" x14ac:dyDescent="0.2">
      <c r="C83" s="188"/>
      <c r="D83" s="168"/>
    </row>
    <row r="84" spans="3:4" x14ac:dyDescent="0.2">
      <c r="C84" s="188"/>
      <c r="D84" s="168"/>
    </row>
    <row r="85" spans="3:4" x14ac:dyDescent="0.2">
      <c r="C85" s="188"/>
      <c r="D85" s="168"/>
    </row>
    <row r="86" spans="3:4" x14ac:dyDescent="0.2">
      <c r="C86" s="188"/>
      <c r="D86" s="168"/>
    </row>
    <row r="87" spans="3:4" x14ac:dyDescent="0.2">
      <c r="C87" s="188"/>
      <c r="D87" s="168"/>
    </row>
    <row r="88" spans="3:4" x14ac:dyDescent="0.2">
      <c r="D88" s="168"/>
    </row>
    <row r="89" spans="3:4" x14ac:dyDescent="0.2">
      <c r="C89" s="188"/>
      <c r="D89" s="168"/>
    </row>
    <row r="90" spans="3:4" x14ac:dyDescent="0.2">
      <c r="D90" s="168"/>
    </row>
    <row r="91" spans="3:4" x14ac:dyDescent="0.2">
      <c r="D91" s="168"/>
    </row>
    <row r="92" spans="3:4" x14ac:dyDescent="0.2">
      <c r="C92" s="188"/>
      <c r="D92" s="168"/>
    </row>
    <row r="93" spans="3:4" x14ac:dyDescent="0.2">
      <c r="D93" s="168"/>
    </row>
    <row r="94" spans="3:4" x14ac:dyDescent="0.2">
      <c r="D94" s="168"/>
    </row>
    <row r="95" spans="3:4" x14ac:dyDescent="0.2">
      <c r="C95" s="188"/>
      <c r="D95" s="168"/>
    </row>
    <row r="96" spans="3:4" x14ac:dyDescent="0.2">
      <c r="C96" s="188"/>
      <c r="D96" s="168"/>
    </row>
    <row r="97" spans="3:4" x14ac:dyDescent="0.2">
      <c r="C97" s="188"/>
      <c r="D97" s="168"/>
    </row>
    <row r="98" spans="3:4" x14ac:dyDescent="0.2">
      <c r="C98" s="188"/>
      <c r="D98" s="168"/>
    </row>
    <row r="99" spans="3:4" x14ac:dyDescent="0.2">
      <c r="C99" s="188"/>
      <c r="D99" s="168"/>
    </row>
    <row r="100" spans="3:4" x14ac:dyDescent="0.2">
      <c r="C100" s="188"/>
      <c r="D100" s="168"/>
    </row>
    <row r="101" spans="3:4" x14ac:dyDescent="0.2">
      <c r="C101" s="188"/>
      <c r="D101" s="168"/>
    </row>
    <row r="102" spans="3:4" x14ac:dyDescent="0.2">
      <c r="C102" s="188"/>
      <c r="D102" s="168"/>
    </row>
  </sheetData>
  <sortState xmlns:xlrd2="http://schemas.microsoft.com/office/spreadsheetml/2017/richdata2" ref="A1:A48">
    <sortCondition ref="A1:A48"/>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TemplafyFormConfiguration><![CDATA[{"formFields":[],"formDataEntries":[]}]]></TemplafyFormConfiguration>
</file>

<file path=customXml/item2.xml><?xml version="1.0" encoding="utf-8"?>
<TemplafyTemplateConfiguration><![CDATA[{"transformationConfigurations":[{"colorTheme":"{{UserProfile.Location.ColorThemeRef.ColorTheme}}","disableUpdates":false,"type":"colorTheme"}],"templateName":"Blank","templateDescription":"","enableDocumentContentUpdater":true,"version":"2.0"}]]></TemplafyTemplateConfiguration>
</file>

<file path=customXml/itemProps1.xml><?xml version="1.0" encoding="utf-8"?>
<ds:datastoreItem xmlns:ds="http://schemas.openxmlformats.org/officeDocument/2006/customXml" ds:itemID="{904BC371-2ADF-4271-BF15-7D239A4D7695}">
  <ds:schemaRefs/>
</ds:datastoreItem>
</file>

<file path=customXml/itemProps2.xml><?xml version="1.0" encoding="utf-8"?>
<ds:datastoreItem xmlns:ds="http://schemas.openxmlformats.org/officeDocument/2006/customXml" ds:itemID="{34ECD078-1A11-477F-8080-F9D902BF81D7}">
  <ds:schemaRefs/>
</ds:datastoreItem>
</file>

<file path=docMetadata/LabelInfo.xml><?xml version="1.0" encoding="utf-8"?>
<clbl:labelList xmlns:clbl="http://schemas.microsoft.com/office/2020/mipLabelMetadata">
  <clbl:label id="{70200e91-ea75-4401-b787-00d11b2eaa27}" enabled="0" method="" siteId="{70200e91-ea75-4401-b787-00d11b2eaa27}"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REGLAS - PUNTOS</vt:lpstr>
      <vt:lpstr>Groups Stage</vt:lpstr>
      <vt:lpstr>Round of 32 &amp; Round of 16</vt:lpstr>
      <vt:lpstr>Quarter, Semis &amp; Final</vt:lpstr>
      <vt:lpstr>Total Results</vt:lpstr>
      <vt:lpstr>Inputs summary</vt:lpstr>
      <vt:lpstr>Playoffs</vt:lpstr>
      <vt:lpstr>Mejores 3eros</vt:lpstr>
      <vt:lpstr>Aux</vt:lpstr>
      <vt:lpstr>Comentarios</vt:lpstr>
      <vt:lpstr>Ranking FIFA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2025-10-24T10:32:56Z</dcterms:created>
  <dcterms:modified xsi:type="dcterms:W3CDTF">2026-05-04T12:48:33Z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emplafyTenantId">
    <vt:lpwstr>topsoe</vt:lpwstr>
  </property>
  <property fmtid="{D5CDD505-2E9C-101B-9397-08002B2CF9AE}" pid="3" name="TemplafyTemplateId">
    <vt:lpwstr>1303671911241221256</vt:lpwstr>
  </property>
  <property fmtid="{D5CDD505-2E9C-101B-9397-08002B2CF9AE}" pid="4" name="TemplafyUserProfileId">
    <vt:lpwstr>637819265579886887</vt:lpwstr>
  </property>
  <property fmtid="{D5CDD505-2E9C-101B-9397-08002B2CF9AE}" pid="5" name="TemplafyLanguageCode">
    <vt:lpwstr>en-US</vt:lpwstr>
  </property>
  <property fmtid="{D5CDD505-2E9C-101B-9397-08002B2CF9AE}" pid="6" name="TemplafyFromBlank">
    <vt:bool>true</vt:bool>
  </property>
</Properties>
</file>