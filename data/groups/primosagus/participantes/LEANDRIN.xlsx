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opsoe-my.sharepoint.com/personal/agcr_topsoe_com/Documents/Mundial 2026/Personal AGCR/Primos/"/>
    </mc:Choice>
  </mc:AlternateContent>
  <xr:revisionPtr revIDLastSave="124" documentId="8_{60F709FE-9C68-4C36-A5FD-1B56F9B48C53}" xr6:coauthVersionLast="47" xr6:coauthVersionMax="47" xr10:uidLastSave="{D358FC97-A640-4406-A138-C0AC2301DDF0}"/>
  <bookViews>
    <workbookView xWindow="28680" yWindow="-2640" windowWidth="24240" windowHeight="13020" tabRatio="800" activeTab="5" xr2:uid="{00000000-000D-0000-FFFF-FFFF00000000}"/>
  </bookViews>
  <sheets>
    <sheet name="REGLAS - PUNTOS" sheetId="1" r:id="rId1"/>
    <sheet name="Groups Stage" sheetId="2" r:id="rId2"/>
    <sheet name="Round of 32 &amp; Round of 16" sheetId="3" r:id="rId3"/>
    <sheet name="Quarter, Semis &amp; Final" sheetId="4" r:id="rId4"/>
    <sheet name="Total Results" sheetId="5" r:id="rId5"/>
    <sheet name="Inputs summary" sheetId="6" r:id="rId6"/>
    <sheet name="Playoffs" sheetId="7" r:id="rId7"/>
    <sheet name="Mejores 3eros" sheetId="8" r:id="rId8"/>
    <sheet name="Aux" sheetId="9" r:id="rId9"/>
    <sheet name="Comentarios" sheetId="10" r:id="rId10"/>
    <sheet name="Ranking FIFA" sheetId="11" r:id="rId11"/>
  </sheets>
  <definedNames>
    <definedName name="_xlnm._FilterDatabase" localSheetId="8" hidden="1">Aux!$V$3:$Y$51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0" i="6" l="1"/>
  <c r="C130" i="6"/>
  <c r="D129" i="6"/>
  <c r="C129" i="6"/>
  <c r="D128" i="6"/>
  <c r="C128" i="6"/>
  <c r="D127" i="6"/>
  <c r="C127" i="6"/>
  <c r="D126" i="6"/>
  <c r="C126" i="6"/>
  <c r="D125" i="6"/>
  <c r="C125" i="6"/>
  <c r="D124" i="6"/>
  <c r="C124" i="6"/>
  <c r="D123" i="6"/>
  <c r="C123" i="6"/>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BS4" i="9"/>
  <c r="AP5" i="9"/>
  <c r="AP6" i="9"/>
  <c r="AP7" i="9"/>
  <c r="AP8" i="9"/>
  <c r="AP9" i="9"/>
  <c r="AP10" i="9"/>
  <c r="AP11" i="9"/>
  <c r="AP12" i="9"/>
  <c r="AP13" i="9"/>
  <c r="AP14" i="9"/>
  <c r="AP15" i="9"/>
  <c r="AP16" i="9"/>
  <c r="AP17" i="9"/>
  <c r="AP18" i="9"/>
  <c r="AP19" i="9"/>
  <c r="AP20" i="9"/>
  <c r="AP21" i="9"/>
  <c r="AP22" i="9"/>
  <c r="AP23" i="9"/>
  <c r="AP24" i="9"/>
  <c r="AP25" i="9"/>
  <c r="AP26" i="9"/>
  <c r="AP27" i="9"/>
  <c r="AP28" i="9"/>
  <c r="AP29" i="9"/>
  <c r="AP30" i="9"/>
  <c r="AP31" i="9"/>
  <c r="AP32" i="9"/>
  <c r="AP33" i="9"/>
  <c r="AP34" i="9"/>
  <c r="AP35" i="9"/>
  <c r="AP36" i="9"/>
  <c r="AP37" i="9"/>
  <c r="AP38" i="9"/>
  <c r="AP39" i="9"/>
  <c r="AP40" i="9"/>
  <c r="AP41" i="9"/>
  <c r="AP42" i="9"/>
  <c r="AP43" i="9"/>
  <c r="AP44" i="9"/>
  <c r="AP45" i="9"/>
  <c r="AP46" i="9"/>
  <c r="AP47" i="9"/>
  <c r="AP48" i="9"/>
  <c r="AP49" i="9"/>
  <c r="AP50" i="9"/>
  <c r="AP51" i="9"/>
  <c r="AP4"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 i="9"/>
  <c r="AA4" i="9"/>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1" i="11"/>
  <c r="BC2" i="9"/>
  <c r="BB2" i="9"/>
  <c r="BA2" i="9"/>
  <c r="AZ2" i="9"/>
  <c r="AY2" i="9"/>
  <c r="X496" i="8"/>
  <c r="W496" i="8"/>
  <c r="V496" i="8"/>
  <c r="U496" i="8"/>
  <c r="T496" i="8"/>
  <c r="S496" i="8"/>
  <c r="R496" i="8"/>
  <c r="Q496" i="8"/>
  <c r="P496" i="8"/>
  <c r="X495" i="8"/>
  <c r="W495" i="8"/>
  <c r="V495" i="8"/>
  <c r="U495" i="8"/>
  <c r="T495" i="8"/>
  <c r="S495" i="8"/>
  <c r="R495" i="8"/>
  <c r="Q495" i="8"/>
  <c r="P495" i="8"/>
  <c r="X494" i="8"/>
  <c r="W494" i="8"/>
  <c r="V494" i="8"/>
  <c r="U494" i="8"/>
  <c r="T494" i="8"/>
  <c r="S494" i="8"/>
  <c r="R494" i="8"/>
  <c r="Q494" i="8"/>
  <c r="P494" i="8"/>
  <c r="X493" i="8"/>
  <c r="W493" i="8"/>
  <c r="V493" i="8"/>
  <c r="U493" i="8"/>
  <c r="T493" i="8"/>
  <c r="S493" i="8"/>
  <c r="R493" i="8"/>
  <c r="Q493" i="8"/>
  <c r="P493" i="8"/>
  <c r="X492" i="8"/>
  <c r="W492" i="8"/>
  <c r="V492" i="8"/>
  <c r="U492" i="8"/>
  <c r="T492" i="8"/>
  <c r="S492" i="8"/>
  <c r="R492" i="8"/>
  <c r="Q492" i="8"/>
  <c r="P492" i="8"/>
  <c r="X491" i="8"/>
  <c r="W491" i="8"/>
  <c r="V491" i="8"/>
  <c r="U491" i="8"/>
  <c r="T491" i="8"/>
  <c r="S491" i="8"/>
  <c r="R491" i="8"/>
  <c r="Q491" i="8"/>
  <c r="P491" i="8"/>
  <c r="X490" i="8"/>
  <c r="W490" i="8"/>
  <c r="V490" i="8"/>
  <c r="U490" i="8"/>
  <c r="T490" i="8"/>
  <c r="S490" i="8"/>
  <c r="R490" i="8"/>
  <c r="Q490" i="8"/>
  <c r="P490" i="8"/>
  <c r="X489" i="8"/>
  <c r="W489" i="8"/>
  <c r="V489" i="8"/>
  <c r="U489" i="8"/>
  <c r="T489" i="8"/>
  <c r="S489" i="8"/>
  <c r="R489" i="8"/>
  <c r="Q489" i="8"/>
  <c r="P489" i="8"/>
  <c r="X488" i="8"/>
  <c r="W488" i="8"/>
  <c r="V488" i="8"/>
  <c r="U488" i="8"/>
  <c r="T488" i="8"/>
  <c r="S488" i="8"/>
  <c r="R488" i="8"/>
  <c r="Q488" i="8"/>
  <c r="P488" i="8"/>
  <c r="X487" i="8"/>
  <c r="W487" i="8"/>
  <c r="V487" i="8"/>
  <c r="U487" i="8"/>
  <c r="T487" i="8"/>
  <c r="S487" i="8"/>
  <c r="R487" i="8"/>
  <c r="Q487" i="8"/>
  <c r="P487" i="8"/>
  <c r="X486" i="8"/>
  <c r="W486" i="8"/>
  <c r="V486" i="8"/>
  <c r="U486" i="8"/>
  <c r="T486" i="8"/>
  <c r="S486" i="8"/>
  <c r="R486" i="8"/>
  <c r="Q486" i="8"/>
  <c r="P486" i="8"/>
  <c r="X485" i="8"/>
  <c r="W485" i="8"/>
  <c r="V485" i="8"/>
  <c r="U485" i="8"/>
  <c r="T485" i="8"/>
  <c r="S485" i="8"/>
  <c r="R485" i="8"/>
  <c r="Q485" i="8"/>
  <c r="P485" i="8"/>
  <c r="X484" i="8"/>
  <c r="W484" i="8"/>
  <c r="V484" i="8"/>
  <c r="U484" i="8"/>
  <c r="T484" i="8"/>
  <c r="S484" i="8"/>
  <c r="R484" i="8"/>
  <c r="Q484" i="8"/>
  <c r="P484" i="8"/>
  <c r="X483" i="8"/>
  <c r="W483" i="8"/>
  <c r="V483" i="8"/>
  <c r="U483" i="8"/>
  <c r="T483" i="8"/>
  <c r="S483" i="8"/>
  <c r="R483" i="8"/>
  <c r="Q483" i="8"/>
  <c r="P483" i="8"/>
  <c r="X482" i="8"/>
  <c r="W482" i="8"/>
  <c r="V482" i="8"/>
  <c r="U482" i="8"/>
  <c r="T482" i="8"/>
  <c r="S482" i="8"/>
  <c r="R482" i="8"/>
  <c r="Q482" i="8"/>
  <c r="P482" i="8"/>
  <c r="X481" i="8"/>
  <c r="W481" i="8"/>
  <c r="V481" i="8"/>
  <c r="U481" i="8"/>
  <c r="T481" i="8"/>
  <c r="S481" i="8"/>
  <c r="R481" i="8"/>
  <c r="Q481" i="8"/>
  <c r="P481" i="8"/>
  <c r="X480" i="8"/>
  <c r="W480" i="8"/>
  <c r="V480" i="8"/>
  <c r="U480" i="8"/>
  <c r="T480" i="8"/>
  <c r="S480" i="8"/>
  <c r="R480" i="8"/>
  <c r="Q480" i="8"/>
  <c r="P480" i="8"/>
  <c r="X479" i="8"/>
  <c r="W479" i="8"/>
  <c r="V479" i="8"/>
  <c r="U479" i="8"/>
  <c r="T479" i="8"/>
  <c r="S479" i="8"/>
  <c r="R479" i="8"/>
  <c r="Q479" i="8"/>
  <c r="P479" i="8"/>
  <c r="X478" i="8"/>
  <c r="W478" i="8"/>
  <c r="V478" i="8"/>
  <c r="U478" i="8"/>
  <c r="T478" i="8"/>
  <c r="S478" i="8"/>
  <c r="R478" i="8"/>
  <c r="Q478" i="8"/>
  <c r="P478" i="8"/>
  <c r="X477" i="8"/>
  <c r="W477" i="8"/>
  <c r="V477" i="8"/>
  <c r="U477" i="8"/>
  <c r="T477" i="8"/>
  <c r="S477" i="8"/>
  <c r="R477" i="8"/>
  <c r="Q477" i="8"/>
  <c r="P477" i="8"/>
  <c r="X476" i="8"/>
  <c r="W476" i="8"/>
  <c r="V476" i="8"/>
  <c r="U476" i="8"/>
  <c r="T476" i="8"/>
  <c r="S476" i="8"/>
  <c r="R476" i="8"/>
  <c r="Q476" i="8"/>
  <c r="P476" i="8"/>
  <c r="X475" i="8"/>
  <c r="W475" i="8"/>
  <c r="V475" i="8"/>
  <c r="U475" i="8"/>
  <c r="T475" i="8"/>
  <c r="S475" i="8"/>
  <c r="R475" i="8"/>
  <c r="Q475" i="8"/>
  <c r="P475" i="8"/>
  <c r="X474" i="8"/>
  <c r="W474" i="8"/>
  <c r="V474" i="8"/>
  <c r="U474" i="8"/>
  <c r="T474" i="8"/>
  <c r="S474" i="8"/>
  <c r="R474" i="8"/>
  <c r="Q474" i="8"/>
  <c r="P474" i="8"/>
  <c r="X473" i="8"/>
  <c r="W473" i="8"/>
  <c r="V473" i="8"/>
  <c r="U473" i="8"/>
  <c r="T473" i="8"/>
  <c r="S473" i="8"/>
  <c r="R473" i="8"/>
  <c r="Q473" i="8"/>
  <c r="P473" i="8"/>
  <c r="X472" i="8"/>
  <c r="W472" i="8"/>
  <c r="V472" i="8"/>
  <c r="U472" i="8"/>
  <c r="T472" i="8"/>
  <c r="S472" i="8"/>
  <c r="R472" i="8"/>
  <c r="Q472" i="8"/>
  <c r="P472" i="8"/>
  <c r="X471" i="8"/>
  <c r="W471" i="8"/>
  <c r="V471" i="8"/>
  <c r="U471" i="8"/>
  <c r="T471" i="8"/>
  <c r="S471" i="8"/>
  <c r="R471" i="8"/>
  <c r="Q471" i="8"/>
  <c r="P471" i="8"/>
  <c r="X470" i="8"/>
  <c r="W470" i="8"/>
  <c r="V470" i="8"/>
  <c r="U470" i="8"/>
  <c r="T470" i="8"/>
  <c r="S470" i="8"/>
  <c r="R470" i="8"/>
  <c r="Q470" i="8"/>
  <c r="P470" i="8"/>
  <c r="X469" i="8"/>
  <c r="W469" i="8"/>
  <c r="V469" i="8"/>
  <c r="U469" i="8"/>
  <c r="T469" i="8"/>
  <c r="S469" i="8"/>
  <c r="R469" i="8"/>
  <c r="Q469" i="8"/>
  <c r="P469" i="8"/>
  <c r="X468" i="8"/>
  <c r="W468" i="8"/>
  <c r="V468" i="8"/>
  <c r="U468" i="8"/>
  <c r="T468" i="8"/>
  <c r="S468" i="8"/>
  <c r="R468" i="8"/>
  <c r="Q468" i="8"/>
  <c r="P468" i="8"/>
  <c r="X467" i="8"/>
  <c r="W467" i="8"/>
  <c r="V467" i="8"/>
  <c r="U467" i="8"/>
  <c r="T467" i="8"/>
  <c r="S467" i="8"/>
  <c r="R467" i="8"/>
  <c r="Q467" i="8"/>
  <c r="P467" i="8"/>
  <c r="X466" i="8"/>
  <c r="W466" i="8"/>
  <c r="V466" i="8"/>
  <c r="U466" i="8"/>
  <c r="T466" i="8"/>
  <c r="S466" i="8"/>
  <c r="R466" i="8"/>
  <c r="Q466" i="8"/>
  <c r="P466" i="8"/>
  <c r="X465" i="8"/>
  <c r="W465" i="8"/>
  <c r="V465" i="8"/>
  <c r="U465" i="8"/>
  <c r="T465" i="8"/>
  <c r="S465" i="8"/>
  <c r="R465" i="8"/>
  <c r="Q465" i="8"/>
  <c r="P465" i="8"/>
  <c r="X464" i="8"/>
  <c r="W464" i="8"/>
  <c r="V464" i="8"/>
  <c r="U464" i="8"/>
  <c r="T464" i="8"/>
  <c r="S464" i="8"/>
  <c r="R464" i="8"/>
  <c r="Q464" i="8"/>
  <c r="P464" i="8"/>
  <c r="X463" i="8"/>
  <c r="W463" i="8"/>
  <c r="V463" i="8"/>
  <c r="U463" i="8"/>
  <c r="T463" i="8"/>
  <c r="S463" i="8"/>
  <c r="R463" i="8"/>
  <c r="Q463" i="8"/>
  <c r="P463" i="8"/>
  <c r="X462" i="8"/>
  <c r="W462" i="8"/>
  <c r="V462" i="8"/>
  <c r="U462" i="8"/>
  <c r="T462" i="8"/>
  <c r="S462" i="8"/>
  <c r="R462" i="8"/>
  <c r="Q462" i="8"/>
  <c r="P462" i="8"/>
  <c r="X461" i="8"/>
  <c r="W461" i="8"/>
  <c r="V461" i="8"/>
  <c r="U461" i="8"/>
  <c r="T461" i="8"/>
  <c r="S461" i="8"/>
  <c r="R461" i="8"/>
  <c r="Q461" i="8"/>
  <c r="P461" i="8"/>
  <c r="X460" i="8"/>
  <c r="W460" i="8"/>
  <c r="V460" i="8"/>
  <c r="U460" i="8"/>
  <c r="T460" i="8"/>
  <c r="S460" i="8"/>
  <c r="R460" i="8"/>
  <c r="Q460" i="8"/>
  <c r="P460" i="8"/>
  <c r="X459" i="8"/>
  <c r="W459" i="8"/>
  <c r="V459" i="8"/>
  <c r="U459" i="8"/>
  <c r="T459" i="8"/>
  <c r="S459" i="8"/>
  <c r="R459" i="8"/>
  <c r="Q459" i="8"/>
  <c r="P459" i="8"/>
  <c r="X458" i="8"/>
  <c r="W458" i="8"/>
  <c r="V458" i="8"/>
  <c r="U458" i="8"/>
  <c r="T458" i="8"/>
  <c r="S458" i="8"/>
  <c r="R458" i="8"/>
  <c r="Q458" i="8"/>
  <c r="P458" i="8"/>
  <c r="X457" i="8"/>
  <c r="W457" i="8"/>
  <c r="V457" i="8"/>
  <c r="U457" i="8"/>
  <c r="T457" i="8"/>
  <c r="S457" i="8"/>
  <c r="R457" i="8"/>
  <c r="Q457" i="8"/>
  <c r="P457" i="8"/>
  <c r="X456" i="8"/>
  <c r="W456" i="8"/>
  <c r="V456" i="8"/>
  <c r="U456" i="8"/>
  <c r="T456" i="8"/>
  <c r="S456" i="8"/>
  <c r="R456" i="8"/>
  <c r="Q456" i="8"/>
  <c r="P456" i="8"/>
  <c r="X455" i="8"/>
  <c r="W455" i="8"/>
  <c r="V455" i="8"/>
  <c r="U455" i="8"/>
  <c r="T455" i="8"/>
  <c r="S455" i="8"/>
  <c r="R455" i="8"/>
  <c r="Q455" i="8"/>
  <c r="P455" i="8"/>
  <c r="X454" i="8"/>
  <c r="W454" i="8"/>
  <c r="V454" i="8"/>
  <c r="U454" i="8"/>
  <c r="T454" i="8"/>
  <c r="S454" i="8"/>
  <c r="R454" i="8"/>
  <c r="Q454" i="8"/>
  <c r="P454" i="8"/>
  <c r="X453" i="8"/>
  <c r="W453" i="8"/>
  <c r="V453" i="8"/>
  <c r="U453" i="8"/>
  <c r="T453" i="8"/>
  <c r="S453" i="8"/>
  <c r="R453" i="8"/>
  <c r="Q453" i="8"/>
  <c r="P453" i="8"/>
  <c r="X452" i="8"/>
  <c r="W452" i="8"/>
  <c r="V452" i="8"/>
  <c r="U452" i="8"/>
  <c r="T452" i="8"/>
  <c r="S452" i="8"/>
  <c r="R452" i="8"/>
  <c r="Q452" i="8"/>
  <c r="P452" i="8"/>
  <c r="X451" i="8"/>
  <c r="W451" i="8"/>
  <c r="V451" i="8"/>
  <c r="U451" i="8"/>
  <c r="T451" i="8"/>
  <c r="S451" i="8"/>
  <c r="R451" i="8"/>
  <c r="Q451" i="8"/>
  <c r="P451" i="8"/>
  <c r="X450" i="8"/>
  <c r="W450" i="8"/>
  <c r="V450" i="8"/>
  <c r="U450" i="8"/>
  <c r="T450" i="8"/>
  <c r="S450" i="8"/>
  <c r="R450" i="8"/>
  <c r="Q450" i="8"/>
  <c r="P450" i="8"/>
  <c r="X449" i="8"/>
  <c r="W449" i="8"/>
  <c r="V449" i="8"/>
  <c r="U449" i="8"/>
  <c r="T449" i="8"/>
  <c r="S449" i="8"/>
  <c r="R449" i="8"/>
  <c r="Q449" i="8"/>
  <c r="P449" i="8"/>
  <c r="X448" i="8"/>
  <c r="W448" i="8"/>
  <c r="V448" i="8"/>
  <c r="U448" i="8"/>
  <c r="T448" i="8"/>
  <c r="S448" i="8"/>
  <c r="R448" i="8"/>
  <c r="Q448" i="8"/>
  <c r="P448" i="8"/>
  <c r="X447" i="8"/>
  <c r="W447" i="8"/>
  <c r="V447" i="8"/>
  <c r="U447" i="8"/>
  <c r="T447" i="8"/>
  <c r="S447" i="8"/>
  <c r="R447" i="8"/>
  <c r="Q447" i="8"/>
  <c r="P447" i="8"/>
  <c r="X446" i="8"/>
  <c r="W446" i="8"/>
  <c r="V446" i="8"/>
  <c r="U446" i="8"/>
  <c r="T446" i="8"/>
  <c r="S446" i="8"/>
  <c r="R446" i="8"/>
  <c r="Q446" i="8"/>
  <c r="P446" i="8"/>
  <c r="X445" i="8"/>
  <c r="W445" i="8"/>
  <c r="V445" i="8"/>
  <c r="U445" i="8"/>
  <c r="T445" i="8"/>
  <c r="S445" i="8"/>
  <c r="R445" i="8"/>
  <c r="Q445" i="8"/>
  <c r="P445" i="8"/>
  <c r="X444" i="8"/>
  <c r="W444" i="8"/>
  <c r="V444" i="8"/>
  <c r="U444" i="8"/>
  <c r="T444" i="8"/>
  <c r="S444" i="8"/>
  <c r="R444" i="8"/>
  <c r="Q444" i="8"/>
  <c r="P444" i="8"/>
  <c r="X443" i="8"/>
  <c r="W443" i="8"/>
  <c r="V443" i="8"/>
  <c r="U443" i="8"/>
  <c r="T443" i="8"/>
  <c r="S443" i="8"/>
  <c r="R443" i="8"/>
  <c r="Q443" i="8"/>
  <c r="P443" i="8"/>
  <c r="X442" i="8"/>
  <c r="W442" i="8"/>
  <c r="V442" i="8"/>
  <c r="U442" i="8"/>
  <c r="T442" i="8"/>
  <c r="S442" i="8"/>
  <c r="R442" i="8"/>
  <c r="Q442" i="8"/>
  <c r="P442" i="8"/>
  <c r="X441" i="8"/>
  <c r="W441" i="8"/>
  <c r="V441" i="8"/>
  <c r="U441" i="8"/>
  <c r="T441" i="8"/>
  <c r="S441" i="8"/>
  <c r="R441" i="8"/>
  <c r="Q441" i="8"/>
  <c r="P441" i="8"/>
  <c r="X440" i="8"/>
  <c r="W440" i="8"/>
  <c r="V440" i="8"/>
  <c r="U440" i="8"/>
  <c r="T440" i="8"/>
  <c r="S440" i="8"/>
  <c r="R440" i="8"/>
  <c r="Q440" i="8"/>
  <c r="P440" i="8"/>
  <c r="X439" i="8"/>
  <c r="W439" i="8"/>
  <c r="V439" i="8"/>
  <c r="U439" i="8"/>
  <c r="T439" i="8"/>
  <c r="S439" i="8"/>
  <c r="R439" i="8"/>
  <c r="Q439" i="8"/>
  <c r="P439" i="8"/>
  <c r="X438" i="8"/>
  <c r="W438" i="8"/>
  <c r="V438" i="8"/>
  <c r="U438" i="8"/>
  <c r="T438" i="8"/>
  <c r="S438" i="8"/>
  <c r="R438" i="8"/>
  <c r="Q438" i="8"/>
  <c r="P438" i="8"/>
  <c r="X437" i="8"/>
  <c r="W437" i="8"/>
  <c r="V437" i="8"/>
  <c r="U437" i="8"/>
  <c r="T437" i="8"/>
  <c r="S437" i="8"/>
  <c r="R437" i="8"/>
  <c r="Q437" i="8"/>
  <c r="P437" i="8"/>
  <c r="X436" i="8"/>
  <c r="W436" i="8"/>
  <c r="V436" i="8"/>
  <c r="U436" i="8"/>
  <c r="T436" i="8"/>
  <c r="S436" i="8"/>
  <c r="R436" i="8"/>
  <c r="Q436" i="8"/>
  <c r="P436" i="8"/>
  <c r="X435" i="8"/>
  <c r="W435" i="8"/>
  <c r="V435" i="8"/>
  <c r="U435" i="8"/>
  <c r="T435" i="8"/>
  <c r="S435" i="8"/>
  <c r="R435" i="8"/>
  <c r="Q435" i="8"/>
  <c r="P435" i="8"/>
  <c r="X434" i="8"/>
  <c r="W434" i="8"/>
  <c r="V434" i="8"/>
  <c r="U434" i="8"/>
  <c r="T434" i="8"/>
  <c r="S434" i="8"/>
  <c r="R434" i="8"/>
  <c r="Q434" i="8"/>
  <c r="P434" i="8"/>
  <c r="X433" i="8"/>
  <c r="W433" i="8"/>
  <c r="V433" i="8"/>
  <c r="U433" i="8"/>
  <c r="T433" i="8"/>
  <c r="S433" i="8"/>
  <c r="R433" i="8"/>
  <c r="Q433" i="8"/>
  <c r="P433" i="8"/>
  <c r="X432" i="8"/>
  <c r="W432" i="8"/>
  <c r="V432" i="8"/>
  <c r="U432" i="8"/>
  <c r="T432" i="8"/>
  <c r="S432" i="8"/>
  <c r="R432" i="8"/>
  <c r="Q432" i="8"/>
  <c r="P432" i="8"/>
  <c r="X431" i="8"/>
  <c r="W431" i="8"/>
  <c r="V431" i="8"/>
  <c r="U431" i="8"/>
  <c r="T431" i="8"/>
  <c r="S431" i="8"/>
  <c r="R431" i="8"/>
  <c r="Q431" i="8"/>
  <c r="P431" i="8"/>
  <c r="X430" i="8"/>
  <c r="W430" i="8"/>
  <c r="V430" i="8"/>
  <c r="U430" i="8"/>
  <c r="T430" i="8"/>
  <c r="S430" i="8"/>
  <c r="R430" i="8"/>
  <c r="Q430" i="8"/>
  <c r="P430" i="8"/>
  <c r="X429" i="8"/>
  <c r="W429" i="8"/>
  <c r="V429" i="8"/>
  <c r="U429" i="8"/>
  <c r="T429" i="8"/>
  <c r="S429" i="8"/>
  <c r="R429" i="8"/>
  <c r="Q429" i="8"/>
  <c r="P429" i="8"/>
  <c r="X428" i="8"/>
  <c r="W428" i="8"/>
  <c r="V428" i="8"/>
  <c r="U428" i="8"/>
  <c r="T428" i="8"/>
  <c r="S428" i="8"/>
  <c r="R428" i="8"/>
  <c r="Q428" i="8"/>
  <c r="P428" i="8"/>
  <c r="X427" i="8"/>
  <c r="W427" i="8"/>
  <c r="V427" i="8"/>
  <c r="U427" i="8"/>
  <c r="T427" i="8"/>
  <c r="S427" i="8"/>
  <c r="R427" i="8"/>
  <c r="Q427" i="8"/>
  <c r="P427" i="8"/>
  <c r="X426" i="8"/>
  <c r="W426" i="8"/>
  <c r="V426" i="8"/>
  <c r="U426" i="8"/>
  <c r="T426" i="8"/>
  <c r="S426" i="8"/>
  <c r="R426" i="8"/>
  <c r="Q426" i="8"/>
  <c r="P426" i="8"/>
  <c r="X425" i="8"/>
  <c r="W425" i="8"/>
  <c r="V425" i="8"/>
  <c r="U425" i="8"/>
  <c r="T425" i="8"/>
  <c r="S425" i="8"/>
  <c r="R425" i="8"/>
  <c r="Q425" i="8"/>
  <c r="P425" i="8"/>
  <c r="X424" i="8"/>
  <c r="W424" i="8"/>
  <c r="V424" i="8"/>
  <c r="U424" i="8"/>
  <c r="T424" i="8"/>
  <c r="S424" i="8"/>
  <c r="R424" i="8"/>
  <c r="Q424" i="8"/>
  <c r="P424" i="8"/>
  <c r="X423" i="8"/>
  <c r="W423" i="8"/>
  <c r="V423" i="8"/>
  <c r="U423" i="8"/>
  <c r="T423" i="8"/>
  <c r="S423" i="8"/>
  <c r="R423" i="8"/>
  <c r="Q423" i="8"/>
  <c r="P423" i="8"/>
  <c r="X422" i="8"/>
  <c r="W422" i="8"/>
  <c r="V422" i="8"/>
  <c r="U422" i="8"/>
  <c r="T422" i="8"/>
  <c r="S422" i="8"/>
  <c r="R422" i="8"/>
  <c r="Q422" i="8"/>
  <c r="P422" i="8"/>
  <c r="X421" i="8"/>
  <c r="W421" i="8"/>
  <c r="V421" i="8"/>
  <c r="U421" i="8"/>
  <c r="T421" i="8"/>
  <c r="S421" i="8"/>
  <c r="R421" i="8"/>
  <c r="Q421" i="8"/>
  <c r="P421" i="8"/>
  <c r="X420" i="8"/>
  <c r="W420" i="8"/>
  <c r="V420" i="8"/>
  <c r="U420" i="8"/>
  <c r="T420" i="8"/>
  <c r="S420" i="8"/>
  <c r="R420" i="8"/>
  <c r="Q420" i="8"/>
  <c r="P420" i="8"/>
  <c r="X419" i="8"/>
  <c r="W419" i="8"/>
  <c r="V419" i="8"/>
  <c r="U419" i="8"/>
  <c r="T419" i="8"/>
  <c r="S419" i="8"/>
  <c r="R419" i="8"/>
  <c r="Q419" i="8"/>
  <c r="P419" i="8"/>
  <c r="X418" i="8"/>
  <c r="W418" i="8"/>
  <c r="V418" i="8"/>
  <c r="U418" i="8"/>
  <c r="T418" i="8"/>
  <c r="S418" i="8"/>
  <c r="R418" i="8"/>
  <c r="Q418" i="8"/>
  <c r="P418" i="8"/>
  <c r="X417" i="8"/>
  <c r="W417" i="8"/>
  <c r="V417" i="8"/>
  <c r="U417" i="8"/>
  <c r="T417" i="8"/>
  <c r="S417" i="8"/>
  <c r="R417" i="8"/>
  <c r="Q417" i="8"/>
  <c r="P417" i="8"/>
  <c r="X416" i="8"/>
  <c r="W416" i="8"/>
  <c r="V416" i="8"/>
  <c r="U416" i="8"/>
  <c r="T416" i="8"/>
  <c r="S416" i="8"/>
  <c r="R416" i="8"/>
  <c r="Q416" i="8"/>
  <c r="P416" i="8"/>
  <c r="X415" i="8"/>
  <c r="W415" i="8"/>
  <c r="V415" i="8"/>
  <c r="U415" i="8"/>
  <c r="T415" i="8"/>
  <c r="S415" i="8"/>
  <c r="R415" i="8"/>
  <c r="Q415" i="8"/>
  <c r="P415" i="8"/>
  <c r="X414" i="8"/>
  <c r="W414" i="8"/>
  <c r="V414" i="8"/>
  <c r="U414" i="8"/>
  <c r="T414" i="8"/>
  <c r="S414" i="8"/>
  <c r="R414" i="8"/>
  <c r="Q414" i="8"/>
  <c r="P414" i="8"/>
  <c r="X413" i="8"/>
  <c r="W413" i="8"/>
  <c r="V413" i="8"/>
  <c r="U413" i="8"/>
  <c r="T413" i="8"/>
  <c r="S413" i="8"/>
  <c r="R413" i="8"/>
  <c r="Q413" i="8"/>
  <c r="P413" i="8"/>
  <c r="X412" i="8"/>
  <c r="W412" i="8"/>
  <c r="V412" i="8"/>
  <c r="U412" i="8"/>
  <c r="T412" i="8"/>
  <c r="S412" i="8"/>
  <c r="R412" i="8"/>
  <c r="Q412" i="8"/>
  <c r="P412" i="8"/>
  <c r="X411" i="8"/>
  <c r="W411" i="8"/>
  <c r="V411" i="8"/>
  <c r="U411" i="8"/>
  <c r="T411" i="8"/>
  <c r="S411" i="8"/>
  <c r="R411" i="8"/>
  <c r="Q411" i="8"/>
  <c r="P411" i="8"/>
  <c r="X410" i="8"/>
  <c r="W410" i="8"/>
  <c r="V410" i="8"/>
  <c r="U410" i="8"/>
  <c r="T410" i="8"/>
  <c r="S410" i="8"/>
  <c r="R410" i="8"/>
  <c r="Q410" i="8"/>
  <c r="P410" i="8"/>
  <c r="X409" i="8"/>
  <c r="W409" i="8"/>
  <c r="V409" i="8"/>
  <c r="U409" i="8"/>
  <c r="T409" i="8"/>
  <c r="S409" i="8"/>
  <c r="R409" i="8"/>
  <c r="Q409" i="8"/>
  <c r="P409" i="8"/>
  <c r="X408" i="8"/>
  <c r="W408" i="8"/>
  <c r="V408" i="8"/>
  <c r="U408" i="8"/>
  <c r="T408" i="8"/>
  <c r="S408" i="8"/>
  <c r="R408" i="8"/>
  <c r="Q408" i="8"/>
  <c r="P408" i="8"/>
  <c r="X407" i="8"/>
  <c r="W407" i="8"/>
  <c r="V407" i="8"/>
  <c r="U407" i="8"/>
  <c r="T407" i="8"/>
  <c r="S407" i="8"/>
  <c r="R407" i="8"/>
  <c r="Q407" i="8"/>
  <c r="P407" i="8"/>
  <c r="X406" i="8"/>
  <c r="W406" i="8"/>
  <c r="V406" i="8"/>
  <c r="U406" i="8"/>
  <c r="T406" i="8"/>
  <c r="S406" i="8"/>
  <c r="R406" i="8"/>
  <c r="Q406" i="8"/>
  <c r="P406" i="8"/>
  <c r="X405" i="8"/>
  <c r="W405" i="8"/>
  <c r="V405" i="8"/>
  <c r="U405" i="8"/>
  <c r="T405" i="8"/>
  <c r="S405" i="8"/>
  <c r="R405" i="8"/>
  <c r="Q405" i="8"/>
  <c r="P405" i="8"/>
  <c r="X404" i="8"/>
  <c r="W404" i="8"/>
  <c r="V404" i="8"/>
  <c r="U404" i="8"/>
  <c r="T404" i="8"/>
  <c r="S404" i="8"/>
  <c r="R404" i="8"/>
  <c r="Q404" i="8"/>
  <c r="P404" i="8"/>
  <c r="X403" i="8"/>
  <c r="W403" i="8"/>
  <c r="V403" i="8"/>
  <c r="U403" i="8"/>
  <c r="T403" i="8"/>
  <c r="S403" i="8"/>
  <c r="R403" i="8"/>
  <c r="Q403" i="8"/>
  <c r="P403" i="8"/>
  <c r="X402" i="8"/>
  <c r="W402" i="8"/>
  <c r="V402" i="8"/>
  <c r="U402" i="8"/>
  <c r="T402" i="8"/>
  <c r="S402" i="8"/>
  <c r="R402" i="8"/>
  <c r="Q402" i="8"/>
  <c r="P402" i="8"/>
  <c r="X401" i="8"/>
  <c r="W401" i="8"/>
  <c r="V401" i="8"/>
  <c r="U401" i="8"/>
  <c r="T401" i="8"/>
  <c r="S401" i="8"/>
  <c r="R401" i="8"/>
  <c r="Q401" i="8"/>
  <c r="P401" i="8"/>
  <c r="X400" i="8"/>
  <c r="W400" i="8"/>
  <c r="V400" i="8"/>
  <c r="U400" i="8"/>
  <c r="T400" i="8"/>
  <c r="S400" i="8"/>
  <c r="R400" i="8"/>
  <c r="Q400" i="8"/>
  <c r="P400" i="8"/>
  <c r="X399" i="8"/>
  <c r="W399" i="8"/>
  <c r="V399" i="8"/>
  <c r="U399" i="8"/>
  <c r="T399" i="8"/>
  <c r="S399" i="8"/>
  <c r="R399" i="8"/>
  <c r="Q399" i="8"/>
  <c r="P399" i="8"/>
  <c r="X398" i="8"/>
  <c r="W398" i="8"/>
  <c r="V398" i="8"/>
  <c r="U398" i="8"/>
  <c r="T398" i="8"/>
  <c r="S398" i="8"/>
  <c r="R398" i="8"/>
  <c r="Q398" i="8"/>
  <c r="P398" i="8"/>
  <c r="X397" i="8"/>
  <c r="W397" i="8"/>
  <c r="V397" i="8"/>
  <c r="U397" i="8"/>
  <c r="T397" i="8"/>
  <c r="S397" i="8"/>
  <c r="R397" i="8"/>
  <c r="Q397" i="8"/>
  <c r="P397" i="8"/>
  <c r="X396" i="8"/>
  <c r="W396" i="8"/>
  <c r="V396" i="8"/>
  <c r="U396" i="8"/>
  <c r="T396" i="8"/>
  <c r="S396" i="8"/>
  <c r="R396" i="8"/>
  <c r="Q396" i="8"/>
  <c r="P396" i="8"/>
  <c r="X395" i="8"/>
  <c r="W395" i="8"/>
  <c r="V395" i="8"/>
  <c r="U395" i="8"/>
  <c r="T395" i="8"/>
  <c r="S395" i="8"/>
  <c r="R395" i="8"/>
  <c r="Q395" i="8"/>
  <c r="P395" i="8"/>
  <c r="X394" i="8"/>
  <c r="W394" i="8"/>
  <c r="V394" i="8"/>
  <c r="U394" i="8"/>
  <c r="T394" i="8"/>
  <c r="S394" i="8"/>
  <c r="R394" i="8"/>
  <c r="Q394" i="8"/>
  <c r="P394" i="8"/>
  <c r="X393" i="8"/>
  <c r="W393" i="8"/>
  <c r="V393" i="8"/>
  <c r="U393" i="8"/>
  <c r="T393" i="8"/>
  <c r="S393" i="8"/>
  <c r="R393" i="8"/>
  <c r="Q393" i="8"/>
  <c r="P393" i="8"/>
  <c r="X392" i="8"/>
  <c r="W392" i="8"/>
  <c r="V392" i="8"/>
  <c r="U392" i="8"/>
  <c r="T392" i="8"/>
  <c r="S392" i="8"/>
  <c r="R392" i="8"/>
  <c r="Q392" i="8"/>
  <c r="P392" i="8"/>
  <c r="X391" i="8"/>
  <c r="W391" i="8"/>
  <c r="V391" i="8"/>
  <c r="U391" i="8"/>
  <c r="T391" i="8"/>
  <c r="S391" i="8"/>
  <c r="R391" i="8"/>
  <c r="Q391" i="8"/>
  <c r="P391" i="8"/>
  <c r="X390" i="8"/>
  <c r="W390" i="8"/>
  <c r="V390" i="8"/>
  <c r="U390" i="8"/>
  <c r="T390" i="8"/>
  <c r="S390" i="8"/>
  <c r="R390" i="8"/>
  <c r="Q390" i="8"/>
  <c r="P390" i="8"/>
  <c r="X389" i="8"/>
  <c r="W389" i="8"/>
  <c r="V389" i="8"/>
  <c r="U389" i="8"/>
  <c r="T389" i="8"/>
  <c r="S389" i="8"/>
  <c r="R389" i="8"/>
  <c r="Q389" i="8"/>
  <c r="P389" i="8"/>
  <c r="X388" i="8"/>
  <c r="W388" i="8"/>
  <c r="V388" i="8"/>
  <c r="U388" i="8"/>
  <c r="T388" i="8"/>
  <c r="S388" i="8"/>
  <c r="R388" i="8"/>
  <c r="Q388" i="8"/>
  <c r="P388" i="8"/>
  <c r="X387" i="8"/>
  <c r="W387" i="8"/>
  <c r="V387" i="8"/>
  <c r="U387" i="8"/>
  <c r="T387" i="8"/>
  <c r="S387" i="8"/>
  <c r="R387" i="8"/>
  <c r="Q387" i="8"/>
  <c r="P387" i="8"/>
  <c r="X386" i="8"/>
  <c r="W386" i="8"/>
  <c r="V386" i="8"/>
  <c r="U386" i="8"/>
  <c r="T386" i="8"/>
  <c r="S386" i="8"/>
  <c r="R386" i="8"/>
  <c r="Q386" i="8"/>
  <c r="P386" i="8"/>
  <c r="X385" i="8"/>
  <c r="W385" i="8"/>
  <c r="V385" i="8"/>
  <c r="U385" i="8"/>
  <c r="T385" i="8"/>
  <c r="S385" i="8"/>
  <c r="R385" i="8"/>
  <c r="Q385" i="8"/>
  <c r="P385" i="8"/>
  <c r="X384" i="8"/>
  <c r="W384" i="8"/>
  <c r="V384" i="8"/>
  <c r="U384" i="8"/>
  <c r="T384" i="8"/>
  <c r="S384" i="8"/>
  <c r="R384" i="8"/>
  <c r="Q384" i="8"/>
  <c r="P384" i="8"/>
  <c r="X383" i="8"/>
  <c r="W383" i="8"/>
  <c r="V383" i="8"/>
  <c r="U383" i="8"/>
  <c r="T383" i="8"/>
  <c r="S383" i="8"/>
  <c r="R383" i="8"/>
  <c r="Q383" i="8"/>
  <c r="P383" i="8"/>
  <c r="X382" i="8"/>
  <c r="W382" i="8"/>
  <c r="V382" i="8"/>
  <c r="U382" i="8"/>
  <c r="T382" i="8"/>
  <c r="S382" i="8"/>
  <c r="R382" i="8"/>
  <c r="Q382" i="8"/>
  <c r="P382" i="8"/>
  <c r="X381" i="8"/>
  <c r="W381" i="8"/>
  <c r="V381" i="8"/>
  <c r="U381" i="8"/>
  <c r="T381" i="8"/>
  <c r="S381" i="8"/>
  <c r="R381" i="8"/>
  <c r="Q381" i="8"/>
  <c r="P381" i="8"/>
  <c r="X380" i="8"/>
  <c r="W380" i="8"/>
  <c r="V380" i="8"/>
  <c r="U380" i="8"/>
  <c r="T380" i="8"/>
  <c r="S380" i="8"/>
  <c r="R380" i="8"/>
  <c r="Q380" i="8"/>
  <c r="P380" i="8"/>
  <c r="X379" i="8"/>
  <c r="W379" i="8"/>
  <c r="V379" i="8"/>
  <c r="U379" i="8"/>
  <c r="T379" i="8"/>
  <c r="S379" i="8"/>
  <c r="R379" i="8"/>
  <c r="Q379" i="8"/>
  <c r="P379" i="8"/>
  <c r="X378" i="8"/>
  <c r="W378" i="8"/>
  <c r="V378" i="8"/>
  <c r="U378" i="8"/>
  <c r="T378" i="8"/>
  <c r="S378" i="8"/>
  <c r="R378" i="8"/>
  <c r="Q378" i="8"/>
  <c r="P378" i="8"/>
  <c r="X377" i="8"/>
  <c r="W377" i="8"/>
  <c r="V377" i="8"/>
  <c r="U377" i="8"/>
  <c r="T377" i="8"/>
  <c r="S377" i="8"/>
  <c r="R377" i="8"/>
  <c r="Q377" i="8"/>
  <c r="P377" i="8"/>
  <c r="X376" i="8"/>
  <c r="W376" i="8"/>
  <c r="V376" i="8"/>
  <c r="U376" i="8"/>
  <c r="T376" i="8"/>
  <c r="S376" i="8"/>
  <c r="R376" i="8"/>
  <c r="Q376" i="8"/>
  <c r="P376" i="8"/>
  <c r="X375" i="8"/>
  <c r="W375" i="8"/>
  <c r="V375" i="8"/>
  <c r="U375" i="8"/>
  <c r="T375" i="8"/>
  <c r="S375" i="8"/>
  <c r="R375" i="8"/>
  <c r="Q375" i="8"/>
  <c r="P375" i="8"/>
  <c r="X374" i="8"/>
  <c r="W374" i="8"/>
  <c r="V374" i="8"/>
  <c r="U374" i="8"/>
  <c r="T374" i="8"/>
  <c r="S374" i="8"/>
  <c r="R374" i="8"/>
  <c r="Q374" i="8"/>
  <c r="P374" i="8"/>
  <c r="X373" i="8"/>
  <c r="W373" i="8"/>
  <c r="V373" i="8"/>
  <c r="U373" i="8"/>
  <c r="T373" i="8"/>
  <c r="S373" i="8"/>
  <c r="R373" i="8"/>
  <c r="Q373" i="8"/>
  <c r="P373" i="8"/>
  <c r="X372" i="8"/>
  <c r="W372" i="8"/>
  <c r="V372" i="8"/>
  <c r="U372" i="8"/>
  <c r="T372" i="8"/>
  <c r="S372" i="8"/>
  <c r="R372" i="8"/>
  <c r="Q372" i="8"/>
  <c r="P372" i="8"/>
  <c r="X371" i="8"/>
  <c r="W371" i="8"/>
  <c r="V371" i="8"/>
  <c r="U371" i="8"/>
  <c r="T371" i="8"/>
  <c r="S371" i="8"/>
  <c r="R371" i="8"/>
  <c r="Q371" i="8"/>
  <c r="P371" i="8"/>
  <c r="X370" i="8"/>
  <c r="W370" i="8"/>
  <c r="V370" i="8"/>
  <c r="U370" i="8"/>
  <c r="T370" i="8"/>
  <c r="S370" i="8"/>
  <c r="R370" i="8"/>
  <c r="Q370" i="8"/>
  <c r="P370" i="8"/>
  <c r="X369" i="8"/>
  <c r="W369" i="8"/>
  <c r="V369" i="8"/>
  <c r="U369" i="8"/>
  <c r="T369" i="8"/>
  <c r="S369" i="8"/>
  <c r="R369" i="8"/>
  <c r="Q369" i="8"/>
  <c r="P369" i="8"/>
  <c r="X368" i="8"/>
  <c r="W368" i="8"/>
  <c r="V368" i="8"/>
  <c r="U368" i="8"/>
  <c r="T368" i="8"/>
  <c r="S368" i="8"/>
  <c r="R368" i="8"/>
  <c r="Q368" i="8"/>
  <c r="P368" i="8"/>
  <c r="X367" i="8"/>
  <c r="W367" i="8"/>
  <c r="V367" i="8"/>
  <c r="U367" i="8"/>
  <c r="T367" i="8"/>
  <c r="S367" i="8"/>
  <c r="R367" i="8"/>
  <c r="Q367" i="8"/>
  <c r="P367" i="8"/>
  <c r="X366" i="8"/>
  <c r="W366" i="8"/>
  <c r="V366" i="8"/>
  <c r="U366" i="8"/>
  <c r="T366" i="8"/>
  <c r="S366" i="8"/>
  <c r="R366" i="8"/>
  <c r="Q366" i="8"/>
  <c r="P366" i="8"/>
  <c r="X365" i="8"/>
  <c r="W365" i="8"/>
  <c r="V365" i="8"/>
  <c r="U365" i="8"/>
  <c r="T365" i="8"/>
  <c r="S365" i="8"/>
  <c r="R365" i="8"/>
  <c r="Q365" i="8"/>
  <c r="P365" i="8"/>
  <c r="X364" i="8"/>
  <c r="W364" i="8"/>
  <c r="V364" i="8"/>
  <c r="U364" i="8"/>
  <c r="T364" i="8"/>
  <c r="S364" i="8"/>
  <c r="R364" i="8"/>
  <c r="Q364" i="8"/>
  <c r="P364" i="8"/>
  <c r="X363" i="8"/>
  <c r="W363" i="8"/>
  <c r="V363" i="8"/>
  <c r="U363" i="8"/>
  <c r="T363" i="8"/>
  <c r="S363" i="8"/>
  <c r="R363" i="8"/>
  <c r="Q363" i="8"/>
  <c r="P363" i="8"/>
  <c r="X362" i="8"/>
  <c r="W362" i="8"/>
  <c r="V362" i="8"/>
  <c r="U362" i="8"/>
  <c r="T362" i="8"/>
  <c r="S362" i="8"/>
  <c r="R362" i="8"/>
  <c r="Q362" i="8"/>
  <c r="P362" i="8"/>
  <c r="X361" i="8"/>
  <c r="W361" i="8"/>
  <c r="V361" i="8"/>
  <c r="U361" i="8"/>
  <c r="T361" i="8"/>
  <c r="S361" i="8"/>
  <c r="R361" i="8"/>
  <c r="Q361" i="8"/>
  <c r="P361" i="8"/>
  <c r="X360" i="8"/>
  <c r="W360" i="8"/>
  <c r="V360" i="8"/>
  <c r="U360" i="8"/>
  <c r="T360" i="8"/>
  <c r="S360" i="8"/>
  <c r="R360" i="8"/>
  <c r="Q360" i="8"/>
  <c r="P360" i="8"/>
  <c r="X359" i="8"/>
  <c r="W359" i="8"/>
  <c r="V359" i="8"/>
  <c r="U359" i="8"/>
  <c r="T359" i="8"/>
  <c r="S359" i="8"/>
  <c r="R359" i="8"/>
  <c r="Q359" i="8"/>
  <c r="P359" i="8"/>
  <c r="X358" i="8"/>
  <c r="W358" i="8"/>
  <c r="V358" i="8"/>
  <c r="U358" i="8"/>
  <c r="T358" i="8"/>
  <c r="S358" i="8"/>
  <c r="R358" i="8"/>
  <c r="Q358" i="8"/>
  <c r="P358" i="8"/>
  <c r="X357" i="8"/>
  <c r="W357" i="8"/>
  <c r="V357" i="8"/>
  <c r="U357" i="8"/>
  <c r="T357" i="8"/>
  <c r="S357" i="8"/>
  <c r="R357" i="8"/>
  <c r="Q357" i="8"/>
  <c r="P357" i="8"/>
  <c r="X356" i="8"/>
  <c r="W356" i="8"/>
  <c r="V356" i="8"/>
  <c r="U356" i="8"/>
  <c r="T356" i="8"/>
  <c r="S356" i="8"/>
  <c r="R356" i="8"/>
  <c r="Q356" i="8"/>
  <c r="P356" i="8"/>
  <c r="X355" i="8"/>
  <c r="W355" i="8"/>
  <c r="V355" i="8"/>
  <c r="U355" i="8"/>
  <c r="T355" i="8"/>
  <c r="S355" i="8"/>
  <c r="R355" i="8"/>
  <c r="Q355" i="8"/>
  <c r="P355" i="8"/>
  <c r="X354" i="8"/>
  <c r="W354" i="8"/>
  <c r="V354" i="8"/>
  <c r="U354" i="8"/>
  <c r="T354" i="8"/>
  <c r="S354" i="8"/>
  <c r="R354" i="8"/>
  <c r="Q354" i="8"/>
  <c r="P354" i="8"/>
  <c r="X353" i="8"/>
  <c r="W353" i="8"/>
  <c r="V353" i="8"/>
  <c r="U353" i="8"/>
  <c r="T353" i="8"/>
  <c r="S353" i="8"/>
  <c r="R353" i="8"/>
  <c r="Q353" i="8"/>
  <c r="P353" i="8"/>
  <c r="X352" i="8"/>
  <c r="W352" i="8"/>
  <c r="V352" i="8"/>
  <c r="U352" i="8"/>
  <c r="T352" i="8"/>
  <c r="S352" i="8"/>
  <c r="R352" i="8"/>
  <c r="Q352" i="8"/>
  <c r="P352" i="8"/>
  <c r="X351" i="8"/>
  <c r="W351" i="8"/>
  <c r="V351" i="8"/>
  <c r="U351" i="8"/>
  <c r="T351" i="8"/>
  <c r="S351" i="8"/>
  <c r="R351" i="8"/>
  <c r="Q351" i="8"/>
  <c r="P351" i="8"/>
  <c r="X350" i="8"/>
  <c r="W350" i="8"/>
  <c r="V350" i="8"/>
  <c r="U350" i="8"/>
  <c r="T350" i="8"/>
  <c r="S350" i="8"/>
  <c r="R350" i="8"/>
  <c r="Q350" i="8"/>
  <c r="P350" i="8"/>
  <c r="X349" i="8"/>
  <c r="W349" i="8"/>
  <c r="V349" i="8"/>
  <c r="U349" i="8"/>
  <c r="T349" i="8"/>
  <c r="S349" i="8"/>
  <c r="R349" i="8"/>
  <c r="Q349" i="8"/>
  <c r="P349" i="8"/>
  <c r="X348" i="8"/>
  <c r="W348" i="8"/>
  <c r="V348" i="8"/>
  <c r="U348" i="8"/>
  <c r="T348" i="8"/>
  <c r="S348" i="8"/>
  <c r="R348" i="8"/>
  <c r="Q348" i="8"/>
  <c r="P348" i="8"/>
  <c r="X347" i="8"/>
  <c r="W347" i="8"/>
  <c r="V347" i="8"/>
  <c r="U347" i="8"/>
  <c r="T347" i="8"/>
  <c r="S347" i="8"/>
  <c r="R347" i="8"/>
  <c r="Q347" i="8"/>
  <c r="P347" i="8"/>
  <c r="X346" i="8"/>
  <c r="W346" i="8"/>
  <c r="V346" i="8"/>
  <c r="U346" i="8"/>
  <c r="T346" i="8"/>
  <c r="S346" i="8"/>
  <c r="R346" i="8"/>
  <c r="Q346" i="8"/>
  <c r="P346" i="8"/>
  <c r="X345" i="8"/>
  <c r="W345" i="8"/>
  <c r="V345" i="8"/>
  <c r="U345" i="8"/>
  <c r="T345" i="8"/>
  <c r="S345" i="8"/>
  <c r="R345" i="8"/>
  <c r="Q345" i="8"/>
  <c r="P345" i="8"/>
  <c r="X344" i="8"/>
  <c r="W344" i="8"/>
  <c r="V344" i="8"/>
  <c r="U344" i="8"/>
  <c r="T344" i="8"/>
  <c r="S344" i="8"/>
  <c r="R344" i="8"/>
  <c r="Q344" i="8"/>
  <c r="P344" i="8"/>
  <c r="X343" i="8"/>
  <c r="W343" i="8"/>
  <c r="V343" i="8"/>
  <c r="U343" i="8"/>
  <c r="T343" i="8"/>
  <c r="S343" i="8"/>
  <c r="R343" i="8"/>
  <c r="Q343" i="8"/>
  <c r="P343" i="8"/>
  <c r="X342" i="8"/>
  <c r="W342" i="8"/>
  <c r="V342" i="8"/>
  <c r="U342" i="8"/>
  <c r="T342" i="8"/>
  <c r="S342" i="8"/>
  <c r="R342" i="8"/>
  <c r="Q342" i="8"/>
  <c r="P342" i="8"/>
  <c r="X341" i="8"/>
  <c r="W341" i="8"/>
  <c r="V341" i="8"/>
  <c r="U341" i="8"/>
  <c r="T341" i="8"/>
  <c r="S341" i="8"/>
  <c r="R341" i="8"/>
  <c r="Q341" i="8"/>
  <c r="P341" i="8"/>
  <c r="X340" i="8"/>
  <c r="W340" i="8"/>
  <c r="V340" i="8"/>
  <c r="U340" i="8"/>
  <c r="T340" i="8"/>
  <c r="S340" i="8"/>
  <c r="R340" i="8"/>
  <c r="Q340" i="8"/>
  <c r="P340" i="8"/>
  <c r="X339" i="8"/>
  <c r="W339" i="8"/>
  <c r="V339" i="8"/>
  <c r="U339" i="8"/>
  <c r="T339" i="8"/>
  <c r="S339" i="8"/>
  <c r="R339" i="8"/>
  <c r="Q339" i="8"/>
  <c r="P339" i="8"/>
  <c r="X338" i="8"/>
  <c r="W338" i="8"/>
  <c r="V338" i="8"/>
  <c r="U338" i="8"/>
  <c r="T338" i="8"/>
  <c r="S338" i="8"/>
  <c r="R338" i="8"/>
  <c r="Q338" i="8"/>
  <c r="P338" i="8"/>
  <c r="X337" i="8"/>
  <c r="W337" i="8"/>
  <c r="V337" i="8"/>
  <c r="U337" i="8"/>
  <c r="T337" i="8"/>
  <c r="S337" i="8"/>
  <c r="R337" i="8"/>
  <c r="Q337" i="8"/>
  <c r="P337" i="8"/>
  <c r="X336" i="8"/>
  <c r="W336" i="8"/>
  <c r="V336" i="8"/>
  <c r="U336" i="8"/>
  <c r="T336" i="8"/>
  <c r="S336" i="8"/>
  <c r="R336" i="8"/>
  <c r="Q336" i="8"/>
  <c r="P336" i="8"/>
  <c r="X335" i="8"/>
  <c r="W335" i="8"/>
  <c r="V335" i="8"/>
  <c r="U335" i="8"/>
  <c r="T335" i="8"/>
  <c r="S335" i="8"/>
  <c r="R335" i="8"/>
  <c r="Q335" i="8"/>
  <c r="P335" i="8"/>
  <c r="X334" i="8"/>
  <c r="W334" i="8"/>
  <c r="V334" i="8"/>
  <c r="U334" i="8"/>
  <c r="T334" i="8"/>
  <c r="S334" i="8"/>
  <c r="R334" i="8"/>
  <c r="Q334" i="8"/>
  <c r="P334" i="8"/>
  <c r="X333" i="8"/>
  <c r="W333" i="8"/>
  <c r="V333" i="8"/>
  <c r="U333" i="8"/>
  <c r="T333" i="8"/>
  <c r="S333" i="8"/>
  <c r="R333" i="8"/>
  <c r="Q333" i="8"/>
  <c r="P333" i="8"/>
  <c r="X332" i="8"/>
  <c r="W332" i="8"/>
  <c r="V332" i="8"/>
  <c r="U332" i="8"/>
  <c r="T332" i="8"/>
  <c r="S332" i="8"/>
  <c r="R332" i="8"/>
  <c r="Q332" i="8"/>
  <c r="P332" i="8"/>
  <c r="X331" i="8"/>
  <c r="W331" i="8"/>
  <c r="V331" i="8"/>
  <c r="U331" i="8"/>
  <c r="T331" i="8"/>
  <c r="S331" i="8"/>
  <c r="R331" i="8"/>
  <c r="Q331" i="8"/>
  <c r="P331" i="8"/>
  <c r="X330" i="8"/>
  <c r="W330" i="8"/>
  <c r="V330" i="8"/>
  <c r="U330" i="8"/>
  <c r="T330" i="8"/>
  <c r="S330" i="8"/>
  <c r="R330" i="8"/>
  <c r="Q330" i="8"/>
  <c r="P330" i="8"/>
  <c r="X329" i="8"/>
  <c r="W329" i="8"/>
  <c r="V329" i="8"/>
  <c r="U329" i="8"/>
  <c r="T329" i="8"/>
  <c r="S329" i="8"/>
  <c r="R329" i="8"/>
  <c r="Q329" i="8"/>
  <c r="P329" i="8"/>
  <c r="X328" i="8"/>
  <c r="W328" i="8"/>
  <c r="V328" i="8"/>
  <c r="U328" i="8"/>
  <c r="T328" i="8"/>
  <c r="S328" i="8"/>
  <c r="R328" i="8"/>
  <c r="Q328" i="8"/>
  <c r="P328" i="8"/>
  <c r="X327" i="8"/>
  <c r="W327" i="8"/>
  <c r="V327" i="8"/>
  <c r="U327" i="8"/>
  <c r="T327" i="8"/>
  <c r="S327" i="8"/>
  <c r="R327" i="8"/>
  <c r="Q327" i="8"/>
  <c r="P327" i="8"/>
  <c r="X326" i="8"/>
  <c r="W326" i="8"/>
  <c r="V326" i="8"/>
  <c r="U326" i="8"/>
  <c r="T326" i="8"/>
  <c r="S326" i="8"/>
  <c r="R326" i="8"/>
  <c r="Q326" i="8"/>
  <c r="P326" i="8"/>
  <c r="X325" i="8"/>
  <c r="W325" i="8"/>
  <c r="V325" i="8"/>
  <c r="U325" i="8"/>
  <c r="T325" i="8"/>
  <c r="S325" i="8"/>
  <c r="R325" i="8"/>
  <c r="Q325" i="8"/>
  <c r="P325" i="8"/>
  <c r="X324" i="8"/>
  <c r="W324" i="8"/>
  <c r="V324" i="8"/>
  <c r="U324" i="8"/>
  <c r="T324" i="8"/>
  <c r="S324" i="8"/>
  <c r="R324" i="8"/>
  <c r="Q324" i="8"/>
  <c r="P324" i="8"/>
  <c r="X323" i="8"/>
  <c r="W323" i="8"/>
  <c r="V323" i="8"/>
  <c r="U323" i="8"/>
  <c r="T323" i="8"/>
  <c r="S323" i="8"/>
  <c r="R323" i="8"/>
  <c r="Q323" i="8"/>
  <c r="P323" i="8"/>
  <c r="X322" i="8"/>
  <c r="W322" i="8"/>
  <c r="V322" i="8"/>
  <c r="U322" i="8"/>
  <c r="T322" i="8"/>
  <c r="S322" i="8"/>
  <c r="R322" i="8"/>
  <c r="Q322" i="8"/>
  <c r="P322" i="8"/>
  <c r="X321" i="8"/>
  <c r="W321" i="8"/>
  <c r="V321" i="8"/>
  <c r="U321" i="8"/>
  <c r="T321" i="8"/>
  <c r="S321" i="8"/>
  <c r="R321" i="8"/>
  <c r="Q321" i="8"/>
  <c r="P321" i="8"/>
  <c r="X320" i="8"/>
  <c r="W320" i="8"/>
  <c r="V320" i="8"/>
  <c r="U320" i="8"/>
  <c r="T320" i="8"/>
  <c r="S320" i="8"/>
  <c r="R320" i="8"/>
  <c r="Q320" i="8"/>
  <c r="P320" i="8"/>
  <c r="X319" i="8"/>
  <c r="W319" i="8"/>
  <c r="V319" i="8"/>
  <c r="U319" i="8"/>
  <c r="T319" i="8"/>
  <c r="S319" i="8"/>
  <c r="R319" i="8"/>
  <c r="Q319" i="8"/>
  <c r="P319" i="8"/>
  <c r="X318" i="8"/>
  <c r="W318" i="8"/>
  <c r="V318" i="8"/>
  <c r="U318" i="8"/>
  <c r="T318" i="8"/>
  <c r="S318" i="8"/>
  <c r="R318" i="8"/>
  <c r="Q318" i="8"/>
  <c r="P318" i="8"/>
  <c r="X317" i="8"/>
  <c r="W317" i="8"/>
  <c r="V317" i="8"/>
  <c r="U317" i="8"/>
  <c r="T317" i="8"/>
  <c r="S317" i="8"/>
  <c r="R317" i="8"/>
  <c r="Q317" i="8"/>
  <c r="P317" i="8"/>
  <c r="X316" i="8"/>
  <c r="W316" i="8"/>
  <c r="V316" i="8"/>
  <c r="U316" i="8"/>
  <c r="T316" i="8"/>
  <c r="S316" i="8"/>
  <c r="R316" i="8"/>
  <c r="Q316" i="8"/>
  <c r="P316" i="8"/>
  <c r="X315" i="8"/>
  <c r="W315" i="8"/>
  <c r="V315" i="8"/>
  <c r="U315" i="8"/>
  <c r="T315" i="8"/>
  <c r="S315" i="8"/>
  <c r="R315" i="8"/>
  <c r="Q315" i="8"/>
  <c r="P315" i="8"/>
  <c r="X314" i="8"/>
  <c r="W314" i="8"/>
  <c r="V314" i="8"/>
  <c r="U314" i="8"/>
  <c r="T314" i="8"/>
  <c r="S314" i="8"/>
  <c r="R314" i="8"/>
  <c r="Q314" i="8"/>
  <c r="P314" i="8"/>
  <c r="X313" i="8"/>
  <c r="W313" i="8"/>
  <c r="V313" i="8"/>
  <c r="U313" i="8"/>
  <c r="T313" i="8"/>
  <c r="S313" i="8"/>
  <c r="R313" i="8"/>
  <c r="Q313" i="8"/>
  <c r="P313" i="8"/>
  <c r="X312" i="8"/>
  <c r="W312" i="8"/>
  <c r="V312" i="8"/>
  <c r="U312" i="8"/>
  <c r="T312" i="8"/>
  <c r="S312" i="8"/>
  <c r="R312" i="8"/>
  <c r="Q312" i="8"/>
  <c r="P312" i="8"/>
  <c r="X311" i="8"/>
  <c r="W311" i="8"/>
  <c r="V311" i="8"/>
  <c r="U311" i="8"/>
  <c r="T311" i="8"/>
  <c r="S311" i="8"/>
  <c r="R311" i="8"/>
  <c r="Q311" i="8"/>
  <c r="P311" i="8"/>
  <c r="X310" i="8"/>
  <c r="W310" i="8"/>
  <c r="V310" i="8"/>
  <c r="U310" i="8"/>
  <c r="T310" i="8"/>
  <c r="S310" i="8"/>
  <c r="R310" i="8"/>
  <c r="Q310" i="8"/>
  <c r="P310" i="8"/>
  <c r="X309" i="8"/>
  <c r="W309" i="8"/>
  <c r="V309" i="8"/>
  <c r="U309" i="8"/>
  <c r="T309" i="8"/>
  <c r="S309" i="8"/>
  <c r="R309" i="8"/>
  <c r="Q309" i="8"/>
  <c r="P309" i="8"/>
  <c r="X308" i="8"/>
  <c r="W308" i="8"/>
  <c r="V308" i="8"/>
  <c r="U308" i="8"/>
  <c r="T308" i="8"/>
  <c r="S308" i="8"/>
  <c r="R308" i="8"/>
  <c r="Q308" i="8"/>
  <c r="P308" i="8"/>
  <c r="X307" i="8"/>
  <c r="W307" i="8"/>
  <c r="V307" i="8"/>
  <c r="U307" i="8"/>
  <c r="T307" i="8"/>
  <c r="S307" i="8"/>
  <c r="R307" i="8"/>
  <c r="Q307" i="8"/>
  <c r="P307" i="8"/>
  <c r="X306" i="8"/>
  <c r="W306" i="8"/>
  <c r="V306" i="8"/>
  <c r="U306" i="8"/>
  <c r="T306" i="8"/>
  <c r="S306" i="8"/>
  <c r="R306" i="8"/>
  <c r="Q306" i="8"/>
  <c r="P306" i="8"/>
  <c r="X305" i="8"/>
  <c r="W305" i="8"/>
  <c r="V305" i="8"/>
  <c r="U305" i="8"/>
  <c r="T305" i="8"/>
  <c r="S305" i="8"/>
  <c r="R305" i="8"/>
  <c r="Q305" i="8"/>
  <c r="P305" i="8"/>
  <c r="X304" i="8"/>
  <c r="W304" i="8"/>
  <c r="V304" i="8"/>
  <c r="U304" i="8"/>
  <c r="T304" i="8"/>
  <c r="S304" i="8"/>
  <c r="R304" i="8"/>
  <c r="Q304" i="8"/>
  <c r="P304" i="8"/>
  <c r="X303" i="8"/>
  <c r="W303" i="8"/>
  <c r="V303" i="8"/>
  <c r="U303" i="8"/>
  <c r="T303" i="8"/>
  <c r="S303" i="8"/>
  <c r="R303" i="8"/>
  <c r="Q303" i="8"/>
  <c r="P303" i="8"/>
  <c r="X302" i="8"/>
  <c r="W302" i="8"/>
  <c r="V302" i="8"/>
  <c r="U302" i="8"/>
  <c r="T302" i="8"/>
  <c r="S302" i="8"/>
  <c r="R302" i="8"/>
  <c r="Q302" i="8"/>
  <c r="P302" i="8"/>
  <c r="X301" i="8"/>
  <c r="W301" i="8"/>
  <c r="V301" i="8"/>
  <c r="U301" i="8"/>
  <c r="T301" i="8"/>
  <c r="S301" i="8"/>
  <c r="R301" i="8"/>
  <c r="Q301" i="8"/>
  <c r="P301" i="8"/>
  <c r="X300" i="8"/>
  <c r="W300" i="8"/>
  <c r="V300" i="8"/>
  <c r="U300" i="8"/>
  <c r="T300" i="8"/>
  <c r="S300" i="8"/>
  <c r="R300" i="8"/>
  <c r="Q300" i="8"/>
  <c r="P300" i="8"/>
  <c r="X299" i="8"/>
  <c r="W299" i="8"/>
  <c r="V299" i="8"/>
  <c r="U299" i="8"/>
  <c r="T299" i="8"/>
  <c r="S299" i="8"/>
  <c r="R299" i="8"/>
  <c r="Q299" i="8"/>
  <c r="P299" i="8"/>
  <c r="X298" i="8"/>
  <c r="W298" i="8"/>
  <c r="V298" i="8"/>
  <c r="U298" i="8"/>
  <c r="T298" i="8"/>
  <c r="S298" i="8"/>
  <c r="R298" i="8"/>
  <c r="Q298" i="8"/>
  <c r="P298" i="8"/>
  <c r="X297" i="8"/>
  <c r="W297" i="8"/>
  <c r="V297" i="8"/>
  <c r="U297" i="8"/>
  <c r="T297" i="8"/>
  <c r="S297" i="8"/>
  <c r="R297" i="8"/>
  <c r="Q297" i="8"/>
  <c r="P297" i="8"/>
  <c r="X296" i="8"/>
  <c r="W296" i="8"/>
  <c r="V296" i="8"/>
  <c r="U296" i="8"/>
  <c r="T296" i="8"/>
  <c r="S296" i="8"/>
  <c r="R296" i="8"/>
  <c r="Q296" i="8"/>
  <c r="P296" i="8"/>
  <c r="X295" i="8"/>
  <c r="W295" i="8"/>
  <c r="V295" i="8"/>
  <c r="U295" i="8"/>
  <c r="T295" i="8"/>
  <c r="S295" i="8"/>
  <c r="R295" i="8"/>
  <c r="Q295" i="8"/>
  <c r="P295" i="8"/>
  <c r="X294" i="8"/>
  <c r="W294" i="8"/>
  <c r="V294" i="8"/>
  <c r="U294" i="8"/>
  <c r="T294" i="8"/>
  <c r="S294" i="8"/>
  <c r="R294" i="8"/>
  <c r="Q294" i="8"/>
  <c r="P294" i="8"/>
  <c r="X293" i="8"/>
  <c r="W293" i="8"/>
  <c r="V293" i="8"/>
  <c r="U293" i="8"/>
  <c r="T293" i="8"/>
  <c r="S293" i="8"/>
  <c r="R293" i="8"/>
  <c r="Q293" i="8"/>
  <c r="P293" i="8"/>
  <c r="X292" i="8"/>
  <c r="W292" i="8"/>
  <c r="V292" i="8"/>
  <c r="U292" i="8"/>
  <c r="T292" i="8"/>
  <c r="S292" i="8"/>
  <c r="R292" i="8"/>
  <c r="Q292" i="8"/>
  <c r="P292" i="8"/>
  <c r="X291" i="8"/>
  <c r="W291" i="8"/>
  <c r="V291" i="8"/>
  <c r="U291" i="8"/>
  <c r="T291" i="8"/>
  <c r="S291" i="8"/>
  <c r="R291" i="8"/>
  <c r="Q291" i="8"/>
  <c r="P291" i="8"/>
  <c r="X290" i="8"/>
  <c r="W290" i="8"/>
  <c r="V290" i="8"/>
  <c r="U290" i="8"/>
  <c r="T290" i="8"/>
  <c r="S290" i="8"/>
  <c r="R290" i="8"/>
  <c r="Q290" i="8"/>
  <c r="P290" i="8"/>
  <c r="X289" i="8"/>
  <c r="W289" i="8"/>
  <c r="V289" i="8"/>
  <c r="U289" i="8"/>
  <c r="T289" i="8"/>
  <c r="S289" i="8"/>
  <c r="R289" i="8"/>
  <c r="Q289" i="8"/>
  <c r="P289" i="8"/>
  <c r="X288" i="8"/>
  <c r="W288" i="8"/>
  <c r="V288" i="8"/>
  <c r="U288" i="8"/>
  <c r="T288" i="8"/>
  <c r="S288" i="8"/>
  <c r="R288" i="8"/>
  <c r="Q288" i="8"/>
  <c r="P288" i="8"/>
  <c r="X287" i="8"/>
  <c r="W287" i="8"/>
  <c r="V287" i="8"/>
  <c r="U287" i="8"/>
  <c r="T287" i="8"/>
  <c r="S287" i="8"/>
  <c r="R287" i="8"/>
  <c r="Q287" i="8"/>
  <c r="P287" i="8"/>
  <c r="X286" i="8"/>
  <c r="W286" i="8"/>
  <c r="V286" i="8"/>
  <c r="U286" i="8"/>
  <c r="T286" i="8"/>
  <c r="S286" i="8"/>
  <c r="R286" i="8"/>
  <c r="Q286" i="8"/>
  <c r="P286" i="8"/>
  <c r="X285" i="8"/>
  <c r="W285" i="8"/>
  <c r="V285" i="8"/>
  <c r="U285" i="8"/>
  <c r="T285" i="8"/>
  <c r="S285" i="8"/>
  <c r="R285" i="8"/>
  <c r="Q285" i="8"/>
  <c r="P285" i="8"/>
  <c r="X284" i="8"/>
  <c r="W284" i="8"/>
  <c r="V284" i="8"/>
  <c r="U284" i="8"/>
  <c r="T284" i="8"/>
  <c r="S284" i="8"/>
  <c r="R284" i="8"/>
  <c r="Q284" i="8"/>
  <c r="P284" i="8"/>
  <c r="X283" i="8"/>
  <c r="W283" i="8"/>
  <c r="V283" i="8"/>
  <c r="U283" i="8"/>
  <c r="T283" i="8"/>
  <c r="S283" i="8"/>
  <c r="R283" i="8"/>
  <c r="Q283" i="8"/>
  <c r="P283" i="8"/>
  <c r="X282" i="8"/>
  <c r="W282" i="8"/>
  <c r="V282" i="8"/>
  <c r="U282" i="8"/>
  <c r="T282" i="8"/>
  <c r="S282" i="8"/>
  <c r="R282" i="8"/>
  <c r="Q282" i="8"/>
  <c r="P282" i="8"/>
  <c r="X281" i="8"/>
  <c r="W281" i="8"/>
  <c r="V281" i="8"/>
  <c r="U281" i="8"/>
  <c r="T281" i="8"/>
  <c r="S281" i="8"/>
  <c r="R281" i="8"/>
  <c r="Q281" i="8"/>
  <c r="P281" i="8"/>
  <c r="X280" i="8"/>
  <c r="W280" i="8"/>
  <c r="V280" i="8"/>
  <c r="U280" i="8"/>
  <c r="T280" i="8"/>
  <c r="S280" i="8"/>
  <c r="R280" i="8"/>
  <c r="Q280" i="8"/>
  <c r="P280" i="8"/>
  <c r="X279" i="8"/>
  <c r="W279" i="8"/>
  <c r="V279" i="8"/>
  <c r="U279" i="8"/>
  <c r="T279" i="8"/>
  <c r="S279" i="8"/>
  <c r="R279" i="8"/>
  <c r="Q279" i="8"/>
  <c r="P279" i="8"/>
  <c r="X278" i="8"/>
  <c r="W278" i="8"/>
  <c r="V278" i="8"/>
  <c r="U278" i="8"/>
  <c r="T278" i="8"/>
  <c r="S278" i="8"/>
  <c r="R278" i="8"/>
  <c r="Q278" i="8"/>
  <c r="P278" i="8"/>
  <c r="X277" i="8"/>
  <c r="W277" i="8"/>
  <c r="V277" i="8"/>
  <c r="U277" i="8"/>
  <c r="T277" i="8"/>
  <c r="S277" i="8"/>
  <c r="R277" i="8"/>
  <c r="Q277" i="8"/>
  <c r="P277" i="8"/>
  <c r="X276" i="8"/>
  <c r="W276" i="8"/>
  <c r="V276" i="8"/>
  <c r="U276" i="8"/>
  <c r="T276" i="8"/>
  <c r="S276" i="8"/>
  <c r="R276" i="8"/>
  <c r="Q276" i="8"/>
  <c r="P276" i="8"/>
  <c r="X275" i="8"/>
  <c r="W275" i="8"/>
  <c r="V275" i="8"/>
  <c r="U275" i="8"/>
  <c r="T275" i="8"/>
  <c r="S275" i="8"/>
  <c r="R275" i="8"/>
  <c r="Q275" i="8"/>
  <c r="P275" i="8"/>
  <c r="X274" i="8"/>
  <c r="W274" i="8"/>
  <c r="V274" i="8"/>
  <c r="U274" i="8"/>
  <c r="T274" i="8"/>
  <c r="S274" i="8"/>
  <c r="R274" i="8"/>
  <c r="Q274" i="8"/>
  <c r="P274" i="8"/>
  <c r="X273" i="8"/>
  <c r="W273" i="8"/>
  <c r="V273" i="8"/>
  <c r="U273" i="8"/>
  <c r="T273" i="8"/>
  <c r="S273" i="8"/>
  <c r="R273" i="8"/>
  <c r="Q273" i="8"/>
  <c r="P273" i="8"/>
  <c r="X272" i="8"/>
  <c r="W272" i="8"/>
  <c r="V272" i="8"/>
  <c r="U272" i="8"/>
  <c r="T272" i="8"/>
  <c r="S272" i="8"/>
  <c r="R272" i="8"/>
  <c r="Q272" i="8"/>
  <c r="P272" i="8"/>
  <c r="X271" i="8"/>
  <c r="W271" i="8"/>
  <c r="V271" i="8"/>
  <c r="U271" i="8"/>
  <c r="T271" i="8"/>
  <c r="S271" i="8"/>
  <c r="R271" i="8"/>
  <c r="Q271" i="8"/>
  <c r="P271" i="8"/>
  <c r="X270" i="8"/>
  <c r="W270" i="8"/>
  <c r="V270" i="8"/>
  <c r="U270" i="8"/>
  <c r="T270" i="8"/>
  <c r="S270" i="8"/>
  <c r="R270" i="8"/>
  <c r="Q270" i="8"/>
  <c r="P270" i="8"/>
  <c r="X269" i="8"/>
  <c r="W269" i="8"/>
  <c r="V269" i="8"/>
  <c r="U269" i="8"/>
  <c r="T269" i="8"/>
  <c r="S269" i="8"/>
  <c r="R269" i="8"/>
  <c r="Q269" i="8"/>
  <c r="P269" i="8"/>
  <c r="X268" i="8"/>
  <c r="W268" i="8"/>
  <c r="V268" i="8"/>
  <c r="U268" i="8"/>
  <c r="T268" i="8"/>
  <c r="S268" i="8"/>
  <c r="R268" i="8"/>
  <c r="Q268" i="8"/>
  <c r="P268" i="8"/>
  <c r="X267" i="8"/>
  <c r="W267" i="8"/>
  <c r="V267" i="8"/>
  <c r="U267" i="8"/>
  <c r="T267" i="8"/>
  <c r="S267" i="8"/>
  <c r="R267" i="8"/>
  <c r="Q267" i="8"/>
  <c r="P267" i="8"/>
  <c r="X266" i="8"/>
  <c r="W266" i="8"/>
  <c r="V266" i="8"/>
  <c r="U266" i="8"/>
  <c r="T266" i="8"/>
  <c r="S266" i="8"/>
  <c r="R266" i="8"/>
  <c r="Q266" i="8"/>
  <c r="P266" i="8"/>
  <c r="X265" i="8"/>
  <c r="W265" i="8"/>
  <c r="V265" i="8"/>
  <c r="U265" i="8"/>
  <c r="T265" i="8"/>
  <c r="S265" i="8"/>
  <c r="R265" i="8"/>
  <c r="Q265" i="8"/>
  <c r="P265" i="8"/>
  <c r="X264" i="8"/>
  <c r="W264" i="8"/>
  <c r="V264" i="8"/>
  <c r="U264" i="8"/>
  <c r="T264" i="8"/>
  <c r="S264" i="8"/>
  <c r="R264" i="8"/>
  <c r="Q264" i="8"/>
  <c r="P264" i="8"/>
  <c r="X263" i="8"/>
  <c r="W263" i="8"/>
  <c r="V263" i="8"/>
  <c r="U263" i="8"/>
  <c r="T263" i="8"/>
  <c r="S263" i="8"/>
  <c r="R263" i="8"/>
  <c r="Q263" i="8"/>
  <c r="P263" i="8"/>
  <c r="X262" i="8"/>
  <c r="W262" i="8"/>
  <c r="V262" i="8"/>
  <c r="U262" i="8"/>
  <c r="T262" i="8"/>
  <c r="S262" i="8"/>
  <c r="R262" i="8"/>
  <c r="Q262" i="8"/>
  <c r="P262" i="8"/>
  <c r="X261" i="8"/>
  <c r="W261" i="8"/>
  <c r="V261" i="8"/>
  <c r="U261" i="8"/>
  <c r="T261" i="8"/>
  <c r="S261" i="8"/>
  <c r="R261" i="8"/>
  <c r="Q261" i="8"/>
  <c r="P261" i="8"/>
  <c r="X260" i="8"/>
  <c r="W260" i="8"/>
  <c r="V260" i="8"/>
  <c r="U260" i="8"/>
  <c r="T260" i="8"/>
  <c r="S260" i="8"/>
  <c r="R260" i="8"/>
  <c r="Q260" i="8"/>
  <c r="P260" i="8"/>
  <c r="X259" i="8"/>
  <c r="W259" i="8"/>
  <c r="V259" i="8"/>
  <c r="U259" i="8"/>
  <c r="T259" i="8"/>
  <c r="S259" i="8"/>
  <c r="R259" i="8"/>
  <c r="Q259" i="8"/>
  <c r="P259" i="8"/>
  <c r="X258" i="8"/>
  <c r="W258" i="8"/>
  <c r="V258" i="8"/>
  <c r="U258" i="8"/>
  <c r="T258" i="8"/>
  <c r="S258" i="8"/>
  <c r="R258" i="8"/>
  <c r="Q258" i="8"/>
  <c r="P258" i="8"/>
  <c r="X257" i="8"/>
  <c r="W257" i="8"/>
  <c r="V257" i="8"/>
  <c r="U257" i="8"/>
  <c r="T257" i="8"/>
  <c r="S257" i="8"/>
  <c r="R257" i="8"/>
  <c r="Q257" i="8"/>
  <c r="P257" i="8"/>
  <c r="X256" i="8"/>
  <c r="W256" i="8"/>
  <c r="V256" i="8"/>
  <c r="U256" i="8"/>
  <c r="T256" i="8"/>
  <c r="S256" i="8"/>
  <c r="R256" i="8"/>
  <c r="Q256" i="8"/>
  <c r="P256" i="8"/>
  <c r="X255" i="8"/>
  <c r="W255" i="8"/>
  <c r="V255" i="8"/>
  <c r="U255" i="8"/>
  <c r="T255" i="8"/>
  <c r="S255" i="8"/>
  <c r="R255" i="8"/>
  <c r="Q255" i="8"/>
  <c r="P255" i="8"/>
  <c r="X254" i="8"/>
  <c r="W254" i="8"/>
  <c r="V254" i="8"/>
  <c r="U254" i="8"/>
  <c r="T254" i="8"/>
  <c r="S254" i="8"/>
  <c r="R254" i="8"/>
  <c r="Q254" i="8"/>
  <c r="P254" i="8"/>
  <c r="X253" i="8"/>
  <c r="W253" i="8"/>
  <c r="V253" i="8"/>
  <c r="U253" i="8"/>
  <c r="T253" i="8"/>
  <c r="S253" i="8"/>
  <c r="R253" i="8"/>
  <c r="Q253" i="8"/>
  <c r="P253" i="8"/>
  <c r="X252" i="8"/>
  <c r="W252" i="8"/>
  <c r="V252" i="8"/>
  <c r="U252" i="8"/>
  <c r="T252" i="8"/>
  <c r="S252" i="8"/>
  <c r="R252" i="8"/>
  <c r="Q252" i="8"/>
  <c r="P252" i="8"/>
  <c r="X251" i="8"/>
  <c r="W251" i="8"/>
  <c r="V251" i="8"/>
  <c r="U251" i="8"/>
  <c r="T251" i="8"/>
  <c r="S251" i="8"/>
  <c r="R251" i="8"/>
  <c r="Q251" i="8"/>
  <c r="P251" i="8"/>
  <c r="X250" i="8"/>
  <c r="W250" i="8"/>
  <c r="V250" i="8"/>
  <c r="U250" i="8"/>
  <c r="T250" i="8"/>
  <c r="S250" i="8"/>
  <c r="R250" i="8"/>
  <c r="Q250" i="8"/>
  <c r="P250" i="8"/>
  <c r="X249" i="8"/>
  <c r="W249" i="8"/>
  <c r="V249" i="8"/>
  <c r="U249" i="8"/>
  <c r="T249" i="8"/>
  <c r="S249" i="8"/>
  <c r="R249" i="8"/>
  <c r="Q249" i="8"/>
  <c r="P249" i="8"/>
  <c r="X248" i="8"/>
  <c r="W248" i="8"/>
  <c r="V248" i="8"/>
  <c r="U248" i="8"/>
  <c r="T248" i="8"/>
  <c r="S248" i="8"/>
  <c r="R248" i="8"/>
  <c r="Q248" i="8"/>
  <c r="P248" i="8"/>
  <c r="X247" i="8"/>
  <c r="W247" i="8"/>
  <c r="V247" i="8"/>
  <c r="U247" i="8"/>
  <c r="T247" i="8"/>
  <c r="S247" i="8"/>
  <c r="R247" i="8"/>
  <c r="Q247" i="8"/>
  <c r="P247" i="8"/>
  <c r="X246" i="8"/>
  <c r="W246" i="8"/>
  <c r="V246" i="8"/>
  <c r="U246" i="8"/>
  <c r="T246" i="8"/>
  <c r="S246" i="8"/>
  <c r="R246" i="8"/>
  <c r="Q246" i="8"/>
  <c r="P246" i="8"/>
  <c r="X245" i="8"/>
  <c r="W245" i="8"/>
  <c r="V245" i="8"/>
  <c r="U245" i="8"/>
  <c r="T245" i="8"/>
  <c r="S245" i="8"/>
  <c r="R245" i="8"/>
  <c r="Q245" i="8"/>
  <c r="P245" i="8"/>
  <c r="X244" i="8"/>
  <c r="W244" i="8"/>
  <c r="V244" i="8"/>
  <c r="U244" i="8"/>
  <c r="T244" i="8"/>
  <c r="S244" i="8"/>
  <c r="R244" i="8"/>
  <c r="Q244" i="8"/>
  <c r="P244" i="8"/>
  <c r="X243" i="8"/>
  <c r="W243" i="8"/>
  <c r="V243" i="8"/>
  <c r="U243" i="8"/>
  <c r="T243" i="8"/>
  <c r="S243" i="8"/>
  <c r="R243" i="8"/>
  <c r="Q243" i="8"/>
  <c r="P243" i="8"/>
  <c r="X242" i="8"/>
  <c r="W242" i="8"/>
  <c r="V242" i="8"/>
  <c r="U242" i="8"/>
  <c r="T242" i="8"/>
  <c r="S242" i="8"/>
  <c r="R242" i="8"/>
  <c r="Q242" i="8"/>
  <c r="P242" i="8"/>
  <c r="X241" i="8"/>
  <c r="W241" i="8"/>
  <c r="V241" i="8"/>
  <c r="U241" i="8"/>
  <c r="T241" i="8"/>
  <c r="S241" i="8"/>
  <c r="R241" i="8"/>
  <c r="Q241" i="8"/>
  <c r="P241" i="8"/>
  <c r="X240" i="8"/>
  <c r="W240" i="8"/>
  <c r="V240" i="8"/>
  <c r="U240" i="8"/>
  <c r="T240" i="8"/>
  <c r="S240" i="8"/>
  <c r="R240" i="8"/>
  <c r="Q240" i="8"/>
  <c r="P240" i="8"/>
  <c r="X239" i="8"/>
  <c r="W239" i="8"/>
  <c r="V239" i="8"/>
  <c r="U239" i="8"/>
  <c r="T239" i="8"/>
  <c r="S239" i="8"/>
  <c r="R239" i="8"/>
  <c r="Q239" i="8"/>
  <c r="P239" i="8"/>
  <c r="X238" i="8"/>
  <c r="W238" i="8"/>
  <c r="V238" i="8"/>
  <c r="U238" i="8"/>
  <c r="T238" i="8"/>
  <c r="S238" i="8"/>
  <c r="R238" i="8"/>
  <c r="Q238" i="8"/>
  <c r="P238" i="8"/>
  <c r="X237" i="8"/>
  <c r="W237" i="8"/>
  <c r="V237" i="8"/>
  <c r="U237" i="8"/>
  <c r="T237" i="8"/>
  <c r="S237" i="8"/>
  <c r="R237" i="8"/>
  <c r="Q237" i="8"/>
  <c r="P237" i="8"/>
  <c r="X236" i="8"/>
  <c r="W236" i="8"/>
  <c r="V236" i="8"/>
  <c r="U236" i="8"/>
  <c r="T236" i="8"/>
  <c r="S236" i="8"/>
  <c r="R236" i="8"/>
  <c r="Q236" i="8"/>
  <c r="P236" i="8"/>
  <c r="X235" i="8"/>
  <c r="W235" i="8"/>
  <c r="V235" i="8"/>
  <c r="U235" i="8"/>
  <c r="T235" i="8"/>
  <c r="S235" i="8"/>
  <c r="R235" i="8"/>
  <c r="Q235" i="8"/>
  <c r="P235" i="8"/>
  <c r="X234" i="8"/>
  <c r="W234" i="8"/>
  <c r="V234" i="8"/>
  <c r="U234" i="8"/>
  <c r="T234" i="8"/>
  <c r="S234" i="8"/>
  <c r="R234" i="8"/>
  <c r="Q234" i="8"/>
  <c r="P234" i="8"/>
  <c r="X233" i="8"/>
  <c r="W233" i="8"/>
  <c r="V233" i="8"/>
  <c r="U233" i="8"/>
  <c r="T233" i="8"/>
  <c r="S233" i="8"/>
  <c r="R233" i="8"/>
  <c r="Q233" i="8"/>
  <c r="P233" i="8"/>
  <c r="X232" i="8"/>
  <c r="W232" i="8"/>
  <c r="V232" i="8"/>
  <c r="U232" i="8"/>
  <c r="T232" i="8"/>
  <c r="S232" i="8"/>
  <c r="R232" i="8"/>
  <c r="Q232" i="8"/>
  <c r="P232" i="8"/>
  <c r="X231" i="8"/>
  <c r="W231" i="8"/>
  <c r="V231" i="8"/>
  <c r="U231" i="8"/>
  <c r="T231" i="8"/>
  <c r="S231" i="8"/>
  <c r="R231" i="8"/>
  <c r="Q231" i="8"/>
  <c r="P231" i="8"/>
  <c r="X230" i="8"/>
  <c r="W230" i="8"/>
  <c r="V230" i="8"/>
  <c r="U230" i="8"/>
  <c r="T230" i="8"/>
  <c r="S230" i="8"/>
  <c r="R230" i="8"/>
  <c r="Q230" i="8"/>
  <c r="P230" i="8"/>
  <c r="X229" i="8"/>
  <c r="W229" i="8"/>
  <c r="V229" i="8"/>
  <c r="U229" i="8"/>
  <c r="T229" i="8"/>
  <c r="S229" i="8"/>
  <c r="R229" i="8"/>
  <c r="Q229" i="8"/>
  <c r="P229" i="8"/>
  <c r="X228" i="8"/>
  <c r="W228" i="8"/>
  <c r="V228" i="8"/>
  <c r="U228" i="8"/>
  <c r="T228" i="8"/>
  <c r="S228" i="8"/>
  <c r="R228" i="8"/>
  <c r="Q228" i="8"/>
  <c r="P228" i="8"/>
  <c r="X227" i="8"/>
  <c r="W227" i="8"/>
  <c r="V227" i="8"/>
  <c r="U227" i="8"/>
  <c r="T227" i="8"/>
  <c r="S227" i="8"/>
  <c r="R227" i="8"/>
  <c r="Q227" i="8"/>
  <c r="P227" i="8"/>
  <c r="X226" i="8"/>
  <c r="W226" i="8"/>
  <c r="V226" i="8"/>
  <c r="U226" i="8"/>
  <c r="T226" i="8"/>
  <c r="S226" i="8"/>
  <c r="R226" i="8"/>
  <c r="Q226" i="8"/>
  <c r="P226" i="8"/>
  <c r="X225" i="8"/>
  <c r="W225" i="8"/>
  <c r="V225" i="8"/>
  <c r="U225" i="8"/>
  <c r="T225" i="8"/>
  <c r="S225" i="8"/>
  <c r="R225" i="8"/>
  <c r="Q225" i="8"/>
  <c r="P225" i="8"/>
  <c r="X224" i="8"/>
  <c r="W224" i="8"/>
  <c r="V224" i="8"/>
  <c r="U224" i="8"/>
  <c r="T224" i="8"/>
  <c r="S224" i="8"/>
  <c r="R224" i="8"/>
  <c r="Q224" i="8"/>
  <c r="P224" i="8"/>
  <c r="X223" i="8"/>
  <c r="W223" i="8"/>
  <c r="V223" i="8"/>
  <c r="U223" i="8"/>
  <c r="T223" i="8"/>
  <c r="S223" i="8"/>
  <c r="R223" i="8"/>
  <c r="Q223" i="8"/>
  <c r="P223" i="8"/>
  <c r="X222" i="8"/>
  <c r="W222" i="8"/>
  <c r="V222" i="8"/>
  <c r="U222" i="8"/>
  <c r="T222" i="8"/>
  <c r="S222" i="8"/>
  <c r="R222" i="8"/>
  <c r="Q222" i="8"/>
  <c r="P222" i="8"/>
  <c r="X221" i="8"/>
  <c r="W221" i="8"/>
  <c r="V221" i="8"/>
  <c r="U221" i="8"/>
  <c r="T221" i="8"/>
  <c r="S221" i="8"/>
  <c r="R221" i="8"/>
  <c r="Q221" i="8"/>
  <c r="P221" i="8"/>
  <c r="X220" i="8"/>
  <c r="W220" i="8"/>
  <c r="V220" i="8"/>
  <c r="U220" i="8"/>
  <c r="T220" i="8"/>
  <c r="S220" i="8"/>
  <c r="R220" i="8"/>
  <c r="Q220" i="8"/>
  <c r="P220" i="8"/>
  <c r="X219" i="8"/>
  <c r="W219" i="8"/>
  <c r="V219" i="8"/>
  <c r="U219" i="8"/>
  <c r="T219" i="8"/>
  <c r="S219" i="8"/>
  <c r="R219" i="8"/>
  <c r="Q219" i="8"/>
  <c r="P219" i="8"/>
  <c r="X218" i="8"/>
  <c r="W218" i="8"/>
  <c r="V218" i="8"/>
  <c r="U218" i="8"/>
  <c r="T218" i="8"/>
  <c r="S218" i="8"/>
  <c r="R218" i="8"/>
  <c r="Q218" i="8"/>
  <c r="P218" i="8"/>
  <c r="X217" i="8"/>
  <c r="W217" i="8"/>
  <c r="V217" i="8"/>
  <c r="U217" i="8"/>
  <c r="T217" i="8"/>
  <c r="S217" i="8"/>
  <c r="R217" i="8"/>
  <c r="Q217" i="8"/>
  <c r="P217" i="8"/>
  <c r="X216" i="8"/>
  <c r="W216" i="8"/>
  <c r="V216" i="8"/>
  <c r="U216" i="8"/>
  <c r="T216" i="8"/>
  <c r="S216" i="8"/>
  <c r="R216" i="8"/>
  <c r="Q216" i="8"/>
  <c r="P216" i="8"/>
  <c r="X215" i="8"/>
  <c r="W215" i="8"/>
  <c r="V215" i="8"/>
  <c r="U215" i="8"/>
  <c r="T215" i="8"/>
  <c r="S215" i="8"/>
  <c r="R215" i="8"/>
  <c r="Q215" i="8"/>
  <c r="P215" i="8"/>
  <c r="X214" i="8"/>
  <c r="W214" i="8"/>
  <c r="V214" i="8"/>
  <c r="U214" i="8"/>
  <c r="T214" i="8"/>
  <c r="S214" i="8"/>
  <c r="R214" i="8"/>
  <c r="Q214" i="8"/>
  <c r="P214" i="8"/>
  <c r="X213" i="8"/>
  <c r="W213" i="8"/>
  <c r="V213" i="8"/>
  <c r="U213" i="8"/>
  <c r="T213" i="8"/>
  <c r="S213" i="8"/>
  <c r="R213" i="8"/>
  <c r="Q213" i="8"/>
  <c r="P213" i="8"/>
  <c r="X212" i="8"/>
  <c r="W212" i="8"/>
  <c r="V212" i="8"/>
  <c r="U212" i="8"/>
  <c r="T212" i="8"/>
  <c r="S212" i="8"/>
  <c r="R212" i="8"/>
  <c r="Q212" i="8"/>
  <c r="P212" i="8"/>
  <c r="X211" i="8"/>
  <c r="W211" i="8"/>
  <c r="V211" i="8"/>
  <c r="U211" i="8"/>
  <c r="T211" i="8"/>
  <c r="S211" i="8"/>
  <c r="R211" i="8"/>
  <c r="Q211" i="8"/>
  <c r="P211" i="8"/>
  <c r="X210" i="8"/>
  <c r="W210" i="8"/>
  <c r="V210" i="8"/>
  <c r="U210" i="8"/>
  <c r="T210" i="8"/>
  <c r="S210" i="8"/>
  <c r="R210" i="8"/>
  <c r="Q210" i="8"/>
  <c r="P210" i="8"/>
  <c r="X209" i="8"/>
  <c r="W209" i="8"/>
  <c r="V209" i="8"/>
  <c r="U209" i="8"/>
  <c r="T209" i="8"/>
  <c r="S209" i="8"/>
  <c r="R209" i="8"/>
  <c r="Q209" i="8"/>
  <c r="P209" i="8"/>
  <c r="X208" i="8"/>
  <c r="W208" i="8"/>
  <c r="V208" i="8"/>
  <c r="U208" i="8"/>
  <c r="T208" i="8"/>
  <c r="S208" i="8"/>
  <c r="R208" i="8"/>
  <c r="Q208" i="8"/>
  <c r="P208" i="8"/>
  <c r="X207" i="8"/>
  <c r="W207" i="8"/>
  <c r="V207" i="8"/>
  <c r="U207" i="8"/>
  <c r="T207" i="8"/>
  <c r="S207" i="8"/>
  <c r="R207" i="8"/>
  <c r="Q207" i="8"/>
  <c r="P207" i="8"/>
  <c r="X206" i="8"/>
  <c r="W206" i="8"/>
  <c r="V206" i="8"/>
  <c r="U206" i="8"/>
  <c r="T206" i="8"/>
  <c r="S206" i="8"/>
  <c r="R206" i="8"/>
  <c r="Q206" i="8"/>
  <c r="P206" i="8"/>
  <c r="X205" i="8"/>
  <c r="W205" i="8"/>
  <c r="V205" i="8"/>
  <c r="U205" i="8"/>
  <c r="T205" i="8"/>
  <c r="S205" i="8"/>
  <c r="R205" i="8"/>
  <c r="Q205" i="8"/>
  <c r="P205" i="8"/>
  <c r="X204" i="8"/>
  <c r="W204" i="8"/>
  <c r="V204" i="8"/>
  <c r="U204" i="8"/>
  <c r="T204" i="8"/>
  <c r="S204" i="8"/>
  <c r="R204" i="8"/>
  <c r="Q204" i="8"/>
  <c r="P204" i="8"/>
  <c r="X203" i="8"/>
  <c r="W203" i="8"/>
  <c r="V203" i="8"/>
  <c r="U203" i="8"/>
  <c r="T203" i="8"/>
  <c r="S203" i="8"/>
  <c r="R203" i="8"/>
  <c r="Q203" i="8"/>
  <c r="P203" i="8"/>
  <c r="X202" i="8"/>
  <c r="W202" i="8"/>
  <c r="V202" i="8"/>
  <c r="U202" i="8"/>
  <c r="T202" i="8"/>
  <c r="S202" i="8"/>
  <c r="R202" i="8"/>
  <c r="Q202" i="8"/>
  <c r="P202" i="8"/>
  <c r="X201" i="8"/>
  <c r="W201" i="8"/>
  <c r="V201" i="8"/>
  <c r="U201" i="8"/>
  <c r="T201" i="8"/>
  <c r="S201" i="8"/>
  <c r="R201" i="8"/>
  <c r="Q201" i="8"/>
  <c r="P201" i="8"/>
  <c r="X200" i="8"/>
  <c r="W200" i="8"/>
  <c r="V200" i="8"/>
  <c r="U200" i="8"/>
  <c r="T200" i="8"/>
  <c r="S200" i="8"/>
  <c r="R200" i="8"/>
  <c r="Q200" i="8"/>
  <c r="P200" i="8"/>
  <c r="X199" i="8"/>
  <c r="W199" i="8"/>
  <c r="V199" i="8"/>
  <c r="U199" i="8"/>
  <c r="T199" i="8"/>
  <c r="S199" i="8"/>
  <c r="R199" i="8"/>
  <c r="Q199" i="8"/>
  <c r="P199" i="8"/>
  <c r="X198" i="8"/>
  <c r="W198" i="8"/>
  <c r="V198" i="8"/>
  <c r="U198" i="8"/>
  <c r="T198" i="8"/>
  <c r="S198" i="8"/>
  <c r="R198" i="8"/>
  <c r="Q198" i="8"/>
  <c r="P198" i="8"/>
  <c r="X197" i="8"/>
  <c r="W197" i="8"/>
  <c r="V197" i="8"/>
  <c r="U197" i="8"/>
  <c r="T197" i="8"/>
  <c r="S197" i="8"/>
  <c r="R197" i="8"/>
  <c r="Q197" i="8"/>
  <c r="P197" i="8"/>
  <c r="X196" i="8"/>
  <c r="W196" i="8"/>
  <c r="V196" i="8"/>
  <c r="U196" i="8"/>
  <c r="T196" i="8"/>
  <c r="S196" i="8"/>
  <c r="R196" i="8"/>
  <c r="Q196" i="8"/>
  <c r="P196" i="8"/>
  <c r="X195" i="8"/>
  <c r="W195" i="8"/>
  <c r="V195" i="8"/>
  <c r="U195" i="8"/>
  <c r="T195" i="8"/>
  <c r="S195" i="8"/>
  <c r="R195" i="8"/>
  <c r="Q195" i="8"/>
  <c r="P195" i="8"/>
  <c r="X194" i="8"/>
  <c r="W194" i="8"/>
  <c r="V194" i="8"/>
  <c r="U194" i="8"/>
  <c r="T194" i="8"/>
  <c r="S194" i="8"/>
  <c r="R194" i="8"/>
  <c r="Q194" i="8"/>
  <c r="P194" i="8"/>
  <c r="X193" i="8"/>
  <c r="W193" i="8"/>
  <c r="V193" i="8"/>
  <c r="U193" i="8"/>
  <c r="T193" i="8"/>
  <c r="S193" i="8"/>
  <c r="R193" i="8"/>
  <c r="Q193" i="8"/>
  <c r="P193" i="8"/>
  <c r="X192" i="8"/>
  <c r="W192" i="8"/>
  <c r="V192" i="8"/>
  <c r="U192" i="8"/>
  <c r="T192" i="8"/>
  <c r="S192" i="8"/>
  <c r="R192" i="8"/>
  <c r="Q192" i="8"/>
  <c r="P192" i="8"/>
  <c r="X191" i="8"/>
  <c r="W191" i="8"/>
  <c r="V191" i="8"/>
  <c r="U191" i="8"/>
  <c r="T191" i="8"/>
  <c r="S191" i="8"/>
  <c r="R191" i="8"/>
  <c r="Q191" i="8"/>
  <c r="P191" i="8"/>
  <c r="X190" i="8"/>
  <c r="W190" i="8"/>
  <c r="V190" i="8"/>
  <c r="U190" i="8"/>
  <c r="T190" i="8"/>
  <c r="S190" i="8"/>
  <c r="R190" i="8"/>
  <c r="Q190" i="8"/>
  <c r="P190" i="8"/>
  <c r="X189" i="8"/>
  <c r="W189" i="8"/>
  <c r="V189" i="8"/>
  <c r="U189" i="8"/>
  <c r="T189" i="8"/>
  <c r="S189" i="8"/>
  <c r="R189" i="8"/>
  <c r="Q189" i="8"/>
  <c r="P189" i="8"/>
  <c r="X188" i="8"/>
  <c r="W188" i="8"/>
  <c r="V188" i="8"/>
  <c r="U188" i="8"/>
  <c r="T188" i="8"/>
  <c r="S188" i="8"/>
  <c r="R188" i="8"/>
  <c r="Q188" i="8"/>
  <c r="P188" i="8"/>
  <c r="X187" i="8"/>
  <c r="W187" i="8"/>
  <c r="V187" i="8"/>
  <c r="U187" i="8"/>
  <c r="T187" i="8"/>
  <c r="S187" i="8"/>
  <c r="R187" i="8"/>
  <c r="Q187" i="8"/>
  <c r="P187" i="8"/>
  <c r="X186" i="8"/>
  <c r="W186" i="8"/>
  <c r="V186" i="8"/>
  <c r="U186" i="8"/>
  <c r="T186" i="8"/>
  <c r="S186" i="8"/>
  <c r="R186" i="8"/>
  <c r="Q186" i="8"/>
  <c r="P186" i="8"/>
  <c r="X185" i="8"/>
  <c r="W185" i="8"/>
  <c r="V185" i="8"/>
  <c r="U185" i="8"/>
  <c r="T185" i="8"/>
  <c r="S185" i="8"/>
  <c r="R185" i="8"/>
  <c r="Q185" i="8"/>
  <c r="P185" i="8"/>
  <c r="X184" i="8"/>
  <c r="W184" i="8"/>
  <c r="V184" i="8"/>
  <c r="U184" i="8"/>
  <c r="T184" i="8"/>
  <c r="S184" i="8"/>
  <c r="R184" i="8"/>
  <c r="Q184" i="8"/>
  <c r="P184" i="8"/>
  <c r="X183" i="8"/>
  <c r="W183" i="8"/>
  <c r="V183" i="8"/>
  <c r="U183" i="8"/>
  <c r="T183" i="8"/>
  <c r="S183" i="8"/>
  <c r="R183" i="8"/>
  <c r="Q183" i="8"/>
  <c r="P183" i="8"/>
  <c r="X182" i="8"/>
  <c r="W182" i="8"/>
  <c r="V182" i="8"/>
  <c r="U182" i="8"/>
  <c r="T182" i="8"/>
  <c r="S182" i="8"/>
  <c r="R182" i="8"/>
  <c r="Q182" i="8"/>
  <c r="P182" i="8"/>
  <c r="X181" i="8"/>
  <c r="W181" i="8"/>
  <c r="V181" i="8"/>
  <c r="U181" i="8"/>
  <c r="T181" i="8"/>
  <c r="S181" i="8"/>
  <c r="R181" i="8"/>
  <c r="Q181" i="8"/>
  <c r="P181" i="8"/>
  <c r="X180" i="8"/>
  <c r="W180" i="8"/>
  <c r="V180" i="8"/>
  <c r="U180" i="8"/>
  <c r="T180" i="8"/>
  <c r="S180" i="8"/>
  <c r="R180" i="8"/>
  <c r="Q180" i="8"/>
  <c r="P180" i="8"/>
  <c r="X179" i="8"/>
  <c r="W179" i="8"/>
  <c r="V179" i="8"/>
  <c r="U179" i="8"/>
  <c r="T179" i="8"/>
  <c r="S179" i="8"/>
  <c r="R179" i="8"/>
  <c r="Q179" i="8"/>
  <c r="P179" i="8"/>
  <c r="X178" i="8"/>
  <c r="W178" i="8"/>
  <c r="V178" i="8"/>
  <c r="U178" i="8"/>
  <c r="T178" i="8"/>
  <c r="S178" i="8"/>
  <c r="R178" i="8"/>
  <c r="Q178" i="8"/>
  <c r="P178" i="8"/>
  <c r="X177" i="8"/>
  <c r="W177" i="8"/>
  <c r="V177" i="8"/>
  <c r="U177" i="8"/>
  <c r="T177" i="8"/>
  <c r="S177" i="8"/>
  <c r="R177" i="8"/>
  <c r="Q177" i="8"/>
  <c r="P177" i="8"/>
  <c r="X176" i="8"/>
  <c r="W176" i="8"/>
  <c r="V176" i="8"/>
  <c r="U176" i="8"/>
  <c r="T176" i="8"/>
  <c r="S176" i="8"/>
  <c r="R176" i="8"/>
  <c r="Q176" i="8"/>
  <c r="P176" i="8"/>
  <c r="X175" i="8"/>
  <c r="W175" i="8"/>
  <c r="V175" i="8"/>
  <c r="U175" i="8"/>
  <c r="T175" i="8"/>
  <c r="S175" i="8"/>
  <c r="R175" i="8"/>
  <c r="Q175" i="8"/>
  <c r="P175" i="8"/>
  <c r="X174" i="8"/>
  <c r="W174" i="8"/>
  <c r="V174" i="8"/>
  <c r="U174" i="8"/>
  <c r="T174" i="8"/>
  <c r="S174" i="8"/>
  <c r="R174" i="8"/>
  <c r="Q174" i="8"/>
  <c r="P174" i="8"/>
  <c r="X173" i="8"/>
  <c r="W173" i="8"/>
  <c r="V173" i="8"/>
  <c r="U173" i="8"/>
  <c r="T173" i="8"/>
  <c r="S173" i="8"/>
  <c r="R173" i="8"/>
  <c r="Q173" i="8"/>
  <c r="P173" i="8"/>
  <c r="X172" i="8"/>
  <c r="W172" i="8"/>
  <c r="V172" i="8"/>
  <c r="U172" i="8"/>
  <c r="T172" i="8"/>
  <c r="S172" i="8"/>
  <c r="R172" i="8"/>
  <c r="Q172" i="8"/>
  <c r="P172" i="8"/>
  <c r="X171" i="8"/>
  <c r="W171" i="8"/>
  <c r="V171" i="8"/>
  <c r="U171" i="8"/>
  <c r="T171" i="8"/>
  <c r="S171" i="8"/>
  <c r="R171" i="8"/>
  <c r="Q171" i="8"/>
  <c r="P171" i="8"/>
  <c r="X170" i="8"/>
  <c r="W170" i="8"/>
  <c r="V170" i="8"/>
  <c r="U170" i="8"/>
  <c r="T170" i="8"/>
  <c r="S170" i="8"/>
  <c r="R170" i="8"/>
  <c r="Q170" i="8"/>
  <c r="P170" i="8"/>
  <c r="X169" i="8"/>
  <c r="W169" i="8"/>
  <c r="V169" i="8"/>
  <c r="U169" i="8"/>
  <c r="T169" i="8"/>
  <c r="S169" i="8"/>
  <c r="R169" i="8"/>
  <c r="Q169" i="8"/>
  <c r="P169" i="8"/>
  <c r="X168" i="8"/>
  <c r="W168" i="8"/>
  <c r="V168" i="8"/>
  <c r="U168" i="8"/>
  <c r="T168" i="8"/>
  <c r="S168" i="8"/>
  <c r="R168" i="8"/>
  <c r="Q168" i="8"/>
  <c r="P168" i="8"/>
  <c r="X167" i="8"/>
  <c r="W167" i="8"/>
  <c r="V167" i="8"/>
  <c r="U167" i="8"/>
  <c r="T167" i="8"/>
  <c r="S167" i="8"/>
  <c r="R167" i="8"/>
  <c r="Q167" i="8"/>
  <c r="P167" i="8"/>
  <c r="X166" i="8"/>
  <c r="W166" i="8"/>
  <c r="V166" i="8"/>
  <c r="U166" i="8"/>
  <c r="T166" i="8"/>
  <c r="S166" i="8"/>
  <c r="R166" i="8"/>
  <c r="Q166" i="8"/>
  <c r="P166" i="8"/>
  <c r="X165" i="8"/>
  <c r="W165" i="8"/>
  <c r="V165" i="8"/>
  <c r="U165" i="8"/>
  <c r="T165" i="8"/>
  <c r="S165" i="8"/>
  <c r="R165" i="8"/>
  <c r="Q165" i="8"/>
  <c r="P165" i="8"/>
  <c r="X164" i="8"/>
  <c r="W164" i="8"/>
  <c r="V164" i="8"/>
  <c r="U164" i="8"/>
  <c r="T164" i="8"/>
  <c r="S164" i="8"/>
  <c r="R164" i="8"/>
  <c r="Q164" i="8"/>
  <c r="P164" i="8"/>
  <c r="X163" i="8"/>
  <c r="W163" i="8"/>
  <c r="V163" i="8"/>
  <c r="U163" i="8"/>
  <c r="T163" i="8"/>
  <c r="S163" i="8"/>
  <c r="R163" i="8"/>
  <c r="Q163" i="8"/>
  <c r="P163" i="8"/>
  <c r="X162" i="8"/>
  <c r="W162" i="8"/>
  <c r="V162" i="8"/>
  <c r="U162" i="8"/>
  <c r="T162" i="8"/>
  <c r="S162" i="8"/>
  <c r="R162" i="8"/>
  <c r="Q162" i="8"/>
  <c r="P162" i="8"/>
  <c r="X161" i="8"/>
  <c r="W161" i="8"/>
  <c r="V161" i="8"/>
  <c r="U161" i="8"/>
  <c r="T161" i="8"/>
  <c r="S161" i="8"/>
  <c r="R161" i="8"/>
  <c r="Q161" i="8"/>
  <c r="P161" i="8"/>
  <c r="X160" i="8"/>
  <c r="W160" i="8"/>
  <c r="V160" i="8"/>
  <c r="U160" i="8"/>
  <c r="T160" i="8"/>
  <c r="S160" i="8"/>
  <c r="R160" i="8"/>
  <c r="Q160" i="8"/>
  <c r="P160" i="8"/>
  <c r="X159" i="8"/>
  <c r="W159" i="8"/>
  <c r="V159" i="8"/>
  <c r="U159" i="8"/>
  <c r="T159" i="8"/>
  <c r="S159" i="8"/>
  <c r="R159" i="8"/>
  <c r="Q159" i="8"/>
  <c r="P159" i="8"/>
  <c r="X158" i="8"/>
  <c r="W158" i="8"/>
  <c r="V158" i="8"/>
  <c r="U158" i="8"/>
  <c r="T158" i="8"/>
  <c r="S158" i="8"/>
  <c r="R158" i="8"/>
  <c r="Q158" i="8"/>
  <c r="P158" i="8"/>
  <c r="X157" i="8"/>
  <c r="W157" i="8"/>
  <c r="V157" i="8"/>
  <c r="U157" i="8"/>
  <c r="T157" i="8"/>
  <c r="S157" i="8"/>
  <c r="R157" i="8"/>
  <c r="Q157" i="8"/>
  <c r="P157" i="8"/>
  <c r="X156" i="8"/>
  <c r="W156" i="8"/>
  <c r="V156" i="8"/>
  <c r="U156" i="8"/>
  <c r="T156" i="8"/>
  <c r="S156" i="8"/>
  <c r="R156" i="8"/>
  <c r="Q156" i="8"/>
  <c r="P156" i="8"/>
  <c r="X155" i="8"/>
  <c r="W155" i="8"/>
  <c r="V155" i="8"/>
  <c r="U155" i="8"/>
  <c r="T155" i="8"/>
  <c r="S155" i="8"/>
  <c r="R155" i="8"/>
  <c r="Q155" i="8"/>
  <c r="P155" i="8"/>
  <c r="X154" i="8"/>
  <c r="W154" i="8"/>
  <c r="V154" i="8"/>
  <c r="U154" i="8"/>
  <c r="T154" i="8"/>
  <c r="S154" i="8"/>
  <c r="R154" i="8"/>
  <c r="Q154" i="8"/>
  <c r="P154" i="8"/>
  <c r="X153" i="8"/>
  <c r="W153" i="8"/>
  <c r="V153" i="8"/>
  <c r="U153" i="8"/>
  <c r="T153" i="8"/>
  <c r="S153" i="8"/>
  <c r="R153" i="8"/>
  <c r="Q153" i="8"/>
  <c r="P153" i="8"/>
  <c r="X152" i="8"/>
  <c r="W152" i="8"/>
  <c r="V152" i="8"/>
  <c r="U152" i="8"/>
  <c r="T152" i="8"/>
  <c r="S152" i="8"/>
  <c r="R152" i="8"/>
  <c r="Q152" i="8"/>
  <c r="P152" i="8"/>
  <c r="X151" i="8"/>
  <c r="W151" i="8"/>
  <c r="V151" i="8"/>
  <c r="U151" i="8"/>
  <c r="T151" i="8"/>
  <c r="S151" i="8"/>
  <c r="R151" i="8"/>
  <c r="Q151" i="8"/>
  <c r="P151" i="8"/>
  <c r="X150" i="8"/>
  <c r="W150" i="8"/>
  <c r="V150" i="8"/>
  <c r="U150" i="8"/>
  <c r="T150" i="8"/>
  <c r="S150" i="8"/>
  <c r="R150" i="8"/>
  <c r="Q150" i="8"/>
  <c r="P150" i="8"/>
  <c r="X149" i="8"/>
  <c r="W149" i="8"/>
  <c r="V149" i="8"/>
  <c r="U149" i="8"/>
  <c r="T149" i="8"/>
  <c r="S149" i="8"/>
  <c r="R149" i="8"/>
  <c r="Q149" i="8"/>
  <c r="P149" i="8"/>
  <c r="X148" i="8"/>
  <c r="W148" i="8"/>
  <c r="V148" i="8"/>
  <c r="U148" i="8"/>
  <c r="T148" i="8"/>
  <c r="S148" i="8"/>
  <c r="R148" i="8"/>
  <c r="Q148" i="8"/>
  <c r="P148" i="8"/>
  <c r="X147" i="8"/>
  <c r="W147" i="8"/>
  <c r="V147" i="8"/>
  <c r="U147" i="8"/>
  <c r="T147" i="8"/>
  <c r="S147" i="8"/>
  <c r="R147" i="8"/>
  <c r="Q147" i="8"/>
  <c r="P147" i="8"/>
  <c r="X146" i="8"/>
  <c r="W146" i="8"/>
  <c r="V146" i="8"/>
  <c r="U146" i="8"/>
  <c r="T146" i="8"/>
  <c r="S146" i="8"/>
  <c r="R146" i="8"/>
  <c r="Q146" i="8"/>
  <c r="P146" i="8"/>
  <c r="X145" i="8"/>
  <c r="W145" i="8"/>
  <c r="V145" i="8"/>
  <c r="U145" i="8"/>
  <c r="T145" i="8"/>
  <c r="S145" i="8"/>
  <c r="R145" i="8"/>
  <c r="Q145" i="8"/>
  <c r="P145" i="8"/>
  <c r="X144" i="8"/>
  <c r="W144" i="8"/>
  <c r="V144" i="8"/>
  <c r="U144" i="8"/>
  <c r="T144" i="8"/>
  <c r="S144" i="8"/>
  <c r="R144" i="8"/>
  <c r="Q144" i="8"/>
  <c r="P144" i="8"/>
  <c r="X143" i="8"/>
  <c r="W143" i="8"/>
  <c r="V143" i="8"/>
  <c r="U143" i="8"/>
  <c r="T143" i="8"/>
  <c r="S143" i="8"/>
  <c r="R143" i="8"/>
  <c r="Q143" i="8"/>
  <c r="P143" i="8"/>
  <c r="X142" i="8"/>
  <c r="W142" i="8"/>
  <c r="V142" i="8"/>
  <c r="U142" i="8"/>
  <c r="T142" i="8"/>
  <c r="S142" i="8"/>
  <c r="R142" i="8"/>
  <c r="Q142" i="8"/>
  <c r="P142" i="8"/>
  <c r="X141" i="8"/>
  <c r="W141" i="8"/>
  <c r="V141" i="8"/>
  <c r="U141" i="8"/>
  <c r="T141" i="8"/>
  <c r="S141" i="8"/>
  <c r="R141" i="8"/>
  <c r="Q141" i="8"/>
  <c r="P141" i="8"/>
  <c r="X140" i="8"/>
  <c r="W140" i="8"/>
  <c r="V140" i="8"/>
  <c r="U140" i="8"/>
  <c r="T140" i="8"/>
  <c r="S140" i="8"/>
  <c r="R140" i="8"/>
  <c r="Q140" i="8"/>
  <c r="P140" i="8"/>
  <c r="X139" i="8"/>
  <c r="W139" i="8"/>
  <c r="V139" i="8"/>
  <c r="U139" i="8"/>
  <c r="T139" i="8"/>
  <c r="S139" i="8"/>
  <c r="R139" i="8"/>
  <c r="Q139" i="8"/>
  <c r="P139" i="8"/>
  <c r="X138" i="8"/>
  <c r="W138" i="8"/>
  <c r="V138" i="8"/>
  <c r="U138" i="8"/>
  <c r="T138" i="8"/>
  <c r="S138" i="8"/>
  <c r="R138" i="8"/>
  <c r="Q138" i="8"/>
  <c r="P138" i="8"/>
  <c r="X137" i="8"/>
  <c r="W137" i="8"/>
  <c r="V137" i="8"/>
  <c r="U137" i="8"/>
  <c r="T137" i="8"/>
  <c r="S137" i="8"/>
  <c r="R137" i="8"/>
  <c r="Q137" i="8"/>
  <c r="P137" i="8"/>
  <c r="X136" i="8"/>
  <c r="W136" i="8"/>
  <c r="V136" i="8"/>
  <c r="U136" i="8"/>
  <c r="T136" i="8"/>
  <c r="S136" i="8"/>
  <c r="R136" i="8"/>
  <c r="Q136" i="8"/>
  <c r="P136" i="8"/>
  <c r="X135" i="8"/>
  <c r="W135" i="8"/>
  <c r="V135" i="8"/>
  <c r="U135" i="8"/>
  <c r="T135" i="8"/>
  <c r="S135" i="8"/>
  <c r="R135" i="8"/>
  <c r="Q135" i="8"/>
  <c r="P135" i="8"/>
  <c r="X134" i="8"/>
  <c r="W134" i="8"/>
  <c r="V134" i="8"/>
  <c r="U134" i="8"/>
  <c r="T134" i="8"/>
  <c r="S134" i="8"/>
  <c r="R134" i="8"/>
  <c r="Q134" i="8"/>
  <c r="P134" i="8"/>
  <c r="X133" i="8"/>
  <c r="W133" i="8"/>
  <c r="V133" i="8"/>
  <c r="U133" i="8"/>
  <c r="T133" i="8"/>
  <c r="S133" i="8"/>
  <c r="R133" i="8"/>
  <c r="Q133" i="8"/>
  <c r="P133" i="8"/>
  <c r="X132" i="8"/>
  <c r="W132" i="8"/>
  <c r="V132" i="8"/>
  <c r="U132" i="8"/>
  <c r="T132" i="8"/>
  <c r="S132" i="8"/>
  <c r="R132" i="8"/>
  <c r="Q132" i="8"/>
  <c r="P132" i="8"/>
  <c r="X131" i="8"/>
  <c r="W131" i="8"/>
  <c r="V131" i="8"/>
  <c r="U131" i="8"/>
  <c r="T131" i="8"/>
  <c r="S131" i="8"/>
  <c r="R131" i="8"/>
  <c r="Q131" i="8"/>
  <c r="P131" i="8"/>
  <c r="X130" i="8"/>
  <c r="W130" i="8"/>
  <c r="V130" i="8"/>
  <c r="U130" i="8"/>
  <c r="T130" i="8"/>
  <c r="S130" i="8"/>
  <c r="R130" i="8"/>
  <c r="Q130" i="8"/>
  <c r="P130" i="8"/>
  <c r="X129" i="8"/>
  <c r="W129" i="8"/>
  <c r="V129" i="8"/>
  <c r="U129" i="8"/>
  <c r="T129" i="8"/>
  <c r="S129" i="8"/>
  <c r="R129" i="8"/>
  <c r="Q129" i="8"/>
  <c r="P129" i="8"/>
  <c r="X128" i="8"/>
  <c r="W128" i="8"/>
  <c r="V128" i="8"/>
  <c r="U128" i="8"/>
  <c r="T128" i="8"/>
  <c r="S128" i="8"/>
  <c r="R128" i="8"/>
  <c r="Q128" i="8"/>
  <c r="P128" i="8"/>
  <c r="X127" i="8"/>
  <c r="W127" i="8"/>
  <c r="V127" i="8"/>
  <c r="U127" i="8"/>
  <c r="T127" i="8"/>
  <c r="S127" i="8"/>
  <c r="R127" i="8"/>
  <c r="Q127" i="8"/>
  <c r="P127" i="8"/>
  <c r="X126" i="8"/>
  <c r="W126" i="8"/>
  <c r="V126" i="8"/>
  <c r="U126" i="8"/>
  <c r="T126" i="8"/>
  <c r="S126" i="8"/>
  <c r="R126" i="8"/>
  <c r="Q126" i="8"/>
  <c r="P126" i="8"/>
  <c r="X125" i="8"/>
  <c r="W125" i="8"/>
  <c r="V125" i="8"/>
  <c r="U125" i="8"/>
  <c r="T125" i="8"/>
  <c r="S125" i="8"/>
  <c r="R125" i="8"/>
  <c r="Q125" i="8"/>
  <c r="P125" i="8"/>
  <c r="X124" i="8"/>
  <c r="W124" i="8"/>
  <c r="V124" i="8"/>
  <c r="U124" i="8"/>
  <c r="T124" i="8"/>
  <c r="S124" i="8"/>
  <c r="R124" i="8"/>
  <c r="Q124" i="8"/>
  <c r="P124" i="8"/>
  <c r="X123" i="8"/>
  <c r="W123" i="8"/>
  <c r="V123" i="8"/>
  <c r="U123" i="8"/>
  <c r="T123" i="8"/>
  <c r="S123" i="8"/>
  <c r="R123" i="8"/>
  <c r="Q123" i="8"/>
  <c r="P123" i="8"/>
  <c r="X122" i="8"/>
  <c r="W122" i="8"/>
  <c r="V122" i="8"/>
  <c r="U122" i="8"/>
  <c r="T122" i="8"/>
  <c r="S122" i="8"/>
  <c r="R122" i="8"/>
  <c r="Q122" i="8"/>
  <c r="P122" i="8"/>
  <c r="X121" i="8"/>
  <c r="W121" i="8"/>
  <c r="V121" i="8"/>
  <c r="U121" i="8"/>
  <c r="T121" i="8"/>
  <c r="S121" i="8"/>
  <c r="R121" i="8"/>
  <c r="Q121" i="8"/>
  <c r="P121" i="8"/>
  <c r="X120" i="8"/>
  <c r="W120" i="8"/>
  <c r="V120" i="8"/>
  <c r="U120" i="8"/>
  <c r="T120" i="8"/>
  <c r="S120" i="8"/>
  <c r="R120" i="8"/>
  <c r="Q120" i="8"/>
  <c r="P120" i="8"/>
  <c r="X119" i="8"/>
  <c r="W119" i="8"/>
  <c r="V119" i="8"/>
  <c r="U119" i="8"/>
  <c r="T119" i="8"/>
  <c r="S119" i="8"/>
  <c r="R119" i="8"/>
  <c r="Q119" i="8"/>
  <c r="P119" i="8"/>
  <c r="X118" i="8"/>
  <c r="W118" i="8"/>
  <c r="V118" i="8"/>
  <c r="U118" i="8"/>
  <c r="T118" i="8"/>
  <c r="S118" i="8"/>
  <c r="R118" i="8"/>
  <c r="Q118" i="8"/>
  <c r="P118" i="8"/>
  <c r="X117" i="8"/>
  <c r="W117" i="8"/>
  <c r="V117" i="8"/>
  <c r="U117" i="8"/>
  <c r="T117" i="8"/>
  <c r="S117" i="8"/>
  <c r="R117" i="8"/>
  <c r="Q117" i="8"/>
  <c r="P117" i="8"/>
  <c r="X116" i="8"/>
  <c r="W116" i="8"/>
  <c r="V116" i="8"/>
  <c r="U116" i="8"/>
  <c r="T116" i="8"/>
  <c r="S116" i="8"/>
  <c r="R116" i="8"/>
  <c r="Q116" i="8"/>
  <c r="P116" i="8"/>
  <c r="X115" i="8"/>
  <c r="W115" i="8"/>
  <c r="V115" i="8"/>
  <c r="U115" i="8"/>
  <c r="T115" i="8"/>
  <c r="S115" i="8"/>
  <c r="R115" i="8"/>
  <c r="Q115" i="8"/>
  <c r="P115" i="8"/>
  <c r="X114" i="8"/>
  <c r="W114" i="8"/>
  <c r="V114" i="8"/>
  <c r="U114" i="8"/>
  <c r="T114" i="8"/>
  <c r="S114" i="8"/>
  <c r="R114" i="8"/>
  <c r="Q114" i="8"/>
  <c r="P114" i="8"/>
  <c r="X113" i="8"/>
  <c r="W113" i="8"/>
  <c r="V113" i="8"/>
  <c r="U113" i="8"/>
  <c r="T113" i="8"/>
  <c r="S113" i="8"/>
  <c r="R113" i="8"/>
  <c r="Q113" i="8"/>
  <c r="P113" i="8"/>
  <c r="X112" i="8"/>
  <c r="W112" i="8"/>
  <c r="V112" i="8"/>
  <c r="U112" i="8"/>
  <c r="T112" i="8"/>
  <c r="S112" i="8"/>
  <c r="R112" i="8"/>
  <c r="Q112" i="8"/>
  <c r="P112" i="8"/>
  <c r="X111" i="8"/>
  <c r="W111" i="8"/>
  <c r="V111" i="8"/>
  <c r="U111" i="8"/>
  <c r="T111" i="8"/>
  <c r="S111" i="8"/>
  <c r="R111" i="8"/>
  <c r="Q111" i="8"/>
  <c r="P111" i="8"/>
  <c r="X110" i="8"/>
  <c r="W110" i="8"/>
  <c r="V110" i="8"/>
  <c r="U110" i="8"/>
  <c r="T110" i="8"/>
  <c r="S110" i="8"/>
  <c r="R110" i="8"/>
  <c r="Q110" i="8"/>
  <c r="P110" i="8"/>
  <c r="X109" i="8"/>
  <c r="W109" i="8"/>
  <c r="V109" i="8"/>
  <c r="U109" i="8"/>
  <c r="T109" i="8"/>
  <c r="S109" i="8"/>
  <c r="R109" i="8"/>
  <c r="Q109" i="8"/>
  <c r="P109" i="8"/>
  <c r="X108" i="8"/>
  <c r="W108" i="8"/>
  <c r="V108" i="8"/>
  <c r="U108" i="8"/>
  <c r="T108" i="8"/>
  <c r="S108" i="8"/>
  <c r="R108" i="8"/>
  <c r="Q108" i="8"/>
  <c r="P108" i="8"/>
  <c r="X107" i="8"/>
  <c r="W107" i="8"/>
  <c r="V107" i="8"/>
  <c r="U107" i="8"/>
  <c r="T107" i="8"/>
  <c r="S107" i="8"/>
  <c r="R107" i="8"/>
  <c r="Q107" i="8"/>
  <c r="P107" i="8"/>
  <c r="X106" i="8"/>
  <c r="W106" i="8"/>
  <c r="V106" i="8"/>
  <c r="U106" i="8"/>
  <c r="T106" i="8"/>
  <c r="S106" i="8"/>
  <c r="R106" i="8"/>
  <c r="Q106" i="8"/>
  <c r="P106" i="8"/>
  <c r="X105" i="8"/>
  <c r="W105" i="8"/>
  <c r="V105" i="8"/>
  <c r="U105" i="8"/>
  <c r="T105" i="8"/>
  <c r="S105" i="8"/>
  <c r="R105" i="8"/>
  <c r="Q105" i="8"/>
  <c r="P105" i="8"/>
  <c r="X104" i="8"/>
  <c r="W104" i="8"/>
  <c r="V104" i="8"/>
  <c r="U104" i="8"/>
  <c r="T104" i="8"/>
  <c r="S104" i="8"/>
  <c r="R104" i="8"/>
  <c r="Q104" i="8"/>
  <c r="P104" i="8"/>
  <c r="X103" i="8"/>
  <c r="W103" i="8"/>
  <c r="V103" i="8"/>
  <c r="U103" i="8"/>
  <c r="T103" i="8"/>
  <c r="S103" i="8"/>
  <c r="R103" i="8"/>
  <c r="Q103" i="8"/>
  <c r="P103" i="8"/>
  <c r="X102" i="8"/>
  <c r="W102" i="8"/>
  <c r="V102" i="8"/>
  <c r="U102" i="8"/>
  <c r="T102" i="8"/>
  <c r="S102" i="8"/>
  <c r="R102" i="8"/>
  <c r="Q102" i="8"/>
  <c r="P102" i="8"/>
  <c r="X101" i="8"/>
  <c r="W101" i="8"/>
  <c r="V101" i="8"/>
  <c r="U101" i="8"/>
  <c r="T101" i="8"/>
  <c r="S101" i="8"/>
  <c r="R101" i="8"/>
  <c r="Q101" i="8"/>
  <c r="P101" i="8"/>
  <c r="X100" i="8"/>
  <c r="W100" i="8"/>
  <c r="V100" i="8"/>
  <c r="U100" i="8"/>
  <c r="T100" i="8"/>
  <c r="S100" i="8"/>
  <c r="R100" i="8"/>
  <c r="Q100" i="8"/>
  <c r="P100" i="8"/>
  <c r="X99" i="8"/>
  <c r="W99" i="8"/>
  <c r="V99" i="8"/>
  <c r="U99" i="8"/>
  <c r="T99" i="8"/>
  <c r="S99" i="8"/>
  <c r="R99" i="8"/>
  <c r="Q99" i="8"/>
  <c r="P99" i="8"/>
  <c r="X98" i="8"/>
  <c r="W98" i="8"/>
  <c r="V98" i="8"/>
  <c r="U98" i="8"/>
  <c r="T98" i="8"/>
  <c r="S98" i="8"/>
  <c r="R98" i="8"/>
  <c r="Q98" i="8"/>
  <c r="P98" i="8"/>
  <c r="X97" i="8"/>
  <c r="W97" i="8"/>
  <c r="V97" i="8"/>
  <c r="U97" i="8"/>
  <c r="T97" i="8"/>
  <c r="S97" i="8"/>
  <c r="R97" i="8"/>
  <c r="Q97" i="8"/>
  <c r="P97" i="8"/>
  <c r="X96" i="8"/>
  <c r="W96" i="8"/>
  <c r="V96" i="8"/>
  <c r="U96" i="8"/>
  <c r="T96" i="8"/>
  <c r="S96" i="8"/>
  <c r="R96" i="8"/>
  <c r="Q96" i="8"/>
  <c r="P96" i="8"/>
  <c r="X95" i="8"/>
  <c r="W95" i="8"/>
  <c r="V95" i="8"/>
  <c r="U95" i="8"/>
  <c r="T95" i="8"/>
  <c r="S95" i="8"/>
  <c r="R95" i="8"/>
  <c r="Q95" i="8"/>
  <c r="P95" i="8"/>
  <c r="X94" i="8"/>
  <c r="W94" i="8"/>
  <c r="V94" i="8"/>
  <c r="U94" i="8"/>
  <c r="T94" i="8"/>
  <c r="S94" i="8"/>
  <c r="R94" i="8"/>
  <c r="Q94" i="8"/>
  <c r="P94" i="8"/>
  <c r="X93" i="8"/>
  <c r="W93" i="8"/>
  <c r="V93" i="8"/>
  <c r="U93" i="8"/>
  <c r="T93" i="8"/>
  <c r="S93" i="8"/>
  <c r="R93" i="8"/>
  <c r="Q93" i="8"/>
  <c r="P93" i="8"/>
  <c r="X92" i="8"/>
  <c r="W92" i="8"/>
  <c r="V92" i="8"/>
  <c r="U92" i="8"/>
  <c r="T92" i="8"/>
  <c r="S92" i="8"/>
  <c r="R92" i="8"/>
  <c r="Q92" i="8"/>
  <c r="P92" i="8"/>
  <c r="X91" i="8"/>
  <c r="W91" i="8"/>
  <c r="V91" i="8"/>
  <c r="U91" i="8"/>
  <c r="T91" i="8"/>
  <c r="S91" i="8"/>
  <c r="R91" i="8"/>
  <c r="Q91" i="8"/>
  <c r="P91" i="8"/>
  <c r="X90" i="8"/>
  <c r="W90" i="8"/>
  <c r="V90" i="8"/>
  <c r="U90" i="8"/>
  <c r="T90" i="8"/>
  <c r="S90" i="8"/>
  <c r="R90" i="8"/>
  <c r="Q90" i="8"/>
  <c r="P90" i="8"/>
  <c r="X89" i="8"/>
  <c r="W89" i="8"/>
  <c r="V89" i="8"/>
  <c r="U89" i="8"/>
  <c r="T89" i="8"/>
  <c r="S89" i="8"/>
  <c r="R89" i="8"/>
  <c r="Q89" i="8"/>
  <c r="P89" i="8"/>
  <c r="X88" i="8"/>
  <c r="W88" i="8"/>
  <c r="V88" i="8"/>
  <c r="U88" i="8"/>
  <c r="T88" i="8"/>
  <c r="S88" i="8"/>
  <c r="R88" i="8"/>
  <c r="Q88" i="8"/>
  <c r="P88" i="8"/>
  <c r="X87" i="8"/>
  <c r="W87" i="8"/>
  <c r="V87" i="8"/>
  <c r="U87" i="8"/>
  <c r="T87" i="8"/>
  <c r="S87" i="8"/>
  <c r="R87" i="8"/>
  <c r="Q87" i="8"/>
  <c r="P87" i="8"/>
  <c r="X86" i="8"/>
  <c r="W86" i="8"/>
  <c r="V86" i="8"/>
  <c r="U86" i="8"/>
  <c r="T86" i="8"/>
  <c r="S86" i="8"/>
  <c r="R86" i="8"/>
  <c r="Q86" i="8"/>
  <c r="P86" i="8"/>
  <c r="X85" i="8"/>
  <c r="W85" i="8"/>
  <c r="V85" i="8"/>
  <c r="U85" i="8"/>
  <c r="T85" i="8"/>
  <c r="S85" i="8"/>
  <c r="R85" i="8"/>
  <c r="Q85" i="8"/>
  <c r="P85" i="8"/>
  <c r="X84" i="8"/>
  <c r="W84" i="8"/>
  <c r="V84" i="8"/>
  <c r="U84" i="8"/>
  <c r="T84" i="8"/>
  <c r="S84" i="8"/>
  <c r="R84" i="8"/>
  <c r="Q84" i="8"/>
  <c r="P84" i="8"/>
  <c r="X83" i="8"/>
  <c r="W83" i="8"/>
  <c r="V83" i="8"/>
  <c r="U83" i="8"/>
  <c r="T83" i="8"/>
  <c r="S83" i="8"/>
  <c r="R83" i="8"/>
  <c r="Q83" i="8"/>
  <c r="P83" i="8"/>
  <c r="X82" i="8"/>
  <c r="W82" i="8"/>
  <c r="V82" i="8"/>
  <c r="U82" i="8"/>
  <c r="T82" i="8"/>
  <c r="S82" i="8"/>
  <c r="R82" i="8"/>
  <c r="Q82" i="8"/>
  <c r="P82" i="8"/>
  <c r="X81" i="8"/>
  <c r="W81" i="8"/>
  <c r="V81" i="8"/>
  <c r="U81" i="8"/>
  <c r="T81" i="8"/>
  <c r="S81" i="8"/>
  <c r="R81" i="8"/>
  <c r="Q81" i="8"/>
  <c r="P81" i="8"/>
  <c r="X80" i="8"/>
  <c r="W80" i="8"/>
  <c r="V80" i="8"/>
  <c r="U80" i="8"/>
  <c r="T80" i="8"/>
  <c r="S80" i="8"/>
  <c r="R80" i="8"/>
  <c r="Q80" i="8"/>
  <c r="P80" i="8"/>
  <c r="X79" i="8"/>
  <c r="W79" i="8"/>
  <c r="V79" i="8"/>
  <c r="U79" i="8"/>
  <c r="T79" i="8"/>
  <c r="S79" i="8"/>
  <c r="R79" i="8"/>
  <c r="Q79" i="8"/>
  <c r="P79" i="8"/>
  <c r="X78" i="8"/>
  <c r="W78" i="8"/>
  <c r="V78" i="8"/>
  <c r="U78" i="8"/>
  <c r="T78" i="8"/>
  <c r="S78" i="8"/>
  <c r="R78" i="8"/>
  <c r="Q78" i="8"/>
  <c r="P78" i="8"/>
  <c r="X77" i="8"/>
  <c r="W77" i="8"/>
  <c r="V77" i="8"/>
  <c r="U77" i="8"/>
  <c r="T77" i="8"/>
  <c r="S77" i="8"/>
  <c r="R77" i="8"/>
  <c r="Q77" i="8"/>
  <c r="P77" i="8"/>
  <c r="X76" i="8"/>
  <c r="W76" i="8"/>
  <c r="V76" i="8"/>
  <c r="U76" i="8"/>
  <c r="T76" i="8"/>
  <c r="S76" i="8"/>
  <c r="R76" i="8"/>
  <c r="Q76" i="8"/>
  <c r="P76" i="8"/>
  <c r="X75" i="8"/>
  <c r="W75" i="8"/>
  <c r="V75" i="8"/>
  <c r="U75" i="8"/>
  <c r="T75" i="8"/>
  <c r="S75" i="8"/>
  <c r="R75" i="8"/>
  <c r="Q75" i="8"/>
  <c r="P75" i="8"/>
  <c r="X74" i="8"/>
  <c r="W74" i="8"/>
  <c r="V74" i="8"/>
  <c r="U74" i="8"/>
  <c r="T74" i="8"/>
  <c r="S74" i="8"/>
  <c r="R74" i="8"/>
  <c r="Q74" i="8"/>
  <c r="P74" i="8"/>
  <c r="X73" i="8"/>
  <c r="W73" i="8"/>
  <c r="V73" i="8"/>
  <c r="U73" i="8"/>
  <c r="T73" i="8"/>
  <c r="S73" i="8"/>
  <c r="R73" i="8"/>
  <c r="Q73" i="8"/>
  <c r="P73" i="8"/>
  <c r="X72" i="8"/>
  <c r="W72" i="8"/>
  <c r="V72" i="8"/>
  <c r="U72" i="8"/>
  <c r="T72" i="8"/>
  <c r="S72" i="8"/>
  <c r="R72" i="8"/>
  <c r="Q72" i="8"/>
  <c r="P72" i="8"/>
  <c r="X71" i="8"/>
  <c r="W71" i="8"/>
  <c r="V71" i="8"/>
  <c r="U71" i="8"/>
  <c r="T71" i="8"/>
  <c r="S71" i="8"/>
  <c r="R71" i="8"/>
  <c r="Q71" i="8"/>
  <c r="P71" i="8"/>
  <c r="X70" i="8"/>
  <c r="W70" i="8"/>
  <c r="V70" i="8"/>
  <c r="U70" i="8"/>
  <c r="T70" i="8"/>
  <c r="S70" i="8"/>
  <c r="R70" i="8"/>
  <c r="Q70" i="8"/>
  <c r="P70" i="8"/>
  <c r="X69" i="8"/>
  <c r="W69" i="8"/>
  <c r="V69" i="8"/>
  <c r="U69" i="8"/>
  <c r="T69" i="8"/>
  <c r="S69" i="8"/>
  <c r="R69" i="8"/>
  <c r="Q69" i="8"/>
  <c r="P69" i="8"/>
  <c r="X68" i="8"/>
  <c r="W68" i="8"/>
  <c r="V68" i="8"/>
  <c r="U68" i="8"/>
  <c r="T68" i="8"/>
  <c r="S68" i="8"/>
  <c r="R68" i="8"/>
  <c r="Q68" i="8"/>
  <c r="P68" i="8"/>
  <c r="X67" i="8"/>
  <c r="W67" i="8"/>
  <c r="V67" i="8"/>
  <c r="U67" i="8"/>
  <c r="T67" i="8"/>
  <c r="S67" i="8"/>
  <c r="R67" i="8"/>
  <c r="Q67" i="8"/>
  <c r="P67" i="8"/>
  <c r="X66" i="8"/>
  <c r="W66" i="8"/>
  <c r="V66" i="8"/>
  <c r="U66" i="8"/>
  <c r="T66" i="8"/>
  <c r="S66" i="8"/>
  <c r="R66" i="8"/>
  <c r="Q66" i="8"/>
  <c r="P66" i="8"/>
  <c r="X65" i="8"/>
  <c r="W65" i="8"/>
  <c r="V65" i="8"/>
  <c r="U65" i="8"/>
  <c r="T65" i="8"/>
  <c r="S65" i="8"/>
  <c r="R65" i="8"/>
  <c r="Q65" i="8"/>
  <c r="P65" i="8"/>
  <c r="X64" i="8"/>
  <c r="W64" i="8"/>
  <c r="V64" i="8"/>
  <c r="U64" i="8"/>
  <c r="T64" i="8"/>
  <c r="S64" i="8"/>
  <c r="R64" i="8"/>
  <c r="Q64" i="8"/>
  <c r="P64" i="8"/>
  <c r="X63" i="8"/>
  <c r="W63" i="8"/>
  <c r="V63" i="8"/>
  <c r="U63" i="8"/>
  <c r="T63" i="8"/>
  <c r="S63" i="8"/>
  <c r="R63" i="8"/>
  <c r="Q63" i="8"/>
  <c r="P63" i="8"/>
  <c r="X62" i="8"/>
  <c r="W62" i="8"/>
  <c r="V62" i="8"/>
  <c r="U62" i="8"/>
  <c r="T62" i="8"/>
  <c r="S62" i="8"/>
  <c r="R62" i="8"/>
  <c r="Q62" i="8"/>
  <c r="P62" i="8"/>
  <c r="X61" i="8"/>
  <c r="W61" i="8"/>
  <c r="V61" i="8"/>
  <c r="U61" i="8"/>
  <c r="T61" i="8"/>
  <c r="S61" i="8"/>
  <c r="R61" i="8"/>
  <c r="Q61" i="8"/>
  <c r="P61" i="8"/>
  <c r="X60" i="8"/>
  <c r="W60" i="8"/>
  <c r="V60" i="8"/>
  <c r="U60" i="8"/>
  <c r="T60" i="8"/>
  <c r="S60" i="8"/>
  <c r="R60" i="8"/>
  <c r="Q60" i="8"/>
  <c r="P60" i="8"/>
  <c r="X59" i="8"/>
  <c r="W59" i="8"/>
  <c r="V59" i="8"/>
  <c r="U59" i="8"/>
  <c r="T59" i="8"/>
  <c r="S59" i="8"/>
  <c r="R59" i="8"/>
  <c r="Q59" i="8"/>
  <c r="P59" i="8"/>
  <c r="X58" i="8"/>
  <c r="W58" i="8"/>
  <c r="V58" i="8"/>
  <c r="U58" i="8"/>
  <c r="T58" i="8"/>
  <c r="S58" i="8"/>
  <c r="R58" i="8"/>
  <c r="Q58" i="8"/>
  <c r="P58" i="8"/>
  <c r="X57" i="8"/>
  <c r="W57" i="8"/>
  <c r="V57" i="8"/>
  <c r="U57" i="8"/>
  <c r="T57" i="8"/>
  <c r="S57" i="8"/>
  <c r="R57" i="8"/>
  <c r="Q57" i="8"/>
  <c r="P57" i="8"/>
  <c r="X56" i="8"/>
  <c r="W56" i="8"/>
  <c r="V56" i="8"/>
  <c r="U56" i="8"/>
  <c r="T56" i="8"/>
  <c r="S56" i="8"/>
  <c r="R56" i="8"/>
  <c r="Q56" i="8"/>
  <c r="P56" i="8"/>
  <c r="X55" i="8"/>
  <c r="W55" i="8"/>
  <c r="V55" i="8"/>
  <c r="U55" i="8"/>
  <c r="T55" i="8"/>
  <c r="S55" i="8"/>
  <c r="R55" i="8"/>
  <c r="Q55" i="8"/>
  <c r="P55" i="8"/>
  <c r="X54" i="8"/>
  <c r="W54" i="8"/>
  <c r="V54" i="8"/>
  <c r="U54" i="8"/>
  <c r="T54" i="8"/>
  <c r="S54" i="8"/>
  <c r="R54" i="8"/>
  <c r="Q54" i="8"/>
  <c r="P54" i="8"/>
  <c r="X53" i="8"/>
  <c r="W53" i="8"/>
  <c r="V53" i="8"/>
  <c r="U53" i="8"/>
  <c r="T53" i="8"/>
  <c r="S53" i="8"/>
  <c r="R53" i="8"/>
  <c r="Q53" i="8"/>
  <c r="P53" i="8"/>
  <c r="X52" i="8"/>
  <c r="W52" i="8"/>
  <c r="V52" i="8"/>
  <c r="U52" i="8"/>
  <c r="T52" i="8"/>
  <c r="S52" i="8"/>
  <c r="R52" i="8"/>
  <c r="Q52" i="8"/>
  <c r="P52" i="8"/>
  <c r="X51" i="8"/>
  <c r="W51" i="8"/>
  <c r="V51" i="8"/>
  <c r="U51" i="8"/>
  <c r="T51" i="8"/>
  <c r="S51" i="8"/>
  <c r="R51" i="8"/>
  <c r="Q51" i="8"/>
  <c r="P51" i="8"/>
  <c r="X50" i="8"/>
  <c r="W50" i="8"/>
  <c r="V50" i="8"/>
  <c r="U50" i="8"/>
  <c r="T50" i="8"/>
  <c r="S50" i="8"/>
  <c r="R50" i="8"/>
  <c r="Q50" i="8"/>
  <c r="P50" i="8"/>
  <c r="X49" i="8"/>
  <c r="W49" i="8"/>
  <c r="V49" i="8"/>
  <c r="U49" i="8"/>
  <c r="T49" i="8"/>
  <c r="S49" i="8"/>
  <c r="R49" i="8"/>
  <c r="Q49" i="8"/>
  <c r="P49" i="8"/>
  <c r="X48" i="8"/>
  <c r="W48" i="8"/>
  <c r="V48" i="8"/>
  <c r="U48" i="8"/>
  <c r="T48" i="8"/>
  <c r="S48" i="8"/>
  <c r="R48" i="8"/>
  <c r="Q48" i="8"/>
  <c r="P48" i="8"/>
  <c r="X47" i="8"/>
  <c r="W47" i="8"/>
  <c r="V47" i="8"/>
  <c r="U47" i="8"/>
  <c r="T47" i="8"/>
  <c r="S47" i="8"/>
  <c r="R47" i="8"/>
  <c r="Q47" i="8"/>
  <c r="P47" i="8"/>
  <c r="X46" i="8"/>
  <c r="W46" i="8"/>
  <c r="V46" i="8"/>
  <c r="U46" i="8"/>
  <c r="T46" i="8"/>
  <c r="S46" i="8"/>
  <c r="R46" i="8"/>
  <c r="Q46" i="8"/>
  <c r="P46" i="8"/>
  <c r="X45" i="8"/>
  <c r="W45" i="8"/>
  <c r="V45" i="8"/>
  <c r="U45" i="8"/>
  <c r="T45" i="8"/>
  <c r="S45" i="8"/>
  <c r="R45" i="8"/>
  <c r="Q45" i="8"/>
  <c r="P45" i="8"/>
  <c r="X44" i="8"/>
  <c r="W44" i="8"/>
  <c r="V44" i="8"/>
  <c r="U44" i="8"/>
  <c r="T44" i="8"/>
  <c r="S44" i="8"/>
  <c r="R44" i="8"/>
  <c r="Q44" i="8"/>
  <c r="P44" i="8"/>
  <c r="X43" i="8"/>
  <c r="W43" i="8"/>
  <c r="V43" i="8"/>
  <c r="U43" i="8"/>
  <c r="T43" i="8"/>
  <c r="S43" i="8"/>
  <c r="R43" i="8"/>
  <c r="Q43" i="8"/>
  <c r="P43" i="8"/>
  <c r="X42" i="8"/>
  <c r="W42" i="8"/>
  <c r="V42" i="8"/>
  <c r="U42" i="8"/>
  <c r="T42" i="8"/>
  <c r="S42" i="8"/>
  <c r="R42" i="8"/>
  <c r="Q42" i="8"/>
  <c r="P42" i="8"/>
  <c r="X41" i="8"/>
  <c r="W41" i="8"/>
  <c r="V41" i="8"/>
  <c r="U41" i="8"/>
  <c r="T41" i="8"/>
  <c r="S41" i="8"/>
  <c r="R41" i="8"/>
  <c r="Q41" i="8"/>
  <c r="P41" i="8"/>
  <c r="X40" i="8"/>
  <c r="W40" i="8"/>
  <c r="V40" i="8"/>
  <c r="U40" i="8"/>
  <c r="T40" i="8"/>
  <c r="S40" i="8"/>
  <c r="R40" i="8"/>
  <c r="Q40" i="8"/>
  <c r="P40" i="8"/>
  <c r="X39" i="8"/>
  <c r="W39" i="8"/>
  <c r="V39" i="8"/>
  <c r="U39" i="8"/>
  <c r="T39" i="8"/>
  <c r="S39" i="8"/>
  <c r="R39" i="8"/>
  <c r="Q39" i="8"/>
  <c r="P39" i="8"/>
  <c r="X38" i="8"/>
  <c r="W38" i="8"/>
  <c r="V38" i="8"/>
  <c r="U38" i="8"/>
  <c r="T38" i="8"/>
  <c r="S38" i="8"/>
  <c r="R38" i="8"/>
  <c r="Q38" i="8"/>
  <c r="P38" i="8"/>
  <c r="X37" i="8"/>
  <c r="W37" i="8"/>
  <c r="V37" i="8"/>
  <c r="U37" i="8"/>
  <c r="T37" i="8"/>
  <c r="S37" i="8"/>
  <c r="R37" i="8"/>
  <c r="Q37" i="8"/>
  <c r="P37" i="8"/>
  <c r="X36" i="8"/>
  <c r="W36" i="8"/>
  <c r="V36" i="8"/>
  <c r="U36" i="8"/>
  <c r="T36" i="8"/>
  <c r="S36" i="8"/>
  <c r="R36" i="8"/>
  <c r="Q36" i="8"/>
  <c r="P36" i="8"/>
  <c r="X35" i="8"/>
  <c r="W35" i="8"/>
  <c r="V35" i="8"/>
  <c r="U35" i="8"/>
  <c r="T35" i="8"/>
  <c r="S35" i="8"/>
  <c r="R35" i="8"/>
  <c r="Q35" i="8"/>
  <c r="P35" i="8"/>
  <c r="X34" i="8"/>
  <c r="W34" i="8"/>
  <c r="V34" i="8"/>
  <c r="U34" i="8"/>
  <c r="T34" i="8"/>
  <c r="S34" i="8"/>
  <c r="R34" i="8"/>
  <c r="Q34" i="8"/>
  <c r="P34" i="8"/>
  <c r="X33" i="8"/>
  <c r="W33" i="8"/>
  <c r="V33" i="8"/>
  <c r="U33" i="8"/>
  <c r="T33" i="8"/>
  <c r="S33" i="8"/>
  <c r="R33" i="8"/>
  <c r="Q33" i="8"/>
  <c r="P33" i="8"/>
  <c r="X32" i="8"/>
  <c r="W32" i="8"/>
  <c r="V32" i="8"/>
  <c r="U32" i="8"/>
  <c r="T32" i="8"/>
  <c r="S32" i="8"/>
  <c r="R32" i="8"/>
  <c r="Q32" i="8"/>
  <c r="P32" i="8"/>
  <c r="X31" i="8"/>
  <c r="W31" i="8"/>
  <c r="V31" i="8"/>
  <c r="U31" i="8"/>
  <c r="T31" i="8"/>
  <c r="S31" i="8"/>
  <c r="R31" i="8"/>
  <c r="Q31" i="8"/>
  <c r="P31" i="8"/>
  <c r="X30" i="8"/>
  <c r="W30" i="8"/>
  <c r="V30" i="8"/>
  <c r="U30" i="8"/>
  <c r="T30" i="8"/>
  <c r="S30" i="8"/>
  <c r="R30" i="8"/>
  <c r="Q30" i="8"/>
  <c r="P30" i="8"/>
  <c r="X29" i="8"/>
  <c r="W29" i="8"/>
  <c r="V29" i="8"/>
  <c r="U29" i="8"/>
  <c r="T29" i="8"/>
  <c r="S29" i="8"/>
  <c r="R29" i="8"/>
  <c r="Q29" i="8"/>
  <c r="P29" i="8"/>
  <c r="X28" i="8"/>
  <c r="W28" i="8"/>
  <c r="V28" i="8"/>
  <c r="U28" i="8"/>
  <c r="T28" i="8"/>
  <c r="S28" i="8"/>
  <c r="R28" i="8"/>
  <c r="Q28" i="8"/>
  <c r="P28" i="8"/>
  <c r="X27" i="8"/>
  <c r="W27" i="8"/>
  <c r="V27" i="8"/>
  <c r="U27" i="8"/>
  <c r="T27" i="8"/>
  <c r="S27" i="8"/>
  <c r="R27" i="8"/>
  <c r="Q27" i="8"/>
  <c r="P27" i="8"/>
  <c r="X26" i="8"/>
  <c r="W26" i="8"/>
  <c r="V26" i="8"/>
  <c r="U26" i="8"/>
  <c r="T26" i="8"/>
  <c r="S26" i="8"/>
  <c r="R26" i="8"/>
  <c r="Q26" i="8"/>
  <c r="P26" i="8"/>
  <c r="X25" i="8"/>
  <c r="W25" i="8"/>
  <c r="V25" i="8"/>
  <c r="U25" i="8"/>
  <c r="T25" i="8"/>
  <c r="S25" i="8"/>
  <c r="R25" i="8"/>
  <c r="Q25" i="8"/>
  <c r="P25" i="8"/>
  <c r="X24" i="8"/>
  <c r="W24" i="8"/>
  <c r="V24" i="8"/>
  <c r="U24" i="8"/>
  <c r="T24" i="8"/>
  <c r="S24" i="8"/>
  <c r="R24" i="8"/>
  <c r="Q24" i="8"/>
  <c r="P24" i="8"/>
  <c r="X23" i="8"/>
  <c r="W23" i="8"/>
  <c r="V23" i="8"/>
  <c r="U23" i="8"/>
  <c r="T23" i="8"/>
  <c r="S23" i="8"/>
  <c r="R23" i="8"/>
  <c r="Q23" i="8"/>
  <c r="P23" i="8"/>
  <c r="X22" i="8"/>
  <c r="W22" i="8"/>
  <c r="V22" i="8"/>
  <c r="U22" i="8"/>
  <c r="T22" i="8"/>
  <c r="S22" i="8"/>
  <c r="R22" i="8"/>
  <c r="Q22" i="8"/>
  <c r="P22" i="8"/>
  <c r="X21" i="8"/>
  <c r="W21" i="8"/>
  <c r="V21" i="8"/>
  <c r="U21" i="8"/>
  <c r="T21" i="8"/>
  <c r="S21" i="8"/>
  <c r="R21" i="8"/>
  <c r="Q21" i="8"/>
  <c r="P21" i="8"/>
  <c r="X20" i="8"/>
  <c r="W20" i="8"/>
  <c r="V20" i="8"/>
  <c r="U20" i="8"/>
  <c r="T20" i="8"/>
  <c r="S20" i="8"/>
  <c r="R20" i="8"/>
  <c r="Q20" i="8"/>
  <c r="P20" i="8"/>
  <c r="X19" i="8"/>
  <c r="W19" i="8"/>
  <c r="V19" i="8"/>
  <c r="U19" i="8"/>
  <c r="T19" i="8"/>
  <c r="S19" i="8"/>
  <c r="R19" i="8"/>
  <c r="Q19" i="8"/>
  <c r="P19" i="8"/>
  <c r="X18" i="8"/>
  <c r="W18" i="8"/>
  <c r="V18" i="8"/>
  <c r="U18" i="8"/>
  <c r="T18" i="8"/>
  <c r="S18" i="8"/>
  <c r="R18" i="8"/>
  <c r="Q18" i="8"/>
  <c r="P18" i="8"/>
  <c r="X17" i="8"/>
  <c r="W17" i="8"/>
  <c r="V17" i="8"/>
  <c r="U17" i="8"/>
  <c r="T17" i="8"/>
  <c r="S17" i="8"/>
  <c r="R17" i="8"/>
  <c r="Q17" i="8"/>
  <c r="P17" i="8"/>
  <c r="X16" i="8"/>
  <c r="W16" i="8"/>
  <c r="V16" i="8"/>
  <c r="U16" i="8"/>
  <c r="T16" i="8"/>
  <c r="S16" i="8"/>
  <c r="R16" i="8"/>
  <c r="Q16" i="8"/>
  <c r="P16" i="8"/>
  <c r="X15" i="8"/>
  <c r="W15" i="8"/>
  <c r="V15" i="8"/>
  <c r="U15" i="8"/>
  <c r="T15" i="8"/>
  <c r="S15" i="8"/>
  <c r="R15" i="8"/>
  <c r="Q15" i="8"/>
  <c r="P15" i="8"/>
  <c r="X14" i="8"/>
  <c r="W14" i="8"/>
  <c r="V14" i="8"/>
  <c r="U14" i="8"/>
  <c r="T14" i="8"/>
  <c r="S14" i="8"/>
  <c r="R14" i="8"/>
  <c r="Q14" i="8"/>
  <c r="P14" i="8"/>
  <c r="AZ13" i="8"/>
  <c r="X13" i="8"/>
  <c r="W13" i="8"/>
  <c r="V13" i="8"/>
  <c r="U13" i="8"/>
  <c r="T13" i="8"/>
  <c r="S13" i="8"/>
  <c r="R13" i="8"/>
  <c r="Q13" i="8"/>
  <c r="P13" i="8"/>
  <c r="AZ12" i="8"/>
  <c r="X12" i="8"/>
  <c r="W12" i="8"/>
  <c r="V12" i="8"/>
  <c r="U12" i="8"/>
  <c r="T12" i="8"/>
  <c r="S12" i="8"/>
  <c r="R12" i="8"/>
  <c r="Q12" i="8"/>
  <c r="P12" i="8"/>
  <c r="AZ11" i="8"/>
  <c r="X11" i="8"/>
  <c r="W11" i="8"/>
  <c r="V11" i="8"/>
  <c r="U11" i="8"/>
  <c r="T11" i="8"/>
  <c r="S11" i="8"/>
  <c r="R11" i="8"/>
  <c r="Q11" i="8"/>
  <c r="P11" i="8"/>
  <c r="AZ10" i="8"/>
  <c r="X10" i="8"/>
  <c r="W10" i="8"/>
  <c r="V10" i="8"/>
  <c r="U10" i="8"/>
  <c r="T10" i="8"/>
  <c r="S10" i="8"/>
  <c r="R10" i="8"/>
  <c r="Q10" i="8"/>
  <c r="P10" i="8"/>
  <c r="AZ9" i="8"/>
  <c r="X9" i="8"/>
  <c r="W9" i="8"/>
  <c r="V9" i="8"/>
  <c r="U9" i="8"/>
  <c r="T9" i="8"/>
  <c r="S9" i="8"/>
  <c r="R9" i="8"/>
  <c r="Q9" i="8"/>
  <c r="P9" i="8"/>
  <c r="AZ8" i="8"/>
  <c r="X8" i="8"/>
  <c r="W8" i="8"/>
  <c r="V8" i="8"/>
  <c r="U8" i="8"/>
  <c r="T8" i="8"/>
  <c r="S8" i="8"/>
  <c r="R8" i="8"/>
  <c r="Q8" i="8"/>
  <c r="P8" i="8"/>
  <c r="AZ7" i="8"/>
  <c r="X7" i="8"/>
  <c r="W7" i="8"/>
  <c r="V7" i="8"/>
  <c r="U7" i="8"/>
  <c r="T7" i="8"/>
  <c r="S7" i="8"/>
  <c r="R7" i="8"/>
  <c r="Q7" i="8"/>
  <c r="P7" i="8"/>
  <c r="AZ6" i="8"/>
  <c r="X6" i="8"/>
  <c r="W6" i="8"/>
  <c r="V6" i="8"/>
  <c r="U6" i="8"/>
  <c r="T6" i="8"/>
  <c r="S6" i="8"/>
  <c r="R6" i="8"/>
  <c r="Q6" i="8"/>
  <c r="P6" i="8"/>
  <c r="AZ5" i="8"/>
  <c r="X5" i="8"/>
  <c r="W5" i="8"/>
  <c r="V5" i="8"/>
  <c r="U5" i="8"/>
  <c r="T5" i="8"/>
  <c r="S5" i="8"/>
  <c r="R5" i="8"/>
  <c r="Q5" i="8"/>
  <c r="P5" i="8"/>
  <c r="AZ4" i="8"/>
  <c r="X4" i="8"/>
  <c r="W4" i="8"/>
  <c r="V4" i="8"/>
  <c r="U4" i="8"/>
  <c r="T4" i="8"/>
  <c r="S4" i="8"/>
  <c r="R4" i="8"/>
  <c r="Q4" i="8"/>
  <c r="P4" i="8"/>
  <c r="AZ3" i="8"/>
  <c r="X3" i="8"/>
  <c r="W3" i="8"/>
  <c r="V3" i="8"/>
  <c r="U3" i="8"/>
  <c r="T3" i="8"/>
  <c r="S3" i="8"/>
  <c r="R3" i="8"/>
  <c r="Q3" i="8"/>
  <c r="P3" i="8"/>
  <c r="AZ2" i="8"/>
  <c r="X2" i="8"/>
  <c r="W2" i="8"/>
  <c r="V2" i="8"/>
  <c r="U2" i="8"/>
  <c r="T2" i="8"/>
  <c r="S2" i="8"/>
  <c r="R2" i="8"/>
  <c r="Q2" i="8"/>
  <c r="P2" i="8"/>
  <c r="AE1" i="8"/>
  <c r="X1" i="8"/>
  <c r="AK1" i="8" s="1"/>
  <c r="W1" i="8"/>
  <c r="AJ1" i="8" s="1"/>
  <c r="V1" i="8"/>
  <c r="AI1" i="8" s="1"/>
  <c r="U1" i="8"/>
  <c r="AH1" i="8" s="1"/>
  <c r="T1" i="8"/>
  <c r="AG1" i="8" s="1"/>
  <c r="S1" i="8"/>
  <c r="AF1" i="8" s="1"/>
  <c r="R1" i="8"/>
  <c r="Q1" i="8"/>
  <c r="AD1" i="8" s="1"/>
  <c r="K15" i="7"/>
  <c r="J15" i="7"/>
  <c r="K14" i="7"/>
  <c r="J14" i="7"/>
  <c r="K13" i="7"/>
  <c r="J13" i="7"/>
  <c r="K12" i="7"/>
  <c r="J12" i="7"/>
  <c r="S11" i="7"/>
  <c r="R11" i="7"/>
  <c r="K9" i="7"/>
  <c r="J9" i="7"/>
  <c r="K8" i="7"/>
  <c r="J8" i="7"/>
  <c r="S7" i="7"/>
  <c r="R7" i="7"/>
  <c r="K7" i="7"/>
  <c r="J7" i="7"/>
  <c r="K6" i="7"/>
  <c r="J6" i="7"/>
  <c r="K5" i="7"/>
  <c r="J5" i="7"/>
  <c r="K4" i="7"/>
  <c r="J4" i="7"/>
  <c r="S3" i="7"/>
  <c r="R3" i="7"/>
  <c r="K3" i="7"/>
  <c r="J3" i="7"/>
  <c r="S2" i="7"/>
  <c r="R2" i="7"/>
  <c r="K2" i="7"/>
  <c r="J2" i="7"/>
  <c r="D138" i="6"/>
  <c r="K138" i="6" s="1"/>
  <c r="C138" i="6"/>
  <c r="D137" i="6"/>
  <c r="C137" i="6"/>
  <c r="I137" i="6" s="1"/>
  <c r="E106" i="6"/>
  <c r="D106" i="6"/>
  <c r="C106" i="6"/>
  <c r="B106" i="6"/>
  <c r="A106" i="6"/>
  <c r="E105" i="6"/>
  <c r="D105" i="6"/>
  <c r="C105" i="6"/>
  <c r="K105" i="6" s="1"/>
  <c r="B105" i="6"/>
  <c r="A105" i="6"/>
  <c r="E104" i="6"/>
  <c r="D104" i="6"/>
  <c r="C104" i="6"/>
  <c r="B104" i="6"/>
  <c r="A104" i="6"/>
  <c r="E103" i="6"/>
  <c r="D103" i="6"/>
  <c r="C103" i="6"/>
  <c r="J103" i="6" s="1"/>
  <c r="B103" i="6"/>
  <c r="A103" i="6"/>
  <c r="E102" i="6"/>
  <c r="D102" i="6"/>
  <c r="C102" i="6"/>
  <c r="J102" i="6" s="1"/>
  <c r="B102" i="6"/>
  <c r="A102" i="6"/>
  <c r="E101" i="6"/>
  <c r="D101" i="6"/>
  <c r="C101" i="6"/>
  <c r="J101" i="6" s="1"/>
  <c r="B101" i="6"/>
  <c r="A101" i="6"/>
  <c r="E100" i="6"/>
  <c r="D100" i="6"/>
  <c r="C100" i="6"/>
  <c r="B100" i="6"/>
  <c r="A100" i="6"/>
  <c r="E99" i="6"/>
  <c r="D99" i="6"/>
  <c r="C99" i="6"/>
  <c r="B99" i="6"/>
  <c r="A99" i="6"/>
  <c r="E98" i="6"/>
  <c r="D98" i="6"/>
  <c r="C98" i="6"/>
  <c r="B98" i="6"/>
  <c r="A98" i="6"/>
  <c r="E97" i="6"/>
  <c r="D97" i="6"/>
  <c r="C97" i="6"/>
  <c r="B97" i="6"/>
  <c r="A97" i="6"/>
  <c r="E96" i="6"/>
  <c r="D96" i="6"/>
  <c r="C96" i="6"/>
  <c r="B96" i="6"/>
  <c r="A96" i="6"/>
  <c r="E95" i="6"/>
  <c r="D95" i="6"/>
  <c r="C95" i="6"/>
  <c r="L95" i="6" s="1"/>
  <c r="B95" i="6"/>
  <c r="A95" i="6"/>
  <c r="E94" i="6"/>
  <c r="D94" i="6"/>
  <c r="C94" i="6"/>
  <c r="I94" i="6" s="1"/>
  <c r="B94" i="6"/>
  <c r="A94" i="6"/>
  <c r="K93" i="6"/>
  <c r="E93" i="6"/>
  <c r="D93" i="6"/>
  <c r="C93" i="6"/>
  <c r="B93" i="6"/>
  <c r="A93" i="6"/>
  <c r="E92" i="6"/>
  <c r="D92" i="6"/>
  <c r="C92" i="6"/>
  <c r="B92" i="6"/>
  <c r="A92" i="6"/>
  <c r="I91" i="6"/>
  <c r="E91" i="6"/>
  <c r="D91" i="6"/>
  <c r="C91" i="6"/>
  <c r="B91" i="6"/>
  <c r="J91" i="6" s="1"/>
  <c r="A91" i="6"/>
  <c r="E90" i="6"/>
  <c r="D90" i="6"/>
  <c r="J90" i="6" s="1"/>
  <c r="C90" i="6"/>
  <c r="B90" i="6"/>
  <c r="A90" i="6"/>
  <c r="E89" i="6"/>
  <c r="D89" i="6"/>
  <c r="C89" i="6"/>
  <c r="I89" i="6" s="1"/>
  <c r="B89" i="6"/>
  <c r="A89" i="6"/>
  <c r="E88" i="6"/>
  <c r="D88" i="6"/>
  <c r="C88" i="6"/>
  <c r="B88" i="6"/>
  <c r="A88" i="6"/>
  <c r="E87" i="6"/>
  <c r="I87" i="6" s="1"/>
  <c r="D87" i="6"/>
  <c r="C87" i="6"/>
  <c r="J87" i="6" s="1"/>
  <c r="B87" i="6"/>
  <c r="A87" i="6"/>
  <c r="E86" i="6"/>
  <c r="D86" i="6"/>
  <c r="C86" i="6"/>
  <c r="B86" i="6"/>
  <c r="A86" i="6"/>
  <c r="E85" i="6"/>
  <c r="D85" i="6"/>
  <c r="C85" i="6"/>
  <c r="B85" i="6"/>
  <c r="A85" i="6"/>
  <c r="E84" i="6"/>
  <c r="D84" i="6"/>
  <c r="C84" i="6"/>
  <c r="B84" i="6"/>
  <c r="A84" i="6"/>
  <c r="E83" i="6"/>
  <c r="D83" i="6"/>
  <c r="C83" i="6"/>
  <c r="J83" i="6" s="1"/>
  <c r="B83" i="6"/>
  <c r="A83" i="6"/>
  <c r="E82" i="6"/>
  <c r="D82" i="6"/>
  <c r="C82" i="6"/>
  <c r="B82" i="6"/>
  <c r="J82" i="6" s="1"/>
  <c r="A82" i="6"/>
  <c r="E81" i="6"/>
  <c r="D81" i="6"/>
  <c r="L81" i="6" s="1"/>
  <c r="C81" i="6"/>
  <c r="B81" i="6"/>
  <c r="J81" i="6" s="1"/>
  <c r="A81" i="6"/>
  <c r="E80" i="6"/>
  <c r="D80" i="6"/>
  <c r="C80" i="6"/>
  <c r="B80" i="6"/>
  <c r="A80" i="6"/>
  <c r="E79" i="6"/>
  <c r="D79" i="6"/>
  <c r="C79" i="6"/>
  <c r="J79" i="6" s="1"/>
  <c r="B79" i="6"/>
  <c r="A79" i="6"/>
  <c r="E78" i="6"/>
  <c r="D78" i="6"/>
  <c r="C78" i="6"/>
  <c r="B78" i="6"/>
  <c r="A78" i="6"/>
  <c r="E77" i="6"/>
  <c r="D77" i="6"/>
  <c r="C77" i="6"/>
  <c r="I77" i="6" s="1"/>
  <c r="B77" i="6"/>
  <c r="A77" i="6"/>
  <c r="E76" i="6"/>
  <c r="D76" i="6"/>
  <c r="C76" i="6"/>
  <c r="B76" i="6"/>
  <c r="A76" i="6"/>
  <c r="J75" i="6"/>
  <c r="E75" i="6"/>
  <c r="D75" i="6"/>
  <c r="C75" i="6"/>
  <c r="B75" i="6"/>
  <c r="A75" i="6"/>
  <c r="E74" i="6"/>
  <c r="D74" i="6"/>
  <c r="C74" i="6"/>
  <c r="B74" i="6"/>
  <c r="A74" i="6"/>
  <c r="J73" i="6"/>
  <c r="E73" i="6"/>
  <c r="D73" i="6"/>
  <c r="L73" i="6" s="1"/>
  <c r="C73" i="6"/>
  <c r="B73" i="6"/>
  <c r="A73" i="6"/>
  <c r="E72" i="6"/>
  <c r="D72" i="6"/>
  <c r="C72" i="6"/>
  <c r="B72" i="6"/>
  <c r="A72" i="6"/>
  <c r="E71" i="6"/>
  <c r="D71" i="6"/>
  <c r="C71" i="6"/>
  <c r="L71" i="6" s="1"/>
  <c r="B71" i="6"/>
  <c r="A71" i="6"/>
  <c r="E70" i="6"/>
  <c r="D70" i="6"/>
  <c r="C70" i="6"/>
  <c r="B70" i="6"/>
  <c r="A70" i="6"/>
  <c r="E69" i="6"/>
  <c r="D69" i="6"/>
  <c r="C69" i="6"/>
  <c r="I69" i="6" s="1"/>
  <c r="B69" i="6"/>
  <c r="A69" i="6"/>
  <c r="E68" i="6"/>
  <c r="D68" i="6"/>
  <c r="C68" i="6"/>
  <c r="B68" i="6"/>
  <c r="A68" i="6"/>
  <c r="E67" i="6"/>
  <c r="D67" i="6"/>
  <c r="C67" i="6"/>
  <c r="B67" i="6"/>
  <c r="A67" i="6"/>
  <c r="E66" i="6"/>
  <c r="D66" i="6"/>
  <c r="C66" i="6"/>
  <c r="B66" i="6"/>
  <c r="A66" i="6"/>
  <c r="E65" i="6"/>
  <c r="D65" i="6"/>
  <c r="C65" i="6"/>
  <c r="B65" i="6"/>
  <c r="A65" i="6"/>
  <c r="E64" i="6"/>
  <c r="D64" i="6"/>
  <c r="C64" i="6"/>
  <c r="B64" i="6"/>
  <c r="A64" i="6"/>
  <c r="E63" i="6"/>
  <c r="D63" i="6"/>
  <c r="I63" i="6" s="1"/>
  <c r="C63" i="6"/>
  <c r="B63" i="6"/>
  <c r="A63" i="6"/>
  <c r="E62" i="6"/>
  <c r="D62" i="6"/>
  <c r="C62" i="6"/>
  <c r="K62" i="6" s="1"/>
  <c r="B62" i="6"/>
  <c r="A62" i="6"/>
  <c r="E61" i="6"/>
  <c r="D61" i="6"/>
  <c r="C61" i="6"/>
  <c r="B61" i="6"/>
  <c r="A61" i="6"/>
  <c r="E60" i="6"/>
  <c r="D60" i="6"/>
  <c r="C60" i="6"/>
  <c r="B60" i="6"/>
  <c r="A60" i="6"/>
  <c r="E59" i="6"/>
  <c r="D59" i="6"/>
  <c r="J59" i="6" s="1"/>
  <c r="C59" i="6"/>
  <c r="B59" i="6"/>
  <c r="A59" i="6"/>
  <c r="E58" i="6"/>
  <c r="D58" i="6"/>
  <c r="C58" i="6"/>
  <c r="B58" i="6"/>
  <c r="A58" i="6"/>
  <c r="E57" i="6"/>
  <c r="D57" i="6"/>
  <c r="L57" i="6" s="1"/>
  <c r="C57" i="6"/>
  <c r="B57" i="6"/>
  <c r="A57" i="6"/>
  <c r="E56" i="6"/>
  <c r="D56" i="6"/>
  <c r="C56" i="6"/>
  <c r="B56" i="6"/>
  <c r="A56" i="6"/>
  <c r="E55" i="6"/>
  <c r="D55" i="6"/>
  <c r="C55" i="6"/>
  <c r="L55" i="6" s="1"/>
  <c r="B55" i="6"/>
  <c r="A55" i="6"/>
  <c r="K54" i="6"/>
  <c r="E54" i="6"/>
  <c r="D54" i="6"/>
  <c r="C54" i="6"/>
  <c r="B54" i="6"/>
  <c r="A54" i="6"/>
  <c r="E53" i="6"/>
  <c r="D53" i="6"/>
  <c r="C53" i="6"/>
  <c r="B53" i="6"/>
  <c r="A53" i="6"/>
  <c r="E52" i="6"/>
  <c r="D52" i="6"/>
  <c r="C52" i="6"/>
  <c r="B52" i="6"/>
  <c r="A52" i="6"/>
  <c r="E51" i="6"/>
  <c r="D51" i="6"/>
  <c r="C51" i="6"/>
  <c r="J51" i="6" s="1"/>
  <c r="B51" i="6"/>
  <c r="A51" i="6"/>
  <c r="E50" i="6"/>
  <c r="D50" i="6"/>
  <c r="K50" i="6" s="1"/>
  <c r="C50" i="6"/>
  <c r="B50" i="6"/>
  <c r="L50" i="6" s="1"/>
  <c r="A50" i="6"/>
  <c r="E49" i="6"/>
  <c r="D49" i="6"/>
  <c r="C49" i="6"/>
  <c r="J49" i="6" s="1"/>
  <c r="B49" i="6"/>
  <c r="A49" i="6"/>
  <c r="E48" i="6"/>
  <c r="D48" i="6"/>
  <c r="C48" i="6"/>
  <c r="B48" i="6"/>
  <c r="A48" i="6"/>
  <c r="I47" i="6"/>
  <c r="E47" i="6"/>
  <c r="D47" i="6"/>
  <c r="C47" i="6"/>
  <c r="L47" i="6" s="1"/>
  <c r="B47" i="6"/>
  <c r="J47" i="6" s="1"/>
  <c r="A47" i="6"/>
  <c r="E46" i="6"/>
  <c r="D46" i="6"/>
  <c r="L46" i="6" s="1"/>
  <c r="C46" i="6"/>
  <c r="B46" i="6"/>
  <c r="A46" i="6"/>
  <c r="I45" i="6"/>
  <c r="E45" i="6"/>
  <c r="D45" i="6"/>
  <c r="L45" i="6" s="1"/>
  <c r="C45" i="6"/>
  <c r="B45" i="6"/>
  <c r="A45" i="6"/>
  <c r="E44" i="6"/>
  <c r="D44" i="6"/>
  <c r="L44" i="6" s="1"/>
  <c r="C44" i="6"/>
  <c r="B44" i="6"/>
  <c r="A44" i="6"/>
  <c r="E43" i="6"/>
  <c r="D43" i="6"/>
  <c r="J43" i="6" s="1"/>
  <c r="C43" i="6"/>
  <c r="B43" i="6"/>
  <c r="A43" i="6"/>
  <c r="E42" i="6"/>
  <c r="D42" i="6"/>
  <c r="C42" i="6"/>
  <c r="B42" i="6"/>
  <c r="A42" i="6"/>
  <c r="E41" i="6"/>
  <c r="D41" i="6"/>
  <c r="C41" i="6"/>
  <c r="B41" i="6"/>
  <c r="A41" i="6"/>
  <c r="E40" i="6"/>
  <c r="D40" i="6"/>
  <c r="C40" i="6"/>
  <c r="B40" i="6"/>
  <c r="A40" i="6"/>
  <c r="E39" i="6"/>
  <c r="D39" i="6"/>
  <c r="C39" i="6"/>
  <c r="J39" i="6" s="1"/>
  <c r="B39" i="6"/>
  <c r="A39" i="6"/>
  <c r="E38" i="6"/>
  <c r="D38" i="6"/>
  <c r="L38" i="6" s="1"/>
  <c r="C38" i="6"/>
  <c r="B38" i="6"/>
  <c r="A38" i="6"/>
  <c r="E37" i="6"/>
  <c r="D37" i="6"/>
  <c r="C37" i="6"/>
  <c r="I37" i="6" s="1"/>
  <c r="B37" i="6"/>
  <c r="A37" i="6"/>
  <c r="E36" i="6"/>
  <c r="D36" i="6"/>
  <c r="C36" i="6"/>
  <c r="L36" i="6" s="1"/>
  <c r="B36" i="6"/>
  <c r="A36" i="6"/>
  <c r="I35" i="6"/>
  <c r="E35" i="6"/>
  <c r="D35" i="6"/>
  <c r="C35" i="6"/>
  <c r="L35" i="6" s="1"/>
  <c r="B35" i="6"/>
  <c r="J35" i="6" s="1"/>
  <c r="A35" i="6"/>
  <c r="E34" i="6"/>
  <c r="D34" i="6"/>
  <c r="K34" i="6" s="1"/>
  <c r="C34" i="6"/>
  <c r="B34" i="6"/>
  <c r="A34" i="6"/>
  <c r="E33" i="6"/>
  <c r="D33" i="6"/>
  <c r="C33" i="6"/>
  <c r="J33" i="6" s="1"/>
  <c r="B33" i="6"/>
  <c r="A33" i="6"/>
  <c r="E32" i="6"/>
  <c r="D32" i="6"/>
  <c r="C32" i="6"/>
  <c r="B32" i="6"/>
  <c r="A32" i="6"/>
  <c r="E31" i="6"/>
  <c r="D31" i="6"/>
  <c r="C31" i="6"/>
  <c r="J31" i="6" s="1"/>
  <c r="B31" i="6"/>
  <c r="A31" i="6"/>
  <c r="E30" i="6"/>
  <c r="D30" i="6"/>
  <c r="C30" i="6"/>
  <c r="B30" i="6"/>
  <c r="A30" i="6"/>
  <c r="E29" i="6"/>
  <c r="D29" i="6"/>
  <c r="C29" i="6"/>
  <c r="I29" i="6" s="1"/>
  <c r="B29" i="6"/>
  <c r="A29" i="6"/>
  <c r="E28" i="6"/>
  <c r="D28" i="6"/>
  <c r="C28" i="6"/>
  <c r="L28" i="6" s="1"/>
  <c r="B28" i="6"/>
  <c r="A28" i="6"/>
  <c r="E27" i="6"/>
  <c r="D27" i="6"/>
  <c r="C27" i="6"/>
  <c r="L27" i="6" s="1"/>
  <c r="B27" i="6"/>
  <c r="A27" i="6"/>
  <c r="E26" i="6"/>
  <c r="D26" i="6"/>
  <c r="C26" i="6"/>
  <c r="L26" i="6" s="1"/>
  <c r="B26" i="6"/>
  <c r="A26" i="6"/>
  <c r="J25" i="6"/>
  <c r="E25" i="6"/>
  <c r="D25" i="6"/>
  <c r="C25" i="6"/>
  <c r="B25" i="6"/>
  <c r="A25" i="6"/>
  <c r="E24" i="6"/>
  <c r="D24" i="6"/>
  <c r="C24" i="6"/>
  <c r="B24" i="6"/>
  <c r="A24" i="6"/>
  <c r="J23" i="6"/>
  <c r="I23" i="6"/>
  <c r="E23" i="6"/>
  <c r="D23" i="6"/>
  <c r="C23" i="6"/>
  <c r="B23" i="6"/>
  <c r="A23" i="6"/>
  <c r="E22" i="6"/>
  <c r="D22" i="6"/>
  <c r="C22" i="6"/>
  <c r="K22" i="6" s="1"/>
  <c r="B22" i="6"/>
  <c r="A22" i="6"/>
  <c r="E21" i="6"/>
  <c r="I21" i="6" s="1"/>
  <c r="D21" i="6"/>
  <c r="L21" i="6" s="1"/>
  <c r="C21" i="6"/>
  <c r="B21" i="6"/>
  <c r="A21" i="6"/>
  <c r="E20" i="6"/>
  <c r="D20" i="6"/>
  <c r="C20" i="6"/>
  <c r="B20" i="6"/>
  <c r="A20" i="6"/>
  <c r="E19" i="6"/>
  <c r="D19" i="6"/>
  <c r="C19" i="6"/>
  <c r="B19" i="6"/>
  <c r="A19" i="6"/>
  <c r="E18" i="6"/>
  <c r="D18" i="6"/>
  <c r="C18" i="6"/>
  <c r="B18" i="6"/>
  <c r="A18" i="6"/>
  <c r="E17" i="6"/>
  <c r="D17" i="6"/>
  <c r="C17" i="6"/>
  <c r="B17" i="6"/>
  <c r="A17" i="6"/>
  <c r="E16" i="6"/>
  <c r="D16" i="6"/>
  <c r="C16" i="6"/>
  <c r="B16" i="6"/>
  <c r="A16" i="6"/>
  <c r="E15" i="6"/>
  <c r="D15" i="6"/>
  <c r="C15" i="6"/>
  <c r="B15" i="6"/>
  <c r="A15" i="6"/>
  <c r="L14" i="6"/>
  <c r="E14" i="6"/>
  <c r="D14" i="6"/>
  <c r="C14" i="6"/>
  <c r="I14" i="6" s="1"/>
  <c r="B14" i="6"/>
  <c r="J14" i="6" s="1"/>
  <c r="A14" i="6"/>
  <c r="E13" i="6"/>
  <c r="D13" i="6"/>
  <c r="C13" i="6"/>
  <c r="L13" i="6" s="1"/>
  <c r="B13" i="6"/>
  <c r="A13" i="6"/>
  <c r="E12" i="6"/>
  <c r="D12" i="6"/>
  <c r="C12" i="6"/>
  <c r="B12" i="6"/>
  <c r="A12" i="6"/>
  <c r="E11" i="6"/>
  <c r="D11" i="6"/>
  <c r="C11" i="6"/>
  <c r="J11" i="6" s="1"/>
  <c r="B11" i="6"/>
  <c r="A11" i="6"/>
  <c r="E10" i="6"/>
  <c r="D10" i="6"/>
  <c r="L10" i="6" s="1"/>
  <c r="C10" i="6"/>
  <c r="B10" i="6"/>
  <c r="A10" i="6"/>
  <c r="E9" i="6"/>
  <c r="D9" i="6"/>
  <c r="C9" i="6"/>
  <c r="L9" i="6" s="1"/>
  <c r="B9" i="6"/>
  <c r="A9" i="6"/>
  <c r="E8" i="6"/>
  <c r="D8" i="6"/>
  <c r="C8" i="6"/>
  <c r="B8" i="6"/>
  <c r="A8" i="6"/>
  <c r="E7" i="6"/>
  <c r="D7" i="6"/>
  <c r="C7" i="6"/>
  <c r="B7" i="6"/>
  <c r="A7" i="6"/>
  <c r="F6" i="6"/>
  <c r="E6" i="6"/>
  <c r="D6" i="6"/>
  <c r="C6" i="6"/>
  <c r="K6" i="6" s="1"/>
  <c r="B6" i="6"/>
  <c r="A6" i="6"/>
  <c r="F5" i="6"/>
  <c r="E5" i="6"/>
  <c r="D5" i="6"/>
  <c r="C5" i="6"/>
  <c r="B5" i="6"/>
  <c r="A5" i="6"/>
  <c r="F4" i="6"/>
  <c r="E4" i="6"/>
  <c r="D4" i="6"/>
  <c r="C4" i="6"/>
  <c r="B4" i="6"/>
  <c r="A4" i="6"/>
  <c r="F3" i="6"/>
  <c r="E3" i="6"/>
  <c r="D3" i="6"/>
  <c r="C3" i="6"/>
  <c r="B3" i="6"/>
  <c r="A3" i="6"/>
  <c r="G2" i="6"/>
  <c r="F2" i="6"/>
  <c r="E2" i="6"/>
  <c r="D2" i="6"/>
  <c r="C2" i="6"/>
  <c r="J2" i="6" s="1"/>
  <c r="B2" i="6"/>
  <c r="A2" i="6"/>
  <c r="G1" i="6"/>
  <c r="F1" i="6"/>
  <c r="I21" i="4"/>
  <c r="C21" i="4"/>
  <c r="K20" i="4"/>
  <c r="E20" i="4"/>
  <c r="Q15" i="4"/>
  <c r="S14" i="4"/>
  <c r="I11" i="4"/>
  <c r="C11" i="4"/>
  <c r="K10" i="4"/>
  <c r="E10" i="4"/>
  <c r="Q8" i="4"/>
  <c r="S7" i="4"/>
  <c r="I7" i="4"/>
  <c r="C7" i="4"/>
  <c r="K6" i="4"/>
  <c r="E6" i="4"/>
  <c r="I35" i="3"/>
  <c r="C35" i="3"/>
  <c r="K34" i="3"/>
  <c r="E34" i="3"/>
  <c r="W31" i="3"/>
  <c r="Q31" i="3"/>
  <c r="I31" i="3"/>
  <c r="C31" i="3"/>
  <c r="Y30" i="3"/>
  <c r="S30" i="3"/>
  <c r="K30" i="3"/>
  <c r="E30" i="3"/>
  <c r="I27" i="3"/>
  <c r="C27" i="3"/>
  <c r="K26" i="3"/>
  <c r="E26" i="3"/>
  <c r="W23" i="3"/>
  <c r="Q23" i="3"/>
  <c r="I23" i="3"/>
  <c r="C23" i="3"/>
  <c r="Y22" i="3"/>
  <c r="S22" i="3"/>
  <c r="K22" i="3"/>
  <c r="E22" i="3"/>
  <c r="I19" i="3"/>
  <c r="C19" i="3"/>
  <c r="K18" i="3"/>
  <c r="E18" i="3"/>
  <c r="W15" i="3"/>
  <c r="Q15" i="3"/>
  <c r="I15" i="3"/>
  <c r="C15" i="3"/>
  <c r="Y14" i="3"/>
  <c r="S14" i="3"/>
  <c r="K14" i="3"/>
  <c r="E14" i="3"/>
  <c r="I11" i="3"/>
  <c r="C11" i="3"/>
  <c r="K10" i="3"/>
  <c r="E10" i="3"/>
  <c r="W7" i="3"/>
  <c r="Q7" i="3"/>
  <c r="I7" i="3"/>
  <c r="C7" i="3"/>
  <c r="Y6" i="3"/>
  <c r="S6" i="3"/>
  <c r="K6" i="3"/>
  <c r="E6" i="3"/>
  <c r="CB107" i="2"/>
  <c r="CA107" i="2"/>
  <c r="BH107" i="2"/>
  <c r="BG107" i="2"/>
  <c r="M107" i="2"/>
  <c r="L107" i="2"/>
  <c r="K107" i="2"/>
  <c r="J107" i="2"/>
  <c r="CB106" i="2"/>
  <c r="CA106" i="2"/>
  <c r="BH106" i="2"/>
  <c r="BG106" i="2"/>
  <c r="M106" i="2"/>
  <c r="L106" i="2"/>
  <c r="K106" i="2"/>
  <c r="J106" i="2"/>
  <c r="CQ105" i="2"/>
  <c r="CB105" i="2"/>
  <c r="CA105" i="2"/>
  <c r="BW105" i="2"/>
  <c r="BH105" i="2"/>
  <c r="BG105" i="2"/>
  <c r="AX105" i="2"/>
  <c r="AS105" i="2"/>
  <c r="Y105" i="2"/>
  <c r="O105" i="2"/>
  <c r="AU105" i="2" s="1"/>
  <c r="M105" i="2"/>
  <c r="L105" i="2"/>
  <c r="K105" i="2"/>
  <c r="J105" i="2"/>
  <c r="CQ104" i="2"/>
  <c r="CB104" i="2"/>
  <c r="CA104" i="2"/>
  <c r="BW104" i="2"/>
  <c r="BH104" i="2"/>
  <c r="BG104" i="2"/>
  <c r="AX104" i="2"/>
  <c r="AS104" i="2"/>
  <c r="Y104" i="2"/>
  <c r="W104" i="2"/>
  <c r="O104" i="2"/>
  <c r="AP104" i="2" s="1"/>
  <c r="M104" i="2"/>
  <c r="L104" i="2"/>
  <c r="K104" i="2"/>
  <c r="J104" i="2"/>
  <c r="CQ103" i="2"/>
  <c r="CB103" i="2"/>
  <c r="CA103" i="2"/>
  <c r="BW103" i="2"/>
  <c r="BK103" i="2"/>
  <c r="BH103" i="2"/>
  <c r="BG103" i="2"/>
  <c r="AX103" i="2"/>
  <c r="AS103" i="2"/>
  <c r="Y103" i="2"/>
  <c r="O103" i="2"/>
  <c r="U103" i="2" s="1"/>
  <c r="M103" i="2"/>
  <c r="L103" i="2"/>
  <c r="K103" i="2"/>
  <c r="J103" i="2"/>
  <c r="CQ102" i="2"/>
  <c r="CB102" i="2"/>
  <c r="CA102" i="2"/>
  <c r="BW102" i="2"/>
  <c r="BH102" i="2"/>
  <c r="BG102" i="2"/>
  <c r="AX102" i="2"/>
  <c r="AS102" i="2"/>
  <c r="Y102" i="2"/>
  <c r="O102" i="2"/>
  <c r="M102" i="2"/>
  <c r="L102" i="2"/>
  <c r="K102" i="2"/>
  <c r="J102" i="2"/>
  <c r="O101" i="2"/>
  <c r="CB98" i="2"/>
  <c r="CA98" i="2"/>
  <c r="BH98" i="2"/>
  <c r="BG98" i="2"/>
  <c r="M98" i="2"/>
  <c r="L98" i="2"/>
  <c r="K98" i="2"/>
  <c r="J98" i="2"/>
  <c r="CB97" i="2"/>
  <c r="CA97" i="2"/>
  <c r="BH97" i="2"/>
  <c r="BG97" i="2"/>
  <c r="M97" i="2"/>
  <c r="L97" i="2"/>
  <c r="K97" i="2"/>
  <c r="J97" i="2"/>
  <c r="CQ96" i="2"/>
  <c r="CB96" i="2"/>
  <c r="CA96" i="2"/>
  <c r="BW96" i="2"/>
  <c r="BH96" i="2"/>
  <c r="BG96" i="2"/>
  <c r="AX96" i="2"/>
  <c r="AS96" i="2"/>
  <c r="Y96" i="2"/>
  <c r="W96" i="2"/>
  <c r="O96" i="2"/>
  <c r="H47" i="9" s="1"/>
  <c r="Y47" i="9" s="1"/>
  <c r="M96" i="2"/>
  <c r="L96" i="2"/>
  <c r="K96" i="2"/>
  <c r="J96" i="2"/>
  <c r="CQ95" i="2"/>
  <c r="CB95" i="2"/>
  <c r="CA95" i="2"/>
  <c r="BW95" i="2"/>
  <c r="BH95" i="2"/>
  <c r="BG95" i="2"/>
  <c r="AX95" i="2"/>
  <c r="AS95" i="2"/>
  <c r="Y95" i="2"/>
  <c r="O95" i="2"/>
  <c r="AY95" i="2" s="1"/>
  <c r="M95" i="2"/>
  <c r="L95" i="2"/>
  <c r="K95" i="2"/>
  <c r="J95" i="2"/>
  <c r="CQ94" i="2"/>
  <c r="CB94" i="2"/>
  <c r="CA94" i="2"/>
  <c r="BW94" i="2"/>
  <c r="BH94" i="2"/>
  <c r="BG94" i="2"/>
  <c r="AX94" i="2"/>
  <c r="AS94" i="2"/>
  <c r="Y94" i="2"/>
  <c r="O94" i="2"/>
  <c r="U94" i="2" s="1"/>
  <c r="M94" i="2"/>
  <c r="L94" i="2"/>
  <c r="K94" i="2"/>
  <c r="J94" i="2"/>
  <c r="CQ93" i="2"/>
  <c r="CB93" i="2"/>
  <c r="CA93" i="2"/>
  <c r="BW93" i="2"/>
  <c r="BH93" i="2"/>
  <c r="BG93" i="2"/>
  <c r="AX93" i="2"/>
  <c r="AS93" i="2"/>
  <c r="Y93" i="2"/>
  <c r="O93" i="2"/>
  <c r="AU93" i="2" s="1"/>
  <c r="M93" i="2"/>
  <c r="L93" i="2"/>
  <c r="K93" i="2"/>
  <c r="J93" i="2"/>
  <c r="O92" i="2"/>
  <c r="CB89" i="2"/>
  <c r="CA89" i="2"/>
  <c r="BH89" i="2"/>
  <c r="BG89" i="2"/>
  <c r="M89" i="2"/>
  <c r="L89" i="2"/>
  <c r="K89" i="2"/>
  <c r="J89" i="2"/>
  <c r="CB88" i="2"/>
  <c r="CA88" i="2"/>
  <c r="BH88" i="2"/>
  <c r="BG88" i="2"/>
  <c r="M88" i="2"/>
  <c r="L88" i="2"/>
  <c r="K88" i="2"/>
  <c r="J88" i="2"/>
  <c r="CQ87" i="2"/>
  <c r="CB87" i="2"/>
  <c r="CA87" i="2"/>
  <c r="BW87" i="2"/>
  <c r="BH87" i="2"/>
  <c r="BG87" i="2"/>
  <c r="AX87" i="2"/>
  <c r="AS87" i="2"/>
  <c r="Y87" i="2"/>
  <c r="O87" i="2"/>
  <c r="M87" i="2"/>
  <c r="L87" i="2"/>
  <c r="K87" i="2"/>
  <c r="J87" i="2"/>
  <c r="CQ86" i="2"/>
  <c r="CB86" i="2"/>
  <c r="CA86" i="2"/>
  <c r="BW86" i="2"/>
  <c r="BH86" i="2"/>
  <c r="BG86" i="2"/>
  <c r="AX86" i="2"/>
  <c r="AS86" i="2"/>
  <c r="Y86" i="2"/>
  <c r="O86" i="2"/>
  <c r="BK86" i="2" s="1"/>
  <c r="M86" i="2"/>
  <c r="L86" i="2"/>
  <c r="K86" i="2"/>
  <c r="J86" i="2"/>
  <c r="CQ85" i="2"/>
  <c r="CB85" i="2"/>
  <c r="CA85" i="2"/>
  <c r="BW85" i="2"/>
  <c r="BH85" i="2"/>
  <c r="BG85" i="2"/>
  <c r="AX85" i="2"/>
  <c r="AU85" i="2"/>
  <c r="AS85" i="2"/>
  <c r="Y85" i="2"/>
  <c r="O85" i="2"/>
  <c r="H41" i="9" s="1"/>
  <c r="Y41" i="9" s="1"/>
  <c r="M85" i="2"/>
  <c r="L85" i="2"/>
  <c r="K85" i="2"/>
  <c r="J85" i="2"/>
  <c r="CQ84" i="2"/>
  <c r="CB84" i="2"/>
  <c r="CA84" i="2"/>
  <c r="BW84" i="2"/>
  <c r="BH84" i="2"/>
  <c r="BG84" i="2"/>
  <c r="AX84" i="2"/>
  <c r="AS84" i="2"/>
  <c r="AP84" i="2"/>
  <c r="Y84" i="2"/>
  <c r="O84" i="2"/>
  <c r="BK84" i="2" s="1"/>
  <c r="M84" i="2"/>
  <c r="L84" i="2"/>
  <c r="K84" i="2"/>
  <c r="J84" i="2"/>
  <c r="O83" i="2"/>
  <c r="CB80" i="2"/>
  <c r="CA80" i="2"/>
  <c r="BH80" i="2"/>
  <c r="BG80" i="2"/>
  <c r="M80" i="2"/>
  <c r="L80" i="2"/>
  <c r="K80" i="2"/>
  <c r="J80" i="2"/>
  <c r="CB79" i="2"/>
  <c r="CA79" i="2"/>
  <c r="BH79" i="2"/>
  <c r="BG79" i="2"/>
  <c r="M79" i="2"/>
  <c r="L79" i="2"/>
  <c r="K79" i="2"/>
  <c r="J79" i="2"/>
  <c r="CQ78" i="2"/>
  <c r="CB78" i="2"/>
  <c r="CA78" i="2"/>
  <c r="BW78" i="2"/>
  <c r="BH78" i="2"/>
  <c r="BG78" i="2"/>
  <c r="AX78" i="2"/>
  <c r="AS78" i="2"/>
  <c r="Y78" i="2"/>
  <c r="O78" i="2"/>
  <c r="AP78" i="2" s="1"/>
  <c r="M78" i="2"/>
  <c r="L78" i="2"/>
  <c r="K78" i="2"/>
  <c r="J78" i="2"/>
  <c r="CQ77" i="2"/>
  <c r="CB77" i="2"/>
  <c r="CA77" i="2"/>
  <c r="BW77" i="2"/>
  <c r="BH77" i="2"/>
  <c r="BG77" i="2"/>
  <c r="AX77" i="2"/>
  <c r="AS77" i="2"/>
  <c r="Y77" i="2"/>
  <c r="O77" i="2"/>
  <c r="AU77" i="2" s="1"/>
  <c r="M77" i="2"/>
  <c r="R76" i="2" s="1"/>
  <c r="L77" i="2"/>
  <c r="K77" i="2"/>
  <c r="J77" i="2"/>
  <c r="CQ76" i="2"/>
  <c r="CB76" i="2"/>
  <c r="CA76" i="2"/>
  <c r="BW76" i="2"/>
  <c r="BH76" i="2"/>
  <c r="BG76" i="2"/>
  <c r="AX76" i="2"/>
  <c r="AS76" i="2"/>
  <c r="Y76" i="2"/>
  <c r="O76" i="2"/>
  <c r="M76" i="2"/>
  <c r="L76" i="2"/>
  <c r="K76" i="2"/>
  <c r="J76" i="2"/>
  <c r="CQ75" i="2"/>
  <c r="CB75" i="2"/>
  <c r="CA75" i="2"/>
  <c r="BW75" i="2"/>
  <c r="BH75" i="2"/>
  <c r="BG75" i="2"/>
  <c r="AX75" i="2"/>
  <c r="AS75" i="2"/>
  <c r="Y75" i="2"/>
  <c r="O75" i="2"/>
  <c r="M75" i="2"/>
  <c r="L75" i="2"/>
  <c r="K75" i="2"/>
  <c r="J75" i="2"/>
  <c r="O74" i="2"/>
  <c r="CB71" i="2"/>
  <c r="CA71" i="2"/>
  <c r="BH71" i="2"/>
  <c r="BG71" i="2"/>
  <c r="M71" i="2"/>
  <c r="L71" i="2"/>
  <c r="K71" i="2"/>
  <c r="J71" i="2"/>
  <c r="CB70" i="2"/>
  <c r="CA70" i="2"/>
  <c r="BH70" i="2"/>
  <c r="BG70" i="2"/>
  <c r="M70" i="2"/>
  <c r="L70" i="2"/>
  <c r="K70" i="2"/>
  <c r="J70" i="2"/>
  <c r="CQ69" i="2"/>
  <c r="CB69" i="2"/>
  <c r="CA69" i="2"/>
  <c r="BW69" i="2"/>
  <c r="BH69" i="2"/>
  <c r="BG69" i="2"/>
  <c r="AX69" i="2"/>
  <c r="AS69" i="2"/>
  <c r="Y69" i="2"/>
  <c r="W69" i="2"/>
  <c r="O69" i="2"/>
  <c r="H35" i="9" s="1"/>
  <c r="Y35" i="9" s="1"/>
  <c r="M69" i="2"/>
  <c r="L69" i="2"/>
  <c r="K69" i="2"/>
  <c r="J69" i="2"/>
  <c r="CQ68" i="2"/>
  <c r="CB68" i="2"/>
  <c r="CA68" i="2"/>
  <c r="BW68" i="2"/>
  <c r="BH68" i="2"/>
  <c r="BG68" i="2"/>
  <c r="AX68" i="2"/>
  <c r="AU68" i="2"/>
  <c r="AS68" i="2"/>
  <c r="Y68" i="2"/>
  <c r="W68" i="2"/>
  <c r="U68" i="2"/>
  <c r="O68" i="2"/>
  <c r="H34" i="9" s="1"/>
  <c r="Y34" i="9" s="1"/>
  <c r="M68" i="2"/>
  <c r="L68" i="2"/>
  <c r="K68" i="2"/>
  <c r="J68" i="2"/>
  <c r="CQ67" i="2"/>
  <c r="CB67" i="2"/>
  <c r="CA67" i="2"/>
  <c r="BW67" i="2"/>
  <c r="BH67" i="2"/>
  <c r="BG67" i="2"/>
  <c r="AX67" i="2"/>
  <c r="AS67" i="2"/>
  <c r="AP67" i="2"/>
  <c r="Y67" i="2"/>
  <c r="O67" i="2"/>
  <c r="BK67" i="2" s="1"/>
  <c r="M67" i="2"/>
  <c r="L67" i="2"/>
  <c r="K67" i="2"/>
  <c r="J67" i="2"/>
  <c r="CQ66" i="2"/>
  <c r="CB66" i="2"/>
  <c r="CA66" i="2"/>
  <c r="BW66" i="2"/>
  <c r="BK66" i="2"/>
  <c r="BH66" i="2"/>
  <c r="BG66" i="2"/>
  <c r="AX66" i="2"/>
  <c r="AU66" i="2"/>
  <c r="AS66" i="2"/>
  <c r="Y66" i="2"/>
  <c r="T66" i="2"/>
  <c r="O66" i="2"/>
  <c r="H32" i="9" s="1"/>
  <c r="Y32" i="9" s="1"/>
  <c r="M66" i="2"/>
  <c r="L66" i="2"/>
  <c r="K66" i="2"/>
  <c r="Q66" i="2" s="1"/>
  <c r="J66" i="2"/>
  <c r="O65" i="2"/>
  <c r="CB62" i="2"/>
  <c r="CA62" i="2"/>
  <c r="BH62" i="2"/>
  <c r="BG62" i="2"/>
  <c r="M62" i="2"/>
  <c r="L62" i="2"/>
  <c r="K62" i="2"/>
  <c r="J62" i="2"/>
  <c r="CB61" i="2"/>
  <c r="CA61" i="2"/>
  <c r="BH61" i="2"/>
  <c r="BG61" i="2"/>
  <c r="M61" i="2"/>
  <c r="L61" i="2"/>
  <c r="K61" i="2"/>
  <c r="J61" i="2"/>
  <c r="CQ60" i="2"/>
  <c r="CB60" i="2"/>
  <c r="CA60" i="2"/>
  <c r="BW60" i="2"/>
  <c r="BH60" i="2"/>
  <c r="BG60" i="2"/>
  <c r="AX60" i="2"/>
  <c r="AS60" i="2"/>
  <c r="Y60" i="2"/>
  <c r="O60" i="2"/>
  <c r="BK60" i="2" s="1"/>
  <c r="M60" i="2"/>
  <c r="L60" i="2"/>
  <c r="K60" i="2"/>
  <c r="J60" i="2"/>
  <c r="CQ59" i="2"/>
  <c r="CB59" i="2"/>
  <c r="CA59" i="2"/>
  <c r="BW59" i="2"/>
  <c r="BH59" i="2"/>
  <c r="BG59" i="2"/>
  <c r="AX59" i="2"/>
  <c r="AU59" i="2"/>
  <c r="AS59" i="2"/>
  <c r="Y59" i="2"/>
  <c r="O59" i="2"/>
  <c r="AY59" i="2" s="1"/>
  <c r="M59" i="2"/>
  <c r="L59" i="2"/>
  <c r="K59" i="2"/>
  <c r="J59" i="2"/>
  <c r="CQ58" i="2"/>
  <c r="CB58" i="2"/>
  <c r="CA58" i="2"/>
  <c r="BW58" i="2"/>
  <c r="BH58" i="2"/>
  <c r="BG58" i="2"/>
  <c r="AX58" i="2"/>
  <c r="AS58" i="2"/>
  <c r="Y58" i="2"/>
  <c r="O58" i="2"/>
  <c r="AY58" i="2" s="1"/>
  <c r="M58" i="2"/>
  <c r="L58" i="2"/>
  <c r="K58" i="2"/>
  <c r="J58" i="2"/>
  <c r="CQ57" i="2"/>
  <c r="CB57" i="2"/>
  <c r="CA57" i="2"/>
  <c r="BW57" i="2"/>
  <c r="BH57" i="2"/>
  <c r="BG57" i="2"/>
  <c r="AX57" i="2"/>
  <c r="AS57" i="2"/>
  <c r="Y57" i="2"/>
  <c r="U57" i="2"/>
  <c r="O57" i="2"/>
  <c r="AY57" i="2" s="1"/>
  <c r="M57" i="2"/>
  <c r="L57" i="2"/>
  <c r="K57" i="2"/>
  <c r="J57" i="2"/>
  <c r="O56" i="2"/>
  <c r="CB53" i="2"/>
  <c r="CA53" i="2"/>
  <c r="BH53" i="2"/>
  <c r="BG53" i="2"/>
  <c r="M53" i="2"/>
  <c r="L53" i="2"/>
  <c r="K53" i="2"/>
  <c r="J53" i="2"/>
  <c r="CB52" i="2"/>
  <c r="CA52" i="2"/>
  <c r="BH52" i="2"/>
  <c r="BG52" i="2"/>
  <c r="M52" i="2"/>
  <c r="L52" i="2"/>
  <c r="K52" i="2"/>
  <c r="J52" i="2"/>
  <c r="CQ51" i="2"/>
  <c r="CB51" i="2"/>
  <c r="CA51" i="2"/>
  <c r="BW51" i="2"/>
  <c r="BH51" i="2"/>
  <c r="BG51" i="2"/>
  <c r="AY51" i="2"/>
  <c r="AX51" i="2"/>
  <c r="AS51" i="2"/>
  <c r="AP51" i="2"/>
  <c r="Y51" i="2"/>
  <c r="O51" i="2"/>
  <c r="U51" i="2" s="1"/>
  <c r="M51" i="2"/>
  <c r="L51" i="2"/>
  <c r="K51" i="2"/>
  <c r="J51" i="2"/>
  <c r="CQ50" i="2"/>
  <c r="CB50" i="2"/>
  <c r="CA50" i="2"/>
  <c r="BW50" i="2"/>
  <c r="BH50" i="2"/>
  <c r="BG50" i="2"/>
  <c r="AX50" i="2"/>
  <c r="AS50" i="2"/>
  <c r="Y50" i="2"/>
  <c r="O50" i="2"/>
  <c r="AP50" i="2" s="1"/>
  <c r="M50" i="2"/>
  <c r="L50" i="2"/>
  <c r="K50" i="2"/>
  <c r="J50" i="2"/>
  <c r="CQ49" i="2"/>
  <c r="CB49" i="2"/>
  <c r="CA49" i="2"/>
  <c r="BW49" i="2"/>
  <c r="BH49" i="2"/>
  <c r="BG49" i="2"/>
  <c r="AX49" i="2"/>
  <c r="AS49" i="2"/>
  <c r="Y49" i="2"/>
  <c r="O49" i="2"/>
  <c r="AU49" i="2" s="1"/>
  <c r="M49" i="2"/>
  <c r="L49" i="2"/>
  <c r="K49" i="2"/>
  <c r="J49" i="2"/>
  <c r="CQ48" i="2"/>
  <c r="CB48" i="2"/>
  <c r="CA48" i="2"/>
  <c r="BW48" i="2"/>
  <c r="BH48" i="2"/>
  <c r="BG48" i="2"/>
  <c r="AX48" i="2"/>
  <c r="AS48" i="2"/>
  <c r="Y48" i="2"/>
  <c r="O48" i="2"/>
  <c r="M48" i="2"/>
  <c r="L48" i="2"/>
  <c r="K48" i="2"/>
  <c r="J48" i="2"/>
  <c r="O47" i="2"/>
  <c r="CB44" i="2"/>
  <c r="CA44" i="2"/>
  <c r="BH44" i="2"/>
  <c r="BG44" i="2"/>
  <c r="M44" i="2"/>
  <c r="L44" i="2"/>
  <c r="K44" i="2"/>
  <c r="J44" i="2"/>
  <c r="CB43" i="2"/>
  <c r="CA43" i="2"/>
  <c r="BH43" i="2"/>
  <c r="BG43" i="2"/>
  <c r="M43" i="2"/>
  <c r="L43" i="2"/>
  <c r="K43" i="2"/>
  <c r="J43" i="2"/>
  <c r="CQ42" i="2"/>
  <c r="CB42" i="2"/>
  <c r="CA42" i="2"/>
  <c r="BW42" i="2"/>
  <c r="BH42" i="2"/>
  <c r="BG42" i="2"/>
  <c r="AX42" i="2"/>
  <c r="AS42" i="2"/>
  <c r="AP42" i="2"/>
  <c r="Y42" i="2"/>
  <c r="O42" i="2"/>
  <c r="AU42" i="2" s="1"/>
  <c r="M42" i="2"/>
  <c r="L42" i="2"/>
  <c r="K42" i="2"/>
  <c r="J42" i="2"/>
  <c r="CQ41" i="2"/>
  <c r="CB41" i="2"/>
  <c r="CA41" i="2"/>
  <c r="BW41" i="2"/>
  <c r="BH41" i="2"/>
  <c r="BG41" i="2"/>
  <c r="AX41" i="2"/>
  <c r="AS41" i="2"/>
  <c r="Y41" i="2"/>
  <c r="O41" i="2"/>
  <c r="AY41" i="2" s="1"/>
  <c r="M41" i="2"/>
  <c r="L41" i="2"/>
  <c r="K41" i="2"/>
  <c r="J41" i="2"/>
  <c r="CQ40" i="2"/>
  <c r="CB40" i="2"/>
  <c r="CA40" i="2"/>
  <c r="BW40" i="2"/>
  <c r="BH40" i="2"/>
  <c r="BG40" i="2"/>
  <c r="AY40" i="2"/>
  <c r="AX40" i="2"/>
  <c r="AS40" i="2"/>
  <c r="Y40" i="2"/>
  <c r="O40" i="2"/>
  <c r="AU40" i="2" s="1"/>
  <c r="M40" i="2"/>
  <c r="L40" i="2"/>
  <c r="K40" i="2"/>
  <c r="J40" i="2"/>
  <c r="CQ39" i="2"/>
  <c r="CB39" i="2"/>
  <c r="CA39" i="2"/>
  <c r="BW39" i="2"/>
  <c r="BH39" i="2"/>
  <c r="BG39" i="2"/>
  <c r="AX39" i="2"/>
  <c r="AU39" i="2"/>
  <c r="AS39" i="2"/>
  <c r="AP39" i="2"/>
  <c r="Y39" i="2"/>
  <c r="W39" i="2"/>
  <c r="O39" i="2"/>
  <c r="H20" i="9" s="1"/>
  <c r="Y20" i="9" s="1"/>
  <c r="M39" i="2"/>
  <c r="L39" i="2"/>
  <c r="K39" i="2"/>
  <c r="J39" i="2"/>
  <c r="O38" i="2"/>
  <c r="CB35" i="2"/>
  <c r="CA35" i="2"/>
  <c r="BH35" i="2"/>
  <c r="BG35" i="2"/>
  <c r="M35" i="2"/>
  <c r="L35" i="2"/>
  <c r="K35" i="2"/>
  <c r="J35" i="2"/>
  <c r="CB34" i="2"/>
  <c r="CA34" i="2"/>
  <c r="BH34" i="2"/>
  <c r="BG34" i="2"/>
  <c r="M34" i="2"/>
  <c r="L34" i="2"/>
  <c r="K34" i="2"/>
  <c r="J34" i="2"/>
  <c r="CQ33" i="2"/>
  <c r="CB33" i="2"/>
  <c r="CA33" i="2"/>
  <c r="BW33" i="2"/>
  <c r="BH33" i="2"/>
  <c r="BG33" i="2"/>
  <c r="AX33" i="2"/>
  <c r="AS33" i="2"/>
  <c r="Y33" i="2"/>
  <c r="O33" i="2"/>
  <c r="AU33" i="2" s="1"/>
  <c r="M33" i="2"/>
  <c r="L33" i="2"/>
  <c r="K33" i="2"/>
  <c r="J33" i="2"/>
  <c r="CQ32" i="2"/>
  <c r="CB32" i="2"/>
  <c r="CA32" i="2"/>
  <c r="BW32" i="2"/>
  <c r="BH32" i="2"/>
  <c r="BG32" i="2"/>
  <c r="AX32" i="2"/>
  <c r="AS32" i="2"/>
  <c r="Y32" i="2"/>
  <c r="O32" i="2"/>
  <c r="AY32" i="2" s="1"/>
  <c r="M32" i="2"/>
  <c r="L32" i="2"/>
  <c r="K32" i="2"/>
  <c r="J32" i="2"/>
  <c r="CQ31" i="2"/>
  <c r="CB31" i="2"/>
  <c r="CA31" i="2"/>
  <c r="BW31" i="2"/>
  <c r="BH31" i="2"/>
  <c r="BG31" i="2"/>
  <c r="AX31" i="2"/>
  <c r="AS31" i="2"/>
  <c r="Y31" i="2"/>
  <c r="U31" i="2"/>
  <c r="O31" i="2"/>
  <c r="BK31" i="2" s="1"/>
  <c r="M31" i="2"/>
  <c r="L31" i="2"/>
  <c r="K31" i="2"/>
  <c r="J31" i="2"/>
  <c r="CQ30" i="2"/>
  <c r="CB30" i="2"/>
  <c r="CA30" i="2"/>
  <c r="BW30" i="2"/>
  <c r="BH30" i="2"/>
  <c r="BG30" i="2"/>
  <c r="AX30" i="2"/>
  <c r="AS30" i="2"/>
  <c r="Y30" i="2"/>
  <c r="O30" i="2"/>
  <c r="M30" i="2"/>
  <c r="L30" i="2"/>
  <c r="K30" i="2"/>
  <c r="J30" i="2"/>
  <c r="O29" i="2"/>
  <c r="CB26" i="2"/>
  <c r="CA26" i="2"/>
  <c r="BH26" i="2"/>
  <c r="BG26" i="2"/>
  <c r="M26" i="2"/>
  <c r="L26" i="2"/>
  <c r="K26" i="2"/>
  <c r="J26" i="2"/>
  <c r="CB25" i="2"/>
  <c r="CA25" i="2"/>
  <c r="BH25" i="2"/>
  <c r="BG25" i="2"/>
  <c r="M25" i="2"/>
  <c r="L25" i="2"/>
  <c r="K25" i="2"/>
  <c r="J25" i="2"/>
  <c r="CQ24" i="2"/>
  <c r="CB24" i="2"/>
  <c r="CA24" i="2"/>
  <c r="BW24" i="2"/>
  <c r="BH24" i="2"/>
  <c r="BG24" i="2"/>
  <c r="AX24" i="2"/>
  <c r="AS24" i="2"/>
  <c r="Y24" i="2"/>
  <c r="O24" i="2"/>
  <c r="T24" i="2" s="1"/>
  <c r="M24" i="2"/>
  <c r="L24" i="2"/>
  <c r="K24" i="2"/>
  <c r="J24" i="2"/>
  <c r="CQ23" i="2"/>
  <c r="CB23" i="2"/>
  <c r="CA23" i="2"/>
  <c r="BW23" i="2"/>
  <c r="BH23" i="2"/>
  <c r="BG23" i="2"/>
  <c r="AX23" i="2"/>
  <c r="AS23" i="2"/>
  <c r="Y23" i="2"/>
  <c r="O23" i="2"/>
  <c r="M23" i="2"/>
  <c r="L23" i="2"/>
  <c r="K23" i="2"/>
  <c r="J23" i="2"/>
  <c r="CQ22" i="2"/>
  <c r="CB22" i="2"/>
  <c r="CA22" i="2"/>
  <c r="BW22" i="2"/>
  <c r="BH22" i="2"/>
  <c r="BG22" i="2"/>
  <c r="AX22" i="2"/>
  <c r="AS22" i="2"/>
  <c r="Y22" i="2"/>
  <c r="O22" i="2"/>
  <c r="M22" i="2"/>
  <c r="L22" i="2"/>
  <c r="K22" i="2"/>
  <c r="J22" i="2"/>
  <c r="CQ21" i="2"/>
  <c r="CB21" i="2"/>
  <c r="CA21" i="2"/>
  <c r="BW21" i="2"/>
  <c r="BH21" i="2"/>
  <c r="BG21" i="2"/>
  <c r="AX21" i="2"/>
  <c r="AS21" i="2"/>
  <c r="Y21" i="2"/>
  <c r="U21" i="2"/>
  <c r="O21" i="2"/>
  <c r="AP21" i="2" s="1"/>
  <c r="M21" i="2"/>
  <c r="L21" i="2"/>
  <c r="K21" i="2"/>
  <c r="J21" i="2"/>
  <c r="O20" i="2"/>
  <c r="CB17" i="2"/>
  <c r="CA17" i="2"/>
  <c r="BH17" i="2"/>
  <c r="BG17" i="2"/>
  <c r="M17" i="2"/>
  <c r="L17" i="2"/>
  <c r="K17" i="2"/>
  <c r="J17" i="2"/>
  <c r="CB16" i="2"/>
  <c r="CA16" i="2"/>
  <c r="BH16" i="2"/>
  <c r="BG16" i="2"/>
  <c r="M16" i="2"/>
  <c r="L16" i="2"/>
  <c r="K16" i="2"/>
  <c r="J16" i="2"/>
  <c r="CW15" i="2"/>
  <c r="CQ15" i="2"/>
  <c r="CB15" i="2"/>
  <c r="CA15" i="2"/>
  <c r="BW15" i="2"/>
  <c r="BH15" i="2"/>
  <c r="BG15" i="2"/>
  <c r="AX15" i="2"/>
  <c r="AS15" i="2"/>
  <c r="Y15" i="2"/>
  <c r="O15" i="2"/>
  <c r="T15" i="2" s="1"/>
  <c r="M15" i="2"/>
  <c r="L15" i="2"/>
  <c r="K15" i="2"/>
  <c r="J15" i="2"/>
  <c r="CQ14" i="2"/>
  <c r="CB14" i="2"/>
  <c r="CA14" i="2"/>
  <c r="BW14" i="2"/>
  <c r="BK14" i="2"/>
  <c r="BH14" i="2"/>
  <c r="BG14" i="2"/>
  <c r="AX14" i="2"/>
  <c r="AS14" i="2"/>
  <c r="Y14" i="2"/>
  <c r="O14" i="2"/>
  <c r="AU14" i="2" s="1"/>
  <c r="M14" i="2"/>
  <c r="L14" i="2"/>
  <c r="K14" i="2"/>
  <c r="J14" i="2"/>
  <c r="CQ13" i="2"/>
  <c r="CB13" i="2"/>
  <c r="CA13" i="2"/>
  <c r="BW13" i="2"/>
  <c r="BH13" i="2"/>
  <c r="BG13" i="2"/>
  <c r="AX13" i="2"/>
  <c r="AS13" i="2"/>
  <c r="Y13" i="2"/>
  <c r="O13" i="2"/>
  <c r="T13" i="2" s="1"/>
  <c r="M13" i="2"/>
  <c r="L13" i="2"/>
  <c r="K13" i="2"/>
  <c r="J13" i="2"/>
  <c r="CQ12" i="2"/>
  <c r="CB12" i="2"/>
  <c r="CA12" i="2"/>
  <c r="BW12" i="2"/>
  <c r="BH12" i="2"/>
  <c r="BG12" i="2"/>
  <c r="AX12" i="2"/>
  <c r="AU12" i="2"/>
  <c r="AS12" i="2"/>
  <c r="Y12" i="2"/>
  <c r="U12" i="2"/>
  <c r="T12" i="2"/>
  <c r="O12" i="2"/>
  <c r="H8" i="9" s="1"/>
  <c r="Y8" i="9" s="1"/>
  <c r="M12" i="2"/>
  <c r="L12" i="2"/>
  <c r="K12" i="2"/>
  <c r="J12" i="2"/>
  <c r="P12" i="2" s="1"/>
  <c r="O11" i="2"/>
  <c r="CB8" i="2"/>
  <c r="CA8" i="2"/>
  <c r="BH8" i="2"/>
  <c r="BG8" i="2"/>
  <c r="M8" i="2"/>
  <c r="L8" i="2"/>
  <c r="K8" i="2"/>
  <c r="J8" i="2"/>
  <c r="CB7" i="2"/>
  <c r="CA7" i="2"/>
  <c r="BH7" i="2"/>
  <c r="BG7" i="2"/>
  <c r="M7" i="2"/>
  <c r="L7" i="2"/>
  <c r="K7" i="2"/>
  <c r="J7" i="2"/>
  <c r="CQ6" i="2"/>
  <c r="CB6" i="2"/>
  <c r="CA6" i="2"/>
  <c r="BW6" i="2"/>
  <c r="BH6" i="2"/>
  <c r="BG6" i="2"/>
  <c r="AX6" i="2"/>
  <c r="AS6" i="2"/>
  <c r="Y6" i="2"/>
  <c r="O6" i="2"/>
  <c r="U6" i="2" s="1"/>
  <c r="M6" i="2"/>
  <c r="L6" i="2"/>
  <c r="K6" i="2"/>
  <c r="J6" i="2"/>
  <c r="CQ5" i="2"/>
  <c r="CB5" i="2"/>
  <c r="CA5" i="2"/>
  <c r="BW5" i="2"/>
  <c r="BH5" i="2"/>
  <c r="BG5" i="2"/>
  <c r="AX5" i="2"/>
  <c r="AS5" i="2"/>
  <c r="AP5" i="2"/>
  <c r="Y5" i="2"/>
  <c r="O5" i="2"/>
  <c r="H6" i="9" s="1"/>
  <c r="Y6" i="9" s="1"/>
  <c r="M5" i="2"/>
  <c r="L5" i="2"/>
  <c r="K5" i="2"/>
  <c r="J5" i="2"/>
  <c r="CQ4" i="2"/>
  <c r="CB4" i="2"/>
  <c r="CA4" i="2"/>
  <c r="BW4" i="2"/>
  <c r="BH4" i="2"/>
  <c r="BG4" i="2"/>
  <c r="AX4" i="2"/>
  <c r="AS4" i="2"/>
  <c r="Y4" i="2"/>
  <c r="O4" i="2"/>
  <c r="AY4" i="2" s="1"/>
  <c r="M4" i="2"/>
  <c r="L4" i="2"/>
  <c r="K4" i="2"/>
  <c r="J4" i="2"/>
  <c r="CS3" i="2"/>
  <c r="CQ3" i="2"/>
  <c r="CB3" i="2"/>
  <c r="CA3" i="2"/>
  <c r="BW3" i="2"/>
  <c r="BH3" i="2"/>
  <c r="BG3" i="2"/>
  <c r="AX3" i="2"/>
  <c r="AS3" i="2"/>
  <c r="Y3" i="2"/>
  <c r="O3" i="2"/>
  <c r="AP3" i="2" s="1"/>
  <c r="M3" i="2"/>
  <c r="L3" i="2"/>
  <c r="K3" i="2"/>
  <c r="J3" i="2"/>
  <c r="O2" i="2"/>
  <c r="A83" i="1" a="1"/>
  <c r="A83" i="1" s="1"/>
  <c r="A82" i="1" a="1"/>
  <c r="A82" i="1" s="1"/>
  <c r="A81" i="1" a="1"/>
  <c r="A81" i="1" s="1"/>
  <c r="A80" i="1" a="1"/>
  <c r="A80" i="1" s="1"/>
  <c r="A79" i="1" a="1"/>
  <c r="A79" i="1" s="1"/>
  <c r="A78" i="1" a="1"/>
  <c r="A78" i="1" s="1"/>
  <c r="A77" i="1" a="1"/>
  <c r="A77" i="1" s="1"/>
  <c r="A76" i="1" a="1"/>
  <c r="A76" i="1" s="1"/>
  <c r="A75" i="1" a="1"/>
  <c r="A75" i="1" s="1"/>
  <c r="A74" i="1" a="1"/>
  <c r="A74" i="1" s="1"/>
  <c r="A73" i="1" a="1"/>
  <c r="A73" i="1" s="1"/>
  <c r="A72" i="1" a="1"/>
  <c r="A72" i="1" s="1"/>
  <c r="A71" i="1" a="1"/>
  <c r="A71" i="1" s="1"/>
  <c r="A70" i="1" a="1"/>
  <c r="A70" i="1" s="1"/>
  <c r="A69" i="1" a="1"/>
  <c r="A69" i="1" s="1"/>
  <c r="A68" i="1" a="1"/>
  <c r="A68" i="1" s="1"/>
  <c r="A67" i="1" a="1"/>
  <c r="A67" i="1" s="1"/>
  <c r="A66" i="1" a="1"/>
  <c r="A66" i="1" s="1"/>
  <c r="A65" i="1" a="1"/>
  <c r="A65" i="1" s="1"/>
  <c r="A64" i="1" a="1"/>
  <c r="A64" i="1" s="1"/>
  <c r="A63" i="1" a="1"/>
  <c r="A63" i="1" s="1"/>
  <c r="A62" i="1" a="1"/>
  <c r="A62" i="1" s="1"/>
  <c r="A61" i="1" a="1"/>
  <c r="A61" i="1" s="1"/>
  <c r="A60" i="1" a="1"/>
  <c r="A60" i="1" s="1"/>
  <c r="A59" i="1" a="1"/>
  <c r="A59" i="1" s="1"/>
  <c r="A58" i="1" a="1"/>
  <c r="A58" i="1" s="1"/>
  <c r="A57" i="1" a="1"/>
  <c r="A57" i="1" s="1"/>
  <c r="A56" i="1" a="1"/>
  <c r="A56" i="1" s="1"/>
  <c r="A55" i="1" a="1"/>
  <c r="A55" i="1" s="1"/>
  <c r="A54" i="1" a="1"/>
  <c r="A54" i="1" s="1"/>
  <c r="A53" i="1" a="1"/>
  <c r="A53" i="1" s="1"/>
  <c r="A52" i="1" a="1"/>
  <c r="A52" i="1" s="1"/>
  <c r="A51" i="1" a="1"/>
  <c r="A51" i="1" s="1"/>
  <c r="A50" i="1" a="1"/>
  <c r="A50" i="1" s="1"/>
  <c r="A49" i="1" a="1"/>
  <c r="A49" i="1" s="1"/>
  <c r="A48" i="1" a="1"/>
  <c r="A48" i="1" s="1"/>
  <c r="A47" i="1" a="1"/>
  <c r="A47" i="1" s="1"/>
  <c r="A46" i="1" a="1"/>
  <c r="A46" i="1" s="1"/>
  <c r="A45" i="1" a="1"/>
  <c r="A45" i="1" s="1"/>
  <c r="A44" i="1" a="1"/>
  <c r="A44" i="1" s="1"/>
  <c r="A43" i="1" a="1"/>
  <c r="A43" i="1" s="1"/>
  <c r="A42" i="1" a="1"/>
  <c r="A42" i="1" s="1"/>
  <c r="A41" i="1" a="1"/>
  <c r="A41" i="1" s="1"/>
  <c r="A40" i="1" a="1"/>
  <c r="A40" i="1" s="1"/>
  <c r="A39" i="1" a="1"/>
  <c r="A39" i="1" s="1"/>
  <c r="A38" i="1" a="1"/>
  <c r="A38" i="1" s="1"/>
  <c r="A37" i="1" a="1"/>
  <c r="A37" i="1" s="1"/>
  <c r="A36" i="1" a="1"/>
  <c r="A36" i="1" s="1"/>
  <c r="E17" i="1"/>
  <c r="E16" i="1"/>
  <c r="E15" i="1"/>
  <c r="E14" i="1"/>
  <c r="E13" i="1"/>
  <c r="E12" i="1"/>
  <c r="E11" i="1"/>
  <c r="E10" i="1"/>
  <c r="E9" i="1"/>
  <c r="E8" i="1"/>
  <c r="E7" i="1"/>
  <c r="E6" i="1"/>
  <c r="E5" i="1"/>
  <c r="E4" i="1"/>
  <c r="E3" i="1"/>
  <c r="P51" i="2" l="1"/>
  <c r="W94" i="2"/>
  <c r="I31" i="6"/>
  <c r="L75" i="6"/>
  <c r="L52" i="6"/>
  <c r="L54" i="6"/>
  <c r="I59" i="6"/>
  <c r="L61" i="6"/>
  <c r="K73" i="6"/>
  <c r="L91" i="6"/>
  <c r="U13" i="2"/>
  <c r="AY50" i="2"/>
  <c r="P85" i="2"/>
  <c r="I27" i="6"/>
  <c r="L34" i="6"/>
  <c r="I75" i="6"/>
  <c r="K80" i="6"/>
  <c r="J95" i="6"/>
  <c r="R49" i="2"/>
  <c r="Q85" i="2"/>
  <c r="P69" i="2"/>
  <c r="AY94" i="2"/>
  <c r="T95" i="2"/>
  <c r="L2" i="6"/>
  <c r="K17" i="6"/>
  <c r="J41" i="6"/>
  <c r="I43" i="6"/>
  <c r="J57" i="6"/>
  <c r="K98" i="6"/>
  <c r="I103" i="6"/>
  <c r="P95" i="2"/>
  <c r="J10" i="6"/>
  <c r="J17" i="6"/>
  <c r="L30" i="6"/>
  <c r="L69" i="6"/>
  <c r="J85" i="6"/>
  <c r="I105" i="6"/>
  <c r="U3" i="2"/>
  <c r="P105" i="2"/>
  <c r="L4" i="6"/>
  <c r="L105" i="6"/>
  <c r="P5" i="2"/>
  <c r="R39" i="2"/>
  <c r="T49" i="2"/>
  <c r="AP69" i="2"/>
  <c r="U85" i="2"/>
  <c r="U96" i="2"/>
  <c r="L17" i="6"/>
  <c r="K26" i="6"/>
  <c r="L37" i="6"/>
  <c r="I39" i="6"/>
  <c r="L48" i="6"/>
  <c r="I53" i="6"/>
  <c r="L60" i="6"/>
  <c r="I81" i="6"/>
  <c r="K92" i="6"/>
  <c r="L101" i="6"/>
  <c r="AU21" i="2"/>
  <c r="W49" i="2"/>
  <c r="W85" i="2"/>
  <c r="J20" i="6"/>
  <c r="I51" i="6"/>
  <c r="J65" i="6"/>
  <c r="I79" i="6"/>
  <c r="K85" i="6"/>
  <c r="L99" i="6"/>
  <c r="J138" i="6"/>
  <c r="AU3" i="2"/>
  <c r="BK40" i="2"/>
  <c r="AU69" i="2"/>
  <c r="T104" i="2"/>
  <c r="L58" i="6"/>
  <c r="K101" i="6"/>
  <c r="P68" i="2"/>
  <c r="AZ68" i="2" s="1"/>
  <c r="I18" i="6"/>
  <c r="K42" i="6"/>
  <c r="K70" i="6"/>
  <c r="L86" i="6"/>
  <c r="I95" i="6"/>
  <c r="J97" i="6"/>
  <c r="K104" i="6"/>
  <c r="AY102" i="2"/>
  <c r="AP102" i="2"/>
  <c r="U102" i="2"/>
  <c r="I78" i="6"/>
  <c r="L78" i="6"/>
  <c r="K78" i="6"/>
  <c r="H24" i="9"/>
  <c r="Y24" i="9" s="1"/>
  <c r="AY48" i="2"/>
  <c r="AU48" i="2"/>
  <c r="W48" i="2"/>
  <c r="U48" i="2"/>
  <c r="T48" i="2"/>
  <c r="AY30" i="2"/>
  <c r="AP30" i="2"/>
  <c r="W30" i="2"/>
  <c r="U30" i="2"/>
  <c r="T30" i="2"/>
  <c r="P30" i="2"/>
  <c r="CH67" i="2"/>
  <c r="L74" i="6"/>
  <c r="R57" i="2"/>
  <c r="BK48" i="2"/>
  <c r="Q68" i="2"/>
  <c r="Q49" i="2"/>
  <c r="K66" i="6"/>
  <c r="L66" i="6"/>
  <c r="AU5" i="2"/>
  <c r="W12" i="2"/>
  <c r="AY15" i="2"/>
  <c r="AP31" i="2"/>
  <c r="AU41" i="2"/>
  <c r="Q51" i="2"/>
  <c r="BK59" i="2"/>
  <c r="Q96" i="2"/>
  <c r="AZ96" i="2" s="1"/>
  <c r="K58" i="6"/>
  <c r="L62" i="6"/>
  <c r="L64" i="6"/>
  <c r="L68" i="6"/>
  <c r="J70" i="6"/>
  <c r="J78" i="6"/>
  <c r="J105" i="6"/>
  <c r="F6" i="1"/>
  <c r="AU13" i="2"/>
  <c r="R12" i="2"/>
  <c r="R42" i="2"/>
  <c r="AY39" i="2"/>
  <c r="U42" i="2"/>
  <c r="AU51" i="2"/>
  <c r="P67" i="2"/>
  <c r="AP68" i="2"/>
  <c r="U77" i="2"/>
  <c r="U84" i="2"/>
  <c r="AP85" i="2"/>
  <c r="L56" i="6"/>
  <c r="J74" i="6"/>
  <c r="I86" i="6"/>
  <c r="I90" i="6"/>
  <c r="AY5" i="2"/>
  <c r="AP12" i="2"/>
  <c r="W40" i="2"/>
  <c r="AP96" i="2"/>
  <c r="L22" i="6"/>
  <c r="K74" i="6"/>
  <c r="BN39" i="2"/>
  <c r="BK3" i="2"/>
  <c r="T14" i="2"/>
  <c r="BK15" i="2"/>
  <c r="I20" i="6"/>
  <c r="L32" i="6"/>
  <c r="L40" i="6"/>
  <c r="I67" i="6"/>
  <c r="J71" i="6"/>
  <c r="K94" i="6"/>
  <c r="R5" i="2"/>
  <c r="P14" i="2"/>
  <c r="AZ14" i="2" s="1"/>
  <c r="T33" i="2"/>
  <c r="BK39" i="2"/>
  <c r="W59" i="2"/>
  <c r="T93" i="2"/>
  <c r="U95" i="2"/>
  <c r="S95" i="2" s="1"/>
  <c r="AU96" i="2"/>
  <c r="T105" i="2"/>
  <c r="L20" i="6"/>
  <c r="K30" i="6"/>
  <c r="K38" i="6"/>
  <c r="L42" i="6"/>
  <c r="K46" i="6"/>
  <c r="J63" i="6"/>
  <c r="L67" i="6"/>
  <c r="J86" i="6"/>
  <c r="K90" i="6"/>
  <c r="L98" i="6"/>
  <c r="BK5" i="2"/>
  <c r="U33" i="2"/>
  <c r="T39" i="2"/>
  <c r="S39" i="2" s="1"/>
  <c r="AY68" i="2"/>
  <c r="AY85" i="2"/>
  <c r="W93" i="2"/>
  <c r="W95" i="2"/>
  <c r="T103" i="2"/>
  <c r="W105" i="2"/>
  <c r="L7" i="6"/>
  <c r="J55" i="6"/>
  <c r="L59" i="6"/>
  <c r="L63" i="6"/>
  <c r="L65" i="6"/>
  <c r="K86" i="6"/>
  <c r="L90" i="6"/>
  <c r="L94" i="6"/>
  <c r="K102" i="6"/>
  <c r="F12" i="1"/>
  <c r="T5" i="2"/>
  <c r="P6" i="2"/>
  <c r="AY12" i="2"/>
  <c r="W33" i="2"/>
  <c r="U39" i="2"/>
  <c r="AY42" i="2"/>
  <c r="BK51" i="2"/>
  <c r="CE51" i="2" s="1"/>
  <c r="Q57" i="2"/>
  <c r="AY84" i="2"/>
  <c r="I13" i="6"/>
  <c r="J19" i="6"/>
  <c r="J27" i="6"/>
  <c r="I83" i="6"/>
  <c r="J99" i="6"/>
  <c r="L102" i="6"/>
  <c r="U5" i="2"/>
  <c r="T6" i="2"/>
  <c r="S6" i="2" s="1"/>
  <c r="Q14" i="2"/>
  <c r="P33" i="2"/>
  <c r="P103" i="2"/>
  <c r="J13" i="6"/>
  <c r="L31" i="6"/>
  <c r="L43" i="6"/>
  <c r="L49" i="6"/>
  <c r="L53" i="6"/>
  <c r="J67" i="6"/>
  <c r="I71" i="6"/>
  <c r="W5" i="2"/>
  <c r="W21" i="2"/>
  <c r="R41" i="2"/>
  <c r="R51" i="2"/>
  <c r="W66" i="2"/>
  <c r="BK68" i="2"/>
  <c r="CE68" i="2" s="1"/>
  <c r="Q69" i="2"/>
  <c r="AZ69" i="2" s="1"/>
  <c r="BK85" i="2"/>
  <c r="BK96" i="2"/>
  <c r="CE96" i="2" s="1"/>
  <c r="CI96" i="2" s="1"/>
  <c r="K7" i="6"/>
  <c r="K13" i="6"/>
  <c r="I17" i="6"/>
  <c r="L29" i="6"/>
  <c r="L41" i="6"/>
  <c r="I61" i="6"/>
  <c r="K81" i="6"/>
  <c r="L87" i="6"/>
  <c r="L97" i="6"/>
  <c r="E18" i="1"/>
  <c r="BK12" i="2"/>
  <c r="BM12" i="2" s="1"/>
  <c r="Q33" i="2"/>
  <c r="AZ33" i="2" s="1"/>
  <c r="Q31" i="2"/>
  <c r="P39" i="2"/>
  <c r="T41" i="2"/>
  <c r="BK42" i="2"/>
  <c r="P57" i="2"/>
  <c r="T68" i="2"/>
  <c r="S68" i="2" s="1"/>
  <c r="T69" i="2"/>
  <c r="T85" i="2"/>
  <c r="S85" i="2" s="1"/>
  <c r="T94" i="2"/>
  <c r="P96" i="2"/>
  <c r="I19" i="6"/>
  <c r="I55" i="6"/>
  <c r="L93" i="6"/>
  <c r="I101" i="6"/>
  <c r="F3" i="1"/>
  <c r="T96" i="2"/>
  <c r="P104" i="2"/>
  <c r="L6" i="6"/>
  <c r="L70" i="6"/>
  <c r="I99" i="6"/>
  <c r="J114" i="6"/>
  <c r="J109" i="6"/>
  <c r="J126" i="6"/>
  <c r="J117" i="6"/>
  <c r="K128" i="6"/>
  <c r="J128" i="6"/>
  <c r="J118" i="6"/>
  <c r="K118" i="6"/>
  <c r="K116" i="6"/>
  <c r="K117" i="6"/>
  <c r="L107" i="6"/>
  <c r="K127" i="6"/>
  <c r="J123" i="6"/>
  <c r="H14" i="9"/>
  <c r="Y14" i="9" s="1"/>
  <c r="BK23" i="2"/>
  <c r="AY23" i="2"/>
  <c r="T23" i="2"/>
  <c r="W23" i="2"/>
  <c r="U23" i="2"/>
  <c r="R23" i="2"/>
  <c r="Q23" i="2"/>
  <c r="BO48" i="2"/>
  <c r="BO3" i="2"/>
  <c r="CE3" i="2"/>
  <c r="AU4" i="2"/>
  <c r="H9" i="9"/>
  <c r="Y9" i="9" s="1"/>
  <c r="BK13" i="2"/>
  <c r="AY13" i="2"/>
  <c r="AP13" i="2"/>
  <c r="W13" i="2"/>
  <c r="P23" i="2"/>
  <c r="AU23" i="2"/>
  <c r="P32" i="2"/>
  <c r="Q48" i="2"/>
  <c r="BO84" i="2"/>
  <c r="CE84" i="2"/>
  <c r="BN84" i="2"/>
  <c r="CH84" i="2"/>
  <c r="P13" i="2"/>
  <c r="AZ51" i="2"/>
  <c r="CH60" i="2"/>
  <c r="BN60" i="2"/>
  <c r="CE60" i="2"/>
  <c r="BM60" i="2"/>
  <c r="H4" i="9"/>
  <c r="Y4" i="9" s="1"/>
  <c r="R3" i="2"/>
  <c r="P3" i="2"/>
  <c r="Q3" i="2"/>
  <c r="Q13" i="2"/>
  <c r="H11" i="9"/>
  <c r="Y11" i="9" s="1"/>
  <c r="AU15" i="2"/>
  <c r="P15" i="2"/>
  <c r="AP15" i="2"/>
  <c r="W15" i="2"/>
  <c r="U15" i="2"/>
  <c r="S15" i="2" s="1"/>
  <c r="R15" i="2"/>
  <c r="P42" i="2"/>
  <c r="AZ57" i="2"/>
  <c r="Q58" i="2"/>
  <c r="Q59" i="2"/>
  <c r="BO15" i="2"/>
  <c r="H18" i="9"/>
  <c r="Y18" i="9" s="1"/>
  <c r="AU32" i="2"/>
  <c r="R32" i="2"/>
  <c r="AP32" i="2"/>
  <c r="W32" i="2"/>
  <c r="U32" i="2"/>
  <c r="T32" i="2"/>
  <c r="Q32" i="2"/>
  <c r="BN66" i="2"/>
  <c r="BO66" i="2"/>
  <c r="CH66" i="2"/>
  <c r="R13" i="2"/>
  <c r="H10" i="9"/>
  <c r="Y10" i="9" s="1"/>
  <c r="W14" i="2"/>
  <c r="AP14" i="2"/>
  <c r="U14" i="2"/>
  <c r="AY14" i="2"/>
  <c r="R14" i="2"/>
  <c r="Q15" i="2"/>
  <c r="H15" i="9"/>
  <c r="Y15" i="9" s="1"/>
  <c r="AP24" i="2"/>
  <c r="W24" i="2"/>
  <c r="U24" i="2"/>
  <c r="S24" i="2" s="1"/>
  <c r="R24" i="2"/>
  <c r="BK24" i="2"/>
  <c r="AY24" i="2"/>
  <c r="Q24" i="2"/>
  <c r="P24" i="2"/>
  <c r="AU24" i="2"/>
  <c r="R59" i="2"/>
  <c r="H31" i="9"/>
  <c r="Y31" i="9" s="1"/>
  <c r="P60" i="2"/>
  <c r="AU60" i="2"/>
  <c r="W60" i="2"/>
  <c r="AY60" i="2"/>
  <c r="U60" i="2"/>
  <c r="T60" i="2"/>
  <c r="R60" i="2"/>
  <c r="AP60" i="2"/>
  <c r="Q60" i="2"/>
  <c r="H36" i="9"/>
  <c r="Y36" i="9" s="1"/>
  <c r="AP75" i="2"/>
  <c r="U75" i="2"/>
  <c r="R75" i="2"/>
  <c r="AY75" i="2"/>
  <c r="P75" i="2"/>
  <c r="AU75" i="2"/>
  <c r="T75" i="2"/>
  <c r="W75" i="2"/>
  <c r="BK75" i="2"/>
  <c r="Q75" i="2"/>
  <c r="T3" i="2"/>
  <c r="S3" i="2" s="1"/>
  <c r="S12" i="2"/>
  <c r="S13" i="2"/>
  <c r="CE14" i="2"/>
  <c r="BM14" i="2"/>
  <c r="H12" i="9"/>
  <c r="Y12" i="9" s="1"/>
  <c r="R21" i="2"/>
  <c r="T21" i="2"/>
  <c r="S21" i="2" s="1"/>
  <c r="AY21" i="2"/>
  <c r="Q21" i="2"/>
  <c r="BK21" i="2"/>
  <c r="P21" i="2"/>
  <c r="Q40" i="2"/>
  <c r="BN40" i="2"/>
  <c r="CH40" i="2"/>
  <c r="CE40" i="2"/>
  <c r="CE59" i="2"/>
  <c r="BO59" i="2"/>
  <c r="CH59" i="2"/>
  <c r="BN59" i="2"/>
  <c r="CE66" i="2"/>
  <c r="BN5" i="2"/>
  <c r="BK32" i="2"/>
  <c r="H37" i="9"/>
  <c r="Y37" i="9" s="1"/>
  <c r="BK76" i="2"/>
  <c r="AY76" i="2"/>
  <c r="P76" i="2"/>
  <c r="AU76" i="2"/>
  <c r="U76" i="2"/>
  <c r="T76" i="2"/>
  <c r="S76" i="2" s="1"/>
  <c r="W76" i="2"/>
  <c r="AP76" i="2"/>
  <c r="Q76" i="2"/>
  <c r="S14" i="2"/>
  <c r="CH39" i="2"/>
  <c r="BM40" i="2"/>
  <c r="H5" i="9"/>
  <c r="Y5" i="9" s="1"/>
  <c r="AP4" i="2"/>
  <c r="T4" i="2"/>
  <c r="BK4" i="2"/>
  <c r="Q4" i="2"/>
  <c r="P4" i="2"/>
  <c r="W3" i="2"/>
  <c r="R4" i="2"/>
  <c r="H7" i="9"/>
  <c r="Y7" i="9" s="1"/>
  <c r="BK6" i="2"/>
  <c r="AY6" i="2"/>
  <c r="R6" i="2"/>
  <c r="AU6" i="2"/>
  <c r="AP6" i="2"/>
  <c r="W6" i="2"/>
  <c r="CE12" i="2"/>
  <c r="P48" i="2"/>
  <c r="R68" i="2"/>
  <c r="R66" i="2"/>
  <c r="AZ85" i="2"/>
  <c r="H13" i="9"/>
  <c r="Y13" i="9" s="1"/>
  <c r="AP22" i="2"/>
  <c r="W22" i="2"/>
  <c r="U22" i="2"/>
  <c r="R22" i="2"/>
  <c r="AY22" i="2"/>
  <c r="Q22" i="2"/>
  <c r="BK22" i="2"/>
  <c r="P22" i="2"/>
  <c r="AU22" i="2"/>
  <c r="AP23" i="2"/>
  <c r="CE31" i="2"/>
  <c r="BO39" i="2"/>
  <c r="BA57" i="2"/>
  <c r="U4" i="2"/>
  <c r="Q6" i="2"/>
  <c r="T22" i="2"/>
  <c r="R30" i="2"/>
  <c r="CH42" i="2"/>
  <c r="CE42" i="2"/>
  <c r="BN42" i="2"/>
  <c r="CE67" i="2"/>
  <c r="BN67" i="2"/>
  <c r="BM67" i="2"/>
  <c r="R86" i="2"/>
  <c r="R84" i="2"/>
  <c r="H43" i="9"/>
  <c r="Y43" i="9" s="1"/>
  <c r="AU87" i="2"/>
  <c r="P87" i="2"/>
  <c r="BK87" i="2"/>
  <c r="AP87" i="2"/>
  <c r="U87" i="2"/>
  <c r="T87" i="2"/>
  <c r="AY87" i="2"/>
  <c r="R87" i="2"/>
  <c r="Q87" i="2"/>
  <c r="BN85" i="2"/>
  <c r="Q5" i="2"/>
  <c r="CH68" i="2"/>
  <c r="BN68" i="2"/>
  <c r="AY3" i="2"/>
  <c r="W4" i="2"/>
  <c r="Q12" i="2"/>
  <c r="AZ12" i="2" s="1"/>
  <c r="CE15" i="2"/>
  <c r="H39" i="9"/>
  <c r="Y39" i="9" s="1"/>
  <c r="T78" i="2"/>
  <c r="S78" i="2" s="1"/>
  <c r="Q78" i="2"/>
  <c r="U78" i="2"/>
  <c r="R78" i="2"/>
  <c r="P78" i="2"/>
  <c r="BK78" i="2"/>
  <c r="AU78" i="2"/>
  <c r="AY78" i="2"/>
  <c r="W78" i="2"/>
  <c r="W87" i="2"/>
  <c r="H33" i="9"/>
  <c r="Y33" i="9" s="1"/>
  <c r="T67" i="2"/>
  <c r="AU67" i="2"/>
  <c r="Q67" i="2"/>
  <c r="R67" i="2"/>
  <c r="AY67" i="2"/>
  <c r="AZ95" i="2"/>
  <c r="P94" i="2"/>
  <c r="AU31" i="2"/>
  <c r="H21" i="9"/>
  <c r="Y21" i="9" s="1"/>
  <c r="P40" i="2"/>
  <c r="AP40" i="2"/>
  <c r="U40" i="2"/>
  <c r="H26" i="9"/>
  <c r="Y26" i="9" s="1"/>
  <c r="Q50" i="2"/>
  <c r="BK50" i="2"/>
  <c r="U50" i="2"/>
  <c r="U67" i="2"/>
  <c r="H17" i="9"/>
  <c r="Y17" i="9" s="1"/>
  <c r="W31" i="2"/>
  <c r="AY31" i="2"/>
  <c r="H22" i="9"/>
  <c r="Y22" i="9" s="1"/>
  <c r="Q41" i="2"/>
  <c r="W41" i="2"/>
  <c r="BK41" i="2"/>
  <c r="CE48" i="2"/>
  <c r="P50" i="2"/>
  <c r="H16" i="9"/>
  <c r="Y16" i="9" s="1"/>
  <c r="AU30" i="2"/>
  <c r="Q30" i="2"/>
  <c r="AZ30" i="2" s="1"/>
  <c r="BK30" i="2"/>
  <c r="P31" i="2"/>
  <c r="H19" i="9"/>
  <c r="Y19" i="9" s="1"/>
  <c r="AP33" i="2"/>
  <c r="BK33" i="2"/>
  <c r="AY33" i="2"/>
  <c r="R33" i="2"/>
  <c r="R40" i="2"/>
  <c r="P41" i="2"/>
  <c r="R50" i="2"/>
  <c r="W67" i="2"/>
  <c r="R31" i="2"/>
  <c r="Q39" i="2"/>
  <c r="T40" i="2"/>
  <c r="H23" i="9"/>
  <c r="Y23" i="9" s="1"/>
  <c r="W42" i="2"/>
  <c r="Q42" i="2"/>
  <c r="T42" i="2"/>
  <c r="S42" i="2" s="1"/>
  <c r="R48" i="2"/>
  <c r="T50" i="2"/>
  <c r="P66" i="2"/>
  <c r="P77" i="2"/>
  <c r="H25" i="9"/>
  <c r="Y25" i="9" s="1"/>
  <c r="BK49" i="2"/>
  <c r="AY49" i="2"/>
  <c r="AP49" i="2"/>
  <c r="U49" i="2"/>
  <c r="S49" i="2" s="1"/>
  <c r="H29" i="9"/>
  <c r="Y29" i="9" s="1"/>
  <c r="U58" i="2"/>
  <c r="R58" i="2"/>
  <c r="T58" i="2"/>
  <c r="BK58" i="2"/>
  <c r="AU58" i="2"/>
  <c r="W58" i="2"/>
  <c r="AP58" i="2"/>
  <c r="CH86" i="2"/>
  <c r="CE86" i="2"/>
  <c r="T31" i="2"/>
  <c r="S31" i="2" s="1"/>
  <c r="CE39" i="2"/>
  <c r="U41" i="2"/>
  <c r="S41" i="2" s="1"/>
  <c r="AP41" i="2"/>
  <c r="P49" i="2"/>
  <c r="W50" i="2"/>
  <c r="AU50" i="2"/>
  <c r="H28" i="9"/>
  <c r="Y28" i="9" s="1"/>
  <c r="W57" i="2"/>
  <c r="BK57" i="2"/>
  <c r="AU57" i="2"/>
  <c r="T57" i="2"/>
  <c r="S57" i="2" s="1"/>
  <c r="AP57" i="2"/>
  <c r="P58" i="2"/>
  <c r="Q77" i="2"/>
  <c r="BN86" i="2"/>
  <c r="R85" i="2"/>
  <c r="H42" i="9"/>
  <c r="Y42" i="9" s="1"/>
  <c r="AP86" i="2"/>
  <c r="P86" i="2"/>
  <c r="AU86" i="2"/>
  <c r="U86" i="2"/>
  <c r="T86" i="2"/>
  <c r="Q95" i="2"/>
  <c r="Q94" i="2"/>
  <c r="Q86" i="2"/>
  <c r="BI6" i="9"/>
  <c r="BI8" i="9"/>
  <c r="H27" i="9"/>
  <c r="Y27" i="9" s="1"/>
  <c r="W51" i="2"/>
  <c r="T51" i="2"/>
  <c r="S51" i="2" s="1"/>
  <c r="H30" i="9"/>
  <c r="Y30" i="9" s="1"/>
  <c r="P59" i="2"/>
  <c r="AP59" i="2"/>
  <c r="U59" i="2"/>
  <c r="T59" i="2"/>
  <c r="R77" i="2"/>
  <c r="CH85" i="2"/>
  <c r="CE85" i="2"/>
  <c r="W86" i="2"/>
  <c r="H44" i="9"/>
  <c r="Y44" i="9" s="1"/>
  <c r="BK93" i="2"/>
  <c r="AY93" i="2"/>
  <c r="P93" i="2"/>
  <c r="AP93" i="2"/>
  <c r="U93" i="2"/>
  <c r="S93" i="2" s="1"/>
  <c r="R93" i="2"/>
  <c r="Q93" i="2"/>
  <c r="AY86" i="2"/>
  <c r="K119" i="6"/>
  <c r="J119" i="6"/>
  <c r="K130" i="6"/>
  <c r="BI32" i="9"/>
  <c r="AY66" i="2"/>
  <c r="H38" i="9"/>
  <c r="Y38" i="9" s="1"/>
  <c r="W77" i="2"/>
  <c r="BK77" i="2"/>
  <c r="AY77" i="2"/>
  <c r="T77" i="2"/>
  <c r="S77" i="2" s="1"/>
  <c r="L16" i="6"/>
  <c r="J16" i="6"/>
  <c r="K16" i="6"/>
  <c r="I16" i="6"/>
  <c r="S94" i="2"/>
  <c r="R103" i="2"/>
  <c r="CH103" i="2"/>
  <c r="CE103" i="2"/>
  <c r="BN103" i="2"/>
  <c r="H40" i="9"/>
  <c r="Y40" i="9" s="1"/>
  <c r="W84" i="2"/>
  <c r="T84" i="2"/>
  <c r="AU84" i="2"/>
  <c r="Q84" i="2"/>
  <c r="H48" i="9"/>
  <c r="Y48" i="9" s="1"/>
  <c r="P102" i="2"/>
  <c r="R102" i="2"/>
  <c r="Q102" i="2"/>
  <c r="BK102" i="2"/>
  <c r="AU102" i="2"/>
  <c r="T102" i="2"/>
  <c r="S102" i="2" s="1"/>
  <c r="J3" i="6"/>
  <c r="I3" i="6"/>
  <c r="L3" i="6"/>
  <c r="K3" i="6"/>
  <c r="P84" i="2"/>
  <c r="I5" i="6"/>
  <c r="J5" i="6"/>
  <c r="BI20" i="9"/>
  <c r="U66" i="2"/>
  <c r="S66" i="2" s="1"/>
  <c r="AP66" i="2"/>
  <c r="AP77" i="2"/>
  <c r="W102" i="2"/>
  <c r="S103" i="2"/>
  <c r="L12" i="6"/>
  <c r="K12" i="6"/>
  <c r="J12" i="6"/>
  <c r="I12" i="6"/>
  <c r="L25" i="6"/>
  <c r="I25" i="6"/>
  <c r="K25" i="6"/>
  <c r="L33" i="6"/>
  <c r="I33" i="6"/>
  <c r="K33" i="6"/>
  <c r="L89" i="6"/>
  <c r="K89" i="6"/>
  <c r="J89" i="6"/>
  <c r="BI47" i="9"/>
  <c r="AY96" i="2"/>
  <c r="Q104" i="2"/>
  <c r="AY104" i="2"/>
  <c r="U105" i="2"/>
  <c r="S105" i="2" s="1"/>
  <c r="L8" i="6"/>
  <c r="K8" i="6"/>
  <c r="J8" i="6"/>
  <c r="I8" i="6"/>
  <c r="BI35" i="9"/>
  <c r="H46" i="9"/>
  <c r="Y46" i="9" s="1"/>
  <c r="AP95" i="2"/>
  <c r="AU95" i="2"/>
  <c r="BK95" i="2"/>
  <c r="R96" i="2"/>
  <c r="H49" i="9"/>
  <c r="Y49" i="9" s="1"/>
  <c r="W103" i="2"/>
  <c r="AU103" i="2"/>
  <c r="Q103" i="2"/>
  <c r="AY103" i="2"/>
  <c r="U104" i="2"/>
  <c r="S104" i="2" s="1"/>
  <c r="S96" i="2"/>
  <c r="L82" i="6"/>
  <c r="K82" i="6"/>
  <c r="J96" i="6"/>
  <c r="I96" i="6"/>
  <c r="L96" i="6"/>
  <c r="K96" i="6"/>
  <c r="K108" i="6"/>
  <c r="J108" i="6"/>
  <c r="AP48" i="2"/>
  <c r="R69" i="2"/>
  <c r="AY69" i="2"/>
  <c r="BK69" i="2"/>
  <c r="BI41" i="9"/>
  <c r="H45" i="9"/>
  <c r="Y45" i="9" s="1"/>
  <c r="AP94" i="2"/>
  <c r="R94" i="2"/>
  <c r="AU94" i="2"/>
  <c r="BK94" i="2"/>
  <c r="R95" i="2"/>
  <c r="L24" i="6"/>
  <c r="J110" i="6"/>
  <c r="K110" i="6"/>
  <c r="K112" i="6"/>
  <c r="H51" i="9"/>
  <c r="Y51" i="9" s="1"/>
  <c r="AP105" i="2"/>
  <c r="BK105" i="2"/>
  <c r="AY105" i="2"/>
  <c r="R105" i="2"/>
  <c r="I4" i="6"/>
  <c r="L15" i="6"/>
  <c r="K15" i="6"/>
  <c r="J15" i="6"/>
  <c r="I15" i="6"/>
  <c r="J122" i="6"/>
  <c r="K122" i="6"/>
  <c r="BI24" i="9"/>
  <c r="BI34" i="9"/>
  <c r="U69" i="2"/>
  <c r="S69" i="2" s="1"/>
  <c r="AP103" i="2"/>
  <c r="Q105" i="2"/>
  <c r="AZ105" i="2" s="1"/>
  <c r="L51" i="6"/>
  <c r="L77" i="6"/>
  <c r="K77" i="6"/>
  <c r="J77" i="6"/>
  <c r="L106" i="6"/>
  <c r="K106" i="6"/>
  <c r="J124" i="6"/>
  <c r="K124" i="6"/>
  <c r="H50" i="9"/>
  <c r="Y50" i="9" s="1"/>
  <c r="AU104" i="2"/>
  <c r="R104" i="2"/>
  <c r="BK104" i="2"/>
  <c r="I10" i="6"/>
  <c r="K10" i="6"/>
  <c r="J22" i="6"/>
  <c r="J24" i="6"/>
  <c r="I24" i="6"/>
  <c r="J30" i="6"/>
  <c r="J32" i="6"/>
  <c r="I32" i="6"/>
  <c r="J38" i="6"/>
  <c r="J40" i="6"/>
  <c r="I40" i="6"/>
  <c r="K41" i="6"/>
  <c r="J46" i="6"/>
  <c r="J48" i="6"/>
  <c r="I48" i="6"/>
  <c r="K49" i="6"/>
  <c r="J54" i="6"/>
  <c r="J56" i="6"/>
  <c r="I56" i="6"/>
  <c r="K57" i="6"/>
  <c r="J62" i="6"/>
  <c r="J64" i="6"/>
  <c r="I64" i="6"/>
  <c r="K65" i="6"/>
  <c r="J72" i="6"/>
  <c r="I72" i="6"/>
  <c r="L72" i="6"/>
  <c r="J84" i="6"/>
  <c r="I84" i="6"/>
  <c r="L84" i="6"/>
  <c r="K97" i="6"/>
  <c r="J106" i="6"/>
  <c r="K111" i="6"/>
  <c r="I9" i="6"/>
  <c r="I74" i="6"/>
  <c r="L79" i="6"/>
  <c r="J94" i="6"/>
  <c r="K121" i="6"/>
  <c r="I2" i="6"/>
  <c r="J9" i="6"/>
  <c r="K24" i="6"/>
  <c r="I26" i="6"/>
  <c r="K32" i="6"/>
  <c r="I34" i="6"/>
  <c r="K40" i="6"/>
  <c r="I42" i="6"/>
  <c r="K48" i="6"/>
  <c r="I50" i="6"/>
  <c r="K56" i="6"/>
  <c r="I58" i="6"/>
  <c r="K64" i="6"/>
  <c r="I66" i="6"/>
  <c r="K72" i="6"/>
  <c r="K84" i="6"/>
  <c r="I98" i="6"/>
  <c r="L103" i="6"/>
  <c r="K126" i="6"/>
  <c r="K9" i="6"/>
  <c r="L11" i="6"/>
  <c r="K11" i="6"/>
  <c r="J76" i="6"/>
  <c r="I76" i="6"/>
  <c r="L76" i="6"/>
  <c r="J88" i="6"/>
  <c r="I88" i="6"/>
  <c r="L88" i="6"/>
  <c r="K113" i="6"/>
  <c r="J113" i="6"/>
  <c r="J18" i="6"/>
  <c r="J21" i="6"/>
  <c r="L23" i="6"/>
  <c r="J29" i="6"/>
  <c r="J37" i="6"/>
  <c r="L39" i="6"/>
  <c r="J45" i="6"/>
  <c r="J53" i="6"/>
  <c r="J61" i="6"/>
  <c r="J69" i="6"/>
  <c r="J111" i="6"/>
  <c r="L115" i="6"/>
  <c r="K123" i="6"/>
  <c r="I7" i="6"/>
  <c r="K18" i="6"/>
  <c r="K21" i="6"/>
  <c r="J26" i="6"/>
  <c r="J28" i="6"/>
  <c r="I28" i="6"/>
  <c r="K29" i="6"/>
  <c r="J34" i="6"/>
  <c r="J36" i="6"/>
  <c r="I36" i="6"/>
  <c r="K37" i="6"/>
  <c r="J42" i="6"/>
  <c r="J44" i="6"/>
  <c r="I44" i="6"/>
  <c r="K45" i="6"/>
  <c r="J50" i="6"/>
  <c r="J52" i="6"/>
  <c r="I52" i="6"/>
  <c r="K53" i="6"/>
  <c r="J58" i="6"/>
  <c r="J60" i="6"/>
  <c r="I60" i="6"/>
  <c r="K61" i="6"/>
  <c r="J66" i="6"/>
  <c r="J68" i="6"/>
  <c r="I68" i="6"/>
  <c r="K69" i="6"/>
  <c r="L83" i="6"/>
  <c r="I93" i="6"/>
  <c r="J98" i="6"/>
  <c r="J100" i="6"/>
  <c r="I100" i="6"/>
  <c r="L100" i="6"/>
  <c r="I107" i="6"/>
  <c r="J116" i="6"/>
  <c r="J129" i="6"/>
  <c r="L5" i="6"/>
  <c r="K5" i="6"/>
  <c r="J7" i="6"/>
  <c r="I11" i="6"/>
  <c r="L18" i="6"/>
  <c r="K76" i="6"/>
  <c r="L85" i="6"/>
  <c r="K88" i="6"/>
  <c r="J93" i="6"/>
  <c r="K120" i="6"/>
  <c r="J120" i="6"/>
  <c r="J121" i="6"/>
  <c r="K129" i="6"/>
  <c r="J80" i="6"/>
  <c r="I80" i="6"/>
  <c r="L80" i="6"/>
  <c r="K109" i="6"/>
  <c r="J112" i="6"/>
  <c r="K2" i="6"/>
  <c r="I6" i="6"/>
  <c r="K14" i="6"/>
  <c r="K20" i="6"/>
  <c r="I22" i="6"/>
  <c r="K28" i="6"/>
  <c r="I30" i="6"/>
  <c r="K36" i="6"/>
  <c r="I38" i="6"/>
  <c r="K44" i="6"/>
  <c r="I46" i="6"/>
  <c r="K52" i="6"/>
  <c r="I54" i="6"/>
  <c r="K60" i="6"/>
  <c r="I62" i="6"/>
  <c r="K68" i="6"/>
  <c r="I70" i="6"/>
  <c r="I73" i="6"/>
  <c r="I85" i="6"/>
  <c r="J92" i="6"/>
  <c r="I92" i="6"/>
  <c r="L92" i="6"/>
  <c r="K100" i="6"/>
  <c r="J104" i="6"/>
  <c r="I104" i="6"/>
  <c r="L104" i="6"/>
  <c r="I115" i="6"/>
  <c r="K125" i="6"/>
  <c r="J125" i="6"/>
  <c r="J130" i="6"/>
  <c r="K4" i="6"/>
  <c r="J4" i="6"/>
  <c r="J6" i="6"/>
  <c r="L19" i="6"/>
  <c r="K19" i="6"/>
  <c r="I41" i="6"/>
  <c r="I49" i="6"/>
  <c r="I57" i="6"/>
  <c r="I65" i="6"/>
  <c r="I82" i="6"/>
  <c r="I97" i="6"/>
  <c r="K114" i="6"/>
  <c r="J127" i="6"/>
  <c r="K23" i="6"/>
  <c r="K27" i="6"/>
  <c r="K31" i="6"/>
  <c r="K35" i="6"/>
  <c r="K39" i="6"/>
  <c r="K43" i="6"/>
  <c r="K47" i="6"/>
  <c r="K51" i="6"/>
  <c r="K55" i="6"/>
  <c r="K59" i="6"/>
  <c r="K63" i="6"/>
  <c r="K67" i="6"/>
  <c r="K71" i="6"/>
  <c r="K75" i="6"/>
  <c r="K79" i="6"/>
  <c r="K83" i="6"/>
  <c r="K87" i="6"/>
  <c r="K91" i="6"/>
  <c r="K95" i="6"/>
  <c r="K99" i="6"/>
  <c r="K103" i="6"/>
  <c r="I102" i="6"/>
  <c r="I106" i="6"/>
  <c r="L137" i="6"/>
  <c r="BO96" i="2" l="1"/>
  <c r="CG96" i="2"/>
  <c r="S60" i="2"/>
  <c r="S84" i="2"/>
  <c r="BM51" i="2"/>
  <c r="S86" i="2"/>
  <c r="CG67" i="2"/>
  <c r="S30" i="2"/>
  <c r="CH51" i="2"/>
  <c r="S50" i="2"/>
  <c r="S33" i="2"/>
  <c r="CG40" i="2"/>
  <c r="S5" i="2"/>
  <c r="BN51" i="2"/>
  <c r="S87" i="2"/>
  <c r="CH5" i="2"/>
  <c r="CE5" i="2"/>
  <c r="S59" i="2"/>
  <c r="S48" i="2"/>
  <c r="BN41" i="2"/>
  <c r="CH41" i="2"/>
  <c r="CG41" i="2"/>
  <c r="CE41" i="2"/>
  <c r="BI39" i="9"/>
  <c r="CH95" i="2"/>
  <c r="CE95" i="2"/>
  <c r="BN95" i="2"/>
  <c r="CG95" i="2"/>
  <c r="BA12" i="2"/>
  <c r="BN22" i="2"/>
  <c r="CH22" i="2"/>
  <c r="CG22" i="2"/>
  <c r="CE22" i="2"/>
  <c r="BI11" i="9"/>
  <c r="CG104" i="2"/>
  <c r="CH104" i="2"/>
  <c r="CE104" i="2"/>
  <c r="BN104" i="2"/>
  <c r="BA30" i="2"/>
  <c r="AZ94" i="2"/>
  <c r="CG60" i="2"/>
  <c r="BI48" i="9"/>
  <c r="BI38" i="9"/>
  <c r="AZ5" i="2"/>
  <c r="BL8" i="9"/>
  <c r="BK8" i="9"/>
  <c r="BJ8" i="9"/>
  <c r="BO8" i="9"/>
  <c r="BN8" i="9"/>
  <c r="CH76" i="2"/>
  <c r="CE76" i="2"/>
  <c r="BN76" i="2"/>
  <c r="CG76" i="2"/>
  <c r="BI26" i="9"/>
  <c r="AZ32" i="2"/>
  <c r="CG68" i="2"/>
  <c r="CG59" i="2"/>
  <c r="CG103" i="2"/>
  <c r="CG51" i="2"/>
  <c r="CG85" i="2"/>
  <c r="AZ84" i="2"/>
  <c r="BN77" i="2"/>
  <c r="CH77" i="2"/>
  <c r="CE77" i="2"/>
  <c r="BM77" i="2"/>
  <c r="CG77" i="2"/>
  <c r="AZ59" i="2"/>
  <c r="BI28" i="9"/>
  <c r="CG49" i="2"/>
  <c r="CE49" i="2"/>
  <c r="BO49" i="2"/>
  <c r="S40" i="2"/>
  <c r="CG30" i="2"/>
  <c r="CE30" i="2"/>
  <c r="CG50" i="2"/>
  <c r="CH50" i="2"/>
  <c r="CE50" i="2"/>
  <c r="BN50" i="2"/>
  <c r="CG87" i="2"/>
  <c r="CE87" i="2"/>
  <c r="BN87" i="2"/>
  <c r="BM87" i="2"/>
  <c r="CH87" i="2"/>
  <c r="AZ76" i="2"/>
  <c r="CI66" i="2"/>
  <c r="AZ60" i="2"/>
  <c r="S32" i="2"/>
  <c r="CG15" i="2"/>
  <c r="AZ15" i="2"/>
  <c r="AZ67" i="2"/>
  <c r="CI3" i="2"/>
  <c r="BI14" i="9"/>
  <c r="AZ102" i="2"/>
  <c r="BI30" i="9"/>
  <c r="BI25" i="9"/>
  <c r="CI48" i="2"/>
  <c r="AZ87" i="2"/>
  <c r="AZ22" i="2"/>
  <c r="AZ4" i="2"/>
  <c r="BI31" i="9"/>
  <c r="BI15" i="9"/>
  <c r="CH94" i="2"/>
  <c r="BN94" i="2"/>
  <c r="CE94" i="2"/>
  <c r="CG94" i="2"/>
  <c r="BM94" i="2"/>
  <c r="BN47" i="9"/>
  <c r="BL47" i="9"/>
  <c r="BK47" i="9"/>
  <c r="BO47" i="9"/>
  <c r="BJ47" i="9"/>
  <c r="AZ86" i="2"/>
  <c r="AZ49" i="2"/>
  <c r="AZ77" i="2"/>
  <c r="BI16" i="9"/>
  <c r="BI43" i="9"/>
  <c r="S22" i="2"/>
  <c r="BN4" i="2"/>
  <c r="CH4" i="2"/>
  <c r="CG4" i="2"/>
  <c r="CE4" i="2"/>
  <c r="BM4" i="2"/>
  <c r="BI37" i="9"/>
  <c r="BI12" i="9"/>
  <c r="BI36" i="9"/>
  <c r="BI27" i="9"/>
  <c r="CH58" i="2"/>
  <c r="CE58" i="2"/>
  <c r="CG58" i="2"/>
  <c r="BN58" i="2"/>
  <c r="AZ66" i="2"/>
  <c r="AZ41" i="2"/>
  <c r="S4" i="2"/>
  <c r="CG31" i="2"/>
  <c r="AZ23" i="2"/>
  <c r="BI50" i="9"/>
  <c r="BI46" i="9"/>
  <c r="BI42" i="9"/>
  <c r="S58" i="2"/>
  <c r="BI22" i="9"/>
  <c r="AZ40" i="2"/>
  <c r="CG66" i="2"/>
  <c r="AZ24" i="2"/>
  <c r="AZ42" i="2"/>
  <c r="CI84" i="2"/>
  <c r="BK32" i="9"/>
  <c r="BJ32" i="9"/>
  <c r="BN32" i="9"/>
  <c r="BL32" i="9"/>
  <c r="BO32" i="9"/>
  <c r="AZ103" i="2"/>
  <c r="AZ93" i="2"/>
  <c r="BA95" i="2" s="1"/>
  <c r="AZ58" i="2"/>
  <c r="BI21" i="9"/>
  <c r="CI15" i="2"/>
  <c r="BI5" i="9"/>
  <c r="CH75" i="2"/>
  <c r="BO75" i="2"/>
  <c r="CE75" i="2"/>
  <c r="BN75" i="2"/>
  <c r="CG75" i="2"/>
  <c r="BI18" i="9"/>
  <c r="CG48" i="2"/>
  <c r="CG5" i="2"/>
  <c r="AZ3" i="2"/>
  <c r="CG3" i="2"/>
  <c r="BN24" i="9"/>
  <c r="BJ24" i="9"/>
  <c r="BO24" i="9"/>
  <c r="BL24" i="9"/>
  <c r="BK24" i="9"/>
  <c r="BI45" i="9"/>
  <c r="BN35" i="9"/>
  <c r="BM35" i="9" s="1"/>
  <c r="BL35" i="9"/>
  <c r="BK35" i="9"/>
  <c r="BO35" i="9"/>
  <c r="BJ35" i="9"/>
  <c r="BP35" i="9" s="1"/>
  <c r="BI40" i="9"/>
  <c r="AZ48" i="2"/>
  <c r="CG32" i="2"/>
  <c r="CH32" i="2"/>
  <c r="CE32" i="2"/>
  <c r="BN32" i="2"/>
  <c r="BM32" i="2"/>
  <c r="AZ13" i="2"/>
  <c r="CG84" i="2"/>
  <c r="BO93" i="2"/>
  <c r="CG93" i="2"/>
  <c r="CE93" i="2"/>
  <c r="BI29" i="9"/>
  <c r="CG33" i="2"/>
  <c r="CE33" i="2"/>
  <c r="BO33" i="2"/>
  <c r="BN33" i="2"/>
  <c r="CH33" i="2"/>
  <c r="BI17" i="9"/>
  <c r="CH78" i="2"/>
  <c r="CE78" i="2"/>
  <c r="CG78" i="2"/>
  <c r="BN78" i="2"/>
  <c r="CG6" i="2"/>
  <c r="CE6" i="2"/>
  <c r="S75" i="2"/>
  <c r="CE24" i="2"/>
  <c r="CG24" i="2"/>
  <c r="CH24" i="2"/>
  <c r="BN24" i="2"/>
  <c r="BI10" i="9"/>
  <c r="BI4" i="9"/>
  <c r="AZ6" i="2"/>
  <c r="BN105" i="2"/>
  <c r="CG105" i="2"/>
  <c r="BM105" i="2"/>
  <c r="CH105" i="2"/>
  <c r="CE105" i="2"/>
  <c r="BN69" i="2"/>
  <c r="CG69" i="2"/>
  <c r="CH69" i="2"/>
  <c r="CE69" i="2"/>
  <c r="BO20" i="9"/>
  <c r="BN20" i="9"/>
  <c r="BM20" i="9" s="1"/>
  <c r="BJ20" i="9"/>
  <c r="BL20" i="9"/>
  <c r="BK20" i="9"/>
  <c r="BI44" i="9"/>
  <c r="BO6" i="9"/>
  <c r="BN6" i="9"/>
  <c r="BL6" i="9"/>
  <c r="BK6" i="9"/>
  <c r="BJ6" i="9"/>
  <c r="AZ104" i="2"/>
  <c r="CI39" i="2"/>
  <c r="AZ50" i="2"/>
  <c r="AZ78" i="2"/>
  <c r="BI13" i="9"/>
  <c r="BI7" i="9"/>
  <c r="CI59" i="2"/>
  <c r="AZ21" i="2"/>
  <c r="BO13" i="2"/>
  <c r="CG13" i="2"/>
  <c r="CE13" i="2"/>
  <c r="S23" i="2"/>
  <c r="BO34" i="9"/>
  <c r="BN34" i="9"/>
  <c r="BL34" i="9"/>
  <c r="BK34" i="9"/>
  <c r="BJ34" i="9"/>
  <c r="BN102" i="2"/>
  <c r="BO102" i="2"/>
  <c r="CE102" i="2"/>
  <c r="CH102" i="2"/>
  <c r="CG102" i="2"/>
  <c r="CG57" i="2"/>
  <c r="CE57" i="2"/>
  <c r="CH57" i="2"/>
  <c r="BN57" i="2"/>
  <c r="BI19" i="9"/>
  <c r="CG39" i="2"/>
  <c r="S67" i="2"/>
  <c r="CG12" i="2"/>
  <c r="CH21" i="2"/>
  <c r="CE21" i="2"/>
  <c r="BN21" i="2"/>
  <c r="BO21" i="2"/>
  <c r="CG21" i="2"/>
  <c r="AZ75" i="2"/>
  <c r="CG86" i="2"/>
  <c r="BI9" i="9"/>
  <c r="AZ39" i="2"/>
  <c r="BA14" i="2"/>
  <c r="BI51" i="9"/>
  <c r="BK41" i="9"/>
  <c r="BJ41" i="9"/>
  <c r="BN41" i="9"/>
  <c r="BM41" i="9" s="1"/>
  <c r="BL41" i="9"/>
  <c r="BO41" i="9"/>
  <c r="BI49" i="9"/>
  <c r="BI23" i="9"/>
  <c r="AZ31" i="2"/>
  <c r="BA33" i="2" s="1"/>
  <c r="BI33" i="9"/>
  <c r="CG42" i="2"/>
  <c r="BA85" i="2"/>
  <c r="CG14" i="2"/>
  <c r="BA96" i="2"/>
  <c r="BA68" i="2"/>
  <c r="CE23" i="2"/>
  <c r="BN23" i="2"/>
  <c r="BM23" i="2"/>
  <c r="CH23" i="2"/>
  <c r="CG23" i="2"/>
  <c r="BM24" i="9" l="1"/>
  <c r="BM6" i="9"/>
  <c r="BA21" i="2"/>
  <c r="CI93" i="2"/>
  <c r="BA59" i="2"/>
  <c r="BL33" i="9"/>
  <c r="BJ33" i="9"/>
  <c r="BO33" i="9"/>
  <c r="BN33" i="9"/>
  <c r="BM33" i="9" s="1"/>
  <c r="BK33" i="9"/>
  <c r="BA15" i="2"/>
  <c r="CI102" i="2"/>
  <c r="BN51" i="9"/>
  <c r="BL51" i="9"/>
  <c r="BK51" i="9"/>
  <c r="BO51" i="9"/>
  <c r="BJ51" i="9"/>
  <c r="BO25" i="9"/>
  <c r="BL25" i="9"/>
  <c r="BJ25" i="9"/>
  <c r="BN25" i="9"/>
  <c r="BM25" i="9" s="1"/>
  <c r="BK25" i="9"/>
  <c r="BN19" i="9"/>
  <c r="BL19" i="9"/>
  <c r="BK19" i="9"/>
  <c r="BJ19" i="9"/>
  <c r="BO19" i="9"/>
  <c r="BO13" i="9"/>
  <c r="BN13" i="9"/>
  <c r="BM13" i="9" s="1"/>
  <c r="BL13" i="9"/>
  <c r="BK13" i="9"/>
  <c r="BJ13" i="9"/>
  <c r="BP6" i="9"/>
  <c r="BO14" i="9"/>
  <c r="BN14" i="9"/>
  <c r="BL14" i="9"/>
  <c r="BK14" i="9"/>
  <c r="BJ14" i="9"/>
  <c r="BO11" i="9"/>
  <c r="BN11" i="9"/>
  <c r="BM11" i="9" s="1"/>
  <c r="BL11" i="9"/>
  <c r="BJ11" i="9"/>
  <c r="BK11" i="9"/>
  <c r="BL23" i="9"/>
  <c r="BO23" i="9"/>
  <c r="BN23" i="9"/>
  <c r="BM23" i="9" s="1"/>
  <c r="BK23" i="9"/>
  <c r="BJ23" i="9"/>
  <c r="BO17" i="9"/>
  <c r="BN17" i="9"/>
  <c r="BM17" i="9" s="1"/>
  <c r="BL17" i="9"/>
  <c r="BK17" i="9"/>
  <c r="BJ17" i="9"/>
  <c r="BK45" i="9"/>
  <c r="BJ45" i="9"/>
  <c r="BN45" i="9"/>
  <c r="BL45" i="9"/>
  <c r="BO45" i="9"/>
  <c r="BA103" i="2"/>
  <c r="BN50" i="9"/>
  <c r="BK50" i="9"/>
  <c r="BJ50" i="9"/>
  <c r="BO50" i="9"/>
  <c r="BL50" i="9"/>
  <c r="BA86" i="2"/>
  <c r="BA22" i="2"/>
  <c r="BA105" i="2"/>
  <c r="BA102" i="2"/>
  <c r="CI49" i="2"/>
  <c r="BA94" i="2"/>
  <c r="BN39" i="9"/>
  <c r="BL39" i="9"/>
  <c r="BK39" i="9"/>
  <c r="BO39" i="9"/>
  <c r="BJ39" i="9"/>
  <c r="BK37" i="9"/>
  <c r="BJ37" i="9"/>
  <c r="BN37" i="9"/>
  <c r="BM37" i="9" s="1"/>
  <c r="BL37" i="9"/>
  <c r="BO37" i="9"/>
  <c r="BA5" i="2"/>
  <c r="BK49" i="9"/>
  <c r="BJ49" i="9"/>
  <c r="BN49" i="9"/>
  <c r="BL49" i="9"/>
  <c r="BO49" i="9"/>
  <c r="BM34" i="9"/>
  <c r="BP34" i="9" s="1"/>
  <c r="BL7" i="9"/>
  <c r="BK7" i="9"/>
  <c r="BJ7" i="9"/>
  <c r="BO7" i="9"/>
  <c r="BN7" i="9"/>
  <c r="BN29" i="9"/>
  <c r="BL29" i="9"/>
  <c r="BK29" i="9"/>
  <c r="BO29" i="9"/>
  <c r="BJ29" i="9"/>
  <c r="BA13" i="2"/>
  <c r="BF10" i="2" s="1"/>
  <c r="BB13" i="2" s="1"/>
  <c r="BO40" i="9"/>
  <c r="BN40" i="9"/>
  <c r="BK40" i="9"/>
  <c r="BJ40" i="9"/>
  <c r="BL40" i="9"/>
  <c r="BO18" i="9"/>
  <c r="BN18" i="9"/>
  <c r="BJ18" i="9"/>
  <c r="BL18" i="9"/>
  <c r="BK18" i="9"/>
  <c r="CI75" i="2"/>
  <c r="BM32" i="9"/>
  <c r="BP32" i="9" s="1"/>
  <c r="BO30" i="9"/>
  <c r="BN30" i="9"/>
  <c r="BJ30" i="9"/>
  <c r="BL30" i="9"/>
  <c r="BK30" i="9"/>
  <c r="BA84" i="2"/>
  <c r="BM8" i="9"/>
  <c r="BP8" i="9" s="1"/>
  <c r="CI13" i="2"/>
  <c r="BA78" i="2"/>
  <c r="BA39" i="2"/>
  <c r="BK9" i="9"/>
  <c r="BJ9" i="9"/>
  <c r="BL9" i="9"/>
  <c r="BO9" i="9"/>
  <c r="BN9" i="9"/>
  <c r="BM9" i="9" s="1"/>
  <c r="BA50" i="2"/>
  <c r="BP24" i="9"/>
  <c r="BJ22" i="9"/>
  <c r="BO22" i="9"/>
  <c r="BN22" i="9"/>
  <c r="BK22" i="9"/>
  <c r="BL22" i="9"/>
  <c r="BO12" i="9"/>
  <c r="BN12" i="9"/>
  <c r="BJ12" i="9"/>
  <c r="BL12" i="9"/>
  <c r="BK12" i="9"/>
  <c r="BA87" i="2"/>
  <c r="BO4" i="9"/>
  <c r="BN4" i="9"/>
  <c r="BL4" i="9"/>
  <c r="BK4" i="9"/>
  <c r="BJ4" i="9"/>
  <c r="BA42" i="2"/>
  <c r="BL27" i="9"/>
  <c r="BJ27" i="9"/>
  <c r="BN27" i="9"/>
  <c r="BK27" i="9"/>
  <c r="BO27" i="9"/>
  <c r="BO36" i="9"/>
  <c r="BN36" i="9"/>
  <c r="BK36" i="9"/>
  <c r="BJ36" i="9"/>
  <c r="BL36" i="9"/>
  <c r="BO16" i="9"/>
  <c r="BN16" i="9"/>
  <c r="BL16" i="9"/>
  <c r="BK16" i="9"/>
  <c r="BJ16" i="9"/>
  <c r="BA60" i="2"/>
  <c r="BP41" i="9"/>
  <c r="BA58" i="2"/>
  <c r="BA77" i="2"/>
  <c r="BO15" i="9"/>
  <c r="BN15" i="9"/>
  <c r="BM15" i="9" s="1"/>
  <c r="BL15" i="9"/>
  <c r="BK15" i="9"/>
  <c r="BJ15" i="9"/>
  <c r="BO28" i="9"/>
  <c r="BN28" i="9"/>
  <c r="BL28" i="9"/>
  <c r="BJ28" i="9"/>
  <c r="BK28" i="9"/>
  <c r="BA32" i="2"/>
  <c r="BA31" i="2"/>
  <c r="BF28" i="2" s="1"/>
  <c r="BA48" i="2"/>
  <c r="BA3" i="2"/>
  <c r="BO5" i="9"/>
  <c r="BN5" i="9"/>
  <c r="BL5" i="9"/>
  <c r="BK5" i="9"/>
  <c r="BJ5" i="9"/>
  <c r="BN43" i="9"/>
  <c r="BL43" i="9"/>
  <c r="BK43" i="9"/>
  <c r="BO43" i="9"/>
  <c r="BJ43" i="9"/>
  <c r="BO31" i="9"/>
  <c r="BL31" i="9"/>
  <c r="BK31" i="9"/>
  <c r="BJ31" i="9"/>
  <c r="BN31" i="9"/>
  <c r="BA6" i="2"/>
  <c r="CI33" i="2"/>
  <c r="BK21" i="9"/>
  <c r="BO21" i="9"/>
  <c r="BN21" i="9"/>
  <c r="BL21" i="9"/>
  <c r="BJ21" i="9"/>
  <c r="BA24" i="2"/>
  <c r="BA41" i="2"/>
  <c r="BA4" i="2"/>
  <c r="BA75" i="2"/>
  <c r="BO44" i="9"/>
  <c r="BN44" i="9"/>
  <c r="BK44" i="9"/>
  <c r="BJ44" i="9"/>
  <c r="BL44" i="9"/>
  <c r="BP20" i="9"/>
  <c r="BJ10" i="9"/>
  <c r="BO10" i="9"/>
  <c r="BL10" i="9"/>
  <c r="BK10" i="9"/>
  <c r="BN10" i="9"/>
  <c r="BA93" i="2"/>
  <c r="BF91" i="2" s="1"/>
  <c r="BB93" i="2" s="1"/>
  <c r="BA23" i="2"/>
  <c r="BA69" i="2"/>
  <c r="BA66" i="2"/>
  <c r="BJ26" i="9"/>
  <c r="BN26" i="9"/>
  <c r="BL26" i="9"/>
  <c r="BO26" i="9"/>
  <c r="BK26" i="9"/>
  <c r="BO48" i="9"/>
  <c r="BN48" i="9"/>
  <c r="BM48" i="9" s="1"/>
  <c r="BK48" i="9"/>
  <c r="BJ48" i="9"/>
  <c r="BL48" i="9"/>
  <c r="BA51" i="2"/>
  <c r="CI21" i="2"/>
  <c r="BA104" i="2"/>
  <c r="BA40" i="2"/>
  <c r="BN42" i="9"/>
  <c r="BK42" i="9"/>
  <c r="BJ42" i="9"/>
  <c r="BO42" i="9"/>
  <c r="BL42" i="9"/>
  <c r="BN46" i="9"/>
  <c r="BK46" i="9"/>
  <c r="BJ46" i="9"/>
  <c r="BO46" i="9"/>
  <c r="BL46" i="9"/>
  <c r="BA49" i="2"/>
  <c r="BM47" i="9"/>
  <c r="BP47" i="9" s="1"/>
  <c r="BA67" i="2"/>
  <c r="BA76" i="2"/>
  <c r="BN38" i="9"/>
  <c r="BK38" i="9"/>
  <c r="BJ38" i="9"/>
  <c r="BO38" i="9"/>
  <c r="BL38" i="9"/>
  <c r="BM31" i="9" l="1"/>
  <c r="BM16" i="9"/>
  <c r="BM26" i="9"/>
  <c r="BP26" i="9" s="1"/>
  <c r="BF55" i="2"/>
  <c r="BF60" i="2" s="1" a="1"/>
  <c r="BF60" i="2" s="1"/>
  <c r="BM51" i="9"/>
  <c r="BP51" i="9" s="1"/>
  <c r="BP31" i="9"/>
  <c r="BM45" i="9"/>
  <c r="BP45" i="9" s="1"/>
  <c r="BM29" i="9"/>
  <c r="BM42" i="9"/>
  <c r="BP42" i="9" s="1"/>
  <c r="BM39" i="9"/>
  <c r="BP25" i="9"/>
  <c r="BM12" i="9"/>
  <c r="BP12" i="9" s="1"/>
  <c r="BI58" i="2" a="1"/>
  <c r="BI58" i="2" s="1"/>
  <c r="BF37" i="2"/>
  <c r="BF17" i="2" a="1"/>
  <c r="BF17" i="2" s="1"/>
  <c r="BF15" i="2" a="1"/>
  <c r="BF15" i="2" s="1"/>
  <c r="BI12" i="2" a="1"/>
  <c r="BI12" i="2" s="1"/>
  <c r="BF16" i="2" a="1"/>
  <c r="BF16" i="2" s="1"/>
  <c r="BI15" i="2" a="1"/>
  <c r="BI15" i="2" s="1"/>
  <c r="BF13" i="2" a="1"/>
  <c r="BF13" i="2" s="1"/>
  <c r="BI17" i="2" a="1"/>
  <c r="BI17" i="2" s="1"/>
  <c r="BI16" i="2" a="1"/>
  <c r="BI16" i="2" s="1"/>
  <c r="BI14" i="2" a="1"/>
  <c r="BI14" i="2" s="1"/>
  <c r="BF12" i="2" a="1"/>
  <c r="BF12" i="2" s="1"/>
  <c r="BF14" i="2" a="1"/>
  <c r="BF14" i="2" s="1"/>
  <c r="BI13" i="2" a="1"/>
  <c r="BI13" i="2" s="1"/>
  <c r="BB14" i="2"/>
  <c r="BC14" i="2" s="1"/>
  <c r="BB12" i="2"/>
  <c r="BC12" i="2" s="1"/>
  <c r="BM21" i="9"/>
  <c r="BP21" i="9" s="1"/>
  <c r="BF46" i="2"/>
  <c r="BM30" i="9"/>
  <c r="BP30" i="9" s="1"/>
  <c r="BM49" i="9"/>
  <c r="BP11" i="9"/>
  <c r="BP39" i="9"/>
  <c r="BF100" i="2"/>
  <c r="BF32" i="2" a="1"/>
  <c r="BF32" i="2" s="1"/>
  <c r="BI35" i="2" a="1"/>
  <c r="BI35" i="2" s="1"/>
  <c r="BF33" i="2" a="1"/>
  <c r="BF33" i="2" s="1"/>
  <c r="BI32" i="2" a="1"/>
  <c r="BI32" i="2" s="1"/>
  <c r="BF35" i="2" a="1"/>
  <c r="BF35" i="2" s="1"/>
  <c r="BI30" i="2" a="1"/>
  <c r="BI30" i="2" s="1"/>
  <c r="BI34" i="2" a="1"/>
  <c r="BI34" i="2" s="1"/>
  <c r="BI31" i="2" a="1"/>
  <c r="BI31" i="2" s="1"/>
  <c r="BI33" i="2" a="1"/>
  <c r="BI33" i="2" s="1"/>
  <c r="BF34" i="2" a="1"/>
  <c r="BF34" i="2" s="1"/>
  <c r="BF30" i="2" a="1"/>
  <c r="BF30" i="2" s="1"/>
  <c r="BF31" i="2" a="1"/>
  <c r="BF31" i="2" s="1"/>
  <c r="BB33" i="2"/>
  <c r="BB30" i="2"/>
  <c r="BM46" i="9"/>
  <c r="BM28" i="9"/>
  <c r="BM22" i="9"/>
  <c r="BM40" i="9"/>
  <c r="BP40" i="9" s="1"/>
  <c r="BM7" i="9"/>
  <c r="BP7" i="9" s="1"/>
  <c r="BB15" i="2"/>
  <c r="BP46" i="9"/>
  <c r="BF96" i="2" a="1"/>
  <c r="BF96" i="2" s="1"/>
  <c r="BI95" i="2" a="1"/>
  <c r="BI95" i="2" s="1"/>
  <c r="BI94" i="2" a="1"/>
  <c r="BI94" i="2" s="1"/>
  <c r="BI97" i="2" a="1"/>
  <c r="BI97" i="2" s="1"/>
  <c r="BI96" i="2" a="1"/>
  <c r="BI96" i="2" s="1"/>
  <c r="BF97" i="2" a="1"/>
  <c r="BF97" i="2" s="1"/>
  <c r="BI98" i="2" a="1"/>
  <c r="BI98" i="2" s="1"/>
  <c r="BF93" i="2" a="1"/>
  <c r="BF93" i="2" s="1"/>
  <c r="BF98" i="2" a="1"/>
  <c r="BF98" i="2" s="1"/>
  <c r="BF94" i="2" a="1"/>
  <c r="BF94" i="2" s="1"/>
  <c r="BF95" i="2" a="1"/>
  <c r="BF95" i="2" s="1"/>
  <c r="BI93" i="2" a="1"/>
  <c r="BI93" i="2" s="1"/>
  <c r="BB96" i="2"/>
  <c r="BB95" i="2"/>
  <c r="BF64" i="2"/>
  <c r="BB60" i="2"/>
  <c r="BF82" i="2"/>
  <c r="BP28" i="9"/>
  <c r="BP49" i="9"/>
  <c r="BP48" i="9"/>
  <c r="BM5" i="9"/>
  <c r="BP5" i="9" s="1"/>
  <c r="BB31" i="2"/>
  <c r="BM36" i="9"/>
  <c r="BP36" i="9" s="1"/>
  <c r="BP22" i="9"/>
  <c r="BP23" i="9"/>
  <c r="BP37" i="9"/>
  <c r="BM44" i="9"/>
  <c r="BP44" i="9" s="1"/>
  <c r="BF1" i="2"/>
  <c r="BP15" i="9"/>
  <c r="BP16" i="9"/>
  <c r="BB94" i="2"/>
  <c r="BP17" i="9"/>
  <c r="BP33" i="9"/>
  <c r="BM38" i="9"/>
  <c r="BP38" i="9" s="1"/>
  <c r="BM27" i="9"/>
  <c r="BP27" i="9" s="1"/>
  <c r="BP9" i="9"/>
  <c r="BP29" i="9"/>
  <c r="BM50" i="9"/>
  <c r="BP50" i="9" s="1"/>
  <c r="BM19" i="9"/>
  <c r="BP19" i="9" s="1"/>
  <c r="BF19" i="2"/>
  <c r="BM10" i="9"/>
  <c r="BP10" i="9" s="1"/>
  <c r="BF73" i="2"/>
  <c r="BM43" i="9"/>
  <c r="BP43" i="9" s="1"/>
  <c r="BB32" i="2"/>
  <c r="BM4" i="9"/>
  <c r="BP4" i="9" s="1"/>
  <c r="BM18" i="9"/>
  <c r="BP18" i="9" s="1"/>
  <c r="BM14" i="9"/>
  <c r="BP14" i="9" s="1"/>
  <c r="BP13" i="9"/>
  <c r="BR4" i="9" l="1"/>
  <c r="BB57" i="2"/>
  <c r="BI62" i="2" a="1"/>
  <c r="BI62" i="2" s="1"/>
  <c r="BB58" i="2"/>
  <c r="BI59" i="2" a="1"/>
  <c r="BI59" i="2" s="1"/>
  <c r="BF57" i="2" a="1"/>
  <c r="BF57" i="2" s="1"/>
  <c r="BF61" i="2" a="1"/>
  <c r="BF61" i="2" s="1"/>
  <c r="BF58" i="2" a="1"/>
  <c r="BF58" i="2" s="1"/>
  <c r="BE58" i="2" s="1"/>
  <c r="BI61" i="2" a="1"/>
  <c r="BI61" i="2" s="1"/>
  <c r="BF59" i="2" a="1"/>
  <c r="BF59" i="2" s="1"/>
  <c r="BI57" i="2" a="1"/>
  <c r="BI57" i="2" s="1"/>
  <c r="BB59" i="2"/>
  <c r="BI60" i="2" a="1"/>
  <c r="BI60" i="2" s="1"/>
  <c r="BE60" i="2" s="1"/>
  <c r="BM58" i="2" s="1"/>
  <c r="BE30" i="2"/>
  <c r="BN30" i="2" s="1"/>
  <c r="BF62" i="2" a="1"/>
  <c r="BF62" i="2" s="1"/>
  <c r="BE94" i="2"/>
  <c r="BE96" i="2"/>
  <c r="BE98" i="2"/>
  <c r="BM95" i="2" s="1"/>
  <c r="BE32" i="2"/>
  <c r="BO31" i="2" s="1"/>
  <c r="BE93" i="2"/>
  <c r="BE15" i="2"/>
  <c r="BN14" i="2" s="1"/>
  <c r="BE17" i="2"/>
  <c r="BE14" i="2"/>
  <c r="BN15" i="2" s="1"/>
  <c r="BE31" i="2"/>
  <c r="BE13" i="2"/>
  <c r="BN31" i="2"/>
  <c r="BE97" i="2"/>
  <c r="BE34" i="2"/>
  <c r="BO30" i="2" s="1"/>
  <c r="BE16" i="2"/>
  <c r="BI85" i="2" a="1"/>
  <c r="BI85" i="2" s="1"/>
  <c r="BF87" i="2" a="1"/>
  <c r="BF87" i="2" s="1"/>
  <c r="BI86" i="2" a="1"/>
  <c r="BI86" i="2" s="1"/>
  <c r="BF88" i="2" a="1"/>
  <c r="BF88" i="2" s="1"/>
  <c r="BI89" i="2" a="1"/>
  <c r="BI89" i="2" s="1"/>
  <c r="BF86" i="2" a="1"/>
  <c r="BF86" i="2" s="1"/>
  <c r="BF85" i="2" a="1"/>
  <c r="BF85" i="2" s="1"/>
  <c r="BI87" i="2" a="1"/>
  <c r="BI87" i="2" s="1"/>
  <c r="BI84" i="2" a="1"/>
  <c r="BI84" i="2" s="1"/>
  <c r="BI88" i="2" a="1"/>
  <c r="BI88" i="2" s="1"/>
  <c r="BF84" i="2" a="1"/>
  <c r="BF84" i="2" s="1"/>
  <c r="BF89" i="2" a="1"/>
  <c r="BF89" i="2" s="1"/>
  <c r="BB85" i="2"/>
  <c r="BB84" i="2"/>
  <c r="BB87" i="2"/>
  <c r="BB86" i="2"/>
  <c r="BI71" i="2" a="1"/>
  <c r="BI71" i="2" s="1"/>
  <c r="BF68" i="2" a="1"/>
  <c r="BF68" i="2" s="1"/>
  <c r="BF67" i="2" a="1"/>
  <c r="BF67" i="2" s="1"/>
  <c r="BF71" i="2" a="1"/>
  <c r="BF71" i="2" s="1"/>
  <c r="BI70" i="2" a="1"/>
  <c r="BI70" i="2" s="1"/>
  <c r="BI69" i="2" a="1"/>
  <c r="BI69" i="2" s="1"/>
  <c r="BI68" i="2" a="1"/>
  <c r="BI68" i="2" s="1"/>
  <c r="BI66" i="2" a="1"/>
  <c r="BI66" i="2" s="1"/>
  <c r="BF69" i="2" a="1"/>
  <c r="BF69" i="2" s="1"/>
  <c r="BF66" i="2" a="1"/>
  <c r="BF66" i="2" s="1"/>
  <c r="BF70" i="2" a="1"/>
  <c r="BF70" i="2" s="1"/>
  <c r="BI67" i="2" a="1"/>
  <c r="BI67" i="2" s="1"/>
  <c r="BB69" i="2"/>
  <c r="BB68" i="2"/>
  <c r="BB66" i="2"/>
  <c r="BB67" i="2"/>
  <c r="BI107" i="2" a="1"/>
  <c r="BI107" i="2" s="1"/>
  <c r="BI104" i="2" a="1"/>
  <c r="BI104" i="2" s="1"/>
  <c r="BF103" i="2" a="1"/>
  <c r="BF103" i="2" s="1"/>
  <c r="BF107" i="2" a="1"/>
  <c r="BF107" i="2" s="1"/>
  <c r="BF104" i="2" a="1"/>
  <c r="BF104" i="2" s="1"/>
  <c r="BI102" i="2" a="1"/>
  <c r="BI102" i="2" s="1"/>
  <c r="BI106" i="2" a="1"/>
  <c r="BI106" i="2" s="1"/>
  <c r="BI105" i="2" a="1"/>
  <c r="BI105" i="2" s="1"/>
  <c r="BF106" i="2" a="1"/>
  <c r="BF106" i="2" s="1"/>
  <c r="BF105" i="2" a="1"/>
  <c r="BF105" i="2" s="1"/>
  <c r="BI103" i="2" a="1"/>
  <c r="BI103" i="2" s="1"/>
  <c r="BF102" i="2" a="1"/>
  <c r="BF102" i="2" s="1"/>
  <c r="BB105" i="2"/>
  <c r="BB102" i="2"/>
  <c r="BC102" i="2" s="1"/>
  <c r="BZ100" i="2" s="1"/>
  <c r="BB104" i="2"/>
  <c r="BB103" i="2"/>
  <c r="BI44" i="2" a="1"/>
  <c r="BI44" i="2" s="1"/>
  <c r="BI42" i="2" a="1"/>
  <c r="BI42" i="2" s="1"/>
  <c r="BF40" i="2" a="1"/>
  <c r="BF40" i="2" s="1"/>
  <c r="BF42" i="2" a="1"/>
  <c r="BF42" i="2" s="1"/>
  <c r="BF41" i="2" a="1"/>
  <c r="BF41" i="2" s="1"/>
  <c r="BI40" i="2" a="1"/>
  <c r="BI40" i="2" s="1"/>
  <c r="BF44" i="2" a="1"/>
  <c r="BF44" i="2" s="1"/>
  <c r="BF39" i="2" a="1"/>
  <c r="BF39" i="2" s="1"/>
  <c r="BI43" i="2" a="1"/>
  <c r="BI43" i="2" s="1"/>
  <c r="BI39" i="2" a="1"/>
  <c r="BI39" i="2" s="1"/>
  <c r="BI41" i="2" a="1"/>
  <c r="BI41" i="2" s="1"/>
  <c r="BF43" i="2" a="1"/>
  <c r="BF43" i="2" s="1"/>
  <c r="BB42" i="2"/>
  <c r="BB41" i="2"/>
  <c r="BC41" i="2" s="1"/>
  <c r="BB39" i="2"/>
  <c r="BB40" i="2"/>
  <c r="BE35" i="2"/>
  <c r="BM31" i="2" s="1"/>
  <c r="BN13" i="2"/>
  <c r="BC57" i="2"/>
  <c r="BZ55" i="2" s="1"/>
  <c r="BF80" i="2" a="1"/>
  <c r="BF80" i="2" s="1"/>
  <c r="BI78" i="2" a="1"/>
  <c r="BI78" i="2" s="1"/>
  <c r="BI79" i="2" a="1"/>
  <c r="BI79" i="2" s="1"/>
  <c r="BI75" i="2" a="1"/>
  <c r="BI75" i="2" s="1"/>
  <c r="BF77" i="2" a="1"/>
  <c r="BF77" i="2" s="1"/>
  <c r="BI80" i="2" a="1"/>
  <c r="BI80" i="2" s="1"/>
  <c r="BF76" i="2" a="1"/>
  <c r="BF76" i="2" s="1"/>
  <c r="BF78" i="2" a="1"/>
  <c r="BF78" i="2" s="1"/>
  <c r="BF75" i="2" a="1"/>
  <c r="BF75" i="2" s="1"/>
  <c r="BI77" i="2" a="1"/>
  <c r="BI77" i="2" s="1"/>
  <c r="BI76" i="2" a="1"/>
  <c r="BI76" i="2" s="1"/>
  <c r="BF79" i="2" a="1"/>
  <c r="BF79" i="2" s="1"/>
  <c r="BB78" i="2"/>
  <c r="BB77" i="2"/>
  <c r="BB76" i="2"/>
  <c r="BC76" i="2" s="1"/>
  <c r="BB75" i="2"/>
  <c r="BC75" i="2" s="1"/>
  <c r="BZ73" i="2" s="1"/>
  <c r="BI25" i="2" a="1"/>
  <c r="BI25" i="2" s="1"/>
  <c r="BI21" i="2" a="1"/>
  <c r="BI21" i="2" s="1"/>
  <c r="BF23" i="2" a="1"/>
  <c r="BF23" i="2" s="1"/>
  <c r="BF22" i="2" a="1"/>
  <c r="BF22" i="2" s="1"/>
  <c r="BF25" i="2" a="1"/>
  <c r="BF25" i="2" s="1"/>
  <c r="BI26" i="2" a="1"/>
  <c r="BI26" i="2" s="1"/>
  <c r="BI24" i="2" a="1"/>
  <c r="BI24" i="2" s="1"/>
  <c r="BF21" i="2" a="1"/>
  <c r="BF21" i="2" s="1"/>
  <c r="BF26" i="2" a="1"/>
  <c r="BF26" i="2" s="1"/>
  <c r="BF24" i="2" a="1"/>
  <c r="BF24" i="2" s="1"/>
  <c r="BI23" i="2" a="1"/>
  <c r="BI23" i="2" s="1"/>
  <c r="BI22" i="2" a="1"/>
  <c r="BI22" i="2" s="1"/>
  <c r="BB23" i="2"/>
  <c r="BB21" i="2"/>
  <c r="BC21" i="2" s="1"/>
  <c r="BB24" i="2"/>
  <c r="BC24" i="2" s="1"/>
  <c r="BB22" i="2"/>
  <c r="BE12" i="2"/>
  <c r="BF5" i="2" a="1"/>
  <c r="BF5" i="2" s="1"/>
  <c r="BI6" i="2" a="1"/>
  <c r="BI6" i="2" s="1"/>
  <c r="BI3" i="2" a="1"/>
  <c r="BI3" i="2" s="1"/>
  <c r="BI7" i="2" a="1"/>
  <c r="BI7" i="2" s="1"/>
  <c r="BF6" i="2" a="1"/>
  <c r="BF6" i="2" s="1"/>
  <c r="BI8" i="2" a="1"/>
  <c r="BI8" i="2" s="1"/>
  <c r="BI4" i="2" a="1"/>
  <c r="BI4" i="2" s="1"/>
  <c r="BF7" i="2" a="1"/>
  <c r="BF7" i="2" s="1"/>
  <c r="BF4" i="2" a="1"/>
  <c r="BF4" i="2" s="1"/>
  <c r="BF3" i="2" a="1"/>
  <c r="BF3" i="2" s="1"/>
  <c r="BF8" i="2" a="1"/>
  <c r="BF8" i="2" s="1"/>
  <c r="BI5" i="2" a="1"/>
  <c r="BI5" i="2" s="1"/>
  <c r="BB5" i="2"/>
  <c r="BC5" i="2" s="1"/>
  <c r="BB3" i="2"/>
  <c r="BB4" i="2"/>
  <c r="BC4" i="2" s="1"/>
  <c r="BB6" i="2"/>
  <c r="BC6" i="2" s="1"/>
  <c r="BE95" i="2"/>
  <c r="BE33" i="2"/>
  <c r="BM30" i="2" s="1"/>
  <c r="BI53" i="2" a="1"/>
  <c r="BI53" i="2" s="1"/>
  <c r="BF51" i="2" a="1"/>
  <c r="BF51" i="2" s="1"/>
  <c r="BF49" i="2" a="1"/>
  <c r="BF49" i="2" s="1"/>
  <c r="BF53" i="2" a="1"/>
  <c r="BF53" i="2" s="1"/>
  <c r="BI52" i="2" a="1"/>
  <c r="BI52" i="2" s="1"/>
  <c r="BI50" i="2" a="1"/>
  <c r="BI50" i="2" s="1"/>
  <c r="BF52" i="2" a="1"/>
  <c r="BF52" i="2" s="1"/>
  <c r="BF50" i="2" a="1"/>
  <c r="BF50" i="2" s="1"/>
  <c r="BI48" i="2" a="1"/>
  <c r="BI48" i="2" s="1"/>
  <c r="BI49" i="2" a="1"/>
  <c r="BI49" i="2" s="1"/>
  <c r="BI51" i="2" a="1"/>
  <c r="BI51" i="2" s="1"/>
  <c r="BF48" i="2" a="1"/>
  <c r="BF48" i="2" s="1"/>
  <c r="BB51" i="2"/>
  <c r="BB49" i="2"/>
  <c r="BB50" i="2"/>
  <c r="BC58" i="2" s="1"/>
  <c r="BB48" i="2"/>
  <c r="BE62" i="2" l="1"/>
  <c r="BO60" i="2" s="1"/>
  <c r="BE57" i="2"/>
  <c r="BM96" i="2"/>
  <c r="BE61" i="2"/>
  <c r="BO94" i="2"/>
  <c r="BE59" i="2"/>
  <c r="BO57" i="2" s="1"/>
  <c r="BC22" i="2"/>
  <c r="BE88" i="2"/>
  <c r="BC32" i="2"/>
  <c r="BC87" i="2"/>
  <c r="BC50" i="2"/>
  <c r="BC85" i="2"/>
  <c r="BE48" i="2"/>
  <c r="BN48" i="2" s="1"/>
  <c r="BC96" i="2"/>
  <c r="BC103" i="2"/>
  <c r="BC33" i="2"/>
  <c r="BE67" i="2"/>
  <c r="BE66" i="2"/>
  <c r="BE22" i="2"/>
  <c r="BM24" i="2" s="1"/>
  <c r="BE71" i="2"/>
  <c r="BM68" i="2" s="1"/>
  <c r="BN12" i="2"/>
  <c r="BM93" i="2"/>
  <c r="BE3" i="2"/>
  <c r="BE68" i="2"/>
  <c r="BE50" i="2"/>
  <c r="BE80" i="2"/>
  <c r="BM76" i="2" s="1"/>
  <c r="BE41" i="2"/>
  <c r="BE106" i="2"/>
  <c r="BE8" i="2"/>
  <c r="BE53" i="2"/>
  <c r="BE4" i="2"/>
  <c r="BE6" i="2"/>
  <c r="BO5" i="2" s="1"/>
  <c r="BE40" i="2"/>
  <c r="BE24" i="2"/>
  <c r="BE70" i="2"/>
  <c r="BO69" i="2" s="1"/>
  <c r="BE21" i="2"/>
  <c r="BO22" i="2" s="1"/>
  <c r="BE43" i="2"/>
  <c r="BO42" i="2" s="1"/>
  <c r="BE107" i="2"/>
  <c r="BE69" i="2"/>
  <c r="BE103" i="2"/>
  <c r="BM104" i="2" s="1"/>
  <c r="BE52" i="2"/>
  <c r="BE79" i="2"/>
  <c r="BO78" i="2" s="1"/>
  <c r="BE25" i="2"/>
  <c r="CC57" i="2" a="1"/>
  <c r="CC57" i="2" s="1"/>
  <c r="BZ61" i="2" a="1"/>
  <c r="BZ61" i="2" s="1"/>
  <c r="CC60" i="2" a="1"/>
  <c r="CC60" i="2" s="1"/>
  <c r="CC59" i="2" a="1"/>
  <c r="CC59" i="2" s="1"/>
  <c r="BZ62" i="2" a="1"/>
  <c r="BZ62" i="2" s="1"/>
  <c r="BZ58" i="2" a="1"/>
  <c r="BZ58" i="2" s="1"/>
  <c r="BZ59" i="2" a="1"/>
  <c r="BZ59" i="2" s="1"/>
  <c r="CC58" i="2" a="1"/>
  <c r="CC58" i="2" s="1"/>
  <c r="BZ57" i="2" a="1"/>
  <c r="BZ57" i="2" s="1"/>
  <c r="CC62" i="2" a="1"/>
  <c r="CC62" i="2" s="1"/>
  <c r="CC61" i="2" a="1"/>
  <c r="CC61" i="2" s="1"/>
  <c r="BZ60" i="2" a="1"/>
  <c r="BZ60" i="2" s="1"/>
  <c r="BC104" i="2"/>
  <c r="BC84" i="2"/>
  <c r="BZ82" i="2" s="1"/>
  <c r="BE87" i="2"/>
  <c r="BM85" i="2" s="1"/>
  <c r="BO12" i="2"/>
  <c r="BM13" i="2"/>
  <c r="BC48" i="2"/>
  <c r="BE23" i="2"/>
  <c r="BE75" i="2"/>
  <c r="BC105" i="2"/>
  <c r="BE89" i="2"/>
  <c r="BZ107" i="2" a="1"/>
  <c r="BZ107" i="2" s="1"/>
  <c r="CC106" i="2" a="1"/>
  <c r="CC106" i="2" s="1"/>
  <c r="BZ105" i="2" a="1"/>
  <c r="BZ105" i="2" s="1"/>
  <c r="BZ102" i="2" a="1"/>
  <c r="BZ102" i="2" s="1"/>
  <c r="BZ106" i="2" a="1"/>
  <c r="BZ106" i="2" s="1"/>
  <c r="CC105" i="2" a="1"/>
  <c r="CC105" i="2" s="1"/>
  <c r="CC103" i="2" a="1"/>
  <c r="CC103" i="2" s="1"/>
  <c r="CC107" i="2" a="1"/>
  <c r="CC107" i="2" s="1"/>
  <c r="CC104" i="2" a="1"/>
  <c r="CC104" i="2" s="1"/>
  <c r="BZ103" i="2" a="1"/>
  <c r="BZ103" i="2" s="1"/>
  <c r="CC102" i="2" a="1"/>
  <c r="CC102" i="2" s="1"/>
  <c r="BZ104" i="2" a="1"/>
  <c r="BZ104" i="2" s="1"/>
  <c r="BE7" i="2"/>
  <c r="BZ19" i="2"/>
  <c r="BE78" i="2"/>
  <c r="BE39" i="2"/>
  <c r="BE102" i="2"/>
  <c r="BE84" i="2"/>
  <c r="BO95" i="2"/>
  <c r="BE49" i="2"/>
  <c r="BC49" i="2"/>
  <c r="BE51" i="2"/>
  <c r="BC23" i="2"/>
  <c r="BE76" i="2"/>
  <c r="BE44" i="2"/>
  <c r="BM41" i="2" s="1"/>
  <c r="BC15" i="2"/>
  <c r="BC51" i="2"/>
  <c r="BE105" i="2"/>
  <c r="BC67" i="2"/>
  <c r="BE77" i="2"/>
  <c r="BO58" i="2"/>
  <c r="BC95" i="2"/>
  <c r="BC66" i="2"/>
  <c r="BZ64" i="2" s="1"/>
  <c r="BZ79" i="2" a="1"/>
  <c r="BZ79" i="2" s="1"/>
  <c r="BZ77" i="2" a="1"/>
  <c r="BZ77" i="2" s="1"/>
  <c r="BZ76" i="2" a="1"/>
  <c r="BZ76" i="2" s="1"/>
  <c r="CC75" i="2" a="1"/>
  <c r="CC75" i="2" s="1"/>
  <c r="BZ80" i="2" a="1"/>
  <c r="BZ80" i="2" s="1"/>
  <c r="CC79" i="2" a="1"/>
  <c r="CC79" i="2" s="1"/>
  <c r="CC78" i="2" a="1"/>
  <c r="CC78" i="2" s="1"/>
  <c r="CC80" i="2" a="1"/>
  <c r="CC80" i="2" s="1"/>
  <c r="CC76" i="2" a="1"/>
  <c r="CC76" i="2" s="1"/>
  <c r="BZ75" i="2" a="1"/>
  <c r="BZ75" i="2" s="1"/>
  <c r="BZ78" i="2" a="1"/>
  <c r="BZ78" i="2" s="1"/>
  <c r="CC77" i="2" a="1"/>
  <c r="CC77" i="2" s="1"/>
  <c r="BC31" i="2"/>
  <c r="BC40" i="2"/>
  <c r="BE42" i="2"/>
  <c r="BC68" i="2"/>
  <c r="BE85" i="2"/>
  <c r="BN96" i="2"/>
  <c r="BN93" i="2"/>
  <c r="BO14" i="2"/>
  <c r="BM15" i="2"/>
  <c r="BC39" i="2"/>
  <c r="BZ37" i="2" s="1"/>
  <c r="BC69" i="2"/>
  <c r="BE86" i="2"/>
  <c r="BO86" i="2" s="1"/>
  <c r="BC30" i="2"/>
  <c r="BM33" i="2"/>
  <c r="BO32" i="2"/>
  <c r="BE26" i="2"/>
  <c r="BC3" i="2"/>
  <c r="BZ1" i="2" s="1"/>
  <c r="BC93" i="2"/>
  <c r="BC13" i="2"/>
  <c r="BZ10" i="2" s="1"/>
  <c r="BC77" i="2"/>
  <c r="BC60" i="2"/>
  <c r="BE5" i="2"/>
  <c r="BM6" i="2" s="1"/>
  <c r="BC78" i="2"/>
  <c r="BC42" i="2"/>
  <c r="BE104" i="2"/>
  <c r="BC86" i="2"/>
  <c r="BC94" i="2"/>
  <c r="BC59" i="2"/>
  <c r="BM59" i="2"/>
  <c r="BM57" i="2" l="1"/>
  <c r="BM3" i="2"/>
  <c r="BM103" i="2"/>
  <c r="BN49" i="2"/>
  <c r="BM42" i="2"/>
  <c r="BO41" i="2"/>
  <c r="BO104" i="2"/>
  <c r="BM69" i="2"/>
  <c r="BZ91" i="2"/>
  <c r="BZ46" i="2"/>
  <c r="BO67" i="2"/>
  <c r="BM49" i="2"/>
  <c r="BM22" i="2"/>
  <c r="BO68" i="2"/>
  <c r="BM5" i="2"/>
  <c r="BM48" i="2"/>
  <c r="BO50" i="2"/>
  <c r="BO6" i="2"/>
  <c r="BO24" i="2"/>
  <c r="BR93" i="2"/>
  <c r="BQ69" i="2"/>
  <c r="BR24" i="2"/>
  <c r="BQ30" i="2"/>
  <c r="BQ77" i="2"/>
  <c r="BR104" i="2"/>
  <c r="BQ95" i="2"/>
  <c r="BQ6" i="2"/>
  <c r="BL78" i="2"/>
  <c r="BT78" i="2" s="1" a="1"/>
  <c r="BT78" i="2" s="1"/>
  <c r="BR69" i="2"/>
  <c r="BL94" i="2"/>
  <c r="BT94" i="2" s="1" a="1"/>
  <c r="BT94" i="2" s="1"/>
  <c r="BR33" i="2"/>
  <c r="BR76" i="2"/>
  <c r="BR102" i="2"/>
  <c r="BL30" i="2"/>
  <c r="BT30" i="2" s="1" a="1"/>
  <c r="BT30" i="2" s="1"/>
  <c r="BL33" i="2"/>
  <c r="BT33" i="2" s="1" a="1"/>
  <c r="BT33" i="2" s="1"/>
  <c r="BQ24" i="2"/>
  <c r="BY76" i="2"/>
  <c r="BQ33" i="2"/>
  <c r="BR49" i="2"/>
  <c r="BR75" i="2"/>
  <c r="BR6" i="2"/>
  <c r="BR94" i="2"/>
  <c r="BL41" i="2"/>
  <c r="BT41" i="2" s="1" a="1"/>
  <c r="BT41" i="2" s="1"/>
  <c r="BQ41" i="2"/>
  <c r="BL4" i="2"/>
  <c r="BT4" i="2" s="1" a="1"/>
  <c r="BT4" i="2" s="1"/>
  <c r="BQ60" i="2"/>
  <c r="BQ23" i="2"/>
  <c r="BR57" i="2"/>
  <c r="BQ93" i="2"/>
  <c r="BQ104" i="2"/>
  <c r="BQ21" i="2"/>
  <c r="BL58" i="2"/>
  <c r="BT58" i="2" s="1" a="1"/>
  <c r="BT58" i="2" s="1"/>
  <c r="BQ94" i="2"/>
  <c r="BR30" i="2"/>
  <c r="BQ105" i="2"/>
  <c r="BL95" i="2"/>
  <c r="BT95" i="2" s="1" a="1"/>
  <c r="BT95" i="2" s="1"/>
  <c r="BQ50" i="2"/>
  <c r="BQ96" i="2"/>
  <c r="BQ58" i="2"/>
  <c r="BQ22" i="2"/>
  <c r="BR103" i="2"/>
  <c r="BL13" i="2"/>
  <c r="BT13" i="2" s="1" a="1"/>
  <c r="BT13" i="2" s="1"/>
  <c r="BQ78" i="2"/>
  <c r="BL22" i="2"/>
  <c r="BT22" i="2" s="1" a="1"/>
  <c r="BT22" i="2" s="1"/>
  <c r="BR23" i="2"/>
  <c r="BQ84" i="2"/>
  <c r="BQ4" i="2"/>
  <c r="BL24" i="2"/>
  <c r="BT24" i="2" s="1" a="1"/>
  <c r="BT24" i="2" s="1"/>
  <c r="BQ13" i="2"/>
  <c r="BQ48" i="2"/>
  <c r="BY80" i="2"/>
  <c r="BR105" i="2"/>
  <c r="BL50" i="2"/>
  <c r="BT50" i="2" s="1" a="1"/>
  <c r="BT50" i="2" s="1"/>
  <c r="BR78" i="2"/>
  <c r="BL105" i="2"/>
  <c r="BT105" i="2" s="1" a="1"/>
  <c r="BT105" i="2" s="1"/>
  <c r="BQ42" i="2"/>
  <c r="BL57" i="2"/>
  <c r="BT57" i="2" s="1" a="1"/>
  <c r="BT57" i="2" s="1"/>
  <c r="BL69" i="2"/>
  <c r="BT69" i="2" s="1" a="1"/>
  <c r="BT69" i="2" s="1"/>
  <c r="BL76" i="2"/>
  <c r="BT76" i="2" s="1" a="1"/>
  <c r="BT76" i="2" s="1"/>
  <c r="BQ75" i="2"/>
  <c r="BL75" i="2"/>
  <c r="BT75" i="2" s="1" a="1"/>
  <c r="BT75" i="2" s="1"/>
  <c r="BR77" i="2"/>
  <c r="BL12" i="2"/>
  <c r="BT12" i="2" s="1" a="1"/>
  <c r="BT12" i="2" s="1"/>
  <c r="BQ103" i="2"/>
  <c r="BY105" i="2"/>
  <c r="BQ49" i="2"/>
  <c r="BR32" i="2"/>
  <c r="BR22" i="2"/>
  <c r="BQ87" i="2"/>
  <c r="BR58" i="2"/>
  <c r="BP58" i="2" s="1"/>
  <c r="BS58" i="2" s="1"/>
  <c r="BL23" i="2"/>
  <c r="BT23" i="2" s="1" a="1"/>
  <c r="BT23" i="2" s="1"/>
  <c r="BL59" i="2"/>
  <c r="BT59" i="2" s="1" a="1"/>
  <c r="BT59" i="2" s="1"/>
  <c r="BQ5" i="2"/>
  <c r="BL77" i="2"/>
  <c r="BT77" i="2" s="1" a="1"/>
  <c r="BT77" i="2" s="1"/>
  <c r="BR4" i="2"/>
  <c r="BR13" i="2"/>
  <c r="BL66" i="2"/>
  <c r="BT66" i="2" s="1" a="1"/>
  <c r="BT66" i="2" s="1"/>
  <c r="BQ39" i="2"/>
  <c r="BQ86" i="2"/>
  <c r="BQ32" i="2"/>
  <c r="BR60" i="2"/>
  <c r="BL87" i="2"/>
  <c r="BT87" i="2" s="1" a="1"/>
  <c r="BT87" i="2" s="1"/>
  <c r="BL3" i="2"/>
  <c r="BT3" i="2" s="1" a="1"/>
  <c r="BT3" i="2" s="1"/>
  <c r="BR51" i="2"/>
  <c r="BQ102" i="2"/>
  <c r="BQ76" i="2"/>
  <c r="BL93" i="2"/>
  <c r="BT93" i="2" s="1" a="1"/>
  <c r="BT93" i="2" s="1"/>
  <c r="BL32" i="2"/>
  <c r="BT32" i="2" s="1" a="1"/>
  <c r="BT32" i="2" s="1"/>
  <c r="BR87" i="2"/>
  <c r="BR68" i="2"/>
  <c r="BL104" i="2"/>
  <c r="BT104" i="2" s="1" a="1"/>
  <c r="BT104" i="2" s="1"/>
  <c r="BL51" i="2"/>
  <c r="BT51" i="2" s="1" a="1"/>
  <c r="BT51" i="2" s="1"/>
  <c r="BL96" i="2"/>
  <c r="BT96" i="2" s="1" a="1"/>
  <c r="BT96" i="2" s="1"/>
  <c r="BR15" i="2"/>
  <c r="BL40" i="2"/>
  <c r="BT40" i="2" s="1" a="1"/>
  <c r="BT40" i="2" s="1"/>
  <c r="BL102" i="2"/>
  <c r="BT102" i="2" s="1" a="1"/>
  <c r="BT102" i="2" s="1"/>
  <c r="BR67" i="2"/>
  <c r="BL39" i="2"/>
  <c r="BT39" i="2" s="1" a="1"/>
  <c r="BT39" i="2" s="1"/>
  <c r="BL86" i="2"/>
  <c r="BT86" i="2" s="1" a="1"/>
  <c r="BT86" i="2" s="1"/>
  <c r="BR42" i="2"/>
  <c r="BQ14" i="2"/>
  <c r="BY78" i="2"/>
  <c r="BR50" i="2"/>
  <c r="BR95" i="2"/>
  <c r="BL49" i="2"/>
  <c r="BT49" i="2" s="1" a="1"/>
  <c r="BT49" i="2" s="1"/>
  <c r="BR40" i="2"/>
  <c r="BL31" i="2"/>
  <c r="BT31" i="2" s="1" a="1"/>
  <c r="BT31" i="2" s="1"/>
  <c r="BR31" i="2"/>
  <c r="BR39" i="2"/>
  <c r="BR85" i="2"/>
  <c r="BY75" i="2"/>
  <c r="BY103" i="2"/>
  <c r="BQ59" i="2"/>
  <c r="BQ40" i="2"/>
  <c r="BR48" i="2"/>
  <c r="BY57" i="2"/>
  <c r="BR41" i="2"/>
  <c r="BR21" i="2"/>
  <c r="BL67" i="2"/>
  <c r="BT67" i="2" s="1" a="1"/>
  <c r="BT67" i="2" s="1"/>
  <c r="BR5" i="2"/>
  <c r="BP5" i="2" s="1"/>
  <c r="BS5" i="2" s="1"/>
  <c r="BR84" i="2"/>
  <c r="BL84" i="2"/>
  <c r="BT84" i="2" s="1" a="1"/>
  <c r="BT84" i="2" s="1"/>
  <c r="BQ15" i="2"/>
  <c r="BR86" i="2"/>
  <c r="BL6" i="2"/>
  <c r="BT6" i="2" s="1" a="1"/>
  <c r="BT6" i="2" s="1"/>
  <c r="BL21" i="2"/>
  <c r="BT21" i="2" s="1" a="1"/>
  <c r="BT21" i="2" s="1"/>
  <c r="BQ57" i="2"/>
  <c r="BR66" i="2"/>
  <c r="BL42" i="2"/>
  <c r="BT42" i="2" s="1" a="1"/>
  <c r="BT42" i="2" s="1"/>
  <c r="BR96" i="2"/>
  <c r="BQ3" i="2"/>
  <c r="BL60" i="2"/>
  <c r="BT60" i="2" s="1" a="1"/>
  <c r="BT60" i="2" s="1"/>
  <c r="BL85" i="2"/>
  <c r="BT85" i="2" s="1" a="1"/>
  <c r="BT85" i="2" s="1"/>
  <c r="BR59" i="2"/>
  <c r="BL103" i="2"/>
  <c r="BT103" i="2" s="1" a="1"/>
  <c r="BT103" i="2" s="1"/>
  <c r="BR14" i="2"/>
  <c r="BQ12" i="2"/>
  <c r="BM66" i="2"/>
  <c r="BR3" i="2"/>
  <c r="BQ67" i="2"/>
  <c r="BQ66" i="2"/>
  <c r="BQ85" i="2"/>
  <c r="BY62" i="2"/>
  <c r="BL68" i="2"/>
  <c r="BT68" i="2" s="1" a="1"/>
  <c r="BT68" i="2" s="1"/>
  <c r="BL5" i="2"/>
  <c r="BT5" i="2" s="1" a="1"/>
  <c r="BT5" i="2" s="1"/>
  <c r="BO23" i="2"/>
  <c r="BL15" i="2"/>
  <c r="BT15" i="2" s="1" a="1"/>
  <c r="BT15" i="2" s="1"/>
  <c r="BL14" i="2"/>
  <c r="BT14" i="2" s="1" a="1"/>
  <c r="BT14" i="2" s="1"/>
  <c r="BQ51" i="2"/>
  <c r="BQ31" i="2"/>
  <c r="CC96" i="2" a="1"/>
  <c r="CC96" i="2" s="1"/>
  <c r="BZ96" i="2" a="1"/>
  <c r="BZ96" i="2" s="1"/>
  <c r="BZ93" i="2" a="1"/>
  <c r="BZ93" i="2" s="1"/>
  <c r="CC97" i="2" a="1"/>
  <c r="CC97" i="2" s="1"/>
  <c r="BZ95" i="2" a="1"/>
  <c r="BZ95" i="2" s="1"/>
  <c r="CC98" i="2" a="1"/>
  <c r="CC98" i="2" s="1"/>
  <c r="BZ98" i="2" a="1"/>
  <c r="BZ98" i="2" s="1"/>
  <c r="CC94" i="2" a="1"/>
  <c r="CC94" i="2" s="1"/>
  <c r="BZ97" i="2" a="1"/>
  <c r="BZ97" i="2" s="1"/>
  <c r="BZ94" i="2" a="1"/>
  <c r="BZ94" i="2" s="1"/>
  <c r="CC95" i="2" a="1"/>
  <c r="CC95" i="2" s="1"/>
  <c r="CC93" i="2" a="1"/>
  <c r="CC93" i="2" s="1"/>
  <c r="BY79" i="2"/>
  <c r="CI78" i="2" s="1"/>
  <c r="BN3" i="2"/>
  <c r="BN6" i="2"/>
  <c r="BY106" i="2"/>
  <c r="BQ68" i="2"/>
  <c r="BZ14" i="2" a="1"/>
  <c r="BZ14" i="2" s="1"/>
  <c r="CC17" i="2" a="1"/>
  <c r="CC17" i="2" s="1"/>
  <c r="CC15" i="2" a="1"/>
  <c r="CC15" i="2" s="1"/>
  <c r="CC13" i="2" a="1"/>
  <c r="CC13" i="2" s="1"/>
  <c r="BZ17" i="2" a="1"/>
  <c r="BZ17" i="2" s="1"/>
  <c r="BZ13" i="2" a="1"/>
  <c r="BZ13" i="2" s="1"/>
  <c r="CC12" i="2" a="1"/>
  <c r="CC12" i="2" s="1"/>
  <c r="CC16" i="2" a="1"/>
  <c r="CC16" i="2" s="1"/>
  <c r="BZ15" i="2" a="1"/>
  <c r="BZ15" i="2" s="1"/>
  <c r="BZ12" i="2" a="1"/>
  <c r="BZ12" i="2" s="1"/>
  <c r="BZ16" i="2" a="1"/>
  <c r="BZ16" i="2" s="1"/>
  <c r="CC14" i="2" a="1"/>
  <c r="CC14" i="2" s="1"/>
  <c r="BY102" i="2"/>
  <c r="CI103" i="2" s="1"/>
  <c r="BM75" i="2"/>
  <c r="BO76" i="2"/>
  <c r="BO105" i="2"/>
  <c r="BM78" i="2"/>
  <c r="BO77" i="2"/>
  <c r="BZ28" i="2"/>
  <c r="BY107" i="2"/>
  <c r="BL48" i="2"/>
  <c r="BT48" i="2" s="1" a="1"/>
  <c r="BT48" i="2" s="1"/>
  <c r="BR12" i="2"/>
  <c r="BY59" i="2"/>
  <c r="CI57" i="2" s="1"/>
  <c r="BM21" i="2"/>
  <c r="BY104" i="2"/>
  <c r="BY58" i="2"/>
  <c r="BO51" i="2"/>
  <c r="BM50" i="2"/>
  <c r="BO85" i="2"/>
  <c r="BM84" i="2"/>
  <c r="BZ49" i="2" a="1"/>
  <c r="BZ49" i="2" s="1"/>
  <c r="CC53" i="2" a="1"/>
  <c r="CC53" i="2" s="1"/>
  <c r="CC49" i="2" a="1"/>
  <c r="CC49" i="2" s="1"/>
  <c r="BZ51" i="2" a="1"/>
  <c r="BZ51" i="2" s="1"/>
  <c r="CC50" i="2" a="1"/>
  <c r="CC50" i="2" s="1"/>
  <c r="CC48" i="2" a="1"/>
  <c r="CC48" i="2" s="1"/>
  <c r="BZ50" i="2" a="1"/>
  <c r="BZ50" i="2" s="1"/>
  <c r="BZ48" i="2" a="1"/>
  <c r="BZ48" i="2" s="1"/>
  <c r="CC51" i="2" a="1"/>
  <c r="CC51" i="2" s="1"/>
  <c r="CC52" i="2" a="1"/>
  <c r="CC52" i="2" s="1"/>
  <c r="BZ52" i="2" a="1"/>
  <c r="BZ52" i="2" s="1"/>
  <c r="BZ53" i="2" a="1"/>
  <c r="BZ53" i="2" s="1"/>
  <c r="BM86" i="2"/>
  <c r="BO87" i="2"/>
  <c r="CC70" i="2" a="1"/>
  <c r="CC70" i="2" s="1"/>
  <c r="BZ69" i="2" a="1"/>
  <c r="BZ69" i="2" s="1"/>
  <c r="CC68" i="2" a="1"/>
  <c r="CC68" i="2" s="1"/>
  <c r="BZ66" i="2" a="1"/>
  <c r="BZ66" i="2" s="1"/>
  <c r="CC67" i="2" a="1"/>
  <c r="CC67" i="2" s="1"/>
  <c r="CC69" i="2" a="1"/>
  <c r="CC69" i="2" s="1"/>
  <c r="CC66" i="2" a="1"/>
  <c r="CC66" i="2" s="1"/>
  <c r="BZ68" i="2" a="1"/>
  <c r="BZ68" i="2" s="1"/>
  <c r="BZ70" i="2" a="1"/>
  <c r="BZ70" i="2" s="1"/>
  <c r="BZ67" i="2" a="1"/>
  <c r="BZ67" i="2" s="1"/>
  <c r="CC71" i="2" a="1"/>
  <c r="CC71" i="2" s="1"/>
  <c r="BZ71" i="2" a="1"/>
  <c r="BZ71" i="2" s="1"/>
  <c r="BO103" i="2"/>
  <c r="BM102" i="2"/>
  <c r="BO40" i="2"/>
  <c r="BM39" i="2"/>
  <c r="BO4" i="2"/>
  <c r="CC89" i="2" a="1"/>
  <c r="CC89" i="2" s="1"/>
  <c r="CC87" i="2" a="1"/>
  <c r="CC87" i="2" s="1"/>
  <c r="BZ89" i="2" a="1"/>
  <c r="BZ89" i="2" s="1"/>
  <c r="BZ86" i="2" a="1"/>
  <c r="BZ86" i="2" s="1"/>
  <c r="BZ85" i="2" a="1"/>
  <c r="BZ85" i="2" s="1"/>
  <c r="BZ88" i="2" a="1"/>
  <c r="BZ88" i="2" s="1"/>
  <c r="CC85" i="2" a="1"/>
  <c r="CC85" i="2" s="1"/>
  <c r="BZ87" i="2" a="1"/>
  <c r="BZ87" i="2" s="1"/>
  <c r="CC84" i="2" a="1"/>
  <c r="CC84" i="2" s="1"/>
  <c r="BZ84" i="2" a="1"/>
  <c r="BZ84" i="2" s="1"/>
  <c r="CC86" i="2" a="1"/>
  <c r="CC86" i="2" s="1"/>
  <c r="CC88" i="2" a="1"/>
  <c r="CC88" i="2" s="1"/>
  <c r="BY61" i="2"/>
  <c r="BZ8" i="2" a="1"/>
  <c r="BZ8" i="2" s="1"/>
  <c r="CC5" i="2" a="1"/>
  <c r="CC5" i="2" s="1"/>
  <c r="BZ7" i="2" a="1"/>
  <c r="BZ7" i="2" s="1"/>
  <c r="CC6" i="2" a="1"/>
  <c r="CC6" i="2" s="1"/>
  <c r="BZ4" i="2" a="1"/>
  <c r="BZ4" i="2" s="1"/>
  <c r="CC8" i="2" a="1"/>
  <c r="CC8" i="2" s="1"/>
  <c r="CC3" i="2" a="1"/>
  <c r="CC3" i="2" s="1"/>
  <c r="BZ6" i="2" a="1"/>
  <c r="BZ6" i="2" s="1"/>
  <c r="BZ3" i="2" a="1"/>
  <c r="BZ3" i="2" s="1"/>
  <c r="CC7" i="2" a="1"/>
  <c r="CC7" i="2" s="1"/>
  <c r="BZ5" i="2" a="1"/>
  <c r="BZ5" i="2" s="1"/>
  <c r="CC4" i="2" a="1"/>
  <c r="CC4" i="2" s="1"/>
  <c r="BZ44" i="2" a="1"/>
  <c r="BZ44" i="2" s="1"/>
  <c r="CC43" i="2" a="1"/>
  <c r="CC43" i="2" s="1"/>
  <c r="BZ40" i="2" a="1"/>
  <c r="BZ40" i="2" s="1"/>
  <c r="BZ41" i="2" a="1"/>
  <c r="BZ41" i="2" s="1"/>
  <c r="BZ43" i="2" a="1"/>
  <c r="BZ43" i="2" s="1"/>
  <c r="CC42" i="2" a="1"/>
  <c r="CC42" i="2" s="1"/>
  <c r="CC41" i="2" a="1"/>
  <c r="CC41" i="2" s="1"/>
  <c r="CC44" i="2" a="1"/>
  <c r="CC44" i="2" s="1"/>
  <c r="CC39" i="2" a="1"/>
  <c r="CC39" i="2" s="1"/>
  <c r="BZ42" i="2" a="1"/>
  <c r="BZ42" i="2" s="1"/>
  <c r="CC40" i="2" a="1"/>
  <c r="CC40" i="2" s="1"/>
  <c r="BZ39" i="2" a="1"/>
  <c r="BZ39" i="2" s="1"/>
  <c r="BY77" i="2"/>
  <c r="CC26" i="2" a="1"/>
  <c r="CC26" i="2" s="1"/>
  <c r="CC24" i="2" a="1"/>
  <c r="CC24" i="2" s="1"/>
  <c r="CC22" i="2" a="1"/>
  <c r="CC22" i="2" s="1"/>
  <c r="BZ26" i="2" a="1"/>
  <c r="BZ26" i="2" s="1"/>
  <c r="BZ24" i="2" a="1"/>
  <c r="BZ24" i="2" s="1"/>
  <c r="BZ23" i="2" a="1"/>
  <c r="BZ23" i="2" s="1"/>
  <c r="BZ22" i="2" a="1"/>
  <c r="BZ22" i="2" s="1"/>
  <c r="BZ21" i="2" a="1"/>
  <c r="BZ21" i="2" s="1"/>
  <c r="CC25" i="2" a="1"/>
  <c r="CC25" i="2" s="1"/>
  <c r="CC21" i="2" a="1"/>
  <c r="CC21" i="2" s="1"/>
  <c r="CC23" i="2" a="1"/>
  <c r="CC23" i="2" s="1"/>
  <c r="BZ25" i="2" a="1"/>
  <c r="BZ25" i="2" s="1"/>
  <c r="BY60" i="2"/>
  <c r="CI105" i="2" l="1"/>
  <c r="BP103" i="2"/>
  <c r="BS103" i="2" s="1"/>
  <c r="BP33" i="2"/>
  <c r="BS33" i="2" s="1"/>
  <c r="BP102" i="2"/>
  <c r="BS102" i="2" s="1"/>
  <c r="BP49" i="2"/>
  <c r="BS49" i="2" s="1"/>
  <c r="BP57" i="2"/>
  <c r="BS57" i="2" s="1"/>
  <c r="BP84" i="2"/>
  <c r="BS84" i="2" s="1"/>
  <c r="CI76" i="2"/>
  <c r="BP105" i="2"/>
  <c r="BS105" i="2" s="1"/>
  <c r="BP104" i="2"/>
  <c r="BS104" i="2" s="1"/>
  <c r="CI77" i="2"/>
  <c r="BP95" i="2"/>
  <c r="BS95" i="2" s="1"/>
  <c r="BP87" i="2"/>
  <c r="BS87" i="2" s="1"/>
  <c r="BP94" i="2"/>
  <c r="BS94" i="2" s="1"/>
  <c r="BP21" i="2"/>
  <c r="BS21" i="2" s="1"/>
  <c r="BP77" i="2"/>
  <c r="BS77" i="2" s="1"/>
  <c r="BP24" i="2"/>
  <c r="BS24" i="2" s="1"/>
  <c r="BP31" i="2"/>
  <c r="BS31" i="2" s="1"/>
  <c r="BP69" i="2"/>
  <c r="BS69" i="2" s="1"/>
  <c r="BP75" i="2"/>
  <c r="BS75" i="2" s="1"/>
  <c r="BP93" i="2"/>
  <c r="BS93" i="2" s="1"/>
  <c r="BP30" i="2"/>
  <c r="BS30" i="2" s="1"/>
  <c r="BP86" i="2"/>
  <c r="BS86" i="2" s="1"/>
  <c r="BP66" i="2"/>
  <c r="BS66" i="2" s="1"/>
  <c r="BP96" i="2"/>
  <c r="BS96" i="2" s="1"/>
  <c r="BP60" i="2"/>
  <c r="BS60" i="2" s="1"/>
  <c r="BP48" i="2"/>
  <c r="BS48" i="2" s="1"/>
  <c r="BP51" i="2"/>
  <c r="BS51" i="2" s="1"/>
  <c r="BP6" i="2"/>
  <c r="BS6" i="2" s="1"/>
  <c r="BP42" i="2"/>
  <c r="BS42" i="2" s="1"/>
  <c r="BP22" i="2"/>
  <c r="BS22" i="2" s="1"/>
  <c r="BP23" i="2"/>
  <c r="BS23" i="2" s="1"/>
  <c r="BP39" i="2"/>
  <c r="BS39" i="2" s="1"/>
  <c r="BY7" i="2"/>
  <c r="CH3" i="2" s="1"/>
  <c r="BP68" i="2"/>
  <c r="BS68" i="2" s="1"/>
  <c r="BP4" i="2"/>
  <c r="BS4" i="2" s="1"/>
  <c r="CI58" i="2"/>
  <c r="BY69" i="2"/>
  <c r="BP40" i="2"/>
  <c r="BS40" i="2" s="1"/>
  <c r="BY43" i="2"/>
  <c r="CI42" i="2" s="1"/>
  <c r="BP15" i="2"/>
  <c r="BS15" i="2" s="1"/>
  <c r="BY40" i="2"/>
  <c r="BP78" i="2"/>
  <c r="BS78" i="2" s="1"/>
  <c r="BP76" i="2"/>
  <c r="BS76" i="2" s="1"/>
  <c r="BP3" i="2"/>
  <c r="BS3" i="2" s="1"/>
  <c r="BP41" i="2"/>
  <c r="BS41" i="2" s="1"/>
  <c r="BP13" i="2"/>
  <c r="BS13" i="2" s="1"/>
  <c r="BP50" i="2"/>
  <c r="BS50" i="2" s="1"/>
  <c r="BP32" i="2"/>
  <c r="BS32" i="2" s="1"/>
  <c r="BP12" i="2"/>
  <c r="BS12" i="2" s="1"/>
  <c r="BP85" i="2"/>
  <c r="BS85" i="2" s="1"/>
  <c r="BY26" i="2"/>
  <c r="BY71" i="2"/>
  <c r="BY97" i="2"/>
  <c r="CH96" i="2" s="1"/>
  <c r="BP59" i="2"/>
  <c r="BS59" i="2" s="1"/>
  <c r="BY41" i="2"/>
  <c r="BY12" i="2"/>
  <c r="BP67" i="2"/>
  <c r="BS67" i="2" s="1"/>
  <c r="BY44" i="2"/>
  <c r="BY87" i="2"/>
  <c r="BY17" i="2"/>
  <c r="BY5" i="2"/>
  <c r="BY95" i="2"/>
  <c r="BY68" i="2"/>
  <c r="BY48" i="2"/>
  <c r="CH49" i="2" s="1"/>
  <c r="CI104" i="2"/>
  <c r="BP14" i="2"/>
  <c r="BS14" i="2" s="1"/>
  <c r="BY86" i="2"/>
  <c r="CI86" i="2" s="1"/>
  <c r="BY93" i="2"/>
  <c r="BY89" i="2"/>
  <c r="BY66" i="2"/>
  <c r="BY23" i="2"/>
  <c r="BY24" i="2"/>
  <c r="BY4" i="2"/>
  <c r="CI6" i="2" s="1"/>
  <c r="BY51" i="2"/>
  <c r="BY13" i="2"/>
  <c r="BY98" i="2"/>
  <c r="CI60" i="2"/>
  <c r="BY49" i="2"/>
  <c r="BZ35" i="2" a="1"/>
  <c r="BZ35" i="2" s="1"/>
  <c r="BZ33" i="2" a="1"/>
  <c r="BZ33" i="2" s="1"/>
  <c r="CC34" i="2" a="1"/>
  <c r="CC34" i="2" s="1"/>
  <c r="BZ30" i="2" a="1"/>
  <c r="BZ30" i="2" s="1"/>
  <c r="BZ34" i="2" a="1"/>
  <c r="BZ34" i="2" s="1"/>
  <c r="CC33" i="2" a="1"/>
  <c r="CC33" i="2" s="1"/>
  <c r="BZ31" i="2" a="1"/>
  <c r="BZ31" i="2" s="1"/>
  <c r="CC35" i="2" a="1"/>
  <c r="CC35" i="2" s="1"/>
  <c r="CC32" i="2" a="1"/>
  <c r="CC32" i="2" s="1"/>
  <c r="CC30" i="2" a="1"/>
  <c r="CC30" i="2" s="1"/>
  <c r="BZ32" i="2" a="1"/>
  <c r="BZ32" i="2" s="1"/>
  <c r="CC31" i="2" a="1"/>
  <c r="CC31" i="2" s="1"/>
  <c r="BY25" i="2"/>
  <c r="BY8" i="2"/>
  <c r="BY84" i="2"/>
  <c r="BY53" i="2"/>
  <c r="BY39" i="2"/>
  <c r="BY67" i="2"/>
  <c r="BY52" i="2"/>
  <c r="BY14" i="2"/>
  <c r="BY96" i="2"/>
  <c r="BY70" i="2"/>
  <c r="CI69" i="2" s="1"/>
  <c r="BY42" i="2"/>
  <c r="BY16" i="2"/>
  <c r="BY21" i="2"/>
  <c r="CI22" i="2" s="1"/>
  <c r="BY3" i="2"/>
  <c r="BY88" i="2"/>
  <c r="BY22" i="2"/>
  <c r="BY6" i="2"/>
  <c r="CI5" i="2" s="1"/>
  <c r="BY85" i="2"/>
  <c r="BY50" i="2"/>
  <c r="BY15" i="2"/>
  <c r="BY94" i="2"/>
  <c r="BV102" i="2" l="1"/>
  <c r="CH6" i="2"/>
  <c r="BV33" i="2"/>
  <c r="BV57" i="2"/>
  <c r="CI95" i="2"/>
  <c r="CI41" i="2"/>
  <c r="BV58" i="2"/>
  <c r="BV94" i="2"/>
  <c r="BV104" i="2"/>
  <c r="CI12" i="2"/>
  <c r="BV103" i="2"/>
  <c r="BV5" i="2"/>
  <c r="BV3" i="2"/>
  <c r="BV96" i="2"/>
  <c r="BV4" i="2"/>
  <c r="BV93" i="2"/>
  <c r="CH93" i="2"/>
  <c r="BV67" i="2"/>
  <c r="BV105" i="2"/>
  <c r="BV21" i="2"/>
  <c r="BV30" i="2"/>
  <c r="BV60" i="2"/>
  <c r="BV95" i="2"/>
  <c r="BV69" i="2"/>
  <c r="BV49" i="2"/>
  <c r="BY30" i="2"/>
  <c r="CH31" i="2" s="1"/>
  <c r="CH48" i="2"/>
  <c r="BV23" i="2"/>
  <c r="BV22" i="2"/>
  <c r="BV24" i="2"/>
  <c r="BV15" i="2"/>
  <c r="CI23" i="2"/>
  <c r="BV6" i="2"/>
  <c r="BV66" i="2"/>
  <c r="BV68" i="2"/>
  <c r="BV31" i="2"/>
  <c r="CI85" i="2"/>
  <c r="BV75" i="2"/>
  <c r="BV77" i="2"/>
  <c r="BV76" i="2"/>
  <c r="BV59" i="2"/>
  <c r="BV13" i="2"/>
  <c r="CI67" i="2"/>
  <c r="BV78" i="2"/>
  <c r="CI40" i="2"/>
  <c r="BV12" i="2"/>
  <c r="BV48" i="2"/>
  <c r="BV14" i="2"/>
  <c r="BV32" i="2"/>
  <c r="CI94" i="2"/>
  <c r="CI14" i="2"/>
  <c r="CI50" i="2"/>
  <c r="BY35" i="2"/>
  <c r="BV85" i="2"/>
  <c r="BV50" i="2"/>
  <c r="CI51" i="2"/>
  <c r="BV51" i="2"/>
  <c r="CI68" i="2"/>
  <c r="BY32" i="2"/>
  <c r="CI31" i="2" s="1"/>
  <c r="CI24" i="2"/>
  <c r="BV84" i="2"/>
  <c r="CI4" i="2"/>
  <c r="BV87" i="2"/>
  <c r="BY33" i="2"/>
  <c r="BV86" i="2"/>
  <c r="CH12" i="2"/>
  <c r="CH14" i="2"/>
  <c r="BY31" i="2"/>
  <c r="CH15" i="2"/>
  <c r="CH13" i="2"/>
  <c r="BV42" i="2"/>
  <c r="BV40" i="2"/>
  <c r="BV39" i="2"/>
  <c r="BV41" i="2"/>
  <c r="BY34" i="2"/>
  <c r="CI30" i="2" s="1"/>
  <c r="CI87" i="2"/>
  <c r="CH30" i="2" l="1"/>
  <c r="CK104" i="2"/>
  <c r="CF95" i="2"/>
  <c r="CN95" i="2" s="1" a="1"/>
  <c r="CN95" i="2" s="1"/>
  <c r="CF23" i="2"/>
  <c r="CN23" i="2" s="1" a="1"/>
  <c r="CN23" i="2" s="1"/>
  <c r="AQ23" i="2" s="1"/>
  <c r="CF58" i="2"/>
  <c r="CN58" i="2" s="1" a="1"/>
  <c r="CN58" i="2" s="1"/>
  <c r="CF22" i="2"/>
  <c r="CN22" i="2" s="1" a="1"/>
  <c r="CN22" i="2" s="1"/>
  <c r="AQ22" i="2" s="1"/>
  <c r="CF69" i="2"/>
  <c r="CN69" i="2" s="1" a="1"/>
  <c r="CN69" i="2" s="1"/>
  <c r="V69" i="2" s="1"/>
  <c r="CF33" i="2"/>
  <c r="CN33" i="2" s="1" a="1"/>
  <c r="CN33" i="2" s="1"/>
  <c r="AQ33" i="2" s="1"/>
  <c r="CF104" i="2"/>
  <c r="CN104" i="2" s="1" a="1"/>
  <c r="CN104" i="2" s="1"/>
  <c r="AQ104" i="2" s="1"/>
  <c r="CF32" i="2"/>
  <c r="CN32" i="2" s="1" a="1"/>
  <c r="CN32" i="2" s="1"/>
  <c r="AQ32" i="2" s="1"/>
  <c r="CF105" i="2"/>
  <c r="CN105" i="2" s="1" a="1"/>
  <c r="CN105" i="2" s="1"/>
  <c r="AQ105" i="2" s="1"/>
  <c r="CK50" i="2"/>
  <c r="CK102" i="2"/>
  <c r="CF42" i="2"/>
  <c r="CN42" i="2" s="1" a="1"/>
  <c r="CN42" i="2" s="1"/>
  <c r="AQ42" i="2" s="1"/>
  <c r="CL104" i="2"/>
  <c r="CF102" i="2"/>
  <c r="CN102" i="2" s="1" a="1"/>
  <c r="CN102" i="2" s="1"/>
  <c r="V102" i="2" s="1"/>
  <c r="CL93" i="2"/>
  <c r="CL21" i="2"/>
  <c r="CF6" i="2"/>
  <c r="CN6" i="2" s="1" a="1"/>
  <c r="CN6" i="2" s="1"/>
  <c r="V6" i="2" s="1"/>
  <c r="CK4" i="2"/>
  <c r="CL32" i="2"/>
  <c r="CF78" i="2"/>
  <c r="CN78" i="2" s="1" a="1"/>
  <c r="CN78" i="2" s="1"/>
  <c r="AQ78" i="2" s="1"/>
  <c r="CF77" i="2"/>
  <c r="CN77" i="2" s="1" a="1"/>
  <c r="CN77" i="2" s="1"/>
  <c r="AQ77" i="2" s="1"/>
  <c r="CL50" i="2"/>
  <c r="CL103" i="2"/>
  <c r="CF93" i="2"/>
  <c r="CN93" i="2" s="1" a="1"/>
  <c r="CN93" i="2" s="1"/>
  <c r="AQ93" i="2" s="1"/>
  <c r="CF21" i="2"/>
  <c r="CN21" i="2" s="1" a="1"/>
  <c r="CN21" i="2" s="1"/>
  <c r="AQ21" i="2" s="1"/>
  <c r="CL77" i="2"/>
  <c r="CF24" i="2"/>
  <c r="CN24" i="2" s="1" a="1"/>
  <c r="CN24" i="2" s="1"/>
  <c r="V24" i="2" s="1"/>
  <c r="CL23" i="2"/>
  <c r="CF50" i="2"/>
  <c r="CN50" i="2" s="1" a="1"/>
  <c r="CN50" i="2" s="1"/>
  <c r="V50" i="2" s="1"/>
  <c r="CF41" i="2"/>
  <c r="CN41" i="2" s="1" a="1"/>
  <c r="CN41" i="2" s="1"/>
  <c r="AQ41" i="2" s="1"/>
  <c r="CF57" i="2"/>
  <c r="CN57" i="2" s="1" a="1"/>
  <c r="CN57" i="2" s="1"/>
  <c r="V57" i="2" s="1"/>
  <c r="CK13" i="2"/>
  <c r="CF94" i="2"/>
  <c r="CN94" i="2" s="1" a="1"/>
  <c r="CN94" i="2" s="1"/>
  <c r="AQ94" i="2" s="1"/>
  <c r="CF75" i="2"/>
  <c r="CN75" i="2" s="1" a="1"/>
  <c r="CN75" i="2" s="1"/>
  <c r="V75" i="2" s="1"/>
  <c r="CL94" i="2"/>
  <c r="CL4" i="2"/>
  <c r="CF40" i="2"/>
  <c r="CN40" i="2" s="1" a="1"/>
  <c r="CN40" i="2" s="1"/>
  <c r="V40" i="2" s="1"/>
  <c r="CF67" i="2"/>
  <c r="CN67" i="2" s="1" a="1"/>
  <c r="CN67" i="2" s="1"/>
  <c r="V67" i="2" s="1"/>
  <c r="CF87" i="2"/>
  <c r="CN87" i="2" s="1" a="1"/>
  <c r="CN87" i="2" s="1"/>
  <c r="AQ87" i="2" s="1"/>
  <c r="CL78" i="2"/>
  <c r="CI32" i="2"/>
  <c r="CF49" i="2"/>
  <c r="CN49" i="2" s="1" a="1"/>
  <c r="CN49" i="2" s="1"/>
  <c r="V49" i="2" s="1"/>
  <c r="CF4" i="2"/>
  <c r="CN4" i="2" s="1" a="1"/>
  <c r="CN4" i="2" s="1"/>
  <c r="V4" i="2" s="1"/>
  <c r="CF84" i="2"/>
  <c r="CN84" i="2" s="1" a="1"/>
  <c r="CN84" i="2" s="1"/>
  <c r="AQ84" i="2" s="1"/>
  <c r="CK95" i="2"/>
  <c r="CK87" i="2"/>
  <c r="CL105" i="2"/>
  <c r="CF66" i="2"/>
  <c r="CN66" i="2" s="1" a="1"/>
  <c r="CN66" i="2" s="1"/>
  <c r="V66" i="2" s="1"/>
  <c r="CF13" i="2"/>
  <c r="CN13" i="2" s="1" a="1"/>
  <c r="CN13" i="2" s="1"/>
  <c r="V13" i="2" s="1"/>
  <c r="CK32" i="2"/>
  <c r="CK41" i="2"/>
  <c r="CL57" i="2"/>
  <c r="CL13" i="2"/>
  <c r="CF76" i="2"/>
  <c r="CN76" i="2" s="1" a="1"/>
  <c r="CN76" i="2" s="1"/>
  <c r="AQ76" i="2" s="1"/>
  <c r="CF30" i="2"/>
  <c r="CN30" i="2" s="1" a="1"/>
  <c r="CN30" i="2" s="1"/>
  <c r="AQ30" i="2" s="1"/>
  <c r="CF14" i="2"/>
  <c r="CN14" i="2" s="1" a="1"/>
  <c r="CN14" i="2" s="1"/>
  <c r="AQ14" i="2" s="1"/>
  <c r="CL58" i="2"/>
  <c r="CL69" i="2"/>
  <c r="CF39" i="2"/>
  <c r="CN39" i="2" s="1" a="1"/>
  <c r="CN39" i="2" s="1"/>
  <c r="AQ39" i="2" s="1"/>
  <c r="CK22" i="2"/>
  <c r="CL33" i="2"/>
  <c r="CK23" i="2"/>
  <c r="CF51" i="2"/>
  <c r="CN51" i="2" s="1" a="1"/>
  <c r="CN51" i="2" s="1"/>
  <c r="AQ51" i="2" s="1"/>
  <c r="CK75" i="2"/>
  <c r="CK24" i="2"/>
  <c r="CL22" i="2"/>
  <c r="CK58" i="2"/>
  <c r="CK33" i="2"/>
  <c r="CL24" i="2"/>
  <c r="CK86" i="2"/>
  <c r="CL87" i="2"/>
  <c r="CL6" i="2"/>
  <c r="CK84" i="2"/>
  <c r="CK77" i="2"/>
  <c r="CJ77" i="2" s="1"/>
  <c r="CM77" i="2" s="1"/>
  <c r="CK93" i="2"/>
  <c r="CJ93" i="2" s="1"/>
  <c r="CM93" i="2" s="1"/>
  <c r="CL85" i="2"/>
  <c r="CF48" i="2"/>
  <c r="CN48" i="2" s="1" a="1"/>
  <c r="CN48" i="2" s="1"/>
  <c r="V48" i="2" s="1"/>
  <c r="CL86" i="2"/>
  <c r="CL40" i="2"/>
  <c r="CL42" i="2"/>
  <c r="CL75" i="2"/>
  <c r="CK69" i="2"/>
  <c r="CJ69" i="2" s="1"/>
  <c r="CM69" i="2" s="1"/>
  <c r="CL51" i="2"/>
  <c r="CK15" i="2"/>
  <c r="CK57" i="2"/>
  <c r="CF15" i="2"/>
  <c r="CN15" i="2" s="1" a="1"/>
  <c r="CN15" i="2" s="1"/>
  <c r="V15" i="2" s="1"/>
  <c r="CK21" i="2"/>
  <c r="CJ21" i="2" s="1"/>
  <c r="CM21" i="2" s="1"/>
  <c r="CF85" i="2"/>
  <c r="CN85" i="2" s="1" a="1"/>
  <c r="CN85" i="2" s="1"/>
  <c r="V85" i="2" s="1"/>
  <c r="CF86" i="2"/>
  <c r="CN86" i="2" s="1" a="1"/>
  <c r="CN86" i="2" s="1"/>
  <c r="V86" i="2" s="1"/>
  <c r="CF60" i="2"/>
  <c r="CN60" i="2" s="1" a="1"/>
  <c r="CN60" i="2" s="1"/>
  <c r="AQ60" i="2" s="1"/>
  <c r="CL12" i="2"/>
  <c r="CK39" i="2"/>
  <c r="CK94" i="2"/>
  <c r="CL14" i="2"/>
  <c r="CL66" i="2"/>
  <c r="CF59" i="2"/>
  <c r="CN59" i="2" s="1" a="1"/>
  <c r="CN59" i="2" s="1"/>
  <c r="AQ59" i="2" s="1"/>
  <c r="CK30" i="2"/>
  <c r="CL49" i="2"/>
  <c r="CL30" i="2"/>
  <c r="CL84" i="2"/>
  <c r="CK60" i="2"/>
  <c r="CL76" i="2"/>
  <c r="CK76" i="2"/>
  <c r="CF12" i="2"/>
  <c r="CN12" i="2" s="1" a="1"/>
  <c r="CN12" i="2" s="1"/>
  <c r="V12" i="2" s="1"/>
  <c r="CK5" i="2"/>
  <c r="CL67" i="2"/>
  <c r="CK6" i="2"/>
  <c r="CL95" i="2"/>
  <c r="CF31" i="2"/>
  <c r="CN31" i="2" s="1" a="1"/>
  <c r="CN31" i="2" s="1"/>
  <c r="V31" i="2" s="1"/>
  <c r="CL41" i="2"/>
  <c r="CK51" i="2"/>
  <c r="CK48" i="2"/>
  <c r="CK78" i="2"/>
  <c r="CK40" i="2"/>
  <c r="CL15" i="2"/>
  <c r="CF68" i="2"/>
  <c r="CN68" i="2" s="1" a="1"/>
  <c r="CN68" i="2" s="1"/>
  <c r="V68" i="2" s="1"/>
  <c r="CK49" i="2"/>
  <c r="CL102" i="2"/>
  <c r="CF103" i="2"/>
  <c r="CN103" i="2" s="1" a="1"/>
  <c r="CN103" i="2" s="1"/>
  <c r="AQ103" i="2" s="1"/>
  <c r="CF96" i="2"/>
  <c r="CN96" i="2" s="1" a="1"/>
  <c r="CN96" i="2" s="1"/>
  <c r="AQ96" i="2" s="1"/>
  <c r="CK85" i="2"/>
  <c r="CK42" i="2"/>
  <c r="CK105" i="2"/>
  <c r="CJ105" i="2" s="1"/>
  <c r="CM105" i="2" s="1"/>
  <c r="CF3" i="2"/>
  <c r="CN3" i="2" s="1" a="1"/>
  <c r="CN3" i="2" s="1"/>
  <c r="V3" i="2" s="1"/>
  <c r="CL3" i="2"/>
  <c r="CK31" i="2"/>
  <c r="CK67" i="2"/>
  <c r="AQ95" i="2"/>
  <c r="V95" i="2"/>
  <c r="AQ75" i="2"/>
  <c r="CK103" i="2"/>
  <c r="CJ103" i="2" s="1"/>
  <c r="CM103" i="2" s="1"/>
  <c r="CL48" i="2"/>
  <c r="AQ58" i="2"/>
  <c r="V58" i="2"/>
  <c r="AQ102" i="2"/>
  <c r="CJ104" i="2"/>
  <c r="CM104" i="2" s="1"/>
  <c r="CK66" i="2"/>
  <c r="CK14" i="2"/>
  <c r="CL5" i="2"/>
  <c r="V22" i="2"/>
  <c r="CL31" i="2"/>
  <c r="CF5" i="2"/>
  <c r="CN5" i="2" s="1" a="1"/>
  <c r="CN5" i="2" s="1"/>
  <c r="CK68" i="2"/>
  <c r="CK59" i="2"/>
  <c r="CL60" i="2"/>
  <c r="CL68" i="2"/>
  <c r="CL39" i="2"/>
  <c r="V93" i="2"/>
  <c r="AQ6" i="2"/>
  <c r="CK3" i="2"/>
  <c r="CL96" i="2"/>
  <c r="V42" i="2"/>
  <c r="CL59" i="2"/>
  <c r="CK12" i="2"/>
  <c r="CK96" i="2"/>
  <c r="AQ67" i="2" l="1"/>
  <c r="AQ69" i="2"/>
  <c r="AQ50" i="2"/>
  <c r="AR50" i="2" s="1"/>
  <c r="CJ66" i="2"/>
  <c r="CM66" i="2" s="1"/>
  <c r="CJ41" i="2"/>
  <c r="CM41" i="2" s="1"/>
  <c r="CJ50" i="2"/>
  <c r="CM50" i="2" s="1"/>
  <c r="AQ49" i="2"/>
  <c r="CJ14" i="2"/>
  <c r="CM14" i="2" s="1"/>
  <c r="V33" i="2"/>
  <c r="V87" i="2"/>
  <c r="CJ78" i="2"/>
  <c r="CM78" i="2" s="1"/>
  <c r="CJ33" i="2"/>
  <c r="CM33" i="2" s="1"/>
  <c r="AQ24" i="2"/>
  <c r="AR21" i="2" s="1"/>
  <c r="CJ87" i="2"/>
  <c r="CM87" i="2" s="1"/>
  <c r="AQ13" i="2"/>
  <c r="CJ23" i="2"/>
  <c r="CM23" i="2" s="1"/>
  <c r="AQ66" i="2"/>
  <c r="V21" i="2"/>
  <c r="V59" i="2"/>
  <c r="V104" i="2"/>
  <c r="AQ40" i="2"/>
  <c r="AR40" i="2" s="1"/>
  <c r="CJ86" i="2"/>
  <c r="CM86" i="2" s="1"/>
  <c r="AQ85" i="2"/>
  <c r="CJ22" i="2"/>
  <c r="CM22" i="2" s="1"/>
  <c r="V51" i="2"/>
  <c r="AL51" i="2" s="1"/>
  <c r="Z51" i="2" s="1"/>
  <c r="CJ13" i="2"/>
  <c r="CM13" i="2" s="1"/>
  <c r="AQ57" i="2"/>
  <c r="AR57" i="2" s="1"/>
  <c r="CJ5" i="2"/>
  <c r="CM5" i="2" s="1"/>
  <c r="V105" i="2"/>
  <c r="V84" i="2"/>
  <c r="CJ32" i="2"/>
  <c r="CM32" i="2" s="1"/>
  <c r="V32" i="2"/>
  <c r="AQ4" i="2"/>
  <c r="CJ102" i="2"/>
  <c r="CM102" i="2" s="1"/>
  <c r="CP102" i="2" s="1"/>
  <c r="CJ94" i="2"/>
  <c r="CM94" i="2" s="1"/>
  <c r="CJ58" i="2"/>
  <c r="CM58" i="2" s="1"/>
  <c r="CJ4" i="2"/>
  <c r="CM4" i="2" s="1"/>
  <c r="CJ39" i="2"/>
  <c r="CM39" i="2" s="1"/>
  <c r="AQ48" i="2"/>
  <c r="V41" i="2"/>
  <c r="V60" i="2"/>
  <c r="V14" i="2"/>
  <c r="AL14" i="2" s="1"/>
  <c r="Z14" i="2" s="1"/>
  <c r="AP3" i="8" s="1"/>
  <c r="CV3" i="2" s="1"/>
  <c r="V77" i="2"/>
  <c r="AQ86" i="2"/>
  <c r="AR86" i="2" s="1"/>
  <c r="V78" i="2"/>
  <c r="V23" i="2"/>
  <c r="CJ15" i="2"/>
  <c r="CM15" i="2" s="1"/>
  <c r="V94" i="2"/>
  <c r="V76" i="2"/>
  <c r="AQ12" i="2"/>
  <c r="CJ42" i="2"/>
  <c r="CM42" i="2" s="1"/>
  <c r="CJ85" i="2"/>
  <c r="CM85" i="2" s="1"/>
  <c r="CJ95" i="2"/>
  <c r="CM95" i="2" s="1"/>
  <c r="CJ57" i="2"/>
  <c r="CM57" i="2" s="1"/>
  <c r="CJ60" i="2"/>
  <c r="CM60" i="2" s="1"/>
  <c r="CJ76" i="2"/>
  <c r="CM76" i="2" s="1"/>
  <c r="CJ6" i="2"/>
  <c r="CM6" i="2" s="1"/>
  <c r="V39" i="2"/>
  <c r="CJ67" i="2"/>
  <c r="CM67" i="2" s="1"/>
  <c r="CJ75" i="2"/>
  <c r="CM75" i="2" s="1"/>
  <c r="CJ48" i="2"/>
  <c r="CM48" i="2" s="1"/>
  <c r="CJ30" i="2"/>
  <c r="CM30" i="2" s="1"/>
  <c r="CJ84" i="2"/>
  <c r="CM84" i="2" s="1"/>
  <c r="V96" i="2"/>
  <c r="CJ40" i="2"/>
  <c r="CM40" i="2" s="1"/>
  <c r="AQ68" i="2"/>
  <c r="CJ51" i="2"/>
  <c r="CM51" i="2" s="1"/>
  <c r="CJ24" i="2"/>
  <c r="CM24" i="2" s="1"/>
  <c r="CJ3" i="2"/>
  <c r="CM3" i="2" s="1"/>
  <c r="CJ31" i="2"/>
  <c r="CM31" i="2" s="1"/>
  <c r="AQ3" i="2"/>
  <c r="AR77" i="2"/>
  <c r="V30" i="2"/>
  <c r="CJ12" i="2"/>
  <c r="CM12" i="2" s="1"/>
  <c r="V103" i="2"/>
  <c r="AQ15" i="2"/>
  <c r="CJ49" i="2"/>
  <c r="CM49" i="2" s="1"/>
  <c r="AQ31" i="2"/>
  <c r="AR31" i="2" s="1"/>
  <c r="AR41" i="2"/>
  <c r="AR94" i="2"/>
  <c r="CJ59" i="2"/>
  <c r="CM59" i="2" s="1"/>
  <c r="CJ68" i="2"/>
  <c r="CM68" i="2" s="1"/>
  <c r="AQ5" i="2"/>
  <c r="AR5" i="2" s="1"/>
  <c r="V5" i="2"/>
  <c r="AL3" i="2" s="1"/>
  <c r="Z3" i="2" s="1"/>
  <c r="B29" i="3" s="1"/>
  <c r="B113" i="6" s="1"/>
  <c r="I113" i="6" s="1"/>
  <c r="AR76" i="2"/>
  <c r="CJ96" i="2"/>
  <c r="CM96" i="2" s="1"/>
  <c r="AR93" i="2"/>
  <c r="AR32" i="2"/>
  <c r="AL66" i="2"/>
  <c r="Z66" i="2" s="1"/>
  <c r="H17" i="3" s="1"/>
  <c r="B118" i="6" s="1"/>
  <c r="I118" i="6" s="1"/>
  <c r="AL67" i="2"/>
  <c r="Z67" i="2" s="1"/>
  <c r="K25" i="3" s="1"/>
  <c r="AL68" i="2"/>
  <c r="Z68" i="2" s="1"/>
  <c r="AP9" i="8" s="1"/>
  <c r="CV9" i="2" s="1"/>
  <c r="AL69" i="2"/>
  <c r="Z69" i="2" s="1"/>
  <c r="AR103" i="2"/>
  <c r="AR102" i="2"/>
  <c r="AR104" i="2"/>
  <c r="AR75" i="2"/>
  <c r="AR58" i="2"/>
  <c r="AR59" i="2"/>
  <c r="AR95" i="2"/>
  <c r="AI31" i="9" l="1"/>
  <c r="E120" i="6"/>
  <c r="L120" i="6" s="1"/>
  <c r="H19" i="3"/>
  <c r="Y5" i="3" s="1"/>
  <c r="E127" i="6" s="1"/>
  <c r="I127" i="6" s="1"/>
  <c r="AI26" i="9"/>
  <c r="AR49" i="2"/>
  <c r="AI16" i="9"/>
  <c r="B31" i="3"/>
  <c r="P29" i="3" s="1"/>
  <c r="AR48" i="2"/>
  <c r="AR66" i="2"/>
  <c r="AR23" i="2"/>
  <c r="AL87" i="2"/>
  <c r="Z87" i="2" s="1"/>
  <c r="AR22" i="2"/>
  <c r="AR13" i="2"/>
  <c r="AR84" i="2"/>
  <c r="AL21" i="2"/>
  <c r="Z21" i="2" s="1"/>
  <c r="AL23" i="2"/>
  <c r="Z23" i="2" s="1"/>
  <c r="AH23" i="2" s="1"/>
  <c r="AM23" i="2" s="1"/>
  <c r="AL22" i="2"/>
  <c r="Z22" i="2" s="1"/>
  <c r="AL105" i="2"/>
  <c r="Z105" i="2" s="1"/>
  <c r="AL57" i="2"/>
  <c r="Z57" i="2" s="1"/>
  <c r="AL24" i="2"/>
  <c r="Z24" i="2" s="1"/>
  <c r="AH24" i="2" s="1"/>
  <c r="AM24" i="2" s="1"/>
  <c r="AR39" i="2"/>
  <c r="CP87" i="2"/>
  <c r="AL86" i="2"/>
  <c r="Z86" i="2" s="1"/>
  <c r="AP11" i="8" s="1"/>
  <c r="CV11" i="2" s="1"/>
  <c r="AR85" i="2"/>
  <c r="AL48" i="2"/>
  <c r="Z48" i="2" s="1"/>
  <c r="AR68" i="2"/>
  <c r="AL33" i="2"/>
  <c r="Z33" i="2" s="1"/>
  <c r="AH33" i="2" s="1"/>
  <c r="AM33" i="2" s="1"/>
  <c r="AL50" i="2"/>
  <c r="Z50" i="2" s="1"/>
  <c r="AL59" i="2"/>
  <c r="Z59" i="2" s="1"/>
  <c r="CP21" i="2"/>
  <c r="AL49" i="2"/>
  <c r="Z49" i="2" s="1"/>
  <c r="AL96" i="2"/>
  <c r="Z96" i="2" s="1"/>
  <c r="AL60" i="2"/>
  <c r="Z60" i="2" s="1"/>
  <c r="AD60" i="2" s="1"/>
  <c r="CP5" i="2"/>
  <c r="AL41" i="2"/>
  <c r="Z41" i="2" s="1"/>
  <c r="CP14" i="2"/>
  <c r="CP93" i="2"/>
  <c r="AL58" i="2"/>
  <c r="Z58" i="2" s="1"/>
  <c r="AL84" i="2"/>
  <c r="Z84" i="2" s="1"/>
  <c r="H25" i="3" s="1"/>
  <c r="B120" i="6" s="1"/>
  <c r="I120" i="6" s="1"/>
  <c r="AL13" i="2"/>
  <c r="Z13" i="2" s="1"/>
  <c r="AL85" i="2"/>
  <c r="Z85" i="2" s="1"/>
  <c r="K17" i="3" s="1"/>
  <c r="CP85" i="2"/>
  <c r="CP94" i="2"/>
  <c r="AL77" i="2"/>
  <c r="Z77" i="2" s="1"/>
  <c r="AP10" i="8" s="1"/>
  <c r="CV10" i="2" s="1"/>
  <c r="AL40" i="2"/>
  <c r="Z40" i="2" s="1"/>
  <c r="CP104" i="2"/>
  <c r="AL42" i="2"/>
  <c r="Z42" i="2" s="1"/>
  <c r="AF42" i="2" s="1"/>
  <c r="CP103" i="2"/>
  <c r="CP4" i="2"/>
  <c r="CP105" i="2"/>
  <c r="CP41" i="2"/>
  <c r="CP15" i="2"/>
  <c r="CP13" i="2"/>
  <c r="AL94" i="2"/>
  <c r="Z94" i="2" s="1"/>
  <c r="H13" i="3" s="1"/>
  <c r="CP12" i="2"/>
  <c r="AL75" i="2"/>
  <c r="Z75" i="2" s="1"/>
  <c r="B21" i="3" s="1"/>
  <c r="B111" i="6" s="1"/>
  <c r="I111" i="6" s="1"/>
  <c r="AL76" i="2"/>
  <c r="Z76" i="2" s="1"/>
  <c r="E25" i="3" s="1"/>
  <c r="E112" i="6" s="1"/>
  <c r="I112" i="6" s="1"/>
  <c r="AL78" i="2"/>
  <c r="Z78" i="2" s="1"/>
  <c r="AL95" i="2"/>
  <c r="Z95" i="2" s="1"/>
  <c r="AP12" i="8" s="1"/>
  <c r="CV12" i="2" s="1"/>
  <c r="AR67" i="2"/>
  <c r="AL39" i="2"/>
  <c r="Z39" i="2" s="1"/>
  <c r="CP77" i="2"/>
  <c r="CP6" i="2"/>
  <c r="AL12" i="2"/>
  <c r="Z12" i="2" s="1"/>
  <c r="AL15" i="2"/>
  <c r="Z15" i="2" s="1"/>
  <c r="AH15" i="2" s="1"/>
  <c r="AM15" i="2" s="1"/>
  <c r="CP39" i="2"/>
  <c r="AL93" i="2"/>
  <c r="Z93" i="2" s="1"/>
  <c r="H29" i="3" s="1"/>
  <c r="B121" i="6" s="1"/>
  <c r="I121" i="6" s="1"/>
  <c r="AL103" i="2"/>
  <c r="Z103" i="2" s="1"/>
  <c r="K13" i="3" s="1"/>
  <c r="E117" i="6" s="1"/>
  <c r="I117" i="6" s="1"/>
  <c r="CP78" i="2"/>
  <c r="AR30" i="2"/>
  <c r="CP30" i="2"/>
  <c r="CP49" i="2"/>
  <c r="CP76" i="2"/>
  <c r="CP95" i="2"/>
  <c r="CP69" i="2"/>
  <c r="CP50" i="2"/>
  <c r="CP75" i="2"/>
  <c r="CP96" i="2"/>
  <c r="CP3" i="2"/>
  <c r="CP84" i="2"/>
  <c r="CP51" i="2"/>
  <c r="CP59" i="2"/>
  <c r="CP86" i="2"/>
  <c r="CP31" i="2"/>
  <c r="CP32" i="2"/>
  <c r="CP48" i="2"/>
  <c r="CP40" i="2"/>
  <c r="CP33" i="2"/>
  <c r="CP42" i="2"/>
  <c r="CP23" i="2"/>
  <c r="AL30" i="2"/>
  <c r="Z30" i="2" s="1"/>
  <c r="AL32" i="2"/>
  <c r="Z32" i="2" s="1"/>
  <c r="AL31" i="2"/>
  <c r="Z31" i="2" s="1"/>
  <c r="AR3" i="2"/>
  <c r="CP24" i="2"/>
  <c r="AL104" i="2"/>
  <c r="Z104" i="2" s="1"/>
  <c r="AP13" i="8" s="1"/>
  <c r="CV13" i="2" s="1"/>
  <c r="CP22" i="2"/>
  <c r="AL102" i="2"/>
  <c r="Z102" i="2" s="1"/>
  <c r="B33" i="3" s="1"/>
  <c r="B114" i="6" s="1"/>
  <c r="I114" i="6" s="1"/>
  <c r="CP60" i="2"/>
  <c r="CP67" i="2"/>
  <c r="AR12" i="2"/>
  <c r="CP68" i="2"/>
  <c r="AR14" i="2"/>
  <c r="AL5" i="2"/>
  <c r="Z5" i="2" s="1"/>
  <c r="AL4" i="2"/>
  <c r="Z4" i="2" s="1"/>
  <c r="CP57" i="2"/>
  <c r="AR4" i="2"/>
  <c r="AL6" i="2"/>
  <c r="Z6" i="2" s="1"/>
  <c r="AE6" i="2" s="1"/>
  <c r="CP66" i="2"/>
  <c r="CP58" i="2"/>
  <c r="AE3" i="2"/>
  <c r="AC3" i="2"/>
  <c r="AB3" i="2"/>
  <c r="AG3" i="2"/>
  <c r="AH3" i="2"/>
  <c r="AM3" i="2" s="1"/>
  <c r="AD3" i="2"/>
  <c r="AF3" i="2"/>
  <c r="AH69" i="2"/>
  <c r="AM69" i="2" s="1"/>
  <c r="AE69" i="2"/>
  <c r="AB69" i="2"/>
  <c r="AF69" i="2"/>
  <c r="AC69" i="2"/>
  <c r="AD69" i="2"/>
  <c r="AG69" i="2"/>
  <c r="AB68" i="2"/>
  <c r="AR9" i="8" s="1"/>
  <c r="AH68" i="2"/>
  <c r="AM68" i="2" s="1"/>
  <c r="AF68" i="2"/>
  <c r="AV9" i="8" s="1"/>
  <c r="AD68" i="2"/>
  <c r="AT9" i="8" s="1"/>
  <c r="AE68" i="2"/>
  <c r="AU9" i="8" s="1"/>
  <c r="AC68" i="2"/>
  <c r="AS9" i="8" s="1"/>
  <c r="AG68" i="2"/>
  <c r="AW9" i="8" s="1"/>
  <c r="AG67" i="2"/>
  <c r="AD67" i="2"/>
  <c r="AB67" i="2"/>
  <c r="AH67" i="2"/>
  <c r="AM67" i="2" s="1"/>
  <c r="AF67" i="2"/>
  <c r="AE67" i="2"/>
  <c r="AC67" i="2"/>
  <c r="AE66" i="2"/>
  <c r="AD66" i="2"/>
  <c r="AG66" i="2"/>
  <c r="AF66" i="2"/>
  <c r="AC66" i="2"/>
  <c r="AB66" i="2"/>
  <c r="AH66" i="2"/>
  <c r="AM66" i="2" s="1"/>
  <c r="AG14" i="2"/>
  <c r="AW3" i="8" s="1"/>
  <c r="AF14" i="2"/>
  <c r="AV3" i="8" s="1"/>
  <c r="AB14" i="2"/>
  <c r="AR3" i="8" s="1"/>
  <c r="AC14" i="2"/>
  <c r="AS3" i="8" s="1"/>
  <c r="AH14" i="2"/>
  <c r="AM14" i="2" s="1"/>
  <c r="AE14" i="2"/>
  <c r="AU3" i="8" s="1"/>
  <c r="AD14" i="2"/>
  <c r="AT3" i="8" s="1"/>
  <c r="AG51" i="2"/>
  <c r="AB51" i="2"/>
  <c r="AF51" i="2"/>
  <c r="AH51" i="2"/>
  <c r="AM51" i="2" s="1"/>
  <c r="AE51" i="2"/>
  <c r="AD51" i="2"/>
  <c r="AC51" i="2"/>
  <c r="AH10" i="9" l="1"/>
  <c r="B126" i="6"/>
  <c r="L126" i="6" s="1"/>
  <c r="AI24" i="9"/>
  <c r="B117" i="6"/>
  <c r="L117" i="6" s="1"/>
  <c r="AI27" i="9"/>
  <c r="E118" i="6"/>
  <c r="L118" i="6" s="1"/>
  <c r="AH13" i="9"/>
  <c r="V7" i="3"/>
  <c r="B9" i="4" s="1"/>
  <c r="AH58" i="2"/>
  <c r="AM58" i="2" s="1"/>
  <c r="K33" i="3"/>
  <c r="E122" i="6" s="1"/>
  <c r="I122" i="6" s="1"/>
  <c r="AI25" i="9"/>
  <c r="H15" i="3"/>
  <c r="V5" i="3" s="1"/>
  <c r="AE31" i="2"/>
  <c r="H33" i="3"/>
  <c r="AI32" i="9"/>
  <c r="H31" i="3"/>
  <c r="Y29" i="3" s="1"/>
  <c r="E130" i="6" s="1"/>
  <c r="I130" i="6" s="1"/>
  <c r="H27" i="3"/>
  <c r="V21" i="3" s="1"/>
  <c r="B129" i="6" s="1"/>
  <c r="I129" i="6" s="1"/>
  <c r="AI30" i="9"/>
  <c r="AC12" i="2"/>
  <c r="H21" i="3"/>
  <c r="B119" i="6" s="1"/>
  <c r="I119" i="6" s="1"/>
  <c r="AD57" i="2"/>
  <c r="H9" i="3"/>
  <c r="B116" i="6" s="1"/>
  <c r="I116" i="6" s="1"/>
  <c r="AF30" i="2"/>
  <c r="H5" i="3"/>
  <c r="B115" i="6" s="1"/>
  <c r="J115" i="6" s="1"/>
  <c r="AI15" i="9"/>
  <c r="B27" i="3"/>
  <c r="S21" i="3" s="1"/>
  <c r="AH49" i="2"/>
  <c r="AM49" i="2" s="1"/>
  <c r="E17" i="3"/>
  <c r="AG22" i="2"/>
  <c r="E13" i="3"/>
  <c r="AF13" i="2"/>
  <c r="E5" i="3"/>
  <c r="AI18" i="9"/>
  <c r="B35" i="3"/>
  <c r="S29" i="3" s="1"/>
  <c r="E126" i="6" s="1"/>
  <c r="I126" i="6" s="1"/>
  <c r="AC40" i="2"/>
  <c r="B25" i="3"/>
  <c r="AI12" i="9"/>
  <c r="B23" i="3"/>
  <c r="S5" i="3" s="1"/>
  <c r="E123" i="6" s="1"/>
  <c r="I123" i="6" s="1"/>
  <c r="AE21" i="2"/>
  <c r="B17" i="3"/>
  <c r="B110" i="6" s="1"/>
  <c r="I110" i="6" s="1"/>
  <c r="AB48" i="2"/>
  <c r="B13" i="3"/>
  <c r="B109" i="6" s="1"/>
  <c r="I109" i="6" s="1"/>
  <c r="AB39" i="2"/>
  <c r="B9" i="3"/>
  <c r="B108" i="6" s="1"/>
  <c r="I108" i="6" s="1"/>
  <c r="AC4" i="2"/>
  <c r="B5" i="3"/>
  <c r="B107" i="6" s="1"/>
  <c r="J107" i="6" s="1"/>
  <c r="AX9" i="8"/>
  <c r="AY9" i="8" s="1"/>
  <c r="BA9" i="8" s="1"/>
  <c r="AX3" i="8"/>
  <c r="AY3" i="8" s="1"/>
  <c r="BA3" i="8" s="1"/>
  <c r="AD21" i="2"/>
  <c r="AB59" i="2"/>
  <c r="AR8" i="8" s="1"/>
  <c r="AP8" i="8"/>
  <c r="CV8" i="2" s="1"/>
  <c r="AC21" i="2"/>
  <c r="AH48" i="2"/>
  <c r="AM48" i="2" s="1"/>
  <c r="AB21" i="2"/>
  <c r="AF21" i="2"/>
  <c r="AD50" i="2"/>
  <c r="AT7" i="8" s="1"/>
  <c r="AP7" i="8"/>
  <c r="CV7" i="2" s="1"/>
  <c r="AH21" i="2"/>
  <c r="AM21" i="2" s="1"/>
  <c r="AG58" i="2"/>
  <c r="AG21" i="2"/>
  <c r="AB33" i="2"/>
  <c r="AC41" i="2"/>
  <c r="AS6" i="8" s="1"/>
  <c r="AP6" i="8"/>
  <c r="CV6" i="2" s="1"/>
  <c r="AD32" i="2"/>
  <c r="AT5" i="8" s="1"/>
  <c r="AP5" i="8"/>
  <c r="CV5" i="2" s="1"/>
  <c r="AG23" i="2"/>
  <c r="AW4" i="8" s="1"/>
  <c r="AP4" i="8"/>
  <c r="CV4" i="2" s="1"/>
  <c r="AB50" i="2"/>
  <c r="AR7" i="8" s="1"/>
  <c r="AG13" i="2"/>
  <c r="AG50" i="2"/>
  <c r="AW7" i="8" s="1"/>
  <c r="AF23" i="2"/>
  <c r="AV4" i="8" s="1"/>
  <c r="AE33" i="2"/>
  <c r="AD33" i="2"/>
  <c r="AG33" i="2"/>
  <c r="AF33" i="2"/>
  <c r="AE22" i="2"/>
  <c r="AB22" i="2"/>
  <c r="AC22" i="2"/>
  <c r="AH57" i="2"/>
  <c r="AM57" i="2" s="1"/>
  <c r="AH22" i="2"/>
  <c r="AM22" i="2" s="1"/>
  <c r="AB57" i="2"/>
  <c r="AC33" i="2"/>
  <c r="AF22" i="2"/>
  <c r="AB23" i="2"/>
  <c r="AR4" i="8" s="1"/>
  <c r="AC23" i="2"/>
  <c r="AS4" i="8" s="1"/>
  <c r="AB41" i="2"/>
  <c r="AR6" i="8" s="1"/>
  <c r="AE23" i="2"/>
  <c r="AU4" i="8" s="1"/>
  <c r="AF5" i="2"/>
  <c r="AV2" i="8" s="1"/>
  <c r="AP2" i="8"/>
  <c r="CV2" i="2" s="1"/>
  <c r="AD22" i="2"/>
  <c r="AC13" i="2"/>
  <c r="AF50" i="2"/>
  <c r="AV7" i="8" s="1"/>
  <c r="AD23" i="2"/>
  <c r="AT4" i="8" s="1"/>
  <c r="AB24" i="2"/>
  <c r="AE57" i="2"/>
  <c r="AF57" i="2"/>
  <c r="AG15" i="2"/>
  <c r="AG60" i="2"/>
  <c r="AG57" i="2"/>
  <c r="AC15" i="2"/>
  <c r="AG59" i="2"/>
  <c r="AW8" i="8" s="1"/>
  <c r="AC57" i="2"/>
  <c r="AH13" i="2"/>
  <c r="AM13" i="2" s="1"/>
  <c r="AC24" i="2"/>
  <c r="AD24" i="2"/>
  <c r="AE24" i="2"/>
  <c r="AF24" i="2"/>
  <c r="AG24" i="2"/>
  <c r="AH50" i="2"/>
  <c r="AM50" i="2" s="1"/>
  <c r="AC48" i="2"/>
  <c r="AE13" i="2"/>
  <c r="AE50" i="2"/>
  <c r="AU7" i="8" s="1"/>
  <c r="AD48" i="2"/>
  <c r="AB13" i="2"/>
  <c r="AD13" i="2"/>
  <c r="AC50" i="2"/>
  <c r="AS7" i="8" s="1"/>
  <c r="AE48" i="2"/>
  <c r="AG48" i="2"/>
  <c r="AF48" i="2"/>
  <c r="AC59" i="2"/>
  <c r="AS8" i="8" s="1"/>
  <c r="AH60" i="2"/>
  <c r="AM60" i="2" s="1"/>
  <c r="AB5" i="2"/>
  <c r="AR2" i="8" s="1"/>
  <c r="AF31" i="2"/>
  <c r="AB49" i="2"/>
  <c r="AG42" i="2"/>
  <c r="AG40" i="2"/>
  <c r="AD49" i="2"/>
  <c r="AH42" i="2"/>
  <c r="AM42" i="2" s="1"/>
  <c r="AB15" i="2"/>
  <c r="AF60" i="2"/>
  <c r="AG5" i="2"/>
  <c r="AW2" i="8" s="1"/>
  <c r="AE40" i="2"/>
  <c r="AC60" i="2"/>
  <c r="AE60" i="2"/>
  <c r="AH40" i="2"/>
  <c r="AM40" i="2" s="1"/>
  <c r="AE49" i="2"/>
  <c r="AD42" i="2"/>
  <c r="AE15" i="2"/>
  <c r="AD59" i="2"/>
  <c r="AT8" i="8" s="1"/>
  <c r="AF41" i="2"/>
  <c r="AV6" i="8" s="1"/>
  <c r="AG41" i="2"/>
  <c r="AW6" i="8" s="1"/>
  <c r="AB40" i="2"/>
  <c r="AH41" i="2"/>
  <c r="AM41" i="2" s="1"/>
  <c r="AD40" i="2"/>
  <c r="AF40" i="2"/>
  <c r="AG49" i="2"/>
  <c r="AF15" i="2"/>
  <c r="AE59" i="2"/>
  <c r="AU8" i="8" s="1"/>
  <c r="AB60" i="2"/>
  <c r="AA60" i="2" s="1"/>
  <c r="AE41" i="2"/>
  <c r="AU6" i="8" s="1"/>
  <c r="AF32" i="2"/>
  <c r="AV5" i="8" s="1"/>
  <c r="AB30" i="2"/>
  <c r="AC49" i="2"/>
  <c r="AB42" i="2"/>
  <c r="AF59" i="2"/>
  <c r="AV8" i="8" s="1"/>
  <c r="AH31" i="2"/>
  <c r="AM31" i="2" s="1"/>
  <c r="AD41" i="2"/>
  <c r="AT6" i="8" s="1"/>
  <c r="AC31" i="2"/>
  <c r="AG31" i="2"/>
  <c r="AF49" i="2"/>
  <c r="AC42" i="2"/>
  <c r="AE32" i="2"/>
  <c r="AU5" i="8" s="1"/>
  <c r="AH30" i="2"/>
  <c r="AM30" i="2" s="1"/>
  <c r="AE42" i="2"/>
  <c r="AH59" i="2"/>
  <c r="AM59" i="2" s="1"/>
  <c r="AE30" i="2"/>
  <c r="AH32" i="2"/>
  <c r="AM32" i="2" s="1"/>
  <c r="AC30" i="2"/>
  <c r="AB31" i="2"/>
  <c r="AB58" i="2"/>
  <c r="AD58" i="2"/>
  <c r="AF58" i="2"/>
  <c r="AC58" i="2"/>
  <c r="AE58" i="2"/>
  <c r="AG32" i="2"/>
  <c r="AW5" i="8" s="1"/>
  <c r="AG30" i="2"/>
  <c r="AD15" i="2"/>
  <c r="AD12" i="2"/>
  <c r="AH12" i="2"/>
  <c r="AM12" i="2" s="1"/>
  <c r="AF12" i="2"/>
  <c r="AD39" i="2"/>
  <c r="AB12" i="2"/>
  <c r="AF39" i="2"/>
  <c r="AE12" i="2"/>
  <c r="AG39" i="2"/>
  <c r="AG12" i="2"/>
  <c r="AC39" i="2"/>
  <c r="AE39" i="2"/>
  <c r="AH39" i="2"/>
  <c r="AM39" i="2" s="1"/>
  <c r="AD87" i="2"/>
  <c r="AC87" i="2"/>
  <c r="AB87" i="2"/>
  <c r="AF87" i="2"/>
  <c r="AE87" i="2"/>
  <c r="AH87" i="2"/>
  <c r="AM87" i="2" s="1"/>
  <c r="AG87" i="2"/>
  <c r="AB94" i="2"/>
  <c r="AC94" i="2"/>
  <c r="AH94" i="2"/>
  <c r="AM94" i="2" s="1"/>
  <c r="AD94" i="2"/>
  <c r="AG94" i="2"/>
  <c r="AF94" i="2"/>
  <c r="AE94" i="2"/>
  <c r="AH76" i="2"/>
  <c r="AM76" i="2" s="1"/>
  <c r="AG76" i="2"/>
  <c r="AF76" i="2"/>
  <c r="AE76" i="2"/>
  <c r="AD76" i="2"/>
  <c r="AC76" i="2"/>
  <c r="AB76" i="2"/>
  <c r="AC104" i="2"/>
  <c r="AS13" i="8" s="1"/>
  <c r="AB104" i="2"/>
  <c r="AR13" i="8" s="1"/>
  <c r="AH104" i="2"/>
  <c r="AM104" i="2" s="1"/>
  <c r="AD104" i="2"/>
  <c r="AT13" i="8" s="1"/>
  <c r="AG104" i="2"/>
  <c r="AW13" i="8" s="1"/>
  <c r="AF104" i="2"/>
  <c r="AV13" i="8" s="1"/>
  <c r="AE104" i="2"/>
  <c r="AU13" i="8" s="1"/>
  <c r="AF85" i="2"/>
  <c r="AE85" i="2"/>
  <c r="AD85" i="2"/>
  <c r="AC85" i="2"/>
  <c r="AB85" i="2"/>
  <c r="AH85" i="2"/>
  <c r="AM85" i="2" s="1"/>
  <c r="AG85" i="2"/>
  <c r="AC84" i="2"/>
  <c r="AB84" i="2"/>
  <c r="AH84" i="2"/>
  <c r="AM84" i="2" s="1"/>
  <c r="AG84" i="2"/>
  <c r="AF84" i="2"/>
  <c r="AE84" i="2"/>
  <c r="AD84" i="2"/>
  <c r="AE102" i="2"/>
  <c r="AD102" i="2"/>
  <c r="AC102" i="2"/>
  <c r="AB102" i="2"/>
  <c r="AG102" i="2"/>
  <c r="AH102" i="2"/>
  <c r="AM102" i="2" s="1"/>
  <c r="AF102" i="2"/>
  <c r="AH86" i="2"/>
  <c r="AM86" i="2" s="1"/>
  <c r="AG86" i="2"/>
  <c r="AW11" i="8" s="1"/>
  <c r="AF86" i="2"/>
  <c r="AV11" i="8" s="1"/>
  <c r="AE86" i="2"/>
  <c r="AU11" i="8" s="1"/>
  <c r="AD86" i="2"/>
  <c r="AT11" i="8" s="1"/>
  <c r="AC86" i="2"/>
  <c r="AS11" i="8" s="1"/>
  <c r="AB86" i="2"/>
  <c r="AR11" i="8" s="1"/>
  <c r="AE75" i="2"/>
  <c r="AD75" i="2"/>
  <c r="AG75" i="2"/>
  <c r="AC75" i="2"/>
  <c r="AF75" i="2"/>
  <c r="AB75" i="2"/>
  <c r="AH75" i="2"/>
  <c r="AM75" i="2" s="1"/>
  <c r="AH105" i="2"/>
  <c r="AM105" i="2" s="1"/>
  <c r="AG105" i="2"/>
  <c r="AF105" i="2"/>
  <c r="AE105" i="2"/>
  <c r="AD105" i="2"/>
  <c r="AC105" i="2"/>
  <c r="AB105" i="2"/>
  <c r="AG95" i="2"/>
  <c r="AW12" i="8" s="1"/>
  <c r="AH95" i="2"/>
  <c r="AM95" i="2" s="1"/>
  <c r="AF95" i="2"/>
  <c r="AV12" i="8" s="1"/>
  <c r="AE95" i="2"/>
  <c r="AU12" i="8" s="1"/>
  <c r="AD95" i="2"/>
  <c r="AT12" i="8" s="1"/>
  <c r="AC95" i="2"/>
  <c r="AS12" i="8" s="1"/>
  <c r="AB95" i="2"/>
  <c r="AR12" i="8" s="1"/>
  <c r="AH103" i="2"/>
  <c r="AM103" i="2" s="1"/>
  <c r="AG103" i="2"/>
  <c r="AF103" i="2"/>
  <c r="AE103" i="2"/>
  <c r="AD103" i="2"/>
  <c r="AC103" i="2"/>
  <c r="AB103" i="2"/>
  <c r="AH96" i="2"/>
  <c r="AM96" i="2" s="1"/>
  <c r="AG96" i="2"/>
  <c r="AF96" i="2"/>
  <c r="AE96" i="2"/>
  <c r="AB96" i="2"/>
  <c r="AD96" i="2"/>
  <c r="AC96" i="2"/>
  <c r="AH78" i="2"/>
  <c r="AM78" i="2" s="1"/>
  <c r="AG78" i="2"/>
  <c r="AF78" i="2"/>
  <c r="AE78" i="2"/>
  <c r="AD78" i="2"/>
  <c r="AC78" i="2"/>
  <c r="AB78" i="2"/>
  <c r="AC77" i="2"/>
  <c r="AS10" i="8" s="1"/>
  <c r="AB77" i="2"/>
  <c r="AR10" i="8" s="1"/>
  <c r="AE77" i="2"/>
  <c r="AU10" i="8" s="1"/>
  <c r="AD77" i="2"/>
  <c r="AT10" i="8" s="1"/>
  <c r="AH77" i="2"/>
  <c r="AM77" i="2" s="1"/>
  <c r="AG77" i="2"/>
  <c r="AW10" i="8" s="1"/>
  <c r="AF77" i="2"/>
  <c r="AV10" i="8" s="1"/>
  <c r="AH93" i="2"/>
  <c r="AM93" i="2" s="1"/>
  <c r="AG93" i="2"/>
  <c r="AF93" i="2"/>
  <c r="AE93" i="2"/>
  <c r="AD93" i="2"/>
  <c r="AC93" i="2"/>
  <c r="AB93" i="2"/>
  <c r="AB32" i="2"/>
  <c r="AR5" i="8" s="1"/>
  <c r="AH5" i="2"/>
  <c r="AM5" i="2" s="1"/>
  <c r="AC5" i="2"/>
  <c r="AS2" i="8" s="1"/>
  <c r="AC32" i="2"/>
  <c r="AS5" i="8" s="1"/>
  <c r="AE5" i="2"/>
  <c r="AU2" i="8" s="1"/>
  <c r="AD5" i="2"/>
  <c r="AT2" i="8" s="1"/>
  <c r="AH4" i="2"/>
  <c r="AM4" i="2" s="1"/>
  <c r="AD30" i="2"/>
  <c r="AD4" i="2"/>
  <c r="AG4" i="2"/>
  <c r="AD31" i="2"/>
  <c r="AE4" i="2"/>
  <c r="AF4" i="2"/>
  <c r="AC6" i="2"/>
  <c r="AD6" i="2"/>
  <c r="AF6" i="2"/>
  <c r="AG6" i="2"/>
  <c r="AH6" i="2"/>
  <c r="AM6" i="2" s="1"/>
  <c r="AB6" i="2"/>
  <c r="AB4" i="2"/>
  <c r="AA67" i="2"/>
  <c r="AA66" i="2"/>
  <c r="AA51" i="2"/>
  <c r="AA69" i="2"/>
  <c r="AA68" i="2"/>
  <c r="AQ9" i="8" s="1"/>
  <c r="AA3" i="2"/>
  <c r="AA14" i="2"/>
  <c r="AQ3" i="8" s="1"/>
  <c r="AH12" i="9" l="1"/>
  <c r="B127" i="6"/>
  <c r="L127" i="6" s="1"/>
  <c r="AH9" i="9"/>
  <c r="E125" i="6"/>
  <c r="L125" i="6" s="1"/>
  <c r="AI34" i="9"/>
  <c r="B122" i="6"/>
  <c r="L122" i="6" s="1"/>
  <c r="AI9" i="9"/>
  <c r="E109" i="6"/>
  <c r="L109" i="6" s="1"/>
  <c r="AI11" i="9"/>
  <c r="E110" i="6"/>
  <c r="L110" i="6" s="1"/>
  <c r="AI14" i="9"/>
  <c r="B112" i="6"/>
  <c r="L112" i="6" s="1"/>
  <c r="AI5" i="9"/>
  <c r="E107" i="6"/>
  <c r="K107" i="6" s="1"/>
  <c r="AG6" i="9"/>
  <c r="B11" i="4"/>
  <c r="E19" i="4" s="1"/>
  <c r="AH19" i="9"/>
  <c r="V31" i="3"/>
  <c r="K9" i="4" s="1"/>
  <c r="AG11" i="9" s="1"/>
  <c r="AH11" i="9"/>
  <c r="P31" i="3"/>
  <c r="K5" i="4" s="1"/>
  <c r="AG9" i="9" s="1"/>
  <c r="AH16" i="9"/>
  <c r="V23" i="3"/>
  <c r="H9" i="4" s="1"/>
  <c r="AA41" i="2"/>
  <c r="AQ6" i="8" s="1"/>
  <c r="AH5" i="9"/>
  <c r="P7" i="3"/>
  <c r="B5" i="4" s="1"/>
  <c r="AI35" i="9"/>
  <c r="H35" i="3"/>
  <c r="Y21" i="3" s="1"/>
  <c r="AI28" i="9"/>
  <c r="H23" i="3"/>
  <c r="V29" i="3" s="1"/>
  <c r="AI22" i="9"/>
  <c r="H11" i="3"/>
  <c r="Y13" i="3" s="1"/>
  <c r="E128" i="6" s="1"/>
  <c r="I128" i="6" s="1"/>
  <c r="AI20" i="9"/>
  <c r="H7" i="3"/>
  <c r="V13" i="3" s="1"/>
  <c r="AA21" i="2"/>
  <c r="AI10" i="9"/>
  <c r="B19" i="3"/>
  <c r="P21" i="3" s="1"/>
  <c r="B125" i="6" s="1"/>
  <c r="I125" i="6" s="1"/>
  <c r="AI8" i="9"/>
  <c r="B15" i="3"/>
  <c r="S13" i="3" s="1"/>
  <c r="E124" i="6" s="1"/>
  <c r="I124" i="6" s="1"/>
  <c r="AA48" i="2"/>
  <c r="AI6" i="9"/>
  <c r="B11" i="3"/>
  <c r="P5" i="3" s="1"/>
  <c r="AA58" i="2"/>
  <c r="AI4" i="9"/>
  <c r="B7" i="3"/>
  <c r="P13" i="3" s="1"/>
  <c r="AA13" i="2"/>
  <c r="AA22" i="2"/>
  <c r="AA59" i="2"/>
  <c r="AQ8" i="8" s="1"/>
  <c r="AX6" i="8"/>
  <c r="AY6" i="8" s="1"/>
  <c r="BA6" i="8" s="1"/>
  <c r="AX5" i="8"/>
  <c r="AY5" i="8" s="1"/>
  <c r="BA5" i="8" s="1"/>
  <c r="AX13" i="8"/>
  <c r="AY13" i="8" s="1"/>
  <c r="BA13" i="8" s="1"/>
  <c r="AX10" i="8"/>
  <c r="AY10" i="8" s="1"/>
  <c r="BA10" i="8" s="1"/>
  <c r="AX7" i="8"/>
  <c r="AY7" i="8" s="1"/>
  <c r="BA7" i="8" s="1"/>
  <c r="AX11" i="8"/>
  <c r="AY11" i="8" s="1"/>
  <c r="BA11" i="8" s="1"/>
  <c r="AX12" i="8"/>
  <c r="AY12" i="8" s="1"/>
  <c r="BA12" i="8" s="1"/>
  <c r="AX8" i="8"/>
  <c r="AY8" i="8" s="1"/>
  <c r="BA8" i="8" s="1"/>
  <c r="AX4" i="8"/>
  <c r="AY4" i="8" s="1"/>
  <c r="BA4" i="8" s="1"/>
  <c r="AA49" i="2"/>
  <c r="AA24" i="2"/>
  <c r="AA23" i="2"/>
  <c r="AA57" i="2"/>
  <c r="AA50" i="2"/>
  <c r="AA15" i="2"/>
  <c r="AX2" i="8"/>
  <c r="AY2" i="8" s="1"/>
  <c r="AA33" i="2"/>
  <c r="AA30" i="2"/>
  <c r="AA31" i="2"/>
  <c r="AA12" i="2"/>
  <c r="AA42" i="2"/>
  <c r="AA40" i="2"/>
  <c r="AA87" i="2"/>
  <c r="AA39" i="2"/>
  <c r="AA95" i="2"/>
  <c r="AQ12" i="8" s="1"/>
  <c r="AA93" i="2"/>
  <c r="AA94" i="2"/>
  <c r="AA105" i="2"/>
  <c r="AA76" i="2"/>
  <c r="AA32" i="2"/>
  <c r="AQ5" i="8" s="1"/>
  <c r="AA96" i="2"/>
  <c r="AA77" i="2"/>
  <c r="AQ10" i="8" s="1"/>
  <c r="AA84" i="2"/>
  <c r="AA104" i="2"/>
  <c r="AQ13" i="8" s="1"/>
  <c r="AA5" i="2"/>
  <c r="AQ2" i="8" s="1"/>
  <c r="AA102" i="2"/>
  <c r="AA86" i="2"/>
  <c r="AQ11" i="8" s="1"/>
  <c r="AA85" i="2"/>
  <c r="AA78" i="2"/>
  <c r="AA75" i="2"/>
  <c r="AA103" i="2"/>
  <c r="AA4" i="2"/>
  <c r="AA6" i="2"/>
  <c r="AM70" i="2"/>
  <c r="B134" i="6" l="1" a="1"/>
  <c r="B134" i="6"/>
  <c r="I134" i="6" s="1"/>
  <c r="K134" i="6"/>
  <c r="J134" i="6"/>
  <c r="L134" i="6"/>
  <c r="AH14" i="9"/>
  <c r="B128" i="6"/>
  <c r="L128" i="6" s="1"/>
  <c r="AH18" i="9"/>
  <c r="B130" i="6"/>
  <c r="L130" i="6" s="1"/>
  <c r="AH17" i="9"/>
  <c r="E129" i="6"/>
  <c r="L129" i="6" s="1"/>
  <c r="AH6" i="9"/>
  <c r="B124" i="6"/>
  <c r="L124" i="6" s="1"/>
  <c r="AH4" i="9"/>
  <c r="B123" i="6"/>
  <c r="L123" i="6" s="1"/>
  <c r="AG10" i="9"/>
  <c r="H11" i="4"/>
  <c r="K19" i="4" s="1"/>
  <c r="AF5" i="9"/>
  <c r="E21" i="4"/>
  <c r="P13" i="4" s="1"/>
  <c r="AG4" i="9"/>
  <c r="B7" i="4"/>
  <c r="B19" i="4" s="1"/>
  <c r="B135" i="6" s="1" a="1"/>
  <c r="AH8" i="9"/>
  <c r="P23" i="3"/>
  <c r="H5" i="4" s="1"/>
  <c r="B133" i="6" s="1" a="1"/>
  <c r="AH15" i="9"/>
  <c r="V15" i="3"/>
  <c r="E9" i="4" s="1"/>
  <c r="AH7" i="9"/>
  <c r="P15" i="3"/>
  <c r="E5" i="4" s="1"/>
  <c r="AG5" i="9" s="1"/>
  <c r="AM61" i="2"/>
  <c r="AR62" i="2" s="1"/>
  <c r="AM25" i="2"/>
  <c r="AT21" i="2" s="1"/>
  <c r="AQ4" i="8"/>
  <c r="BC10" i="8"/>
  <c r="AM52" i="2"/>
  <c r="AT50" i="2" s="1"/>
  <c r="AQ7" i="8"/>
  <c r="BC12" i="8"/>
  <c r="BC6" i="8"/>
  <c r="BC7" i="8"/>
  <c r="BC2" i="8"/>
  <c r="BC5" i="8"/>
  <c r="BC3" i="8"/>
  <c r="BC13" i="8"/>
  <c r="BC4" i="8"/>
  <c r="BC9" i="8"/>
  <c r="BC8" i="8"/>
  <c r="BA2" i="8"/>
  <c r="BI4" i="8" s="1"/>
  <c r="BC11" i="8"/>
  <c r="AM16" i="2"/>
  <c r="AT13" i="2" s="1"/>
  <c r="AM43" i="2"/>
  <c r="AT41" i="2" s="1"/>
  <c r="AM34" i="2"/>
  <c r="AT31" i="2" s="1"/>
  <c r="AM97" i="2"/>
  <c r="AT93" i="2" s="1"/>
  <c r="S22" i="4"/>
  <c r="G5" i="6" s="1"/>
  <c r="CS2" i="2"/>
  <c r="CS4" i="2" s="1"/>
  <c r="AM79" i="2"/>
  <c r="AM7" i="2"/>
  <c r="AT5" i="2" s="1"/>
  <c r="AM106" i="2"/>
  <c r="AM88" i="2"/>
  <c r="AT69" i="2"/>
  <c r="AT68" i="2"/>
  <c r="AR71" i="2"/>
  <c r="AT67" i="2"/>
  <c r="AT66" i="2"/>
  <c r="B133" i="6" l="1"/>
  <c r="J133" i="6" s="1"/>
  <c r="L133" i="6"/>
  <c r="K133" i="6"/>
  <c r="I133" i="6"/>
  <c r="B135" i="6"/>
  <c r="J135" i="6"/>
  <c r="L135" i="6"/>
  <c r="I135" i="6"/>
  <c r="K135" i="6"/>
  <c r="AG7" i="9"/>
  <c r="B132" i="6" a="1"/>
  <c r="B131" i="6" a="1"/>
  <c r="AF7" i="9"/>
  <c r="H21" i="4"/>
  <c r="S4" i="4" s="1"/>
  <c r="AG8" i="9"/>
  <c r="M31" i="9" s="1"/>
  <c r="H7" i="4"/>
  <c r="H19" i="4" s="1"/>
  <c r="B136" i="6" s="1" a="1"/>
  <c r="B137" i="6"/>
  <c r="J137" i="6" s="1"/>
  <c r="P15" i="4"/>
  <c r="AE4" i="9" s="1"/>
  <c r="AF4" i="9"/>
  <c r="B21" i="4"/>
  <c r="P4" i="4" s="1"/>
  <c r="N44" i="9"/>
  <c r="N14" i="9"/>
  <c r="N38" i="9"/>
  <c r="N45" i="9"/>
  <c r="N40" i="9"/>
  <c r="N27" i="9"/>
  <c r="N22" i="9"/>
  <c r="N46" i="9"/>
  <c r="N49" i="9"/>
  <c r="N10" i="9"/>
  <c r="N36" i="9"/>
  <c r="N29" i="9"/>
  <c r="N30" i="9"/>
  <c r="N20" i="9"/>
  <c r="N8" i="9"/>
  <c r="N35" i="9"/>
  <c r="N33" i="9"/>
  <c r="N11" i="9"/>
  <c r="N12" i="9"/>
  <c r="N25" i="9"/>
  <c r="N32" i="9"/>
  <c r="N51" i="9"/>
  <c r="N28" i="9"/>
  <c r="N34" i="9"/>
  <c r="N13" i="9"/>
  <c r="N19" i="9"/>
  <c r="N18" i="9"/>
  <c r="N50" i="9"/>
  <c r="N39" i="9"/>
  <c r="N17" i="9"/>
  <c r="N42" i="9"/>
  <c r="N6" i="9"/>
  <c r="N31" i="9"/>
  <c r="N37" i="9"/>
  <c r="N48" i="9"/>
  <c r="N47" i="9"/>
  <c r="N43" i="9"/>
  <c r="N16" i="9"/>
  <c r="N41" i="9"/>
  <c r="N5" i="9"/>
  <c r="N26" i="9"/>
  <c r="N21" i="9"/>
  <c r="N7" i="9"/>
  <c r="N15" i="9"/>
  <c r="N23" i="9"/>
  <c r="N4" i="9"/>
  <c r="N9" i="9"/>
  <c r="N24" i="9"/>
  <c r="AT57" i="2"/>
  <c r="AT58" i="2"/>
  <c r="AT60" i="2"/>
  <c r="AT59" i="2"/>
  <c r="AR53" i="2"/>
  <c r="AT49" i="2"/>
  <c r="AT24" i="2"/>
  <c r="AT23" i="2"/>
  <c r="AR26" i="2"/>
  <c r="AT22" i="2"/>
  <c r="AT51" i="2"/>
  <c r="AT48" i="2"/>
  <c r="AQ15" i="8"/>
  <c r="BD6" i="8" s="1"/>
  <c r="BE6" i="8" s="1"/>
  <c r="BI8" i="8"/>
  <c r="BI2" i="8"/>
  <c r="BI3" i="8"/>
  <c r="BI7" i="8"/>
  <c r="BI6" i="8"/>
  <c r="BI9" i="8"/>
  <c r="BI5" i="8"/>
  <c r="AT32" i="2"/>
  <c r="AT12" i="2"/>
  <c r="AR8" i="2"/>
  <c r="AR17" i="2"/>
  <c r="AT14" i="2"/>
  <c r="AT15" i="2"/>
  <c r="AR44" i="2"/>
  <c r="AT39" i="2"/>
  <c r="AT42" i="2"/>
  <c r="AT40" i="2"/>
  <c r="AR35" i="2"/>
  <c r="AT30" i="2"/>
  <c r="AT3" i="2"/>
  <c r="AT33" i="2"/>
  <c r="AR98" i="2"/>
  <c r="AT6" i="2"/>
  <c r="AT94" i="2"/>
  <c r="AT96" i="2"/>
  <c r="AT95" i="2"/>
  <c r="AT4" i="2"/>
  <c r="AT86" i="2"/>
  <c r="AT84" i="2"/>
  <c r="AT85" i="2"/>
  <c r="AR89" i="2"/>
  <c r="AT87" i="2"/>
  <c r="AT104" i="2"/>
  <c r="AR107" i="2"/>
  <c r="AT103" i="2"/>
  <c r="AT102" i="2"/>
  <c r="AT105" i="2"/>
  <c r="AT77" i="2"/>
  <c r="AR80" i="2"/>
  <c r="AT75" i="2"/>
  <c r="AT78" i="2"/>
  <c r="AT76" i="2"/>
  <c r="B132" i="6" l="1"/>
  <c r="I132" i="6" s="1"/>
  <c r="J132" i="6"/>
  <c r="L132" i="6"/>
  <c r="K132" i="6"/>
  <c r="B136" i="6"/>
  <c r="L136" i="6"/>
  <c r="K136" i="6"/>
  <c r="J136" i="6"/>
  <c r="I136" i="6"/>
  <c r="B131" i="6"/>
  <c r="I131" i="6"/>
  <c r="L131" i="6"/>
  <c r="J131" i="6"/>
  <c r="K131" i="6"/>
  <c r="M11" i="9"/>
  <c r="M48" i="9"/>
  <c r="M47" i="9"/>
  <c r="M12" i="9"/>
  <c r="M24" i="9"/>
  <c r="M38" i="9"/>
  <c r="M17" i="9"/>
  <c r="M21" i="9"/>
  <c r="M50" i="9"/>
  <c r="M41" i="9"/>
  <c r="M13" i="9"/>
  <c r="M10" i="9"/>
  <c r="M32" i="9"/>
  <c r="M35" i="9"/>
  <c r="M15" i="9"/>
  <c r="M6" i="9"/>
  <c r="M51" i="9"/>
  <c r="M46" i="9"/>
  <c r="M18" i="9"/>
  <c r="M28" i="9"/>
  <c r="M25" i="9"/>
  <c r="M43" i="9"/>
  <c r="M20" i="9"/>
  <c r="M29" i="9"/>
  <c r="M26" i="9"/>
  <c r="M8" i="9"/>
  <c r="M37" i="9"/>
  <c r="M44" i="9"/>
  <c r="M45" i="9"/>
  <c r="M7" i="9"/>
  <c r="M4" i="9"/>
  <c r="M5" i="9"/>
  <c r="M16" i="9"/>
  <c r="M42" i="9"/>
  <c r="M14" i="9"/>
  <c r="M33" i="9"/>
  <c r="M30" i="9"/>
  <c r="M34" i="9"/>
  <c r="M49" i="9"/>
  <c r="M39" i="9"/>
  <c r="M27" i="9"/>
  <c r="M36" i="9"/>
  <c r="M9" i="9"/>
  <c r="M19" i="9"/>
  <c r="M40" i="9"/>
  <c r="E138" i="6"/>
  <c r="I138" i="6" s="1"/>
  <c r="AD5" i="9"/>
  <c r="P8" i="4"/>
  <c r="M22" i="9"/>
  <c r="M23" i="9"/>
  <c r="AF6" i="9"/>
  <c r="L21" i="9" s="1"/>
  <c r="K21" i="4"/>
  <c r="S13" i="4" s="1"/>
  <c r="K47" i="9"/>
  <c r="K36" i="9"/>
  <c r="K30" i="9"/>
  <c r="K48" i="9"/>
  <c r="K23" i="9"/>
  <c r="K34" i="9"/>
  <c r="K39" i="9"/>
  <c r="K18" i="9"/>
  <c r="K43" i="9"/>
  <c r="K35" i="9"/>
  <c r="K28" i="9"/>
  <c r="K19" i="9"/>
  <c r="K45" i="9"/>
  <c r="K41" i="9"/>
  <c r="K13" i="9"/>
  <c r="K51" i="9"/>
  <c r="K4" i="9"/>
  <c r="K24" i="9"/>
  <c r="K16" i="9"/>
  <c r="K49" i="9"/>
  <c r="K9" i="9"/>
  <c r="K6" i="9"/>
  <c r="K33" i="9"/>
  <c r="K27" i="9"/>
  <c r="K7" i="9"/>
  <c r="K46" i="9"/>
  <c r="K17" i="9"/>
  <c r="K5" i="9"/>
  <c r="K14" i="9"/>
  <c r="K29" i="9"/>
  <c r="K44" i="9"/>
  <c r="K8" i="9"/>
  <c r="K40" i="9"/>
  <c r="K12" i="9"/>
  <c r="K22" i="9"/>
  <c r="K26" i="9"/>
  <c r="K10" i="9"/>
  <c r="K50" i="9"/>
  <c r="K42" i="9"/>
  <c r="K38" i="9"/>
  <c r="K15" i="9"/>
  <c r="K11" i="9"/>
  <c r="K31" i="9"/>
  <c r="K25" i="9"/>
  <c r="K37" i="9"/>
  <c r="K21" i="9"/>
  <c r="K32" i="9"/>
  <c r="K20" i="9"/>
  <c r="B138" i="6"/>
  <c r="AD4" i="9"/>
  <c r="S8" i="4"/>
  <c r="BJ7" i="8"/>
  <c r="BD2" i="8"/>
  <c r="BE2" i="8" s="1"/>
  <c r="BK3" i="8"/>
  <c r="BL3" i="8" s="1"/>
  <c r="AA3" i="8" s="1"/>
  <c r="BD5" i="8"/>
  <c r="BE5" i="8" s="1"/>
  <c r="BD8" i="8"/>
  <c r="BE8" i="8" s="1"/>
  <c r="BD12" i="8"/>
  <c r="BE12" i="8" s="1"/>
  <c r="BJ2" i="8"/>
  <c r="BJ8" i="8"/>
  <c r="BD11" i="8"/>
  <c r="BE11" i="8" s="1"/>
  <c r="BJ3" i="8"/>
  <c r="BJ4" i="8"/>
  <c r="BD3" i="8"/>
  <c r="BE3" i="8" s="1"/>
  <c r="BK4" i="8"/>
  <c r="BL4" i="8" s="1"/>
  <c r="AA4" i="8" s="1"/>
  <c r="BJ9" i="8"/>
  <c r="BD4" i="8"/>
  <c r="BE4" i="8" s="1"/>
  <c r="BD13" i="8"/>
  <c r="BE13" i="8" s="1"/>
  <c r="BK5" i="8"/>
  <c r="BL5" i="8" s="1"/>
  <c r="AA5" i="8" s="1"/>
  <c r="BD10" i="8"/>
  <c r="BE10" i="8" s="1"/>
  <c r="BJ6" i="8"/>
  <c r="BD9" i="8"/>
  <c r="BE9" i="8" s="1"/>
  <c r="BD7" i="8"/>
  <c r="BE7" i="8" s="1"/>
  <c r="BJ5" i="8"/>
  <c r="BK7" i="8"/>
  <c r="BL7" i="8" s="1"/>
  <c r="AA7" i="8" s="1"/>
  <c r="BK2" i="8"/>
  <c r="BL2" i="8" s="1"/>
  <c r="AA2" i="8" s="1"/>
  <c r="BK9" i="8"/>
  <c r="BL9" i="8" s="1"/>
  <c r="AA9" i="8" s="1"/>
  <c r="BK8" i="8"/>
  <c r="BL8" i="8" s="1"/>
  <c r="AA8" i="8" s="1"/>
  <c r="BK6" i="8"/>
  <c r="BL6" i="8" s="1"/>
  <c r="AA6" i="8" s="1"/>
  <c r="L33" i="9" l="1"/>
  <c r="L4" i="9"/>
  <c r="L22" i="9"/>
  <c r="L51" i="9"/>
  <c r="L31" i="9"/>
  <c r="L36" i="9"/>
  <c r="L24" i="9"/>
  <c r="L40" i="9"/>
  <c r="L45" i="9"/>
  <c r="L11" i="9"/>
  <c r="L10" i="9"/>
  <c r="L9" i="9"/>
  <c r="L6" i="9"/>
  <c r="L46" i="9"/>
  <c r="L37" i="9"/>
  <c r="L47" i="9"/>
  <c r="L43" i="9"/>
  <c r="L48" i="9"/>
  <c r="L12" i="9"/>
  <c r="L32" i="9"/>
  <c r="L14" i="9"/>
  <c r="L42" i="9"/>
  <c r="L39" i="9"/>
  <c r="L26" i="9"/>
  <c r="L19" i="9"/>
  <c r="L35" i="9"/>
  <c r="L27" i="9"/>
  <c r="L7" i="9"/>
  <c r="L34" i="9"/>
  <c r="L49" i="9"/>
  <c r="L30" i="9"/>
  <c r="L15" i="9"/>
  <c r="L5" i="9"/>
  <c r="L13" i="9"/>
  <c r="L29" i="9"/>
  <c r="L41" i="9"/>
  <c r="L38" i="9"/>
  <c r="L44" i="9"/>
  <c r="L16" i="9"/>
  <c r="L20" i="9"/>
  <c r="L8" i="9"/>
  <c r="L18" i="9"/>
  <c r="L25" i="9"/>
  <c r="L28" i="9"/>
  <c r="L50" i="9"/>
  <c r="L17" i="9"/>
  <c r="L23" i="9"/>
  <c r="AC4" i="9"/>
  <c r="Q18" i="9"/>
  <c r="Q51" i="9"/>
  <c r="Q32" i="9"/>
  <c r="Q4" i="9"/>
  <c r="Q17" i="9"/>
  <c r="Q48" i="9"/>
  <c r="Q21" i="9"/>
  <c r="Q47" i="9"/>
  <c r="Q37" i="9"/>
  <c r="Q35" i="9"/>
  <c r="Q29" i="9"/>
  <c r="Q39" i="9"/>
  <c r="Q43" i="9"/>
  <c r="Q41" i="9"/>
  <c r="Q27" i="9"/>
  <c r="Q36" i="9"/>
  <c r="Q14" i="9"/>
  <c r="Q31" i="9"/>
  <c r="Q8" i="9"/>
  <c r="Q24" i="9"/>
  <c r="Q10" i="9"/>
  <c r="Q20" i="9"/>
  <c r="Q16" i="9"/>
  <c r="Q11" i="9"/>
  <c r="Q15" i="9"/>
  <c r="Q26" i="9"/>
  <c r="Q9" i="9"/>
  <c r="Q42" i="9"/>
  <c r="Q49" i="9"/>
  <c r="Q23" i="9"/>
  <c r="Q5" i="9"/>
  <c r="Q6" i="9"/>
  <c r="Q46" i="9"/>
  <c r="Q25" i="9"/>
  <c r="Q40" i="9"/>
  <c r="Q13" i="9"/>
  <c r="Q34" i="9"/>
  <c r="Q12" i="9"/>
  <c r="Q30" i="9"/>
  <c r="Q22" i="9"/>
  <c r="Q28" i="9"/>
  <c r="Q38" i="9"/>
  <c r="Q50" i="9"/>
  <c r="Q19" i="9"/>
  <c r="Q44" i="9"/>
  <c r="Q7" i="9"/>
  <c r="Q45" i="9"/>
  <c r="Q33" i="9"/>
  <c r="E137" i="6"/>
  <c r="K137" i="6" s="1"/>
  <c r="S15" i="4"/>
  <c r="J45" i="9"/>
  <c r="J13" i="9"/>
  <c r="J18" i="9"/>
  <c r="J30" i="9"/>
  <c r="J8" i="9"/>
  <c r="J44" i="9"/>
  <c r="J11" i="9"/>
  <c r="J37" i="9"/>
  <c r="J35" i="9"/>
  <c r="J7" i="9"/>
  <c r="J26" i="9"/>
  <c r="J12" i="9"/>
  <c r="J40" i="9"/>
  <c r="J15" i="9"/>
  <c r="J34" i="9"/>
  <c r="J9" i="9"/>
  <c r="J28" i="9"/>
  <c r="J21" i="9"/>
  <c r="J25" i="9"/>
  <c r="J5" i="9"/>
  <c r="J23" i="9"/>
  <c r="J6" i="9"/>
  <c r="J49" i="9"/>
  <c r="J32" i="9"/>
  <c r="J38" i="9"/>
  <c r="J43" i="9"/>
  <c r="J50" i="9"/>
  <c r="J20" i="9"/>
  <c r="J4" i="9"/>
  <c r="J10" i="9"/>
  <c r="J46" i="9"/>
  <c r="J16" i="9"/>
  <c r="J29" i="9"/>
  <c r="J41" i="9"/>
  <c r="J14" i="9"/>
  <c r="J27" i="9"/>
  <c r="J42" i="9"/>
  <c r="J24" i="9"/>
  <c r="J19" i="9"/>
  <c r="J48" i="9"/>
  <c r="J39" i="9"/>
  <c r="J47" i="9"/>
  <c r="J36" i="9"/>
  <c r="J17" i="9"/>
  <c r="J51" i="9"/>
  <c r="J31" i="9"/>
  <c r="J33" i="9"/>
  <c r="J22" i="9"/>
  <c r="L138" i="6"/>
  <c r="BF6" i="8"/>
  <c r="BG6" i="8" s="1"/>
  <c r="CW4" i="2" s="1"/>
  <c r="AI23" i="2" s="1"/>
  <c r="BF3" i="8"/>
  <c r="BG3" i="8" s="1"/>
  <c r="CW5" i="2" s="1"/>
  <c r="AI32" i="2" s="1"/>
  <c r="BF9" i="8"/>
  <c r="BG9" i="8" s="1"/>
  <c r="CW8" i="2" s="1"/>
  <c r="AI59" i="2" s="1"/>
  <c r="BF4" i="8"/>
  <c r="BG4" i="8" s="1"/>
  <c r="CW10" i="2" s="1"/>
  <c r="AI77" i="2" s="1"/>
  <c r="BF8" i="8"/>
  <c r="BG8" i="8" s="1"/>
  <c r="CW9" i="2" s="1"/>
  <c r="AI68" i="2" s="1"/>
  <c r="BF5" i="8"/>
  <c r="BG5" i="8" s="1"/>
  <c r="CW7" i="2" s="1"/>
  <c r="AI50" i="2" s="1"/>
  <c r="BF12" i="8"/>
  <c r="BG12" i="8" s="1"/>
  <c r="CW6" i="2" s="1"/>
  <c r="AI41" i="2" s="1"/>
  <c r="BF2" i="8"/>
  <c r="BG2" i="8" s="1"/>
  <c r="CW2" i="2" s="1"/>
  <c r="AI5" i="2" s="1"/>
  <c r="BF10" i="8"/>
  <c r="BG10" i="8" s="1"/>
  <c r="CW12" i="2" s="1"/>
  <c r="AI95" i="2" s="1"/>
  <c r="BF7" i="8"/>
  <c r="BG7" i="8" s="1"/>
  <c r="CW13" i="2" s="1"/>
  <c r="AI104" i="2" s="1"/>
  <c r="BF11" i="8"/>
  <c r="BG11" i="8" s="1"/>
  <c r="CW11" i="2" s="1"/>
  <c r="AI86" i="2" s="1"/>
  <c r="BF13" i="8"/>
  <c r="BG13" i="8" s="1"/>
  <c r="CW3" i="2" s="1"/>
  <c r="AI14" i="2" s="1"/>
  <c r="Y209" i="8"/>
  <c r="Y366" i="8"/>
  <c r="Y242" i="8"/>
  <c r="Y101" i="8"/>
  <c r="Y226" i="8"/>
  <c r="Y461" i="8"/>
  <c r="Y144" i="8"/>
  <c r="Y371" i="8"/>
  <c r="Y20" i="8"/>
  <c r="Y229" i="8"/>
  <c r="Y108" i="8"/>
  <c r="Y10" i="8"/>
  <c r="Y272" i="8"/>
  <c r="Y369" i="8"/>
  <c r="Y214" i="8"/>
  <c r="Y326" i="8"/>
  <c r="Y368" i="8"/>
  <c r="Y297" i="8"/>
  <c r="Y233" i="8"/>
  <c r="Y239" i="8"/>
  <c r="Y36" i="8"/>
  <c r="Y81" i="8"/>
  <c r="Y471" i="8"/>
  <c r="Y102" i="8"/>
  <c r="Y7" i="8"/>
  <c r="Y432" i="8"/>
  <c r="Y474" i="8"/>
  <c r="Y73" i="8"/>
  <c r="Y150" i="8"/>
  <c r="Y384" i="8"/>
  <c r="Y189" i="8"/>
  <c r="Y273" i="8"/>
  <c r="Y110" i="8"/>
  <c r="Y480" i="8"/>
  <c r="Y337" i="8"/>
  <c r="Y320" i="8"/>
  <c r="Y38" i="8"/>
  <c r="Y458" i="8"/>
  <c r="Y118" i="8"/>
  <c r="Y293" i="8"/>
  <c r="Y74" i="8"/>
  <c r="Y3" i="8"/>
  <c r="Y405" i="8"/>
  <c r="Y476" i="8"/>
  <c r="Y41" i="8"/>
  <c r="Y234" i="8"/>
  <c r="Y23" i="8"/>
  <c r="Y35" i="8"/>
  <c r="Y335" i="8"/>
  <c r="Y177" i="8"/>
  <c r="Y493" i="8"/>
  <c r="Y40" i="8"/>
  <c r="Y228" i="8"/>
  <c r="Y128" i="8"/>
  <c r="Y55" i="8"/>
  <c r="Y94" i="8"/>
  <c r="Y105" i="8"/>
  <c r="Y408" i="8"/>
  <c r="Y477" i="8"/>
  <c r="Y382" i="8"/>
  <c r="Y365" i="8"/>
  <c r="Y448" i="8"/>
  <c r="Y14" i="8"/>
  <c r="Y206" i="8"/>
  <c r="Y227" i="8"/>
  <c r="Y43" i="8"/>
  <c r="Y28" i="8"/>
  <c r="Y421" i="8"/>
  <c r="Y393" i="8"/>
  <c r="Y225" i="8"/>
  <c r="Y96" i="8"/>
  <c r="Y112" i="8"/>
  <c r="Y13" i="8"/>
  <c r="Y31" i="8"/>
  <c r="Y333" i="8"/>
  <c r="Y392" i="8"/>
  <c r="Y399" i="8"/>
  <c r="Y308" i="8"/>
  <c r="Y187" i="8"/>
  <c r="Y33" i="8"/>
  <c r="Y431" i="8"/>
  <c r="Y173" i="8"/>
  <c r="Y251" i="8"/>
  <c r="Y485" i="8"/>
  <c r="Y397" i="8"/>
  <c r="Y44" i="8"/>
  <c r="Y115" i="8"/>
  <c r="Y26" i="8"/>
  <c r="Y314" i="8"/>
  <c r="Y181" i="8"/>
  <c r="Y182" i="8"/>
  <c r="Y324" i="8"/>
  <c r="Y330" i="8"/>
  <c r="Y344" i="8"/>
  <c r="Y200" i="8"/>
  <c r="Y211" i="8"/>
  <c r="Y372" i="8"/>
  <c r="Y350" i="8"/>
  <c r="Y176" i="8"/>
  <c r="Y407" i="8"/>
  <c r="Y68" i="8"/>
  <c r="Y322" i="8"/>
  <c r="Y291" i="8"/>
  <c r="Y404" i="8"/>
  <c r="Y318" i="8"/>
  <c r="Y246" i="8"/>
  <c r="Y215" i="8"/>
  <c r="Y212" i="8"/>
  <c r="Y63" i="8"/>
  <c r="Y447" i="8"/>
  <c r="Y37" i="8"/>
  <c r="Y204" i="8"/>
  <c r="Y352" i="8"/>
  <c r="Y334" i="8"/>
  <c r="Y65" i="8"/>
  <c r="Y223" i="8"/>
  <c r="Y218" i="8"/>
  <c r="Y355" i="8"/>
  <c r="Y376" i="8"/>
  <c r="Y490" i="8"/>
  <c r="Y196" i="8"/>
  <c r="Y360" i="8"/>
  <c r="Y201" i="8"/>
  <c r="Y331" i="8"/>
  <c r="Y256" i="8"/>
  <c r="Y464" i="8"/>
  <c r="Y470" i="8"/>
  <c r="Y469" i="8"/>
  <c r="Y255" i="8"/>
  <c r="Y124" i="8"/>
  <c r="Y415" i="8"/>
  <c r="Y46" i="8"/>
  <c r="Y50" i="8"/>
  <c r="Y338" i="8"/>
  <c r="Y332" i="8"/>
  <c r="Y47" i="8"/>
  <c r="Y413" i="8"/>
  <c r="Y284" i="8"/>
  <c r="Y210" i="8"/>
  <c r="Y122" i="8"/>
  <c r="Y232" i="8"/>
  <c r="Y269" i="8"/>
  <c r="Y279" i="8"/>
  <c r="Y262" i="8"/>
  <c r="Y15" i="8"/>
  <c r="Y248" i="8"/>
  <c r="Y140" i="8"/>
  <c r="Y357" i="8"/>
  <c r="Y113" i="8"/>
  <c r="Y481" i="8"/>
  <c r="Y145" i="8"/>
  <c r="Y148" i="8"/>
  <c r="Y311" i="8"/>
  <c r="Y259" i="8"/>
  <c r="Y494" i="8"/>
  <c r="Y224" i="8"/>
  <c r="Y278" i="8"/>
  <c r="Y137" i="8"/>
  <c r="Y103" i="8"/>
  <c r="Y375" i="8"/>
  <c r="Y116" i="8"/>
  <c r="Y285" i="8"/>
  <c r="Y133" i="8"/>
  <c r="Y437" i="8"/>
  <c r="Y439" i="8"/>
  <c r="Y100" i="8"/>
  <c r="Y51" i="8"/>
  <c r="Y172" i="8"/>
  <c r="Y316" i="8"/>
  <c r="Y235" i="8"/>
  <c r="Y449" i="8"/>
  <c r="Y282" i="8"/>
  <c r="Y142" i="8"/>
  <c r="Y398" i="8"/>
  <c r="Y345" i="8"/>
  <c r="Y305" i="8"/>
  <c r="Y240" i="8"/>
  <c r="Y258" i="8"/>
  <c r="Y92" i="8"/>
  <c r="Y417" i="8"/>
  <c r="Y383" i="8"/>
  <c r="Y178" i="8"/>
  <c r="Y60" i="8"/>
  <c r="Y264" i="8"/>
  <c r="Y307" i="8"/>
  <c r="Y76" i="8"/>
  <c r="Y482" i="8"/>
  <c r="Y17" i="8"/>
  <c r="Y32" i="8"/>
  <c r="Y245" i="8"/>
  <c r="Y184" i="8"/>
  <c r="Y378" i="8"/>
  <c r="Y359" i="8"/>
  <c r="Y381" i="8"/>
  <c r="Y67" i="8"/>
  <c r="Y401" i="8"/>
  <c r="Y419" i="8"/>
  <c r="Y353" i="8"/>
  <c r="Y207" i="8"/>
  <c r="Y111" i="8"/>
  <c r="Y492" i="8"/>
  <c r="Y323" i="8"/>
  <c r="Y303" i="8"/>
  <c r="Y136" i="8"/>
  <c r="Y412" i="8"/>
  <c r="Y146" i="8"/>
  <c r="Y70" i="8"/>
  <c r="Y348" i="8"/>
  <c r="Y179" i="8"/>
  <c r="Y125" i="8"/>
  <c r="Y451" i="8"/>
  <c r="Y89" i="8"/>
  <c r="Y475" i="8"/>
  <c r="Y58" i="8"/>
  <c r="Y16" i="8"/>
  <c r="Y479" i="8"/>
  <c r="Y166" i="8"/>
  <c r="Y310" i="8"/>
  <c r="Y304" i="8"/>
  <c r="Y56" i="8"/>
  <c r="Y379" i="8"/>
  <c r="Y134" i="8"/>
  <c r="Y188" i="8"/>
  <c r="Y107" i="8"/>
  <c r="Y199" i="8"/>
  <c r="Y191" i="8"/>
  <c r="Y391" i="8"/>
  <c r="Y389" i="8"/>
  <c r="Y341" i="8"/>
  <c r="Y57" i="8"/>
  <c r="Y455" i="8"/>
  <c r="Y491" i="8"/>
  <c r="Y171" i="8"/>
  <c r="Y162" i="8"/>
  <c r="Y104" i="8"/>
  <c r="Y45" i="8"/>
  <c r="Y185" i="8"/>
  <c r="Y159" i="8"/>
  <c r="Y167" i="8"/>
  <c r="Y277" i="8"/>
  <c r="Y385" i="8"/>
  <c r="Y410" i="8"/>
  <c r="Y268" i="8"/>
  <c r="Y267" i="8"/>
  <c r="Y317" i="8"/>
  <c r="Y231" i="8"/>
  <c r="Y340" i="8"/>
  <c r="Y6" i="8"/>
  <c r="Y483" i="8"/>
  <c r="Y388" i="8"/>
  <c r="Y260" i="8"/>
  <c r="Y289" i="8"/>
  <c r="Y18" i="8"/>
  <c r="Y2" i="8"/>
  <c r="Y339" i="8"/>
  <c r="Y165" i="8"/>
  <c r="Y441" i="8"/>
  <c r="Y30" i="8"/>
  <c r="Y117" i="8"/>
  <c r="Y295" i="8"/>
  <c r="Y394" i="8"/>
  <c r="Y241" i="8"/>
  <c r="Y487" i="8"/>
  <c r="Y467" i="8"/>
  <c r="Y219" i="8"/>
  <c r="Y358" i="8"/>
  <c r="Y135" i="8"/>
  <c r="Y356" i="8"/>
  <c r="Y84" i="8"/>
  <c r="Y168" i="8"/>
  <c r="Y292" i="8"/>
  <c r="Y478" i="8"/>
  <c r="Y114" i="8"/>
  <c r="Y495" i="8"/>
  <c r="Y250" i="8"/>
  <c r="Y414" i="8"/>
  <c r="Y252" i="8"/>
  <c r="Y71" i="8"/>
  <c r="Y290" i="8"/>
  <c r="Y99" i="8"/>
  <c r="Y313" i="8"/>
  <c r="Y208" i="8"/>
  <c r="Y5" i="8"/>
  <c r="Y288" i="8"/>
  <c r="Y298" i="8"/>
  <c r="Y123" i="8"/>
  <c r="Y230" i="8"/>
  <c r="Y463" i="8"/>
  <c r="Y91" i="8"/>
  <c r="Y459" i="8"/>
  <c r="Y186" i="8"/>
  <c r="Y370" i="8"/>
  <c r="Y95" i="8"/>
  <c r="Y80" i="8"/>
  <c r="Y286" i="8"/>
  <c r="Y12" i="8"/>
  <c r="Y221" i="8"/>
  <c r="Y367" i="8"/>
  <c r="Y183" i="8"/>
  <c r="Y54" i="8"/>
  <c r="Y109" i="8"/>
  <c r="Y411" i="8"/>
  <c r="Y152" i="8"/>
  <c r="Y347" i="8"/>
  <c r="Y433" i="8"/>
  <c r="Y387" i="8"/>
  <c r="Y19" i="8"/>
  <c r="Y395" i="8"/>
  <c r="Y194" i="8"/>
  <c r="Y425" i="8"/>
  <c r="Y435" i="8"/>
  <c r="Y220" i="8"/>
  <c r="Y157" i="8"/>
  <c r="Y488" i="8"/>
  <c r="Y406" i="8"/>
  <c r="Y400" i="8"/>
  <c r="Y139" i="8"/>
  <c r="Y328" i="8"/>
  <c r="Y473" i="8"/>
  <c r="Y253" i="8"/>
  <c r="Y27" i="8"/>
  <c r="Y170" i="8"/>
  <c r="Y4" i="8"/>
  <c r="Y427" i="8"/>
  <c r="Y466" i="8"/>
  <c r="Y205" i="8"/>
  <c r="Y257" i="8"/>
  <c r="Y468" i="8"/>
  <c r="Y496" i="8"/>
  <c r="Y90" i="8"/>
  <c r="Y380" i="8"/>
  <c r="Y325" i="8"/>
  <c r="Y283" i="8"/>
  <c r="Y222" i="8"/>
  <c r="Y450" i="8"/>
  <c r="Y198" i="8"/>
  <c r="Y263" i="8"/>
  <c r="Y329" i="8"/>
  <c r="Y126" i="8"/>
  <c r="Y489" i="8"/>
  <c r="Y309" i="8"/>
  <c r="Y440" i="8"/>
  <c r="Y120" i="8"/>
  <c r="Y127" i="8"/>
  <c r="Y193" i="8"/>
  <c r="Y97" i="8"/>
  <c r="Y306" i="8"/>
  <c r="Y420" i="8"/>
  <c r="Y460" i="8"/>
  <c r="Y141" i="8"/>
  <c r="Y216" i="8"/>
  <c r="Y465" i="8"/>
  <c r="Y78" i="8"/>
  <c r="Y238" i="8"/>
  <c r="Y418" i="8"/>
  <c r="Y321" i="8"/>
  <c r="Y25" i="8"/>
  <c r="Y174" i="8"/>
  <c r="Y129" i="8"/>
  <c r="Y429" i="8"/>
  <c r="Y21" i="8"/>
  <c r="Y287" i="8"/>
  <c r="Y275" i="8"/>
  <c r="Y402" i="8"/>
  <c r="Y430" i="8"/>
  <c r="Y327" i="8"/>
  <c r="Y247" i="8"/>
  <c r="Y213" i="8"/>
  <c r="Y202" i="8"/>
  <c r="Y39" i="8"/>
  <c r="Y143" i="8"/>
  <c r="Y87" i="8"/>
  <c r="Y456" i="8"/>
  <c r="Y156" i="8"/>
  <c r="Y119" i="8"/>
  <c r="Y42" i="8"/>
  <c r="Y64" i="8"/>
  <c r="Y386" i="8"/>
  <c r="Y312" i="8"/>
  <c r="Y180" i="8"/>
  <c r="Y29" i="8"/>
  <c r="Y445" i="8"/>
  <c r="Y453" i="8"/>
  <c r="Y131" i="8"/>
  <c r="Y254" i="8"/>
  <c r="Y266" i="8"/>
  <c r="Y151" i="8"/>
  <c r="Y203" i="8"/>
  <c r="Y161" i="8"/>
  <c r="Y132" i="8"/>
  <c r="Y302" i="8"/>
  <c r="Y364" i="8"/>
  <c r="Y354" i="8"/>
  <c r="Y48" i="8"/>
  <c r="Y319" i="8"/>
  <c r="Y351" i="8"/>
  <c r="Y149" i="8"/>
  <c r="Y422" i="8"/>
  <c r="Y261" i="8"/>
  <c r="Y377" i="8"/>
  <c r="Y49" i="8"/>
  <c r="Y299" i="8"/>
  <c r="Y271" i="8"/>
  <c r="Y85" i="8"/>
  <c r="Y59" i="8"/>
  <c r="Y390" i="8"/>
  <c r="Y424" i="8"/>
  <c r="Y197" i="8"/>
  <c r="Y361" i="8"/>
  <c r="Y363" i="8"/>
  <c r="Y294" i="8"/>
  <c r="Y106" i="8"/>
  <c r="Y88" i="8"/>
  <c r="Y457" i="8"/>
  <c r="Y69" i="8"/>
  <c r="Y53" i="8"/>
  <c r="Y75" i="8"/>
  <c r="Y444" i="8"/>
  <c r="Y93" i="8"/>
  <c r="Y349" i="8"/>
  <c r="Y61" i="8"/>
  <c r="Y22" i="8"/>
  <c r="Y274" i="8"/>
  <c r="Y346" i="8"/>
  <c r="Y217" i="8"/>
  <c r="Y249" i="8"/>
  <c r="Y438" i="8"/>
  <c r="Y82" i="8"/>
  <c r="Y374" i="8"/>
  <c r="Y373" i="8"/>
  <c r="Y237" i="8"/>
  <c r="Y236" i="8"/>
  <c r="Y164" i="8"/>
  <c r="Y454" i="8"/>
  <c r="Y147" i="8"/>
  <c r="Y484" i="8"/>
  <c r="Y265" i="8"/>
  <c r="Y300" i="8"/>
  <c r="Y442" i="8"/>
  <c r="Y244" i="8"/>
  <c r="Y276" i="8"/>
  <c r="Y281" i="8"/>
  <c r="Y270" i="8"/>
  <c r="Y77" i="8"/>
  <c r="Y175" i="8"/>
  <c r="Y34" i="8"/>
  <c r="Y446" i="8"/>
  <c r="Y195" i="8"/>
  <c r="Y153" i="8"/>
  <c r="Y428" i="8"/>
  <c r="Y436" i="8"/>
  <c r="Y336" i="8"/>
  <c r="Y343" i="8"/>
  <c r="Y190" i="8"/>
  <c r="Y434" i="8"/>
  <c r="Y169" i="8"/>
  <c r="Y62" i="8"/>
  <c r="Y342" i="8"/>
  <c r="Y52" i="8"/>
  <c r="Y296" i="8"/>
  <c r="Y72" i="8"/>
  <c r="Y472" i="8"/>
  <c r="Y121" i="8"/>
  <c r="Y138" i="8"/>
  <c r="Y163" i="8"/>
  <c r="Y362" i="8"/>
  <c r="Y24" i="8"/>
  <c r="Y301" i="8"/>
  <c r="Y243" i="8"/>
  <c r="Y154" i="8"/>
  <c r="Y86" i="8"/>
  <c r="Y155" i="8"/>
  <c r="Y280" i="8"/>
  <c r="Y8" i="8"/>
  <c r="Y160" i="8"/>
  <c r="Y79" i="8"/>
  <c r="Y130" i="8"/>
  <c r="Y462" i="8"/>
  <c r="Y409" i="8"/>
  <c r="Y452" i="8"/>
  <c r="Y315" i="8"/>
  <c r="Y396" i="8"/>
  <c r="Y416" i="8"/>
  <c r="Y423" i="8"/>
  <c r="Y158" i="8"/>
  <c r="Y83" i="8"/>
  <c r="Y11" i="8"/>
  <c r="Y443" i="8"/>
  <c r="Y98" i="8"/>
  <c r="Y426" i="8"/>
  <c r="Y486" i="8"/>
  <c r="Y9" i="8"/>
  <c r="Y192" i="8"/>
  <c r="Y66" i="8"/>
  <c r="Y403" i="8"/>
  <c r="I6" i="9" l="1"/>
  <c r="I50" i="9"/>
  <c r="I51" i="9"/>
  <c r="I18" i="9"/>
  <c r="I24" i="9"/>
  <c r="I5" i="9"/>
  <c r="I40" i="9"/>
  <c r="I27" i="9"/>
  <c r="I29" i="9"/>
  <c r="I26" i="9"/>
  <c r="I37" i="9"/>
  <c r="I49" i="9"/>
  <c r="I32" i="9"/>
  <c r="I23" i="9"/>
  <c r="I9" i="9"/>
  <c r="I35" i="9"/>
  <c r="I7" i="9"/>
  <c r="I43" i="9"/>
  <c r="I4" i="9"/>
  <c r="I22" i="9"/>
  <c r="I47" i="9"/>
  <c r="I14" i="9"/>
  <c r="I38" i="9"/>
  <c r="I45" i="9"/>
  <c r="I19" i="9"/>
  <c r="I36" i="9"/>
  <c r="I15" i="9"/>
  <c r="I8" i="9"/>
  <c r="I33" i="9"/>
  <c r="I16" i="9"/>
  <c r="I46" i="9"/>
  <c r="I48" i="9"/>
  <c r="I39" i="9"/>
  <c r="I30" i="9"/>
  <c r="I17" i="9"/>
  <c r="I20" i="9"/>
  <c r="I41" i="9"/>
  <c r="I25" i="9"/>
  <c r="I21" i="9"/>
  <c r="I44" i="9"/>
  <c r="I28" i="9"/>
  <c r="I31" i="9"/>
  <c r="I10" i="9"/>
  <c r="I12" i="9"/>
  <c r="I42" i="9"/>
  <c r="I11" i="9"/>
  <c r="I13" i="9"/>
  <c r="I34" i="9"/>
  <c r="CV14" i="2"/>
  <c r="AG2" i="8"/>
  <c r="AG3" i="8" s="1"/>
  <c r="AF2" i="8"/>
  <c r="AF3" i="8" s="1"/>
  <c r="AE2" i="8"/>
  <c r="AE3" i="8" s="1"/>
  <c r="AD2" i="8"/>
  <c r="AD3" i="8" s="1"/>
  <c r="AK2" i="8"/>
  <c r="AK3" i="8" s="1"/>
  <c r="AJ2" i="8"/>
  <c r="AJ3" i="8" s="1"/>
  <c r="AI2" i="8"/>
  <c r="AI3" i="8" s="1"/>
  <c r="AH2" i="8"/>
  <c r="AH3" i="8" s="1"/>
  <c r="C16" i="7" l="1"/>
  <c r="J28" i="3"/>
  <c r="K29" i="3" s="1"/>
  <c r="C14" i="7"/>
  <c r="J20" i="3"/>
  <c r="K21" i="3" s="1"/>
  <c r="C10" i="7"/>
  <c r="J4" i="3"/>
  <c r="K5" i="3" s="1"/>
  <c r="C11" i="7"/>
  <c r="J8" i="3"/>
  <c r="K9" i="3" s="1"/>
  <c r="C9" i="7"/>
  <c r="D32" i="3"/>
  <c r="E33" i="3" s="1"/>
  <c r="C8" i="7"/>
  <c r="D28" i="3"/>
  <c r="E29" i="3" s="1"/>
  <c r="C6" i="7"/>
  <c r="D20" i="3"/>
  <c r="E21" i="3" s="1"/>
  <c r="C3" i="7"/>
  <c r="D8" i="3"/>
  <c r="E9" i="3" s="1"/>
  <c r="AI23" i="9" l="1"/>
  <c r="E116" i="6"/>
  <c r="L116" i="6" s="1"/>
  <c r="AI29" i="9"/>
  <c r="E119" i="6"/>
  <c r="L119" i="6" s="1"/>
  <c r="AI33" i="9"/>
  <c r="E121" i="6"/>
  <c r="L121" i="6" s="1"/>
  <c r="AI21" i="9"/>
  <c r="E115" i="6"/>
  <c r="K115" i="6" s="1"/>
  <c r="AI7" i="9"/>
  <c r="E108" i="6"/>
  <c r="AI13" i="9"/>
  <c r="O12" i="9" s="1"/>
  <c r="E111" i="6"/>
  <c r="L111" i="6" s="1"/>
  <c r="AI17" i="9"/>
  <c r="E113" i="6"/>
  <c r="L113" i="6" s="1"/>
  <c r="AI19" i="9"/>
  <c r="E114" i="6"/>
  <c r="L114" i="6" s="1"/>
  <c r="O32" i="9" l="1"/>
  <c r="O22" i="9"/>
  <c r="O24" i="9"/>
  <c r="O16" i="9"/>
  <c r="O47" i="9"/>
  <c r="O4" i="9"/>
  <c r="O7" i="9"/>
  <c r="O9" i="9"/>
  <c r="O45" i="9"/>
  <c r="O36" i="9"/>
  <c r="O5" i="9"/>
  <c r="O28" i="9"/>
  <c r="O33" i="9"/>
  <c r="X33" i="9" s="1"/>
  <c r="AT48" i="9" s="1"/>
  <c r="O6" i="9"/>
  <c r="O15" i="9"/>
  <c r="O11" i="9"/>
  <c r="O14" i="9"/>
  <c r="O43" i="9"/>
  <c r="O37" i="9"/>
  <c r="O27" i="9"/>
  <c r="O48" i="9"/>
  <c r="O19" i="9"/>
  <c r="O40" i="9"/>
  <c r="O8" i="9"/>
  <c r="O46" i="9"/>
  <c r="P46" i="9" s="1"/>
  <c r="O21" i="9"/>
  <c r="O18" i="9"/>
  <c r="O35" i="9"/>
  <c r="O38" i="9"/>
  <c r="O26" i="9"/>
  <c r="O51" i="9"/>
  <c r="R36" i="9"/>
  <c r="R8" i="9"/>
  <c r="R34" i="9"/>
  <c r="R12" i="9"/>
  <c r="R15" i="9"/>
  <c r="R26" i="9"/>
  <c r="R9" i="9"/>
  <c r="R45" i="9"/>
  <c r="R42" i="9"/>
  <c r="R7" i="9"/>
  <c r="R5" i="9"/>
  <c r="R43" i="9"/>
  <c r="R6" i="9"/>
  <c r="R17" i="9"/>
  <c r="R14" i="9"/>
  <c r="R11" i="9"/>
  <c r="R16" i="9"/>
  <c r="R25" i="9"/>
  <c r="R13" i="9"/>
  <c r="R20" i="9"/>
  <c r="R38" i="9"/>
  <c r="R18" i="9"/>
  <c r="R33" i="9"/>
  <c r="R23" i="9"/>
  <c r="R44" i="9"/>
  <c r="R19" i="9"/>
  <c r="R32" i="9"/>
  <c r="R40" i="9"/>
  <c r="R46" i="9"/>
  <c r="R39" i="9"/>
  <c r="R51" i="9"/>
  <c r="R50" i="9"/>
  <c r="R24" i="9"/>
  <c r="R35" i="9"/>
  <c r="R22" i="9"/>
  <c r="R47" i="9"/>
  <c r="R37" i="9"/>
  <c r="R27" i="9"/>
  <c r="R30" i="9"/>
  <c r="R48" i="9"/>
  <c r="R49" i="9"/>
  <c r="R4" i="9"/>
  <c r="R28" i="9"/>
  <c r="R41" i="9"/>
  <c r="R10" i="9"/>
  <c r="R29" i="9"/>
  <c r="R31" i="9"/>
  <c r="R21" i="9"/>
  <c r="O20" i="9"/>
  <c r="O50" i="9"/>
  <c r="O10" i="9"/>
  <c r="O41" i="9"/>
  <c r="O34" i="9"/>
  <c r="O29" i="9"/>
  <c r="P29" i="9" s="1"/>
  <c r="O30" i="9"/>
  <c r="O49" i="9"/>
  <c r="O13" i="9"/>
  <c r="O44" i="9"/>
  <c r="O42" i="9"/>
  <c r="O17" i="9"/>
  <c r="O39" i="9"/>
  <c r="O23" i="9"/>
  <c r="O25" i="9"/>
  <c r="O31" i="9"/>
  <c r="L108" i="6"/>
  <c r="U18" i="9"/>
  <c r="V15" i="9"/>
  <c r="U42" i="9"/>
  <c r="U26" i="9"/>
  <c r="U43" i="9"/>
  <c r="U30" i="9"/>
  <c r="U8" i="9"/>
  <c r="U13" i="9"/>
  <c r="V38" i="9"/>
  <c r="V34" i="9"/>
  <c r="V5" i="9"/>
  <c r="V49" i="9"/>
  <c r="U33" i="9"/>
  <c r="U38" i="9"/>
  <c r="V11" i="9"/>
  <c r="V14" i="9"/>
  <c r="V10" i="9"/>
  <c r="U4" i="9"/>
  <c r="V40" i="9"/>
  <c r="U41" i="9"/>
  <c r="V51" i="9"/>
  <c r="U28" i="9"/>
  <c r="U20" i="9"/>
  <c r="V36" i="9"/>
  <c r="V29" i="9"/>
  <c r="U47" i="9"/>
  <c r="V8" i="9"/>
  <c r="T8" i="9" s="1"/>
  <c r="U50" i="9"/>
  <c r="U45" i="9"/>
  <c r="V35" i="9"/>
  <c r="V24" i="9"/>
  <c r="U16" i="9"/>
  <c r="U15" i="9"/>
  <c r="T15" i="9" s="1"/>
  <c r="U48" i="9"/>
  <c r="U5" i="9"/>
  <c r="V27" i="9"/>
  <c r="U32" i="9"/>
  <c r="V33" i="9"/>
  <c r="U19" i="9"/>
  <c r="V42" i="9"/>
  <c r="V45" i="9"/>
  <c r="T45" i="9" s="1"/>
  <c r="V7" i="9"/>
  <c r="U10" i="9"/>
  <c r="V16" i="9"/>
  <c r="V6" i="9"/>
  <c r="U25" i="9"/>
  <c r="V48" i="9"/>
  <c r="V22" i="9"/>
  <c r="U29" i="9"/>
  <c r="T29" i="9" s="1"/>
  <c r="U27" i="9"/>
  <c r="T27" i="9" s="1"/>
  <c r="V39" i="9"/>
  <c r="U44" i="9"/>
  <c r="U35" i="9"/>
  <c r="T35" i="9" s="1"/>
  <c r="V44" i="9"/>
  <c r="U39" i="9"/>
  <c r="U6" i="9"/>
  <c r="V9" i="9"/>
  <c r="V17" i="9"/>
  <c r="V4" i="9"/>
  <c r="V26" i="9"/>
  <c r="U24" i="9"/>
  <c r="T24" i="9" s="1"/>
  <c r="U46" i="9"/>
  <c r="U51" i="9"/>
  <c r="T51" i="9" s="1"/>
  <c r="U11" i="9"/>
  <c r="T11" i="9" s="1"/>
  <c r="U9" i="9"/>
  <c r="U14" i="9"/>
  <c r="T14" i="9" s="1"/>
  <c r="U36" i="9"/>
  <c r="T36" i="9" s="1"/>
  <c r="V50" i="9"/>
  <c r="T50" i="9" s="1"/>
  <c r="U7" i="9"/>
  <c r="T7" i="9" s="1"/>
  <c r="U49" i="9"/>
  <c r="T49" i="9" s="1"/>
  <c r="U22" i="9"/>
  <c r="T22" i="9" s="1"/>
  <c r="V31" i="9"/>
  <c r="U23" i="9"/>
  <c r="U37" i="9"/>
  <c r="V46" i="9"/>
  <c r="V28" i="9"/>
  <c r="V23" i="9"/>
  <c r="V13" i="9"/>
  <c r="V43" i="9"/>
  <c r="T43" i="9" s="1"/>
  <c r="V41" i="9"/>
  <c r="T41" i="9" s="1"/>
  <c r="U17" i="9"/>
  <c r="T17" i="9" s="1"/>
  <c r="V30" i="9"/>
  <c r="T30" i="9" s="1"/>
  <c r="U12" i="9"/>
  <c r="U31" i="9"/>
  <c r="T31" i="9" s="1"/>
  <c r="V21" i="9"/>
  <c r="V12" i="9"/>
  <c r="U34" i="9"/>
  <c r="T34" i="9" s="1"/>
  <c r="V32" i="9"/>
  <c r="V20" i="9"/>
  <c r="V37" i="9"/>
  <c r="V25" i="9"/>
  <c r="V18" i="9"/>
  <c r="U40" i="9"/>
  <c r="T40" i="9" s="1"/>
  <c r="V47" i="9"/>
  <c r="U21" i="9"/>
  <c r="V19" i="9"/>
  <c r="T19" i="9" s="1"/>
  <c r="P49" i="9"/>
  <c r="W49" i="9" s="1"/>
  <c r="X49" i="9"/>
  <c r="AT13" i="9" s="1"/>
  <c r="X34" i="9"/>
  <c r="AT39" i="9" s="1"/>
  <c r="P34" i="9"/>
  <c r="X30" i="9"/>
  <c r="AT11" i="9" s="1"/>
  <c r="P30" i="9"/>
  <c r="P42" i="9"/>
  <c r="X42" i="9"/>
  <c r="AT28" i="9" s="1"/>
  <c r="P17" i="9"/>
  <c r="X17" i="9"/>
  <c r="AT27" i="9" s="1"/>
  <c r="X24" i="9"/>
  <c r="AT10" i="9" s="1"/>
  <c r="P24" i="9"/>
  <c r="P13" i="9"/>
  <c r="X13" i="9"/>
  <c r="AT15" i="9" s="1"/>
  <c r="X39" i="9"/>
  <c r="AT25" i="9" s="1"/>
  <c r="P39" i="9"/>
  <c r="X23" i="9"/>
  <c r="AT23" i="9" s="1"/>
  <c r="P23" i="9"/>
  <c r="P25" i="9"/>
  <c r="X25" i="9"/>
  <c r="AT20" i="9" s="1"/>
  <c r="P22" i="9"/>
  <c r="X22" i="9"/>
  <c r="AT34" i="9" s="1"/>
  <c r="X11" i="9"/>
  <c r="AT21" i="9" s="1"/>
  <c r="P11" i="9"/>
  <c r="W11" i="9" s="1"/>
  <c r="P14" i="9"/>
  <c r="W14" i="9" s="1"/>
  <c r="X14" i="9"/>
  <c r="AT50" i="9" s="1"/>
  <c r="P43" i="9"/>
  <c r="W43" i="9" s="1"/>
  <c r="X43" i="9"/>
  <c r="AT47" i="9" s="1"/>
  <c r="P37" i="9"/>
  <c r="X37" i="9"/>
  <c r="AT17" i="9" s="1"/>
  <c r="X21" i="9"/>
  <c r="AT49" i="9" s="1"/>
  <c r="P21" i="9"/>
  <c r="X19" i="9"/>
  <c r="AT22" i="9" s="1"/>
  <c r="P19" i="9"/>
  <c r="P27" i="9"/>
  <c r="W27" i="9" s="1"/>
  <c r="X27" i="9"/>
  <c r="AT37" i="9" s="1"/>
  <c r="P48" i="9"/>
  <c r="X48" i="9"/>
  <c r="AT7" i="9" s="1"/>
  <c r="X18" i="9"/>
  <c r="AT29" i="9" s="1"/>
  <c r="P18" i="9"/>
  <c r="P40" i="9"/>
  <c r="X40" i="9"/>
  <c r="AT6" i="9" s="1"/>
  <c r="P8" i="9"/>
  <c r="W8" i="9" s="1"/>
  <c r="X8" i="9"/>
  <c r="AT32" i="9" s="1"/>
  <c r="P35" i="9"/>
  <c r="W35" i="9" s="1"/>
  <c r="X35" i="9"/>
  <c r="AT14" i="9" s="1"/>
  <c r="X38" i="9"/>
  <c r="AT46" i="9" s="1"/>
  <c r="P38" i="9"/>
  <c r="P26" i="9"/>
  <c r="X26" i="9"/>
  <c r="AT26" i="9" s="1"/>
  <c r="X12" i="9"/>
  <c r="AT9" i="9" s="1"/>
  <c r="P12" i="9"/>
  <c r="P5" i="9"/>
  <c r="X5" i="9"/>
  <c r="AT38" i="9" s="1"/>
  <c r="X32" i="9"/>
  <c r="AT5" i="9" s="1"/>
  <c r="P32" i="9"/>
  <c r="P47" i="9"/>
  <c r="X47" i="9"/>
  <c r="AT16" i="9" s="1"/>
  <c r="P31" i="9"/>
  <c r="W31" i="9" s="1"/>
  <c r="X31" i="9"/>
  <c r="AT31" i="9" s="1"/>
  <c r="P28" i="9"/>
  <c r="X28" i="9"/>
  <c r="AT42" i="9" s="1"/>
  <c r="P4" i="9"/>
  <c r="X4" i="9"/>
  <c r="AT18" i="9" s="1"/>
  <c r="P7" i="9"/>
  <c r="W7" i="9" s="1"/>
  <c r="X7" i="9"/>
  <c r="AT35" i="9" s="1"/>
  <c r="P51" i="9"/>
  <c r="W51" i="9" s="1"/>
  <c r="X51" i="9"/>
  <c r="AT33" i="9" s="1"/>
  <c r="P33" i="9"/>
  <c r="X16" i="9"/>
  <c r="AT19" i="9" s="1"/>
  <c r="P16" i="9"/>
  <c r="X9" i="9"/>
  <c r="AT40" i="9" s="1"/>
  <c r="P9" i="9"/>
  <c r="P36" i="9"/>
  <c r="W36" i="9" s="1"/>
  <c r="X36" i="9"/>
  <c r="AT4" i="9" s="1"/>
  <c r="P6" i="9"/>
  <c r="X6" i="9"/>
  <c r="AT24" i="9" s="1"/>
  <c r="P50" i="9"/>
  <c r="W50" i="9" s="1"/>
  <c r="X50" i="9"/>
  <c r="AT41" i="9" s="1"/>
  <c r="X10" i="9"/>
  <c r="AT45" i="9" s="1"/>
  <c r="P10" i="9"/>
  <c r="P20" i="9"/>
  <c r="X20" i="9"/>
  <c r="AT12" i="9" s="1"/>
  <c r="P15" i="9"/>
  <c r="W15" i="9" s="1"/>
  <c r="X15" i="9"/>
  <c r="AT36" i="9" s="1"/>
  <c r="P44" i="9"/>
  <c r="X44" i="9"/>
  <c r="AT8" i="9" s="1"/>
  <c r="X45" i="9"/>
  <c r="AT43" i="9" s="1"/>
  <c r="P45" i="9"/>
  <c r="W45" i="9" s="1"/>
  <c r="X41" i="9"/>
  <c r="AT30" i="9" s="1"/>
  <c r="P41" i="9"/>
  <c r="W41" i="9" s="1"/>
  <c r="W19" i="9" l="1"/>
  <c r="X46" i="9"/>
  <c r="AT44" i="9" s="1"/>
  <c r="T18" i="9"/>
  <c r="W18" i="9" s="1"/>
  <c r="X29" i="9"/>
  <c r="AT51" i="9" s="1"/>
  <c r="T21" i="9"/>
  <c r="W29" i="9"/>
  <c r="W24" i="9"/>
  <c r="W30" i="9"/>
  <c r="T38" i="9"/>
  <c r="W38" i="9" s="1"/>
  <c r="W17" i="9"/>
  <c r="T6" i="9"/>
  <c r="W6" i="9" s="1"/>
  <c r="W40" i="9"/>
  <c r="AU6" i="9" s="1"/>
  <c r="T39" i="9"/>
  <c r="W39" i="9" s="1"/>
  <c r="T9" i="9"/>
  <c r="W9" i="9" s="1"/>
  <c r="W34" i="9"/>
  <c r="T44" i="9"/>
  <c r="W44" i="9" s="1"/>
  <c r="W21" i="9"/>
  <c r="T25" i="9"/>
  <c r="W25" i="9" s="1"/>
  <c r="T48" i="9"/>
  <c r="W48" i="9" s="1"/>
  <c r="T28" i="9"/>
  <c r="W28" i="9" s="1"/>
  <c r="T5" i="9"/>
  <c r="W5" i="9" s="1"/>
  <c r="T16" i="9"/>
  <c r="W16" i="9" s="1"/>
  <c r="T13" i="9"/>
  <c r="W13" i="9" s="1"/>
  <c r="T4" i="9"/>
  <c r="W4" i="9" s="1"/>
  <c r="T20" i="9"/>
  <c r="W20" i="9" s="1"/>
  <c r="T10" i="9"/>
  <c r="W10" i="9" s="1"/>
  <c r="T26" i="9"/>
  <c r="W26" i="9" s="1"/>
  <c r="W22" i="9"/>
  <c r="Z22" i="9" s="1"/>
  <c r="T42" i="9"/>
  <c r="W42" i="9" s="1"/>
  <c r="T12" i="9"/>
  <c r="W12" i="9" s="1"/>
  <c r="T37" i="9"/>
  <c r="W37" i="9" s="1"/>
  <c r="T46" i="9"/>
  <c r="W46" i="9" s="1"/>
  <c r="T47" i="9"/>
  <c r="W47" i="9" s="1"/>
  <c r="T23" i="9"/>
  <c r="W23" i="9" s="1"/>
  <c r="T32" i="9"/>
  <c r="W32" i="9" s="1"/>
  <c r="T33" i="9"/>
  <c r="W33" i="9" s="1"/>
  <c r="S32" i="9"/>
  <c r="S4" i="9"/>
  <c r="S7" i="9"/>
  <c r="S38" i="9"/>
  <c r="S10" i="9"/>
  <c r="S47" i="9"/>
  <c r="S17" i="9"/>
  <c r="S5" i="9"/>
  <c r="S15" i="9"/>
  <c r="S19" i="9"/>
  <c r="S35" i="9"/>
  <c r="S34" i="9"/>
  <c r="S6" i="9"/>
  <c r="S18" i="9"/>
  <c r="S51" i="9"/>
  <c r="S22" i="9"/>
  <c r="S11" i="9"/>
  <c r="S41" i="9"/>
  <c r="S29" i="9"/>
  <c r="S24" i="9"/>
  <c r="S20" i="9"/>
  <c r="S45" i="9"/>
  <c r="S46" i="9"/>
  <c r="S37" i="9"/>
  <c r="S28" i="9"/>
  <c r="S23" i="9"/>
  <c r="S49" i="9"/>
  <c r="S16" i="9"/>
  <c r="S36" i="9"/>
  <c r="S21" i="9"/>
  <c r="S48" i="9"/>
  <c r="S44" i="9"/>
  <c r="S42" i="9"/>
  <c r="S9" i="9"/>
  <c r="S50" i="9"/>
  <c r="S30" i="9"/>
  <c r="S13" i="9"/>
  <c r="S39" i="9"/>
  <c r="S31" i="9"/>
  <c r="S8" i="9"/>
  <c r="S27" i="9"/>
  <c r="S40" i="9"/>
  <c r="S26" i="9"/>
  <c r="S33" i="9"/>
  <c r="S14" i="9"/>
  <c r="S12" i="9"/>
  <c r="S25" i="9"/>
  <c r="S43" i="9"/>
  <c r="AX5" i="9"/>
  <c r="AX6" i="9"/>
  <c r="AX4" i="9"/>
  <c r="AU22" i="9"/>
  <c r="Z19" i="9"/>
  <c r="Z50" i="9"/>
  <c r="AU41" i="9"/>
  <c r="Z51" i="9"/>
  <c r="AU33" i="9"/>
  <c r="AU34" i="9"/>
  <c r="AU27" i="9"/>
  <c r="Z17" i="9"/>
  <c r="Z21" i="9"/>
  <c r="AU49" i="9"/>
  <c r="Z7" i="9"/>
  <c r="AU35" i="9"/>
  <c r="Z8" i="9"/>
  <c r="AU32" i="9"/>
  <c r="AU30" i="9"/>
  <c r="Z41" i="9"/>
  <c r="Z45" i="9"/>
  <c r="AU43" i="9"/>
  <c r="AU11" i="9"/>
  <c r="Z30" i="9"/>
  <c r="AU4" i="9"/>
  <c r="Z36" i="9"/>
  <c r="AU47" i="9"/>
  <c r="Z43" i="9"/>
  <c r="Z29" i="9"/>
  <c r="AU51" i="9"/>
  <c r="AU39" i="9"/>
  <c r="Z34" i="9"/>
  <c r="AU36" i="9"/>
  <c r="Z15" i="9"/>
  <c r="Z31" i="9"/>
  <c r="AU31" i="9"/>
  <c r="AU50" i="9"/>
  <c r="Z14" i="9"/>
  <c r="Z11" i="9"/>
  <c r="AU21" i="9"/>
  <c r="Z24" i="9"/>
  <c r="AU10" i="9"/>
  <c r="Z35" i="9"/>
  <c r="AU14" i="9"/>
  <c r="AU37" i="9"/>
  <c r="Z27" i="9"/>
  <c r="Z49" i="9"/>
  <c r="AU13" i="9"/>
  <c r="Z18" i="9" l="1"/>
  <c r="AU29" i="9"/>
  <c r="Z47" i="9"/>
  <c r="AU16" i="9"/>
  <c r="AU46" i="9"/>
  <c r="Z38" i="9"/>
  <c r="Z40" i="9"/>
  <c r="Z25" i="9"/>
  <c r="AU20" i="9"/>
  <c r="AU26" i="9"/>
  <c r="Z26" i="9"/>
  <c r="Z44" i="9"/>
  <c r="AU8" i="9"/>
  <c r="Z20" i="9"/>
  <c r="AU12" i="9"/>
  <c r="Z28" i="9"/>
  <c r="AU42" i="9"/>
  <c r="AU40" i="9"/>
  <c r="Z9" i="9"/>
  <c r="AU19" i="9"/>
  <c r="Z16" i="9"/>
  <c r="Z39" i="9"/>
  <c r="AU25" i="9"/>
  <c r="Z12" i="9"/>
  <c r="AU9" i="9"/>
  <c r="Z42" i="9"/>
  <c r="AU28" i="9"/>
  <c r="AU24" i="9"/>
  <c r="Z6" i="9"/>
  <c r="Z48" i="9"/>
  <c r="AU7" i="9"/>
  <c r="AU44" i="9"/>
  <c r="Z46" i="9"/>
  <c r="Z37" i="9"/>
  <c r="AU17" i="9"/>
  <c r="Z13" i="9"/>
  <c r="AU15" i="9"/>
  <c r="C30" i="5"/>
  <c r="D30" i="5" s="1"/>
  <c r="C18" i="5"/>
  <c r="C37" i="5"/>
  <c r="F37" i="5" s="1"/>
  <c r="C42" i="5"/>
  <c r="F42" i="5" s="1"/>
  <c r="AU18" i="9"/>
  <c r="C2" i="5"/>
  <c r="K2" i="5" s="1"/>
  <c r="C17" i="5"/>
  <c r="K17" i="5" s="1"/>
  <c r="C21" i="5"/>
  <c r="I21" i="5" s="1"/>
  <c r="C7" i="5"/>
  <c r="K7" i="5" s="1"/>
  <c r="C31" i="5"/>
  <c r="G31" i="5" s="1"/>
  <c r="C13" i="5"/>
  <c r="H13" i="5" s="1"/>
  <c r="C33" i="5"/>
  <c r="H33" i="5" s="1"/>
  <c r="BE4" i="9"/>
  <c r="BD4" i="9" s="1"/>
  <c r="C29" i="5"/>
  <c r="C16" i="5"/>
  <c r="G16" i="5" s="1"/>
  <c r="C40" i="5"/>
  <c r="K40" i="5" s="1"/>
  <c r="C15" i="5"/>
  <c r="D15" i="5" s="1"/>
  <c r="C9" i="5"/>
  <c r="H9" i="5" s="1"/>
  <c r="C47" i="5"/>
  <c r="K47" i="5" s="1"/>
  <c r="C20" i="5"/>
  <c r="J20" i="5" s="1"/>
  <c r="C46" i="5"/>
  <c r="J46" i="5" s="1"/>
  <c r="C39" i="5"/>
  <c r="D39" i="5" s="1"/>
  <c r="C3" i="5"/>
  <c r="C24" i="5"/>
  <c r="H24" i="5" s="1"/>
  <c r="C26" i="5"/>
  <c r="J26" i="5" s="1"/>
  <c r="C8" i="5"/>
  <c r="C45" i="5"/>
  <c r="G45" i="5" s="1"/>
  <c r="C48" i="5"/>
  <c r="K48" i="5" s="1"/>
  <c r="C11" i="5"/>
  <c r="G11" i="5" s="1"/>
  <c r="C23" i="5"/>
  <c r="K23" i="5" s="1"/>
  <c r="C14" i="5"/>
  <c r="I14" i="5" s="1"/>
  <c r="C25" i="5"/>
  <c r="I25" i="5" s="1"/>
  <c r="C38" i="5"/>
  <c r="K38" i="5" s="1"/>
  <c r="C5" i="5"/>
  <c r="I5" i="5" s="1"/>
  <c r="C10" i="5"/>
  <c r="C34" i="5"/>
  <c r="J34" i="5" s="1"/>
  <c r="C4" i="5"/>
  <c r="D4" i="5" s="1"/>
  <c r="G7" i="6" s="1"/>
  <c r="C19" i="5"/>
  <c r="C41" i="5"/>
  <c r="I41" i="5" s="1"/>
  <c r="C22" i="5"/>
  <c r="I22" i="5" s="1"/>
  <c r="C27" i="5"/>
  <c r="D27" i="5" s="1"/>
  <c r="C49" i="5"/>
  <c r="K49" i="5" s="1"/>
  <c r="C28" i="5"/>
  <c r="D28" i="5" s="1"/>
  <c r="C43" i="5"/>
  <c r="K43" i="5" s="1"/>
  <c r="C36" i="5"/>
  <c r="D36" i="5" s="1"/>
  <c r="C35" i="5"/>
  <c r="H35" i="5" s="1"/>
  <c r="C12" i="5"/>
  <c r="Z4" i="9"/>
  <c r="C6" i="5"/>
  <c r="K6" i="5" s="1"/>
  <c r="C32" i="5"/>
  <c r="J32" i="5" s="1"/>
  <c r="C44" i="5"/>
  <c r="I44" i="5" s="1"/>
  <c r="Z5" i="9"/>
  <c r="BE5" i="9"/>
  <c r="BD5" i="9" s="1"/>
  <c r="AU38" i="9"/>
  <c r="Z33" i="9"/>
  <c r="AU48" i="9"/>
  <c r="Z32" i="9"/>
  <c r="AU5" i="9"/>
  <c r="AX10" i="9" s="1"/>
  <c r="Z23" i="9"/>
  <c r="AU23" i="9"/>
  <c r="BE6" i="9"/>
  <c r="BD6" i="9" s="1"/>
  <c r="AU45" i="9"/>
  <c r="Z10" i="9"/>
  <c r="G20" i="5"/>
  <c r="K13" i="5"/>
  <c r="J13" i="5"/>
  <c r="I13" i="5"/>
  <c r="G13" i="5"/>
  <c r="F13" i="5"/>
  <c r="D13" i="5"/>
  <c r="G7" i="5"/>
  <c r="G42" i="5"/>
  <c r="K42" i="5"/>
  <c r="J42" i="5"/>
  <c r="G18" i="5"/>
  <c r="F18" i="5"/>
  <c r="J18" i="5"/>
  <c r="D18" i="5"/>
  <c r="K18" i="5"/>
  <c r="I18" i="5"/>
  <c r="H18" i="5"/>
  <c r="G30" i="5"/>
  <c r="F30" i="5"/>
  <c r="H30" i="5"/>
  <c r="H47" i="5"/>
  <c r="F24" i="5"/>
  <c r="H38" i="5"/>
  <c r="G38" i="5"/>
  <c r="I32" i="5"/>
  <c r="H32" i="5"/>
  <c r="I6" i="5"/>
  <c r="G12" i="5"/>
  <c r="F12" i="5"/>
  <c r="J12" i="5"/>
  <c r="D12" i="5"/>
  <c r="K12" i="5"/>
  <c r="I12" i="5"/>
  <c r="H12" i="5"/>
  <c r="G36" i="5"/>
  <c r="D43" i="5"/>
  <c r="F27" i="5"/>
  <c r="K27" i="5"/>
  <c r="K22" i="5"/>
  <c r="J22" i="5"/>
  <c r="K19" i="5"/>
  <c r="J19" i="5"/>
  <c r="I19" i="5"/>
  <c r="H19" i="5"/>
  <c r="G19" i="5"/>
  <c r="F19" i="5"/>
  <c r="D19" i="5"/>
  <c r="K34" i="5"/>
  <c r="I34" i="5"/>
  <c r="K10" i="5"/>
  <c r="J10" i="5"/>
  <c r="I10" i="5"/>
  <c r="H10" i="5"/>
  <c r="G10" i="5"/>
  <c r="F10" i="5"/>
  <c r="D10" i="5"/>
  <c r="K14" i="5"/>
  <c r="J14" i="5"/>
  <c r="K11" i="5"/>
  <c r="J11" i="5"/>
  <c r="I11" i="5"/>
  <c r="H11" i="5"/>
  <c r="F11" i="5"/>
  <c r="D11" i="5"/>
  <c r="H48" i="5"/>
  <c r="G8" i="5"/>
  <c r="K8" i="5"/>
  <c r="J8" i="5"/>
  <c r="I8" i="5"/>
  <c r="H8" i="5"/>
  <c r="F8" i="5"/>
  <c r="D8" i="5"/>
  <c r="K26" i="5"/>
  <c r="H26" i="5"/>
  <c r="G3" i="5"/>
  <c r="F3" i="5"/>
  <c r="J3" i="5"/>
  <c r="D3" i="5"/>
  <c r="G9" i="6" s="1"/>
  <c r="K3" i="5"/>
  <c r="I3" i="5"/>
  <c r="H3" i="5"/>
  <c r="I17" i="5"/>
  <c r="H17" i="5"/>
  <c r="J39" i="5"/>
  <c r="I39" i="5"/>
  <c r="H46" i="5"/>
  <c r="G46" i="5"/>
  <c r="G15" i="5"/>
  <c r="F15" i="5"/>
  <c r="K15" i="5"/>
  <c r="I15" i="5"/>
  <c r="H15" i="5"/>
  <c r="I40" i="5"/>
  <c r="F40" i="5"/>
  <c r="D40" i="5"/>
  <c r="F29" i="5"/>
  <c r="K29" i="5"/>
  <c r="J29" i="5"/>
  <c r="I29" i="5"/>
  <c r="H29" i="5"/>
  <c r="G29" i="5"/>
  <c r="D29" i="5"/>
  <c r="H2" i="5"/>
  <c r="D2" i="5"/>
  <c r="O25" i="4" s="1"/>
  <c r="F2" i="5"/>
  <c r="AX14" i="9"/>
  <c r="BC4" i="9"/>
  <c r="BA4" i="9"/>
  <c r="AZ4" i="9"/>
  <c r="BF4" i="9" s="1"/>
  <c r="BB4" i="9"/>
  <c r="AY4" i="9"/>
  <c r="BB6" i="9"/>
  <c r="BA6" i="9"/>
  <c r="AY6" i="9"/>
  <c r="BF6" i="9" s="1"/>
  <c r="AZ6" i="9"/>
  <c r="BC6" i="9"/>
  <c r="BC5" i="9"/>
  <c r="AZ5" i="9"/>
  <c r="AY5" i="9"/>
  <c r="BF5" i="9" s="1"/>
  <c r="BA5" i="9"/>
  <c r="BB5" i="9"/>
  <c r="J15" i="5" l="1"/>
  <c r="K4" i="5"/>
  <c r="J27" i="5"/>
  <c r="J7" i="5"/>
  <c r="D46" i="5"/>
  <c r="F46" i="5"/>
  <c r="K36" i="5"/>
  <c r="K32" i="5"/>
  <c r="H27" i="5"/>
  <c r="F9" i="5"/>
  <c r="F4" i="5"/>
  <c r="I27" i="5"/>
  <c r="I7" i="5"/>
  <c r="AW22" i="9"/>
  <c r="AX22" i="9" s="1"/>
  <c r="S23" i="4" s="1"/>
  <c r="G6" i="6" s="1"/>
  <c r="G27" i="5"/>
  <c r="F32" i="5"/>
  <c r="J41" i="5"/>
  <c r="I9" i="5"/>
  <c r="G25" i="5"/>
  <c r="J48" i="5"/>
  <c r="G4" i="5"/>
  <c r="I30" i="5"/>
  <c r="D48" i="5"/>
  <c r="D14" i="5"/>
  <c r="J21" i="5"/>
  <c r="D17" i="5"/>
  <c r="F48" i="5"/>
  <c r="G14" i="5"/>
  <c r="H4" i="5"/>
  <c r="F22" i="5"/>
  <c r="F28" i="5"/>
  <c r="J30" i="5"/>
  <c r="G37" i="5"/>
  <c r="D21" i="5"/>
  <c r="I43" i="5"/>
  <c r="K20" i="5"/>
  <c r="J25" i="5"/>
  <c r="F26" i="5"/>
  <c r="E26" i="5" s="1"/>
  <c r="F14" i="5"/>
  <c r="K25" i="5"/>
  <c r="D22" i="5"/>
  <c r="K21" i="5"/>
  <c r="F17" i="5"/>
  <c r="G48" i="5"/>
  <c r="H14" i="5"/>
  <c r="I4" i="5"/>
  <c r="G22" i="5"/>
  <c r="G28" i="5"/>
  <c r="K30" i="5"/>
  <c r="H42" i="5"/>
  <c r="F21" i="5"/>
  <c r="D20" i="5"/>
  <c r="G17" i="5"/>
  <c r="J4" i="5"/>
  <c r="H22" i="5"/>
  <c r="K28" i="5"/>
  <c r="I42" i="5"/>
  <c r="G21" i="5"/>
  <c r="F20" i="5"/>
  <c r="D26" i="5"/>
  <c r="D25" i="5"/>
  <c r="G43" i="5"/>
  <c r="D47" i="5"/>
  <c r="D42" i="5"/>
  <c r="I20" i="5"/>
  <c r="F43" i="5"/>
  <c r="H20" i="5"/>
  <c r="G40" i="5"/>
  <c r="E40" i="5" s="1"/>
  <c r="J17" i="5"/>
  <c r="H40" i="5"/>
  <c r="G26" i="5"/>
  <c r="F25" i="5"/>
  <c r="H43" i="5"/>
  <c r="F47" i="5"/>
  <c r="J40" i="5"/>
  <c r="I48" i="5"/>
  <c r="D6" i="5"/>
  <c r="I47" i="5"/>
  <c r="H21" i="5"/>
  <c r="I26" i="5"/>
  <c r="H25" i="5"/>
  <c r="J43" i="5"/>
  <c r="K46" i="5"/>
  <c r="G9" i="5"/>
  <c r="D23" i="5"/>
  <c r="J47" i="5"/>
  <c r="I28" i="5"/>
  <c r="J36" i="5"/>
  <c r="D38" i="5"/>
  <c r="E15" i="5"/>
  <c r="H28" i="5"/>
  <c r="F36" i="5"/>
  <c r="E36" i="5" s="1"/>
  <c r="G44" i="5"/>
  <c r="K41" i="5"/>
  <c r="H37" i="5"/>
  <c r="H45" i="5"/>
  <c r="K44" i="5"/>
  <c r="G41" i="5"/>
  <c r="I37" i="5"/>
  <c r="D16" i="5"/>
  <c r="I45" i="5"/>
  <c r="F44" i="5"/>
  <c r="E44" i="5" s="1"/>
  <c r="J37" i="5"/>
  <c r="F16" i="5"/>
  <c r="E16" i="5" s="1"/>
  <c r="K45" i="5"/>
  <c r="J6" i="5"/>
  <c r="K37" i="5"/>
  <c r="J45" i="5"/>
  <c r="H16" i="5"/>
  <c r="D45" i="5"/>
  <c r="I16" i="5"/>
  <c r="F45" i="5"/>
  <c r="J44" i="5"/>
  <c r="J16" i="5"/>
  <c r="D41" i="5"/>
  <c r="K16" i="5"/>
  <c r="D44" i="5"/>
  <c r="H41" i="5"/>
  <c r="H44" i="5"/>
  <c r="F41" i="5"/>
  <c r="D37" i="5"/>
  <c r="E4" i="5"/>
  <c r="G6" i="5"/>
  <c r="G32" i="5"/>
  <c r="F33" i="5"/>
  <c r="J28" i="5"/>
  <c r="D32" i="5"/>
  <c r="G47" i="5"/>
  <c r="I46" i="5"/>
  <c r="D34" i="5"/>
  <c r="I35" i="5"/>
  <c r="I24" i="5"/>
  <c r="H31" i="5"/>
  <c r="I33" i="5"/>
  <c r="J5" i="5"/>
  <c r="K5" i="5"/>
  <c r="F39" i="5"/>
  <c r="E39" i="5" s="1"/>
  <c r="G39" i="5"/>
  <c r="F34" i="5"/>
  <c r="H36" i="5"/>
  <c r="J35" i="5"/>
  <c r="J24" i="5"/>
  <c r="D5" i="5"/>
  <c r="G10" i="6" s="1"/>
  <c r="I31" i="5"/>
  <c r="K33" i="5"/>
  <c r="G34" i="5"/>
  <c r="I36" i="5"/>
  <c r="K35" i="5"/>
  <c r="K24" i="5"/>
  <c r="F5" i="5"/>
  <c r="D7" i="5"/>
  <c r="J31" i="5"/>
  <c r="D33" i="5"/>
  <c r="H39" i="5"/>
  <c r="H34" i="5"/>
  <c r="D24" i="5"/>
  <c r="G5" i="5"/>
  <c r="F7" i="5"/>
  <c r="E7" i="5" s="1"/>
  <c r="K31" i="5"/>
  <c r="J33" i="5"/>
  <c r="H5" i="5"/>
  <c r="K39" i="5"/>
  <c r="F38" i="5"/>
  <c r="E38" i="5" s="1"/>
  <c r="G24" i="5"/>
  <c r="E24" i="5" s="1"/>
  <c r="H7" i="5"/>
  <c r="G33" i="5"/>
  <c r="E33" i="5" s="1"/>
  <c r="D35" i="5"/>
  <c r="I38" i="5"/>
  <c r="E27" i="5"/>
  <c r="F35" i="5"/>
  <c r="J38" i="5"/>
  <c r="D31" i="5"/>
  <c r="G35" i="5"/>
  <c r="F31" i="5"/>
  <c r="E31" i="5" s="1"/>
  <c r="K9" i="5"/>
  <c r="G23" i="5"/>
  <c r="D9" i="5"/>
  <c r="H23" i="5"/>
  <c r="F6" i="5"/>
  <c r="J9" i="5"/>
  <c r="I23" i="5"/>
  <c r="D49" i="5"/>
  <c r="J23" i="5"/>
  <c r="F49" i="5"/>
  <c r="G49" i="5"/>
  <c r="F23" i="5"/>
  <c r="H49" i="5"/>
  <c r="I49" i="5"/>
  <c r="J49" i="5"/>
  <c r="G2" i="5"/>
  <c r="E2" i="5" s="1"/>
  <c r="I2" i="5"/>
  <c r="H6" i="5"/>
  <c r="J2" i="5"/>
  <c r="E8" i="5"/>
  <c r="E13" i="5"/>
  <c r="E32" i="5"/>
  <c r="E18" i="5"/>
  <c r="E37" i="5"/>
  <c r="E46" i="5"/>
  <c r="E25" i="5"/>
  <c r="E17" i="5"/>
  <c r="E45" i="5"/>
  <c r="E29" i="5"/>
  <c r="E11" i="5"/>
  <c r="E19" i="5"/>
  <c r="E12" i="5"/>
  <c r="E42" i="5"/>
  <c r="E30" i="5"/>
  <c r="E9" i="5"/>
  <c r="E43" i="5"/>
  <c r="E20" i="5"/>
  <c r="E10" i="5"/>
  <c r="E3" i="5"/>
  <c r="E28" i="5"/>
  <c r="E22" i="5"/>
  <c r="B12" i="10"/>
  <c r="G8" i="6"/>
  <c r="AX13" i="9"/>
  <c r="AX15" i="9"/>
  <c r="AX9" i="9"/>
  <c r="AX11" i="9"/>
  <c r="BF7" i="9"/>
  <c r="BD7" i="9" s="1" a="1"/>
  <c r="BD7" i="9" s="1"/>
  <c r="S20" i="4" s="1"/>
  <c r="G3" i="6" s="1"/>
  <c r="E21" i="5" l="1"/>
  <c r="E14" i="5"/>
  <c r="E48" i="5"/>
  <c r="E5" i="5"/>
  <c r="E6" i="5"/>
  <c r="E41" i="5"/>
  <c r="E47" i="5"/>
  <c r="E35" i="5"/>
  <c r="E34" i="5"/>
  <c r="E49" i="5"/>
  <c r="E23" i="5"/>
  <c r="AY15" i="9"/>
  <c r="AY11" i="9"/>
  <c r="AY17" i="9" l="1"/>
  <c r="S21" i="4" s="1"/>
  <c r="G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tc={804fbaef-e745-460b-a924-92a00b3d7ae4}</author>
  </authors>
  <commentList>
    <comment ref="A35" authorId="0" shapeId="0" xr:uid="{804FBAEF-E745-460B-A924-92A00B3D7AE4}">
      <text>
        <t>[Threaded comment]
Your version of Excel allows you to read this threaded comment; however, any edits to it will get removed if the file is opened in a newer version of Excel. Learn more: https://go.microsoft.com/fwlink/?linkid=870924
Comment:
    al 1/4/2026</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<sst xmlns="http://schemas.openxmlformats.org/spreadsheetml/2006/main" count="5997" uniqueCount="866">
  <si>
    <t>Ptos</t>
  </si>
  <si>
    <t>Qty</t>
  </si>
  <si>
    <t>Max</t>
  </si>
  <si>
    <t>Penalidades</t>
  </si>
  <si>
    <t>Fase de Grupos</t>
  </si>
  <si>
    <t>Ganador</t>
  </si>
  <si>
    <t>Revelación se queda en grupos</t>
  </si>
  <si>
    <t>Resultado exacto</t>
  </si>
  <si>
    <t>Campeón no llega a 4tos</t>
  </si>
  <si>
    <t>16vos</t>
  </si>
  <si>
    <t>Peor pasa grupos</t>
  </si>
  <si>
    <t>Fase Playoffs</t>
  </si>
  <si>
    <t>8vos</t>
  </si>
  <si>
    <t>Decepción llega a Semis</t>
  </si>
  <si>
    <t>4tos</t>
  </si>
  <si>
    <t>semis</t>
  </si>
  <si>
    <t>Final</t>
  </si>
  <si>
    <t>Habrá Jugadores 4 ganadores, con 4 premios</t>
  </si>
  <si>
    <t>3ero</t>
  </si>
  <si>
    <t>1er puesto general</t>
  </si>
  <si>
    <t>Campeón</t>
  </si>
  <si>
    <t>2do puesto general</t>
  </si>
  <si>
    <t>Puntos Extra</t>
  </si>
  <si>
    <t>Figura</t>
  </si>
  <si>
    <t>3er puesto general</t>
  </si>
  <si>
    <t>Goleador</t>
  </si>
  <si>
    <t>Mejor en Resultados Grupos</t>
  </si>
  <si>
    <t>Revelación</t>
  </si>
  <si>
    <t>Decepción</t>
  </si>
  <si>
    <r>
      <rPr>
        <sz val="11"/>
        <color theme="1"/>
        <rFont val="Arial"/>
      </rPr>
      <t xml:space="preserve">El premio del </t>
    </r>
    <r>
      <rPr>
        <b/>
        <i/>
        <sz val="11"/>
        <color theme="1"/>
        <rFont val="Arial"/>
      </rPr>
      <t>3er puesto</t>
    </r>
    <r>
      <rPr>
        <sz val="11"/>
        <color theme="1"/>
        <rFont val="Arial"/>
      </rPr>
      <t xml:space="preserve"> será equivalente al del </t>
    </r>
    <r>
      <rPr>
        <b/>
        <i/>
        <sz val="11"/>
        <color theme="1"/>
        <rFont val="Arial"/>
      </rPr>
      <t>Mejor en Resultados Grupos</t>
    </r>
  </si>
  <si>
    <t>Mejor 1era Fase</t>
  </si>
  <si>
    <r>
      <rPr>
        <sz val="11"/>
        <color theme="1"/>
        <rFont val="Arial"/>
      </rPr>
      <t xml:space="preserve">Si el </t>
    </r>
    <r>
      <rPr>
        <b/>
        <i/>
        <sz val="11"/>
        <color theme="1"/>
        <rFont val="Arial"/>
      </rPr>
      <t>Mejor en Resultados Grupo</t>
    </r>
    <r>
      <rPr>
        <sz val="11"/>
        <color theme="1"/>
        <rFont val="Arial"/>
      </rPr>
      <t xml:space="preserve">s, sale entre los 3 primeros en la general; entonces el premio de </t>
    </r>
    <r>
      <rPr>
        <b/>
        <i/>
        <sz val="11"/>
        <color theme="1"/>
        <rFont val="Arial"/>
      </rPr>
      <t>Mejor en Resultados Grupos</t>
    </r>
    <r>
      <rPr>
        <sz val="11"/>
        <color theme="1"/>
        <rFont val="Arial"/>
      </rPr>
      <t xml:space="preserve"> será adjudicado al siguiente (que no sea de los 3 primeros en la general).</t>
    </r>
  </si>
  <si>
    <t>Peor Equipo</t>
  </si>
  <si>
    <t>Revelación y Decepción</t>
  </si>
  <si>
    <t>Hay 4 clases de equipos, según su historia, importancia, vigencia y Ranking FIFA. Abajo podrán ver en qué clase entra cada equipo.</t>
  </si>
  <si>
    <r>
      <rPr>
        <sz val="11"/>
        <color theme="1"/>
        <rFont val="Arial"/>
      </rPr>
      <t xml:space="preserve">El PEOR de los equipos CLASE 1, es automáticamente calificado como </t>
    </r>
    <r>
      <rPr>
        <b/>
        <sz val="11"/>
        <color theme="1"/>
        <rFont val="Arial"/>
      </rPr>
      <t>Decepción</t>
    </r>
    <r>
      <rPr>
        <sz val="11"/>
        <color theme="1"/>
        <rFont val="Arial"/>
      </rPr>
      <t>. (A su vez, existen 3 equipos clase 1´;  si hay "empate" entre un 1´y un 1, el Clase 1 será decepción)</t>
    </r>
  </si>
  <si>
    <r>
      <rPr>
        <sz val="11"/>
        <color theme="1"/>
        <rFont val="Arial"/>
      </rPr>
      <t xml:space="preserve">Los equipos clase 2, 3 y 4 podrán ser </t>
    </r>
    <r>
      <rPr>
        <b/>
        <sz val="11"/>
        <color theme="1"/>
        <rFont val="Arial"/>
      </rPr>
      <t>Revelación</t>
    </r>
    <r>
      <rPr>
        <sz val="11"/>
        <color theme="1"/>
        <rFont val="Arial"/>
      </rPr>
      <t>.</t>
    </r>
  </si>
  <si>
    <t>Un clase 2 solo puede ser revelación si llega a Semis.</t>
  </si>
  <si>
    <t>Un clase 3 sólo puede ser revelación si llega a 4tos.</t>
  </si>
  <si>
    <t>Un clase 4 sólo puede ser revelación si pasa de grupos.</t>
  </si>
  <si>
    <r>
      <rPr>
        <sz val="11"/>
        <color theme="1"/>
        <rFont val="Arial"/>
      </rPr>
      <t xml:space="preserve">El que haya llegado más lejos de los equipos clase 2, 3 o 4; será la </t>
    </r>
    <r>
      <rPr>
        <b/>
        <sz val="11"/>
        <color theme="1"/>
        <rFont val="Arial"/>
      </rPr>
      <t>Revelación</t>
    </r>
    <r>
      <rPr>
        <sz val="11"/>
        <color theme="1"/>
        <rFont val="Arial"/>
      </rPr>
      <t xml:space="preserve">. </t>
    </r>
  </si>
  <si>
    <t>En caso que lleguen a misma ronda, se valorará mejor a los equipos de peor clase. Dentro de una misma clase, se desempata por puntos/goles logrados según la tabla general.</t>
  </si>
  <si>
    <t>El último criterio de desempate para la tabla general (Total Results) será el Ranking FIFA según 1/4/2026 (el de peor ranking queda más alto).</t>
  </si>
  <si>
    <t>Puede darse que NO HAYA equipo revelación.</t>
  </si>
  <si>
    <t>Ranking FIFA</t>
  </si>
  <si>
    <t>País</t>
  </si>
  <si>
    <t>Clase</t>
  </si>
  <si>
    <t>Class 1´</t>
  </si>
  <si>
    <t>Francia</t>
  </si>
  <si>
    <t>España</t>
  </si>
  <si>
    <t>Argentina</t>
  </si>
  <si>
    <t>Inglaterra</t>
  </si>
  <si>
    <t>Portugal</t>
  </si>
  <si>
    <t>Brasil</t>
  </si>
  <si>
    <t>Paises Bajos</t>
  </si>
  <si>
    <t>Belgica</t>
  </si>
  <si>
    <t>Alemania</t>
  </si>
  <si>
    <t>Croacia</t>
  </si>
  <si>
    <t>Uruguay</t>
  </si>
  <si>
    <t>Marruecos</t>
  </si>
  <si>
    <t>Colombia</t>
  </si>
  <si>
    <t>Senegal</t>
  </si>
  <si>
    <t>Mexico</t>
  </si>
  <si>
    <t>Estados Unidos</t>
  </si>
  <si>
    <t>Japon</t>
  </si>
  <si>
    <t>Suiza</t>
  </si>
  <si>
    <t>Turquia</t>
  </si>
  <si>
    <t>Ecuador</t>
  </si>
  <si>
    <t>Corea del Sur</t>
  </si>
  <si>
    <t>Noruega</t>
  </si>
  <si>
    <t>Suecia</t>
  </si>
  <si>
    <t>Paraguay</t>
  </si>
  <si>
    <t>Austria</t>
  </si>
  <si>
    <t>Australia</t>
  </si>
  <si>
    <t>Argelia</t>
  </si>
  <si>
    <t>Egipto</t>
  </si>
  <si>
    <t>Canada</t>
  </si>
  <si>
    <t>Panama</t>
  </si>
  <si>
    <t>Costa de Marfil</t>
  </si>
  <si>
    <t>Repubilca Checa</t>
  </si>
  <si>
    <t>Escocia</t>
  </si>
  <si>
    <t>Tunez</t>
  </si>
  <si>
    <t>Sudafrica</t>
  </si>
  <si>
    <t>Arabia Saudita</t>
  </si>
  <si>
    <t>Bosnia</t>
  </si>
  <si>
    <t>Ghana</t>
  </si>
  <si>
    <t>Iran</t>
  </si>
  <si>
    <t>Congo</t>
  </si>
  <si>
    <t>Uzbekistan</t>
  </si>
  <si>
    <t>Qatar</t>
  </si>
  <si>
    <t>Irak</t>
  </si>
  <si>
    <t>Jordania</t>
  </si>
  <si>
    <t>Cabo Verde</t>
  </si>
  <si>
    <t>Curazao</t>
  </si>
  <si>
    <t>Haiti</t>
  </si>
  <si>
    <t>Nueva Zelanda</t>
  </si>
  <si>
    <t>TOTAL</t>
  </si>
  <si>
    <t>TERCEROS</t>
  </si>
  <si>
    <t>Clasificó?</t>
  </si>
  <si>
    <t>Elección</t>
  </si>
  <si>
    <t>Partido</t>
  </si>
  <si>
    <t>Fecha</t>
  </si>
  <si>
    <t>Sede</t>
  </si>
  <si>
    <t>Grupo A</t>
  </si>
  <si>
    <t>G</t>
  </si>
  <si>
    <t>E</t>
  </si>
  <si>
    <t>P</t>
  </si>
  <si>
    <t>Dif</t>
  </si>
  <si>
    <t>G+</t>
  </si>
  <si>
    <t>G-</t>
  </si>
  <si>
    <t>J</t>
  </si>
  <si>
    <t>check</t>
  </si>
  <si>
    <t>Empate 1</t>
  </si>
  <si>
    <t>Empate?</t>
  </si>
  <si>
    <t>Extra</t>
  </si>
  <si>
    <t>Orden</t>
  </si>
  <si>
    <t xml:space="preserve"> - </t>
  </si>
  <si>
    <t>GA1</t>
  </si>
  <si>
    <t>GA2</t>
  </si>
  <si>
    <t>GA3</t>
  </si>
  <si>
    <t>GA4</t>
  </si>
  <si>
    <t>GA5</t>
  </si>
  <si>
    <t>Completo?</t>
  </si>
  <si>
    <t>GA6</t>
  </si>
  <si>
    <t>Hay equipos empatados: completar tabla para definir sorteo (valores del 1 al 4, el 4 pasa de ronda)</t>
  </si>
  <si>
    <t>Grupo B</t>
  </si>
  <si>
    <t>GB1</t>
  </si>
  <si>
    <t>GB2</t>
  </si>
  <si>
    <t>GB3</t>
  </si>
  <si>
    <t>GB4</t>
  </si>
  <si>
    <t>GB5</t>
  </si>
  <si>
    <t>GB6</t>
  </si>
  <si>
    <t>Grupo C</t>
  </si>
  <si>
    <t>GC1</t>
  </si>
  <si>
    <t>GC2</t>
  </si>
  <si>
    <t>GC3</t>
  </si>
  <si>
    <t>GC4</t>
  </si>
  <si>
    <t>GC5</t>
  </si>
  <si>
    <t>GC6</t>
  </si>
  <si>
    <t>Grupo D</t>
  </si>
  <si>
    <t>GD1</t>
  </si>
  <si>
    <t>GD2</t>
  </si>
  <si>
    <t>GD3</t>
  </si>
  <si>
    <t>GD4</t>
  </si>
  <si>
    <t>GD5</t>
  </si>
  <si>
    <t>GD6</t>
  </si>
  <si>
    <t>Grupo E</t>
  </si>
  <si>
    <t>GE1</t>
  </si>
  <si>
    <t>GE2</t>
  </si>
  <si>
    <t>GE3</t>
  </si>
  <si>
    <t>GE4</t>
  </si>
  <si>
    <t>GE5</t>
  </si>
  <si>
    <t>GE6</t>
  </si>
  <si>
    <t>Grupo F</t>
  </si>
  <si>
    <t>GF1</t>
  </si>
  <si>
    <t>GF2</t>
  </si>
  <si>
    <t>GF3</t>
  </si>
  <si>
    <t>GF4</t>
  </si>
  <si>
    <t>GF5</t>
  </si>
  <si>
    <t>GF6</t>
  </si>
  <si>
    <t>Grupo G</t>
  </si>
  <si>
    <t>GG1</t>
  </si>
  <si>
    <t>GG2</t>
  </si>
  <si>
    <t>GG3</t>
  </si>
  <si>
    <t>GG4</t>
  </si>
  <si>
    <t>GG5</t>
  </si>
  <si>
    <t>GG6</t>
  </si>
  <si>
    <t>Grupo H</t>
  </si>
  <si>
    <t>GH1</t>
  </si>
  <si>
    <t>GH2</t>
  </si>
  <si>
    <t>GH3</t>
  </si>
  <si>
    <t>GH4</t>
  </si>
  <si>
    <t>GH5</t>
  </si>
  <si>
    <t>GH6</t>
  </si>
  <si>
    <t>Grupo I</t>
  </si>
  <si>
    <t>GI1</t>
  </si>
  <si>
    <t>GI2</t>
  </si>
  <si>
    <t>GI3</t>
  </si>
  <si>
    <t>GI4</t>
  </si>
  <si>
    <t>GI5</t>
  </si>
  <si>
    <t>GI6</t>
  </si>
  <si>
    <t>Grupo J</t>
  </si>
  <si>
    <t>GJ1</t>
  </si>
  <si>
    <t>GJ2</t>
  </si>
  <si>
    <t>GJ3</t>
  </si>
  <si>
    <t>GJ4</t>
  </si>
  <si>
    <t>GJ5</t>
  </si>
  <si>
    <t>GJ6</t>
  </si>
  <si>
    <t>Grupo K</t>
  </si>
  <si>
    <t>GK1</t>
  </si>
  <si>
    <t>GK2</t>
  </si>
  <si>
    <t>GK3</t>
  </si>
  <si>
    <t>GK4</t>
  </si>
  <si>
    <t>GK5</t>
  </si>
  <si>
    <t>GK6</t>
  </si>
  <si>
    <t>Grupo L</t>
  </si>
  <si>
    <t>GL1</t>
  </si>
  <si>
    <t>GL2</t>
  </si>
  <si>
    <t>GL3</t>
  </si>
  <si>
    <t>GL4</t>
  </si>
  <si>
    <t>GL5</t>
  </si>
  <si>
    <t>GL6</t>
  </si>
  <si>
    <t>2A</t>
  </si>
  <si>
    <t>2B</t>
  </si>
  <si>
    <t>W73</t>
  </si>
  <si>
    <t>1D</t>
  </si>
  <si>
    <t>W81</t>
  </si>
  <si>
    <t>W74</t>
  </si>
  <si>
    <t>W77</t>
  </si>
  <si>
    <t>W89</t>
  </si>
  <si>
    <t>W83</t>
  </si>
  <si>
    <t>W84</t>
  </si>
  <si>
    <t>W93</t>
  </si>
  <si>
    <t>M73</t>
  </si>
  <si>
    <t>M81</t>
  </si>
  <si>
    <t>M89</t>
  </si>
  <si>
    <t>M93</t>
  </si>
  <si>
    <t>Penales</t>
  </si>
  <si>
    <t>1E</t>
  </si>
  <si>
    <t>1G</t>
  </si>
  <si>
    <t>W82</t>
  </si>
  <si>
    <t>M74</t>
  </si>
  <si>
    <t>M82</t>
  </si>
  <si>
    <t>1F</t>
  </si>
  <si>
    <t>2C</t>
  </si>
  <si>
    <t>W75</t>
  </si>
  <si>
    <t>2K</t>
  </si>
  <si>
    <t>2L</t>
  </si>
  <si>
    <t>W90</t>
  </si>
  <si>
    <t>W94</t>
  </si>
  <si>
    <t>M75</t>
  </si>
  <si>
    <t>M83</t>
  </si>
  <si>
    <t>M90</t>
  </si>
  <si>
    <t>M94</t>
  </si>
  <si>
    <t>1C</t>
  </si>
  <si>
    <t>2F</t>
  </si>
  <si>
    <t>W76</t>
  </si>
  <si>
    <t>1H</t>
  </si>
  <si>
    <t>2J</t>
  </si>
  <si>
    <t>M76</t>
  </si>
  <si>
    <t>M84</t>
  </si>
  <si>
    <t>1I</t>
  </si>
  <si>
    <t>1B</t>
  </si>
  <si>
    <t>W85</t>
  </si>
  <si>
    <t>W78</t>
  </si>
  <si>
    <t>W91</t>
  </si>
  <si>
    <t>W86</t>
  </si>
  <si>
    <t>W88</t>
  </si>
  <si>
    <t>W95</t>
  </si>
  <si>
    <t>M77</t>
  </si>
  <si>
    <t>M85</t>
  </si>
  <si>
    <t>M91</t>
  </si>
  <si>
    <t>M95</t>
  </si>
  <si>
    <t>2E</t>
  </si>
  <si>
    <t>2I</t>
  </si>
  <si>
    <t>1J</t>
  </si>
  <si>
    <t>2H</t>
  </si>
  <si>
    <t>M78</t>
  </si>
  <si>
    <t>M86</t>
  </si>
  <si>
    <t>1A</t>
  </si>
  <si>
    <t>W79</t>
  </si>
  <si>
    <t>1K</t>
  </si>
  <si>
    <t>W87</t>
  </si>
  <si>
    <t>W80</t>
  </si>
  <si>
    <t>W92</t>
  </si>
  <si>
    <t>W96</t>
  </si>
  <si>
    <t>M79</t>
  </si>
  <si>
    <t>M87</t>
  </si>
  <si>
    <t>M92</t>
  </si>
  <si>
    <t>M96</t>
  </si>
  <si>
    <t>1L</t>
  </si>
  <si>
    <t>2D</t>
  </si>
  <si>
    <t>2G</t>
  </si>
  <si>
    <t>M80</t>
  </si>
  <si>
    <t>M88</t>
  </si>
  <si>
    <t>W97</t>
  </si>
  <si>
    <t>W99</t>
  </si>
  <si>
    <t>M97</t>
  </si>
  <si>
    <t>M99</t>
  </si>
  <si>
    <t>M104</t>
  </si>
  <si>
    <t>W98</t>
  </si>
  <si>
    <t>W100</t>
  </si>
  <si>
    <t>M98</t>
  </si>
  <si>
    <t>M100</t>
  </si>
  <si>
    <t>W101</t>
  </si>
  <si>
    <t>W102</t>
  </si>
  <si>
    <t>M103</t>
  </si>
  <si>
    <t>Messi</t>
  </si>
  <si>
    <t>M101</t>
  </si>
  <si>
    <t>M102</t>
  </si>
  <si>
    <t>Fase</t>
  </si>
  <si>
    <t>Ptos*</t>
  </si>
  <si>
    <t>Puntos</t>
  </si>
  <si>
    <t>Sub-campeón</t>
  </si>
  <si>
    <t>3er puesto</t>
  </si>
  <si>
    <t>Semifinal</t>
  </si>
  <si>
    <t>4tos de final</t>
  </si>
  <si>
    <t>8vos de final</t>
  </si>
  <si>
    <t>16vos de final</t>
  </si>
  <si>
    <t>Groups stage</t>
  </si>
  <si>
    <t>Equipo 1</t>
  </si>
  <si>
    <t>G1</t>
  </si>
  <si>
    <t>G2</t>
  </si>
  <si>
    <t>Equipo 2</t>
  </si>
  <si>
    <t>Campeon</t>
  </si>
  <si>
    <t>2do</t>
  </si>
  <si>
    <t>4to</t>
  </si>
  <si>
    <t>Round of 32 (16vos de Final)</t>
  </si>
  <si>
    <t>Winner</t>
  </si>
  <si>
    <t>Round of 16 (8vos de Final)</t>
  </si>
  <si>
    <t>Semi-Finals</t>
  </si>
  <si>
    <t>Lost</t>
  </si>
  <si>
    <t>L101</t>
  </si>
  <si>
    <t>L102</t>
  </si>
  <si>
    <t>3rd Place</t>
  </si>
  <si>
    <t>3rd</t>
  </si>
  <si>
    <t>4th</t>
  </si>
  <si>
    <t>2nd</t>
  </si>
  <si>
    <t>Quater-finals</t>
  </si>
  <si>
    <t xml:space="preserve">1A 1B 1D 1E 1G 1I 1K 1L </t>
  </si>
  <si>
    <t>Mejores 3eros</t>
  </si>
  <si>
    <t>Primeros</t>
  </si>
  <si>
    <t>Terceros</t>
  </si>
  <si>
    <t>Ptos**</t>
  </si>
  <si>
    <t xml:space="preserve">1 3E 3J 3I 3F 3H 3G 3L 3K </t>
  </si>
  <si>
    <t>3E</t>
  </si>
  <si>
    <t>3J</t>
  </si>
  <si>
    <t>3I</t>
  </si>
  <si>
    <t>3F</t>
  </si>
  <si>
    <t>3H</t>
  </si>
  <si>
    <t>3G</t>
  </si>
  <si>
    <t>3L</t>
  </si>
  <si>
    <t>3K</t>
  </si>
  <si>
    <t>3eros</t>
  </si>
  <si>
    <t>3A</t>
  </si>
  <si>
    <t xml:space="preserve">2 3H 3G 3I 3D 3J 3F 3L 3K </t>
  </si>
  <si>
    <t>3D</t>
  </si>
  <si>
    <t>3B</t>
  </si>
  <si>
    <t xml:space="preserve">3 3E 3J 3I 3D 3H 3G 3L 3K </t>
  </si>
  <si>
    <t>3C</t>
  </si>
  <si>
    <t xml:space="preserve">4 3E 3J 3I 3D 3H 3F 3L 3K </t>
  </si>
  <si>
    <t xml:space="preserve">5 3E 3G 3I 3D 3J 3F 3L 3K </t>
  </si>
  <si>
    <t xml:space="preserve">6 3E 3G 3J 3D 3H 3F 3L 3K </t>
  </si>
  <si>
    <t xml:space="preserve">7 3E 3G 3I 3D 3H 3F 3L 3K </t>
  </si>
  <si>
    <t xml:space="preserve">8 3E 3G 3J 3D 3H 3F 3L 3I </t>
  </si>
  <si>
    <t>9 3E 3G 3J 3D 3H 3F 3I 3K</t>
  </si>
  <si>
    <t xml:space="preserve">10 3H 3G 3I 3C 3J 3F 3L 3K </t>
  </si>
  <si>
    <t xml:space="preserve">11 3E 3J 3I 3C 3H 3G 3L 3K </t>
  </si>
  <si>
    <t xml:space="preserve">12 3E 3J 3I 3C 3H 3F 3L 3K </t>
  </si>
  <si>
    <t xml:space="preserve">13 3E 3G 3I 3C 3J 3F 3L 3K </t>
  </si>
  <si>
    <t xml:space="preserve">14 3E 3G 3J 3C 3H 3F 3L 3K </t>
  </si>
  <si>
    <t xml:space="preserve">15 3E 3G 3I 3C 3H 3F 3L 3K </t>
  </si>
  <si>
    <t xml:space="preserve">16 3E 3G 3J 3C 3H 3F 3L 3I </t>
  </si>
  <si>
    <t xml:space="preserve">17 3E 3G 3J 3C 3H 3F 3I 3K </t>
  </si>
  <si>
    <t>18 3H 3G 3I 3C 3J 3D 3L 3K</t>
  </si>
  <si>
    <t>19 3C 3J 3I 3D 3H 3F 3L 3K</t>
  </si>
  <si>
    <t xml:space="preserve">20 3C 3G 3I 3D 3J 3F 3L 3K </t>
  </si>
  <si>
    <t xml:space="preserve">21 3C 3G 3J 3D 3H 3F 3L 3K </t>
  </si>
  <si>
    <t xml:space="preserve">22 3C 3G 3I 3D 3H 3F 3L 3K </t>
  </si>
  <si>
    <t xml:space="preserve">23 3C 3G 3J 3D 3H 3F 3L 3I </t>
  </si>
  <si>
    <t xml:space="preserve">24 3C 3G 3J 3D 3H 3F 3I 3K </t>
  </si>
  <si>
    <t xml:space="preserve">25 3E 3J 3I 3C 3H 3D 3L 3K </t>
  </si>
  <si>
    <t xml:space="preserve">26 3E 3G 3I 3C 3J 3D 3L 3K </t>
  </si>
  <si>
    <t xml:space="preserve">27 3E 3G 3J 3C 3H 3D 3L 3K </t>
  </si>
  <si>
    <t xml:space="preserve">28 3E 3G 3I 3C 3H 3D 3L 3K </t>
  </si>
  <si>
    <t xml:space="preserve">29 3E 3G 3J 3C 3H 3D 3L 3I </t>
  </si>
  <si>
    <t xml:space="preserve">30 3E 3G 3J 3C 3H 3D 3I 3K </t>
  </si>
  <si>
    <t xml:space="preserve">31 3C 3J 3E 3D 3I 3F 3L 3K </t>
  </si>
  <si>
    <t xml:space="preserve">32 3C 3J 3E 3D 3H 3F 3L 3K </t>
  </si>
  <si>
    <t xml:space="preserve">33 3C 3E 3I 3D 3H 3F 3L 3K </t>
  </si>
  <si>
    <t xml:space="preserve">34 3C 3J 3E 3D 3H 3F 3L 3I </t>
  </si>
  <si>
    <t xml:space="preserve">35 3C 3J 3E 3D 3H 3F 3I 3K </t>
  </si>
  <si>
    <t xml:space="preserve">36 3C 3G 3E 3D 3J 3F 3L 3K </t>
  </si>
  <si>
    <t xml:space="preserve">37 3C 3G 3E 3D 3I 3F 3L 3K </t>
  </si>
  <si>
    <t xml:space="preserve">38 3C 3G 3E 3D 3J 3F 3L 3I </t>
  </si>
  <si>
    <t xml:space="preserve">39 3C 3G 3E 3D 3J 3F 3I 3K </t>
  </si>
  <si>
    <t xml:space="preserve">40 3C 3G 3E 3D 3H 3F 3L 3K </t>
  </si>
  <si>
    <t xml:space="preserve">41 3C 3G 3J 3D 3H 3F 3L 3E </t>
  </si>
  <si>
    <t xml:space="preserve">42 3C 3G 3J 3D 3H 3F 3E 3K </t>
  </si>
  <si>
    <t xml:space="preserve">43 3C 3G 3E 3D 3H 3F 3L 3I </t>
  </si>
  <si>
    <t xml:space="preserve">44 3C 3G 3E 3D 3H 3F 3I 3K </t>
  </si>
  <si>
    <t xml:space="preserve">45 3C 3G 3J 3D 3H 3F 3E 3I </t>
  </si>
  <si>
    <t xml:space="preserve">46 3H 3J 3B 3F 3I 3G 3L 3K </t>
  </si>
  <si>
    <t>47 3E 3J 3I 3B 3H 3G 3L 3K</t>
  </si>
  <si>
    <t xml:space="preserve">48 3E 3J 3B 3F 3I 3H 3L 3K </t>
  </si>
  <si>
    <t xml:space="preserve">49 3E 3J 3B 3F 3I 3G 3L 3K </t>
  </si>
  <si>
    <t xml:space="preserve">50 3E 3J 3B 3F 3H 3G 3L 3K </t>
  </si>
  <si>
    <t xml:space="preserve">51 3E 3G 3B 3F 3I 3H 3L 3K </t>
  </si>
  <si>
    <t xml:space="preserve">52 3E 3J 3B 3F 3H 3G 3L 3I </t>
  </si>
  <si>
    <t xml:space="preserve">53 3E 3J 3B 3F 3H 3G 3I 3K </t>
  </si>
  <si>
    <t xml:space="preserve">54 3H 3J 3B 3D 3I 3G 3L 3K </t>
  </si>
  <si>
    <t xml:space="preserve">55 3H 3J 3B 3D 3I 3F 3L 3K </t>
  </si>
  <si>
    <t xml:space="preserve">56 3I 3G 3B 3D 3J 3F 3L 3K </t>
  </si>
  <si>
    <t xml:space="preserve">57 3H 3G 3B 3D 3J 3F 3L 3K </t>
  </si>
  <si>
    <t xml:space="preserve">58 3H 3G 3B 3D 3I 3F 3L 3K </t>
  </si>
  <si>
    <t xml:space="preserve">59 3H 3G 3B 3D 3J 3F 3L 3I </t>
  </si>
  <si>
    <t xml:space="preserve">60 3H 3G 3B 3D 3J 3F 3I 3K </t>
  </si>
  <si>
    <t xml:space="preserve">61 3E 3J 3B 3D 3I 3H 3L 3K </t>
  </si>
  <si>
    <t xml:space="preserve">62 3E 3J 3B 3D 3I 3G 3L 3K </t>
  </si>
  <si>
    <t xml:space="preserve">63 3E 3J 3B 3D 3H 3G 3L 3K </t>
  </si>
  <si>
    <t xml:space="preserve">64 3E 3G 3B 3D 3I 3H 3L 3K </t>
  </si>
  <si>
    <t xml:space="preserve">65 3E 3J 3B 3D 3H 3G 3L 3I </t>
  </si>
  <si>
    <t xml:space="preserve">66 3E 3J 3B 3D 3H 3G 3I 3K </t>
  </si>
  <si>
    <t xml:space="preserve">67 3E 3J 3B 3D 3I 3F 3L 3K </t>
  </si>
  <si>
    <t xml:space="preserve">68 3E 3J 3B 3D 3H 3F 3L 3K </t>
  </si>
  <si>
    <t xml:space="preserve">69 3E 3I 3B 3D 3H 3F 3L 3K </t>
  </si>
  <si>
    <t xml:space="preserve">70 3E 3J 3B 3D 3H 3F 3L 3I </t>
  </si>
  <si>
    <t xml:space="preserve">71 3E 3J 3B 3D 3H 3F 3I 3K </t>
  </si>
  <si>
    <t xml:space="preserve">72 3E 3G 3B 3D 3J 3F 3L 3K </t>
  </si>
  <si>
    <t xml:space="preserve">73 3E 3G 3B 3D 3I 3F 3L 3K </t>
  </si>
  <si>
    <t xml:space="preserve">74 3E 3G 3B 3D 3J 3F 3L 3I </t>
  </si>
  <si>
    <t xml:space="preserve">75 3E 3G 3B 3D 3J 3F 3I 3K </t>
  </si>
  <si>
    <t>76 3E 3G 3B 3D 3H 3F 3L 3K</t>
  </si>
  <si>
    <t xml:space="preserve">77 3H 3G 3B 3D 3J 3F 3L 3E </t>
  </si>
  <si>
    <t xml:space="preserve">78 3H 3G 3B 3D 3J 3F 3E 3K </t>
  </si>
  <si>
    <t xml:space="preserve">79 3E 3G 3B 3D 3H 3F 3L 3I </t>
  </si>
  <si>
    <t xml:space="preserve">80 3E 3G 3B 3D 3H 3F 3I 3K </t>
  </si>
  <si>
    <t xml:space="preserve">81 3H 3G 3B 3D 3J 3F 3E 3I </t>
  </si>
  <si>
    <t xml:space="preserve">82 3H 3J 3B 3C 3I 3G 3L 3K </t>
  </si>
  <si>
    <t xml:space="preserve">83 3H 3J 3B 3C 3I 3F 3L 3K </t>
  </si>
  <si>
    <t xml:space="preserve">84 3I 3G 3B 3C 3J 3F 3L 3K </t>
  </si>
  <si>
    <t xml:space="preserve">85 3H 3G 3B 3C 3J 3F 3L 3K </t>
  </si>
  <si>
    <t xml:space="preserve">86 3H 3G 3B 3C 3I 3F 3L 3K </t>
  </si>
  <si>
    <t xml:space="preserve">87 3H 3G 3B 3C 3J 3F 3L 3I </t>
  </si>
  <si>
    <t xml:space="preserve">88 3H 3G 3B 3C 3J 3F 3I 3K </t>
  </si>
  <si>
    <t xml:space="preserve">89 3E 3J 3B 3C 3I 3H 3L 3K </t>
  </si>
  <si>
    <t xml:space="preserve">90 3E 3J 3B 3C 3I 3G 3L 3K </t>
  </si>
  <si>
    <t xml:space="preserve">91 3E 3J 3B 3C 3H 3G 3L 3K </t>
  </si>
  <si>
    <t xml:space="preserve">92 3E 3G 3B 3C 3I 3H 3L 3K </t>
  </si>
  <si>
    <t xml:space="preserve">93 3E 3J 3B 3C 3H 3G 3L 3I </t>
  </si>
  <si>
    <t xml:space="preserve">94 3E 3J 3B 3C 3H 3G 3I 3K </t>
  </si>
  <si>
    <t xml:space="preserve">95 3E 3J 3B 3C 3I 3F 3L 3K </t>
  </si>
  <si>
    <t xml:space="preserve">96 3E 3J 3B 3C 3H 3F 3L 3K </t>
  </si>
  <si>
    <t xml:space="preserve">97 3E 3I 3B 3C 3H 3F 3L 3K </t>
  </si>
  <si>
    <t xml:space="preserve">98 3E 3J 3B 3C 3H 3F 3L 3I </t>
  </si>
  <si>
    <t>99 3E 3J 3B 3C 3H 3F 3I 3K</t>
  </si>
  <si>
    <t xml:space="preserve">100 3E 3G 3B 3C 3J 3F 3L 3K </t>
  </si>
  <si>
    <t xml:space="preserve">101 3E 3G 3B 3C 3I 3F 3L 3K </t>
  </si>
  <si>
    <t xml:space="preserve">102 3E 3G 3B 3C 3J 3F 3L 3I </t>
  </si>
  <si>
    <t xml:space="preserve">103 3E 3G 3B 3C 3J 3F 3I 3K </t>
  </si>
  <si>
    <t xml:space="preserve">104 3E 3G 3B 3C 3H 3F 3L 3K </t>
  </si>
  <si>
    <t>105 3H 3G 3B 3C 3J 3F 3L 3E</t>
  </si>
  <si>
    <t xml:space="preserve">106 3H 3G 3B 3C 3J 3F 3E 3K </t>
  </si>
  <si>
    <t xml:space="preserve">107 3E 3G 3B 3C 3H 3F 3L 3I </t>
  </si>
  <si>
    <t xml:space="preserve">108 3E 3G 3B 3C 3H 3F 3I 3K </t>
  </si>
  <si>
    <t xml:space="preserve">109 3H 3G 3B 3C 3J 3F 3E 3I </t>
  </si>
  <si>
    <t xml:space="preserve">110 3H 3J 3B 3C 3I 3D 3L 3K </t>
  </si>
  <si>
    <t xml:space="preserve">111 3I 3G 3B 3C 3J 3D 3L 3K </t>
  </si>
  <si>
    <t xml:space="preserve">112 3H 3G 3B 3C 3J 3D 3L 3K </t>
  </si>
  <si>
    <t xml:space="preserve">113 3H 3G 3B 3C 3I 3D 3L 3K </t>
  </si>
  <si>
    <t xml:space="preserve">114 3H 3G 3B 3C 3J 3D 3L 3I </t>
  </si>
  <si>
    <t xml:space="preserve">115 3H 3G 3B 3C 3J 3D 3I 3K </t>
  </si>
  <si>
    <t xml:space="preserve">116 3C 3J 3B 3D 3I 3F 3L 3K </t>
  </si>
  <si>
    <t xml:space="preserve">117 3C 3J 3B 3D 3H 3F 3L 3K </t>
  </si>
  <si>
    <t xml:space="preserve">118 3C 3I 3B 3D 3H 3F 3L 3K </t>
  </si>
  <si>
    <t xml:space="preserve">119 3C 3J 3B 3D 3H 3F 3L 3I </t>
  </si>
  <si>
    <t xml:space="preserve">120 3C 3J 3B 3D 3H 3F 3I 3K </t>
  </si>
  <si>
    <t xml:space="preserve">121 3C 3G 3B 3D 3J 3F 3L 3K </t>
  </si>
  <si>
    <t xml:space="preserve">122 3C 3G 3B 3D 3I 3F 3L 3K </t>
  </si>
  <si>
    <t xml:space="preserve">123 3C 3G 3B 3D 3J 3F 3L 3I </t>
  </si>
  <si>
    <t xml:space="preserve">124 3C 3G 3B 3D 3J 3F 3I 3K </t>
  </si>
  <si>
    <t xml:space="preserve">125 3C 3G 3B 3D 3H 3F 3L 3K </t>
  </si>
  <si>
    <t xml:space="preserve">126 3C 3G 3B 3D 3H 3F 3L 3J </t>
  </si>
  <si>
    <t>127 3H 3G 3B 3C 3J 3F 3D 3K</t>
  </si>
  <si>
    <t xml:space="preserve">128 3C 3G 3B 3D 3H 3F 3L 3I </t>
  </si>
  <si>
    <t xml:space="preserve">129 3C 3G 3B 3D 3H 3F 3I 3K </t>
  </si>
  <si>
    <t xml:space="preserve">130 3H 3G 3B 3C 3J 3F 3D 3I </t>
  </si>
  <si>
    <t xml:space="preserve">131 3E 3J 3B 3C 3I 3D 3L 3K </t>
  </si>
  <si>
    <t xml:space="preserve">132 3E 3J 3B 3C 3H 3D 3L 3K </t>
  </si>
  <si>
    <t xml:space="preserve">133 3E 3I 3B 3C 3H 3D 3L 3K </t>
  </si>
  <si>
    <t>134 3E 3J 3B 3C 3H 3D 3L 3I</t>
  </si>
  <si>
    <t xml:space="preserve">135 3E 3J 3B 3C 3H 3D 3I 3K </t>
  </si>
  <si>
    <t xml:space="preserve">136 3E 3G 3B 3C 3J 3D 3L 3K </t>
  </si>
  <si>
    <t xml:space="preserve">137 3E 3G 3B 3C 3I 3D 3L 3K </t>
  </si>
  <si>
    <t xml:space="preserve">138 3E 3G 3B 3C 3J 3D 3L 3I </t>
  </si>
  <si>
    <t xml:space="preserve">139 3E 3G 3B 3C 3J 3D 3I 3K </t>
  </si>
  <si>
    <t xml:space="preserve">140 3E 3G 3B 3C 3H 3D 3L 3K </t>
  </si>
  <si>
    <t xml:space="preserve">141 3H 3G 3B 3C 3J 3D 3L 3E </t>
  </si>
  <si>
    <t xml:space="preserve">142 3H 3G 3B 3C 3J 3D 3E 3K </t>
  </si>
  <si>
    <t xml:space="preserve">143 3E 3G 3B 3C 3H 3D 3L 3I </t>
  </si>
  <si>
    <t xml:space="preserve">144 3E 3G 3B 3C 3H 3D 3I 3K </t>
  </si>
  <si>
    <t xml:space="preserve">145 3H 3G 3B 3C 3J 3D 3E 3I </t>
  </si>
  <si>
    <t xml:space="preserve">146 3C 3J 3B 3D 3E 3F 3L 3K </t>
  </si>
  <si>
    <t xml:space="preserve">147 3C 3E 3B 3D 3I 3F 3L 3K </t>
  </si>
  <si>
    <t xml:space="preserve">148 3C 3J 3B 3D 3E 3F 3L 3I </t>
  </si>
  <si>
    <t xml:space="preserve">149 3C 3J 3B 3D 3E 3F 3I 3K </t>
  </si>
  <si>
    <t xml:space="preserve">150 3C 3E 3B 3D 3H 3F 3L 3K </t>
  </si>
  <si>
    <t xml:space="preserve">151 3C 3J 3B 3D 3H 3F 3L 3E </t>
  </si>
  <si>
    <t xml:space="preserve">152 3C 3J 3B 3D 3H 3F 3E 3K </t>
  </si>
  <si>
    <t xml:space="preserve">153 3C 3E 3B 3D 3H 3F 3L 3I </t>
  </si>
  <si>
    <t xml:space="preserve">154 3C 3E 3B 3D 3H 3F 3I 3K </t>
  </si>
  <si>
    <t xml:space="preserve">155 3C 3J 3B 3D 3H 3F 3E 3I </t>
  </si>
  <si>
    <t xml:space="preserve">156 3C 3G 3B 3D 3E 3F 3L 3K </t>
  </si>
  <si>
    <t xml:space="preserve">157 3C 3G 3B 3D 3J 3F 3L 3E </t>
  </si>
  <si>
    <t xml:space="preserve">158 3C 3G 3B 3D 3J 3F 3E 3K </t>
  </si>
  <si>
    <t xml:space="preserve">159 3C 3G 3B 3D 3E 3F 3L 3I </t>
  </si>
  <si>
    <t xml:space="preserve">160 3C 3G 3B 3D 3E 3F 3I 3K </t>
  </si>
  <si>
    <t xml:space="preserve">161 3C 3G 3B 3D 3J 3F 3E 3I </t>
  </si>
  <si>
    <t xml:space="preserve">162 3C 3G 3B 3D 3H 3F 3L 3E </t>
  </si>
  <si>
    <t>163 3C 3G 3B 3D 3H 3F 3E 3K</t>
  </si>
  <si>
    <t xml:space="preserve">164 3H 3G 3B 3C 3J 3F 3D 3E </t>
  </si>
  <si>
    <t xml:space="preserve">165 3C 3G 3B 3D 3H 3F 3E 3I </t>
  </si>
  <si>
    <t xml:space="preserve">166 3H 3J 3I 3F 3A 3G 3L 3K </t>
  </si>
  <si>
    <t xml:space="preserve">167 3E 3J 3I 3A 3H 3G 3L 3K </t>
  </si>
  <si>
    <t xml:space="preserve">168 3E 3J 3I 3F 3A 3H 3L 3K </t>
  </si>
  <si>
    <t xml:space="preserve">169 3E 3J 3I 3F 3A 3G 3L 3K </t>
  </si>
  <si>
    <t xml:space="preserve">170 3E 3G 3J 3F 3A 3H 3L 3K </t>
  </si>
  <si>
    <t xml:space="preserve">171 3E 3G 3I 3F 3A 3H 3L 3K </t>
  </si>
  <si>
    <t xml:space="preserve">172 3E 3G 3J 3F 3A 3H 3L 3I </t>
  </si>
  <si>
    <t xml:space="preserve">173 3E 3G 3J 3F 3A 3H 3I 3K </t>
  </si>
  <si>
    <t xml:space="preserve">174 3H 3J 3I 3D 3A 3G 3L 3K </t>
  </si>
  <si>
    <t xml:space="preserve">175 3H 3J 3I 3D 3A 3F 3L 3K </t>
  </si>
  <si>
    <t xml:space="preserve">176 3I 3G 3J 3D 3A 3F 3L 3K </t>
  </si>
  <si>
    <t xml:space="preserve">177 3H 3G 3J 3D 3A 3F 3L 3K </t>
  </si>
  <si>
    <t xml:space="preserve">178 3H 3G 3I 3D 3A 3F 3L 3K </t>
  </si>
  <si>
    <t xml:space="preserve">179 3H 3G 3J 3D 3A 3F 3L 3I </t>
  </si>
  <si>
    <t xml:space="preserve">180 3H 3G 3J 3D 3A 3F 3I 3K </t>
  </si>
  <si>
    <t xml:space="preserve">181 3E 3J 3I 3D 3A 3H 3L 3K </t>
  </si>
  <si>
    <t xml:space="preserve">182 3E 3J 3I 3D 3A 3G 3L 3K </t>
  </si>
  <si>
    <t xml:space="preserve">183 3E 3G 3J 3D 3A 3H 3L 3K </t>
  </si>
  <si>
    <t xml:space="preserve">184 3E 3G 3I 3D 3A 3H 3L 3K </t>
  </si>
  <si>
    <t xml:space="preserve">185 3E 3G 3J 3D 3A 3H 3L 3I </t>
  </si>
  <si>
    <t xml:space="preserve">186 3E 3G 3J 3D 3A 3H 3I 3K </t>
  </si>
  <si>
    <t xml:space="preserve">187 3E 3J 3I 3D 3A 3F 3L 3K </t>
  </si>
  <si>
    <t xml:space="preserve">188 3H 3J 3E 3D 3A 3F 3L 3K </t>
  </si>
  <si>
    <t xml:space="preserve">189 3H 3E 3I 3D 3A 3F 3L 3K </t>
  </si>
  <si>
    <t xml:space="preserve">190 3H 3J 3E 3D 3A 3F 3L 3I </t>
  </si>
  <si>
    <t xml:space="preserve">191 3H 3J 3E 3D 3A 3F 3I 3K </t>
  </si>
  <si>
    <t>192 3E 3G 3J 3D 3A 3F 3L 3K</t>
  </si>
  <si>
    <t xml:space="preserve">193 3E 3G 3I 3D 3A 3F 3L 3K </t>
  </si>
  <si>
    <t xml:space="preserve">194 3E 3G 3J 3D 3A 3F 3L 3I </t>
  </si>
  <si>
    <t xml:space="preserve">195 3E 3G 3J 3D 3A 3F 3I 3K </t>
  </si>
  <si>
    <t xml:space="preserve">196 3H 3G 3E 3D 3A 3F 3L 3K </t>
  </si>
  <si>
    <t xml:space="preserve">197 3H 3G 3J 3D 3A 3F 3L 3E </t>
  </si>
  <si>
    <t xml:space="preserve">198 3H 3G 3J 3D 3A 3F 3E 3K </t>
  </si>
  <si>
    <t xml:space="preserve">199 3H 3G 3E 3D 3A 3F 3L 3I </t>
  </si>
  <si>
    <t xml:space="preserve">200 3H 3G 3E 3D 3A 3F 3I 3K </t>
  </si>
  <si>
    <t xml:space="preserve">201 3H 3G 3J 3D 3A 3F 3E 3I </t>
  </si>
  <si>
    <t xml:space="preserve">202 3H 3J 3I 3C 3A 3G 3L 3K </t>
  </si>
  <si>
    <t xml:space="preserve">203 3H 3J 3I 3C 3A 3F 3L 3K </t>
  </si>
  <si>
    <t xml:space="preserve">204 3I 3G 3J 3C 3A 3F 3L 3K </t>
  </si>
  <si>
    <t xml:space="preserve">205 3H 3G 3J 3C 3A 3F 3L 3K </t>
  </si>
  <si>
    <t xml:space="preserve">206 3H 3G 3I 3C 3A 3F 3L 3K </t>
  </si>
  <si>
    <t xml:space="preserve">207 3H 3G 3J 3C 3A 3F 3L 3I </t>
  </si>
  <si>
    <t xml:space="preserve">208 3H 3G 3J 3C 3A 3F 3I 3K </t>
  </si>
  <si>
    <t xml:space="preserve">209 3E 3J 3I 3C 3A 3H 3L 3K </t>
  </si>
  <si>
    <t xml:space="preserve">210 3E 3J 3I 3C 3A 3G 3L 3K </t>
  </si>
  <si>
    <t xml:space="preserve">211 3E 3G 3J 3C 3A 3H 3L 3K </t>
  </si>
  <si>
    <t xml:space="preserve">212 3E 3G 3I 3C 3A 3H 3L 3K </t>
  </si>
  <si>
    <t xml:space="preserve">213 3E 3G 3J 3C 3A 3H 3L 3I </t>
  </si>
  <si>
    <t xml:space="preserve">214 3E 3G 3J 3C 3A 3H 3I 3K </t>
  </si>
  <si>
    <t xml:space="preserve">215 3E 3J 3I 3C 3A 3F 3L 3K </t>
  </si>
  <si>
    <t xml:space="preserve">216 3H 3J 3E 3C 3A 3F 3L 3K </t>
  </si>
  <si>
    <t xml:space="preserve">217 3H 3E 3I 3C 3A 3F 3L 3K </t>
  </si>
  <si>
    <t xml:space="preserve">218 3H 3J 3E 3C 3A 3F 3L 3I </t>
  </si>
  <si>
    <t xml:space="preserve">219 3H 3J 3E 3C 3A 3F 3I 3K </t>
  </si>
  <si>
    <t xml:space="preserve">220 3E 3G 3J 3C 3A 3F 3L 3K </t>
  </si>
  <si>
    <t>221 3E 3G 3I 3C 3A 3F 3L 3K</t>
  </si>
  <si>
    <t xml:space="preserve">222 3E 3G 3J 3C 3A 3F 3L 3I </t>
  </si>
  <si>
    <t xml:space="preserve">223 3E 3G 3J 3C 3A 3F 3I 3K </t>
  </si>
  <si>
    <t xml:space="preserve">224 3H 3G 3E 3C 3A 3F 3L 3K </t>
  </si>
  <si>
    <t xml:space="preserve">225 3H 3G 3J 3C 3A 3F 3L 3E </t>
  </si>
  <si>
    <t xml:space="preserve">226 3H 3G 3J 3C 3A 3F 3E 3K </t>
  </si>
  <si>
    <t xml:space="preserve">227 3H 3G 3E 3C 3A 3F 3L 3I </t>
  </si>
  <si>
    <t xml:space="preserve">228 3H 3G 3E 3C 3A 3F 3I 3K </t>
  </si>
  <si>
    <t xml:space="preserve">229 3H 3G 3J 3C 3A 3F 3E 3I </t>
  </si>
  <si>
    <t xml:space="preserve">230 3H 3J 3I 3C 3A 3D 3L 3K </t>
  </si>
  <si>
    <t xml:space="preserve">231 3I 3G 3J 3C 3A 3D 3L 3K </t>
  </si>
  <si>
    <t xml:space="preserve">232 3H 3G 3J 3C 3A 3D 3L 3K </t>
  </si>
  <si>
    <t xml:space="preserve">233 3H 3G 3I 3C 3A 3D 3L 3K </t>
  </si>
  <si>
    <t xml:space="preserve">234 3H 3G 3J 3C 3A 3D 3L 3I </t>
  </si>
  <si>
    <t xml:space="preserve">235 3H 3G 3J 3C 3A 3D 3I 3K </t>
  </si>
  <si>
    <t xml:space="preserve">236 3C 3J 3I 3D 3A 3F 3L 3K </t>
  </si>
  <si>
    <t xml:space="preserve">237 3H 3J 3F 3C 3A 3D 3L 3K </t>
  </si>
  <si>
    <t xml:space="preserve">238 3H 3F 3I 3C 3A 3D 3L 3K </t>
  </si>
  <si>
    <t xml:space="preserve">239 3H 3J 3F 3C 3A 3D 3L 3I </t>
  </si>
  <si>
    <t xml:space="preserve">240 3H 3J 3F 3C 3A 3D 3I 3K </t>
  </si>
  <si>
    <t xml:space="preserve">241 3C 3G 3J 3D 3A 3F 3L 3K </t>
  </si>
  <si>
    <t xml:space="preserve">242 3C 3G 3I 3D 3A 3F 3L 3K </t>
  </si>
  <si>
    <t xml:space="preserve">243 3C 3G 3J 3D 3A 3F 3L 3I </t>
  </si>
  <si>
    <t xml:space="preserve">244 3C 3G 3J 3D 3A 3F 3I 3K </t>
  </si>
  <si>
    <t xml:space="preserve">245 3H 3G 3F 3C 3A 3D 3L 3K </t>
  </si>
  <si>
    <t xml:space="preserve">246 3C 3G 3J 3D 3A 3F 3L 3H </t>
  </si>
  <si>
    <t xml:space="preserve">247 3H 3G 3J 3C 3A 3F 3D 3K </t>
  </si>
  <si>
    <t xml:space="preserve">248 3H 3G 3F 3C 3A 3D 3L 3I </t>
  </si>
  <si>
    <t xml:space="preserve">249 3H 3G 3F 3C 3A 3D 3I 3K </t>
  </si>
  <si>
    <t>250 3H 3G 3J 3C 3A 3F 3D 3I</t>
  </si>
  <si>
    <t xml:space="preserve">251 3E 3J 3I 3C 3A 3D 3L 3K </t>
  </si>
  <si>
    <t xml:space="preserve">252 3H 3J 3E 3C 3A 3D 3L 3K </t>
  </si>
  <si>
    <t xml:space="preserve">253 3H 3E 3I 3C 3A 3D 3L 3K </t>
  </si>
  <si>
    <t xml:space="preserve">254 3H 3J 3E 3C 3A 3D 3L 3I </t>
  </si>
  <si>
    <t xml:space="preserve">255 3H 3J 3E 3C 3A 3D 3I 3K </t>
  </si>
  <si>
    <t xml:space="preserve">256 3E 3G 3J 3C 3A 3D 3L 3K </t>
  </si>
  <si>
    <t xml:space="preserve">257 3E 3G 3I 3C 3A 3D 3L 3K </t>
  </si>
  <si>
    <t xml:space="preserve">258 3E 3G 3J 3C 3A 3D 3L 3I </t>
  </si>
  <si>
    <t xml:space="preserve">259 3E 3G 3J 3C 3A 3D 3I 3K </t>
  </si>
  <si>
    <t xml:space="preserve">260 3H 3G 3E 3C 3A 3D 3L 3K </t>
  </si>
  <si>
    <t xml:space="preserve">261 3H 3G 3J 3C 3A 3D 3L 3E </t>
  </si>
  <si>
    <t xml:space="preserve">262 3H 3G 3J 3C 3A 3D 3E 3K </t>
  </si>
  <si>
    <t xml:space="preserve">263 3H 3G 3E 3C 3A 3D 3L 3I </t>
  </si>
  <si>
    <t xml:space="preserve">264 3H 3G 3E 3C 3A 3D 3I 3K </t>
  </si>
  <si>
    <t xml:space="preserve">265 3H 3G 3J 3C 3A 3D 3E 3I </t>
  </si>
  <si>
    <t xml:space="preserve">266 3C 3J 3E 3D 3A 3F 3L 3K </t>
  </si>
  <si>
    <t xml:space="preserve">267 3C 3E 3I 3D 3A 3F 3L 3K </t>
  </si>
  <si>
    <t xml:space="preserve">268 3C 3J 3E 3D 3A 3F 3L 3I </t>
  </si>
  <si>
    <t xml:space="preserve">269 3C 3J 3E 3D 3A 3F 3I 3K </t>
  </si>
  <si>
    <t xml:space="preserve">270 3H 3E 3F 3C 3A 3D 3L 3K </t>
  </si>
  <si>
    <t xml:space="preserve">271 3H 3J 3F 3C 3A 3D 3L 3E </t>
  </si>
  <si>
    <t xml:space="preserve">272 3H 3J 3E 3C 3A 3F 3D 3K </t>
  </si>
  <si>
    <t xml:space="preserve">273 3H 3E 3F 3C 3A 3D 3L 3I </t>
  </si>
  <si>
    <t xml:space="preserve">274 3H 3E 3F 3C 3A 3D 3I 3K </t>
  </si>
  <si>
    <t xml:space="preserve">275 3H 3J 3E 3C 3A 3F 3D 3I </t>
  </si>
  <si>
    <t xml:space="preserve">276 3C 3G 3E 3D 3A 3F 3L 3K </t>
  </si>
  <si>
    <t xml:space="preserve">277 3C 3G 3J 3D 3A 3F 3L 3E </t>
  </si>
  <si>
    <t xml:space="preserve">278 3C 3G 3J 3D 3A 3F 3E 3K </t>
  </si>
  <si>
    <t>279 3C 3G 3E 3D 3A 3F 3L 3I</t>
  </si>
  <si>
    <t xml:space="preserve">280 3C 3G 3E 3D 3A 3F 3I 3K </t>
  </si>
  <si>
    <t xml:space="preserve">281 3C 3G 3J 3D 3A 3F 3E 3I </t>
  </si>
  <si>
    <t xml:space="preserve">282 3H 3G 3F 3C 3A 3D 3L 3E </t>
  </si>
  <si>
    <t xml:space="preserve">283 3H 3G 3E 3C 3A 3F 3D 3K </t>
  </si>
  <si>
    <t xml:space="preserve">284 3H 3G 3J 3C 3A 3F 3D 3E </t>
  </si>
  <si>
    <t xml:space="preserve">285 3H 3G 3E 3C 3A 3F 3D 3I </t>
  </si>
  <si>
    <t xml:space="preserve">286 3H 3J 3B 3A 3I 3G 3L 3K </t>
  </si>
  <si>
    <t xml:space="preserve">287 3H 3J 3B 3A 3I 3F 3L 3K </t>
  </si>
  <si>
    <t xml:space="preserve">288 3I 3J 3B 3F 3A 3G 3L 3K </t>
  </si>
  <si>
    <t xml:space="preserve">289 3H 3J 3B 3F 3A 3G 3L 3K </t>
  </si>
  <si>
    <t xml:space="preserve">290 3H 3G 3B 3A 3I 3F 3L 3K </t>
  </si>
  <si>
    <t xml:space="preserve">291 3H 3J 3B 3F 3A 3G 3L 3I </t>
  </si>
  <si>
    <t xml:space="preserve">292 3H 3J 3B 3F 3A 3G 3I 3K </t>
  </si>
  <si>
    <t xml:space="preserve">293 3E 3J 3B 3A 3I 3H 3L 3K </t>
  </si>
  <si>
    <t xml:space="preserve">294 3E 3J 3B 3A 3I 3G 3L 3K </t>
  </si>
  <si>
    <t xml:space="preserve">295 3E 3J 3B 3A 3H 3G 3L 3K </t>
  </si>
  <si>
    <t xml:space="preserve">296 3E 3G 3B 3A 3I 3H 3L 3K </t>
  </si>
  <si>
    <t xml:space="preserve">297 3E 3J 3B 3A 3H 3G 3L 3I </t>
  </si>
  <si>
    <t xml:space="preserve">298 3E 3J 3B 3A 3H 3G 3I 3K </t>
  </si>
  <si>
    <t xml:space="preserve">299 3E 3J 3B 3A 3I 3F 3L 3K </t>
  </si>
  <si>
    <t xml:space="preserve">300 3E 3J 3B 3F 3A 3H 3L 3K </t>
  </si>
  <si>
    <t xml:space="preserve">301 3E 3I 3B 3F 3A 3H 3L 3K </t>
  </si>
  <si>
    <t xml:space="preserve">302 3E 3J 3B 3F 3A 3H 3L 3I </t>
  </si>
  <si>
    <t xml:space="preserve">303 3E 3J 3B 3F 3A 3H 3I 3K </t>
  </si>
  <si>
    <t xml:space="preserve">304 3E 3J 3B 3F 3A 3G 3L 3K </t>
  </si>
  <si>
    <t xml:space="preserve">305 3E 3G 3B 3A 3I 3F 3L 3K </t>
  </si>
  <si>
    <t xml:space="preserve">306 3E 3J 3B 3F 3A 3G 3L 3I </t>
  </si>
  <si>
    <t xml:space="preserve">307 3E 3J 3B 3F 3A 3G 3I 3K </t>
  </si>
  <si>
    <t>308 3E 3G 3B 3F 3A 3H 3L 3K</t>
  </si>
  <si>
    <t xml:space="preserve">309 3H 3J 3B 3F 3A 3G 3L 3E </t>
  </si>
  <si>
    <t xml:space="preserve">310 3H 3J 3B 3F 3A 3G 3E 3K </t>
  </si>
  <si>
    <t xml:space="preserve">311 3E 3G 3B 3F 3A 3H 3L 3I </t>
  </si>
  <si>
    <t xml:space="preserve">312 3E 3G 3B 3F 3A 3H 3I 3K </t>
  </si>
  <si>
    <t xml:space="preserve">313 3H 3J 3B 3F 3A 3G 3E 3I </t>
  </si>
  <si>
    <t xml:space="preserve">314 3I 3J 3B 3D 3A 3H 3L 3K </t>
  </si>
  <si>
    <t xml:space="preserve">315 3I 3J 3B 3D 3A 3G 3L 3K </t>
  </si>
  <si>
    <t xml:space="preserve">316 3H 3J 3B 3D 3A 3G 3L 3K </t>
  </si>
  <si>
    <t xml:space="preserve">317 3I 3G 3B 3D 3A 3H 3L 3K </t>
  </si>
  <si>
    <t xml:space="preserve">318 3H 3J 3B 3D 3A 3G 3L 3I </t>
  </si>
  <si>
    <t xml:space="preserve">319 3H 3J 3B 3D 3A 3G 3I 3K </t>
  </si>
  <si>
    <t xml:space="preserve">320 3I 3J 3B 3D 3A 3F 3L 3K </t>
  </si>
  <si>
    <t xml:space="preserve">321 3H 3J 3B 3D 3A 3F 3L 3K </t>
  </si>
  <si>
    <t xml:space="preserve">322 3H 3I 3B 3D 3A 3F 3L 3K </t>
  </si>
  <si>
    <t xml:space="preserve">323 3H 3J 3B 3D 3A 3F 3L 3I </t>
  </si>
  <si>
    <t xml:space="preserve">324 3H 3J 3B 3D 3A 3F 3I 3K </t>
  </si>
  <si>
    <t xml:space="preserve">325 3F 3J 3B 3D 3A 3G 3L 3K </t>
  </si>
  <si>
    <t xml:space="preserve">326 3I 3G 3B 3D 3A 3F 3L 3K </t>
  </si>
  <si>
    <t xml:space="preserve">327 3F 3J 3B 3D 3A 3G 3L 3I </t>
  </si>
  <si>
    <t xml:space="preserve">328 3F 3J 3B 3D 3A 3G 3I 3K </t>
  </si>
  <si>
    <t xml:space="preserve">329 3H 3G 3B 3D 3A 3F 3L 3K </t>
  </si>
  <si>
    <t xml:space="preserve">330 3H 3G 3B 3D 3A 3F 3L 3J </t>
  </si>
  <si>
    <t xml:space="preserve">331 3H 3G 3B 3D 3A 3F 3J 3K </t>
  </si>
  <si>
    <t xml:space="preserve">332 3H 3G 3B 3D 3A 3F 3L 3I </t>
  </si>
  <si>
    <t xml:space="preserve">333 3H 3G 3B 3D 3A 3F 3I 3K </t>
  </si>
  <si>
    <t xml:space="preserve">334 3H 3G 3B 3D 3A 3F 3I 3J </t>
  </si>
  <si>
    <t xml:space="preserve">335 3E 3J 3B 3A 3I 3D 3L 3K </t>
  </si>
  <si>
    <t xml:space="preserve">336 3E 3J 3B 3D 3A 3H 3L 3K </t>
  </si>
  <si>
    <t>337 3E 3I 3B 3D 3A 3H 3L 3K</t>
  </si>
  <si>
    <t xml:space="preserve">338 3E 3J 3B 3D 3A 3H 3L 3I </t>
  </si>
  <si>
    <t xml:space="preserve">339 3E 3J 3B 3D 3A 3H 3I 3K </t>
  </si>
  <si>
    <t xml:space="preserve">340 3E 3J 3B 3D 3A 3G 3L 3K </t>
  </si>
  <si>
    <t xml:space="preserve">341 3E 3G 3B 3A 3I 3D 3L 3K </t>
  </si>
  <si>
    <t xml:space="preserve">342 3E 3J 3B 3D 3A 3G 3L 3I </t>
  </si>
  <si>
    <t xml:space="preserve">343 3E 3J 3B 3D 3A 3G 3I 3K </t>
  </si>
  <si>
    <t xml:space="preserve">344 3E 3G 3B 3D 3A 3H 3L 3K </t>
  </si>
  <si>
    <t xml:space="preserve">345 3H 3J 3B 3D 3A 3G 3L 3E </t>
  </si>
  <si>
    <t xml:space="preserve">346 3H 3J 3B 3D 3A 3G 3E 3K </t>
  </si>
  <si>
    <t xml:space="preserve">347 3E 3G 3B 3D 3A 3H 3L 3I </t>
  </si>
  <si>
    <t xml:space="preserve">348 3E 3G 3B 3D 3A 3H 3I 3K </t>
  </si>
  <si>
    <t xml:space="preserve">349 3H 3J 3B 3D 3A 3G 3E 3I </t>
  </si>
  <si>
    <t xml:space="preserve">350 3E 3J 3B 3D 3A 3F 3L 3K </t>
  </si>
  <si>
    <t xml:space="preserve">351 3E 3I 3B 3D 3A 3F 3L 3K </t>
  </si>
  <si>
    <t xml:space="preserve">352 3E 3J 3B 3D 3A 3F 3L 3I </t>
  </si>
  <si>
    <t xml:space="preserve">353 3E 3J 3B 3D 3A 3F 3I 3K </t>
  </si>
  <si>
    <t xml:space="preserve">354 3H 3E 3B 3D 3A 3F 3L 3K </t>
  </si>
  <si>
    <t xml:space="preserve">355 3H 3J 3B 3D 3A 3F 3L 3E </t>
  </si>
  <si>
    <t xml:space="preserve">356 3H 3J 3B 3D 3A 3F 3E 3K </t>
  </si>
  <si>
    <t xml:space="preserve">357 3H 3E 3B 3D 3A 3F 3L 3I </t>
  </si>
  <si>
    <t xml:space="preserve">358 3H 3E 3B 3D 3A 3F 3I 3K </t>
  </si>
  <si>
    <t xml:space="preserve">359 3H 3J 3B 3D 3A 3F 3E 3I </t>
  </si>
  <si>
    <t xml:space="preserve">360 3E 3G 3B 3D 3A 3F 3L 3K </t>
  </si>
  <si>
    <t xml:space="preserve">361 3E 3G 3B 3D 3A 3F 3L 3J </t>
  </si>
  <si>
    <t xml:space="preserve">362 3E 3G 3B 3D 3A 3F 3J 3K </t>
  </si>
  <si>
    <t xml:space="preserve">363 3E 3G 3B 3D 3A 3F 3L 3I </t>
  </si>
  <si>
    <t xml:space="preserve">364 3E 3G 3B 3D 3A 3F 3I 3K </t>
  </si>
  <si>
    <t xml:space="preserve">365 3E 3G 3B 3D 3A 3F 3I 3J </t>
  </si>
  <si>
    <t>366 3H 3G 3B 3D 3A 3F 3L 3E</t>
  </si>
  <si>
    <t xml:space="preserve">367 3H 3G 3B 3D 3A 3F 3E 3K </t>
  </si>
  <si>
    <t xml:space="preserve">368 3H 3G 3B 3D 3A 3F 3E 3J </t>
  </si>
  <si>
    <t xml:space="preserve">369 3H 3G 3B 3D 3A 3F 3E 3I </t>
  </si>
  <si>
    <t xml:space="preserve">370 3I 3J 3B 3C 3A 3H 3L 3K </t>
  </si>
  <si>
    <t xml:space="preserve">371 3I 3J 3B 3C 3A 3G 3L 3K </t>
  </si>
  <si>
    <t xml:space="preserve">372 3H 3J 3B 3C 3A 3G 3L 3K </t>
  </si>
  <si>
    <t xml:space="preserve">373 3I 3G 3B 3C 3A 3H 3L 3K </t>
  </si>
  <si>
    <t xml:space="preserve">374 3H 3J 3B 3C 3A 3G 3L 3I </t>
  </si>
  <si>
    <t xml:space="preserve">375 3H 3J 3B 3C 3A 3G 3I 3K </t>
  </si>
  <si>
    <t xml:space="preserve">376 3I 3J 3B 3C 3A 3F 3L 3K </t>
  </si>
  <si>
    <t xml:space="preserve">377 3H 3J 3B 3C 3A 3F 3L 3K </t>
  </si>
  <si>
    <t xml:space="preserve">378 3H 3I 3B 3C 3A 3F 3L 3K </t>
  </si>
  <si>
    <t xml:space="preserve">379 3H 3J 3B 3C 3A 3F 3L 3I </t>
  </si>
  <si>
    <t xml:space="preserve">380 3H 3J 3B 3C 3A 3F 3I 3K </t>
  </si>
  <si>
    <t xml:space="preserve">381 3C 3J 3B 3F 3A 3G 3L 3K </t>
  </si>
  <si>
    <t xml:space="preserve">382 3I 3G 3B 3C 3A 3F 3L 3K </t>
  </si>
  <si>
    <t xml:space="preserve">383 3C 3J 3B 3F 3A 3G 3L 3I </t>
  </si>
  <si>
    <t xml:space="preserve">384 3C 3J 3B 3F 3A 3G 3I 3K </t>
  </si>
  <si>
    <t xml:space="preserve">385 3H 3G 3B 3C 3A 3F 3L 3K </t>
  </si>
  <si>
    <t xml:space="preserve">386 3H 3G 3B 3C 3A 3F 3L 3J </t>
  </si>
  <si>
    <t xml:space="preserve">387 3H 3G 3B 3C 3A 3F 3J 3K </t>
  </si>
  <si>
    <t xml:space="preserve">388 3H 3G 3B 3C 3A 3F 3L 3I </t>
  </si>
  <si>
    <t xml:space="preserve">389 3H 3G 3B 3C 3A 3F 3I 3K </t>
  </si>
  <si>
    <t xml:space="preserve">390 3H 3G 3B 3C 3A 3F 3I 3J </t>
  </si>
  <si>
    <t xml:space="preserve">391 3E 3J 3B 3A 3I 3C 3L 3K </t>
  </si>
  <si>
    <t xml:space="preserve">392 3E 3J 3B 3C 3A 3H 3L 3K </t>
  </si>
  <si>
    <t xml:space="preserve">393 3E 3I 3B 3C 3A 3H 3L 3K </t>
  </si>
  <si>
    <t xml:space="preserve">394 3E 3J 3B 3C 3A 3H 3L 3I </t>
  </si>
  <si>
    <t>395 3E 3J 3B 3C 3A 3H 3I 3K</t>
  </si>
  <si>
    <t xml:space="preserve">396 3E 3J 3B 3C 3A 3G 3L 3K </t>
  </si>
  <si>
    <t xml:space="preserve">397 3E 3G 3B 3A 3I 3C 3L 3K </t>
  </si>
  <si>
    <t xml:space="preserve">398 3E 3J 3B 3C 3A 3G 3L 3I </t>
  </si>
  <si>
    <t xml:space="preserve">399 3E 3J 3B 3C 3A 3G 3I 3K </t>
  </si>
  <si>
    <t xml:space="preserve">400 3E 3G 3B 3C 3A 3H 3L 3K </t>
  </si>
  <si>
    <t xml:space="preserve">401 3H 3J 3B 3C 3A 3G 3L 3E </t>
  </si>
  <si>
    <t xml:space="preserve">402 3H 3J 3B 3C 3A 3G 3E 3K </t>
  </si>
  <si>
    <t xml:space="preserve">403 3E 3G 3B 3C 3A 3H 3L 3I </t>
  </si>
  <si>
    <t xml:space="preserve">404 3E 3G 3B 3C 3A 3H 3I 3K </t>
  </si>
  <si>
    <t xml:space="preserve">405 3H 3J 3B 3C 3A 3G 3E 3I </t>
  </si>
  <si>
    <t xml:space="preserve">406 3E 3J 3B 3C 3A 3F 3L 3K </t>
  </si>
  <si>
    <t xml:space="preserve">407 3E 3I 3B 3C 3A 3F 3L 3K </t>
  </si>
  <si>
    <t xml:space="preserve">408 3E 3J 3B 3C 3A 3F 3L 3I </t>
  </si>
  <si>
    <t xml:space="preserve">409 3E 3J 3B 3C 3A 3F 3I 3K </t>
  </si>
  <si>
    <t xml:space="preserve">410 3H 3E 3B 3C 3A 3F 3L 3K </t>
  </si>
  <si>
    <t xml:space="preserve">411 3H 3J 3B 3C 3A 3F 3L 3E </t>
  </si>
  <si>
    <t xml:space="preserve">412 3H 3J 3B 3C 3A 3F 3E 3K </t>
  </si>
  <si>
    <t xml:space="preserve">413 3H 3E 3B 3C 3A 3F 3L 3I </t>
  </si>
  <si>
    <t xml:space="preserve">414 3H 3E 3B 3C 3A 3F 3I 3K </t>
  </si>
  <si>
    <t xml:space="preserve">415 3H 3J 3B 3C 3A 3F 3E 3I </t>
  </si>
  <si>
    <t xml:space="preserve">416 3E 3G 3B 3C 3A 3F 3L 3K </t>
  </si>
  <si>
    <t xml:space="preserve">417 3E 3G 3B 3C 3A 3F 3L 3J </t>
  </si>
  <si>
    <t xml:space="preserve">418 3E 3G 3B 3C 3A 3F 3J 3K </t>
  </si>
  <si>
    <t xml:space="preserve">419 3E 3G 3B 3C 3A 3F 3L 3I </t>
  </si>
  <si>
    <t xml:space="preserve">420 3E 3G 3B 3C 3A 3F 3I 3K </t>
  </si>
  <si>
    <t xml:space="preserve">421 3E 3G 3B 3C 3A 3F 3I 3J </t>
  </si>
  <si>
    <t xml:space="preserve">422 3H 3G 3B 3C 3A 3F 3L 3E </t>
  </si>
  <si>
    <t xml:space="preserve">423 3H 3G 3B 3C 3A 3F 3E 3K </t>
  </si>
  <si>
    <t>424 3H 3G 3B 3C 3A 3F 3E 3J</t>
  </si>
  <si>
    <t xml:space="preserve">425 3H 3G 3B 3C 3A 3F 3E 3I </t>
  </si>
  <si>
    <t xml:space="preserve">426 3I 3J 3B 3C 3A 3D 3L 3K </t>
  </si>
  <si>
    <t xml:space="preserve">427 3H 3J 3B 3C 3A 3D 3L 3K </t>
  </si>
  <si>
    <t xml:space="preserve">428 3H 3I 3B 3C 3A 3D 3L 3K </t>
  </si>
  <si>
    <t xml:space="preserve">429 3H 3J 3B 3C 3A 3D 3L 3I </t>
  </si>
  <si>
    <t xml:space="preserve">430 3H 3J 3B 3C 3A 3D 3I 3K </t>
  </si>
  <si>
    <t xml:space="preserve">431 3C 3J 3B 3D 3A 3G 3L 3K </t>
  </si>
  <si>
    <t xml:space="preserve">432 3I 3G 3B 3C 3A 3D 3L 3K </t>
  </si>
  <si>
    <t xml:space="preserve">433 3C 3J 3B 3D 3A 3G 3L 3I </t>
  </si>
  <si>
    <t xml:space="preserve">434 3C 3J 3B 3D 3A 3G 3I 3K </t>
  </si>
  <si>
    <t xml:space="preserve">435 3H 3G 3B 3C 3A 3D 3L 3K </t>
  </si>
  <si>
    <t xml:space="preserve">436 3H 3G 3B 3C 3A 3D 3L 3J </t>
  </si>
  <si>
    <t xml:space="preserve">437 3H 3G 3B 3C 3A 3D 3J 3K </t>
  </si>
  <si>
    <t xml:space="preserve">438 3H 3G 3B 3C 3A 3D 3L 3I </t>
  </si>
  <si>
    <t xml:space="preserve">439 3H 3G 3B 3C 3A 3D 3I 3K </t>
  </si>
  <si>
    <t xml:space="preserve">440 3H 3G 3B 3C 3A 3D 3I 3J </t>
  </si>
  <si>
    <t xml:space="preserve">441 3C 3J 3B 3D 3A 3F 3L 3K </t>
  </si>
  <si>
    <t xml:space="preserve">442 3C 3I 3B 3D 3A 3F 3L 3K </t>
  </si>
  <si>
    <t xml:space="preserve">443 3C 3J 3B 3D 3A 3F 3L 3I </t>
  </si>
  <si>
    <t xml:space="preserve">444 3C 3J 3B 3D 3A 3F 3I 3K </t>
  </si>
  <si>
    <t xml:space="preserve">445 3H 3F 3B 3C 3A 3D 3L 3K </t>
  </si>
  <si>
    <t xml:space="preserve">446 3C 3J 3B 3D 3A 3F 3L 3H </t>
  </si>
  <si>
    <t xml:space="preserve">447 3H 3J 3B 3C 3A 3F 3D 3K </t>
  </si>
  <si>
    <t xml:space="preserve">448 3H 3F 3B 3C 3A 3D 3L 3I </t>
  </si>
  <si>
    <t xml:space="preserve">449 3H 3F 3B 3C 3A 3D 3I 3K </t>
  </si>
  <si>
    <t xml:space="preserve">450 3H 3J 3B 3C 3A 3F 3D 3I </t>
  </si>
  <si>
    <t xml:space="preserve">451 3C 3G 3B 3D 3A 3F 3L 3K </t>
  </si>
  <si>
    <t xml:space="preserve">452 3C 3G 3B 3D 3A 3F 3L 3J </t>
  </si>
  <si>
    <t>453 3C 3G 3B 3D 3A 3F 3J 3K</t>
  </si>
  <si>
    <t xml:space="preserve">454 3C 3G 3B 3D 3A 3F 3L 3I </t>
  </si>
  <si>
    <t xml:space="preserve">455 3C 3G 3B 3D 3A 3F 3I 3K </t>
  </si>
  <si>
    <t xml:space="preserve">456 3C 3G 3B 3D 3A 3F 3I 3J </t>
  </si>
  <si>
    <t xml:space="preserve">457 3C 3G 3B 3D 3A 3F 3L 3H </t>
  </si>
  <si>
    <t xml:space="preserve">458 3H 3G 3B 3C 3A 3F 3D 3K </t>
  </si>
  <si>
    <t xml:space="preserve">459 3H 3G 3B 3C 3A 3F 3D 3J </t>
  </si>
  <si>
    <t xml:space="preserve">460 3H 3G 3B 3C 3A 3F 3D 3I </t>
  </si>
  <si>
    <t xml:space="preserve">461 3E 3J 3B 3C 3A 3D 3L 3K </t>
  </si>
  <si>
    <t xml:space="preserve">462 3E 3I 3B 3C 3A 3D 3L 3K </t>
  </si>
  <si>
    <t xml:space="preserve">463 3E 3J 3B 3C 3A 3D 3L 3I </t>
  </si>
  <si>
    <t xml:space="preserve">464 3E 3J 3B 3C 3A 3D 3I 3K </t>
  </si>
  <si>
    <t xml:space="preserve">465 3H 3E 3B 3C 3A 3D 3L 3K </t>
  </si>
  <si>
    <t xml:space="preserve">466 3H 3J 3B 3C 3A 3D 3L 3E </t>
  </si>
  <si>
    <t xml:space="preserve">467 3H 3J 3B 3C 3A 3D 3E 3K </t>
  </si>
  <si>
    <t xml:space="preserve">468 3H 3E 3B 3C 3A 3D 3L 3I </t>
  </si>
  <si>
    <t xml:space="preserve">469 3H 3E 3B 3C 3A 3D 3I 3K </t>
  </si>
  <si>
    <t xml:space="preserve">470 3H 3J 3B 3C 3A 3D 3E 3I </t>
  </si>
  <si>
    <t xml:space="preserve">471 3E 3G 3B 3C 3A 3D 3L 3K </t>
  </si>
  <si>
    <t xml:space="preserve">472 3E 3G 3B 3C 3A 3D 3L 3J </t>
  </si>
  <si>
    <t xml:space="preserve">473 3E 3G 3B 3C 3A 3D 3J 3K </t>
  </si>
  <si>
    <t xml:space="preserve">474 3E 3G 3B 3C 3A 3D 3L 3I </t>
  </si>
  <si>
    <t xml:space="preserve">475 3E 3G 3B 3C 3A 3D 3I 3K </t>
  </si>
  <si>
    <t xml:space="preserve">476 3E 3G 3B 3C 3A 3D 3I 3J </t>
  </si>
  <si>
    <t xml:space="preserve">477 3H 3G 3B 3C 3A 3D 3L 3E </t>
  </si>
  <si>
    <t xml:space="preserve">478 3H 3G 3B 3C 3A 3D 3E 3K </t>
  </si>
  <si>
    <t xml:space="preserve">479 3H 3G 3B 3C 3A 3D 3E 3J </t>
  </si>
  <si>
    <t xml:space="preserve">480 3H 3G 3B 3C 3A 3D 3E 3I </t>
  </si>
  <si>
    <t xml:space="preserve">481 3C 3E 3B 3D 3A 3F 3L 3K </t>
  </si>
  <si>
    <t>482 3C 3J 3B 3D 3A 3F 3L 3E</t>
  </si>
  <si>
    <t xml:space="preserve">483 3C 3J 3B 3D 3A 3F 3E 3K </t>
  </si>
  <si>
    <t xml:space="preserve">484 3C 3E 3B 3D 3A 3F 3L 3I </t>
  </si>
  <si>
    <t xml:space="preserve">485 3C 3E 3B 3D 3A 3F 3I 3K </t>
  </si>
  <si>
    <t xml:space="preserve">486 3C 3J 3B 3D 3A 3F 3E 3I </t>
  </si>
  <si>
    <t xml:space="preserve">487 3H 3F 3B 3C 3A 3D 3L 3E </t>
  </si>
  <si>
    <t xml:space="preserve">488 3H 3E 3B 3C 3A 3F 3D 3K </t>
  </si>
  <si>
    <t xml:space="preserve">489 3H 3J 3B 3C 3A 3F 3D 3E </t>
  </si>
  <si>
    <t xml:space="preserve">490 3H 3E 3B 3C 3A 3F 3D 3I </t>
  </si>
  <si>
    <t xml:space="preserve">491 3C 3G 3B 3D 3A 3F 3L 3E </t>
  </si>
  <si>
    <t xml:space="preserve">492 3C 3G 3B 3D 3A 3F 3E 3K </t>
  </si>
  <si>
    <t xml:space="preserve">493 3C 3G 3B 3D 3A 3F 3E 3J </t>
  </si>
  <si>
    <t xml:space="preserve">494 3C 3G 3B 3D 3A 3F 3E 3I </t>
  </si>
  <si>
    <t>495 3H 3G 3B 3C 3A 3F 3D 3E</t>
  </si>
  <si>
    <t>GRUPOS</t>
  </si>
  <si>
    <t>IN</t>
  </si>
  <si>
    <t>3er Puesto</t>
  </si>
  <si>
    <t>Semi final</t>
  </si>
  <si>
    <t>Puntos Clasif</t>
  </si>
  <si>
    <t>Dif G</t>
  </si>
  <si>
    <t>Ptos fase</t>
  </si>
  <si>
    <t>Ptos+clase</t>
  </si>
  <si>
    <t>Class 1</t>
  </si>
  <si>
    <t>Puntos fase</t>
  </si>
  <si>
    <t>MAX</t>
  </si>
  <si>
    <t>Semis</t>
  </si>
  <si>
    <t>3ro</t>
  </si>
  <si>
    <t>Sub</t>
  </si>
  <si>
    <t>camp</t>
  </si>
  <si>
    <t>Best of class</t>
  </si>
  <si>
    <t>Ponderación</t>
  </si>
  <si>
    <t>OUT</t>
  </si>
  <si>
    <t>BEST</t>
  </si>
  <si>
    <t>Min clase 1</t>
  </si>
  <si>
    <t>Puntos Fase</t>
  </si>
  <si>
    <t>Min clase 1´</t>
  </si>
  <si>
    <t>Usted ha apostado por la verdeamarela como campeón. Históricamente, los mejores; aunque hoy no atraviesen su mejor momento - el intento desesperado de llamar a Ancelotti así lo demuestra. Amamos a los brasileros y a su fútbol (excepto a Vini Jr, obviamente). Neymar merece una copa. Si usted es brasilero, lo felicito; uno siempre debe apostar por su equipo - usted es una persona de bien. Si usted no es brasilero, igual "aceptamos" su decisión.</t>
  </si>
  <si>
    <t>Usted elgió a Alemania… qué hacer con Alemania… fútbol apático si los hay… ganan un munidal cada 20 años básicamente. La lógica indicaría que ganarán el 2034, pero no esta copa… Su elección de campeón es por lo menos "rara"… pero bueno, cada uno es libre de elegir lo que quiera</t>
  </si>
  <si>
    <t>Uff… eligió a Holanda… Recordamos aquellos buenos tiempos donde Holanda era un equipo "simpático"; un "grande sin copa".  Pero luego vendió su alma al diablo, casándose con uno de los personajes más siniestros y detestables en la historia del fútbol: Louis van Gaal. Realmetne no se nos ocurre cómo alguien hoy podría elegir a Holanda. Lo invitamos a recapacitar y pensar bien lo que está haciendo. Andá pa´allá, bobo...</t>
  </si>
  <si>
    <t>Béliga Campeón - una apuesta riesgosa… hoy tenemos una Bélgica en capa caída, dejó pasar su chance allá en el 2018. Sólo quedan trazas de aquella selección de grandes jugadores. Pero el optimismo no hay que perderlo nunca. Le deseamos suerte.</t>
  </si>
  <si>
    <t>Y… usted apuesta a "lo seguro"… Una España renovada siendo sin duda top 3 del mundo por estos tiempos. Su elección es la clásica elección del cobarde, aquel que no sabe disfrutar de las hermosas cosas que el fútbol nos ofrece, aquel que quiere anteponer la razón al corazón. Lo cual, en este mundo, sólo lo hará caer al  más profundo abismo de la desolación.</t>
  </si>
  <si>
    <t>La garra charrúa. No nos decidimos sobre qué sería más sorpresivo: que Uruguay gane un mundial luego de 76 años, o que Bielsa gane algo en su vida (después de los 2000…). Los queremos a los uruguayos. Desconocemos las razones por la que usted habrá elegido a este campeón, pero claramente usted es persona de fútbol y de bien.</t>
  </si>
  <si>
    <t>No podés elegir a Francia… dale… buuuuuhhh Francia buuuuuhhh… no te quiere nadie… hay que ser raro para elegir Francia eh… está usted bien? No se sorprenda si la comisión decide aplicar las sanciones pertinentes... Usted es el único responsable de sus actos</t>
  </si>
  <si>
    <t>Usted es una persona de bien: ha elegido a Argentina como campeón. No le tiene miedo a apostar por un bi-campeonato, algo que estadisticamente es muy dificil. Pero sabe que la scaloneta y messi todo lo pueden. Este tipo de elecciones son las que lo definen a uno en la vida; y quédese tranquilo, usted va por el buen camino.</t>
  </si>
  <si>
    <t>Usted ha eligido a la Portugal de Cr7 como campeona... Esto sólo puede ser por alguna de las siguientes razones: 
a) entiende que el mundail está arreglado para que cr7 deje de llorar y tenga por fin su copa; 
b) tiene un sano deseo de que cr7 no juegue ni un minuto pero que Portugal salga campeón sin él, mostrando que realmente tienen un equipazo y que cr7 es un lastre...
Pero si usted, en su mente perversa, quiere que cr7 salga campeón genuinamente, lamentamos comunicarle que esto lo define como una persona de moralidad, al menos, cuestionable...
Lo invitamos a imaginar qué tipo de repercuciones tendrá su elección - no solo en el puntaje de este simple Prode, sino también en la vida misma.</t>
  </si>
  <si>
    <t>Usted eligió a Inglaterra como campeón. Ergo, usted ha sido descalificado de este Prode. El costo de inscripción no será devuelto. Cualqueir duda lo invitamos a dirigirse a la comisión organizadora, aunque le adelantamos que cualquier reclamo al respecto será desestimado.</t>
  </si>
  <si>
    <t>Qué locura Croacia… el país existe hace 35 años y tienen un subcampeonato + dos 3eros puestos. Un país de 3.8M de personas... Cracks. Bien por usted. La comisión evaluará la posibilidad de otorgarle un premio directamente, sólo por haberse animado a dar a Croacia como Campeón.</t>
  </si>
  <si>
    <t>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</si>
</sst>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
    <numFmt numFmtId="166" formatCode="#,##0_ ;\-#,##0\ "/>
    <numFmt numFmtId="167" formatCode="_-* #,##0_-;\-* #,##0_-;_-* &quot;-&quot;??_-;_-@"/>
    <numFmt numFmtId="168" formatCode="0.0"/>
  </numFmts>
  <fonts count="57" x14ac:knownFonts="1">
    <font>
      <sz val="11"/>
      <color theme="1"/>
      <name val="Arial"/>
      <scheme val="minor"/>
    </font>
    <font>
      <sz val="11"/>
      <color theme="1"/>
      <name val="Arial"/>
    </font>
    <font>
      <sz val="11"/>
      <color rgb="FF7F7F7F"/>
      <name val="Arial"/>
    </font>
    <font>
      <b/>
      <sz val="11"/>
      <color theme="1"/>
      <name val="Arial"/>
    </font>
    <font>
      <b/>
      <sz val="11"/>
      <color rgb="FF7F7F7F"/>
      <name val="Arial"/>
    </font>
    <font>
      <b/>
      <sz val="11"/>
      <color rgb="FF00B050"/>
      <name val="Arial"/>
    </font>
    <font>
      <b/>
      <sz val="11"/>
      <color rgb="FFFF0000"/>
      <name val="Arial"/>
    </font>
    <font>
      <sz val="11"/>
      <name val="Arial"/>
    </font>
    <font>
      <u/>
      <sz val="11"/>
      <color theme="1"/>
      <name val="Arial"/>
    </font>
    <font>
      <sz val="10"/>
      <color rgb="FF7F7F7F"/>
      <name val="Arial"/>
    </font>
    <font>
      <sz val="10"/>
      <color theme="1"/>
      <name val="Arial"/>
    </font>
    <font>
      <sz val="11"/>
      <color theme="1"/>
      <name val="72"/>
    </font>
    <font>
      <sz val="11"/>
      <color rgb="FF7F7F7F"/>
      <name val="72"/>
    </font>
    <font>
      <b/>
      <sz val="11"/>
      <color theme="1"/>
      <name val="72"/>
    </font>
    <font>
      <sz val="11"/>
      <color rgb="FF006100"/>
      <name val="72"/>
    </font>
    <font>
      <b/>
      <sz val="11"/>
      <color rgb="FF006100"/>
      <name val="72"/>
    </font>
    <font>
      <sz val="11"/>
      <color rgb="FFD8D8D8"/>
      <name val="72"/>
    </font>
    <font>
      <sz val="11"/>
      <color rgb="FFF2F2F2"/>
      <name val="72"/>
    </font>
    <font>
      <sz val="11"/>
      <color rgb="FF9C0006"/>
      <name val="72"/>
    </font>
    <font>
      <b/>
      <sz val="11"/>
      <color rgb="FF9C0006"/>
      <name val="72"/>
    </font>
    <font>
      <b/>
      <sz val="11"/>
      <color rgb="FFFF0000"/>
      <name val="72"/>
    </font>
    <font>
      <sz val="11"/>
      <color rgb="FFD8D8D8"/>
      <name val="Arial"/>
    </font>
    <font>
      <sz val="11"/>
      <color theme="0"/>
      <name val="72"/>
    </font>
    <font>
      <b/>
      <sz val="10"/>
      <color rgb="FFD8D8D8"/>
      <name val="72"/>
    </font>
    <font>
      <b/>
      <sz val="9"/>
      <color rgb="FFD8D8D8"/>
      <name val="72"/>
    </font>
    <font>
      <b/>
      <sz val="11"/>
      <color theme="0"/>
      <name val="72"/>
    </font>
    <font>
      <b/>
      <i/>
      <sz val="11"/>
      <color theme="0"/>
      <name val="72"/>
    </font>
    <font>
      <b/>
      <sz val="11"/>
      <color rgb="FFA53FFE"/>
      <name val="Arial"/>
    </font>
    <font>
      <b/>
      <sz val="11"/>
      <color rgb="FFA53FFE"/>
      <name val="72"/>
    </font>
    <font>
      <b/>
      <sz val="11"/>
      <color rgb="FFF4FFD0"/>
      <name val="72"/>
    </font>
    <font>
      <b/>
      <sz val="11"/>
      <color rgb="FFF2F2F2"/>
      <name val="72"/>
    </font>
    <font>
      <b/>
      <sz val="22"/>
      <color theme="1"/>
      <name val="72"/>
    </font>
    <font>
      <b/>
      <sz val="18"/>
      <color theme="1"/>
      <name val="Arial"/>
    </font>
    <font>
      <b/>
      <sz val="11"/>
      <color rgb="FF7F7F7F"/>
      <name val="72"/>
    </font>
    <font>
      <b/>
      <sz val="11"/>
      <color rgb="FFD8D8D8"/>
      <name val="72"/>
    </font>
    <font>
      <sz val="10"/>
      <color theme="1"/>
      <name val="72"/>
    </font>
    <font>
      <b/>
      <i/>
      <sz val="11"/>
      <color rgb="FF0070C0"/>
      <name val="72"/>
    </font>
    <font>
      <sz val="10"/>
      <color rgb="FF0070C0"/>
      <name val="72"/>
    </font>
    <font>
      <b/>
      <sz val="18"/>
      <color theme="0"/>
      <name val="Arial"/>
    </font>
    <font>
      <b/>
      <sz val="16"/>
      <color rgb="FF7F7F7F"/>
      <name val="Arial"/>
    </font>
    <font>
      <b/>
      <sz val="16"/>
      <color rgb="FF000000"/>
      <name val="Arial"/>
    </font>
    <font>
      <sz val="14"/>
      <color rgb="FF7F7F7F"/>
      <name val="Arial"/>
    </font>
    <font>
      <sz val="14"/>
      <color theme="1"/>
      <name val="Arial"/>
    </font>
    <font>
      <sz val="9"/>
      <color rgb="FF7F7F7F"/>
      <name val="Arial"/>
    </font>
    <font>
      <sz val="11"/>
      <color theme="1"/>
      <name val="Arial"/>
      <scheme val="minor"/>
    </font>
    <font>
      <sz val="11"/>
      <color rgb="FF787878"/>
      <name val="Arial"/>
    </font>
    <font>
      <sz val="11"/>
      <color theme="1"/>
      <name val="Quattrocento Sans"/>
    </font>
    <font>
      <b/>
      <sz val="11"/>
      <color rgb="FF7F7F7F"/>
      <name val="Quattrocento Sans"/>
    </font>
    <font>
      <sz val="11"/>
      <color rgb="FF0070C0"/>
      <name val="Quattrocento Sans"/>
    </font>
    <font>
      <sz val="11"/>
      <color rgb="FF00B050"/>
      <name val="Quattrocento Sans"/>
    </font>
    <font>
      <sz val="11"/>
      <color rgb="FFFF0000"/>
      <name val="Quattrocento Sans"/>
    </font>
    <font>
      <u/>
      <sz val="11"/>
      <color theme="1"/>
      <name val="Arial"/>
    </font>
    <font>
      <b/>
      <sz val="11"/>
      <color rgb="FF7000D4"/>
      <name val="Arial"/>
    </font>
    <font>
      <sz val="11"/>
      <color rgb="FFA5A5A5"/>
      <name val="Arial"/>
    </font>
    <font>
      <b/>
      <sz val="11"/>
      <color rgb="FF0070C0"/>
      <name val="Arial"/>
    </font>
    <font>
      <sz val="11"/>
      <color rgb="FF7000D4"/>
      <name val="Arial"/>
    </font>
    <font>
      <b/>
      <i/>
      <sz val="11"/>
      <color theme="1"/>
      <name val="Arial"/>
    </font>
  </fonts>
  <fills count="33">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theme="4"/>
        <bgColor theme="4"/>
      </patternFill>
    </fill>
    <fill>
      <patternFill patternType="solid">
        <fgColor rgb="FFCBCBCB"/>
        <bgColor rgb="FFCBCBCB"/>
      </patternFill>
    </fill>
    <fill>
      <patternFill patternType="solid">
        <fgColor rgb="FFFFFF00"/>
        <bgColor rgb="FFFFFF00"/>
      </patternFill>
    </fill>
    <fill>
      <patternFill patternType="solid">
        <fgColor rgb="FFC6EFCE"/>
        <bgColor rgb="FFC6EFCE"/>
      </patternFill>
    </fill>
    <fill>
      <patternFill patternType="solid">
        <fgColor rgb="FFFFC7CE"/>
        <bgColor rgb="FFFFC7CE"/>
      </patternFill>
    </fill>
    <fill>
      <patternFill patternType="solid">
        <fgColor theme="5"/>
        <bgColor theme="5"/>
      </patternFill>
    </fill>
    <fill>
      <patternFill patternType="solid">
        <fgColor rgb="FFF5F5F5"/>
        <bgColor rgb="FFF5F5F5"/>
      </patternFill>
    </fill>
    <fill>
      <patternFill patternType="solid">
        <fgColor theme="6"/>
        <bgColor theme="6"/>
      </patternFill>
    </fill>
    <fill>
      <patternFill patternType="solid">
        <fgColor rgb="FFB4B4B4"/>
        <bgColor rgb="FFB4B4B4"/>
      </patternFill>
    </fill>
    <fill>
      <patternFill patternType="solid">
        <fgColor theme="7"/>
        <bgColor theme="7"/>
      </patternFill>
    </fill>
    <fill>
      <patternFill patternType="solid">
        <fgColor rgb="FFE6CBFF"/>
        <bgColor rgb="FFE6CBFF"/>
      </patternFill>
    </fill>
    <fill>
      <patternFill patternType="solid">
        <fgColor theme="8"/>
        <bgColor theme="8"/>
      </patternFill>
    </fill>
    <fill>
      <patternFill patternType="solid">
        <fgColor rgb="FFFF9265"/>
        <bgColor rgb="FFFF9265"/>
      </patternFill>
    </fill>
    <fill>
      <patternFill patternType="solid">
        <fgColor theme="9"/>
        <bgColor theme="9"/>
      </patternFill>
    </fill>
    <fill>
      <patternFill patternType="solid">
        <fgColor rgb="FF5B7676"/>
        <bgColor rgb="FF5B7676"/>
      </patternFill>
    </fill>
    <fill>
      <patternFill patternType="solid">
        <fgColor rgb="FF47B5FF"/>
        <bgColor rgb="FF47B5FF"/>
      </patternFill>
    </fill>
    <fill>
      <patternFill patternType="solid">
        <fgColor rgb="FFEAFFA2"/>
        <bgColor rgb="FFEAFFA2"/>
      </patternFill>
    </fill>
    <fill>
      <patternFill patternType="solid">
        <fgColor rgb="FFB0C2C2"/>
        <bgColor rgb="FFB0C2C2"/>
      </patternFill>
    </fill>
    <fill>
      <patternFill patternType="solid">
        <fgColor rgb="FFA53FFE"/>
        <bgColor rgb="FFA53FFE"/>
      </patternFill>
    </fill>
    <fill>
      <patternFill patternType="solid">
        <fgColor rgb="FFFFB698"/>
        <bgColor rgb="FFFFB698"/>
      </patternFill>
    </fill>
    <fill>
      <patternFill patternType="solid">
        <fgColor rgb="FFA4D200"/>
        <bgColor rgb="FFA4D200"/>
      </patternFill>
    </fill>
    <fill>
      <patternFill patternType="solid">
        <fgColor rgb="FFF4FFD0"/>
        <bgColor rgb="FFF4FFD0"/>
      </patternFill>
    </fill>
    <fill>
      <patternFill patternType="solid">
        <fgColor theme="1"/>
        <bgColor theme="1"/>
      </patternFill>
    </fill>
    <fill>
      <patternFill patternType="solid">
        <fgColor rgb="FFF2F2F2"/>
        <bgColor rgb="FFF2F2F2"/>
      </patternFill>
    </fill>
    <fill>
      <patternFill patternType="solid">
        <fgColor rgb="FFE4EAEA"/>
        <bgColor rgb="FFE4EAEA"/>
      </patternFill>
    </fill>
    <fill>
      <patternFill patternType="solid">
        <fgColor rgb="FFFEDACB"/>
        <bgColor rgb="FFFEDACB"/>
      </patternFill>
    </fill>
    <fill>
      <patternFill patternType="solid">
        <fgColor rgb="FFE0FF74"/>
        <bgColor rgb="FFE0FF74"/>
      </patternFill>
    </fill>
    <fill>
      <patternFill patternType="solid">
        <fgColor theme="6" tint="0.79998168889431442"/>
        <bgColor indexed="64"/>
      </patternFill>
    </fill>
    <fill>
      <patternFill patternType="solid">
        <fgColor theme="8" tint="0.79998168889431442"/>
        <bgColor indexed="64"/>
      </patternFill>
    </fill>
  </fills>
  <borders count="131">
    <border>
      <left/>
      <right/>
      <top/>
      <bottom/>
      <diagonal/>
    </border>
    <border>
      <left/>
      <right/>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BFBFBF"/>
      </right>
      <top style="thin">
        <color rgb="FF000000"/>
      </top>
      <bottom style="thin">
        <color rgb="FF000000"/>
      </bottom>
      <diagonal/>
    </border>
    <border>
      <left style="thin">
        <color rgb="FFBFBFBF"/>
      </left>
      <right style="thin">
        <color rgb="FFBFBFBF"/>
      </right>
      <top style="thin">
        <color rgb="FF000000"/>
      </top>
      <bottom style="thin">
        <color rgb="FF000000"/>
      </bottom>
      <diagonal/>
    </border>
    <border>
      <left style="thin">
        <color rgb="FFBFBFBF"/>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thin">
        <color rgb="FFBFBFBF"/>
      </right>
      <top/>
      <bottom style="thin">
        <color rgb="FFBFBFBF"/>
      </bottom>
      <diagonal/>
    </border>
    <border>
      <left style="thin">
        <color rgb="FFBFBFBF"/>
      </left>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000000"/>
      </right>
      <top/>
      <bottom style="thin">
        <color rgb="FFBFBFBF"/>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000000"/>
      </right>
      <top style="thin">
        <color rgb="FFBFBFBF"/>
      </top>
      <bottom style="thin">
        <color rgb="FFBFBFBF"/>
      </bottom>
      <diagonal/>
    </border>
    <border>
      <left style="thin">
        <color rgb="FF000000"/>
      </left>
      <right/>
      <top/>
      <bottom/>
      <diagonal/>
    </border>
    <border>
      <left/>
      <right style="thin">
        <color rgb="FF000000"/>
      </right>
      <top/>
      <bottom/>
      <diagonal/>
    </border>
    <border>
      <left style="thin">
        <color rgb="FF000000"/>
      </left>
      <right style="thin">
        <color rgb="FFBFBFBF"/>
      </right>
      <top style="thin">
        <color rgb="FFBFBFBF"/>
      </top>
      <bottom style="thin">
        <color rgb="FF000000"/>
      </bottom>
      <diagonal/>
    </border>
    <border>
      <left style="thin">
        <color rgb="FFBFBFBF"/>
      </left>
      <right/>
      <top style="thin">
        <color rgb="FFBFBFBF"/>
      </top>
      <bottom style="thin">
        <color rgb="FF000000"/>
      </bottom>
      <diagonal/>
    </border>
    <border>
      <left style="thin">
        <color rgb="FFBFBFBF"/>
      </left>
      <right style="thin">
        <color rgb="FFBFBFBF"/>
      </right>
      <top style="thin">
        <color rgb="FFBFBFBF"/>
      </top>
      <bottom style="thin">
        <color rgb="FF000000"/>
      </bottom>
      <diagonal/>
    </border>
    <border>
      <left style="thin">
        <color rgb="FFBFBFBF"/>
      </left>
      <right style="thin">
        <color rgb="FF000000"/>
      </right>
      <top style="thin">
        <color rgb="FFBFBFBF"/>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ck">
        <color rgb="FF7000D4"/>
      </left>
      <right style="thin">
        <color rgb="FF000000"/>
      </right>
      <top style="thick">
        <color rgb="FF7000D4"/>
      </top>
      <bottom/>
      <diagonal/>
    </border>
    <border>
      <left style="thin">
        <color rgb="FF000000"/>
      </left>
      <right/>
      <top style="thick">
        <color rgb="FF7000D4"/>
      </top>
      <bottom/>
      <diagonal/>
    </border>
    <border>
      <left/>
      <right/>
      <top style="thick">
        <color rgb="FF7000D4"/>
      </top>
      <bottom/>
      <diagonal/>
    </border>
    <border>
      <left/>
      <right style="thick">
        <color rgb="FF7000D4"/>
      </right>
      <top style="thick">
        <color rgb="FF7000D4"/>
      </top>
      <bottom/>
      <diagonal/>
    </border>
    <border>
      <left style="thick">
        <color rgb="FF00B050"/>
      </left>
      <right style="thin">
        <color rgb="FF000000"/>
      </right>
      <top style="thick">
        <color rgb="FF00B050"/>
      </top>
      <bottom/>
      <diagonal/>
    </border>
    <border>
      <left style="thin">
        <color rgb="FF00000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7000D4"/>
      </left>
      <right style="thin">
        <color rgb="FF000000"/>
      </right>
      <top/>
      <bottom/>
      <diagonal/>
    </border>
    <border>
      <left style="thin">
        <color rgb="FFB4B4B4"/>
      </left>
      <right/>
      <top/>
      <bottom/>
      <diagonal/>
    </border>
    <border>
      <left/>
      <right style="thick">
        <color rgb="FF7000D4"/>
      </right>
      <top/>
      <bottom/>
      <diagonal/>
    </border>
    <border>
      <left style="thick">
        <color rgb="FF00B050"/>
      </left>
      <right style="thin">
        <color rgb="FF000000"/>
      </right>
      <top/>
      <bottom/>
      <diagonal/>
    </border>
    <border>
      <left/>
      <right style="thick">
        <color rgb="FF00B050"/>
      </right>
      <top/>
      <bottom/>
      <diagonal/>
    </border>
    <border>
      <left style="thick">
        <color rgb="FF7000D4"/>
      </left>
      <right style="thin">
        <color rgb="FF000000"/>
      </right>
      <top/>
      <bottom style="thick">
        <color rgb="FF7000D4"/>
      </bottom>
      <diagonal/>
    </border>
    <border>
      <left style="thin">
        <color rgb="FF000000"/>
      </left>
      <right/>
      <top/>
      <bottom style="thick">
        <color rgb="FF7000D4"/>
      </bottom>
      <diagonal/>
    </border>
    <border>
      <left/>
      <right/>
      <top/>
      <bottom style="thick">
        <color rgb="FF7000D4"/>
      </bottom>
      <diagonal/>
    </border>
    <border>
      <left/>
      <right style="thick">
        <color rgb="FF7000D4"/>
      </right>
      <top/>
      <bottom style="thick">
        <color rgb="FF7000D4"/>
      </bottom>
      <diagonal/>
    </border>
    <border>
      <left style="thick">
        <color rgb="FF00B050"/>
      </left>
      <right style="thin">
        <color rgb="FF000000"/>
      </right>
      <top/>
      <bottom style="thick">
        <color rgb="FF00B050"/>
      </bottom>
      <diagonal/>
    </border>
    <border>
      <left style="thin">
        <color rgb="FF00000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ck">
        <color theme="8"/>
      </left>
      <right style="thin">
        <color rgb="FF000000"/>
      </right>
      <top style="thick">
        <color theme="8"/>
      </top>
      <bottom/>
      <diagonal/>
    </border>
    <border>
      <left style="thin">
        <color rgb="FF000000"/>
      </left>
      <right/>
      <top style="thick">
        <color theme="8"/>
      </top>
      <bottom/>
      <diagonal/>
    </border>
    <border>
      <left/>
      <right/>
      <top style="thick">
        <color theme="8"/>
      </top>
      <bottom/>
      <diagonal/>
    </border>
    <border>
      <left/>
      <right style="thick">
        <color theme="8"/>
      </right>
      <top style="thick">
        <color theme="8"/>
      </top>
      <bottom/>
      <diagonal/>
    </border>
    <border>
      <left style="thick">
        <color theme="8"/>
      </left>
      <right style="thin">
        <color rgb="FF000000"/>
      </right>
      <top/>
      <bottom/>
      <diagonal/>
    </border>
    <border>
      <left/>
      <right style="thick">
        <color theme="8"/>
      </right>
      <top/>
      <bottom/>
      <diagonal/>
    </border>
    <border>
      <left style="thick">
        <color theme="8"/>
      </left>
      <right style="thin">
        <color rgb="FF000000"/>
      </right>
      <top/>
      <bottom style="thick">
        <color theme="8"/>
      </bottom>
      <diagonal/>
    </border>
    <border>
      <left style="thin">
        <color rgb="FF000000"/>
      </left>
      <right/>
      <top/>
      <bottom style="thick">
        <color theme="8"/>
      </bottom>
      <diagonal/>
    </border>
    <border>
      <left/>
      <right/>
      <top/>
      <bottom style="thick">
        <color theme="8"/>
      </bottom>
      <diagonal/>
    </border>
    <border>
      <left/>
      <right style="thick">
        <color theme="8"/>
      </right>
      <top/>
      <bottom style="thick">
        <color theme="8"/>
      </bottom>
      <diagonal/>
    </border>
    <border>
      <left style="thick">
        <color rgb="FF00B0F0"/>
      </left>
      <right style="thin">
        <color rgb="FF000000"/>
      </right>
      <top style="thick">
        <color rgb="FF00B0F0"/>
      </top>
      <bottom/>
      <diagonal/>
    </border>
    <border>
      <left style="thin">
        <color rgb="FF000000"/>
      </left>
      <right/>
      <top style="thick">
        <color rgb="FF00B0F0"/>
      </top>
      <bottom/>
      <diagonal/>
    </border>
    <border>
      <left/>
      <right/>
      <top style="thick">
        <color rgb="FF00B0F0"/>
      </top>
      <bottom/>
      <diagonal/>
    </border>
    <border>
      <left/>
      <right style="thick">
        <color rgb="FF00B0F0"/>
      </right>
      <top style="thick">
        <color rgb="FF00B0F0"/>
      </top>
      <bottom/>
      <diagonal/>
    </border>
    <border>
      <left style="thick">
        <color rgb="FF00B0F0"/>
      </left>
      <right style="thin">
        <color rgb="FF000000"/>
      </right>
      <top/>
      <bottom/>
      <diagonal/>
    </border>
    <border>
      <left/>
      <right style="thick">
        <color rgb="FF00B0F0"/>
      </right>
      <top/>
      <bottom/>
      <diagonal/>
    </border>
    <border>
      <left style="thick">
        <color rgb="FF00B0F0"/>
      </left>
      <right style="thin">
        <color rgb="FF000000"/>
      </right>
      <top/>
      <bottom style="thick">
        <color rgb="FF00B0F0"/>
      </bottom>
      <diagonal/>
    </border>
    <border>
      <left style="thin">
        <color rgb="FF000000"/>
      </left>
      <right/>
      <top/>
      <bottom style="thick">
        <color rgb="FF00B0F0"/>
      </bottom>
      <diagonal/>
    </border>
    <border>
      <left/>
      <right/>
      <top/>
      <bottom style="thick">
        <color rgb="FF00B0F0"/>
      </bottom>
      <diagonal/>
    </border>
    <border>
      <left/>
      <right style="thick">
        <color rgb="FF00B0F0"/>
      </right>
      <top/>
      <bottom style="thick">
        <color rgb="FF00B0F0"/>
      </bottom>
      <diagonal/>
    </border>
    <border>
      <left style="thin">
        <color rgb="FF000000"/>
      </left>
      <right style="thin">
        <color rgb="FF000000"/>
      </right>
      <top style="thin">
        <color rgb="FF000000"/>
      </top>
      <bottom/>
      <diagonal/>
    </border>
    <border>
      <left style="medium">
        <color rgb="FF00B050"/>
      </left>
      <right style="medium">
        <color rgb="FF00B050"/>
      </right>
      <top style="medium">
        <color rgb="FF00B050"/>
      </top>
      <bottom/>
      <diagonal/>
    </border>
    <border>
      <left style="medium">
        <color rgb="FF00B050"/>
      </left>
      <right/>
      <top style="medium">
        <color rgb="FF00B050"/>
      </top>
      <bottom/>
      <diagonal/>
    </border>
    <border>
      <left/>
      <right/>
      <top style="medium">
        <color rgb="FF00B050"/>
      </top>
      <bottom/>
      <diagonal/>
    </border>
    <border>
      <left style="thin">
        <color rgb="FF00B050"/>
      </left>
      <right/>
      <top style="medium">
        <color rgb="FF00B050"/>
      </top>
      <bottom/>
      <diagonal/>
    </border>
    <border>
      <left/>
      <right style="medium">
        <color rgb="FF00B050"/>
      </right>
      <top style="medium">
        <color rgb="FF00B050"/>
      </top>
      <bottom/>
      <diagonal/>
    </border>
    <border>
      <left style="medium">
        <color rgb="FF00B050"/>
      </left>
      <right style="medium">
        <color rgb="FF00B050"/>
      </right>
      <top/>
      <bottom/>
      <diagonal/>
    </border>
    <border>
      <left style="medium">
        <color rgb="FF00B050"/>
      </left>
      <right/>
      <top/>
      <bottom/>
      <diagonal/>
    </border>
    <border>
      <left style="thin">
        <color rgb="FF00B050"/>
      </left>
      <right/>
      <top/>
      <bottom/>
      <diagonal/>
    </border>
    <border>
      <left/>
      <right style="medium">
        <color rgb="FF00B050"/>
      </right>
      <top/>
      <bottom/>
      <diagonal/>
    </border>
    <border>
      <left style="thin">
        <color rgb="FF000000"/>
      </left>
      <right style="thin">
        <color rgb="FF000000"/>
      </right>
      <top/>
      <bottom style="thin">
        <color rgb="FF000000"/>
      </bottom>
      <diagonal/>
    </border>
    <border>
      <left style="medium">
        <color rgb="FF00B050"/>
      </left>
      <right style="medium">
        <color rgb="FF00B050"/>
      </right>
      <top/>
      <bottom style="medium">
        <color rgb="FF00B050"/>
      </bottom>
      <diagonal/>
    </border>
    <border>
      <left style="medium">
        <color rgb="FF00B050"/>
      </left>
      <right/>
      <top/>
      <bottom style="medium">
        <color rgb="FF00B050"/>
      </bottom>
      <diagonal/>
    </border>
    <border>
      <left/>
      <right/>
      <top/>
      <bottom style="medium">
        <color rgb="FF00B050"/>
      </bottom>
      <diagonal/>
    </border>
    <border>
      <left style="thin">
        <color rgb="FF00B050"/>
      </left>
      <right/>
      <top/>
      <bottom style="medium">
        <color rgb="FF00B050"/>
      </bottom>
      <diagonal/>
    </border>
    <border>
      <left/>
      <right style="medium">
        <color rgb="FF00B050"/>
      </right>
      <top/>
      <bottom style="medium">
        <color rgb="FF00B050"/>
      </bottom>
      <diagonal/>
    </border>
    <border>
      <left style="medium">
        <color rgb="FFFFC000"/>
      </left>
      <right style="medium">
        <color rgb="FFFFC000"/>
      </right>
      <top style="medium">
        <color rgb="FFFFC000"/>
      </top>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style="medium">
        <color rgb="FFFFC000"/>
      </right>
      <top/>
      <bottom/>
      <diagonal/>
    </border>
    <border>
      <left style="medium">
        <color rgb="FFFFC000"/>
      </left>
      <right/>
      <top/>
      <bottom/>
      <diagonal/>
    </border>
    <border>
      <left/>
      <right style="medium">
        <color rgb="FFFFC000"/>
      </right>
      <top/>
      <bottom/>
      <diagonal/>
    </border>
    <border>
      <left style="medium">
        <color rgb="FFFFC000"/>
      </left>
      <right style="medium">
        <color rgb="FFFFC000"/>
      </right>
      <top/>
      <bottom style="medium">
        <color rgb="FFFFC000"/>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right/>
      <top style="thin">
        <color rgb="FFBFBFBF"/>
      </top>
      <bottom style="thin">
        <color rgb="FFBFBFB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88CFFF"/>
      </top>
      <bottom style="thin">
        <color rgb="FF88CFFF"/>
      </bottom>
      <diagonal/>
    </border>
    <border>
      <left/>
      <right/>
      <top style="thin">
        <color rgb="FF88CFFF"/>
      </top>
      <bottom style="thin">
        <color rgb="FF88CFFF"/>
      </bottom>
      <diagonal/>
    </border>
    <border>
      <left/>
      <right style="thin">
        <color rgb="FF000000"/>
      </right>
      <top/>
      <bottom style="thin">
        <color rgb="FF88CFFF"/>
      </bottom>
      <diagonal/>
    </border>
    <border>
      <left/>
      <right/>
      <top/>
      <bottom style="thin">
        <color rgb="FF88CFFF"/>
      </bottom>
      <diagonal/>
    </border>
    <border>
      <left/>
      <right style="thin">
        <color rgb="FF000000"/>
      </right>
      <top/>
      <bottom style="thin">
        <color theme="4"/>
      </bottom>
      <diagonal/>
    </border>
    <border>
      <left/>
      <right/>
      <top/>
      <bottom style="thin">
        <color theme="4"/>
      </bottom>
      <diagonal/>
    </border>
    <border>
      <left style="thin">
        <color rgb="FF000000"/>
      </left>
      <right/>
      <top style="thin">
        <color rgb="FFBFBFBF"/>
      </top>
      <bottom style="thin">
        <color rgb="FFBFBFBF"/>
      </bottom>
      <diagonal/>
    </border>
    <border>
      <left/>
      <right/>
      <top style="thin">
        <color rgb="FF000000"/>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indexed="64"/>
      </top>
      <bottom/>
      <diagonal/>
    </border>
  </borders>
  <cellStyleXfs count="1">
    <xf numFmtId="0" fontId="0" fillId="0" borderId="0"/>
  </cellStyleXfs>
  <cellXfs count="514">
    <xf numFmtId="0" fontId="0" fillId="0" borderId="0" xfId="0" applyFont="1" applyAlignment="1"/>
    <xf numFmtId="0" fontId="1" fillId="2" borderId="1" xfId="0" applyFont="1" applyFill="1" applyBorder="1"/>
    <xf numFmtId="0" fontId="2" fillId="2" borderId="1" xfId="0" applyFont="1" applyFill="1" applyBorder="1"/>
    <xf numFmtId="0" fontId="1" fillId="2" borderId="1" xfId="0" applyFont="1" applyFill="1" applyBorder="1" applyAlignment="1">
      <alignment horizontal="left"/>
    </xf>
    <xf numFmtId="0" fontId="3" fillId="2" borderId="1" xfId="0" applyFont="1" applyFill="1" applyBorder="1" applyAlignment="1">
      <alignment horizontal="right"/>
    </xf>
    <xf numFmtId="0" fontId="4" fillId="2" borderId="1" xfId="0" applyFont="1" applyFill="1" applyBorder="1" applyAlignment="1">
      <alignment horizontal="right"/>
    </xf>
    <xf numFmtId="0" fontId="3" fillId="2" borderId="2" xfId="0" applyFont="1" applyFill="1" applyBorder="1" applyAlignment="1">
      <alignment horizontal="left"/>
    </xf>
    <xf numFmtId="0" fontId="1" fillId="2" borderId="2" xfId="0" applyFont="1" applyFill="1" applyBorder="1"/>
    <xf numFmtId="0" fontId="1" fillId="2" borderId="4" xfId="0" applyFont="1" applyFill="1" applyBorder="1"/>
    <xf numFmtId="0" fontId="5" fillId="2" borderId="4" xfId="0" applyFont="1" applyFill="1" applyBorder="1"/>
    <xf numFmtId="0" fontId="2" fillId="2" borderId="4" xfId="0" applyFont="1" applyFill="1" applyBorder="1"/>
    <xf numFmtId="0" fontId="6" fillId="2" borderId="1" xfId="0" applyFont="1" applyFill="1" applyBorder="1"/>
    <xf numFmtId="0" fontId="5" fillId="2" borderId="1" xfId="0" applyFont="1" applyFill="1" applyBorder="1"/>
    <xf numFmtId="0" fontId="5" fillId="2" borderId="2" xfId="0" applyFont="1" applyFill="1" applyBorder="1"/>
    <xf numFmtId="0" fontId="2" fillId="2" borderId="2" xfId="0" applyFont="1" applyFill="1" applyBorder="1"/>
    <xf numFmtId="0" fontId="1" fillId="2" borderId="2" xfId="0" applyFont="1" applyFill="1" applyBorder="1" applyAlignment="1">
      <alignment horizontal="left"/>
    </xf>
    <xf numFmtId="0" fontId="6" fillId="2" borderId="2" xfId="0" applyFont="1" applyFill="1" applyBorder="1"/>
    <xf numFmtId="0" fontId="8" fillId="2" borderId="1" xfId="0" applyFont="1" applyFill="1" applyBorder="1"/>
    <xf numFmtId="0" fontId="9" fillId="2" borderId="2" xfId="0" applyFont="1" applyFill="1" applyBorder="1" applyAlignment="1">
      <alignment horizontal="center"/>
    </xf>
    <xf numFmtId="0" fontId="10" fillId="2" borderId="2" xfId="0" applyFont="1" applyFill="1" applyBorder="1"/>
    <xf numFmtId="0" fontId="10" fillId="2" borderId="2" xfId="0" applyFont="1" applyFill="1" applyBorder="1" applyAlignment="1">
      <alignment horizontal="center"/>
    </xf>
    <xf numFmtId="0" fontId="9" fillId="2" borderId="1" xfId="0" applyFont="1" applyFill="1" applyBorder="1" applyAlignment="1">
      <alignment horizontal="center"/>
    </xf>
    <xf numFmtId="0" fontId="10" fillId="2" borderId="1" xfId="0" applyFont="1" applyFill="1" applyBorder="1"/>
    <xf numFmtId="0" fontId="10" fillId="2" borderId="1" xfId="0" applyFont="1" applyFill="1" applyBorder="1" applyAlignment="1">
      <alignment horizontal="center"/>
    </xf>
    <xf numFmtId="0" fontId="11" fillId="3" borderId="1" xfId="0" applyFont="1" applyFill="1" applyBorder="1"/>
    <xf numFmtId="0" fontId="11" fillId="3" borderId="1" xfId="0" applyFont="1" applyFill="1" applyBorder="1" applyAlignment="1">
      <alignment horizontal="center"/>
    </xf>
    <xf numFmtId="0" fontId="11" fillId="3" borderId="1" xfId="0" applyFont="1" applyFill="1" applyBorder="1" applyAlignment="1">
      <alignment horizontal="right"/>
    </xf>
    <xf numFmtId="0" fontId="11" fillId="3" borderId="1" xfId="0" applyFont="1" applyFill="1" applyBorder="1" applyAlignment="1">
      <alignment horizontal="left"/>
    </xf>
    <xf numFmtId="2" fontId="11" fillId="3" borderId="1" xfId="0" applyNumberFormat="1" applyFont="1" applyFill="1" applyBorder="1"/>
    <xf numFmtId="2" fontId="11" fillId="3" borderId="1" xfId="0" applyNumberFormat="1" applyFont="1" applyFill="1" applyBorder="1" applyAlignment="1">
      <alignment horizontal="center"/>
    </xf>
    <xf numFmtId="0" fontId="12" fillId="3" borderId="1" xfId="0" applyFont="1" applyFill="1" applyBorder="1" applyAlignment="1">
      <alignment horizontal="center"/>
    </xf>
    <xf numFmtId="0" fontId="13" fillId="2" borderId="7" xfId="0" applyFont="1" applyFill="1" applyBorder="1" applyAlignment="1">
      <alignment horizontal="left"/>
    </xf>
    <xf numFmtId="0" fontId="13" fillId="2" borderId="8" xfId="0" applyFont="1" applyFill="1" applyBorder="1" applyAlignment="1">
      <alignment horizontal="center"/>
    </xf>
    <xf numFmtId="0" fontId="13" fillId="2" borderId="9" xfId="0" applyFont="1" applyFill="1" applyBorder="1" applyAlignment="1">
      <alignment horizontal="center"/>
    </xf>
    <xf numFmtId="0" fontId="11" fillId="4" borderId="10" xfId="0" applyFont="1" applyFill="1" applyBorder="1" applyAlignment="1">
      <alignment horizontal="center"/>
    </xf>
    <xf numFmtId="0" fontId="11" fillId="4" borderId="11" xfId="0" applyFont="1" applyFill="1" applyBorder="1" applyAlignment="1">
      <alignment horizontal="center"/>
    </xf>
    <xf numFmtId="0" fontId="11" fillId="4" borderId="11" xfId="0" applyFont="1" applyFill="1" applyBorder="1"/>
    <xf numFmtId="0" fontId="13" fillId="4" borderId="10" xfId="0" applyFont="1" applyFill="1" applyBorder="1"/>
    <xf numFmtId="0" fontId="13" fillId="4" borderId="11" xfId="0" applyFont="1" applyFill="1" applyBorder="1"/>
    <xf numFmtId="0" fontId="13" fillId="4" borderId="12" xfId="0" applyFont="1" applyFill="1" applyBorder="1"/>
    <xf numFmtId="0" fontId="11" fillId="4" borderId="15" xfId="0" applyFont="1" applyFill="1" applyBorder="1" applyAlignment="1">
      <alignment horizontal="center"/>
    </xf>
    <xf numFmtId="0" fontId="11" fillId="4" borderId="16" xfId="0" applyFont="1" applyFill="1" applyBorder="1" applyAlignment="1">
      <alignment horizontal="center"/>
    </xf>
    <xf numFmtId="0" fontId="13" fillId="4" borderId="17" xfId="0" applyFont="1" applyFill="1" applyBorder="1" applyAlignment="1">
      <alignment horizontal="center"/>
    </xf>
    <xf numFmtId="0" fontId="13" fillId="5" borderId="1" xfId="0" applyFont="1" applyFill="1" applyBorder="1" applyAlignment="1">
      <alignment horizontal="center"/>
    </xf>
    <xf numFmtId="0" fontId="11" fillId="2" borderId="18" xfId="0" applyFont="1" applyFill="1" applyBorder="1"/>
    <xf numFmtId="0" fontId="11" fillId="2" borderId="1" xfId="0" applyFont="1" applyFill="1" applyBorder="1" applyAlignment="1">
      <alignment horizontal="center"/>
    </xf>
    <xf numFmtId="0" fontId="1" fillId="2" borderId="19" xfId="0" applyFont="1" applyFill="1" applyBorder="1" applyAlignment="1">
      <alignment horizontal="center"/>
    </xf>
    <xf numFmtId="0" fontId="11" fillId="2" borderId="10" xfId="0" applyFont="1" applyFill="1" applyBorder="1" applyAlignment="1">
      <alignment horizontal="center"/>
    </xf>
    <xf numFmtId="14" fontId="11" fillId="2" borderId="11" xfId="0" applyNumberFormat="1" applyFont="1" applyFill="1" applyBorder="1" applyAlignment="1">
      <alignment horizontal="center"/>
    </xf>
    <xf numFmtId="0" fontId="11" fillId="2" borderId="11" xfId="0" applyFont="1" applyFill="1" applyBorder="1" applyAlignment="1">
      <alignment horizontal="center"/>
    </xf>
    <xf numFmtId="0" fontId="11" fillId="2" borderId="12" xfId="0" applyFont="1" applyFill="1" applyBorder="1"/>
    <xf numFmtId="0" fontId="11" fillId="2" borderId="10" xfId="0" applyFont="1" applyFill="1" applyBorder="1" applyAlignment="1">
      <alignment horizontal="right"/>
    </xf>
    <xf numFmtId="0" fontId="1" fillId="6" borderId="11" xfId="0" applyFont="1" applyFill="1" applyBorder="1" applyAlignment="1">
      <alignment horizontal="center"/>
    </xf>
    <xf numFmtId="0" fontId="11" fillId="2" borderId="12" xfId="0" applyFont="1" applyFill="1" applyBorder="1" applyAlignment="1">
      <alignment horizontal="left"/>
    </xf>
    <xf numFmtId="1" fontId="11" fillId="3" borderId="1" xfId="0" applyNumberFormat="1" applyFont="1" applyFill="1" applyBorder="1" applyAlignment="1">
      <alignment horizontal="center"/>
    </xf>
    <xf numFmtId="0" fontId="14" fillId="7" borderId="20" xfId="0" applyFont="1" applyFill="1" applyBorder="1"/>
    <xf numFmtId="0" fontId="14" fillId="7" borderId="21" xfId="0" applyFont="1" applyFill="1" applyBorder="1"/>
    <xf numFmtId="0" fontId="14" fillId="7" borderId="20" xfId="0" applyFont="1" applyFill="1" applyBorder="1" applyAlignment="1">
      <alignment horizontal="center"/>
    </xf>
    <xf numFmtId="0" fontId="14" fillId="7" borderId="22" xfId="0" applyFont="1" applyFill="1" applyBorder="1" applyAlignment="1">
      <alignment horizontal="center"/>
    </xf>
    <xf numFmtId="1" fontId="15" fillId="7" borderId="23" xfId="0" applyNumberFormat="1" applyFont="1" applyFill="1" applyBorder="1" applyAlignment="1">
      <alignment horizontal="center"/>
    </xf>
    <xf numFmtId="1" fontId="15" fillId="7" borderId="1" xfId="0" applyNumberFormat="1" applyFont="1" applyFill="1" applyBorder="1" applyAlignment="1">
      <alignment horizontal="center"/>
    </xf>
    <xf numFmtId="1" fontId="11" fillId="3" borderId="1" xfId="0" applyNumberFormat="1" applyFont="1" applyFill="1" applyBorder="1"/>
    <xf numFmtId="0" fontId="16" fillId="3" borderId="1" xfId="0" applyFont="1" applyFill="1" applyBorder="1"/>
    <xf numFmtId="0" fontId="17" fillId="3" borderId="1" xfId="0" applyFont="1" applyFill="1" applyBorder="1"/>
    <xf numFmtId="0" fontId="16" fillId="3" borderId="24" xfId="0" applyFont="1" applyFill="1" applyBorder="1"/>
    <xf numFmtId="0" fontId="16" fillId="3" borderId="25" xfId="0" applyFont="1" applyFill="1" applyBorder="1"/>
    <xf numFmtId="0" fontId="12" fillId="2" borderId="10" xfId="0" applyFont="1" applyFill="1" applyBorder="1" applyAlignment="1">
      <alignment horizontal="right"/>
    </xf>
    <xf numFmtId="0" fontId="12" fillId="6" borderId="11" xfId="0" applyFont="1" applyFill="1" applyBorder="1" applyAlignment="1">
      <alignment horizontal="center"/>
    </xf>
    <xf numFmtId="0" fontId="12" fillId="6" borderId="10" xfId="0" applyFont="1" applyFill="1" applyBorder="1" applyAlignment="1">
      <alignment horizontal="center"/>
    </xf>
    <xf numFmtId="164" fontId="11" fillId="3" borderId="1" xfId="0" applyNumberFormat="1" applyFont="1" applyFill="1" applyBorder="1" applyAlignment="1">
      <alignment horizontal="center"/>
    </xf>
    <xf numFmtId="0" fontId="11" fillId="2" borderId="19" xfId="0" applyFont="1" applyFill="1" applyBorder="1" applyAlignment="1">
      <alignment horizontal="center"/>
    </xf>
    <xf numFmtId="0" fontId="14" fillId="7" borderId="26" xfId="0" applyFont="1" applyFill="1" applyBorder="1"/>
    <xf numFmtId="0" fontId="14" fillId="7" borderId="27" xfId="0" applyFont="1" applyFill="1" applyBorder="1"/>
    <xf numFmtId="0" fontId="14" fillId="7" borderId="26" xfId="0" applyFont="1" applyFill="1" applyBorder="1" applyAlignment="1">
      <alignment horizontal="center"/>
    </xf>
    <xf numFmtId="0" fontId="14" fillId="7" borderId="28" xfId="0" applyFont="1" applyFill="1" applyBorder="1" applyAlignment="1">
      <alignment horizontal="center"/>
    </xf>
    <xf numFmtId="1" fontId="15" fillId="7" borderId="29" xfId="0" applyNumberFormat="1" applyFont="1" applyFill="1" applyBorder="1" applyAlignment="1">
      <alignment horizontal="center"/>
    </xf>
    <xf numFmtId="0" fontId="16" fillId="3" borderId="30" xfId="0" applyFont="1" applyFill="1" applyBorder="1"/>
    <xf numFmtId="0" fontId="16" fillId="3" borderId="31" xfId="0" applyFont="1" applyFill="1" applyBorder="1"/>
    <xf numFmtId="0" fontId="18" fillId="8" borderId="26" xfId="0" applyFont="1" applyFill="1" applyBorder="1"/>
    <xf numFmtId="0" fontId="18" fillId="8" borderId="27" xfId="0" applyFont="1" applyFill="1" applyBorder="1"/>
    <xf numFmtId="0" fontId="18" fillId="8" borderId="26" xfId="0" applyFont="1" applyFill="1" applyBorder="1" applyAlignment="1">
      <alignment horizontal="center"/>
    </xf>
    <xf numFmtId="0" fontId="18" fillId="8" borderId="28" xfId="0" applyFont="1" applyFill="1" applyBorder="1" applyAlignment="1">
      <alignment horizontal="center"/>
    </xf>
    <xf numFmtId="1" fontId="19" fillId="8" borderId="29" xfId="0" applyNumberFormat="1" applyFont="1" applyFill="1" applyBorder="1" applyAlignment="1">
      <alignment horizontal="center"/>
    </xf>
    <xf numFmtId="1" fontId="19" fillId="8" borderId="1" xfId="0" applyNumberFormat="1" applyFont="1" applyFill="1" applyBorder="1" applyAlignment="1">
      <alignment horizontal="center"/>
    </xf>
    <xf numFmtId="0" fontId="18" fillId="8" borderId="32" xfId="0" applyFont="1" applyFill="1" applyBorder="1"/>
    <xf numFmtId="0" fontId="18" fillId="8" borderId="33" xfId="0" applyFont="1" applyFill="1" applyBorder="1"/>
    <xf numFmtId="0" fontId="18" fillId="8" borderId="32" xfId="0" applyFont="1" applyFill="1" applyBorder="1" applyAlignment="1">
      <alignment horizontal="center"/>
    </xf>
    <xf numFmtId="0" fontId="18" fillId="8" borderId="34" xfId="0" applyFont="1" applyFill="1" applyBorder="1" applyAlignment="1">
      <alignment horizontal="center"/>
    </xf>
    <xf numFmtId="1" fontId="19" fillId="8" borderId="35" xfId="0" applyNumberFormat="1" applyFont="1" applyFill="1" applyBorder="1" applyAlignment="1">
      <alignment horizontal="center"/>
    </xf>
    <xf numFmtId="0" fontId="16" fillId="3" borderId="36" xfId="0" applyFont="1" applyFill="1" applyBorder="1"/>
    <xf numFmtId="0" fontId="16" fillId="3" borderId="37" xfId="0" applyFont="1" applyFill="1" applyBorder="1"/>
    <xf numFmtId="0" fontId="11" fillId="3" borderId="2" xfId="0" applyFont="1" applyFill="1" applyBorder="1" applyAlignment="1">
      <alignment horizontal="center"/>
    </xf>
    <xf numFmtId="22" fontId="11" fillId="3" borderId="2" xfId="0" applyNumberFormat="1" applyFont="1" applyFill="1" applyBorder="1" applyAlignment="1">
      <alignment horizontal="center"/>
    </xf>
    <xf numFmtId="0" fontId="11" fillId="3" borderId="2" xfId="0" applyFont="1" applyFill="1" applyBorder="1"/>
    <xf numFmtId="0" fontId="11" fillId="3" borderId="2" xfId="0" applyFont="1" applyFill="1" applyBorder="1" applyAlignment="1">
      <alignment horizontal="right"/>
    </xf>
    <xf numFmtId="0" fontId="11" fillId="3" borderId="2" xfId="0" applyFont="1" applyFill="1" applyBorder="1" applyAlignment="1">
      <alignment horizontal="left"/>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1" xfId="0" applyFont="1" applyFill="1" applyBorder="1"/>
    <xf numFmtId="0" fontId="13" fillId="9" borderId="10" xfId="0" applyFont="1" applyFill="1" applyBorder="1"/>
    <xf numFmtId="0" fontId="13" fillId="9" borderId="11" xfId="0" applyFont="1" applyFill="1" applyBorder="1"/>
    <xf numFmtId="0" fontId="13" fillId="9" borderId="12" xfId="0" applyFont="1" applyFill="1" applyBorder="1"/>
    <xf numFmtId="0" fontId="11" fillId="9" borderId="15" xfId="0" applyFont="1" applyFill="1" applyBorder="1" applyAlignment="1">
      <alignment horizontal="center"/>
    </xf>
    <xf numFmtId="0" fontId="11" fillId="9" borderId="16" xfId="0" applyFont="1" applyFill="1" applyBorder="1" applyAlignment="1">
      <alignment horizontal="center"/>
    </xf>
    <xf numFmtId="0" fontId="13" fillId="9" borderId="17" xfId="0" applyFont="1" applyFill="1" applyBorder="1" applyAlignment="1">
      <alignment horizontal="center"/>
    </xf>
    <xf numFmtId="0" fontId="13" fillId="10" borderId="1" xfId="0" applyFont="1" applyFill="1" applyBorder="1" applyAlignment="1">
      <alignment horizontal="center"/>
    </xf>
    <xf numFmtId="0" fontId="11" fillId="2" borderId="38" xfId="0" applyFont="1" applyFill="1" applyBorder="1"/>
    <xf numFmtId="0" fontId="11" fillId="2" borderId="39" xfId="0" applyFont="1" applyFill="1" applyBorder="1" applyAlignment="1">
      <alignment horizontal="center"/>
    </xf>
    <xf numFmtId="0" fontId="11" fillId="2" borderId="40" xfId="0" applyFont="1" applyFill="1" applyBorder="1" applyAlignment="1">
      <alignment horizontal="center"/>
    </xf>
    <xf numFmtId="0" fontId="20" fillId="3" borderId="1" xfId="0" applyFont="1" applyFill="1" applyBorder="1"/>
    <xf numFmtId="0" fontId="11" fillId="11" borderId="10" xfId="0" applyFont="1" applyFill="1" applyBorder="1" applyAlignment="1">
      <alignment horizontal="center"/>
    </xf>
    <xf numFmtId="0" fontId="11" fillId="11" borderId="11" xfId="0" applyFont="1" applyFill="1" applyBorder="1" applyAlignment="1">
      <alignment horizontal="center"/>
    </xf>
    <xf numFmtId="0" fontId="11" fillId="11" borderId="11" xfId="0" applyFont="1" applyFill="1" applyBorder="1"/>
    <xf numFmtId="0" fontId="13" fillId="11" borderId="10" xfId="0" applyFont="1" applyFill="1" applyBorder="1"/>
    <xf numFmtId="0" fontId="13" fillId="11" borderId="11" xfId="0" applyFont="1" applyFill="1" applyBorder="1"/>
    <xf numFmtId="0" fontId="13" fillId="11" borderId="12" xfId="0" applyFont="1" applyFill="1" applyBorder="1"/>
    <xf numFmtId="0" fontId="11" fillId="11" borderId="15" xfId="0" applyFont="1" applyFill="1" applyBorder="1" applyAlignment="1">
      <alignment horizontal="center"/>
    </xf>
    <xf numFmtId="0" fontId="11" fillId="11" borderId="16" xfId="0" applyFont="1" applyFill="1" applyBorder="1" applyAlignment="1">
      <alignment horizontal="center"/>
    </xf>
    <xf numFmtId="0" fontId="13" fillId="11" borderId="17" xfId="0" applyFont="1" applyFill="1" applyBorder="1" applyAlignment="1">
      <alignment horizontal="center"/>
    </xf>
    <xf numFmtId="0" fontId="13" fillId="12" borderId="1" xfId="0" applyFont="1" applyFill="1" applyBorder="1" applyAlignment="1">
      <alignment horizontal="center"/>
    </xf>
    <xf numFmtId="0" fontId="11" fillId="13" borderId="10" xfId="0" applyFont="1" applyFill="1" applyBorder="1" applyAlignment="1">
      <alignment horizontal="center"/>
    </xf>
    <xf numFmtId="0" fontId="11" fillId="13" borderId="11" xfId="0" applyFont="1" applyFill="1" applyBorder="1" applyAlignment="1">
      <alignment horizontal="center"/>
    </xf>
    <xf numFmtId="0" fontId="11" fillId="13" borderId="11" xfId="0" applyFont="1" applyFill="1" applyBorder="1"/>
    <xf numFmtId="0" fontId="13" fillId="13" borderId="10" xfId="0" applyFont="1" applyFill="1" applyBorder="1"/>
    <xf numFmtId="0" fontId="13" fillId="13" borderId="11" xfId="0" applyFont="1" applyFill="1" applyBorder="1"/>
    <xf numFmtId="0" fontId="13" fillId="13" borderId="12" xfId="0" applyFont="1" applyFill="1" applyBorder="1"/>
    <xf numFmtId="0" fontId="11" fillId="13" borderId="15" xfId="0" applyFont="1" applyFill="1" applyBorder="1" applyAlignment="1">
      <alignment horizontal="center"/>
    </xf>
    <xf numFmtId="0" fontId="11" fillId="13" borderId="16" xfId="0" applyFont="1" applyFill="1" applyBorder="1" applyAlignment="1">
      <alignment horizontal="center"/>
    </xf>
    <xf numFmtId="0" fontId="13" fillId="13" borderId="17" xfId="0" applyFont="1" applyFill="1" applyBorder="1" applyAlignment="1">
      <alignment horizontal="center"/>
    </xf>
    <xf numFmtId="0" fontId="13" fillId="14" borderId="1" xfId="0" applyFont="1" applyFill="1" applyBorder="1" applyAlignment="1">
      <alignment horizontal="center"/>
    </xf>
    <xf numFmtId="0" fontId="11" fillId="15" borderId="10" xfId="0" applyFont="1" applyFill="1" applyBorder="1" applyAlignment="1">
      <alignment horizontal="center"/>
    </xf>
    <xf numFmtId="0" fontId="11" fillId="15" borderId="11" xfId="0" applyFont="1" applyFill="1" applyBorder="1" applyAlignment="1">
      <alignment horizontal="center"/>
    </xf>
    <xf numFmtId="0" fontId="11" fillId="15" borderId="11" xfId="0" applyFont="1" applyFill="1" applyBorder="1"/>
    <xf numFmtId="0" fontId="13" fillId="15" borderId="10" xfId="0" applyFont="1" applyFill="1" applyBorder="1"/>
    <xf numFmtId="0" fontId="13" fillId="15" borderId="11" xfId="0" applyFont="1" applyFill="1" applyBorder="1"/>
    <xf numFmtId="0" fontId="13" fillId="15" borderId="12" xfId="0" applyFont="1" applyFill="1" applyBorder="1"/>
    <xf numFmtId="0" fontId="11" fillId="15" borderId="15" xfId="0" applyFont="1" applyFill="1" applyBorder="1" applyAlignment="1">
      <alignment horizontal="center"/>
    </xf>
    <xf numFmtId="0" fontId="11" fillId="15" borderId="16" xfId="0" applyFont="1" applyFill="1" applyBorder="1" applyAlignment="1">
      <alignment horizontal="center"/>
    </xf>
    <xf numFmtId="0" fontId="13" fillId="15" borderId="17" xfId="0" applyFont="1" applyFill="1" applyBorder="1" applyAlignment="1">
      <alignment horizontal="center"/>
    </xf>
    <xf numFmtId="0" fontId="13" fillId="16" borderId="1" xfId="0" applyFont="1" applyFill="1" applyBorder="1" applyAlignment="1">
      <alignment horizontal="center"/>
    </xf>
    <xf numFmtId="0" fontId="11" fillId="17" borderId="10" xfId="0" applyFont="1" applyFill="1" applyBorder="1" applyAlignment="1">
      <alignment horizontal="center"/>
    </xf>
    <xf numFmtId="0" fontId="11" fillId="17" borderId="11" xfId="0" applyFont="1" applyFill="1" applyBorder="1" applyAlignment="1">
      <alignment horizontal="center"/>
    </xf>
    <xf numFmtId="0" fontId="11" fillId="17" borderId="11" xfId="0" applyFont="1" applyFill="1" applyBorder="1"/>
    <xf numFmtId="0" fontId="13" fillId="17" borderId="10" xfId="0" applyFont="1" applyFill="1" applyBorder="1"/>
    <xf numFmtId="0" fontId="13" fillId="17" borderId="11" xfId="0" applyFont="1" applyFill="1" applyBorder="1"/>
    <xf numFmtId="0" fontId="13" fillId="17" borderId="12" xfId="0" applyFont="1" applyFill="1" applyBorder="1"/>
    <xf numFmtId="0" fontId="11" fillId="17" borderId="15" xfId="0" applyFont="1" applyFill="1" applyBorder="1" applyAlignment="1">
      <alignment horizontal="center"/>
    </xf>
    <xf numFmtId="0" fontId="11" fillId="17" borderId="16" xfId="0" applyFont="1" applyFill="1" applyBorder="1" applyAlignment="1">
      <alignment horizontal="center"/>
    </xf>
    <xf numFmtId="0" fontId="13" fillId="17" borderId="17" xfId="0" applyFont="1" applyFill="1" applyBorder="1" applyAlignment="1">
      <alignment horizontal="center"/>
    </xf>
    <xf numFmtId="0" fontId="13" fillId="18" borderId="1" xfId="0" applyFont="1" applyFill="1" applyBorder="1" applyAlignment="1">
      <alignment horizontal="center"/>
    </xf>
    <xf numFmtId="0" fontId="11" fillId="19" borderId="10" xfId="0" applyFont="1" applyFill="1" applyBorder="1" applyAlignment="1">
      <alignment horizontal="center"/>
    </xf>
    <xf numFmtId="0" fontId="11" fillId="19" borderId="11" xfId="0" applyFont="1" applyFill="1" applyBorder="1" applyAlignment="1">
      <alignment horizontal="center"/>
    </xf>
    <xf numFmtId="0" fontId="11" fillId="19" borderId="11" xfId="0" applyFont="1" applyFill="1" applyBorder="1"/>
    <xf numFmtId="0" fontId="13" fillId="19" borderId="10" xfId="0" applyFont="1" applyFill="1" applyBorder="1"/>
    <xf numFmtId="0" fontId="13" fillId="19" borderId="11" xfId="0" applyFont="1" applyFill="1" applyBorder="1"/>
    <xf numFmtId="0" fontId="13" fillId="19" borderId="12" xfId="0" applyFont="1" applyFill="1" applyBorder="1"/>
    <xf numFmtId="0" fontId="11" fillId="19" borderId="15" xfId="0" applyFont="1" applyFill="1" applyBorder="1" applyAlignment="1">
      <alignment horizontal="center"/>
    </xf>
    <xf numFmtId="0" fontId="11" fillId="19" borderId="16" xfId="0" applyFont="1" applyFill="1" applyBorder="1" applyAlignment="1">
      <alignment horizontal="center"/>
    </xf>
    <xf numFmtId="0" fontId="13" fillId="19" borderId="17"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1" fillId="20" borderId="11" xfId="0" applyFont="1" applyFill="1" applyBorder="1"/>
    <xf numFmtId="0" fontId="13" fillId="20" borderId="10" xfId="0" applyFont="1" applyFill="1" applyBorder="1"/>
    <xf numFmtId="0" fontId="13" fillId="20" borderId="11" xfId="0" applyFont="1" applyFill="1" applyBorder="1"/>
    <xf numFmtId="0" fontId="13" fillId="20" borderId="12" xfId="0" applyFont="1" applyFill="1" applyBorder="1"/>
    <xf numFmtId="0" fontId="11" fillId="20" borderId="15" xfId="0" applyFont="1" applyFill="1" applyBorder="1" applyAlignment="1">
      <alignment horizontal="center"/>
    </xf>
    <xf numFmtId="0" fontId="11" fillId="20" borderId="16" xfId="0" applyFont="1" applyFill="1" applyBorder="1" applyAlignment="1">
      <alignment horizontal="center"/>
    </xf>
    <xf numFmtId="0" fontId="13" fillId="20" borderId="17" xfId="0" applyFont="1" applyFill="1" applyBorder="1" applyAlignment="1">
      <alignment horizontal="center"/>
    </xf>
    <xf numFmtId="0" fontId="13" fillId="21" borderId="1" xfId="0" applyFont="1" applyFill="1" applyBorder="1" applyAlignment="1">
      <alignment horizontal="center"/>
    </xf>
    <xf numFmtId="164" fontId="11" fillId="3" borderId="1" xfId="0" applyNumberFormat="1" applyFont="1" applyFill="1" applyBorder="1"/>
    <xf numFmtId="165" fontId="11" fillId="3" borderId="1" xfId="0" applyNumberFormat="1" applyFont="1" applyFill="1" applyBorder="1" applyAlignment="1">
      <alignment horizontal="center"/>
    </xf>
    <xf numFmtId="0" fontId="11" fillId="22" borderId="10" xfId="0" applyFont="1" applyFill="1" applyBorder="1" applyAlignment="1">
      <alignment horizontal="center"/>
    </xf>
    <xf numFmtId="0" fontId="11" fillId="22" borderId="11" xfId="0" applyFont="1" applyFill="1" applyBorder="1" applyAlignment="1">
      <alignment horizontal="center"/>
    </xf>
    <xf numFmtId="0" fontId="11" fillId="22" borderId="11" xfId="0" applyFont="1" applyFill="1" applyBorder="1"/>
    <xf numFmtId="0" fontId="13" fillId="22" borderId="10" xfId="0" applyFont="1" applyFill="1" applyBorder="1"/>
    <xf numFmtId="0" fontId="13" fillId="22" borderId="11" xfId="0" applyFont="1" applyFill="1" applyBorder="1"/>
    <xf numFmtId="0" fontId="13" fillId="22" borderId="12" xfId="0" applyFont="1" applyFill="1" applyBorder="1"/>
    <xf numFmtId="0" fontId="11" fillId="22" borderId="15" xfId="0" applyFont="1" applyFill="1" applyBorder="1" applyAlignment="1">
      <alignment horizontal="center"/>
    </xf>
    <xf numFmtId="0" fontId="11" fillId="22" borderId="16" xfId="0" applyFont="1" applyFill="1" applyBorder="1" applyAlignment="1">
      <alignment horizontal="center"/>
    </xf>
    <xf numFmtId="0" fontId="13" fillId="22" borderId="17" xfId="0" applyFont="1" applyFill="1" applyBorder="1" applyAlignment="1">
      <alignment horizontal="center"/>
    </xf>
    <xf numFmtId="0" fontId="11" fillId="23" borderId="10" xfId="0" applyFont="1" applyFill="1" applyBorder="1" applyAlignment="1">
      <alignment horizontal="center"/>
    </xf>
    <xf numFmtId="0" fontId="11" fillId="23" borderId="11" xfId="0" applyFont="1" applyFill="1" applyBorder="1" applyAlignment="1">
      <alignment horizontal="center"/>
    </xf>
    <xf numFmtId="0" fontId="11" fillId="23" borderId="11" xfId="0" applyFont="1" applyFill="1" applyBorder="1"/>
    <xf numFmtId="0" fontId="13" fillId="23" borderId="10" xfId="0" applyFont="1" applyFill="1" applyBorder="1"/>
    <xf numFmtId="0" fontId="13" fillId="23" borderId="11" xfId="0" applyFont="1" applyFill="1" applyBorder="1"/>
    <xf numFmtId="0" fontId="13" fillId="23" borderId="12" xfId="0" applyFont="1" applyFill="1" applyBorder="1"/>
    <xf numFmtId="0" fontId="11" fillId="23" borderId="15" xfId="0" applyFont="1" applyFill="1" applyBorder="1" applyAlignment="1">
      <alignment horizontal="center"/>
    </xf>
    <xf numFmtId="0" fontId="11" fillId="23" borderId="16" xfId="0" applyFont="1" applyFill="1" applyBorder="1" applyAlignment="1">
      <alignment horizontal="center"/>
    </xf>
    <xf numFmtId="0" fontId="13" fillId="23" borderId="17" xfId="0" applyFont="1" applyFill="1" applyBorder="1" applyAlignment="1">
      <alignment horizontal="center"/>
    </xf>
    <xf numFmtId="0" fontId="21" fillId="3" borderId="25" xfId="0" applyFont="1" applyFill="1" applyBorder="1" applyAlignment="1"/>
    <xf numFmtId="0" fontId="21" fillId="3" borderId="31" xfId="0" applyFont="1" applyFill="1" applyBorder="1" applyAlignment="1"/>
    <xf numFmtId="0" fontId="21" fillId="3" borderId="37" xfId="0" applyFont="1" applyFill="1" applyBorder="1" applyAlignment="1"/>
    <xf numFmtId="0" fontId="11" fillId="12" borderId="10" xfId="0" applyFont="1" applyFill="1" applyBorder="1" applyAlignment="1">
      <alignment horizontal="center"/>
    </xf>
    <xf numFmtId="0" fontId="11" fillId="12" borderId="11" xfId="0" applyFont="1" applyFill="1" applyBorder="1" applyAlignment="1">
      <alignment horizontal="center"/>
    </xf>
    <xf numFmtId="0" fontId="11" fillId="12" borderId="11" xfId="0" applyFont="1" applyFill="1" applyBorder="1"/>
    <xf numFmtId="0" fontId="13" fillId="12" borderId="10" xfId="0" applyFont="1" applyFill="1" applyBorder="1"/>
    <xf numFmtId="0" fontId="13" fillId="12" borderId="11" xfId="0" applyFont="1" applyFill="1" applyBorder="1"/>
    <xf numFmtId="0" fontId="13" fillId="12" borderId="12" xfId="0" applyFont="1" applyFill="1" applyBorder="1"/>
    <xf numFmtId="0" fontId="11" fillId="12" borderId="15" xfId="0" applyFont="1" applyFill="1" applyBorder="1" applyAlignment="1">
      <alignment horizontal="center"/>
    </xf>
    <xf numFmtId="0" fontId="11" fillId="12" borderId="16" xfId="0" applyFont="1" applyFill="1" applyBorder="1" applyAlignment="1">
      <alignment horizontal="center"/>
    </xf>
    <xf numFmtId="0" fontId="13" fillId="12" borderId="17" xfId="0" applyFont="1" applyFill="1" applyBorder="1" applyAlignment="1">
      <alignment horizontal="center"/>
    </xf>
    <xf numFmtId="0" fontId="11" fillId="24" borderId="10" xfId="0" applyFont="1" applyFill="1" applyBorder="1" applyAlignment="1">
      <alignment horizontal="center"/>
    </xf>
    <xf numFmtId="0" fontId="11" fillId="24" borderId="11" xfId="0" applyFont="1" applyFill="1" applyBorder="1" applyAlignment="1">
      <alignment horizontal="center"/>
    </xf>
    <xf numFmtId="0" fontId="11" fillId="24" borderId="11" xfId="0" applyFont="1" applyFill="1" applyBorder="1"/>
    <xf numFmtId="0" fontId="13" fillId="24" borderId="10" xfId="0" applyFont="1" applyFill="1" applyBorder="1"/>
    <xf numFmtId="0" fontId="13" fillId="24" borderId="11" xfId="0" applyFont="1" applyFill="1" applyBorder="1"/>
    <xf numFmtId="0" fontId="13" fillId="24" borderId="12" xfId="0" applyFont="1" applyFill="1" applyBorder="1"/>
    <xf numFmtId="0" fontId="11" fillId="24" borderId="15" xfId="0" applyFont="1" applyFill="1" applyBorder="1" applyAlignment="1">
      <alignment horizontal="center"/>
    </xf>
    <xf numFmtId="0" fontId="11" fillId="24" borderId="16" xfId="0" applyFont="1" applyFill="1" applyBorder="1" applyAlignment="1">
      <alignment horizontal="center"/>
    </xf>
    <xf numFmtId="0" fontId="13" fillId="24" borderId="17" xfId="0" applyFont="1" applyFill="1" applyBorder="1" applyAlignment="1">
      <alignment horizontal="center"/>
    </xf>
    <xf numFmtId="0" fontId="11" fillId="25" borderId="1" xfId="0" applyFont="1" applyFill="1" applyBorder="1"/>
    <xf numFmtId="0" fontId="11" fillId="26" borderId="41" xfId="0" applyFont="1" applyFill="1" applyBorder="1"/>
    <xf numFmtId="0" fontId="11" fillId="17" borderId="30" xfId="0" applyFont="1" applyFill="1" applyBorder="1"/>
    <xf numFmtId="0" fontId="11" fillId="17" borderId="1" xfId="0" applyFont="1" applyFill="1" applyBorder="1"/>
    <xf numFmtId="0" fontId="22" fillId="26" borderId="42" xfId="0" applyFont="1" applyFill="1" applyBorder="1"/>
    <xf numFmtId="0" fontId="23" fillId="2" borderId="43" xfId="0" applyFont="1" applyFill="1" applyBorder="1"/>
    <xf numFmtId="0" fontId="24" fillId="2" borderId="44" xfId="0" applyFont="1" applyFill="1" applyBorder="1" applyAlignment="1">
      <alignment horizontal="center"/>
    </xf>
    <xf numFmtId="0" fontId="24" fillId="2" borderId="45" xfId="0" applyFont="1" applyFill="1" applyBorder="1" applyAlignment="1">
      <alignment horizontal="center"/>
    </xf>
    <xf numFmtId="0" fontId="13" fillId="25" borderId="1" xfId="0" applyFont="1" applyFill="1" applyBorder="1"/>
    <xf numFmtId="0" fontId="22" fillId="26" borderId="46" xfId="0" applyFont="1" applyFill="1" applyBorder="1"/>
    <xf numFmtId="0" fontId="23" fillId="2" borderId="47" xfId="0" applyFont="1" applyFill="1" applyBorder="1"/>
    <xf numFmtId="0" fontId="24" fillId="2" borderId="48" xfId="0" applyFont="1" applyFill="1" applyBorder="1" applyAlignment="1">
      <alignment horizontal="center"/>
    </xf>
    <xf numFmtId="0" fontId="24" fillId="2" borderId="49" xfId="0" applyFont="1" applyFill="1" applyBorder="1" applyAlignment="1">
      <alignment horizontal="center"/>
    </xf>
    <xf numFmtId="0" fontId="25" fillId="26" borderId="50" xfId="0" applyFont="1" applyFill="1" applyBorder="1"/>
    <xf numFmtId="0" fontId="13" fillId="2" borderId="30" xfId="0" applyFont="1" applyFill="1" applyBorder="1" applyAlignment="1">
      <alignment horizontal="right"/>
    </xf>
    <xf numFmtId="0" fontId="3" fillId="6" borderId="1" xfId="0" applyFont="1" applyFill="1" applyBorder="1" applyAlignment="1">
      <alignment horizontal="center"/>
    </xf>
    <xf numFmtId="0" fontId="3" fillId="6" borderId="51" xfId="0" applyFont="1" applyFill="1" applyBorder="1" applyAlignment="1">
      <alignment horizontal="center"/>
    </xf>
    <xf numFmtId="0" fontId="13" fillId="2" borderId="52" xfId="0" applyFont="1" applyFill="1" applyBorder="1" applyAlignment="1">
      <alignment horizontal="left"/>
    </xf>
    <xf numFmtId="0" fontId="25" fillId="26" borderId="53" xfId="0" applyFont="1" applyFill="1" applyBorder="1"/>
    <xf numFmtId="0" fontId="13" fillId="2" borderId="54" xfId="0" applyFont="1" applyFill="1" applyBorder="1" applyAlignment="1">
      <alignment horizontal="left"/>
    </xf>
    <xf numFmtId="0" fontId="22" fillId="26" borderId="55" xfId="0" applyFont="1" applyFill="1" applyBorder="1"/>
    <xf numFmtId="0" fontId="26" fillId="2" borderId="56" xfId="0" applyFont="1" applyFill="1" applyBorder="1" applyAlignment="1">
      <alignment horizontal="right"/>
    </xf>
    <xf numFmtId="0" fontId="27" fillId="2" borderId="57" xfId="0" applyFont="1" applyFill="1" applyBorder="1" applyAlignment="1">
      <alignment horizontal="center"/>
    </xf>
    <xf numFmtId="0" fontId="25" fillId="2" borderId="58" xfId="0" applyFont="1" applyFill="1" applyBorder="1" applyAlignment="1">
      <alignment horizontal="center"/>
    </xf>
    <xf numFmtId="0" fontId="22" fillId="26" borderId="59" xfId="0" applyFont="1" applyFill="1" applyBorder="1"/>
    <xf numFmtId="0" fontId="26" fillId="2" borderId="60" xfId="0" applyFont="1" applyFill="1" applyBorder="1" applyAlignment="1">
      <alignment horizontal="right"/>
    </xf>
    <xf numFmtId="0" fontId="27" fillId="2" borderId="61" xfId="0" applyFont="1" applyFill="1" applyBorder="1" applyAlignment="1">
      <alignment horizontal="center"/>
    </xf>
    <xf numFmtId="0" fontId="25" fillId="2" borderId="62" xfId="0" applyFont="1" applyFill="1" applyBorder="1" applyAlignment="1">
      <alignment horizontal="center"/>
    </xf>
    <xf numFmtId="0" fontId="28" fillId="2" borderId="57" xfId="0" applyFont="1" applyFill="1" applyBorder="1" applyAlignment="1">
      <alignment horizontal="center"/>
    </xf>
    <xf numFmtId="0" fontId="28" fillId="2" borderId="61" xfId="0" applyFont="1" applyFill="1" applyBorder="1" applyAlignment="1">
      <alignment horizontal="center"/>
    </xf>
    <xf numFmtId="0" fontId="29" fillId="25" borderId="1" xfId="0" applyFont="1" applyFill="1" applyBorder="1"/>
    <xf numFmtId="0" fontId="30" fillId="17" borderId="1" xfId="0" applyFont="1" applyFill="1" applyBorder="1"/>
    <xf numFmtId="0" fontId="17" fillId="17" borderId="1" xfId="0" applyFont="1" applyFill="1" applyBorder="1"/>
    <xf numFmtId="0" fontId="22" fillId="26" borderId="63" xfId="0" applyFont="1" applyFill="1" applyBorder="1"/>
    <xf numFmtId="0" fontId="23" fillId="2" borderId="64" xfId="0" applyFont="1" applyFill="1" applyBorder="1"/>
    <xf numFmtId="0" fontId="24" fillId="2" borderId="65" xfId="0" applyFont="1" applyFill="1" applyBorder="1" applyAlignment="1">
      <alignment horizontal="center"/>
    </xf>
    <xf numFmtId="0" fontId="24" fillId="2" borderId="66" xfId="0" applyFont="1" applyFill="1" applyBorder="1" applyAlignment="1">
      <alignment horizontal="center"/>
    </xf>
    <xf numFmtId="0" fontId="25" fillId="26" borderId="67" xfId="0" applyFont="1" applyFill="1" applyBorder="1"/>
    <xf numFmtId="0" fontId="13" fillId="2" borderId="68" xfId="0" applyFont="1" applyFill="1" applyBorder="1" applyAlignment="1">
      <alignment horizontal="left"/>
    </xf>
    <xf numFmtId="0" fontId="22" fillId="26" borderId="69" xfId="0" applyFont="1" applyFill="1" applyBorder="1"/>
    <xf numFmtId="0" fontId="26" fillId="2" borderId="70" xfId="0" applyFont="1" applyFill="1" applyBorder="1" applyAlignment="1">
      <alignment horizontal="right"/>
    </xf>
    <xf numFmtId="0" fontId="28" fillId="2" borderId="71" xfId="0" applyFont="1" applyFill="1" applyBorder="1" applyAlignment="1">
      <alignment horizontal="center"/>
    </xf>
    <xf numFmtId="0" fontId="25" fillId="2" borderId="72" xfId="0" applyFont="1" applyFill="1" applyBorder="1" applyAlignment="1">
      <alignment horizontal="center"/>
    </xf>
    <xf numFmtId="0" fontId="22" fillId="26" borderId="73" xfId="0" applyFont="1" applyFill="1" applyBorder="1"/>
    <xf numFmtId="0" fontId="23" fillId="2" borderId="74" xfId="0" applyFont="1" applyFill="1" applyBorder="1"/>
    <xf numFmtId="0" fontId="24" fillId="2" borderId="75" xfId="0" applyFont="1" applyFill="1" applyBorder="1" applyAlignment="1">
      <alignment horizontal="center"/>
    </xf>
    <xf numFmtId="0" fontId="24" fillId="2" borderId="76" xfId="0" applyFont="1" applyFill="1" applyBorder="1" applyAlignment="1">
      <alignment horizontal="center"/>
    </xf>
    <xf numFmtId="0" fontId="25" fillId="26" borderId="77" xfId="0" applyFont="1" applyFill="1" applyBorder="1"/>
    <xf numFmtId="0" fontId="13" fillId="2" borderId="78" xfId="0" applyFont="1" applyFill="1" applyBorder="1" applyAlignment="1">
      <alignment horizontal="left"/>
    </xf>
    <xf numFmtId="0" fontId="22" fillId="26" borderId="79" xfId="0" applyFont="1" applyFill="1" applyBorder="1"/>
    <xf numFmtId="0" fontId="26" fillId="2" borderId="80" xfId="0" applyFont="1" applyFill="1" applyBorder="1" applyAlignment="1">
      <alignment horizontal="right"/>
    </xf>
    <xf numFmtId="0" fontId="28" fillId="2" borderId="81" xfId="0" applyFont="1" applyFill="1" applyBorder="1" applyAlignment="1">
      <alignment horizontal="center"/>
    </xf>
    <xf numFmtId="0" fontId="25" fillId="2" borderId="82" xfId="0" applyFont="1" applyFill="1" applyBorder="1" applyAlignment="1">
      <alignment horizontal="center"/>
    </xf>
    <xf numFmtId="0" fontId="11" fillId="2" borderId="1" xfId="0" applyFont="1" applyFill="1" applyBorder="1"/>
    <xf numFmtId="0" fontId="11" fillId="2" borderId="30" xfId="0" applyFont="1" applyFill="1" applyBorder="1"/>
    <xf numFmtId="0" fontId="22" fillId="26" borderId="83" xfId="0" applyFont="1" applyFill="1" applyBorder="1"/>
    <xf numFmtId="0" fontId="23" fillId="2" borderId="24" xfId="0" applyFont="1" applyFill="1" applyBorder="1"/>
    <xf numFmtId="0" fontId="24" fillId="2" borderId="4" xfId="0" applyFont="1" applyFill="1" applyBorder="1" applyAlignment="1">
      <alignment horizontal="center"/>
    </xf>
    <xf numFmtId="0" fontId="24" fillId="2" borderId="25" xfId="0" applyFont="1" applyFill="1" applyBorder="1" applyAlignment="1">
      <alignment horizontal="center"/>
    </xf>
    <xf numFmtId="0" fontId="22" fillId="26" borderId="84" xfId="0" applyFont="1" applyFill="1" applyBorder="1"/>
    <xf numFmtId="0" fontId="25" fillId="26" borderId="41" xfId="0" applyFont="1" applyFill="1" applyBorder="1"/>
    <xf numFmtId="0" fontId="13" fillId="2" borderId="31" xfId="0" applyFont="1" applyFill="1" applyBorder="1" applyAlignment="1">
      <alignment horizontal="left"/>
    </xf>
    <xf numFmtId="0" fontId="25" fillId="26" borderId="89" xfId="0" applyFont="1" applyFill="1" applyBorder="1"/>
    <xf numFmtId="0" fontId="22" fillId="26" borderId="93" xfId="0" applyFont="1" applyFill="1" applyBorder="1"/>
    <xf numFmtId="0" fontId="26" fillId="2" borderId="36" xfId="0" applyFont="1" applyFill="1" applyBorder="1" applyAlignment="1">
      <alignment horizontal="right"/>
    </xf>
    <xf numFmtId="0" fontId="28" fillId="2" borderId="2" xfId="0" applyFont="1" applyFill="1" applyBorder="1" applyAlignment="1">
      <alignment horizontal="center"/>
    </xf>
    <xf numFmtId="0" fontId="25" fillId="2" borderId="37" xfId="0" applyFont="1" applyFill="1" applyBorder="1" applyAlignment="1">
      <alignment horizontal="center"/>
    </xf>
    <xf numFmtId="0" fontId="27" fillId="2" borderId="2" xfId="0" applyFont="1" applyFill="1" applyBorder="1" applyAlignment="1">
      <alignment horizontal="center"/>
    </xf>
    <xf numFmtId="0" fontId="22" fillId="26" borderId="94" xfId="0" applyFont="1" applyFill="1" applyBorder="1"/>
    <xf numFmtId="0" fontId="26" fillId="2" borderId="1" xfId="0" applyFont="1" applyFill="1" applyBorder="1" applyAlignment="1">
      <alignment horizontal="right"/>
    </xf>
    <xf numFmtId="0" fontId="28" fillId="2" borderId="1" xfId="0" applyFont="1" applyFill="1" applyBorder="1" applyAlignment="1">
      <alignment horizontal="center"/>
    </xf>
    <xf numFmtId="0" fontId="25" fillId="2" borderId="1" xfId="0" applyFont="1" applyFill="1" applyBorder="1" applyAlignment="1">
      <alignment horizontal="center"/>
    </xf>
    <xf numFmtId="0" fontId="25" fillId="2" borderId="1" xfId="0" applyFont="1" applyFill="1" applyBorder="1"/>
    <xf numFmtId="0" fontId="22" fillId="26" borderId="99" xfId="0" applyFont="1" applyFill="1" applyBorder="1"/>
    <xf numFmtId="0" fontId="33" fillId="2" borderId="100" xfId="0" applyFont="1" applyFill="1" applyBorder="1"/>
    <xf numFmtId="0" fontId="24" fillId="2" borderId="101" xfId="0" applyFont="1" applyFill="1" applyBorder="1" applyAlignment="1">
      <alignment horizontal="center"/>
    </xf>
    <xf numFmtId="0" fontId="34" fillId="2" borderId="102" xfId="0" applyFont="1" applyFill="1" applyBorder="1" applyAlignment="1">
      <alignment horizontal="center"/>
    </xf>
    <xf numFmtId="0" fontId="25" fillId="26" borderId="103" xfId="0" applyFont="1" applyFill="1" applyBorder="1"/>
    <xf numFmtId="0" fontId="13" fillId="2" borderId="104" xfId="0" applyFont="1" applyFill="1" applyBorder="1" applyAlignment="1">
      <alignment horizontal="right"/>
    </xf>
    <xf numFmtId="0" fontId="13" fillId="2" borderId="105" xfId="0" applyFont="1" applyFill="1" applyBorder="1" applyAlignment="1">
      <alignment horizontal="left"/>
    </xf>
    <xf numFmtId="0" fontId="11" fillId="26" borderId="1" xfId="0" applyFont="1" applyFill="1" applyBorder="1"/>
    <xf numFmtId="0" fontId="22" fillId="26" borderId="106" xfId="0" applyFont="1" applyFill="1" applyBorder="1"/>
    <xf numFmtId="0" fontId="26" fillId="2" borderId="107" xfId="0" applyFont="1" applyFill="1" applyBorder="1" applyAlignment="1">
      <alignment horizontal="right"/>
    </xf>
    <xf numFmtId="0" fontId="27" fillId="2" borderId="108" xfId="0" applyFont="1" applyFill="1" applyBorder="1" applyAlignment="1">
      <alignment horizontal="center"/>
    </xf>
    <xf numFmtId="0" fontId="25" fillId="2" borderId="109" xfId="0" applyFont="1" applyFill="1" applyBorder="1" applyAlignment="1">
      <alignment horizontal="center"/>
    </xf>
    <xf numFmtId="0" fontId="13" fillId="17" borderId="1" xfId="0" applyFont="1" applyFill="1" applyBorder="1"/>
    <xf numFmtId="0" fontId="11" fillId="2" borderId="1" xfId="0" applyFont="1" applyFill="1" applyBorder="1" applyAlignment="1">
      <alignment horizontal="right"/>
    </xf>
    <xf numFmtId="0" fontId="11" fillId="2" borderId="110" xfId="0" applyFont="1" applyFill="1" applyBorder="1"/>
    <xf numFmtId="0" fontId="35" fillId="2" borderId="110" xfId="0" applyFont="1" applyFill="1" applyBorder="1" applyAlignment="1">
      <alignment horizontal="right"/>
    </xf>
    <xf numFmtId="0" fontId="1" fillId="6" borderId="110" xfId="0" applyFont="1" applyFill="1" applyBorder="1" applyAlignment="1"/>
    <xf numFmtId="0" fontId="36" fillId="27" borderId="110" xfId="0" applyFont="1" applyFill="1" applyBorder="1"/>
    <xf numFmtId="0" fontId="38" fillId="26" borderId="1" xfId="0" applyFont="1" applyFill="1" applyBorder="1" applyAlignment="1">
      <alignment horizontal="left"/>
    </xf>
    <xf numFmtId="0" fontId="38" fillId="26" borderId="1" xfId="0" applyFont="1" applyFill="1" applyBorder="1"/>
    <xf numFmtId="0" fontId="38" fillId="26" borderId="1" xfId="0" applyFont="1" applyFill="1" applyBorder="1" applyAlignment="1">
      <alignment horizontal="center"/>
    </xf>
    <xf numFmtId="0" fontId="38" fillId="26" borderId="31" xfId="0" applyFont="1" applyFill="1" applyBorder="1" applyAlignment="1">
      <alignment horizontal="center"/>
    </xf>
    <xf numFmtId="0" fontId="39" fillId="9" borderId="31" xfId="0" applyFont="1" applyFill="1" applyBorder="1" applyAlignment="1">
      <alignment horizontal="left"/>
    </xf>
    <xf numFmtId="0" fontId="39" fillId="9" borderId="1" xfId="0" applyFont="1" applyFill="1" applyBorder="1"/>
    <xf numFmtId="1" fontId="40" fillId="9" borderId="1" xfId="0" applyNumberFormat="1" applyFont="1" applyFill="1" applyBorder="1"/>
    <xf numFmtId="0" fontId="40" fillId="9" borderId="1" xfId="0" applyFont="1" applyFill="1" applyBorder="1" applyAlignment="1">
      <alignment horizontal="left"/>
    </xf>
    <xf numFmtId="0" fontId="40" fillId="9" borderId="1" xfId="0" applyFont="1" applyFill="1" applyBorder="1" applyAlignment="1">
      <alignment horizontal="center"/>
    </xf>
    <xf numFmtId="0" fontId="40" fillId="9" borderId="31" xfId="0" applyFont="1" applyFill="1" applyBorder="1" applyAlignment="1">
      <alignment horizontal="center"/>
    </xf>
    <xf numFmtId="0" fontId="41" fillId="20" borderId="119" xfId="0" applyFont="1" applyFill="1" applyBorder="1" applyAlignment="1">
      <alignment horizontal="left"/>
    </xf>
    <xf numFmtId="0" fontId="41" fillId="20" borderId="120" xfId="0" applyFont="1" applyFill="1" applyBorder="1"/>
    <xf numFmtId="1" fontId="42" fillId="20" borderId="120" xfId="0" applyNumberFormat="1" applyFont="1" applyFill="1" applyBorder="1"/>
    <xf numFmtId="0" fontId="42" fillId="20" borderId="120" xfId="0" applyFont="1" applyFill="1" applyBorder="1" applyAlignment="1">
      <alignment horizontal="left"/>
    </xf>
    <xf numFmtId="0" fontId="42" fillId="20" borderId="120" xfId="0" applyFont="1" applyFill="1" applyBorder="1" applyAlignment="1">
      <alignment horizontal="center"/>
    </xf>
    <xf numFmtId="0" fontId="42" fillId="20" borderId="119" xfId="0" applyFont="1" applyFill="1" applyBorder="1" applyAlignment="1">
      <alignment horizontal="center"/>
    </xf>
    <xf numFmtId="0" fontId="2" fillId="28" borderId="31" xfId="0" applyFont="1" applyFill="1" applyBorder="1" applyAlignment="1">
      <alignment horizontal="left"/>
    </xf>
    <xf numFmtId="0" fontId="2" fillId="28" borderId="1" xfId="0" applyFont="1" applyFill="1" applyBorder="1"/>
    <xf numFmtId="1" fontId="1" fillId="28" borderId="1" xfId="0" applyNumberFormat="1" applyFont="1" applyFill="1" applyBorder="1"/>
    <xf numFmtId="0" fontId="1" fillId="28" borderId="1" xfId="0" applyFont="1" applyFill="1" applyBorder="1" applyAlignment="1">
      <alignment horizontal="left"/>
    </xf>
    <xf numFmtId="0" fontId="1" fillId="28" borderId="1" xfId="0" applyFont="1" applyFill="1" applyBorder="1" applyAlignment="1">
      <alignment horizontal="center"/>
    </xf>
    <xf numFmtId="0" fontId="1" fillId="28" borderId="31" xfId="0" applyFont="1" applyFill="1" applyBorder="1" applyAlignment="1">
      <alignment horizontal="center"/>
    </xf>
    <xf numFmtId="0" fontId="2" fillId="28" borderId="121" xfId="0" applyFont="1" applyFill="1" applyBorder="1" applyAlignment="1">
      <alignment horizontal="left"/>
    </xf>
    <xf numFmtId="0" fontId="2" fillId="28" borderId="122" xfId="0" applyFont="1" applyFill="1" applyBorder="1"/>
    <xf numFmtId="1" fontId="1" fillId="28" borderId="122" xfId="0" applyNumberFormat="1" applyFont="1" applyFill="1" applyBorder="1"/>
    <xf numFmtId="0" fontId="1" fillId="28" borderId="122" xfId="0" applyFont="1" applyFill="1" applyBorder="1" applyAlignment="1">
      <alignment horizontal="left"/>
    </xf>
    <xf numFmtId="0" fontId="1" fillId="28" borderId="122" xfId="0" applyFont="1" applyFill="1" applyBorder="1" applyAlignment="1">
      <alignment horizontal="center"/>
    </xf>
    <xf numFmtId="0" fontId="1" fillId="28" borderId="121" xfId="0" applyFont="1" applyFill="1" applyBorder="1" applyAlignment="1">
      <alignment horizontal="center"/>
    </xf>
    <xf numFmtId="0" fontId="43" fillId="17" borderId="31" xfId="0" applyFont="1" applyFill="1" applyBorder="1" applyAlignment="1">
      <alignment horizontal="left"/>
    </xf>
    <xf numFmtId="0" fontId="43" fillId="17" borderId="1" xfId="0" applyFont="1" applyFill="1" applyBorder="1"/>
    <xf numFmtId="1" fontId="1" fillId="17" borderId="1" xfId="0" applyNumberFormat="1" applyFont="1" applyFill="1" applyBorder="1"/>
    <xf numFmtId="0" fontId="1" fillId="17" borderId="1" xfId="0" applyFont="1" applyFill="1" applyBorder="1" applyAlignment="1">
      <alignment horizontal="left"/>
    </xf>
    <xf numFmtId="0" fontId="1" fillId="17" borderId="1" xfId="0" applyFont="1" applyFill="1" applyBorder="1" applyAlignment="1">
      <alignment horizontal="center"/>
    </xf>
    <xf numFmtId="0" fontId="1" fillId="17" borderId="31" xfId="0" applyFont="1" applyFill="1" applyBorder="1" applyAlignment="1">
      <alignment horizontal="center"/>
    </xf>
    <xf numFmtId="0" fontId="43" fillId="17" borderId="123" xfId="0" applyFont="1" applyFill="1" applyBorder="1" applyAlignment="1">
      <alignment horizontal="left"/>
    </xf>
    <xf numFmtId="0" fontId="43" fillId="17" borderId="124" xfId="0" applyFont="1" applyFill="1" applyBorder="1"/>
    <xf numFmtId="1" fontId="1" fillId="17" borderId="124" xfId="0" applyNumberFormat="1" applyFont="1" applyFill="1" applyBorder="1"/>
    <xf numFmtId="0" fontId="1" fillId="17" borderId="124" xfId="0" applyFont="1" applyFill="1" applyBorder="1" applyAlignment="1">
      <alignment horizontal="left"/>
    </xf>
    <xf numFmtId="0" fontId="1" fillId="17" borderId="124" xfId="0" applyFont="1" applyFill="1" applyBorder="1" applyAlignment="1">
      <alignment horizontal="center"/>
    </xf>
    <xf numFmtId="0" fontId="1" fillId="17" borderId="123" xfId="0" applyFont="1" applyFill="1" applyBorder="1" applyAlignment="1">
      <alignment horizontal="center"/>
    </xf>
    <xf numFmtId="0" fontId="43" fillId="3" borderId="31" xfId="0" applyFont="1" applyFill="1" applyBorder="1" applyAlignment="1">
      <alignment horizontal="left"/>
    </xf>
    <xf numFmtId="0" fontId="43" fillId="3" borderId="1" xfId="0" applyFont="1" applyFill="1" applyBorder="1"/>
    <xf numFmtId="1" fontId="1" fillId="3" borderId="1" xfId="0" applyNumberFormat="1" applyFont="1" applyFill="1" applyBorder="1"/>
    <xf numFmtId="0" fontId="1" fillId="3" borderId="1" xfId="0" applyFont="1" applyFill="1" applyBorder="1" applyAlignment="1">
      <alignment horizontal="left"/>
    </xf>
    <xf numFmtId="0" fontId="1" fillId="3" borderId="1" xfId="0" applyFont="1" applyFill="1" applyBorder="1" applyAlignment="1">
      <alignment horizontal="center"/>
    </xf>
    <xf numFmtId="0" fontId="1" fillId="3" borderId="31" xfId="0" applyFont="1" applyFill="1" applyBorder="1" applyAlignment="1">
      <alignment horizontal="center"/>
    </xf>
    <xf numFmtId="0" fontId="43" fillId="3" borderId="37" xfId="0" applyFont="1" applyFill="1" applyBorder="1" applyAlignment="1">
      <alignment horizontal="left"/>
    </xf>
    <xf numFmtId="0" fontId="43" fillId="3" borderId="2" xfId="0" applyFont="1" applyFill="1" applyBorder="1"/>
    <xf numFmtId="1" fontId="1" fillId="3" borderId="2" xfId="0" applyNumberFormat="1" applyFont="1" applyFill="1" applyBorder="1"/>
    <xf numFmtId="0" fontId="1" fillId="3" borderId="2" xfId="0" applyFont="1" applyFill="1" applyBorder="1" applyAlignment="1">
      <alignment horizontal="left"/>
    </xf>
    <xf numFmtId="0" fontId="1" fillId="3" borderId="2" xfId="0" applyFont="1" applyFill="1" applyBorder="1" applyAlignment="1">
      <alignment horizontal="center"/>
    </xf>
    <xf numFmtId="0" fontId="1" fillId="3" borderId="37" xfId="0" applyFont="1" applyFill="1" applyBorder="1" applyAlignment="1">
      <alignment horizontal="center"/>
    </xf>
    <xf numFmtId="0" fontId="43" fillId="29" borderId="31" xfId="0" applyFont="1" applyFill="1" applyBorder="1" applyAlignment="1">
      <alignment horizontal="left"/>
    </xf>
    <xf numFmtId="0" fontId="43" fillId="29" borderId="1" xfId="0" applyFont="1" applyFill="1" applyBorder="1"/>
    <xf numFmtId="1" fontId="1" fillId="29" borderId="1" xfId="0" applyNumberFormat="1" applyFont="1" applyFill="1" applyBorder="1"/>
    <xf numFmtId="0" fontId="1" fillId="29" borderId="1" xfId="0" applyFont="1" applyFill="1" applyBorder="1" applyAlignment="1">
      <alignment horizontal="left"/>
    </xf>
    <xf numFmtId="0" fontId="1" fillId="29" borderId="1" xfId="0" applyFont="1" applyFill="1" applyBorder="1" applyAlignment="1">
      <alignment horizontal="center"/>
    </xf>
    <xf numFmtId="0" fontId="1" fillId="29" borderId="31" xfId="0" applyFont="1" applyFill="1" applyBorder="1" applyAlignment="1">
      <alignment horizontal="center"/>
    </xf>
    <xf numFmtId="0" fontId="43" fillId="29" borderId="37" xfId="0" applyFont="1" applyFill="1" applyBorder="1" applyAlignment="1">
      <alignment horizontal="left"/>
    </xf>
    <xf numFmtId="0" fontId="43" fillId="29" borderId="2" xfId="0" applyFont="1" applyFill="1" applyBorder="1"/>
    <xf numFmtId="1" fontId="1" fillId="29" borderId="2" xfId="0" applyNumberFormat="1" applyFont="1" applyFill="1" applyBorder="1"/>
    <xf numFmtId="0" fontId="1" fillId="29" borderId="2" xfId="0" applyFont="1" applyFill="1" applyBorder="1" applyAlignment="1">
      <alignment horizontal="left"/>
    </xf>
    <xf numFmtId="0" fontId="1" fillId="29" borderId="2" xfId="0" applyFont="1" applyFill="1" applyBorder="1" applyAlignment="1">
      <alignment horizontal="center"/>
    </xf>
    <xf numFmtId="0" fontId="1" fillId="29" borderId="37" xfId="0" applyFont="1" applyFill="1" applyBorder="1" applyAlignment="1">
      <alignment horizontal="center"/>
    </xf>
    <xf numFmtId="0" fontId="43" fillId="23" borderId="31" xfId="0" applyFont="1" applyFill="1" applyBorder="1" applyAlignment="1">
      <alignment horizontal="left"/>
    </xf>
    <xf numFmtId="0" fontId="43" fillId="23" borderId="1" xfId="0" applyFont="1" applyFill="1" applyBorder="1"/>
    <xf numFmtId="1" fontId="1" fillId="23" borderId="1" xfId="0" applyNumberFormat="1" applyFont="1" applyFill="1" applyBorder="1"/>
    <xf numFmtId="0" fontId="1" fillId="23" borderId="1" xfId="0" applyFont="1" applyFill="1" applyBorder="1" applyAlignment="1">
      <alignment horizontal="left"/>
    </xf>
    <xf numFmtId="0" fontId="1" fillId="23" borderId="1" xfId="0" applyFont="1" applyFill="1" applyBorder="1" applyAlignment="1">
      <alignment horizontal="center"/>
    </xf>
    <xf numFmtId="0" fontId="1" fillId="23" borderId="31" xfId="0" applyFont="1" applyFill="1" applyBorder="1" applyAlignment="1">
      <alignment horizontal="center"/>
    </xf>
    <xf numFmtId="0" fontId="43" fillId="23" borderId="37" xfId="0" applyFont="1" applyFill="1" applyBorder="1" applyAlignment="1">
      <alignment horizontal="left"/>
    </xf>
    <xf numFmtId="0" fontId="43" fillId="23" borderId="2" xfId="0" applyFont="1" applyFill="1" applyBorder="1"/>
    <xf numFmtId="1" fontId="1" fillId="23" borderId="2" xfId="0" applyNumberFormat="1" applyFont="1" applyFill="1" applyBorder="1"/>
    <xf numFmtId="0" fontId="1" fillId="23" borderId="2" xfId="0" applyFont="1" applyFill="1" applyBorder="1" applyAlignment="1">
      <alignment horizontal="left"/>
    </xf>
    <xf numFmtId="0" fontId="1" fillId="23" borderId="2" xfId="0" applyFont="1" applyFill="1" applyBorder="1" applyAlignment="1">
      <alignment horizontal="center"/>
    </xf>
    <xf numFmtId="0" fontId="1" fillId="23" borderId="37" xfId="0" applyFont="1" applyFill="1" applyBorder="1" applyAlignment="1">
      <alignment horizontal="center"/>
    </xf>
    <xf numFmtId="0" fontId="2" fillId="0" borderId="0" xfId="0" applyFont="1"/>
    <xf numFmtId="0" fontId="1" fillId="0" borderId="0" xfId="0" applyFont="1" applyAlignment="1">
      <alignment horizontal="left"/>
    </xf>
    <xf numFmtId="0" fontId="44" fillId="0" borderId="0" xfId="0" applyFont="1"/>
    <xf numFmtId="0" fontId="1" fillId="0" borderId="0" xfId="0" applyFont="1" applyAlignment="1">
      <alignment horizontal="right"/>
    </xf>
    <xf numFmtId="0" fontId="35" fillId="2" borderId="125" xfId="0" applyFont="1" applyFill="1" applyBorder="1" applyAlignment="1">
      <alignment horizontal="right"/>
    </xf>
    <xf numFmtId="0" fontId="11" fillId="6" borderId="110" xfId="0" applyFont="1" applyFill="1" applyBorder="1"/>
    <xf numFmtId="0" fontId="1" fillId="26" borderId="1" xfId="0" applyFont="1" applyFill="1" applyBorder="1"/>
    <xf numFmtId="0" fontId="2" fillId="3" borderId="1" xfId="0" applyFont="1" applyFill="1" applyBorder="1" applyAlignment="1">
      <alignment horizontal="center"/>
    </xf>
    <xf numFmtId="0" fontId="1" fillId="0" borderId="126" xfId="0" applyFont="1" applyBorder="1"/>
    <xf numFmtId="0" fontId="1" fillId="0" borderId="126" xfId="0" applyFont="1" applyBorder="1" applyAlignment="1">
      <alignment horizontal="right"/>
    </xf>
    <xf numFmtId="0" fontId="1" fillId="0" borderId="126" xfId="0" applyFont="1" applyBorder="1" applyAlignment="1">
      <alignment horizontal="left"/>
    </xf>
    <xf numFmtId="0" fontId="2" fillId="3" borderId="4" xfId="0" applyFont="1" applyFill="1" applyBorder="1" applyAlignment="1">
      <alignment horizontal="center"/>
    </xf>
    <xf numFmtId="0" fontId="1" fillId="0" borderId="127" xfId="0" applyFont="1" applyBorder="1"/>
    <xf numFmtId="0" fontId="1" fillId="0" borderId="127" xfId="0" applyFont="1" applyBorder="1" applyAlignment="1">
      <alignment horizontal="right"/>
    </xf>
    <xf numFmtId="0" fontId="1" fillId="0" borderId="127" xfId="0" applyFont="1" applyBorder="1" applyAlignment="1">
      <alignment horizontal="left"/>
    </xf>
    <xf numFmtId="0" fontId="1" fillId="0" borderId="128" xfId="0" applyFont="1" applyBorder="1"/>
    <xf numFmtId="0" fontId="2" fillId="3" borderId="2" xfId="0" applyFont="1" applyFill="1" applyBorder="1" applyAlignment="1">
      <alignment horizontal="center"/>
    </xf>
    <xf numFmtId="0" fontId="21" fillId="0" borderId="126" xfId="0" applyFont="1" applyBorder="1"/>
    <xf numFmtId="0" fontId="21" fillId="0" borderId="126" xfId="0" applyFont="1" applyBorder="1" applyAlignment="1">
      <alignment horizontal="right"/>
    </xf>
    <xf numFmtId="0" fontId="21" fillId="0" borderId="126" xfId="0" applyFont="1" applyBorder="1" applyAlignment="1">
      <alignment horizontal="left"/>
    </xf>
    <xf numFmtId="0" fontId="21" fillId="0" borderId="127" xfId="0" applyFont="1" applyBorder="1"/>
    <xf numFmtId="0" fontId="21" fillId="0" borderId="127" xfId="0" applyFont="1" applyBorder="1" applyAlignment="1">
      <alignment horizontal="right"/>
    </xf>
    <xf numFmtId="0" fontId="21" fillId="0" borderId="127" xfId="0" applyFont="1" applyBorder="1" applyAlignment="1">
      <alignment horizontal="left"/>
    </xf>
    <xf numFmtId="0" fontId="2" fillId="0" borderId="128" xfId="0" applyFont="1" applyBorder="1"/>
    <xf numFmtId="0" fontId="1" fillId="4" borderId="4" xfId="0" applyFont="1" applyFill="1" applyBorder="1"/>
    <xf numFmtId="0" fontId="1" fillId="4" borderId="4" xfId="0" applyFont="1" applyFill="1" applyBorder="1" applyAlignment="1">
      <alignment horizontal="right"/>
    </xf>
    <xf numFmtId="0" fontId="1" fillId="4" borderId="4" xfId="0" applyFont="1" applyFill="1" applyBorder="1" applyAlignment="1">
      <alignment horizontal="left"/>
    </xf>
    <xf numFmtId="0" fontId="45" fillId="3" borderId="4" xfId="0" applyFont="1" applyFill="1" applyBorder="1" applyAlignment="1">
      <alignment horizontal="center"/>
    </xf>
    <xf numFmtId="0" fontId="1" fillId="4" borderId="1" xfId="0" applyFont="1" applyFill="1" applyBorder="1"/>
    <xf numFmtId="0" fontId="1" fillId="4" borderId="1" xfId="0" applyFont="1" applyFill="1" applyBorder="1" applyAlignment="1">
      <alignment horizontal="right"/>
    </xf>
    <xf numFmtId="0" fontId="1" fillId="4" borderId="1" xfId="0" applyFont="1" applyFill="1" applyBorder="1" applyAlignment="1">
      <alignment horizontal="left"/>
    </xf>
    <xf numFmtId="0" fontId="45" fillId="3" borderId="1" xfId="0" applyFont="1" applyFill="1" applyBorder="1" applyAlignment="1">
      <alignment horizontal="center"/>
    </xf>
    <xf numFmtId="0" fontId="1" fillId="4" borderId="2" xfId="0" applyFont="1" applyFill="1" applyBorder="1"/>
    <xf numFmtId="0" fontId="1" fillId="4" borderId="2" xfId="0" applyFont="1" applyFill="1" applyBorder="1" applyAlignment="1">
      <alignment horizontal="right"/>
    </xf>
    <xf numFmtId="0" fontId="1" fillId="4" borderId="2" xfId="0" applyFont="1" applyFill="1" applyBorder="1" applyAlignment="1">
      <alignment horizontal="left"/>
    </xf>
    <xf numFmtId="0" fontId="45" fillId="3" borderId="2" xfId="0" applyFont="1" applyFill="1" applyBorder="1" applyAlignment="1">
      <alignment horizontal="center"/>
    </xf>
    <xf numFmtId="0" fontId="1" fillId="25" borderId="4" xfId="0" applyFont="1" applyFill="1" applyBorder="1"/>
    <xf numFmtId="0" fontId="1" fillId="25" borderId="4" xfId="0" applyFont="1" applyFill="1" applyBorder="1" applyAlignment="1">
      <alignment horizontal="right"/>
    </xf>
    <xf numFmtId="0" fontId="1" fillId="25" borderId="4" xfId="0" applyFont="1" applyFill="1" applyBorder="1" applyAlignment="1">
      <alignment horizontal="left"/>
    </xf>
    <xf numFmtId="0" fontId="1" fillId="25" borderId="1" xfId="0" applyFont="1" applyFill="1" applyBorder="1"/>
    <xf numFmtId="0" fontId="1" fillId="25" borderId="1" xfId="0" applyFont="1" applyFill="1" applyBorder="1" applyAlignment="1">
      <alignment horizontal="right"/>
    </xf>
    <xf numFmtId="0" fontId="1" fillId="25" borderId="1" xfId="0" applyFont="1" applyFill="1" applyBorder="1" applyAlignment="1">
      <alignment horizontal="left"/>
    </xf>
    <xf numFmtId="0" fontId="1" fillId="25" borderId="2" xfId="0" applyFont="1" applyFill="1" applyBorder="1"/>
    <xf numFmtId="0" fontId="1" fillId="25" borderId="2" xfId="0" applyFont="1" applyFill="1" applyBorder="1" applyAlignment="1">
      <alignment horizontal="right"/>
    </xf>
    <xf numFmtId="0" fontId="1" fillId="25" borderId="2" xfId="0" applyFont="1" applyFill="1" applyBorder="1" applyAlignment="1">
      <alignment horizontal="left"/>
    </xf>
    <xf numFmtId="0" fontId="1" fillId="28" borderId="1" xfId="0" applyFont="1" applyFill="1" applyBorder="1"/>
    <xf numFmtId="0" fontId="1" fillId="29" borderId="1" xfId="0" applyFont="1" applyFill="1" applyBorder="1"/>
    <xf numFmtId="0" fontId="1" fillId="30" borderId="1" xfId="0" applyFont="1" applyFill="1" applyBorder="1"/>
    <xf numFmtId="0" fontId="1" fillId="30" borderId="1" xfId="0" applyFont="1" applyFill="1" applyBorder="1" applyAlignment="1">
      <alignment horizontal="right"/>
    </xf>
    <xf numFmtId="0" fontId="1" fillId="30" borderId="1" xfId="0" applyFont="1" applyFill="1" applyBorder="1" applyAlignment="1">
      <alignment horizontal="left"/>
    </xf>
    <xf numFmtId="0" fontId="1" fillId="24" borderId="2" xfId="0" applyFont="1" applyFill="1" applyBorder="1"/>
    <xf numFmtId="0" fontId="1" fillId="24" borderId="2" xfId="0" applyFont="1" applyFill="1" applyBorder="1" applyAlignment="1">
      <alignment horizontal="right"/>
    </xf>
    <xf numFmtId="0" fontId="1" fillId="24" borderId="2" xfId="0" applyFont="1" applyFill="1" applyBorder="1" applyAlignment="1">
      <alignment horizontal="left"/>
    </xf>
    <xf numFmtId="0" fontId="46" fillId="0" borderId="0" xfId="0" applyFont="1"/>
    <xf numFmtId="0" fontId="46" fillId="0" borderId="0" xfId="0" applyFont="1" applyAlignment="1">
      <alignment horizontal="center"/>
    </xf>
    <xf numFmtId="0" fontId="47" fillId="0" borderId="0" xfId="0" applyFont="1"/>
    <xf numFmtId="0" fontId="48" fillId="0" borderId="0" xfId="0" applyFont="1" applyAlignment="1">
      <alignment horizontal="center"/>
    </xf>
    <xf numFmtId="0" fontId="49" fillId="0" borderId="0" xfId="0" applyFont="1" applyAlignment="1">
      <alignment horizontal="center"/>
    </xf>
    <xf numFmtId="0" fontId="50" fillId="0" borderId="0" xfId="0" applyFont="1" applyAlignment="1">
      <alignment horizontal="center"/>
    </xf>
    <xf numFmtId="0" fontId="1" fillId="0" borderId="0" xfId="0" applyFont="1" applyAlignment="1">
      <alignment horizontal="center"/>
    </xf>
    <xf numFmtId="0" fontId="3" fillId="0" borderId="127" xfId="0" applyFont="1" applyBorder="1"/>
    <xf numFmtId="0" fontId="3" fillId="0" borderId="129" xfId="0" applyFont="1" applyBorder="1" applyAlignment="1">
      <alignment horizontal="center"/>
    </xf>
    <xf numFmtId="0" fontId="3" fillId="0" borderId="127" xfId="0" applyFont="1" applyBorder="1" applyAlignment="1">
      <alignment horizontal="center"/>
    </xf>
    <xf numFmtId="0" fontId="51" fillId="0" borderId="0" xfId="0" applyFont="1" applyAlignment="1">
      <alignment horizontal="center"/>
    </xf>
    <xf numFmtId="0" fontId="1" fillId="21" borderId="15" xfId="0" applyFont="1" applyFill="1" applyBorder="1" applyAlignment="1">
      <alignment horizontal="center"/>
    </xf>
    <xf numFmtId="0" fontId="1" fillId="21" borderId="16" xfId="0" applyFont="1" applyFill="1" applyBorder="1" applyAlignment="1">
      <alignment horizontal="center"/>
    </xf>
    <xf numFmtId="0" fontId="3" fillId="21" borderId="17" xfId="0" applyFont="1" applyFill="1" applyBorder="1" applyAlignment="1">
      <alignment horizontal="center"/>
    </xf>
    <xf numFmtId="0" fontId="52" fillId="21" borderId="1" xfId="0" applyFont="1" applyFill="1" applyBorder="1" applyAlignment="1">
      <alignment horizontal="center"/>
    </xf>
    <xf numFmtId="0" fontId="1" fillId="0" borderId="128" xfId="0" applyFont="1" applyBorder="1" applyAlignment="1">
      <alignment horizontal="center"/>
    </xf>
    <xf numFmtId="0" fontId="53" fillId="0" borderId="0" xfId="0" applyFont="1" applyAlignment="1">
      <alignment horizontal="center"/>
    </xf>
    <xf numFmtId="0" fontId="54" fillId="0" borderId="0" xfId="0" applyFont="1" applyAlignment="1">
      <alignment horizontal="center"/>
    </xf>
    <xf numFmtId="0" fontId="55" fillId="0" borderId="0" xfId="0" applyFont="1" applyAlignment="1">
      <alignment horizontal="center"/>
    </xf>
    <xf numFmtId="0" fontId="1" fillId="0" borderId="0" xfId="0" applyFont="1"/>
    <xf numFmtId="3" fontId="1" fillId="0" borderId="0" xfId="0" applyNumberFormat="1" applyFont="1" applyAlignment="1">
      <alignment horizontal="center"/>
    </xf>
    <xf numFmtId="0" fontId="2" fillId="0" borderId="0" xfId="0" applyFont="1" applyAlignment="1">
      <alignment horizontal="center"/>
    </xf>
    <xf numFmtId="3" fontId="1" fillId="0" borderId="0" xfId="0" applyNumberFormat="1" applyFont="1"/>
    <xf numFmtId="0" fontId="3" fillId="0" borderId="0" xfId="0" applyFont="1" applyAlignment="1">
      <alignment horizontal="center"/>
    </xf>
    <xf numFmtId="1" fontId="1" fillId="0" borderId="0" xfId="0" applyNumberFormat="1" applyFont="1"/>
    <xf numFmtId="166" fontId="1" fillId="0" borderId="0" xfId="0" applyNumberFormat="1" applyFont="1" applyAlignment="1">
      <alignment horizontal="right"/>
    </xf>
    <xf numFmtId="167" fontId="1" fillId="0" borderId="0" xfId="0" applyNumberFormat="1" applyFont="1" applyAlignment="1">
      <alignment horizontal="center"/>
    </xf>
    <xf numFmtId="1" fontId="1" fillId="0" borderId="0" xfId="0" applyNumberFormat="1" applyFont="1" applyAlignment="1">
      <alignment horizontal="center"/>
    </xf>
    <xf numFmtId="0" fontId="56" fillId="0" borderId="0" xfId="0" applyFont="1"/>
    <xf numFmtId="0" fontId="1" fillId="0" borderId="127" xfId="0" applyFont="1" applyBorder="1" applyAlignment="1">
      <alignment horizontal="center"/>
    </xf>
    <xf numFmtId="3" fontId="1" fillId="0" borderId="127" xfId="0" applyNumberFormat="1" applyFont="1" applyBorder="1" applyAlignment="1">
      <alignment horizontal="center"/>
    </xf>
    <xf numFmtId="1" fontId="1" fillId="0" borderId="127" xfId="0" applyNumberFormat="1" applyFont="1" applyBorder="1" applyAlignment="1">
      <alignment horizontal="center"/>
    </xf>
    <xf numFmtId="3" fontId="1" fillId="0" borderId="127" xfId="0" applyNumberFormat="1" applyFont="1" applyBorder="1"/>
    <xf numFmtId="168" fontId="1" fillId="0" borderId="0" xfId="0" applyNumberFormat="1" applyFont="1" applyAlignment="1">
      <alignment horizontal="center"/>
    </xf>
    <xf numFmtId="0" fontId="1" fillId="23" borderId="1" xfId="0" applyFont="1" applyFill="1" applyBorder="1"/>
    <xf numFmtId="0" fontId="1" fillId="0" borderId="0" xfId="0" applyFont="1" applyAlignment="1">
      <alignment horizontal="center" vertical="center"/>
    </xf>
    <xf numFmtId="0" fontId="1" fillId="0" borderId="0" xfId="0" applyFont="1" applyAlignment="1">
      <alignment horizontal="left" vertical="center" wrapText="1"/>
    </xf>
    <xf numFmtId="4" fontId="1" fillId="0" borderId="0" xfId="0" applyNumberFormat="1" applyFont="1"/>
    <xf numFmtId="0" fontId="0" fillId="0" borderId="0" xfId="0" applyFont="1" applyAlignment="1"/>
    <xf numFmtId="0" fontId="3" fillId="2" borderId="3" xfId="0" applyFont="1" applyFill="1" applyBorder="1" applyAlignment="1">
      <alignment horizontal="left" vertical="center" wrapText="1"/>
    </xf>
    <xf numFmtId="0" fontId="7" fillId="0" borderId="5" xfId="0" applyFont="1" applyBorder="1"/>
    <xf numFmtId="0" fontId="7" fillId="0" borderId="6" xfId="0" applyFont="1" applyBorder="1"/>
    <xf numFmtId="0" fontId="2" fillId="2" borderId="3" xfId="0" applyFont="1" applyFill="1" applyBorder="1" applyAlignment="1">
      <alignment horizontal="right" vertical="center" wrapText="1"/>
    </xf>
    <xf numFmtId="0" fontId="2" fillId="2" borderId="3" xfId="0" applyFont="1" applyFill="1" applyBorder="1" applyAlignment="1">
      <alignment horizontal="right" vertical="center"/>
    </xf>
    <xf numFmtId="0" fontId="13" fillId="20" borderId="13" xfId="0" applyFont="1" applyFill="1" applyBorder="1" applyAlignment="1">
      <alignment horizontal="center"/>
    </xf>
    <xf numFmtId="0" fontId="7" fillId="0" borderId="14" xfId="0" applyFont="1" applyBorder="1"/>
    <xf numFmtId="0" fontId="13" fillId="22" borderId="13" xfId="0" applyFont="1" applyFill="1" applyBorder="1" applyAlignment="1">
      <alignment horizontal="center"/>
    </xf>
    <xf numFmtId="0" fontId="13" fillId="23" borderId="13" xfId="0" applyFont="1" applyFill="1" applyBorder="1" applyAlignment="1">
      <alignment horizontal="center"/>
    </xf>
    <xf numFmtId="0" fontId="13" fillId="12" borderId="13" xfId="0" applyFont="1" applyFill="1" applyBorder="1" applyAlignment="1">
      <alignment horizontal="center"/>
    </xf>
    <xf numFmtId="0" fontId="13" fillId="24" borderId="13" xfId="0" applyFont="1" applyFill="1" applyBorder="1" applyAlignment="1">
      <alignment horizontal="center"/>
    </xf>
    <xf numFmtId="0" fontId="13" fillId="17" borderId="13" xfId="0" applyFont="1" applyFill="1" applyBorder="1" applyAlignment="1">
      <alignment horizontal="center"/>
    </xf>
    <xf numFmtId="0" fontId="13" fillId="19" borderId="13" xfId="0" applyFont="1" applyFill="1" applyBorder="1" applyAlignment="1">
      <alignment horizontal="center"/>
    </xf>
    <xf numFmtId="0" fontId="13" fillId="4" borderId="13" xfId="0" applyFont="1" applyFill="1" applyBorder="1" applyAlignment="1">
      <alignment horizontal="center"/>
    </xf>
    <xf numFmtId="0" fontId="13" fillId="9" borderId="13" xfId="0" applyFont="1" applyFill="1" applyBorder="1" applyAlignment="1">
      <alignment horizontal="center"/>
    </xf>
    <xf numFmtId="0" fontId="13" fillId="11" borderId="13" xfId="0" applyFont="1" applyFill="1" applyBorder="1" applyAlignment="1">
      <alignment horizontal="center"/>
    </xf>
    <xf numFmtId="0" fontId="13" fillId="13" borderId="13" xfId="0" applyFont="1" applyFill="1" applyBorder="1" applyAlignment="1">
      <alignment horizontal="center"/>
    </xf>
    <xf numFmtId="0" fontId="13" fillId="15" borderId="13" xfId="0" applyFont="1" applyFill="1" applyBorder="1" applyAlignment="1">
      <alignment horizontal="center"/>
    </xf>
    <xf numFmtId="0" fontId="31" fillId="2" borderId="85" xfId="0" applyFont="1" applyFill="1" applyBorder="1" applyAlignment="1">
      <alignment horizontal="right" vertical="center"/>
    </xf>
    <xf numFmtId="0" fontId="7" fillId="0" borderId="90" xfId="0" applyFont="1" applyBorder="1"/>
    <xf numFmtId="0" fontId="7" fillId="0" borderId="95" xfId="0" applyFont="1" applyBorder="1"/>
    <xf numFmtId="0" fontId="32" fillId="6" borderId="86" xfId="0" applyFont="1" applyFill="1" applyBorder="1" applyAlignment="1">
      <alignment horizontal="center" vertical="center"/>
    </xf>
    <xf numFmtId="0" fontId="7" fillId="0" borderId="96" xfId="0" applyFont="1" applyBorder="1"/>
    <xf numFmtId="0" fontId="32" fillId="6" borderId="87" xfId="0" applyFont="1" applyFill="1" applyBorder="1" applyAlignment="1">
      <alignment horizontal="center" vertical="center"/>
    </xf>
    <xf numFmtId="0" fontId="7" fillId="0" borderId="91" xfId="0" applyFont="1" applyBorder="1"/>
    <xf numFmtId="0" fontId="7" fillId="0" borderId="97" xfId="0" applyFont="1" applyBorder="1"/>
    <xf numFmtId="0" fontId="31" fillId="2" borderId="88" xfId="0" applyFont="1" applyFill="1" applyBorder="1" applyAlignment="1">
      <alignment horizontal="left" vertical="center"/>
    </xf>
    <xf numFmtId="0" fontId="7" fillId="0" borderId="92" xfId="0" applyFont="1" applyBorder="1"/>
    <xf numFmtId="0" fontId="7" fillId="0" borderId="98" xfId="0" applyFont="1" applyBorder="1"/>
    <xf numFmtId="0" fontId="37" fillId="2" borderId="111" xfId="0" applyFont="1" applyFill="1" applyBorder="1" applyAlignment="1">
      <alignment vertical="center" wrapText="1"/>
    </xf>
    <xf numFmtId="0" fontId="7" fillId="0" borderId="112" xfId="0" applyFont="1" applyBorder="1"/>
    <xf numFmtId="0" fontId="7" fillId="0" borderId="113" xfId="0" applyFont="1" applyBorder="1"/>
    <xf numFmtId="0" fontId="7" fillId="0" borderId="114" xfId="0" applyFont="1" applyBorder="1"/>
    <xf numFmtId="0" fontId="0" fillId="0" borderId="0" xfId="0" applyFont="1" applyAlignment="1"/>
    <xf numFmtId="0" fontId="7" fillId="0" borderId="115" xfId="0" applyFont="1" applyBorder="1"/>
    <xf numFmtId="0" fontId="7" fillId="0" borderId="116" xfId="0" applyFont="1" applyBorder="1"/>
    <xf numFmtId="0" fontId="7" fillId="0" borderId="117" xfId="0" applyFont="1" applyBorder="1"/>
    <xf numFmtId="0" fontId="7" fillId="0" borderId="118" xfId="0" applyFont="1" applyBorder="1"/>
    <xf numFmtId="0" fontId="0" fillId="31" borderId="130" xfId="0" applyFill="1" applyBorder="1" applyAlignment="1">
      <alignment horizontal="right"/>
    </xf>
    <xf numFmtId="0" fontId="0" fillId="31" borderId="0" xfId="0" applyFill="1"/>
    <xf numFmtId="0" fontId="0" fillId="31" borderId="0" xfId="0" applyFill="1" applyAlignment="1">
      <alignment horizontal="left"/>
    </xf>
    <xf numFmtId="0" fontId="0" fillId="31" borderId="0" xfId="0" applyFill="1" applyAlignment="1">
      <alignment horizontal="right"/>
    </xf>
    <xf numFmtId="0" fontId="0" fillId="32" borderId="0" xfId="0" applyFill="1" applyAlignment="1">
      <alignment horizontal="right"/>
    </xf>
    <xf numFmtId="0" fontId="0" fillId="32" borderId="0" xfId="0" applyFill="1"/>
    <xf numFmtId="0" fontId="0" fillId="32" borderId="0" xfId="0" applyFill="1" applyAlignment="1">
      <alignment horizontal="left"/>
    </xf>
  </cellXfs>
  <cellStyles count="1">
    <cellStyle name="Normal" xfId="0" builtinId="0"/>
  </cellStyles>
  <dxfs count="164">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dxf>
    <dxf>
      <font>
        <color rgb="FF9C5700"/>
      </font>
      <fill>
        <patternFill patternType="solid">
          <fgColor rgb="FFFFEB9C"/>
          <bgColor rgb="FFFFEB9C"/>
        </patternFill>
      </fill>
    </dxf>
    <dxf>
      <font>
        <color rgb="FFFF0000"/>
      </font>
      <fill>
        <patternFill patternType="none"/>
      </fill>
    </dxf>
    <dxf>
      <font>
        <b/>
        <color rgb="FF00B050"/>
      </font>
      <fill>
        <patternFill patternType="none"/>
      </fill>
    </dxf>
    <dxf>
      <font>
        <color rgb="FFD8D8D8"/>
      </font>
      <fill>
        <patternFill patternType="solid">
          <fgColor rgb="FFF2F2F2"/>
          <bgColor rgb="FFF2F2F2"/>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98</xdr:col>
      <xdr:colOff>285750</xdr:colOff>
      <xdr:row>15</xdr:row>
      <xdr:rowOff>28575</xdr:rowOff>
    </xdr:from>
    <xdr:ext cx="876300" cy="381000"/>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07850" y="3589500"/>
          <a:ext cx="876300" cy="381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CLEAR</a:t>
          </a:r>
          <a:endParaRPr sz="1400"/>
        </a:p>
      </xdr:txBody>
    </xdr:sp>
    <xdr:clientData fLocksWithSheet="0"/>
  </xdr:oneCellAnchor>
  <xdr:oneCellAnchor>
    <xdr:from>
      <xdr:col>100</xdr:col>
      <xdr:colOff>0</xdr:colOff>
      <xdr:row>15</xdr:row>
      <xdr:rowOff>19050</xdr:rowOff>
    </xdr:from>
    <xdr:ext cx="857250" cy="4000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4922138" y="3584738"/>
          <a:ext cx="847725" cy="3905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RAND</a:t>
          </a:r>
          <a:endParaRPr sz="1400"/>
        </a:p>
      </xdr:txBody>
    </xdr:sp>
    <xdr:clientData fLocksWithSheet="0"/>
  </xdr:oneCellAnchor>
  <xdr:oneCellAnchor>
    <xdr:from>
      <xdr:col>100</xdr:col>
      <xdr:colOff>933450</xdr:colOff>
      <xdr:row>15</xdr:row>
      <xdr:rowOff>38100</xdr:rowOff>
    </xdr:from>
    <xdr:ext cx="885825" cy="381000"/>
    <xdr:sp macro="" textlink="">
      <xdr:nvSpPr>
        <xdr:cNvPr id="5" name="Shape 5">
          <a:extLst>
            <a:ext uri="{FF2B5EF4-FFF2-40B4-BE49-F238E27FC236}">
              <a16:creationId xmlns:a16="http://schemas.microsoft.com/office/drawing/2014/main" id="{00000000-0008-0000-0100-000005000000}"/>
            </a:ext>
          </a:extLst>
        </xdr:cNvPr>
        <xdr:cNvSpPr txBox="1"/>
      </xdr:nvSpPr>
      <xdr:spPr>
        <a:xfrm>
          <a:off x="4907850" y="3589500"/>
          <a:ext cx="876300" cy="381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Values</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209550</xdr:colOff>
      <xdr:row>0</xdr:row>
      <xdr:rowOff>9525</xdr:rowOff>
    </xdr:from>
    <xdr:ext cx="3305175" cy="381000"/>
    <xdr:sp macro="" textlink="">
      <xdr:nvSpPr>
        <xdr:cNvPr id="6" name="Shape 6">
          <a:extLst>
            <a:ext uri="{FF2B5EF4-FFF2-40B4-BE49-F238E27FC236}">
              <a16:creationId xmlns:a16="http://schemas.microsoft.com/office/drawing/2014/main" id="{00000000-0008-0000-0200-000006000000}"/>
            </a:ext>
          </a:extLst>
        </xdr:cNvPr>
        <xdr:cNvSpPr txBox="1"/>
      </xdr:nvSpPr>
      <xdr:spPr>
        <a:xfrm>
          <a:off x="3698175" y="3589500"/>
          <a:ext cx="3295650" cy="381000"/>
        </a:xfrm>
        <a:prstGeom prst="rect">
          <a:avLst/>
        </a:prstGeom>
        <a:solidFill>
          <a:srgbClr val="E0FF7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ROUND OF 32 (16vos de Final)</a:t>
          </a:r>
          <a:endParaRPr sz="1400" b="1"/>
        </a:p>
      </xdr:txBody>
    </xdr:sp>
    <xdr:clientData fLocksWithSheet="0"/>
  </xdr:oneCellAnchor>
  <xdr:oneCellAnchor>
    <xdr:from>
      <xdr:col>18</xdr:col>
      <xdr:colOff>9525</xdr:colOff>
      <xdr:row>0</xdr:row>
      <xdr:rowOff>19050</xdr:rowOff>
    </xdr:from>
    <xdr:ext cx="3286125" cy="381000"/>
    <xdr:sp macro="" textlink="">
      <xdr:nvSpPr>
        <xdr:cNvPr id="7" name="Shape 7">
          <a:extLst>
            <a:ext uri="{FF2B5EF4-FFF2-40B4-BE49-F238E27FC236}">
              <a16:creationId xmlns:a16="http://schemas.microsoft.com/office/drawing/2014/main" id="{00000000-0008-0000-0200-000007000000}"/>
            </a:ext>
          </a:extLst>
        </xdr:cNvPr>
        <xdr:cNvSpPr txBox="1"/>
      </xdr:nvSpPr>
      <xdr:spPr>
        <a:xfrm>
          <a:off x="3702938" y="3589500"/>
          <a:ext cx="3286125" cy="381000"/>
        </a:xfrm>
        <a:prstGeom prst="rect">
          <a:avLst/>
        </a:prstGeom>
        <a:solidFill>
          <a:srgbClr val="D8D8D8"/>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ROUND OF 16 (8vos de Final)</a:t>
          </a:r>
          <a:endParaRPr sz="1400" b="1"/>
        </a:p>
      </xdr:txBody>
    </xdr:sp>
    <xdr:clientData fLocksWithSheet="0"/>
  </xdr:oneCellAnchor>
  <xdr:oneCellAnchor>
    <xdr:from>
      <xdr:col>15</xdr:col>
      <xdr:colOff>295275</xdr:colOff>
      <xdr:row>31</xdr:row>
      <xdr:rowOff>38100</xdr:rowOff>
    </xdr:from>
    <xdr:ext cx="762000" cy="361950"/>
    <xdr:sp macro="" textlink="">
      <xdr:nvSpPr>
        <xdr:cNvPr id="8" name="Shape 8">
          <a:extLst>
            <a:ext uri="{FF2B5EF4-FFF2-40B4-BE49-F238E27FC236}">
              <a16:creationId xmlns:a16="http://schemas.microsoft.com/office/drawing/2014/main" id="{00000000-0008-0000-0200-000008000000}"/>
            </a:ext>
          </a:extLst>
        </xdr:cNvPr>
        <xdr:cNvSpPr txBox="1"/>
      </xdr:nvSpPr>
      <xdr:spPr>
        <a:xfrm>
          <a:off x="4965000" y="3599025"/>
          <a:ext cx="762000" cy="361950"/>
        </a:xfrm>
        <a:prstGeom prst="rect">
          <a:avLst/>
        </a:prstGeom>
        <a:solidFill>
          <a:srgbClr val="D8D8D8"/>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CLEAR</a:t>
          </a:r>
          <a:endParaRPr sz="1400"/>
        </a:p>
      </xdr:txBody>
    </xdr:sp>
    <xdr:clientData fLocksWithSheet="0"/>
  </xdr:oneCellAnchor>
  <xdr:oneCellAnchor>
    <xdr:from>
      <xdr:col>14</xdr:col>
      <xdr:colOff>19050</xdr:colOff>
      <xdr:row>16</xdr:row>
      <xdr:rowOff>38100</xdr:rowOff>
    </xdr:from>
    <xdr:ext cx="7239000" cy="38100"/>
    <xdr:grpSp>
      <xdr:nvGrpSpPr>
        <xdr:cNvPr id="2" name="Shape 2">
          <a:extLst>
            <a:ext uri="{FF2B5EF4-FFF2-40B4-BE49-F238E27FC236}">
              <a16:creationId xmlns:a16="http://schemas.microsoft.com/office/drawing/2014/main" id="{00000000-0008-0000-0200-000002000000}"/>
            </a:ext>
          </a:extLst>
        </xdr:cNvPr>
        <xdr:cNvGrpSpPr/>
      </xdr:nvGrpSpPr>
      <xdr:grpSpPr>
        <a:xfrm>
          <a:off x="8263890" y="2838450"/>
          <a:ext cx="7239000" cy="38100"/>
          <a:chOff x="1726500" y="3780000"/>
          <a:chExt cx="7239000" cy="0"/>
        </a:xfrm>
      </xdr:grpSpPr>
      <xdr:cxnSp macro="">
        <xdr:nvCxnSpPr>
          <xdr:cNvPr id="9" name="Shape 9">
            <a:extLst>
              <a:ext uri="{FF2B5EF4-FFF2-40B4-BE49-F238E27FC236}">
                <a16:creationId xmlns:a16="http://schemas.microsoft.com/office/drawing/2014/main" id="{00000000-0008-0000-0200-000009000000}"/>
              </a:ext>
            </a:extLst>
          </xdr:cNvPr>
          <xdr:cNvCxnSpPr/>
        </xdr:nvCxnSpPr>
        <xdr:spPr>
          <a:xfrm>
            <a:off x="1726500" y="3780000"/>
            <a:ext cx="7239000" cy="0"/>
          </a:xfrm>
          <a:prstGeom prst="straightConnector1">
            <a:avLst/>
          </a:prstGeom>
          <a:noFill/>
          <a:ln w="9525" cap="flat" cmpd="sng">
            <a:solidFill>
              <a:srgbClr val="7F7F7F"/>
            </a:solidFill>
            <a:prstDash val="lgDash"/>
            <a:miter lim="8000"/>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209550</xdr:colOff>
      <xdr:row>0</xdr:row>
      <xdr:rowOff>9525</xdr:rowOff>
    </xdr:from>
    <xdr:ext cx="3209925" cy="38100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3745800" y="3589500"/>
          <a:ext cx="3200400" cy="381000"/>
        </a:xfrm>
        <a:prstGeom prst="rect">
          <a:avLst/>
        </a:prstGeom>
        <a:solidFill>
          <a:srgbClr val="E0FF7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Quater finals</a:t>
          </a:r>
          <a:endParaRPr sz="1400" b="1"/>
        </a:p>
      </xdr:txBody>
    </xdr:sp>
    <xdr:clientData fLocksWithSheet="0"/>
  </xdr:oneCellAnchor>
  <xdr:oneCellAnchor>
    <xdr:from>
      <xdr:col>15</xdr:col>
      <xdr:colOff>352425</xdr:colOff>
      <xdr:row>0</xdr:row>
      <xdr:rowOff>142875</xdr:rowOff>
    </xdr:from>
    <xdr:ext cx="3514725" cy="361950"/>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3593400" y="3603788"/>
          <a:ext cx="3505200" cy="352425"/>
        </a:xfrm>
        <a:prstGeom prst="rect">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dk1"/>
              </a:solidFill>
              <a:latin typeface="Arial"/>
              <a:ea typeface="Arial"/>
              <a:cs typeface="Arial"/>
              <a:sym typeface="Arial"/>
            </a:rPr>
            <a:t>FINAL!!</a:t>
          </a:r>
          <a:endParaRPr sz="1400"/>
        </a:p>
      </xdr:txBody>
    </xdr:sp>
    <xdr:clientData fLocksWithSheet="0"/>
  </xdr:oneCellAnchor>
  <xdr:oneCellAnchor>
    <xdr:from>
      <xdr:col>3</xdr:col>
      <xdr:colOff>171450</xdr:colOff>
      <xdr:row>14</xdr:row>
      <xdr:rowOff>9525</xdr:rowOff>
    </xdr:from>
    <xdr:ext cx="3209925" cy="400050"/>
    <xdr:sp macro="" textlink="">
      <xdr:nvSpPr>
        <xdr:cNvPr id="12" name="Shape 12">
          <a:extLst>
            <a:ext uri="{FF2B5EF4-FFF2-40B4-BE49-F238E27FC236}">
              <a16:creationId xmlns:a16="http://schemas.microsoft.com/office/drawing/2014/main" id="{00000000-0008-0000-0300-00000C000000}"/>
            </a:ext>
          </a:extLst>
        </xdr:cNvPr>
        <xdr:cNvSpPr txBox="1"/>
      </xdr:nvSpPr>
      <xdr:spPr>
        <a:xfrm>
          <a:off x="3745800" y="3584738"/>
          <a:ext cx="3200400" cy="390525"/>
        </a:xfrm>
        <a:prstGeom prst="rect">
          <a:avLst/>
        </a:prstGeom>
        <a:solidFill>
          <a:srgbClr val="D8D8D8"/>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Semifinals</a:t>
          </a:r>
          <a:endParaRPr sz="1400"/>
        </a:p>
      </xdr:txBody>
    </xdr:sp>
    <xdr:clientData fLocksWithSheet="0"/>
  </xdr:oneCellAnchor>
  <xdr:oneCellAnchor>
    <xdr:from>
      <xdr:col>15</xdr:col>
      <xdr:colOff>381000</xdr:colOff>
      <xdr:row>9</xdr:row>
      <xdr:rowOff>104775</xdr:rowOff>
    </xdr:from>
    <xdr:ext cx="3514725" cy="209550"/>
    <xdr:sp macro="" textlink="">
      <xdr:nvSpPr>
        <xdr:cNvPr id="13" name="Shape 13">
          <a:extLst>
            <a:ext uri="{FF2B5EF4-FFF2-40B4-BE49-F238E27FC236}">
              <a16:creationId xmlns:a16="http://schemas.microsoft.com/office/drawing/2014/main" id="{00000000-0008-0000-0300-00000D000000}"/>
            </a:ext>
          </a:extLst>
        </xdr:cNvPr>
        <xdr:cNvSpPr txBox="1"/>
      </xdr:nvSpPr>
      <xdr:spPr>
        <a:xfrm>
          <a:off x="3593400" y="3679988"/>
          <a:ext cx="3505200" cy="200025"/>
        </a:xfrm>
        <a:prstGeom prst="rect">
          <a:avLst/>
        </a:prstGeom>
        <a:solidFill>
          <a:srgbClr val="F4FED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3rd place</a:t>
          </a:r>
          <a:endParaRPr sz="1400"/>
        </a:p>
      </xdr:txBody>
    </xdr:sp>
    <xdr:clientData fLocksWithSheet="0"/>
  </xdr:oneCellAnchor>
  <xdr:oneCellAnchor>
    <xdr:from>
      <xdr:col>5</xdr:col>
      <xdr:colOff>28575</xdr:colOff>
      <xdr:row>2</xdr:row>
      <xdr:rowOff>76200</xdr:rowOff>
    </xdr:from>
    <xdr:ext cx="38100" cy="1552575"/>
    <xdr:grpSp>
      <xdr:nvGrpSpPr>
        <xdr:cNvPr id="2" name="Shape 2">
          <a:extLst>
            <a:ext uri="{FF2B5EF4-FFF2-40B4-BE49-F238E27FC236}">
              <a16:creationId xmlns:a16="http://schemas.microsoft.com/office/drawing/2014/main" id="{00000000-0008-0000-0300-000002000000}"/>
            </a:ext>
          </a:extLst>
        </xdr:cNvPr>
        <xdr:cNvGrpSpPr/>
      </xdr:nvGrpSpPr>
      <xdr:grpSpPr>
        <a:xfrm>
          <a:off x="3417570" y="457200"/>
          <a:ext cx="38100" cy="1552575"/>
          <a:chOff x="5346000" y="3003713"/>
          <a:chExt cx="0" cy="1552575"/>
        </a:xfrm>
      </xdr:grpSpPr>
      <xdr:cxnSp macro="">
        <xdr:nvCxnSpPr>
          <xdr:cNvPr id="14" name="Shape 14">
            <a:extLst>
              <a:ext uri="{FF2B5EF4-FFF2-40B4-BE49-F238E27FC236}">
                <a16:creationId xmlns:a16="http://schemas.microsoft.com/office/drawing/2014/main" id="{00000000-0008-0000-0300-00000E000000}"/>
              </a:ext>
            </a:extLst>
          </xdr:cNvPr>
          <xdr:cNvCxnSpPr/>
        </xdr:nvCxnSpPr>
        <xdr:spPr>
          <a:xfrm rot="10800000">
            <a:off x="5346000" y="3003713"/>
            <a:ext cx="0" cy="1552575"/>
          </a:xfrm>
          <a:prstGeom prst="straightConnector1">
            <a:avLst/>
          </a:prstGeom>
          <a:noFill/>
          <a:ln w="9525" cap="flat" cmpd="sng">
            <a:solidFill>
              <a:srgbClr val="7F7F7F"/>
            </a:solidFill>
            <a:prstDash val="lgDash"/>
            <a:miter lim="8000"/>
            <a:headEnd type="none" w="sm" len="sm"/>
            <a:tailEnd type="none" w="sm" len="sm"/>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47625</xdr:colOff>
      <xdr:row>16</xdr:row>
      <xdr:rowOff>123825</xdr:rowOff>
    </xdr:from>
    <xdr:ext cx="8534400" cy="405765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uthor" id="{BF9B293D-9BB3-4C92-82A1-1B3762E712FB}"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B4E1FF"/>
      </a:accent1>
      <a:accent2>
        <a:srgbClr val="CDFF19"/>
      </a:accent2>
      <a:accent3>
        <a:srgbClr val="7D9B9B"/>
      </a:accent3>
      <a:accent4>
        <a:srgbClr val="D7AAFF"/>
      </a:accent4>
      <a:accent5>
        <a:srgbClr val="FF4B00"/>
      </a:accent5>
      <a:accent6>
        <a:srgbClr val="F0F0F0"/>
      </a:accent6>
      <a:hlink>
        <a:srgbClr val="B4E1FF"/>
      </a:hlink>
      <a:folHlink>
        <a:srgbClr val="B4E1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5" dT="2026-06-07T23:18:30.00" personId="{BF9B293D-9BB3-4C92-82A1-1B3762E712FB}" id="{804FBAEF-E745-460B-A924-92A00B3D7AE4}">
    <text>al 1/4/2026</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2:I83"/>
  <sheetViews>
    <sheetView workbookViewId="0"/>
  </sheetViews>
  <sheetFormatPr defaultColWidth="12.59765625" defaultRowHeight="15" customHeight="1" x14ac:dyDescent="0.25"/>
  <cols>
    <col min="1" max="1" width="12" customWidth="1"/>
    <col min="2" max="2" width="16.19921875" customWidth="1"/>
    <col min="3" max="7" width="9" customWidth="1"/>
    <col min="8" max="8" width="27" customWidth="1"/>
    <col min="9" max="26" width="9" customWidth="1"/>
  </cols>
  <sheetData>
    <row r="2" spans="1:9" ht="14.25" customHeight="1" x14ac:dyDescent="0.25">
      <c r="A2" s="1"/>
      <c r="B2" s="1"/>
      <c r="C2" s="4" t="s">
        <v>0</v>
      </c>
      <c r="D2" s="4" t="s">
        <v>1</v>
      </c>
      <c r="E2" s="5" t="s">
        <v>2</v>
      </c>
      <c r="F2" s="5" t="s">
        <v>2</v>
      </c>
      <c r="G2" s="1"/>
      <c r="H2" s="6" t="s">
        <v>3</v>
      </c>
      <c r="I2" s="7"/>
    </row>
    <row r="3" spans="1:9" ht="14.25" customHeight="1" x14ac:dyDescent="0.25">
      <c r="A3" s="469" t="s">
        <v>4</v>
      </c>
      <c r="B3" s="8" t="s">
        <v>5</v>
      </c>
      <c r="C3" s="9">
        <v>1</v>
      </c>
      <c r="D3" s="8">
        <v>72</v>
      </c>
      <c r="E3" s="10">
        <f t="shared" ref="E3:E17" si="0">+D3*C3</f>
        <v>72</v>
      </c>
      <c r="F3" s="472">
        <f>+SUM(E3:E5)</f>
        <v>176</v>
      </c>
      <c r="G3" s="1"/>
      <c r="H3" s="3" t="s">
        <v>6</v>
      </c>
      <c r="I3" s="11">
        <v>-20</v>
      </c>
    </row>
    <row r="4" spans="1:9" ht="14.25" customHeight="1" x14ac:dyDescent="0.25">
      <c r="A4" s="470"/>
      <c r="B4" s="1" t="s">
        <v>7</v>
      </c>
      <c r="C4" s="12">
        <v>1</v>
      </c>
      <c r="D4" s="1">
        <v>72</v>
      </c>
      <c r="E4" s="2">
        <f t="shared" si="0"/>
        <v>72</v>
      </c>
      <c r="F4" s="470"/>
      <c r="G4" s="1"/>
      <c r="H4" s="3" t="s">
        <v>8</v>
      </c>
      <c r="I4" s="11">
        <v>-20</v>
      </c>
    </row>
    <row r="5" spans="1:9" ht="14.25" customHeight="1" x14ac:dyDescent="0.25">
      <c r="A5" s="471"/>
      <c r="B5" s="7" t="s">
        <v>9</v>
      </c>
      <c r="C5" s="13">
        <v>1</v>
      </c>
      <c r="D5" s="7">
        <v>32</v>
      </c>
      <c r="E5" s="14">
        <f t="shared" si="0"/>
        <v>32</v>
      </c>
      <c r="F5" s="471"/>
      <c r="G5" s="1"/>
      <c r="H5" s="3" t="s">
        <v>10</v>
      </c>
      <c r="I5" s="11">
        <v>-10</v>
      </c>
    </row>
    <row r="6" spans="1:9" ht="14.25" customHeight="1" x14ac:dyDescent="0.25">
      <c r="A6" s="469" t="s">
        <v>11</v>
      </c>
      <c r="B6" s="1" t="s">
        <v>12</v>
      </c>
      <c r="C6" s="12">
        <v>3</v>
      </c>
      <c r="D6" s="1">
        <v>16</v>
      </c>
      <c r="E6" s="2">
        <f t="shared" si="0"/>
        <v>48</v>
      </c>
      <c r="F6" s="473">
        <f>+SUM(E6:E11)</f>
        <v>191</v>
      </c>
      <c r="G6" s="1"/>
      <c r="H6" s="15" t="s">
        <v>13</v>
      </c>
      <c r="I6" s="16">
        <v>-20</v>
      </c>
    </row>
    <row r="7" spans="1:9" ht="14.25" customHeight="1" x14ac:dyDescent="0.25">
      <c r="A7" s="470"/>
      <c r="B7" s="1" t="s">
        <v>14</v>
      </c>
      <c r="C7" s="12">
        <v>6</v>
      </c>
      <c r="D7" s="1">
        <v>8</v>
      </c>
      <c r="E7" s="2">
        <f t="shared" si="0"/>
        <v>48</v>
      </c>
      <c r="F7" s="470"/>
      <c r="G7" s="1"/>
      <c r="H7" s="3"/>
      <c r="I7" s="1"/>
    </row>
    <row r="8" spans="1:9" ht="14.25" customHeight="1" x14ac:dyDescent="0.25">
      <c r="A8" s="470"/>
      <c r="B8" s="1" t="s">
        <v>15</v>
      </c>
      <c r="C8" s="12">
        <v>10</v>
      </c>
      <c r="D8" s="1">
        <v>4</v>
      </c>
      <c r="E8" s="2">
        <f t="shared" si="0"/>
        <v>40</v>
      </c>
      <c r="F8" s="470"/>
      <c r="G8" s="1"/>
      <c r="H8" s="3"/>
      <c r="I8" s="1"/>
    </row>
    <row r="9" spans="1:9" ht="14.25" customHeight="1" x14ac:dyDescent="0.25">
      <c r="A9" s="470"/>
      <c r="B9" s="7" t="s">
        <v>16</v>
      </c>
      <c r="C9" s="13">
        <v>15</v>
      </c>
      <c r="D9" s="7">
        <v>2</v>
      </c>
      <c r="E9" s="14">
        <f t="shared" si="0"/>
        <v>30</v>
      </c>
      <c r="F9" s="470"/>
      <c r="G9" s="1"/>
      <c r="H9" s="1" t="s">
        <v>17</v>
      </c>
      <c r="I9" s="1"/>
    </row>
    <row r="10" spans="1:9" ht="14.25" customHeight="1" x14ac:dyDescent="0.25">
      <c r="A10" s="470"/>
      <c r="B10" s="1" t="s">
        <v>18</v>
      </c>
      <c r="C10" s="12">
        <v>5</v>
      </c>
      <c r="D10" s="1">
        <v>1</v>
      </c>
      <c r="E10" s="2">
        <f t="shared" si="0"/>
        <v>5</v>
      </c>
      <c r="F10" s="470"/>
      <c r="G10" s="1"/>
      <c r="H10" s="1" t="s">
        <v>19</v>
      </c>
      <c r="I10" s="1"/>
    </row>
    <row r="11" spans="1:9" ht="14.25" customHeight="1" x14ac:dyDescent="0.25">
      <c r="A11" s="471"/>
      <c r="B11" s="7" t="s">
        <v>20</v>
      </c>
      <c r="C11" s="13">
        <v>20</v>
      </c>
      <c r="D11" s="7">
        <v>1</v>
      </c>
      <c r="E11" s="14">
        <f t="shared" si="0"/>
        <v>20</v>
      </c>
      <c r="F11" s="471"/>
      <c r="G11" s="1"/>
      <c r="H11" s="1" t="s">
        <v>21</v>
      </c>
      <c r="I11" s="1"/>
    </row>
    <row r="12" spans="1:9" ht="14.25" customHeight="1" x14ac:dyDescent="0.25">
      <c r="A12" s="469" t="s">
        <v>22</v>
      </c>
      <c r="B12" s="1" t="s">
        <v>23</v>
      </c>
      <c r="C12" s="12">
        <v>12</v>
      </c>
      <c r="D12" s="1">
        <v>1</v>
      </c>
      <c r="E12" s="2">
        <f t="shared" si="0"/>
        <v>12</v>
      </c>
      <c r="F12" s="473">
        <f>+SUM(E12:E17)</f>
        <v>64</v>
      </c>
      <c r="G12" s="1"/>
      <c r="H12" s="1" t="s">
        <v>24</v>
      </c>
      <c r="I12" s="1"/>
    </row>
    <row r="13" spans="1:9" ht="14.25" customHeight="1" x14ac:dyDescent="0.25">
      <c r="A13" s="470"/>
      <c r="B13" s="1" t="s">
        <v>25</v>
      </c>
      <c r="C13" s="12">
        <v>12</v>
      </c>
      <c r="D13" s="1">
        <v>1</v>
      </c>
      <c r="E13" s="2">
        <f t="shared" si="0"/>
        <v>12</v>
      </c>
      <c r="F13" s="470"/>
      <c r="G13" s="1"/>
      <c r="H13" s="1" t="s">
        <v>26</v>
      </c>
      <c r="I13" s="1"/>
    </row>
    <row r="14" spans="1:9" ht="14.25" customHeight="1" x14ac:dyDescent="0.25">
      <c r="A14" s="470"/>
      <c r="B14" s="1" t="s">
        <v>27</v>
      </c>
      <c r="C14" s="12">
        <v>12</v>
      </c>
      <c r="D14" s="1">
        <v>1</v>
      </c>
      <c r="E14" s="2">
        <f t="shared" si="0"/>
        <v>12</v>
      </c>
      <c r="F14" s="470"/>
      <c r="G14" s="1"/>
      <c r="H14" s="3"/>
      <c r="I14" s="1"/>
    </row>
    <row r="15" spans="1:9" ht="14.25" customHeight="1" x14ac:dyDescent="0.25">
      <c r="A15" s="470"/>
      <c r="B15" s="1" t="s">
        <v>28</v>
      </c>
      <c r="C15" s="12">
        <v>12</v>
      </c>
      <c r="D15" s="1">
        <v>1</v>
      </c>
      <c r="E15" s="2">
        <f t="shared" si="0"/>
        <v>12</v>
      </c>
      <c r="F15" s="470"/>
      <c r="G15" s="1"/>
      <c r="H15" s="1" t="s">
        <v>29</v>
      </c>
      <c r="I15" s="1"/>
    </row>
    <row r="16" spans="1:9" ht="14.25" customHeight="1" x14ac:dyDescent="0.25">
      <c r="A16" s="470"/>
      <c r="B16" s="1" t="s">
        <v>30</v>
      </c>
      <c r="C16" s="12">
        <v>8</v>
      </c>
      <c r="D16" s="1">
        <v>1</v>
      </c>
      <c r="E16" s="2">
        <f t="shared" si="0"/>
        <v>8</v>
      </c>
      <c r="F16" s="470"/>
      <c r="G16" s="1"/>
      <c r="H16" s="1" t="s">
        <v>31</v>
      </c>
      <c r="I16" s="1"/>
    </row>
    <row r="17" spans="1:6" ht="14.25" customHeight="1" x14ac:dyDescent="0.25">
      <c r="A17" s="471"/>
      <c r="B17" s="7" t="s">
        <v>32</v>
      </c>
      <c r="C17" s="13">
        <v>8</v>
      </c>
      <c r="D17" s="7">
        <v>1</v>
      </c>
      <c r="E17" s="14">
        <f t="shared" si="0"/>
        <v>8</v>
      </c>
      <c r="F17" s="471"/>
    </row>
    <row r="18" spans="1:6" ht="14.25" customHeight="1" x14ac:dyDescent="0.25">
      <c r="A18" s="1"/>
      <c r="B18" s="1"/>
      <c r="C18" s="1"/>
      <c r="D18" s="1"/>
      <c r="E18" s="2">
        <f>+SUM(E3:E17)</f>
        <v>431</v>
      </c>
      <c r="F18" s="2"/>
    </row>
    <row r="19" spans="1:6" ht="14.25" customHeight="1" x14ac:dyDescent="0.25">
      <c r="A19" s="1"/>
      <c r="B19" s="1"/>
      <c r="C19" s="1"/>
      <c r="D19" s="1"/>
      <c r="E19" s="2"/>
      <c r="F19" s="2"/>
    </row>
    <row r="20" spans="1:6" ht="14.25" customHeight="1" x14ac:dyDescent="0.25">
      <c r="A20" s="17" t="s">
        <v>33</v>
      </c>
      <c r="B20" s="1"/>
      <c r="C20" s="1"/>
      <c r="D20" s="1"/>
      <c r="E20" s="2"/>
      <c r="F20" s="2"/>
    </row>
    <row r="21" spans="1:6" ht="14.25" customHeight="1" x14ac:dyDescent="0.25">
      <c r="A21" s="1" t="s">
        <v>34</v>
      </c>
      <c r="B21" s="1"/>
      <c r="C21" s="1"/>
      <c r="D21" s="1"/>
      <c r="E21" s="2"/>
      <c r="F21" s="2"/>
    </row>
    <row r="22" spans="1:6" ht="14.25" customHeight="1" x14ac:dyDescent="0.25">
      <c r="A22" s="1"/>
      <c r="B22" s="1"/>
      <c r="C22" s="1"/>
      <c r="D22" s="1"/>
      <c r="E22" s="2"/>
      <c r="F22" s="2"/>
    </row>
    <row r="23" spans="1:6" ht="14.25" customHeight="1" x14ac:dyDescent="0.25">
      <c r="A23" s="1" t="s">
        <v>35</v>
      </c>
      <c r="B23" s="1"/>
      <c r="C23" s="1"/>
      <c r="D23" s="1"/>
      <c r="E23" s="2"/>
      <c r="F23" s="2"/>
    </row>
    <row r="24" spans="1:6" ht="14.25" customHeight="1" x14ac:dyDescent="0.25">
      <c r="A24" s="1"/>
      <c r="B24" s="1"/>
      <c r="C24" s="1"/>
      <c r="D24" s="1"/>
      <c r="E24" s="2"/>
      <c r="F24" s="2"/>
    </row>
    <row r="25" spans="1:6" ht="14.25" customHeight="1" x14ac:dyDescent="0.25">
      <c r="A25" s="1" t="s">
        <v>36</v>
      </c>
      <c r="B25" s="1"/>
      <c r="C25" s="1"/>
      <c r="D25" s="1"/>
      <c r="E25" s="2"/>
      <c r="F25" s="2"/>
    </row>
    <row r="26" spans="1:6" ht="14.25" customHeight="1" x14ac:dyDescent="0.25">
      <c r="A26" s="1" t="s">
        <v>37</v>
      </c>
      <c r="B26" s="1"/>
      <c r="C26" s="1"/>
      <c r="D26" s="1"/>
      <c r="E26" s="2"/>
      <c r="F26" s="2"/>
    </row>
    <row r="27" spans="1:6" ht="14.25" customHeight="1" x14ac:dyDescent="0.25">
      <c r="A27" s="1" t="s">
        <v>38</v>
      </c>
      <c r="B27" s="1"/>
      <c r="C27" s="1"/>
      <c r="D27" s="1"/>
      <c r="E27" s="2"/>
      <c r="F27" s="2"/>
    </row>
    <row r="28" spans="1:6" ht="14.25" customHeight="1" x14ac:dyDescent="0.25">
      <c r="A28" s="1" t="s">
        <v>39</v>
      </c>
      <c r="B28" s="1"/>
      <c r="C28" s="1"/>
      <c r="D28" s="1"/>
      <c r="E28" s="2"/>
      <c r="F28" s="2"/>
    </row>
    <row r="29" spans="1:6" ht="14.25" customHeight="1" x14ac:dyDescent="0.25">
      <c r="A29" s="1" t="s">
        <v>40</v>
      </c>
      <c r="B29" s="1"/>
      <c r="C29" s="1"/>
      <c r="D29" s="1"/>
      <c r="E29" s="2"/>
      <c r="F29" s="2"/>
    </row>
    <row r="30" spans="1:6" ht="14.25" customHeight="1" x14ac:dyDescent="0.25">
      <c r="A30" s="1" t="s">
        <v>41</v>
      </c>
      <c r="B30" s="1"/>
      <c r="C30" s="1"/>
      <c r="D30" s="1"/>
      <c r="E30" s="2"/>
      <c r="F30" s="2"/>
    </row>
    <row r="31" spans="1:6" ht="14.25" customHeight="1" x14ac:dyDescent="0.25">
      <c r="A31" s="1" t="s">
        <v>42</v>
      </c>
      <c r="B31" s="1"/>
      <c r="C31" s="1"/>
      <c r="D31" s="1"/>
      <c r="E31" s="2"/>
      <c r="F31" s="2"/>
    </row>
    <row r="32" spans="1:6" ht="14.25" customHeight="1" x14ac:dyDescent="0.25">
      <c r="A32" s="1" t="s">
        <v>43</v>
      </c>
      <c r="B32" s="1"/>
      <c r="C32" s="1"/>
      <c r="D32" s="1"/>
      <c r="E32" s="2"/>
      <c r="F32" s="2"/>
    </row>
    <row r="35" spans="1:4" ht="14.25" customHeight="1" x14ac:dyDescent="0.25">
      <c r="A35" s="18" t="s">
        <v>44</v>
      </c>
      <c r="B35" s="19" t="s">
        <v>45</v>
      </c>
      <c r="C35" s="20" t="s">
        <v>46</v>
      </c>
      <c r="D35" s="20" t="s">
        <v>47</v>
      </c>
    </row>
    <row r="36" spans="1:4" ht="14.25" customHeight="1" x14ac:dyDescent="0.25">
      <c r="A36" s="21" t="e">
        <f t="array" aca="1" ref="A36" ca="1">+_xludf.XLOOKUP(B36,'Ranking FIFA'!B:B,'Ranking FIFA'!A:A,"--",0)</f>
        <v>#NAME?</v>
      </c>
      <c r="B36" s="22" t="s">
        <v>48</v>
      </c>
      <c r="C36" s="23">
        <v>1</v>
      </c>
      <c r="D36" s="23">
        <v>1</v>
      </c>
    </row>
    <row r="37" spans="1:4" ht="14.25" customHeight="1" x14ac:dyDescent="0.25">
      <c r="A37" s="21" t="e">
        <f t="array" aca="1" ref="A37" ca="1">+_xludf.XLOOKUP(B37,'Ranking FIFA'!B:B,'Ranking FIFA'!A:A,"--",0)</f>
        <v>#NAME?</v>
      </c>
      <c r="B37" s="22" t="s">
        <v>49</v>
      </c>
      <c r="C37" s="23">
        <v>1</v>
      </c>
      <c r="D37" s="23">
        <v>1</v>
      </c>
    </row>
    <row r="38" spans="1:4" ht="14.25" customHeight="1" x14ac:dyDescent="0.25">
      <c r="A38" s="21" t="e">
        <f t="array" aca="1" ref="A38" ca="1">+_xludf.XLOOKUP(B38,'Ranking FIFA'!B:B,'Ranking FIFA'!A:A,"--",0)</f>
        <v>#NAME?</v>
      </c>
      <c r="B38" s="22" t="s">
        <v>50</v>
      </c>
      <c r="C38" s="23">
        <v>1</v>
      </c>
      <c r="D38" s="23">
        <v>1</v>
      </c>
    </row>
    <row r="39" spans="1:4" ht="14.25" customHeight="1" x14ac:dyDescent="0.25">
      <c r="A39" s="21" t="e">
        <f t="array" aca="1" ref="A39" ca="1">+_xludf.XLOOKUP(B39,'Ranking FIFA'!B:B,'Ranking FIFA'!A:A,"--",0)</f>
        <v>#NAME?</v>
      </c>
      <c r="B39" s="22" t="s">
        <v>51</v>
      </c>
      <c r="C39" s="23">
        <v>1</v>
      </c>
      <c r="D39" s="23">
        <v>1</v>
      </c>
    </row>
    <row r="40" spans="1:4" ht="14.25" customHeight="1" x14ac:dyDescent="0.25">
      <c r="A40" s="21" t="e">
        <f t="array" aca="1" ref="A40" ca="1">+_xludf.XLOOKUP(B40,'Ranking FIFA'!B:B,'Ranking FIFA'!A:A,"--",0)</f>
        <v>#NAME?</v>
      </c>
      <c r="B40" s="22" t="s">
        <v>52</v>
      </c>
      <c r="C40" s="23">
        <v>1</v>
      </c>
      <c r="D40" s="23">
        <v>1</v>
      </c>
    </row>
    <row r="41" spans="1:4" ht="14.25" customHeight="1" x14ac:dyDescent="0.25">
      <c r="A41" s="21" t="e">
        <f t="array" aca="1" ref="A41" ca="1">+_xludf.XLOOKUP(B41,'Ranking FIFA'!B:B,'Ranking FIFA'!A:A,"--",0)</f>
        <v>#NAME?</v>
      </c>
      <c r="B41" s="22" t="s">
        <v>53</v>
      </c>
      <c r="C41" s="23">
        <v>1</v>
      </c>
      <c r="D41" s="23">
        <v>1</v>
      </c>
    </row>
    <row r="42" spans="1:4" ht="14.25" customHeight="1" x14ac:dyDescent="0.25">
      <c r="A42" s="21" t="e">
        <f t="array" aca="1" ref="A42" ca="1">+_xludf.XLOOKUP(B42,'Ranking FIFA'!B:B,'Ranking FIFA'!A:A,"--",0)</f>
        <v>#NAME?</v>
      </c>
      <c r="B42" s="22" t="s">
        <v>54</v>
      </c>
      <c r="C42" s="23">
        <v>1</v>
      </c>
      <c r="D42" s="23">
        <v>1</v>
      </c>
    </row>
    <row r="43" spans="1:4" ht="14.25" customHeight="1" x14ac:dyDescent="0.25">
      <c r="A43" s="21" t="e">
        <f t="array" aca="1" ref="A43" ca="1">+_xludf.XLOOKUP(B43,'Ranking FIFA'!B:B,'Ranking FIFA'!A:A,"--",0)</f>
        <v>#NAME?</v>
      </c>
      <c r="B43" s="22" t="s">
        <v>55</v>
      </c>
      <c r="C43" s="23">
        <v>1</v>
      </c>
      <c r="D43" s="23">
        <v>2</v>
      </c>
    </row>
    <row r="44" spans="1:4" ht="14.25" customHeight="1" x14ac:dyDescent="0.25">
      <c r="A44" s="21" t="e">
        <f t="array" aca="1" ref="A44" ca="1">+_xludf.XLOOKUP(B44,'Ranking FIFA'!B:B,'Ranking FIFA'!A:A,"--",0)</f>
        <v>#NAME?</v>
      </c>
      <c r="B44" s="22" t="s">
        <v>56</v>
      </c>
      <c r="C44" s="23">
        <v>1</v>
      </c>
      <c r="D44" s="23">
        <v>1</v>
      </c>
    </row>
    <row r="45" spans="1:4" ht="14.25" customHeight="1" x14ac:dyDescent="0.25">
      <c r="A45" s="21" t="e">
        <f t="array" aca="1" ref="A45" ca="1">+_xludf.XLOOKUP(B45,'Ranking FIFA'!B:B,'Ranking FIFA'!A:A,"--",0)</f>
        <v>#NAME?</v>
      </c>
      <c r="B45" s="22" t="s">
        <v>57</v>
      </c>
      <c r="C45" s="23">
        <v>1</v>
      </c>
      <c r="D45" s="23">
        <v>2</v>
      </c>
    </row>
    <row r="46" spans="1:4" ht="14.25" customHeight="1" x14ac:dyDescent="0.25">
      <c r="A46" s="21" t="e">
        <f t="array" aca="1" ref="A46" ca="1">+_xludf.XLOOKUP(B46,'Ranking FIFA'!B:B,'Ranking FIFA'!A:A,"--",0)</f>
        <v>#NAME?</v>
      </c>
      <c r="B46" s="22" t="s">
        <v>58</v>
      </c>
      <c r="C46" s="23">
        <v>1</v>
      </c>
      <c r="D46" s="23">
        <v>2</v>
      </c>
    </row>
    <row r="47" spans="1:4" ht="14.25" customHeight="1" x14ac:dyDescent="0.25">
      <c r="A47" s="21" t="e">
        <f t="array" aca="1" ref="A47" ca="1">+_xludf.XLOOKUP(B47,'Ranking FIFA'!B:B,'Ranking FIFA'!A:A,"--",0)</f>
        <v>#NAME?</v>
      </c>
      <c r="B47" s="22" t="s">
        <v>59</v>
      </c>
      <c r="C47" s="23">
        <v>2</v>
      </c>
      <c r="D47" s="23"/>
    </row>
    <row r="48" spans="1:4" ht="14.25" customHeight="1" x14ac:dyDescent="0.25">
      <c r="A48" s="21" t="e">
        <f t="array" aca="1" ref="A48" ca="1">+_xludf.XLOOKUP(B48,'Ranking FIFA'!B:B,'Ranking FIFA'!A:A,"--",0)</f>
        <v>#NAME?</v>
      </c>
      <c r="B48" s="22" t="s">
        <v>60</v>
      </c>
      <c r="C48" s="23">
        <v>2</v>
      </c>
      <c r="D48" s="23"/>
    </row>
    <row r="49" spans="1:4" ht="14.25" customHeight="1" x14ac:dyDescent="0.25">
      <c r="A49" s="21" t="e">
        <f t="array" aca="1" ref="A49" ca="1">+_xludf.XLOOKUP(B49,'Ranking FIFA'!B:B,'Ranking FIFA'!A:A,"--",0)</f>
        <v>#NAME?</v>
      </c>
      <c r="B49" s="22" t="s">
        <v>61</v>
      </c>
      <c r="C49" s="23">
        <v>2</v>
      </c>
      <c r="D49" s="23"/>
    </row>
    <row r="50" spans="1:4" ht="14.25" customHeight="1" x14ac:dyDescent="0.25">
      <c r="A50" s="21" t="e">
        <f t="array" aca="1" ref="A50" ca="1">+_xludf.XLOOKUP(B50,'Ranking FIFA'!B:B,'Ranking FIFA'!A:A,"--",0)</f>
        <v>#NAME?</v>
      </c>
      <c r="B50" s="22" t="s">
        <v>62</v>
      </c>
      <c r="C50" s="23">
        <v>2</v>
      </c>
      <c r="D50" s="23"/>
    </row>
    <row r="51" spans="1:4" ht="14.25" customHeight="1" x14ac:dyDescent="0.25">
      <c r="A51" s="21" t="e">
        <f t="array" aca="1" ref="A51" ca="1">+_xludf.XLOOKUP(B51,'Ranking FIFA'!B:B,'Ranking FIFA'!A:A,"--",0)</f>
        <v>#NAME?</v>
      </c>
      <c r="B51" s="22" t="s">
        <v>63</v>
      </c>
      <c r="C51" s="23">
        <v>2</v>
      </c>
      <c r="D51" s="23"/>
    </row>
    <row r="52" spans="1:4" ht="14.25" customHeight="1" x14ac:dyDescent="0.25">
      <c r="A52" s="21" t="e">
        <f t="array" aca="1" ref="A52" ca="1">+_xludf.XLOOKUP(B52,'Ranking FIFA'!B:B,'Ranking FIFA'!A:A,"--",0)</f>
        <v>#NAME?</v>
      </c>
      <c r="B52" s="22" t="s">
        <v>64</v>
      </c>
      <c r="C52" s="23">
        <v>2</v>
      </c>
      <c r="D52" s="23"/>
    </row>
    <row r="53" spans="1:4" ht="14.25" customHeight="1" x14ac:dyDescent="0.25">
      <c r="A53" s="21" t="e">
        <f t="array" aca="1" ref="A53" ca="1">+_xludf.XLOOKUP(B53,'Ranking FIFA'!B:B,'Ranking FIFA'!A:A,"--",0)</f>
        <v>#NAME?</v>
      </c>
      <c r="B53" s="22" t="s">
        <v>65</v>
      </c>
      <c r="C53" s="23">
        <v>2</v>
      </c>
      <c r="D53" s="23"/>
    </row>
    <row r="54" spans="1:4" ht="14.25" customHeight="1" x14ac:dyDescent="0.25">
      <c r="A54" s="21" t="e">
        <f t="array" aca="1" ref="A54" ca="1">+_xludf.XLOOKUP(B54,'Ranking FIFA'!B:B,'Ranking FIFA'!A:A,"--",0)</f>
        <v>#NAME?</v>
      </c>
      <c r="B54" s="22" t="s">
        <v>66</v>
      </c>
      <c r="C54" s="23">
        <v>2</v>
      </c>
      <c r="D54" s="23"/>
    </row>
    <row r="55" spans="1:4" ht="14.25" customHeight="1" x14ac:dyDescent="0.25">
      <c r="A55" s="21" t="e">
        <f t="array" aca="1" ref="A55" ca="1">+_xludf.XLOOKUP(B55,'Ranking FIFA'!B:B,'Ranking FIFA'!A:A,"--",0)</f>
        <v>#NAME?</v>
      </c>
      <c r="B55" s="22" t="s">
        <v>67</v>
      </c>
      <c r="C55" s="23">
        <v>2</v>
      </c>
      <c r="D55" s="23"/>
    </row>
    <row r="56" spans="1:4" ht="14.25" customHeight="1" x14ac:dyDescent="0.25">
      <c r="A56" s="21" t="e">
        <f t="array" aca="1" ref="A56" ca="1">+_xludf.XLOOKUP(B56,'Ranking FIFA'!B:B,'Ranking FIFA'!A:A,"--",0)</f>
        <v>#NAME?</v>
      </c>
      <c r="B56" s="22" t="s">
        <v>68</v>
      </c>
      <c r="C56" s="23">
        <v>2</v>
      </c>
      <c r="D56" s="23"/>
    </row>
    <row r="57" spans="1:4" ht="14.25" customHeight="1" x14ac:dyDescent="0.25">
      <c r="A57" s="21" t="e">
        <f t="array" aca="1" ref="A57" ca="1">+_xludf.XLOOKUP(B57,'Ranking FIFA'!B:B,'Ranking FIFA'!A:A,"--",0)</f>
        <v>#NAME?</v>
      </c>
      <c r="B57" s="22" t="s">
        <v>69</v>
      </c>
      <c r="C57" s="23">
        <v>2</v>
      </c>
      <c r="D57" s="23"/>
    </row>
    <row r="58" spans="1:4" ht="14.25" customHeight="1" x14ac:dyDescent="0.25">
      <c r="A58" s="21" t="e">
        <f t="array" aca="1" ref="A58" ca="1">+_xludf.XLOOKUP(B58,'Ranking FIFA'!B:B,'Ranking FIFA'!A:A,"--",0)</f>
        <v>#NAME?</v>
      </c>
      <c r="B58" s="22" t="s">
        <v>70</v>
      </c>
      <c r="C58" s="23">
        <v>2</v>
      </c>
      <c r="D58" s="23"/>
    </row>
    <row r="59" spans="1:4" ht="14.25" customHeight="1" x14ac:dyDescent="0.25">
      <c r="A59" s="21" t="e">
        <f t="array" aca="1" ref="A59" ca="1">+_xludf.XLOOKUP(B59,'Ranking FIFA'!B:B,'Ranking FIFA'!A:A,"--",0)</f>
        <v>#NAME?</v>
      </c>
      <c r="B59" s="22" t="s">
        <v>71</v>
      </c>
      <c r="C59" s="23">
        <v>2</v>
      </c>
      <c r="D59" s="23"/>
    </row>
    <row r="60" spans="1:4" ht="14.25" customHeight="1" x14ac:dyDescent="0.25">
      <c r="A60" s="21" t="e">
        <f t="array" aca="1" ref="A60" ca="1">+_xludf.XLOOKUP(B60,'Ranking FIFA'!B:B,'Ranking FIFA'!A:A,"--",0)</f>
        <v>#NAME?</v>
      </c>
      <c r="B60" s="22" t="s">
        <v>72</v>
      </c>
      <c r="C60" s="23">
        <v>3</v>
      </c>
      <c r="D60" s="23"/>
    </row>
    <row r="61" spans="1:4" ht="14.25" customHeight="1" x14ac:dyDescent="0.25">
      <c r="A61" s="21" t="e">
        <f t="array" aca="1" ref="A61" ca="1">+_xludf.XLOOKUP(B61,'Ranking FIFA'!B:B,'Ranking FIFA'!A:A,"--",0)</f>
        <v>#NAME?</v>
      </c>
      <c r="B61" s="22" t="s">
        <v>73</v>
      </c>
      <c r="C61" s="23">
        <v>3</v>
      </c>
      <c r="D61" s="23"/>
    </row>
    <row r="62" spans="1:4" ht="14.25" customHeight="1" x14ac:dyDescent="0.25">
      <c r="A62" s="21" t="e">
        <f t="array" aca="1" ref="A62" ca="1">+_xludf.XLOOKUP(B62,'Ranking FIFA'!B:B,'Ranking FIFA'!A:A,"--",0)</f>
        <v>#NAME?</v>
      </c>
      <c r="B62" s="22" t="s">
        <v>74</v>
      </c>
      <c r="C62" s="23">
        <v>3</v>
      </c>
      <c r="D62" s="23"/>
    </row>
    <row r="63" spans="1:4" ht="14.25" customHeight="1" x14ac:dyDescent="0.25">
      <c r="A63" s="21" t="e">
        <f t="array" aca="1" ref="A63" ca="1">+_xludf.XLOOKUP(B63,'Ranking FIFA'!B:B,'Ranking FIFA'!A:A,"--",0)</f>
        <v>#NAME?</v>
      </c>
      <c r="B63" s="22" t="s">
        <v>75</v>
      </c>
      <c r="C63" s="23">
        <v>3</v>
      </c>
      <c r="D63" s="23"/>
    </row>
    <row r="64" spans="1:4" ht="14.25" customHeight="1" x14ac:dyDescent="0.25">
      <c r="A64" s="21" t="e">
        <f t="array" aca="1" ref="A64" ca="1">+_xludf.XLOOKUP(B64,'Ranking FIFA'!B:B,'Ranking FIFA'!A:A,"--",0)</f>
        <v>#NAME?</v>
      </c>
      <c r="B64" s="22" t="s">
        <v>76</v>
      </c>
      <c r="C64" s="23">
        <v>3</v>
      </c>
      <c r="D64" s="23"/>
    </row>
    <row r="65" spans="1:4" ht="14.25" customHeight="1" x14ac:dyDescent="0.25">
      <c r="A65" s="21" t="e">
        <f t="array" aca="1" ref="A65" ca="1">+_xludf.XLOOKUP(B65,'Ranking FIFA'!B:B,'Ranking FIFA'!A:A,"--",0)</f>
        <v>#NAME?</v>
      </c>
      <c r="B65" s="22" t="s">
        <v>77</v>
      </c>
      <c r="C65" s="23">
        <v>3</v>
      </c>
      <c r="D65" s="23"/>
    </row>
    <row r="66" spans="1:4" ht="14.25" customHeight="1" x14ac:dyDescent="0.25">
      <c r="A66" s="21" t="e">
        <f t="array" aca="1" ref="A66" ca="1">+_xludf.XLOOKUP(B66,'Ranking FIFA'!B:B,'Ranking FIFA'!A:A,"--",0)</f>
        <v>#NAME?</v>
      </c>
      <c r="B66" s="22" t="s">
        <v>78</v>
      </c>
      <c r="C66" s="23">
        <v>3</v>
      </c>
      <c r="D66" s="23"/>
    </row>
    <row r="67" spans="1:4" ht="14.25" customHeight="1" x14ac:dyDescent="0.25">
      <c r="A67" s="21" t="e">
        <f t="array" aca="1" ref="A67" ca="1">+_xludf.XLOOKUP(B67,'Ranking FIFA'!B:B,'Ranking FIFA'!A:A,"--",0)</f>
        <v>#NAME?</v>
      </c>
      <c r="B67" s="22" t="s">
        <v>79</v>
      </c>
      <c r="C67" s="23">
        <v>3</v>
      </c>
      <c r="D67" s="23"/>
    </row>
    <row r="68" spans="1:4" ht="14.25" customHeight="1" x14ac:dyDescent="0.25">
      <c r="A68" s="21" t="e">
        <f t="array" aca="1" ref="A68" ca="1">+_xludf.XLOOKUP(B68,'Ranking FIFA'!B:B,'Ranking FIFA'!A:A,"--",0)</f>
        <v>#NAME?</v>
      </c>
      <c r="B68" s="22" t="s">
        <v>80</v>
      </c>
      <c r="C68" s="23">
        <v>3</v>
      </c>
      <c r="D68" s="23"/>
    </row>
    <row r="69" spans="1:4" ht="14.25" customHeight="1" x14ac:dyDescent="0.25">
      <c r="A69" s="21" t="e">
        <f t="array" aca="1" ref="A69" ca="1">+_xludf.XLOOKUP(B69,'Ranking FIFA'!B:B,'Ranking FIFA'!A:A,"--",0)</f>
        <v>#NAME?</v>
      </c>
      <c r="B69" s="22" t="s">
        <v>81</v>
      </c>
      <c r="C69" s="23">
        <v>3</v>
      </c>
      <c r="D69" s="23"/>
    </row>
    <row r="70" spans="1:4" ht="14.25" customHeight="1" x14ac:dyDescent="0.25">
      <c r="A70" s="21" t="e">
        <f t="array" aca="1" ref="A70" ca="1">+_xludf.XLOOKUP(B70,'Ranking FIFA'!B:B,'Ranking FIFA'!A:A,"--",0)</f>
        <v>#NAME?</v>
      </c>
      <c r="B70" s="22" t="s">
        <v>82</v>
      </c>
      <c r="C70" s="23">
        <v>3</v>
      </c>
      <c r="D70" s="23"/>
    </row>
    <row r="71" spans="1:4" ht="14.25" customHeight="1" x14ac:dyDescent="0.25">
      <c r="A71" s="21" t="e">
        <f t="array" aca="1" ref="A71" ca="1">+_xludf.XLOOKUP(B71,'Ranking FIFA'!B:B,'Ranking FIFA'!A:A,"--",0)</f>
        <v>#NAME?</v>
      </c>
      <c r="B71" s="22" t="s">
        <v>83</v>
      </c>
      <c r="C71" s="23">
        <v>3</v>
      </c>
      <c r="D71" s="23"/>
    </row>
    <row r="72" spans="1:4" ht="14.25" customHeight="1" x14ac:dyDescent="0.25">
      <c r="A72" s="21" t="e">
        <f t="array" aca="1" ref="A72" ca="1">+_xludf.XLOOKUP(B72,'Ranking FIFA'!B:B,'Ranking FIFA'!A:A,"--",0)</f>
        <v>#NAME?</v>
      </c>
      <c r="B72" s="22" t="s">
        <v>84</v>
      </c>
      <c r="C72" s="23">
        <v>3</v>
      </c>
      <c r="D72" s="23"/>
    </row>
    <row r="73" spans="1:4" ht="14.25" customHeight="1" x14ac:dyDescent="0.25">
      <c r="A73" s="21" t="e">
        <f t="array" aca="1" ref="A73" ca="1">+_xludf.XLOOKUP(B73,'Ranking FIFA'!B:B,'Ranking FIFA'!A:A,"--",0)</f>
        <v>#NAME?</v>
      </c>
      <c r="B73" s="22" t="s">
        <v>85</v>
      </c>
      <c r="C73" s="23">
        <v>3</v>
      </c>
      <c r="D73" s="23"/>
    </row>
    <row r="74" spans="1:4" ht="14.25" customHeight="1" x14ac:dyDescent="0.25">
      <c r="A74" s="21" t="e">
        <f t="array" aca="1" ref="A74" ca="1">+_xludf.XLOOKUP(B74,'Ranking FIFA'!B:B,'Ranking FIFA'!A:A,"--",0)</f>
        <v>#NAME?</v>
      </c>
      <c r="B74" s="22" t="s">
        <v>86</v>
      </c>
      <c r="C74" s="23">
        <v>3</v>
      </c>
      <c r="D74" s="23"/>
    </row>
    <row r="75" spans="1:4" ht="14.25" customHeight="1" x14ac:dyDescent="0.25">
      <c r="A75" s="21" t="e">
        <f t="array" aca="1" ref="A75" ca="1">+_xludf.XLOOKUP(B75,'Ranking FIFA'!B:B,'Ranking FIFA'!A:A,"--",0)</f>
        <v>#NAME?</v>
      </c>
      <c r="B75" s="22" t="s">
        <v>87</v>
      </c>
      <c r="C75" s="23">
        <v>4</v>
      </c>
      <c r="D75" s="23"/>
    </row>
    <row r="76" spans="1:4" ht="14.25" customHeight="1" x14ac:dyDescent="0.25">
      <c r="A76" s="21" t="e">
        <f t="array" aca="1" ref="A76" ca="1">+_xludf.XLOOKUP(B76,'Ranking FIFA'!B:B,'Ranking FIFA'!A:A,"--",0)</f>
        <v>#NAME?</v>
      </c>
      <c r="B76" s="22" t="s">
        <v>88</v>
      </c>
      <c r="C76" s="23">
        <v>4</v>
      </c>
      <c r="D76" s="23"/>
    </row>
    <row r="77" spans="1:4" ht="14.25" customHeight="1" x14ac:dyDescent="0.25">
      <c r="A77" s="21" t="e">
        <f t="array" aca="1" ref="A77" ca="1">+_xludf.XLOOKUP(B77,'Ranking FIFA'!B:B,'Ranking FIFA'!A:A,"--",0)</f>
        <v>#NAME?</v>
      </c>
      <c r="B77" s="22" t="s">
        <v>89</v>
      </c>
      <c r="C77" s="23">
        <v>4</v>
      </c>
      <c r="D77" s="23"/>
    </row>
    <row r="78" spans="1:4" ht="14.25" customHeight="1" x14ac:dyDescent="0.25">
      <c r="A78" s="21" t="e">
        <f t="array" aca="1" ref="A78" ca="1">+_xludf.XLOOKUP(B78,'Ranking FIFA'!B:B,'Ranking FIFA'!A:A,"--",0)</f>
        <v>#NAME?</v>
      </c>
      <c r="B78" s="22" t="s">
        <v>90</v>
      </c>
      <c r="C78" s="23">
        <v>4</v>
      </c>
      <c r="D78" s="23"/>
    </row>
    <row r="79" spans="1:4" ht="14.25" customHeight="1" x14ac:dyDescent="0.25">
      <c r="A79" s="21" t="e">
        <f t="array" aca="1" ref="A79" ca="1">+_xludf.XLOOKUP(B79,'Ranking FIFA'!B:B,'Ranking FIFA'!A:A,"--",0)</f>
        <v>#NAME?</v>
      </c>
      <c r="B79" s="22" t="s">
        <v>91</v>
      </c>
      <c r="C79" s="23">
        <v>4</v>
      </c>
      <c r="D79" s="23"/>
    </row>
    <row r="80" spans="1:4" ht="14.25" customHeight="1" x14ac:dyDescent="0.25">
      <c r="A80" s="21" t="e">
        <f t="array" aca="1" ref="A80" ca="1">+_xludf.XLOOKUP(B80,'Ranking FIFA'!B:B,'Ranking FIFA'!A:A,"--",0)</f>
        <v>#NAME?</v>
      </c>
      <c r="B80" s="22" t="s">
        <v>92</v>
      </c>
      <c r="C80" s="23">
        <v>4</v>
      </c>
      <c r="D80" s="23"/>
    </row>
    <row r="81" spans="1:4" ht="14.25" customHeight="1" x14ac:dyDescent="0.25">
      <c r="A81" s="21" t="e">
        <f t="array" aca="1" ref="A81" ca="1">+_xludf.XLOOKUP(B81,'Ranking FIFA'!B:B,'Ranking FIFA'!A:A,"--",0)</f>
        <v>#NAME?</v>
      </c>
      <c r="B81" s="22" t="s">
        <v>93</v>
      </c>
      <c r="C81" s="23">
        <v>4</v>
      </c>
      <c r="D81" s="23"/>
    </row>
    <row r="82" spans="1:4" ht="14.25" customHeight="1" x14ac:dyDescent="0.25">
      <c r="A82" s="21" t="e">
        <f t="array" aca="1" ref="A82" ca="1">+_xludf.XLOOKUP(B82,'Ranking FIFA'!B:B,'Ranking FIFA'!A:A,"--",0)</f>
        <v>#NAME?</v>
      </c>
      <c r="B82" s="22" t="s">
        <v>94</v>
      </c>
      <c r="C82" s="23">
        <v>4</v>
      </c>
      <c r="D82" s="23"/>
    </row>
    <row r="83" spans="1:4" ht="14.25" customHeight="1" x14ac:dyDescent="0.25">
      <c r="A83" s="21" t="e">
        <f t="array" aca="1" ref="A83" ca="1">+_xludf.XLOOKUP(B83,'Ranking FIFA'!B:B,'Ranking FIFA'!A:A,"--",0)</f>
        <v>#NAME?</v>
      </c>
      <c r="B83" s="22" t="s">
        <v>95</v>
      </c>
      <c r="C83" s="23">
        <v>4</v>
      </c>
      <c r="D83" s="23"/>
    </row>
  </sheetData>
  <mergeCells count="6">
    <mergeCell ref="A3:A5"/>
    <mergeCell ref="F3:F5"/>
    <mergeCell ref="A6:A11"/>
    <mergeCell ref="F6:F11"/>
    <mergeCell ref="A12:A17"/>
    <mergeCell ref="F12:F17"/>
  </mergeCells>
  <conditionalFormatting sqref="C36:C46 C47:D83">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CX107"/>
  <sheetViews>
    <sheetView zoomScale="70" zoomScaleNormal="70" workbookViewId="0">
      <selection activeCell="CW14" sqref="CW14"/>
    </sheetView>
  </sheetViews>
  <sheetFormatPr defaultColWidth="12.59765625" defaultRowHeight="15" customHeight="1" outlineLevelCol="2" x14ac:dyDescent="0.25"/>
  <cols>
    <col min="1" max="1" width="8" customWidth="1"/>
    <col min="2" max="2" width="14.19921875" customWidth="1"/>
    <col min="3" max="3" width="21.8984375" hidden="1" customWidth="1"/>
    <col min="4" max="4" width="2.3984375" customWidth="1"/>
    <col min="5" max="5" width="17" customWidth="1"/>
    <col min="6" max="7" width="3.19921875" customWidth="1"/>
    <col min="8" max="8" width="17" customWidth="1"/>
    <col min="9" max="9" width="8.19921875" customWidth="1"/>
    <col min="10" max="10" width="2.69921875" hidden="1" customWidth="1" outlineLevel="1"/>
    <col min="11" max="12" width="2.19921875" hidden="1" customWidth="1" outlineLevel="1"/>
    <col min="13" max="13" width="2.59765625" hidden="1" customWidth="1" outlineLevel="1"/>
    <col min="14" max="14" width="5.5" hidden="1" customWidth="1" outlineLevel="1"/>
    <col min="15" max="15" width="13.5" hidden="1" customWidth="1" outlineLevel="1"/>
    <col min="16" max="16" width="2.3984375" hidden="1" customWidth="1" outlineLevel="1"/>
    <col min="17" max="18" width="2.09765625" hidden="1" customWidth="1" outlineLevel="1"/>
    <col min="19" max="19" width="3.19921875" hidden="1" customWidth="1" outlineLevel="1"/>
    <col min="20" max="20" width="3.3984375" hidden="1" customWidth="1" outlineLevel="1"/>
    <col min="21" max="21" width="2.8984375" hidden="1" customWidth="1" outlineLevel="1"/>
    <col min="22" max="22" width="4.59765625" hidden="1" customWidth="1" outlineLevel="1"/>
    <col min="23" max="23" width="13.5" hidden="1" customWidth="1" outlineLevel="1"/>
    <col min="24" max="24" width="3.8984375" hidden="1" customWidth="1" outlineLevel="1"/>
    <col min="25" max="25" width="3" customWidth="1" collapsed="1"/>
    <col min="26" max="26" width="17" customWidth="1"/>
    <col min="27" max="33" width="8.3984375" bestFit="1" customWidth="1"/>
    <col min="34" max="34" width="9.69921875" bestFit="1" customWidth="1"/>
    <col min="35" max="35" width="5.3984375" hidden="1" customWidth="1" outlineLevel="1"/>
    <col min="36" max="37" width="8.19921875" hidden="1" customWidth="1" outlineLevel="1"/>
    <col min="38" max="38" width="11.69921875" hidden="1" customWidth="1" outlineLevel="1"/>
    <col min="39" max="39" width="19.59765625" hidden="1" customWidth="1" outlineLevel="1"/>
    <col min="40" max="40" width="8.19921875" hidden="1" customWidth="1" outlineLevel="1"/>
    <col min="41" max="41" width="6.09765625" customWidth="1" collapsed="1"/>
    <col min="42" max="42" width="4.59765625" customWidth="1"/>
    <col min="43" max="43" width="14" hidden="1" customWidth="1" outlineLevel="2"/>
    <col min="44" max="44" width="8.19921875" hidden="1" customWidth="1" outlineLevel="2"/>
    <col min="45" max="46" width="5.59765625" hidden="1" customWidth="1" outlineLevel="2"/>
    <col min="47" max="47" width="13.8984375" customWidth="1" collapsed="1"/>
    <col min="48" max="49" width="4" customWidth="1"/>
    <col min="50" max="50" width="8.19921875" hidden="1" customWidth="1" outlineLevel="2"/>
    <col min="51" max="51" width="12.09765625" hidden="1" customWidth="1" outlineLevel="2"/>
    <col min="52" max="57" width="8.19921875" hidden="1" customWidth="1" outlineLevel="2"/>
    <col min="58" max="61" width="13" hidden="1" customWidth="1" outlineLevel="2"/>
    <col min="62" max="63" width="8.19921875" hidden="1" customWidth="1" outlineLevel="2"/>
    <col min="64" max="70" width="3.69921875" hidden="1" customWidth="1" outlineLevel="2"/>
    <col min="71" max="71" width="8.59765625" hidden="1" customWidth="1" outlineLevel="2"/>
    <col min="72" max="72" width="8.19921875" hidden="1" customWidth="1" outlineLevel="2"/>
    <col min="73" max="73" width="6" hidden="1" customWidth="1" outlineLevel="2"/>
    <col min="74" max="75" width="8.19921875" hidden="1" customWidth="1" outlineLevel="2"/>
    <col min="76" max="76" width="4.19921875" hidden="1" customWidth="1" outlineLevel="2"/>
    <col min="77" max="77" width="8.19921875" hidden="1" customWidth="1" outlineLevel="2"/>
    <col min="78" max="81" width="13" hidden="1" customWidth="1" outlineLevel="2"/>
    <col min="82" max="97" width="8.19921875" hidden="1" customWidth="1" outlineLevel="2"/>
    <col min="98" max="98" width="8.19921875" customWidth="1" collapsed="1"/>
    <col min="99" max="99" width="4.09765625" customWidth="1"/>
    <col min="100" max="100" width="12.19921875" customWidth="1"/>
    <col min="101" max="101" width="16.19921875" customWidth="1"/>
    <col min="102" max="102" width="12.19921875" customWidth="1"/>
  </cols>
  <sheetData>
    <row r="1" spans="1:102" ht="14.25" customHeight="1" x14ac:dyDescent="0.25">
      <c r="A1" s="24"/>
      <c r="B1" s="25"/>
      <c r="C1" s="25"/>
      <c r="D1" s="24"/>
      <c r="E1" s="26"/>
      <c r="F1" s="25"/>
      <c r="G1" s="25"/>
      <c r="H1" s="27"/>
      <c r="I1" s="24"/>
      <c r="J1" s="25"/>
      <c r="K1" s="25"/>
      <c r="L1" s="25"/>
      <c r="M1" s="25"/>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5"/>
      <c r="BF1" s="28" t="str">
        <f>+IF(BA3&gt;1,AZ3,IF(BA4&gt;1,AZ4,IF(BA5&gt;1,AZ5,IF(BA6&gt;1,AZ6,"-"))))</f>
        <v>-</v>
      </c>
      <c r="BG1" s="24"/>
      <c r="BH1" s="24"/>
      <c r="BI1" s="24"/>
      <c r="BJ1" s="24"/>
      <c r="BK1" s="24"/>
      <c r="BL1" s="24"/>
      <c r="BM1" s="24"/>
      <c r="BN1" s="24"/>
      <c r="BO1" s="24"/>
      <c r="BP1" s="24"/>
      <c r="BQ1" s="24"/>
      <c r="BR1" s="24"/>
      <c r="BS1" s="24"/>
      <c r="BT1" s="24"/>
      <c r="BU1" s="24"/>
      <c r="BV1" s="24"/>
      <c r="BW1" s="24">
        <v>10</v>
      </c>
      <c r="BX1" s="24"/>
      <c r="BY1" s="24"/>
      <c r="BZ1" s="29" t="str">
        <f>+IF(BC3&gt;1,BB3,IF(BC4&gt;1,BB4,IF(BC5&gt;1,BB5,IF(BC6&gt;1,BB6,"-"))))</f>
        <v>-</v>
      </c>
      <c r="CA1" s="24"/>
      <c r="CB1" s="24"/>
      <c r="CC1" s="24"/>
      <c r="CD1" s="24"/>
      <c r="CE1" s="24"/>
      <c r="CF1" s="24"/>
      <c r="CG1" s="24"/>
      <c r="CH1" s="24"/>
      <c r="CI1" s="24"/>
      <c r="CJ1" s="24"/>
      <c r="CK1" s="24"/>
      <c r="CL1" s="24"/>
      <c r="CM1" s="24"/>
      <c r="CN1" s="24"/>
      <c r="CO1" s="24"/>
      <c r="CP1" s="24"/>
      <c r="CQ1" s="24">
        <v>10</v>
      </c>
      <c r="CR1" s="24"/>
      <c r="CS1" s="30" t="s">
        <v>96</v>
      </c>
      <c r="CT1" s="24"/>
      <c r="CU1" s="24"/>
      <c r="CV1" s="31" t="s">
        <v>97</v>
      </c>
      <c r="CW1" s="32" t="s">
        <v>98</v>
      </c>
      <c r="CX1" s="33" t="s">
        <v>99</v>
      </c>
    </row>
    <row r="2" spans="1:102" ht="14.25" customHeight="1" x14ac:dyDescent="0.25">
      <c r="A2" s="34" t="s">
        <v>100</v>
      </c>
      <c r="B2" s="35" t="s">
        <v>101</v>
      </c>
      <c r="C2" s="35" t="s">
        <v>102</v>
      </c>
      <c r="D2" s="36"/>
      <c r="E2" s="37" t="s">
        <v>103</v>
      </c>
      <c r="F2" s="38"/>
      <c r="G2" s="38"/>
      <c r="H2" s="39"/>
      <c r="I2" s="24"/>
      <c r="J2" s="25" t="s">
        <v>104</v>
      </c>
      <c r="K2" s="25" t="s">
        <v>105</v>
      </c>
      <c r="L2" s="25" t="s">
        <v>105</v>
      </c>
      <c r="M2" s="25" t="s">
        <v>106</v>
      </c>
      <c r="N2" s="24"/>
      <c r="O2" s="27" t="str">
        <f t="shared" ref="O2:O3" si="0">+E2</f>
        <v>Grupo A</v>
      </c>
      <c r="P2" s="25" t="s">
        <v>104</v>
      </c>
      <c r="Q2" s="25" t="s">
        <v>105</v>
      </c>
      <c r="R2" s="25" t="s">
        <v>106</v>
      </c>
      <c r="S2" s="25" t="s">
        <v>107</v>
      </c>
      <c r="T2" s="25" t="s">
        <v>108</v>
      </c>
      <c r="U2" s="25" t="s">
        <v>109</v>
      </c>
      <c r="V2" s="25" t="s">
        <v>0</v>
      </c>
      <c r="W2" s="25"/>
      <c r="X2" s="24"/>
      <c r="Y2" s="482" t="s">
        <v>103</v>
      </c>
      <c r="Z2" s="475"/>
      <c r="AA2" s="40" t="s">
        <v>110</v>
      </c>
      <c r="AB2" s="41" t="s">
        <v>104</v>
      </c>
      <c r="AC2" s="41" t="s">
        <v>105</v>
      </c>
      <c r="AD2" s="41" t="s">
        <v>106</v>
      </c>
      <c r="AE2" s="41" t="s">
        <v>107</v>
      </c>
      <c r="AF2" s="41" t="s">
        <v>108</v>
      </c>
      <c r="AG2" s="41" t="s">
        <v>109</v>
      </c>
      <c r="AH2" s="42" t="s">
        <v>0</v>
      </c>
      <c r="AI2" s="43"/>
      <c r="AJ2" s="24"/>
      <c r="AK2" s="24"/>
      <c r="AL2" s="25" t="s">
        <v>0</v>
      </c>
      <c r="AM2" s="25" t="s">
        <v>111</v>
      </c>
      <c r="AN2" s="25"/>
      <c r="AO2" s="25"/>
      <c r="AP2" s="25"/>
      <c r="AQ2" s="25"/>
      <c r="AR2" s="25"/>
      <c r="AS2" s="25"/>
      <c r="AT2" s="25"/>
      <c r="AU2" s="25"/>
      <c r="AV2" s="24"/>
      <c r="AW2" s="24"/>
      <c r="AX2" s="24"/>
      <c r="AY2" s="25" t="s">
        <v>112</v>
      </c>
      <c r="AZ2" s="25" t="s">
        <v>0</v>
      </c>
      <c r="BA2" s="25" t="s">
        <v>113</v>
      </c>
      <c r="BB2" s="25"/>
      <c r="BC2" s="25"/>
      <c r="BD2" s="25"/>
      <c r="BE2" s="25"/>
      <c r="BF2" s="24"/>
      <c r="BG2" s="24"/>
      <c r="BH2" s="24"/>
      <c r="BI2" s="24"/>
      <c r="BJ2" s="24"/>
      <c r="BK2" s="27"/>
      <c r="BL2" s="27" t="s">
        <v>110</v>
      </c>
      <c r="BM2" s="25" t="s">
        <v>104</v>
      </c>
      <c r="BN2" s="25" t="s">
        <v>105</v>
      </c>
      <c r="BO2" s="25" t="s">
        <v>106</v>
      </c>
      <c r="BP2" s="25" t="s">
        <v>107</v>
      </c>
      <c r="BQ2" s="25" t="s">
        <v>108</v>
      </c>
      <c r="BR2" s="25" t="s">
        <v>109</v>
      </c>
      <c r="BS2" s="25" t="s">
        <v>0</v>
      </c>
      <c r="BT2" s="25" t="s">
        <v>114</v>
      </c>
      <c r="BU2" s="25"/>
      <c r="BV2" s="25" t="s">
        <v>115</v>
      </c>
      <c r="BW2" s="25" t="s">
        <v>114</v>
      </c>
      <c r="BX2" s="24"/>
      <c r="BY2" s="24"/>
      <c r="BZ2" s="24"/>
      <c r="CA2" s="24"/>
      <c r="CB2" s="24"/>
      <c r="CC2" s="24"/>
      <c r="CD2" s="24"/>
      <c r="CE2" s="27"/>
      <c r="CF2" s="27" t="s">
        <v>110</v>
      </c>
      <c r="CG2" s="25" t="s">
        <v>104</v>
      </c>
      <c r="CH2" s="25" t="s">
        <v>105</v>
      </c>
      <c r="CI2" s="25" t="s">
        <v>106</v>
      </c>
      <c r="CJ2" s="25" t="s">
        <v>107</v>
      </c>
      <c r="CK2" s="25" t="s">
        <v>108</v>
      </c>
      <c r="CL2" s="25" t="s">
        <v>109</v>
      </c>
      <c r="CM2" s="25" t="s">
        <v>0</v>
      </c>
      <c r="CN2" s="25" t="s">
        <v>114</v>
      </c>
      <c r="CO2" s="25"/>
      <c r="CP2" s="25" t="s">
        <v>115</v>
      </c>
      <c r="CQ2" s="25" t="s">
        <v>114</v>
      </c>
      <c r="CR2" s="24"/>
      <c r="CS2" s="30">
        <f ca="1">+SUMIF(AA:AA,3)</f>
        <v>144</v>
      </c>
      <c r="CT2" s="24"/>
      <c r="CU2" s="24"/>
      <c r="CV2" s="44" t="str">
        <f ca="1">+'Mejores 3eros'!AP2</f>
        <v>Repubilca Checa</v>
      </c>
      <c r="CW2" s="45" t="str">
        <f ca="1">+_xlfn.XLOOKUP(CV2,'Mejores 3eros'!$BD$2:$BD$13,'Mejores 3eros'!$BG$2:$BG$13,"-",0)</f>
        <v>IN</v>
      </c>
      <c r="CX2" s="46" t="s">
        <v>116</v>
      </c>
    </row>
    <row r="3" spans="1:102" ht="14.25" customHeight="1" x14ac:dyDescent="0.25">
      <c r="A3" s="47" t="s">
        <v>117</v>
      </c>
      <c r="B3" s="48">
        <v>46184</v>
      </c>
      <c r="C3" s="49"/>
      <c r="D3" s="50"/>
      <c r="E3" s="51" t="s">
        <v>62</v>
      </c>
      <c r="F3" s="52">
        <v>2</v>
      </c>
      <c r="G3" s="52">
        <v>0</v>
      </c>
      <c r="H3" s="53" t="s">
        <v>82</v>
      </c>
      <c r="I3" s="24"/>
      <c r="J3" s="25" t="str">
        <f t="shared" ref="J3:J8" si="1">IF(OR(ISBLANK(F3),ISBLANK(G3)),"",IF(F3&gt;G3,E3,IF(G3&gt;F3,H3,"")))</f>
        <v>Mexico</v>
      </c>
      <c r="K3" s="25" t="str">
        <f t="shared" ref="K3:K8" si="2">IF(OR(ISBLANK(F3),ISBLANK(G3)),"",IF(F3=G3,E3,""))</f>
        <v/>
      </c>
      <c r="L3" s="25" t="str">
        <f t="shared" ref="L3:L8" si="3">IF(OR(ISBLANK(F3),ISBLANK(G3)),"",IF(F3=G3,H3,""))</f>
        <v/>
      </c>
      <c r="M3" s="25" t="str">
        <f t="shared" ref="M3:M8" si="4">IF(OR(ISBLANK(F3),ISBLANK(G3)),"",IF(F3&lt;G3,E3,IF(G3&lt;F3,H3,"")))</f>
        <v>Sudafrica</v>
      </c>
      <c r="N3" s="24"/>
      <c r="O3" s="27" t="str">
        <f t="shared" si="0"/>
        <v>Mexico</v>
      </c>
      <c r="P3" s="25">
        <f>+COUNTIF(J3:J8,"="&amp;$O3)</f>
        <v>2</v>
      </c>
      <c r="Q3" s="25">
        <f>+COUNTIF(K3:L8,"="&amp;$O3)</f>
        <v>1</v>
      </c>
      <c r="R3" s="25">
        <f>+COUNTIF(M3:M8,"="&amp;$O3)</f>
        <v>0</v>
      </c>
      <c r="S3" s="25">
        <f t="shared" ref="S3:S6" si="5">+T3-U3</f>
        <v>3</v>
      </c>
      <c r="T3" s="25">
        <f>+SUMIF(E3:E8,$O3,F3:F8)+SUMIF(H3:H8,$O3,G3:G8)</f>
        <v>5</v>
      </c>
      <c r="U3" s="25">
        <f>+SUMIF(E3:E8,$O3,G3:G8)+SUMIF(H3:H8,$O3,F3:F8)</f>
        <v>2</v>
      </c>
      <c r="V3" s="54">
        <f t="shared" ref="V3:V6" ca="1" si="6">+P3*3+Q3*1+BT3+CN3+S3/1000+T3/10000+AV3/1000000+ROW()/10000000</f>
        <v>7.0035002999999998</v>
      </c>
      <c r="W3" s="27" t="str">
        <f t="shared" ref="W3:W6" si="7">+O3</f>
        <v>Mexico</v>
      </c>
      <c r="X3" s="24"/>
      <c r="Y3" s="55" t="str">
        <f>+CONCATENATE("1",RIGHT(E2,1))</f>
        <v>1A</v>
      </c>
      <c r="Z3" s="56" t="str">
        <f ca="1">+VLOOKUP(AL3,V3:W6,2,FALSE)</f>
        <v>Mexico</v>
      </c>
      <c r="AA3" s="57">
        <f t="shared" ref="AA3:AA6" ca="1" si="8">+SUM(AB3:AD3)</f>
        <v>3</v>
      </c>
      <c r="AB3" s="58">
        <f t="shared" ref="AB3:AG3" ca="1" si="9">+VLOOKUP($Z3,$O$3:$U$6,COLUMN()-26,FALSE)</f>
        <v>2</v>
      </c>
      <c r="AC3" s="58">
        <f t="shared" ca="1" si="9"/>
        <v>1</v>
      </c>
      <c r="AD3" s="58">
        <f t="shared" ca="1" si="9"/>
        <v>0</v>
      </c>
      <c r="AE3" s="58">
        <f t="shared" ca="1" si="9"/>
        <v>3</v>
      </c>
      <c r="AF3" s="58">
        <f t="shared" ca="1" si="9"/>
        <v>5</v>
      </c>
      <c r="AG3" s="58">
        <f t="shared" ca="1" si="9"/>
        <v>2</v>
      </c>
      <c r="AH3" s="59">
        <f t="shared" ref="AH3:AH6" ca="1" si="10">+VLOOKUP($Z3,$O$3:$V$6,COLUMN()-26,FALSE)</f>
        <v>7.0035002999999998</v>
      </c>
      <c r="AI3" s="60"/>
      <c r="AJ3" s="24"/>
      <c r="AK3" s="24"/>
      <c r="AL3" s="54">
        <f ca="1">+LARGE(V3:V6,1)</f>
        <v>7.0035002999999998</v>
      </c>
      <c r="AM3" s="61">
        <f t="shared" ref="AM3:AM6" ca="1" si="11">+(AH3-AL3)*100000000000000000000</f>
        <v>0</v>
      </c>
      <c r="AN3" s="24"/>
      <c r="AO3" s="24"/>
      <c r="AP3" s="62" t="str">
        <f t="shared" ref="AP3:AP6" si="12">+O3</f>
        <v>Mexico</v>
      </c>
      <c r="AQ3" s="28">
        <f t="shared" ref="AQ3:AQ6" ca="1" si="13">+P3*3+Q3*1+BT3+CN3+S3/1000+T3/10000</f>
        <v>7.0034999999999998</v>
      </c>
      <c r="AR3" s="24" t="b">
        <f ca="1">+IF(OR(AQ3=AQ4,AQ3=AQ5,AQ3=AQ6),1)</f>
        <v>0</v>
      </c>
      <c r="AS3" s="63">
        <f t="shared" ref="AS3:AS6" si="14">+AV3</f>
        <v>0</v>
      </c>
      <c r="AT3" s="63">
        <f ca="1">+IF(AND(AM7="si",OR(AR3=1,AR4=1,AR5=1)),1,0)</f>
        <v>0</v>
      </c>
      <c r="AU3" s="64" t="str">
        <f t="shared" ref="AU3:AU6" si="15">+O3</f>
        <v>Mexico</v>
      </c>
      <c r="AV3" s="65"/>
      <c r="AW3" s="24"/>
      <c r="AX3" s="24" t="str">
        <f>+Y2</f>
        <v>Grupo A</v>
      </c>
      <c r="AY3" s="25" t="str">
        <f t="shared" ref="AY3:AY6" si="16">+O3</f>
        <v>Mexico</v>
      </c>
      <c r="AZ3" s="29">
        <f t="shared" ref="AZ3:AZ6" si="17">+P3*3+Q3</f>
        <v>7</v>
      </c>
      <c r="BA3" s="29">
        <f t="shared" ref="BA3:BA6" si="18">+COUNTIFS($AX$1:AX3,AX3,$AZ$1:AZ3,AZ3)</f>
        <v>1</v>
      </c>
      <c r="BB3" s="29">
        <f>+IF(AZ3=BF1,ROW()*0.001,AZ3)</f>
        <v>7</v>
      </c>
      <c r="BC3" s="29">
        <f t="shared" ref="BC3:BC6" si="19">+COUNTIFS($AX$1:AZ3,AZ3,$AZ$1:BB3,BB3)</f>
        <v>1</v>
      </c>
      <c r="BD3" s="29"/>
      <c r="BE3" s="26" t="e">
        <f ca="1">+IF(OR(BF3="-",BI3="-",BF1=0),"-","OK")</f>
        <v>#NAME?</v>
      </c>
      <c r="BF3" s="66" t="e">
        <f t="array" aca="1" ref="BF3" ca="1">+IF(_xludf.XLOOKUP($E3,$AY:$AY,$AZ:$AZ,"-",0)=BF1,$E3,"-")</f>
        <v>#NAME?</v>
      </c>
      <c r="BG3" s="67">
        <f t="shared" ref="BG3:BG8" si="20">+$F3</f>
        <v>2</v>
      </c>
      <c r="BH3" s="68">
        <f t="shared" ref="BH3:BH8" si="21">+$G3</f>
        <v>0</v>
      </c>
      <c r="BI3" s="66" t="e">
        <f t="array" aca="1" ref="BI3" ca="1">+IF(_xludf.XLOOKUP($H3,$AY:$AY,$AZ:$AZ,"-",0)=BF1,$H3,"-")</f>
        <v>#NAME?</v>
      </c>
      <c r="BJ3" s="24"/>
      <c r="BK3" s="27" t="str">
        <f t="shared" ref="BK3:BK6" si="22">+O3</f>
        <v>Mexico</v>
      </c>
      <c r="BL3" s="27">
        <f t="shared" ref="BL3:BL6" ca="1" si="23">+COUNTIFS($BE:$BE,"OK",$BI:$BI,BK3)+COUNTIFS($BE:$BE,"OK",$BF:$BF,BK3)</f>
        <v>0</v>
      </c>
      <c r="BM3" s="25">
        <f t="shared" ref="BM3:BM6" ca="1" si="24">+COUNTIFS(J:J,$BK3,$BE:$BE,"OK")</f>
        <v>0</v>
      </c>
      <c r="BN3" s="25">
        <f t="shared" ref="BN3:BN6" ca="1" si="25">+COUNTIFS(K:K,$BK3,$BE:$BE,"OK")+COUNTIFS(L:L,$BK3,$BE:$BE,"OK")</f>
        <v>0</v>
      </c>
      <c r="BO3" s="25">
        <f t="shared" ref="BO3:BO6" si="26">+COUNTIFS(M:M,$BK3,$BE:$BE,"OK")</f>
        <v>0</v>
      </c>
      <c r="BP3" s="25">
        <f t="shared" ref="BP3:BP6" ca="1" si="27">+BQ3-BR3</f>
        <v>0</v>
      </c>
      <c r="BQ3" s="25">
        <f t="shared" ref="BQ3:BQ6" ca="1" si="28">+SUMIFS(BG:BG,$BE:$BE,"OK",BF:BF,$BK3)+SUMIFS(BH:BH,$BE:$BE,"OK",BI:BI,$BK3)</f>
        <v>0</v>
      </c>
      <c r="BR3" s="25">
        <f t="shared" ref="BR3:BR6" ca="1" si="29">+SUMIFS(BH:BH,$BE:$BE,"OK",BF:BF,$BK3)+SUMIFS(BG:BG,$BE:$BE,"OK",BI:BI,$BK3)</f>
        <v>0</v>
      </c>
      <c r="BS3" s="69">
        <f t="shared" ref="BS3:BS6" ca="1" si="30">+BM3*3+BN3*1+BP3/100+BQ3/10000</f>
        <v>0</v>
      </c>
      <c r="BT3" s="29">
        <f t="array" aca="1" ref="BT3" ca="1">+IF(BL3=0,0,_xludf.XLOOKUP(BS3,BV3:BV6,BW3:BW6))</f>
        <v>0</v>
      </c>
      <c r="BU3" s="54"/>
      <c r="BV3" s="25">
        <f ca="1">+LARGE(BS3:BS6,1)</f>
        <v>0</v>
      </c>
      <c r="BW3" s="25">
        <f t="shared" ref="BW3:BW6" si="31">+BX3/$BW$1</f>
        <v>0.3</v>
      </c>
      <c r="BX3" s="24">
        <v>3</v>
      </c>
      <c r="BY3" s="26" t="e">
        <f t="shared" ref="BY3:BY8" ca="1" si="32">+IF(OR(BZ3="-",CC3="-"),"-","OK")</f>
        <v>#NAME?</v>
      </c>
      <c r="BZ3" s="66" t="e">
        <f t="array" aca="1" ref="BZ3" ca="1">+IF(_xludf.XLOOKUP($E3,$AY:$AY,$AZ:$AZ,"-",0)=BZ1,$E3,"-")</f>
        <v>#NAME?</v>
      </c>
      <c r="CA3" s="67">
        <f t="shared" ref="CA3:CA8" si="33">+$F3</f>
        <v>2</v>
      </c>
      <c r="CB3" s="68">
        <f t="shared" ref="CB3:CB8" si="34">+$G3</f>
        <v>0</v>
      </c>
      <c r="CC3" s="66" t="e">
        <f t="array" aca="1" ref="CC3" ca="1">+IF(_xludf.XLOOKUP($H3,$AY:$AY,$AZ:$AZ,"-",0)=BZ1,$H3,"-")</f>
        <v>#NAME?</v>
      </c>
      <c r="CD3" s="24"/>
      <c r="CE3" s="27" t="str">
        <f t="shared" ref="CE3:CE6" si="35">+BK3</f>
        <v>Mexico</v>
      </c>
      <c r="CF3" s="27">
        <f t="shared" ref="CF3:CF6" ca="1" si="36">+COUNTIFS($BY:$BY,"OK",$CC:$CC,CE3)+COUNTIFS($BY:$BY,"OK",$BZ:$BZ,CE3)</f>
        <v>0</v>
      </c>
      <c r="CG3" s="25">
        <f t="shared" ref="CG3:CG6" si="37">+COUNTIFS(P:P,$BK3,$BY:$BY,"OK")</f>
        <v>0</v>
      </c>
      <c r="CH3" s="25">
        <f t="shared" ref="CH3:CH6" ca="1" si="38">+COUNTIFS(K:K,$BK3,$BY:$BY,"OK")+COUNTIFS(L:L,$BK3,$BY:$BY,"OK")</f>
        <v>0</v>
      </c>
      <c r="CI3" s="25">
        <f t="shared" ref="CI3:CI6" si="39">+COUNTIFS(M:M,$CE3,$BY:$BY,"OK")</f>
        <v>0</v>
      </c>
      <c r="CJ3" s="25">
        <f t="shared" ref="CJ3:CJ6" ca="1" si="40">+CK3-CL3</f>
        <v>0</v>
      </c>
      <c r="CK3" s="25">
        <f t="shared" ref="CK3:CK6" ca="1" si="41">+SUMIFS(CA:CA,$BY:$BY,"OK",BZ:BZ,$BK3)+SUMIFS(CB:CB,$BY:$BY,"OK",CC:CC,$BK3)</f>
        <v>0</v>
      </c>
      <c r="CL3" s="25">
        <f t="shared" ref="CL3:CL6" ca="1" si="42">+SUMIFS(CB:CB,$BY:$BY,"OK",BZ:BZ,$BK3)+SUMIFS(CA:CA,$BY:$BY,"OK",CC:CC,$BK3)</f>
        <v>0</v>
      </c>
      <c r="CM3" s="69">
        <f t="shared" ref="CM3:CM6" ca="1" si="43">+CG3*3+CH3*1+CJ3/100+CK3/10000</f>
        <v>0</v>
      </c>
      <c r="CN3" s="29">
        <f t="array" aca="1" ref="CN3" ca="1">+IF(CF3=0,0,_xludf.XLOOKUP(CM3,CP3:CP6,CQ3:CQ6))</f>
        <v>0</v>
      </c>
      <c r="CO3" s="54"/>
      <c r="CP3" s="25">
        <f ca="1">+LARGE(CM3:CM6,1)</f>
        <v>0</v>
      </c>
      <c r="CQ3" s="25">
        <f t="shared" ref="CQ3:CQ6" si="44">+CR3/$BW$1</f>
        <v>0.3</v>
      </c>
      <c r="CR3" s="24">
        <v>3</v>
      </c>
      <c r="CS3" s="30">
        <f>12*12</f>
        <v>144</v>
      </c>
      <c r="CT3" s="24"/>
      <c r="CU3" s="24"/>
      <c r="CV3" s="44" t="str">
        <f ca="1">+'Mejores 3eros'!AP3</f>
        <v>Canada</v>
      </c>
      <c r="CW3" s="45" t="str">
        <f ca="1">+_xlfn.XLOOKUP(CV3,'Mejores 3eros'!$BD$2:$BD$13,'Mejores 3eros'!$BG$2:$BG$13,"-",0)</f>
        <v>OUT</v>
      </c>
      <c r="CX3" s="70" t="s">
        <v>116</v>
      </c>
    </row>
    <row r="4" spans="1:102" ht="14.25" customHeight="1" x14ac:dyDescent="0.25">
      <c r="A4" s="47" t="s">
        <v>118</v>
      </c>
      <c r="B4" s="48">
        <v>46184</v>
      </c>
      <c r="C4" s="49"/>
      <c r="D4" s="50"/>
      <c r="E4" s="51" t="s">
        <v>68</v>
      </c>
      <c r="F4" s="52">
        <v>2</v>
      </c>
      <c r="G4" s="52">
        <v>1</v>
      </c>
      <c r="H4" s="53" t="s">
        <v>79</v>
      </c>
      <c r="I4" s="24"/>
      <c r="J4" s="25" t="str">
        <f t="shared" si="1"/>
        <v>Corea del Sur</v>
      </c>
      <c r="K4" s="25" t="str">
        <f t="shared" si="2"/>
        <v/>
      </c>
      <c r="L4" s="25" t="str">
        <f t="shared" si="3"/>
        <v/>
      </c>
      <c r="M4" s="25" t="str">
        <f t="shared" si="4"/>
        <v>Repubilca Checa</v>
      </c>
      <c r="N4" s="24"/>
      <c r="O4" s="27" t="str">
        <f>+H3</f>
        <v>Sudafrica</v>
      </c>
      <c r="P4" s="25">
        <f>+COUNTIF(J3:J8,"="&amp;$O4)</f>
        <v>0</v>
      </c>
      <c r="Q4" s="25">
        <f>+COUNTIF(K3:L8,"="&amp;$O4)</f>
        <v>0</v>
      </c>
      <c r="R4" s="25">
        <f>+COUNTIF(M3:M8,"="&amp;$O4)</f>
        <v>3</v>
      </c>
      <c r="S4" s="25">
        <f t="shared" si="5"/>
        <v>-4</v>
      </c>
      <c r="T4" s="25">
        <f>+SUMIF(E3:E8,$O4,F3:F8)+SUMIF(H3:H8,$O4,G3:G8)</f>
        <v>0</v>
      </c>
      <c r="U4" s="25">
        <f>+SUMIF(E3:E8,$O4,G3:G8)+SUMIF(H3:H8,$O4,F3:F8)</f>
        <v>4</v>
      </c>
      <c r="V4" s="54">
        <f t="shared" ca="1" si="6"/>
        <v>-3.9995999999999999E-3</v>
      </c>
      <c r="W4" s="27" t="str">
        <f t="shared" si="7"/>
        <v>Sudafrica</v>
      </c>
      <c r="X4" s="24"/>
      <c r="Y4" s="71" t="str">
        <f>+CONCATENATE("2",RIGHT(E2,1))</f>
        <v>2A</v>
      </c>
      <c r="Z4" s="72" t="str">
        <f ca="1">+VLOOKUP(AL4,V3:W6,2,FALSE)</f>
        <v>Corea del Sur</v>
      </c>
      <c r="AA4" s="73">
        <f t="shared" ca="1" si="8"/>
        <v>3</v>
      </c>
      <c r="AB4" s="74">
        <f t="shared" ref="AB4:AG4" ca="1" si="45">+VLOOKUP($Z4,$O$3:$U$6,COLUMN()-26,FALSE)</f>
        <v>2</v>
      </c>
      <c r="AC4" s="74">
        <f t="shared" ca="1" si="45"/>
        <v>0</v>
      </c>
      <c r="AD4" s="74">
        <f t="shared" ca="1" si="45"/>
        <v>1</v>
      </c>
      <c r="AE4" s="74">
        <f t="shared" ca="1" si="45"/>
        <v>1</v>
      </c>
      <c r="AF4" s="74">
        <f t="shared" ca="1" si="45"/>
        <v>4</v>
      </c>
      <c r="AG4" s="74">
        <f t="shared" ca="1" si="45"/>
        <v>3</v>
      </c>
      <c r="AH4" s="75">
        <f t="shared" ca="1" si="10"/>
        <v>6.0014004999999999</v>
      </c>
      <c r="AI4" s="60"/>
      <c r="AJ4" s="24"/>
      <c r="AK4" s="24"/>
      <c r="AL4" s="54">
        <f ca="1">+LARGE(V3:V6,2)</f>
        <v>6.0014004999999999</v>
      </c>
      <c r="AM4" s="61">
        <f t="shared" ca="1" si="11"/>
        <v>0</v>
      </c>
      <c r="AN4" s="24"/>
      <c r="AO4" s="24"/>
      <c r="AP4" s="62" t="str">
        <f t="shared" si="12"/>
        <v>Sudafrica</v>
      </c>
      <c r="AQ4" s="28">
        <f t="shared" ca="1" si="13"/>
        <v>-4.0000000000000001E-3</v>
      </c>
      <c r="AR4" s="24" t="b">
        <f ca="1">+IF(OR(AQ4=AQ5,AQ4=AQ6),1)</f>
        <v>0</v>
      </c>
      <c r="AS4" s="63">
        <f t="shared" si="14"/>
        <v>0</v>
      </c>
      <c r="AT4" s="63">
        <f ca="1">+IF(AND(AM7="si",OR(AR3=1,AR4=1,AR5=1)),1,0)</f>
        <v>0</v>
      </c>
      <c r="AU4" s="76" t="str">
        <f t="shared" si="15"/>
        <v>Sudafrica</v>
      </c>
      <c r="AV4" s="77"/>
      <c r="AW4" s="24"/>
      <c r="AX4" s="24" t="str">
        <f>+Y2</f>
        <v>Grupo A</v>
      </c>
      <c r="AY4" s="25" t="str">
        <f t="shared" si="16"/>
        <v>Sudafrica</v>
      </c>
      <c r="AZ4" s="29">
        <f t="shared" si="17"/>
        <v>0</v>
      </c>
      <c r="BA4" s="29">
        <f t="shared" si="18"/>
        <v>1</v>
      </c>
      <c r="BB4" s="29">
        <f>+IF(AZ4=BF1,ROW()*0.001,AZ4)</f>
        <v>0</v>
      </c>
      <c r="BC4" s="29">
        <f t="shared" si="19"/>
        <v>1</v>
      </c>
      <c r="BD4" s="29"/>
      <c r="BE4" s="26" t="e">
        <f ca="1">+IF(OR(BF4="-",BI4="-",BF1=0),"-","OK")</f>
        <v>#NAME?</v>
      </c>
      <c r="BF4" s="66" t="e">
        <f t="array" aca="1" ref="BF4" ca="1">+IF(_xludf.XLOOKUP($E4,$AY:$AY,$AZ:$AZ,"-",0)=BF1,$E4,"-")</f>
        <v>#NAME?</v>
      </c>
      <c r="BG4" s="67">
        <f t="shared" si="20"/>
        <v>2</v>
      </c>
      <c r="BH4" s="68">
        <f t="shared" si="21"/>
        <v>1</v>
      </c>
      <c r="BI4" s="66" t="e">
        <f t="array" aca="1" ref="BI4" ca="1">+IF(_xludf.XLOOKUP($H4,$AY:$AY,$AZ:$AZ,"-",0)=BF1,$H4,"-")</f>
        <v>#NAME?</v>
      </c>
      <c r="BJ4" s="24"/>
      <c r="BK4" s="27" t="str">
        <f t="shared" si="22"/>
        <v>Sudafrica</v>
      </c>
      <c r="BL4" s="27">
        <f t="shared" ca="1" si="23"/>
        <v>0</v>
      </c>
      <c r="BM4" s="25">
        <f t="shared" si="24"/>
        <v>0</v>
      </c>
      <c r="BN4" s="25">
        <f t="shared" si="25"/>
        <v>0</v>
      </c>
      <c r="BO4" s="25">
        <f t="shared" ca="1" si="26"/>
        <v>0</v>
      </c>
      <c r="BP4" s="25">
        <f t="shared" ca="1" si="27"/>
        <v>0</v>
      </c>
      <c r="BQ4" s="25">
        <f t="shared" ca="1" si="28"/>
        <v>0</v>
      </c>
      <c r="BR4" s="25">
        <f t="shared" ca="1" si="29"/>
        <v>0</v>
      </c>
      <c r="BS4" s="69">
        <f t="shared" ca="1" si="30"/>
        <v>0</v>
      </c>
      <c r="BT4" s="29">
        <f t="array" aca="1" ref="BT4" ca="1">+IF(BL4=0,0,_xludf.XLOOKUP(BS4,BV3:BV6,BW3:BW6))</f>
        <v>0</v>
      </c>
      <c r="BU4" s="54"/>
      <c r="BV4" s="25">
        <f ca="1">+LARGE(BS3:BS6,2)</f>
        <v>0</v>
      </c>
      <c r="BW4" s="25">
        <f t="shared" si="31"/>
        <v>0.2</v>
      </c>
      <c r="BX4" s="24">
        <v>2</v>
      </c>
      <c r="BY4" s="26" t="e">
        <f t="shared" ca="1" si="32"/>
        <v>#NAME?</v>
      </c>
      <c r="BZ4" s="66" t="e">
        <f t="array" aca="1" ref="BZ4" ca="1">+IF(_xludf.XLOOKUP($E4,$AY:$AY,$AZ:$AZ,"-",0)=BZ1,$E4,"-")</f>
        <v>#NAME?</v>
      </c>
      <c r="CA4" s="67">
        <f t="shared" si="33"/>
        <v>2</v>
      </c>
      <c r="CB4" s="68">
        <f t="shared" si="34"/>
        <v>1</v>
      </c>
      <c r="CC4" s="66" t="e">
        <f t="array" aca="1" ref="CC4" ca="1">+IF(_xludf.XLOOKUP($H4,$AY:$AY,$AZ:$AZ,"-",0)=BZ1,$H4,"-")</f>
        <v>#NAME?</v>
      </c>
      <c r="CD4" s="24"/>
      <c r="CE4" s="27" t="str">
        <f t="shared" si="35"/>
        <v>Sudafrica</v>
      </c>
      <c r="CF4" s="27">
        <f t="shared" ca="1" si="36"/>
        <v>0</v>
      </c>
      <c r="CG4" s="25">
        <f t="shared" si="37"/>
        <v>0</v>
      </c>
      <c r="CH4" s="25">
        <f t="shared" si="38"/>
        <v>0</v>
      </c>
      <c r="CI4" s="25">
        <f t="shared" ca="1" si="39"/>
        <v>0</v>
      </c>
      <c r="CJ4" s="25">
        <f t="shared" ca="1" si="40"/>
        <v>0</v>
      </c>
      <c r="CK4" s="25">
        <f t="shared" ca="1" si="41"/>
        <v>0</v>
      </c>
      <c r="CL4" s="25">
        <f t="shared" ca="1" si="42"/>
        <v>0</v>
      </c>
      <c r="CM4" s="69">
        <f t="shared" ca="1" si="43"/>
        <v>0</v>
      </c>
      <c r="CN4" s="29">
        <f t="array" aca="1" ref="CN4" ca="1">+IF(CF4=0,0,_xludf.XLOOKUP(CM4,CP3:CP6,CQ3:CQ6))</f>
        <v>0</v>
      </c>
      <c r="CO4" s="54"/>
      <c r="CP4" s="25">
        <f ca="1">+LARGE(CM3:CM6,2)</f>
        <v>0</v>
      </c>
      <c r="CQ4" s="25">
        <f t="shared" si="44"/>
        <v>0.2</v>
      </c>
      <c r="CR4" s="24">
        <v>2</v>
      </c>
      <c r="CS4" s="30" t="str">
        <f ca="1">+IF(CS2=CS3,"OK","-")</f>
        <v>OK</v>
      </c>
      <c r="CT4" s="24"/>
      <c r="CU4" s="24"/>
      <c r="CV4" s="44" t="str">
        <f ca="1">+'Mejores 3eros'!AP4</f>
        <v>Escocia</v>
      </c>
      <c r="CW4" s="45" t="str">
        <f ca="1">+_xlfn.XLOOKUP(CV4,'Mejores 3eros'!$BD$2:$BD$13,'Mejores 3eros'!$BG$2:$BG$13,"-",0)</f>
        <v>IN</v>
      </c>
      <c r="CX4" s="70"/>
    </row>
    <row r="5" spans="1:102" ht="14.25" customHeight="1" x14ac:dyDescent="0.25">
      <c r="A5" s="47" t="s">
        <v>119</v>
      </c>
      <c r="B5" s="48">
        <v>46191</v>
      </c>
      <c r="C5" s="49"/>
      <c r="D5" s="50"/>
      <c r="E5" s="51" t="s">
        <v>79</v>
      </c>
      <c r="F5" s="52">
        <v>1</v>
      </c>
      <c r="G5" s="52">
        <v>0</v>
      </c>
      <c r="H5" s="53" t="s">
        <v>82</v>
      </c>
      <c r="I5" s="24"/>
      <c r="J5" s="25" t="str">
        <f t="shared" si="1"/>
        <v>Repubilca Checa</v>
      </c>
      <c r="K5" s="25" t="str">
        <f t="shared" si="2"/>
        <v/>
      </c>
      <c r="L5" s="25" t="str">
        <f t="shared" si="3"/>
        <v/>
      </c>
      <c r="M5" s="25" t="str">
        <f t="shared" si="4"/>
        <v>Sudafrica</v>
      </c>
      <c r="N5" s="24"/>
      <c r="O5" s="27" t="str">
        <f>+E4</f>
        <v>Corea del Sur</v>
      </c>
      <c r="P5" s="25">
        <f>+COUNTIF(J3:J8,"="&amp;$O5)</f>
        <v>2</v>
      </c>
      <c r="Q5" s="25">
        <f>+COUNTIF(K3:L8,"="&amp;$O5)</f>
        <v>0</v>
      </c>
      <c r="R5" s="25">
        <f>+COUNTIF(M3:M8,"="&amp;$O5)</f>
        <v>1</v>
      </c>
      <c r="S5" s="25">
        <f t="shared" si="5"/>
        <v>1</v>
      </c>
      <c r="T5" s="25">
        <f>+SUMIF(E3:E8,$O5,F3:F8)+SUMIF(H3:H8,$O5,G3:G8)</f>
        <v>4</v>
      </c>
      <c r="U5" s="25">
        <f>+SUMIF(E3:E8,$O5,G3:G8)+SUMIF(H3:H8,$O5,F3:F8)</f>
        <v>3</v>
      </c>
      <c r="V5" s="54">
        <f t="shared" ca="1" si="6"/>
        <v>6.0014004999999999</v>
      </c>
      <c r="W5" s="27" t="str">
        <f t="shared" si="7"/>
        <v>Corea del Sur</v>
      </c>
      <c r="X5" s="24"/>
      <c r="Y5" s="78" t="str">
        <f>+CONCATENATE("3",RIGHT(E2,1))</f>
        <v>3A</v>
      </c>
      <c r="Z5" s="79" t="str">
        <f ca="1">+VLOOKUP(AL5,V3:W6,2,FALSE)</f>
        <v>Repubilca Checa</v>
      </c>
      <c r="AA5" s="80">
        <f t="shared" ca="1" si="8"/>
        <v>3</v>
      </c>
      <c r="AB5" s="81">
        <f t="shared" ref="AB5:AG5" ca="1" si="46">+VLOOKUP($Z5,$O$3:$U$6,COLUMN()-26,FALSE)</f>
        <v>1</v>
      </c>
      <c r="AC5" s="81">
        <f t="shared" ca="1" si="46"/>
        <v>1</v>
      </c>
      <c r="AD5" s="81">
        <f t="shared" ca="1" si="46"/>
        <v>1</v>
      </c>
      <c r="AE5" s="81">
        <f t="shared" ca="1" si="46"/>
        <v>0</v>
      </c>
      <c r="AF5" s="81">
        <f t="shared" ca="1" si="46"/>
        <v>3</v>
      </c>
      <c r="AG5" s="81">
        <f t="shared" ca="1" si="46"/>
        <v>3</v>
      </c>
      <c r="AH5" s="82">
        <f t="shared" ca="1" si="10"/>
        <v>4.0003006000000001</v>
      </c>
      <c r="AI5" s="83">
        <f ca="1">+(COUNTIFS($CV$2:$CV$13,Z5,$CX$2:$CX$13,"IN")+COUNTIFS($CV$2:$CV$13,Z5,$CW$2:$CW$13,"IN"))*IF(SUM(AA3:AA6)=12,1,0)</f>
        <v>1</v>
      </c>
      <c r="AJ5" s="24"/>
      <c r="AK5" s="24"/>
      <c r="AL5" s="54">
        <f ca="1">+LARGE(V3:V6,3)</f>
        <v>4.0003006000000001</v>
      </c>
      <c r="AM5" s="61">
        <f t="shared" ca="1" si="11"/>
        <v>0</v>
      </c>
      <c r="AN5" s="24"/>
      <c r="AO5" s="24"/>
      <c r="AP5" s="62" t="str">
        <f t="shared" si="12"/>
        <v>Corea del Sur</v>
      </c>
      <c r="AQ5" s="28">
        <f t="shared" ca="1" si="13"/>
        <v>6.0014000000000003</v>
      </c>
      <c r="AR5" s="24" t="b">
        <f ca="1">+IF(OR(AQ5=AQ6),1)</f>
        <v>0</v>
      </c>
      <c r="AS5" s="63">
        <f t="shared" si="14"/>
        <v>0</v>
      </c>
      <c r="AT5" s="63">
        <f ca="1">+IF(AND(AM7="si",OR(AR3=1,AR4=1,AR5=1)),1,0)</f>
        <v>0</v>
      </c>
      <c r="AU5" s="76" t="str">
        <f t="shared" si="15"/>
        <v>Corea del Sur</v>
      </c>
      <c r="AV5" s="77"/>
      <c r="AW5" s="24"/>
      <c r="AX5" s="24" t="str">
        <f>+Y2</f>
        <v>Grupo A</v>
      </c>
      <c r="AY5" s="25" t="str">
        <f t="shared" si="16"/>
        <v>Corea del Sur</v>
      </c>
      <c r="AZ5" s="29">
        <f t="shared" si="17"/>
        <v>6</v>
      </c>
      <c r="BA5" s="29">
        <f t="shared" si="18"/>
        <v>1</v>
      </c>
      <c r="BB5" s="29">
        <f>+IF(AZ5=BF1,ROW()*0.001,AZ5)</f>
        <v>6</v>
      </c>
      <c r="BC5" s="29">
        <f t="shared" si="19"/>
        <v>1</v>
      </c>
      <c r="BD5" s="29"/>
      <c r="BE5" s="26" t="e">
        <f ca="1">+IF(OR(BF5="-",BI5="-",BF1=0),"-","OK")</f>
        <v>#NAME?</v>
      </c>
      <c r="BF5" s="66" t="e">
        <f t="array" aca="1" ref="BF5" ca="1">+IF(_xludf.XLOOKUP($E5,$AY:$AY,$AZ:$AZ,"-",0)=BF1,$E5,"-")</f>
        <v>#NAME?</v>
      </c>
      <c r="BG5" s="67">
        <f t="shared" si="20"/>
        <v>1</v>
      </c>
      <c r="BH5" s="68">
        <f t="shared" si="21"/>
        <v>0</v>
      </c>
      <c r="BI5" s="66" t="e">
        <f t="array" aca="1" ref="BI5" ca="1">+IF(_xludf.XLOOKUP($H5,$AY:$AY,$AZ:$AZ,"-",0)=BF1,$H5,"-")</f>
        <v>#NAME?</v>
      </c>
      <c r="BJ5" s="24"/>
      <c r="BK5" s="27" t="str">
        <f t="shared" si="22"/>
        <v>Corea del Sur</v>
      </c>
      <c r="BL5" s="27">
        <f t="shared" ca="1" si="23"/>
        <v>0</v>
      </c>
      <c r="BM5" s="25">
        <f t="shared" ca="1" si="24"/>
        <v>0</v>
      </c>
      <c r="BN5" s="25">
        <f t="shared" si="25"/>
        <v>0</v>
      </c>
      <c r="BO5" s="25">
        <f t="shared" ca="1" si="26"/>
        <v>0</v>
      </c>
      <c r="BP5" s="25">
        <f t="shared" ca="1" si="27"/>
        <v>0</v>
      </c>
      <c r="BQ5" s="25">
        <f t="shared" ca="1" si="28"/>
        <v>0</v>
      </c>
      <c r="BR5" s="25">
        <f t="shared" ca="1" si="29"/>
        <v>0</v>
      </c>
      <c r="BS5" s="69">
        <f t="shared" ca="1" si="30"/>
        <v>0</v>
      </c>
      <c r="BT5" s="29">
        <f t="array" aca="1" ref="BT5" ca="1">+IF(BL5=0,0,_xludf.XLOOKUP(BS5,BV3:BV6,BW3:BW6))</f>
        <v>0</v>
      </c>
      <c r="BU5" s="54"/>
      <c r="BV5" s="25">
        <f ca="1">+LARGE(BS3:BS6,3)</f>
        <v>0</v>
      </c>
      <c r="BW5" s="25">
        <f t="shared" si="31"/>
        <v>0.1</v>
      </c>
      <c r="BX5" s="24">
        <v>1</v>
      </c>
      <c r="BY5" s="26" t="e">
        <f t="shared" ca="1" si="32"/>
        <v>#NAME?</v>
      </c>
      <c r="BZ5" s="66" t="e">
        <f t="array" aca="1" ref="BZ5" ca="1">+IF(_xludf.XLOOKUP($E5,$AY:$AY,$AZ:$AZ,"-",0)=BZ1,$E5,"-")</f>
        <v>#NAME?</v>
      </c>
      <c r="CA5" s="67">
        <f t="shared" si="33"/>
        <v>1</v>
      </c>
      <c r="CB5" s="68">
        <f t="shared" si="34"/>
        <v>0</v>
      </c>
      <c r="CC5" s="66" t="e">
        <f t="array" aca="1" ref="CC5" ca="1">+IF(_xludf.XLOOKUP($H5,$AY:$AY,$AZ:$AZ,"-",0)=BZ1,$H5,"-")</f>
        <v>#NAME?</v>
      </c>
      <c r="CD5" s="24"/>
      <c r="CE5" s="27" t="str">
        <f t="shared" si="35"/>
        <v>Corea del Sur</v>
      </c>
      <c r="CF5" s="27">
        <f t="shared" ca="1" si="36"/>
        <v>0</v>
      </c>
      <c r="CG5" s="25">
        <f t="shared" si="37"/>
        <v>0</v>
      </c>
      <c r="CH5" s="25">
        <f t="shared" si="38"/>
        <v>0</v>
      </c>
      <c r="CI5" s="25">
        <f t="shared" ca="1" si="39"/>
        <v>0</v>
      </c>
      <c r="CJ5" s="25">
        <f t="shared" ca="1" si="40"/>
        <v>0</v>
      </c>
      <c r="CK5" s="25">
        <f t="shared" ca="1" si="41"/>
        <v>0</v>
      </c>
      <c r="CL5" s="25">
        <f t="shared" ca="1" si="42"/>
        <v>0</v>
      </c>
      <c r="CM5" s="69">
        <f t="shared" ca="1" si="43"/>
        <v>0</v>
      </c>
      <c r="CN5" s="29">
        <f t="array" aca="1" ref="CN5" ca="1">+IF(CF5=0,0,_xludf.XLOOKUP(CM5,CP3:CP6,CQ3:CQ6))</f>
        <v>0</v>
      </c>
      <c r="CO5" s="54"/>
      <c r="CP5" s="25">
        <f ca="1">+LARGE(CM3:CM6,3)</f>
        <v>0</v>
      </c>
      <c r="CQ5" s="25">
        <f t="shared" si="44"/>
        <v>0.1</v>
      </c>
      <c r="CR5" s="24">
        <v>1</v>
      </c>
      <c r="CS5" s="24"/>
      <c r="CT5" s="24"/>
      <c r="CU5" s="24"/>
      <c r="CV5" s="44" t="str">
        <f ca="1">+'Mejores 3eros'!AP5</f>
        <v>Estados Unidos</v>
      </c>
      <c r="CW5" s="45" t="str">
        <f ca="1">+_xlfn.XLOOKUP(CV5,'Mejores 3eros'!$BD$2:$BD$13,'Mejores 3eros'!$BG$2:$BG$13,"-",0)</f>
        <v>IN</v>
      </c>
      <c r="CX5" s="70" t="s">
        <v>116</v>
      </c>
    </row>
    <row r="6" spans="1:102" ht="14.25" customHeight="1" x14ac:dyDescent="0.25">
      <c r="A6" s="47" t="s">
        <v>120</v>
      </c>
      <c r="B6" s="48">
        <v>46191</v>
      </c>
      <c r="C6" s="49"/>
      <c r="D6" s="50"/>
      <c r="E6" s="51" t="s">
        <v>62</v>
      </c>
      <c r="F6" s="52">
        <v>2</v>
      </c>
      <c r="G6" s="52">
        <v>1</v>
      </c>
      <c r="H6" s="53" t="s">
        <v>68</v>
      </c>
      <c r="I6" s="24"/>
      <c r="J6" s="25" t="str">
        <f t="shared" si="1"/>
        <v>Mexico</v>
      </c>
      <c r="K6" s="25" t="str">
        <f t="shared" si="2"/>
        <v/>
      </c>
      <c r="L6" s="25" t="str">
        <f t="shared" si="3"/>
        <v/>
      </c>
      <c r="M6" s="25" t="str">
        <f t="shared" si="4"/>
        <v>Corea del Sur</v>
      </c>
      <c r="N6" s="24"/>
      <c r="O6" s="27" t="str">
        <f>+H4</f>
        <v>Repubilca Checa</v>
      </c>
      <c r="P6" s="25">
        <f>+COUNTIF(J3:J8,"="&amp;$O6)</f>
        <v>1</v>
      </c>
      <c r="Q6" s="25">
        <f>+COUNTIF(K3:L8,"="&amp;$O6)</f>
        <v>1</v>
      </c>
      <c r="R6" s="25">
        <f>+COUNTIF(M3:M8,"="&amp;$O6)</f>
        <v>1</v>
      </c>
      <c r="S6" s="25">
        <f t="shared" si="5"/>
        <v>0</v>
      </c>
      <c r="T6" s="25">
        <f>+SUMIF(E3:E8,$O6,F3:F8)+SUMIF(H3:H8,$O6,G3:G8)</f>
        <v>3</v>
      </c>
      <c r="U6" s="25">
        <f>+SUMIF(E3:E8,$O6,G3:G8)+SUMIF(H3:H8,$O6,F3:F8)</f>
        <v>3</v>
      </c>
      <c r="V6" s="54">
        <f t="shared" ca="1" si="6"/>
        <v>4.0003006000000001</v>
      </c>
      <c r="W6" s="27" t="str">
        <f t="shared" si="7"/>
        <v>Repubilca Checa</v>
      </c>
      <c r="X6" s="24"/>
      <c r="Y6" s="84" t="str">
        <f>+CONCATENATE("4",RIGHT(E2,1))</f>
        <v>4A</v>
      </c>
      <c r="Z6" s="85" t="str">
        <f ca="1">+VLOOKUP(AL6,V3:W6,2,FALSE)</f>
        <v>Sudafrica</v>
      </c>
      <c r="AA6" s="86">
        <f t="shared" ca="1" si="8"/>
        <v>3</v>
      </c>
      <c r="AB6" s="87">
        <f t="shared" ref="AB6:AG6" ca="1" si="47">+VLOOKUP($Z6,$O$3:$U$6,COLUMN()-26,FALSE)</f>
        <v>0</v>
      </c>
      <c r="AC6" s="87">
        <f t="shared" ca="1" si="47"/>
        <v>0</v>
      </c>
      <c r="AD6" s="87">
        <f t="shared" ca="1" si="47"/>
        <v>3</v>
      </c>
      <c r="AE6" s="87">
        <f t="shared" ca="1" si="47"/>
        <v>-4</v>
      </c>
      <c r="AF6" s="87">
        <f t="shared" ca="1" si="47"/>
        <v>0</v>
      </c>
      <c r="AG6" s="87">
        <f t="shared" ca="1" si="47"/>
        <v>4</v>
      </c>
      <c r="AH6" s="88">
        <f t="shared" ca="1" si="10"/>
        <v>-3.9995999999999999E-3</v>
      </c>
      <c r="AI6" s="83"/>
      <c r="AJ6" s="24"/>
      <c r="AK6" s="24"/>
      <c r="AL6" s="54">
        <f ca="1">+LARGE(V3:V6,4)</f>
        <v>-3.9995999999999999E-3</v>
      </c>
      <c r="AM6" s="61">
        <f t="shared" ca="1" si="11"/>
        <v>0</v>
      </c>
      <c r="AN6" s="24"/>
      <c r="AO6" s="24"/>
      <c r="AP6" s="62" t="str">
        <f t="shared" si="12"/>
        <v>Repubilca Checa</v>
      </c>
      <c r="AQ6" s="28">
        <f t="shared" ca="1" si="13"/>
        <v>4.0003000000000002</v>
      </c>
      <c r="AR6" s="24"/>
      <c r="AS6" s="63">
        <f t="shared" si="14"/>
        <v>0</v>
      </c>
      <c r="AT6" s="63">
        <f ca="1">+IF(AND(AM7="si",OR(AR3=1,AR4=1,AR5=1)),1,0)</f>
        <v>0</v>
      </c>
      <c r="AU6" s="89" t="str">
        <f t="shared" si="15"/>
        <v>Repubilca Checa</v>
      </c>
      <c r="AV6" s="90"/>
      <c r="AW6" s="24"/>
      <c r="AX6" s="24" t="str">
        <f>+Y2</f>
        <v>Grupo A</v>
      </c>
      <c r="AY6" s="25" t="str">
        <f t="shared" si="16"/>
        <v>Repubilca Checa</v>
      </c>
      <c r="AZ6" s="29">
        <f t="shared" si="17"/>
        <v>4</v>
      </c>
      <c r="BA6" s="29">
        <f t="shared" si="18"/>
        <v>1</v>
      </c>
      <c r="BB6" s="29">
        <f>+IF(AZ6=BF1,ROW()*0.001,AZ6)</f>
        <v>4</v>
      </c>
      <c r="BC6" s="29">
        <f t="shared" si="19"/>
        <v>1</v>
      </c>
      <c r="BD6" s="29"/>
      <c r="BE6" s="26" t="e">
        <f ca="1">+IF(OR(BF6="-",BI6="-",BF1=0),"-","OK")</f>
        <v>#NAME?</v>
      </c>
      <c r="BF6" s="66" t="e">
        <f t="array" aca="1" ref="BF6" ca="1">+IF(_xludf.XLOOKUP($E6,$AY:$AY,$AZ:$AZ,"-",0)=BF1,$E6,"-")</f>
        <v>#NAME?</v>
      </c>
      <c r="BG6" s="67">
        <f t="shared" si="20"/>
        <v>2</v>
      </c>
      <c r="BH6" s="68">
        <f t="shared" si="21"/>
        <v>1</v>
      </c>
      <c r="BI6" s="66" t="e">
        <f t="array" aca="1" ref="BI6" ca="1">+IF(_xludf.XLOOKUP($H6,$AY:$AY,$AZ:$AZ,"-",0)=BF1,$H6,"-")</f>
        <v>#NAME?</v>
      </c>
      <c r="BJ6" s="24"/>
      <c r="BK6" s="27" t="str">
        <f t="shared" si="22"/>
        <v>Repubilca Checa</v>
      </c>
      <c r="BL6" s="27">
        <f t="shared" ca="1" si="23"/>
        <v>0</v>
      </c>
      <c r="BM6" s="25">
        <f t="shared" ca="1" si="24"/>
        <v>0</v>
      </c>
      <c r="BN6" s="25">
        <f t="shared" ca="1" si="25"/>
        <v>0</v>
      </c>
      <c r="BO6" s="25">
        <f t="shared" ca="1" si="26"/>
        <v>0</v>
      </c>
      <c r="BP6" s="25">
        <f t="shared" ca="1" si="27"/>
        <v>0</v>
      </c>
      <c r="BQ6" s="25">
        <f t="shared" ca="1" si="28"/>
        <v>0</v>
      </c>
      <c r="BR6" s="25">
        <f t="shared" ca="1" si="29"/>
        <v>0</v>
      </c>
      <c r="BS6" s="69">
        <f t="shared" ca="1" si="30"/>
        <v>0</v>
      </c>
      <c r="BT6" s="29">
        <f t="array" aca="1" ref="BT6" ca="1">+IF(BL6=0,0,_xludf.XLOOKUP(BS6,BV3:BV6,BW3:BW6))</f>
        <v>0</v>
      </c>
      <c r="BU6" s="54"/>
      <c r="BV6" s="25">
        <f ca="1">+LARGE(BS3:BS6,4)</f>
        <v>0</v>
      </c>
      <c r="BW6" s="25">
        <f t="shared" si="31"/>
        <v>0</v>
      </c>
      <c r="BX6" s="24">
        <v>0</v>
      </c>
      <c r="BY6" s="26" t="e">
        <f t="shared" ca="1" si="32"/>
        <v>#NAME?</v>
      </c>
      <c r="BZ6" s="66" t="e">
        <f t="array" aca="1" ref="BZ6" ca="1">+IF(_xludf.XLOOKUP($E6,$AY:$AY,$AZ:$AZ,"-",0)=BZ1,$E6,"-")</f>
        <v>#NAME?</v>
      </c>
      <c r="CA6" s="67">
        <f t="shared" si="33"/>
        <v>2</v>
      </c>
      <c r="CB6" s="68">
        <f t="shared" si="34"/>
        <v>1</v>
      </c>
      <c r="CC6" s="66" t="e">
        <f t="array" aca="1" ref="CC6" ca="1">+IF(_xludf.XLOOKUP($H6,$AY:$AY,$AZ:$AZ,"-",0)=BZ1,$H6,"-")</f>
        <v>#NAME?</v>
      </c>
      <c r="CD6" s="24"/>
      <c r="CE6" s="27" t="str">
        <f t="shared" si="35"/>
        <v>Repubilca Checa</v>
      </c>
      <c r="CF6" s="27">
        <f t="shared" ca="1" si="36"/>
        <v>0</v>
      </c>
      <c r="CG6" s="25">
        <f t="shared" si="37"/>
        <v>0</v>
      </c>
      <c r="CH6" s="25">
        <f t="shared" ca="1" si="38"/>
        <v>0</v>
      </c>
      <c r="CI6" s="25">
        <f t="shared" ca="1" si="39"/>
        <v>0</v>
      </c>
      <c r="CJ6" s="25">
        <f t="shared" ca="1" si="40"/>
        <v>0</v>
      </c>
      <c r="CK6" s="25">
        <f t="shared" ca="1" si="41"/>
        <v>0</v>
      </c>
      <c r="CL6" s="25">
        <f t="shared" ca="1" si="42"/>
        <v>0</v>
      </c>
      <c r="CM6" s="69">
        <f t="shared" ca="1" si="43"/>
        <v>0</v>
      </c>
      <c r="CN6" s="29">
        <f t="array" aca="1" ref="CN6" ca="1">+IF(CF6=0,0,_xludf.XLOOKUP(CM6,CP3:CP6,CQ3:CQ6))</f>
        <v>0</v>
      </c>
      <c r="CO6" s="54"/>
      <c r="CP6" s="25">
        <f ca="1">+LARGE(CM3:CM6,4)</f>
        <v>0</v>
      </c>
      <c r="CQ6" s="25">
        <f t="shared" si="44"/>
        <v>0</v>
      </c>
      <c r="CR6" s="24">
        <v>0</v>
      </c>
      <c r="CS6" s="24"/>
      <c r="CT6" s="24"/>
      <c r="CU6" s="24"/>
      <c r="CV6" s="44" t="str">
        <f ca="1">+'Mejores 3eros'!AP6</f>
        <v>Costa de Marfil</v>
      </c>
      <c r="CW6" s="45" t="str">
        <f ca="1">+_xlfn.XLOOKUP(CV6,'Mejores 3eros'!$BD$2:$BD$13,'Mejores 3eros'!$BG$2:$BG$13,"-",0)</f>
        <v>OUT</v>
      </c>
      <c r="CX6" s="70" t="s">
        <v>116</v>
      </c>
    </row>
    <row r="7" spans="1:102" ht="14.25" customHeight="1" x14ac:dyDescent="0.25">
      <c r="A7" s="47" t="s">
        <v>121</v>
      </c>
      <c r="B7" s="48">
        <v>46197</v>
      </c>
      <c r="C7" s="49"/>
      <c r="D7" s="50"/>
      <c r="E7" s="51" t="s">
        <v>79</v>
      </c>
      <c r="F7" s="52">
        <v>1</v>
      </c>
      <c r="G7" s="52">
        <v>1</v>
      </c>
      <c r="H7" s="53" t="s">
        <v>62</v>
      </c>
      <c r="I7" s="24"/>
      <c r="J7" s="25" t="str">
        <f t="shared" si="1"/>
        <v/>
      </c>
      <c r="K7" s="25" t="str">
        <f t="shared" si="2"/>
        <v>Repubilca Checa</v>
      </c>
      <c r="L7" s="25" t="str">
        <f t="shared" si="3"/>
        <v>Mexico</v>
      </c>
      <c r="M7" s="25" t="str">
        <f t="shared" si="4"/>
        <v/>
      </c>
      <c r="N7" s="24"/>
      <c r="O7" s="24"/>
      <c r="P7" s="24"/>
      <c r="Q7" s="24"/>
      <c r="R7" s="24"/>
      <c r="S7" s="24"/>
      <c r="T7" s="24"/>
      <c r="U7" s="24"/>
      <c r="V7" s="24"/>
      <c r="W7" s="24"/>
      <c r="X7" s="24"/>
      <c r="Y7" s="24"/>
      <c r="Z7" s="24"/>
      <c r="AA7" s="24"/>
      <c r="AB7" s="24"/>
      <c r="AC7" s="24"/>
      <c r="AD7" s="24"/>
      <c r="AE7" s="24"/>
      <c r="AF7" s="24"/>
      <c r="AG7" s="24"/>
      <c r="AH7" s="24"/>
      <c r="AI7" s="24"/>
      <c r="AJ7" s="24"/>
      <c r="AK7" s="24"/>
      <c r="AL7" s="26" t="s">
        <v>122</v>
      </c>
      <c r="AM7" s="61" t="str">
        <f ca="1">+IF(SUM(AA3:AA6)=12,"si","no")</f>
        <v>si</v>
      </c>
      <c r="AN7" s="24"/>
      <c r="AO7" s="24"/>
      <c r="AP7" s="24"/>
      <c r="AQ7" s="24"/>
      <c r="AR7" s="24"/>
      <c r="AS7" s="24"/>
      <c r="AT7" s="24"/>
      <c r="AU7" s="24"/>
      <c r="AV7" s="24"/>
      <c r="AW7" s="24"/>
      <c r="AX7" s="24"/>
      <c r="AY7" s="24"/>
      <c r="AZ7" s="24"/>
      <c r="BA7" s="24"/>
      <c r="BB7" s="24"/>
      <c r="BC7" s="24"/>
      <c r="BD7" s="24"/>
      <c r="BE7" s="26" t="e">
        <f ca="1">+IF(OR(BF7="-",BI7="-",BF1=0),"-","OK")</f>
        <v>#NAME?</v>
      </c>
      <c r="BF7" s="66" t="e">
        <f t="array" aca="1" ref="BF7" ca="1">+IF(_xludf.XLOOKUP($E7,$AY:$AY,$AZ:$AZ,"-",0)=BF1,$E7,"-")</f>
        <v>#NAME?</v>
      </c>
      <c r="BG7" s="67">
        <f t="shared" si="20"/>
        <v>1</v>
      </c>
      <c r="BH7" s="68">
        <f t="shared" si="21"/>
        <v>1</v>
      </c>
      <c r="BI7" s="66" t="e">
        <f t="array" aca="1" ref="BI7" ca="1">+IF(_xludf.XLOOKUP($H7,$AY:$AY,$AZ:$AZ,"-",0)=BF1,$H7,"-")</f>
        <v>#NAME?</v>
      </c>
      <c r="BJ7" s="24"/>
      <c r="BK7" s="24"/>
      <c r="BL7" s="24"/>
      <c r="BM7" s="24"/>
      <c r="BN7" s="24"/>
      <c r="BO7" s="24"/>
      <c r="BP7" s="24"/>
      <c r="BQ7" s="24"/>
      <c r="BR7" s="24"/>
      <c r="BS7" s="24"/>
      <c r="BT7" s="24"/>
      <c r="BU7" s="24"/>
      <c r="BV7" s="24"/>
      <c r="BW7" s="24"/>
      <c r="BX7" s="24"/>
      <c r="BY7" s="26" t="e">
        <f t="shared" ca="1" si="32"/>
        <v>#NAME?</v>
      </c>
      <c r="BZ7" s="66" t="e">
        <f t="array" aca="1" ref="BZ7" ca="1">+IF(_xludf.XLOOKUP($E7,$AY:$AY,$AZ:$AZ,"-",0)=BZ1,$E7,"-")</f>
        <v>#NAME?</v>
      </c>
      <c r="CA7" s="67">
        <f t="shared" si="33"/>
        <v>1</v>
      </c>
      <c r="CB7" s="68">
        <f t="shared" si="34"/>
        <v>1</v>
      </c>
      <c r="CC7" s="66" t="e">
        <f t="array" aca="1" ref="CC7" ca="1">+IF(_xludf.XLOOKUP($H7,$AY:$AY,$AZ:$AZ,"-",0)=BZ1,$H7,"-")</f>
        <v>#NAME?</v>
      </c>
      <c r="CD7" s="24"/>
      <c r="CE7" s="24"/>
      <c r="CF7" s="24"/>
      <c r="CG7" s="24"/>
      <c r="CH7" s="24"/>
      <c r="CI7" s="24"/>
      <c r="CJ7" s="24"/>
      <c r="CK7" s="24"/>
      <c r="CL7" s="24"/>
      <c r="CM7" s="24"/>
      <c r="CN7" s="24"/>
      <c r="CO7" s="24"/>
      <c r="CP7" s="24"/>
      <c r="CQ7" s="24"/>
      <c r="CR7" s="24"/>
      <c r="CS7" s="24"/>
      <c r="CT7" s="24"/>
      <c r="CU7" s="24"/>
      <c r="CV7" s="44" t="str">
        <f ca="1">+'Mejores 3eros'!AP7</f>
        <v>Suecia</v>
      </c>
      <c r="CW7" s="45" t="str">
        <f ca="1">+_xlfn.XLOOKUP(CV7,'Mejores 3eros'!$BD$2:$BD$13,'Mejores 3eros'!$BG$2:$BG$13,"-",0)</f>
        <v>IN</v>
      </c>
      <c r="CX7" s="70" t="s">
        <v>116</v>
      </c>
    </row>
    <row r="8" spans="1:102" ht="14.25" customHeight="1" x14ac:dyDescent="0.25">
      <c r="A8" s="47" t="s">
        <v>123</v>
      </c>
      <c r="B8" s="48">
        <v>46197</v>
      </c>
      <c r="C8" s="49"/>
      <c r="D8" s="50"/>
      <c r="E8" s="51" t="s">
        <v>82</v>
      </c>
      <c r="F8" s="52">
        <v>0</v>
      </c>
      <c r="G8" s="52">
        <v>1</v>
      </c>
      <c r="H8" s="53" t="s">
        <v>68</v>
      </c>
      <c r="I8" s="24"/>
      <c r="J8" s="25" t="str">
        <f t="shared" si="1"/>
        <v>Corea del Sur</v>
      </c>
      <c r="K8" s="25" t="str">
        <f t="shared" si="2"/>
        <v/>
      </c>
      <c r="L8" s="25" t="str">
        <f t="shared" si="3"/>
        <v/>
      </c>
      <c r="M8" s="25" t="str">
        <f t="shared" si="4"/>
        <v>Sudafrica</v>
      </c>
      <c r="N8" s="24"/>
      <c r="O8" s="24"/>
      <c r="P8" s="24"/>
      <c r="Q8" s="24"/>
      <c r="R8" s="24"/>
      <c r="S8" s="24"/>
      <c r="T8" s="24"/>
      <c r="U8" s="24"/>
      <c r="V8" s="24"/>
      <c r="W8" s="24"/>
      <c r="X8" s="24"/>
      <c r="Y8" s="62" t="s">
        <v>124</v>
      </c>
      <c r="Z8" s="24"/>
      <c r="AA8" s="24"/>
      <c r="AB8" s="24"/>
      <c r="AC8" s="24"/>
      <c r="AD8" s="24"/>
      <c r="AE8" s="24"/>
      <c r="AF8" s="24"/>
      <c r="AG8" s="24"/>
      <c r="AH8" s="24"/>
      <c r="AI8" s="24"/>
      <c r="AJ8" s="24"/>
      <c r="AK8" s="24"/>
      <c r="AL8" s="24"/>
      <c r="AM8" s="24"/>
      <c r="AN8" s="24"/>
      <c r="AO8" s="24"/>
      <c r="AP8" s="24"/>
      <c r="AQ8" s="24"/>
      <c r="AR8" s="24">
        <f ca="1">+IF(AND(AM7="si",OR(AR3=1,AR4=1,AR5=1)),1,0)</f>
        <v>0</v>
      </c>
      <c r="AS8" s="24"/>
      <c r="AT8" s="24"/>
      <c r="AU8" s="24"/>
      <c r="AV8" s="24"/>
      <c r="AW8" s="24"/>
      <c r="AX8" s="24"/>
      <c r="AY8" s="24"/>
      <c r="AZ8" s="24"/>
      <c r="BA8" s="24"/>
      <c r="BB8" s="24"/>
      <c r="BC8" s="24"/>
      <c r="BD8" s="24"/>
      <c r="BE8" s="26" t="e">
        <f ca="1">+IF(OR(BF8="-",BI8="-",BF1=0),"-","OK")</f>
        <v>#NAME?</v>
      </c>
      <c r="BF8" s="66" t="e">
        <f t="array" aca="1" ref="BF8" ca="1">+IF(_xludf.XLOOKUP($E8,$AY:$AY,$AZ:$AZ,"-",0)=BF1,$E8,"-")</f>
        <v>#NAME?</v>
      </c>
      <c r="BG8" s="67">
        <f t="shared" si="20"/>
        <v>0</v>
      </c>
      <c r="BH8" s="68">
        <f t="shared" si="21"/>
        <v>1</v>
      </c>
      <c r="BI8" s="66" t="e">
        <f t="array" aca="1" ref="BI8" ca="1">+IF(_xludf.XLOOKUP($H8,$AY:$AY,$AZ:$AZ,"-",0)=BF1,$H8,"-")</f>
        <v>#NAME?</v>
      </c>
      <c r="BJ8" s="24"/>
      <c r="BK8" s="24"/>
      <c r="BL8" s="24"/>
      <c r="BM8" s="24"/>
      <c r="BN8" s="24"/>
      <c r="BO8" s="24"/>
      <c r="BP8" s="24"/>
      <c r="BQ8" s="24"/>
      <c r="BR8" s="24"/>
      <c r="BS8" s="24"/>
      <c r="BT8" s="24"/>
      <c r="BU8" s="24"/>
      <c r="BV8" s="24"/>
      <c r="BW8" s="24"/>
      <c r="BX8" s="24"/>
      <c r="BY8" s="26" t="e">
        <f t="shared" ca="1" si="32"/>
        <v>#NAME?</v>
      </c>
      <c r="BZ8" s="66" t="e">
        <f t="array" aca="1" ref="BZ8" ca="1">+IF(_xludf.XLOOKUP($E8,$AY:$AY,$AZ:$AZ,"-",0)=BZ1,$E8,"-")</f>
        <v>#NAME?</v>
      </c>
      <c r="CA8" s="67">
        <f t="shared" si="33"/>
        <v>0</v>
      </c>
      <c r="CB8" s="68">
        <f t="shared" si="34"/>
        <v>1</v>
      </c>
      <c r="CC8" s="66" t="e">
        <f t="array" aca="1" ref="CC8" ca="1">+IF(_xludf.XLOOKUP($H8,$AY:$AY,$AZ:$AZ,"-",0)=BZ1,$H8,"-")</f>
        <v>#NAME?</v>
      </c>
      <c r="CD8" s="24"/>
      <c r="CE8" s="24"/>
      <c r="CF8" s="24"/>
      <c r="CG8" s="24"/>
      <c r="CH8" s="24"/>
      <c r="CI8" s="24"/>
      <c r="CJ8" s="24"/>
      <c r="CK8" s="24"/>
      <c r="CL8" s="24"/>
      <c r="CM8" s="24"/>
      <c r="CN8" s="24"/>
      <c r="CO8" s="24"/>
      <c r="CP8" s="24"/>
      <c r="CQ8" s="24"/>
      <c r="CR8" s="24"/>
      <c r="CS8" s="24"/>
      <c r="CT8" s="24"/>
      <c r="CU8" s="24"/>
      <c r="CV8" s="44" t="str">
        <f ca="1">+'Mejores 3eros'!AP8</f>
        <v>Nueva Zelanda</v>
      </c>
      <c r="CW8" s="45" t="str">
        <f ca="1">+_xlfn.XLOOKUP(CV8,'Mejores 3eros'!$BD$2:$BD$13,'Mejores 3eros'!$BG$2:$BG$13,"-",0)</f>
        <v>IN</v>
      </c>
      <c r="CX8" s="70" t="s">
        <v>116</v>
      </c>
    </row>
    <row r="9" spans="1:102" ht="14.25" customHeight="1" x14ac:dyDescent="0.25">
      <c r="A9" s="91"/>
      <c r="B9" s="92"/>
      <c r="C9" s="91"/>
      <c r="D9" s="93"/>
      <c r="E9" s="94"/>
      <c r="F9" s="91"/>
      <c r="G9" s="91"/>
      <c r="H9" s="95"/>
      <c r="I9" s="93"/>
      <c r="J9" s="91"/>
      <c r="K9" s="91"/>
      <c r="L9" s="91"/>
      <c r="M9" s="91"/>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1"/>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44" t="str">
        <f ca="1">+'Mejores 3eros'!AP9</f>
        <v>Arabia Saudita</v>
      </c>
      <c r="CW9" s="45" t="str">
        <f ca="1">+_xlfn.XLOOKUP(CV9,'Mejores 3eros'!$BD$2:$BD$13,'Mejores 3eros'!$BG$2:$BG$13,"-",0)</f>
        <v>IN</v>
      </c>
      <c r="CX9" s="70" t="s">
        <v>116</v>
      </c>
    </row>
    <row r="10" spans="1:102" ht="14.25" customHeight="1" x14ac:dyDescent="0.25">
      <c r="A10" s="24"/>
      <c r="B10" s="25"/>
      <c r="C10" s="25"/>
      <c r="D10" s="24"/>
      <c r="E10" s="26"/>
      <c r="F10" s="25"/>
      <c r="G10" s="25"/>
      <c r="H10" s="27"/>
      <c r="I10" s="24"/>
      <c r="J10" s="25"/>
      <c r="K10" s="25"/>
      <c r="L10" s="25"/>
      <c r="M10" s="25"/>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c r="BF10" s="28">
        <f>+IF(BA12&gt;1,AZ12,IF(BA13&gt;1,AZ13,IF(BA14&gt;1,AZ14,IF(BA15&gt;1,AZ15,"-"))))</f>
        <v>1</v>
      </c>
      <c r="BG10" s="24"/>
      <c r="BH10" s="24"/>
      <c r="BI10" s="24"/>
      <c r="BJ10" s="24"/>
      <c r="BK10" s="24"/>
      <c r="BL10" s="24"/>
      <c r="BM10" s="24"/>
      <c r="BN10" s="24"/>
      <c r="BO10" s="24"/>
      <c r="BP10" s="24"/>
      <c r="BQ10" s="24"/>
      <c r="BR10" s="24"/>
      <c r="BS10" s="24"/>
      <c r="BT10" s="24"/>
      <c r="BU10" s="24"/>
      <c r="BV10" s="24"/>
      <c r="BW10" s="24">
        <v>10</v>
      </c>
      <c r="BX10" s="24"/>
      <c r="BY10" s="24"/>
      <c r="BZ10" s="29">
        <f>+IF(BC12&gt;1,BB12,IF(BC13&gt;1,BB13,IF(BC14&gt;1,BB14,IF(BC15&gt;1,BB15,"-"))))</f>
        <v>7</v>
      </c>
      <c r="CA10" s="24"/>
      <c r="CB10" s="24"/>
      <c r="CC10" s="24"/>
      <c r="CD10" s="24"/>
      <c r="CE10" s="24"/>
      <c r="CF10" s="24"/>
      <c r="CG10" s="24"/>
      <c r="CH10" s="24"/>
      <c r="CI10" s="24"/>
      <c r="CJ10" s="24"/>
      <c r="CK10" s="24"/>
      <c r="CL10" s="24"/>
      <c r="CM10" s="24"/>
      <c r="CN10" s="24"/>
      <c r="CO10" s="24"/>
      <c r="CP10" s="24"/>
      <c r="CQ10" s="24">
        <v>10</v>
      </c>
      <c r="CR10" s="24"/>
      <c r="CS10" s="24"/>
      <c r="CT10" s="24"/>
      <c r="CU10" s="24"/>
      <c r="CV10" s="44" t="str">
        <f ca="1">+'Mejores 3eros'!AP10</f>
        <v>Senegal</v>
      </c>
      <c r="CW10" s="45" t="str">
        <f ca="1">+_xlfn.XLOOKUP(CV10,'Mejores 3eros'!$BD$2:$BD$13,'Mejores 3eros'!$BG$2:$BG$13,"-",0)</f>
        <v>IN</v>
      </c>
      <c r="CX10" s="70"/>
    </row>
    <row r="11" spans="1:102" ht="14.25" customHeight="1" x14ac:dyDescent="0.25">
      <c r="A11" s="96" t="s">
        <v>100</v>
      </c>
      <c r="B11" s="97" t="s">
        <v>101</v>
      </c>
      <c r="C11" s="97" t="s">
        <v>102</v>
      </c>
      <c r="D11" s="98"/>
      <c r="E11" s="99" t="s">
        <v>125</v>
      </c>
      <c r="F11" s="100"/>
      <c r="G11" s="100"/>
      <c r="H11" s="101"/>
      <c r="I11" s="24"/>
      <c r="J11" s="25" t="s">
        <v>104</v>
      </c>
      <c r="K11" s="25" t="s">
        <v>105</v>
      </c>
      <c r="L11" s="25" t="s">
        <v>105</v>
      </c>
      <c r="M11" s="25" t="s">
        <v>106</v>
      </c>
      <c r="N11" s="24"/>
      <c r="O11" s="27" t="str">
        <f t="shared" ref="O11:O12" si="48">+E11</f>
        <v>Grupo B</v>
      </c>
      <c r="P11" s="25" t="s">
        <v>104</v>
      </c>
      <c r="Q11" s="25" t="s">
        <v>105</v>
      </c>
      <c r="R11" s="25" t="s">
        <v>106</v>
      </c>
      <c r="S11" s="25" t="s">
        <v>107</v>
      </c>
      <c r="T11" s="25" t="s">
        <v>108</v>
      </c>
      <c r="U11" s="25" t="s">
        <v>109</v>
      </c>
      <c r="V11" s="25" t="s">
        <v>0</v>
      </c>
      <c r="W11" s="25"/>
      <c r="X11" s="24"/>
      <c r="Y11" s="483" t="s">
        <v>125</v>
      </c>
      <c r="Z11" s="475"/>
      <c r="AA11" s="102" t="s">
        <v>110</v>
      </c>
      <c r="AB11" s="103" t="s">
        <v>104</v>
      </c>
      <c r="AC11" s="103" t="s">
        <v>105</v>
      </c>
      <c r="AD11" s="103" t="s">
        <v>106</v>
      </c>
      <c r="AE11" s="103" t="s">
        <v>107</v>
      </c>
      <c r="AF11" s="103" t="s">
        <v>108</v>
      </c>
      <c r="AG11" s="103" t="s">
        <v>109</v>
      </c>
      <c r="AH11" s="104" t="s">
        <v>0</v>
      </c>
      <c r="AI11" s="105"/>
      <c r="AJ11" s="24"/>
      <c r="AK11" s="24"/>
      <c r="AL11" s="25" t="s">
        <v>0</v>
      </c>
      <c r="AM11" s="25" t="s">
        <v>111</v>
      </c>
      <c r="AN11" s="25"/>
      <c r="AO11" s="25"/>
      <c r="AP11" s="25"/>
      <c r="AQ11" s="25"/>
      <c r="AR11" s="25"/>
      <c r="AS11" s="25"/>
      <c r="AT11" s="25"/>
      <c r="AU11" s="25"/>
      <c r="AV11" s="24"/>
      <c r="AW11" s="24"/>
      <c r="AX11" s="24"/>
      <c r="AY11" s="25" t="s">
        <v>112</v>
      </c>
      <c r="AZ11" s="25" t="s">
        <v>0</v>
      </c>
      <c r="BA11" s="25" t="s">
        <v>113</v>
      </c>
      <c r="BB11" s="25"/>
      <c r="BC11" s="25"/>
      <c r="BD11" s="25"/>
      <c r="BE11" s="25"/>
      <c r="BF11" s="24"/>
      <c r="BG11" s="24"/>
      <c r="BH11" s="24"/>
      <c r="BI11" s="24"/>
      <c r="BJ11" s="24"/>
      <c r="BK11" s="27"/>
      <c r="BL11" s="27" t="s">
        <v>110</v>
      </c>
      <c r="BM11" s="25" t="s">
        <v>104</v>
      </c>
      <c r="BN11" s="25" t="s">
        <v>105</v>
      </c>
      <c r="BO11" s="25" t="s">
        <v>106</v>
      </c>
      <c r="BP11" s="25" t="s">
        <v>107</v>
      </c>
      <c r="BQ11" s="25" t="s">
        <v>108</v>
      </c>
      <c r="BR11" s="25" t="s">
        <v>109</v>
      </c>
      <c r="BS11" s="25" t="s">
        <v>0</v>
      </c>
      <c r="BT11" s="25" t="s">
        <v>114</v>
      </c>
      <c r="BU11" s="25"/>
      <c r="BV11" s="25" t="s">
        <v>115</v>
      </c>
      <c r="BW11" s="25" t="s">
        <v>114</v>
      </c>
      <c r="BX11" s="24"/>
      <c r="BY11" s="24"/>
      <c r="BZ11" s="24"/>
      <c r="CA11" s="24"/>
      <c r="CB11" s="24"/>
      <c r="CC11" s="24"/>
      <c r="CD11" s="24"/>
      <c r="CE11" s="27"/>
      <c r="CF11" s="27" t="s">
        <v>110</v>
      </c>
      <c r="CG11" s="25" t="s">
        <v>104</v>
      </c>
      <c r="CH11" s="25" t="s">
        <v>105</v>
      </c>
      <c r="CI11" s="25" t="s">
        <v>106</v>
      </c>
      <c r="CJ11" s="25" t="s">
        <v>107</v>
      </c>
      <c r="CK11" s="25" t="s">
        <v>108</v>
      </c>
      <c r="CL11" s="25" t="s">
        <v>109</v>
      </c>
      <c r="CM11" s="25" t="s">
        <v>0</v>
      </c>
      <c r="CN11" s="25" t="s">
        <v>114</v>
      </c>
      <c r="CO11" s="25"/>
      <c r="CP11" s="25" t="s">
        <v>115</v>
      </c>
      <c r="CQ11" s="25" t="s">
        <v>114</v>
      </c>
      <c r="CR11" s="24"/>
      <c r="CS11" s="24"/>
      <c r="CT11" s="24"/>
      <c r="CU11" s="24"/>
      <c r="CV11" s="44" t="str">
        <f ca="1">+'Mejores 3eros'!AP11</f>
        <v>Argelia</v>
      </c>
      <c r="CW11" s="45" t="str">
        <f ca="1">+_xlfn.XLOOKUP(CV11,'Mejores 3eros'!$BD$2:$BD$13,'Mejores 3eros'!$BG$2:$BG$13,"-",0)</f>
        <v>OUT</v>
      </c>
      <c r="CX11" s="70" t="s">
        <v>116</v>
      </c>
    </row>
    <row r="12" spans="1:102" ht="14.25" customHeight="1" x14ac:dyDescent="0.25">
      <c r="A12" s="47" t="s">
        <v>126</v>
      </c>
      <c r="B12" s="48">
        <v>46185</v>
      </c>
      <c r="C12" s="49"/>
      <c r="D12" s="50"/>
      <c r="E12" s="51" t="s">
        <v>76</v>
      </c>
      <c r="F12" s="52">
        <v>0</v>
      </c>
      <c r="G12" s="52">
        <v>1</v>
      </c>
      <c r="H12" s="53" t="s">
        <v>84</v>
      </c>
      <c r="I12" s="24"/>
      <c r="J12" s="25" t="str">
        <f t="shared" ref="J12:J17" si="49">IF(OR(ISBLANK(F12),ISBLANK(G12)),"",IF(F12&gt;G12,E12,IF(G12&gt;F12,H12,"")))</f>
        <v>Bosnia</v>
      </c>
      <c r="K12" s="25" t="str">
        <f t="shared" ref="K12:K17" si="50">IF(OR(ISBLANK(F12),ISBLANK(G12)),"",IF(F12=G12,E12,""))</f>
        <v/>
      </c>
      <c r="L12" s="25" t="str">
        <f t="shared" ref="L12:L17" si="51">IF(OR(ISBLANK(F12),ISBLANK(G12)),"",IF(F12=G12,H12,""))</f>
        <v/>
      </c>
      <c r="M12" s="25" t="str">
        <f t="shared" ref="M12:M17" si="52">IF(OR(ISBLANK(F12),ISBLANK(G12)),"",IF(F12&lt;G12,E12,IF(G12&lt;F12,H12,"")))</f>
        <v>Canada</v>
      </c>
      <c r="N12" s="24"/>
      <c r="O12" s="27" t="str">
        <f t="shared" si="48"/>
        <v>Canada</v>
      </c>
      <c r="P12" s="25">
        <f>+COUNTIF(J12:J17,"="&amp;$O12)</f>
        <v>0</v>
      </c>
      <c r="Q12" s="25">
        <f>+COUNTIF(K12:L17,"="&amp;$O12)</f>
        <v>1</v>
      </c>
      <c r="R12" s="25">
        <f>+COUNTIF(M12:M17,"="&amp;$O12)</f>
        <v>2</v>
      </c>
      <c r="S12" s="25">
        <f t="shared" ref="S12:S15" si="53">+T12-U12</f>
        <v>-3</v>
      </c>
      <c r="T12" s="25">
        <f>+SUMIF(E12:E17,$O12,F12:F17)+SUMIF(H12:H17,$O12,G12:G17)</f>
        <v>0</v>
      </c>
      <c r="U12" s="25">
        <f>+SUMIF(E12:E17,$O12,G12:G17)+SUMIF(H12:H17,$O12,F12:F17)</f>
        <v>3</v>
      </c>
      <c r="V12" s="54">
        <f t="shared" ref="V12:V15" ca="1" si="54">+P12*3+Q12*1+BT12+CN12+S12/1000+T12/10000+AV12/1000000+ROW()/10000000</f>
        <v>0.99700120000000003</v>
      </c>
      <c r="W12" s="27" t="str">
        <f t="shared" ref="W12:W15" si="55">+O12</f>
        <v>Canada</v>
      </c>
      <c r="X12" s="24"/>
      <c r="Y12" s="55" t="str">
        <f>+CONCATENATE("1",RIGHT(E11,1))</f>
        <v>1B</v>
      </c>
      <c r="Z12" s="56" t="str">
        <f ca="1">+VLOOKUP(AL12,V12:W15,2,FALSE)</f>
        <v>Suiza</v>
      </c>
      <c r="AA12" s="57">
        <f t="shared" ref="AA12:AA15" ca="1" si="56">+SUM(AB12:AD12)</f>
        <v>3</v>
      </c>
      <c r="AB12" s="58">
        <f t="shared" ref="AB12:AG12" ca="1" si="57">+VLOOKUP($Z12,$O$12:$U$15,COLUMN()-26,FALSE)</f>
        <v>2</v>
      </c>
      <c r="AC12" s="58">
        <f t="shared" ca="1" si="57"/>
        <v>1</v>
      </c>
      <c r="AD12" s="58">
        <f t="shared" ca="1" si="57"/>
        <v>0</v>
      </c>
      <c r="AE12" s="58">
        <f t="shared" ca="1" si="57"/>
        <v>4</v>
      </c>
      <c r="AF12" s="58">
        <f t="shared" ca="1" si="57"/>
        <v>5</v>
      </c>
      <c r="AG12" s="58">
        <f t="shared" ca="1" si="57"/>
        <v>1</v>
      </c>
      <c r="AH12" s="59">
        <f t="shared" ref="AH12:AH15" ca="1" si="58">+VLOOKUP($Z12,$O$12:$V$15,COLUMN()-26,FALSE)</f>
        <v>7.004501499999999</v>
      </c>
      <c r="AI12" s="60"/>
      <c r="AJ12" s="24"/>
      <c r="AK12" s="24"/>
      <c r="AL12" s="54">
        <f ca="1">+LARGE(V12:V15,1)</f>
        <v>7.004501499999999</v>
      </c>
      <c r="AM12" s="61">
        <f t="shared" ref="AM12:AM15" ca="1" si="59">+(AH12-AL12)*100000000000000000000</f>
        <v>0</v>
      </c>
      <c r="AN12" s="24"/>
      <c r="AO12" s="24"/>
      <c r="AP12" s="62" t="str">
        <f t="shared" ref="AP12:AP15" si="60">+O12</f>
        <v>Canada</v>
      </c>
      <c r="AQ12" s="28">
        <f t="shared" ref="AQ12:AQ15" ca="1" si="61">+P12*3+Q12*1+BT12+CN12+S12/1000+T12/10000</f>
        <v>0.997</v>
      </c>
      <c r="AR12" s="24" t="b">
        <f ca="1">+IF(OR(AQ12=AQ13,AQ12=AQ14,AQ12=AQ15),1)</f>
        <v>0</v>
      </c>
      <c r="AS12" s="63">
        <f t="shared" ref="AS12:AS15" si="62">+AV12</f>
        <v>0</v>
      </c>
      <c r="AT12" s="63">
        <f ca="1">+IF(AND(AM16="si",OR(AR12=1,AR13=1,AR14=1)),1,0)</f>
        <v>0</v>
      </c>
      <c r="AU12" s="64" t="str">
        <f t="shared" ref="AU12:AU15" si="63">+O12</f>
        <v>Canada</v>
      </c>
      <c r="AV12" s="65"/>
      <c r="AW12" s="24"/>
      <c r="AX12" s="24" t="str">
        <f>+Y11</f>
        <v>Grupo B</v>
      </c>
      <c r="AY12" s="25" t="str">
        <f t="shared" ref="AY12:AY15" si="64">+O12</f>
        <v>Canada</v>
      </c>
      <c r="AZ12" s="29">
        <f t="shared" ref="AZ12:AZ15" si="65">+P12*3+Q12</f>
        <v>1</v>
      </c>
      <c r="BA12" s="29">
        <f t="shared" ref="BA12:BA15" si="66">+COUNTIFS($AX$1:AX12,AX12,$AZ$1:AZ12,AZ12)</f>
        <v>1</v>
      </c>
      <c r="BB12" s="29">
        <f>+IF(AZ12=BF10,ROW()*0.001,AZ12)</f>
        <v>1.2E-2</v>
      </c>
      <c r="BC12" s="29">
        <f t="shared" ref="BC12:BC15" si="67">+COUNTIFS($AX$1:AZ12,AZ12,$AZ$1:BB12,BB12)</f>
        <v>1</v>
      </c>
      <c r="BD12" s="29"/>
      <c r="BE12" s="26" t="e">
        <f ca="1">+IF(OR(BF12="-",BI12="-",BF10=0),"-","OK")</f>
        <v>#NAME?</v>
      </c>
      <c r="BF12" s="66" t="e">
        <f t="array" aca="1" ref="BF12" ca="1">+IF(_xludf.XLOOKUP($E12,$AY:$AY,$AZ:$AZ,"-",0)=BF10,$E12,"-")</f>
        <v>#NAME?</v>
      </c>
      <c r="BG12" s="67">
        <f t="shared" ref="BG12:BG17" si="68">+$F12</f>
        <v>0</v>
      </c>
      <c r="BH12" s="68">
        <f t="shared" ref="BH12:BH17" si="69">+$G12</f>
        <v>1</v>
      </c>
      <c r="BI12" s="66" t="e">
        <f t="array" aca="1" ref="BI12" ca="1">+IF(_xludf.XLOOKUP($H12,$AY:$AY,$AZ:$AZ,"-",0)=BF10,$H12,"-")</f>
        <v>#NAME?</v>
      </c>
      <c r="BJ12" s="24"/>
      <c r="BK12" s="27" t="str">
        <f t="shared" ref="BK12:BK15" si="70">+O12</f>
        <v>Canada</v>
      </c>
      <c r="BL12" s="27">
        <f t="shared" ref="BL12:BL15" ca="1" si="71">+COUNTIFS($BE:$BE,"OK",$BI:$BI,BK12)+COUNTIFS($BE:$BE,"OK",$BF:$BF,BK12)</f>
        <v>0</v>
      </c>
      <c r="BM12" s="25">
        <f t="shared" ref="BM12:BM15" si="72">+COUNTIFS(J:J,$BK12,$BE:$BE,"OK")</f>
        <v>0</v>
      </c>
      <c r="BN12" s="25">
        <f t="shared" ref="BN12:BN15" ca="1" si="73">+COUNTIFS(K:K,$BK12,$BE:$BE,"OK")+COUNTIFS(L:L,$BK12,$BE:$BE,"OK")</f>
        <v>0</v>
      </c>
      <c r="BO12" s="25">
        <f t="shared" ref="BO12:BO15" ca="1" si="74">+COUNTIFS(M:M,$BK12,$BE:$BE,"OK")</f>
        <v>0</v>
      </c>
      <c r="BP12" s="25">
        <f t="shared" ref="BP12:BP15" ca="1" si="75">+BQ12-BR12</f>
        <v>0</v>
      </c>
      <c r="BQ12" s="25">
        <f t="shared" ref="BQ12:BQ15" ca="1" si="76">+SUMIFS(BG:BG,$BE:$BE,"OK",BF:BF,$BK12)+SUMIFS(BH:BH,$BE:$BE,"OK",BI:BI,$BK12)</f>
        <v>0</v>
      </c>
      <c r="BR12" s="25">
        <f t="shared" ref="BR12:BR15" ca="1" si="77">+SUMIFS(BH:BH,$BE:$BE,"OK",BF:BF,$BK12)+SUMIFS(BG:BG,$BE:$BE,"OK",BI:BI,$BK12)</f>
        <v>0</v>
      </c>
      <c r="BS12" s="69">
        <f t="shared" ref="BS12:BS15" ca="1" si="78">+BM12*3+BN12*1+BP12/100+BQ12/10000</f>
        <v>0</v>
      </c>
      <c r="BT12" s="29">
        <f t="array" aca="1" ref="BT12" ca="1">+IF(BL12=0,0,_xludf.XLOOKUP(BS12,BV12:BV15,BW12:BW15))</f>
        <v>0</v>
      </c>
      <c r="BU12" s="54"/>
      <c r="BV12" s="25">
        <f ca="1">+LARGE(BS12:BS15,1)</f>
        <v>0</v>
      </c>
      <c r="BW12" s="25">
        <f t="shared" ref="BW12:BW15" si="79">+BX12/$BW$1</f>
        <v>0.3</v>
      </c>
      <c r="BX12" s="24">
        <v>3</v>
      </c>
      <c r="BY12" s="26" t="e">
        <f t="shared" ref="BY12:BY17" ca="1" si="80">+IF(OR(BZ12="-",CC12="-"),"-","OK")</f>
        <v>#NAME?</v>
      </c>
      <c r="BZ12" s="66" t="e">
        <f t="array" aca="1" ref="BZ12" ca="1">+IF(_xludf.XLOOKUP($E12,$AY:$AY,$AZ:$AZ,"-",0)=BZ10,$E12,"-")</f>
        <v>#NAME?</v>
      </c>
      <c r="CA12" s="67">
        <f t="shared" ref="CA12:CA17" si="81">+$F12</f>
        <v>0</v>
      </c>
      <c r="CB12" s="68">
        <f t="shared" ref="CB12:CB17" si="82">+$G12</f>
        <v>1</v>
      </c>
      <c r="CC12" s="66" t="e">
        <f t="array" aca="1" ref="CC12" ca="1">+IF(_xludf.XLOOKUP($H12,$AY:$AY,$AZ:$AZ,"-",0)=BZ10,$H12,"-")</f>
        <v>#NAME?</v>
      </c>
      <c r="CD12" s="24"/>
      <c r="CE12" s="27" t="str">
        <f t="shared" ref="CE12:CE15" si="83">+BK12</f>
        <v>Canada</v>
      </c>
      <c r="CF12" s="27">
        <f t="shared" ref="CF12:CF15" ca="1" si="84">+COUNTIFS($BY:$BY,"OK",$CC:$CC,CE12)+COUNTIFS($BY:$BY,"OK",$BZ:$BZ,CE12)</f>
        <v>0</v>
      </c>
      <c r="CG12" s="25">
        <f t="shared" ref="CG12:CG15" si="85">+COUNTIFS(P:P,$BK12,$BY:$BY,"OK")</f>
        <v>0</v>
      </c>
      <c r="CH12" s="25">
        <f t="shared" ref="CH12:CH15" ca="1" si="86">+COUNTIFS(K:K,$BK12,$BY:$BY,"OK")+COUNTIFS(L:L,$BK12,$BY:$BY,"OK")</f>
        <v>0</v>
      </c>
      <c r="CI12" s="25">
        <f t="shared" ref="CI12:CI15" ca="1" si="87">+COUNTIFS(M:M,$CE12,$BY:$BY,"OK")</f>
        <v>0</v>
      </c>
      <c r="CJ12" s="25">
        <f t="shared" ref="CJ12:CJ15" ca="1" si="88">+CK12-CL12</f>
        <v>0</v>
      </c>
      <c r="CK12" s="25">
        <f t="shared" ref="CK12:CK15" ca="1" si="89">+SUMIFS(CA:CA,$BY:$BY,"OK",BZ:BZ,$BK12)+SUMIFS(CB:CB,$BY:$BY,"OK",CC:CC,$BK12)</f>
        <v>0</v>
      </c>
      <c r="CL12" s="25">
        <f t="shared" ref="CL12:CL15" ca="1" si="90">+SUMIFS(CB:CB,$BY:$BY,"OK",BZ:BZ,$BK12)+SUMIFS(CA:CA,$BY:$BY,"OK",CC:CC,$BK12)</f>
        <v>0</v>
      </c>
      <c r="CM12" s="69">
        <f t="shared" ref="CM12:CM15" ca="1" si="91">+CG12*3+CH12*1+CJ12/100+CK12/10000</f>
        <v>0</v>
      </c>
      <c r="CN12" s="29">
        <f t="array" aca="1" ref="CN12" ca="1">+IF(CF12=0,0,_xludf.XLOOKUP(CM12,CP12:CP15,CQ12:CQ15))</f>
        <v>0</v>
      </c>
      <c r="CO12" s="54"/>
      <c r="CP12" s="25">
        <f ca="1">+LARGE(CM12:CM15,1)</f>
        <v>0</v>
      </c>
      <c r="CQ12" s="25">
        <f t="shared" ref="CQ12:CQ15" si="92">+CR12/$BW$1</f>
        <v>0.3</v>
      </c>
      <c r="CR12" s="24">
        <v>3</v>
      </c>
      <c r="CS12" s="24"/>
      <c r="CT12" s="24"/>
      <c r="CU12" s="24"/>
      <c r="CV12" s="44" t="str">
        <f ca="1">+'Mejores 3eros'!AP12</f>
        <v>Uzbekistan</v>
      </c>
      <c r="CW12" s="45" t="str">
        <f ca="1">+_xlfn.XLOOKUP(CV12,'Mejores 3eros'!$BD$2:$BD$13,'Mejores 3eros'!$BG$2:$BG$13,"-",0)</f>
        <v>OUT</v>
      </c>
      <c r="CX12" s="70" t="s">
        <v>116</v>
      </c>
    </row>
    <row r="13" spans="1:102" ht="14.25" customHeight="1" x14ac:dyDescent="0.25">
      <c r="A13" s="47" t="s">
        <v>127</v>
      </c>
      <c r="B13" s="48">
        <v>46186</v>
      </c>
      <c r="C13" s="49"/>
      <c r="D13" s="50"/>
      <c r="E13" s="51" t="s">
        <v>89</v>
      </c>
      <c r="F13" s="52">
        <v>0</v>
      </c>
      <c r="G13" s="52">
        <v>2</v>
      </c>
      <c r="H13" s="53" t="s">
        <v>65</v>
      </c>
      <c r="I13" s="24"/>
      <c r="J13" s="25" t="str">
        <f t="shared" si="49"/>
        <v>Suiza</v>
      </c>
      <c r="K13" s="25" t="str">
        <f t="shared" si="50"/>
        <v/>
      </c>
      <c r="L13" s="25" t="str">
        <f t="shared" si="51"/>
        <v/>
      </c>
      <c r="M13" s="25" t="str">
        <f t="shared" si="52"/>
        <v>Qatar</v>
      </c>
      <c r="N13" s="24"/>
      <c r="O13" s="27" t="str">
        <f>+H12</f>
        <v>Bosnia</v>
      </c>
      <c r="P13" s="25">
        <f>+COUNTIF(J12:J17,"="&amp;$O13)</f>
        <v>2</v>
      </c>
      <c r="Q13" s="25">
        <f>+COUNTIF(K12:L17,"="&amp;$O13)</f>
        <v>1</v>
      </c>
      <c r="R13" s="25">
        <f>+COUNTIF(M12:M17,"="&amp;$O13)</f>
        <v>0</v>
      </c>
      <c r="S13" s="25">
        <f t="shared" si="53"/>
        <v>3</v>
      </c>
      <c r="T13" s="25">
        <f>+SUMIF(E12:E17,$O13,F12:F17)+SUMIF(H12:H17,$O13,G12:G17)</f>
        <v>4</v>
      </c>
      <c r="U13" s="25">
        <f>+SUMIF(E12:E17,$O13,G12:G17)+SUMIF(H12:H17,$O13,F12:F17)</f>
        <v>1</v>
      </c>
      <c r="V13" s="54">
        <f t="shared" ca="1" si="54"/>
        <v>7.0034013000000002</v>
      </c>
      <c r="W13" s="27" t="str">
        <f t="shared" si="55"/>
        <v>Bosnia</v>
      </c>
      <c r="X13" s="24"/>
      <c r="Y13" s="71" t="str">
        <f>+CONCATENATE("2",RIGHT(E11,1))</f>
        <v>2B</v>
      </c>
      <c r="Z13" s="72" t="str">
        <f ca="1">+VLOOKUP(AL13,V12:W15,2,FALSE)</f>
        <v>Bosnia</v>
      </c>
      <c r="AA13" s="73">
        <f t="shared" ca="1" si="56"/>
        <v>3</v>
      </c>
      <c r="AB13" s="74">
        <f t="shared" ref="AB13:AG13" ca="1" si="93">+VLOOKUP($Z13,$O$12:$U$15,COLUMN()-26,FALSE)</f>
        <v>2</v>
      </c>
      <c r="AC13" s="74">
        <f t="shared" ca="1" si="93"/>
        <v>1</v>
      </c>
      <c r="AD13" s="74">
        <f t="shared" ca="1" si="93"/>
        <v>0</v>
      </c>
      <c r="AE13" s="74">
        <f t="shared" ca="1" si="93"/>
        <v>3</v>
      </c>
      <c r="AF13" s="74">
        <f t="shared" ca="1" si="93"/>
        <v>4</v>
      </c>
      <c r="AG13" s="74">
        <f t="shared" ca="1" si="93"/>
        <v>1</v>
      </c>
      <c r="AH13" s="75">
        <f t="shared" ca="1" si="58"/>
        <v>7.0034013000000002</v>
      </c>
      <c r="AI13" s="60"/>
      <c r="AJ13" s="24"/>
      <c r="AK13" s="24"/>
      <c r="AL13" s="54">
        <f ca="1">+LARGE(V12:V15,2)</f>
        <v>7.0034013000000002</v>
      </c>
      <c r="AM13" s="61">
        <f t="shared" ca="1" si="59"/>
        <v>0</v>
      </c>
      <c r="AN13" s="24"/>
      <c r="AO13" s="24"/>
      <c r="AP13" s="62" t="str">
        <f t="shared" si="60"/>
        <v>Bosnia</v>
      </c>
      <c r="AQ13" s="28">
        <f t="shared" ca="1" si="61"/>
        <v>7.0034000000000001</v>
      </c>
      <c r="AR13" s="24" t="b">
        <f ca="1">+IF(OR(AQ13=AQ14,AQ13=AQ15),1)</f>
        <v>0</v>
      </c>
      <c r="AS13" s="63">
        <f t="shared" si="62"/>
        <v>0</v>
      </c>
      <c r="AT13" s="63">
        <f ca="1">+IF(AND(AM16="si",OR(AR12=1,AR13=1,AR14=1)),1,0)</f>
        <v>0</v>
      </c>
      <c r="AU13" s="76" t="str">
        <f t="shared" si="63"/>
        <v>Bosnia</v>
      </c>
      <c r="AV13" s="77"/>
      <c r="AW13" s="24"/>
      <c r="AX13" s="24" t="str">
        <f>+Y11</f>
        <v>Grupo B</v>
      </c>
      <c r="AY13" s="25" t="str">
        <f t="shared" si="64"/>
        <v>Bosnia</v>
      </c>
      <c r="AZ13" s="29">
        <f t="shared" si="65"/>
        <v>7</v>
      </c>
      <c r="BA13" s="29">
        <f t="shared" si="66"/>
        <v>1</v>
      </c>
      <c r="BB13" s="29">
        <f>+IF(AZ13=BF10,ROW()*0.001,AZ13)</f>
        <v>7</v>
      </c>
      <c r="BC13" s="29">
        <f t="shared" si="67"/>
        <v>2</v>
      </c>
      <c r="BD13" s="29"/>
      <c r="BE13" s="26" t="e">
        <f ca="1">+IF(OR(BF13="-",BI13="-",BF10=0),"-","OK")</f>
        <v>#NAME?</v>
      </c>
      <c r="BF13" s="66" t="e">
        <f t="array" aca="1" ref="BF13" ca="1">+IF(_xludf.XLOOKUP($E13,$AY:$AY,$AZ:$AZ,"-",0)=BF10,$E13,"-")</f>
        <v>#NAME?</v>
      </c>
      <c r="BG13" s="67">
        <f t="shared" si="68"/>
        <v>0</v>
      </c>
      <c r="BH13" s="68">
        <f t="shared" si="69"/>
        <v>2</v>
      </c>
      <c r="BI13" s="66" t="e">
        <f t="array" aca="1" ref="BI13" ca="1">+IF(_xludf.XLOOKUP($H13,$AY:$AY,$AZ:$AZ,"-",0)=BF10,$H13,"-")</f>
        <v>#NAME?</v>
      </c>
      <c r="BJ13" s="24"/>
      <c r="BK13" s="27" t="str">
        <f t="shared" si="70"/>
        <v>Bosnia</v>
      </c>
      <c r="BL13" s="27">
        <f t="shared" ca="1" si="71"/>
        <v>0</v>
      </c>
      <c r="BM13" s="25">
        <f t="shared" ca="1" si="72"/>
        <v>0</v>
      </c>
      <c r="BN13" s="25">
        <f t="shared" ca="1" si="73"/>
        <v>0</v>
      </c>
      <c r="BO13" s="25">
        <f t="shared" si="74"/>
        <v>0</v>
      </c>
      <c r="BP13" s="25">
        <f t="shared" ca="1" si="75"/>
        <v>0</v>
      </c>
      <c r="BQ13" s="25">
        <f t="shared" ca="1" si="76"/>
        <v>0</v>
      </c>
      <c r="BR13" s="25">
        <f t="shared" ca="1" si="77"/>
        <v>0</v>
      </c>
      <c r="BS13" s="69">
        <f t="shared" ca="1" si="78"/>
        <v>0</v>
      </c>
      <c r="BT13" s="29">
        <f t="array" aca="1" ref="BT13" ca="1">+IF(BL13=0,0,_xludf.XLOOKUP(BS13,BV12:BV15,BW12:BW15))</f>
        <v>0</v>
      </c>
      <c r="BU13" s="54"/>
      <c r="BV13" s="25">
        <f ca="1">+LARGE(BS12:BS15,2)</f>
        <v>0</v>
      </c>
      <c r="BW13" s="25">
        <f t="shared" si="79"/>
        <v>0.2</v>
      </c>
      <c r="BX13" s="24">
        <v>2</v>
      </c>
      <c r="BY13" s="26" t="e">
        <f t="shared" ca="1" si="80"/>
        <v>#NAME?</v>
      </c>
      <c r="BZ13" s="66" t="e">
        <f t="array" aca="1" ref="BZ13" ca="1">+IF(_xludf.XLOOKUP($E13,$AY:$AY,$AZ:$AZ,"-",0)=BZ10,$E13,"-")</f>
        <v>#NAME?</v>
      </c>
      <c r="CA13" s="67">
        <f t="shared" si="81"/>
        <v>0</v>
      </c>
      <c r="CB13" s="68">
        <f t="shared" si="82"/>
        <v>2</v>
      </c>
      <c r="CC13" s="66" t="e">
        <f t="array" aca="1" ref="CC13" ca="1">+IF(_xludf.XLOOKUP($H13,$AY:$AY,$AZ:$AZ,"-",0)=BZ10,$H13,"-")</f>
        <v>#NAME?</v>
      </c>
      <c r="CD13" s="24"/>
      <c r="CE13" s="27" t="str">
        <f t="shared" si="83"/>
        <v>Bosnia</v>
      </c>
      <c r="CF13" s="27">
        <f t="shared" ca="1" si="84"/>
        <v>0</v>
      </c>
      <c r="CG13" s="25">
        <f t="shared" si="85"/>
        <v>0</v>
      </c>
      <c r="CH13" s="25">
        <f t="shared" ca="1" si="86"/>
        <v>0</v>
      </c>
      <c r="CI13" s="25">
        <f t="shared" si="87"/>
        <v>0</v>
      </c>
      <c r="CJ13" s="25">
        <f t="shared" ca="1" si="88"/>
        <v>0</v>
      </c>
      <c r="CK13" s="25">
        <f t="shared" ca="1" si="89"/>
        <v>0</v>
      </c>
      <c r="CL13" s="25">
        <f t="shared" ca="1" si="90"/>
        <v>0</v>
      </c>
      <c r="CM13" s="69">
        <f t="shared" ca="1" si="91"/>
        <v>0</v>
      </c>
      <c r="CN13" s="29">
        <f t="array" aca="1" ref="CN13" ca="1">+IF(CF13=0,0,_xludf.XLOOKUP(CM13,CP12:CP15,CQ12:CQ15))</f>
        <v>0</v>
      </c>
      <c r="CO13" s="54"/>
      <c r="CP13" s="25">
        <f ca="1">+LARGE(CM12:CM15,2)</f>
        <v>0</v>
      </c>
      <c r="CQ13" s="25">
        <f t="shared" si="92"/>
        <v>0.2</v>
      </c>
      <c r="CR13" s="24">
        <v>2</v>
      </c>
      <c r="CS13" s="24"/>
      <c r="CT13" s="24"/>
      <c r="CU13" s="24"/>
      <c r="CV13" s="106" t="str">
        <f ca="1">+'Mejores 3eros'!AP13</f>
        <v>Ghana</v>
      </c>
      <c r="CW13" s="107" t="str">
        <f ca="1">+_xlfn.XLOOKUP(CV13,'Mejores 3eros'!$BD$2:$BD$13,'Mejores 3eros'!$BG$2:$BG$13,"-",0)</f>
        <v>IN</v>
      </c>
      <c r="CX13" s="108" t="s">
        <v>116</v>
      </c>
    </row>
    <row r="14" spans="1:102" ht="14.25" customHeight="1" x14ac:dyDescent="0.25">
      <c r="A14" s="47" t="s">
        <v>128</v>
      </c>
      <c r="B14" s="48">
        <v>46191</v>
      </c>
      <c r="C14" s="49"/>
      <c r="D14" s="50"/>
      <c r="E14" s="51" t="s">
        <v>65</v>
      </c>
      <c r="F14" s="52">
        <v>1</v>
      </c>
      <c r="G14" s="52">
        <v>1</v>
      </c>
      <c r="H14" s="53" t="s">
        <v>84</v>
      </c>
      <c r="I14" s="24"/>
      <c r="J14" s="25" t="str">
        <f t="shared" si="49"/>
        <v/>
      </c>
      <c r="K14" s="25" t="str">
        <f t="shared" si="50"/>
        <v>Suiza</v>
      </c>
      <c r="L14" s="25" t="str">
        <f t="shared" si="51"/>
        <v>Bosnia</v>
      </c>
      <c r="M14" s="25" t="str">
        <f t="shared" si="52"/>
        <v/>
      </c>
      <c r="N14" s="24"/>
      <c r="O14" s="27" t="str">
        <f>+E13</f>
        <v>Qatar</v>
      </c>
      <c r="P14" s="25">
        <f>+COUNTIF(J12:J17,"="&amp;$O14)</f>
        <v>0</v>
      </c>
      <c r="Q14" s="25">
        <f>+COUNTIF(K12:L17,"="&amp;$O14)</f>
        <v>1</v>
      </c>
      <c r="R14" s="25">
        <f>+COUNTIF(M12:M17,"="&amp;$O14)</f>
        <v>2</v>
      </c>
      <c r="S14" s="25">
        <f t="shared" si="53"/>
        <v>-4</v>
      </c>
      <c r="T14" s="25">
        <f>+SUMIF(E12:E17,$O14,F12:F17)+SUMIF(H12:H17,$O14,G12:G17)</f>
        <v>0</v>
      </c>
      <c r="U14" s="25">
        <f>+SUMIF(E12:E17,$O14,G12:G17)+SUMIF(H12:H17,$O14,F12:F17)</f>
        <v>4</v>
      </c>
      <c r="V14" s="54">
        <f t="shared" ca="1" si="54"/>
        <v>0.99600140000000004</v>
      </c>
      <c r="W14" s="27" t="str">
        <f t="shared" si="55"/>
        <v>Qatar</v>
      </c>
      <c r="X14" s="24"/>
      <c r="Y14" s="78" t="str">
        <f>+CONCATENATE("3",RIGHT(E11,1))</f>
        <v>3B</v>
      </c>
      <c r="Z14" s="79" t="str">
        <f ca="1">+VLOOKUP(AL14,V12:W15,2,FALSE)</f>
        <v>Canada</v>
      </c>
      <c r="AA14" s="80">
        <f t="shared" ca="1" si="56"/>
        <v>3</v>
      </c>
      <c r="AB14" s="81">
        <f t="shared" ref="AB14:AG14" ca="1" si="94">+VLOOKUP($Z14,$O$12:$U$15,COLUMN()-26,FALSE)</f>
        <v>0</v>
      </c>
      <c r="AC14" s="81">
        <f t="shared" ca="1" si="94"/>
        <v>1</v>
      </c>
      <c r="AD14" s="81">
        <f t="shared" ca="1" si="94"/>
        <v>2</v>
      </c>
      <c r="AE14" s="81">
        <f t="shared" ca="1" si="94"/>
        <v>-3</v>
      </c>
      <c r="AF14" s="81">
        <f t="shared" ca="1" si="94"/>
        <v>0</v>
      </c>
      <c r="AG14" s="81">
        <f t="shared" ca="1" si="94"/>
        <v>3</v>
      </c>
      <c r="AH14" s="82">
        <f t="shared" ca="1" si="58"/>
        <v>0.99700120000000003</v>
      </c>
      <c r="AI14" s="83">
        <f ca="1">+(COUNTIFS($CV$2:$CV$13,Z14,$CX$2:$CX$13,"IN")+COUNTIFS($CV$2:$CV$13,Z14,$CW$2:$CW$13,"IN"))*IF(SUM(AA12:AA15)=12,1,0)</f>
        <v>0</v>
      </c>
      <c r="AJ14" s="24"/>
      <c r="AK14" s="24"/>
      <c r="AL14" s="54">
        <f ca="1">+LARGE(V12:V15,3)</f>
        <v>0.99700120000000003</v>
      </c>
      <c r="AM14" s="61">
        <f t="shared" ca="1" si="59"/>
        <v>0</v>
      </c>
      <c r="AN14" s="24"/>
      <c r="AO14" s="24"/>
      <c r="AP14" s="62" t="str">
        <f t="shared" si="60"/>
        <v>Qatar</v>
      </c>
      <c r="AQ14" s="28">
        <f t="shared" ca="1" si="61"/>
        <v>0.996</v>
      </c>
      <c r="AR14" s="24" t="b">
        <f ca="1">+IF(OR(AQ14=AQ15),1)</f>
        <v>0</v>
      </c>
      <c r="AS14" s="63">
        <f t="shared" si="62"/>
        <v>0</v>
      </c>
      <c r="AT14" s="63">
        <f ca="1">+IF(AND(AM16="si",OR(AR12=1,AR13=1,AR14=1)),1,0)</f>
        <v>0</v>
      </c>
      <c r="AU14" s="76" t="str">
        <f t="shared" si="63"/>
        <v>Qatar</v>
      </c>
      <c r="AV14" s="77"/>
      <c r="AW14" s="24"/>
      <c r="AX14" s="24" t="str">
        <f>+Y11</f>
        <v>Grupo B</v>
      </c>
      <c r="AY14" s="25" t="str">
        <f t="shared" si="64"/>
        <v>Qatar</v>
      </c>
      <c r="AZ14" s="29">
        <f t="shared" si="65"/>
        <v>1</v>
      </c>
      <c r="BA14" s="29">
        <f t="shared" si="66"/>
        <v>2</v>
      </c>
      <c r="BB14" s="29">
        <f>+IF(AZ14=BF10,ROW()*0.001,AZ14)</f>
        <v>1.4E-2</v>
      </c>
      <c r="BC14" s="29">
        <f t="shared" si="67"/>
        <v>1</v>
      </c>
      <c r="BD14" s="29"/>
      <c r="BE14" s="26" t="e">
        <f ca="1">+IF(OR(BF14="-",BI14="-",BF10=0),"-","OK")</f>
        <v>#NAME?</v>
      </c>
      <c r="BF14" s="66" t="e">
        <f t="array" aca="1" ref="BF14" ca="1">+IF(_xludf.XLOOKUP($E14,$AY:$AY,$AZ:$AZ,"-",0)=BF10,$E14,"-")</f>
        <v>#NAME?</v>
      </c>
      <c r="BG14" s="67">
        <f t="shared" si="68"/>
        <v>1</v>
      </c>
      <c r="BH14" s="68">
        <f t="shared" si="69"/>
        <v>1</v>
      </c>
      <c r="BI14" s="66" t="e">
        <f t="array" aca="1" ref="BI14" ca="1">+IF(_xludf.XLOOKUP($H14,$AY:$AY,$AZ:$AZ,"-",0)=BF10,$H14,"-")</f>
        <v>#NAME?</v>
      </c>
      <c r="BJ14" s="24"/>
      <c r="BK14" s="27" t="str">
        <f t="shared" si="70"/>
        <v>Qatar</v>
      </c>
      <c r="BL14" s="27">
        <f t="shared" ca="1" si="71"/>
        <v>0</v>
      </c>
      <c r="BM14" s="25">
        <f t="shared" si="72"/>
        <v>0</v>
      </c>
      <c r="BN14" s="25">
        <f t="shared" ca="1" si="73"/>
        <v>0</v>
      </c>
      <c r="BO14" s="25">
        <f t="shared" ca="1" si="74"/>
        <v>0</v>
      </c>
      <c r="BP14" s="25">
        <f t="shared" ca="1" si="75"/>
        <v>0</v>
      </c>
      <c r="BQ14" s="25">
        <f t="shared" ca="1" si="76"/>
        <v>0</v>
      </c>
      <c r="BR14" s="25">
        <f t="shared" ca="1" si="77"/>
        <v>0</v>
      </c>
      <c r="BS14" s="69">
        <f t="shared" ca="1" si="78"/>
        <v>0</v>
      </c>
      <c r="BT14" s="29">
        <f t="array" aca="1" ref="BT14" ca="1">+IF(BL14=0,0,_xludf.XLOOKUP(BS14,BV12:BV15,BW12:BW15))</f>
        <v>0</v>
      </c>
      <c r="BU14" s="54"/>
      <c r="BV14" s="25">
        <f ca="1">+LARGE(BS12:BS15,3)</f>
        <v>0</v>
      </c>
      <c r="BW14" s="25">
        <f t="shared" si="79"/>
        <v>0.1</v>
      </c>
      <c r="BX14" s="24">
        <v>1</v>
      </c>
      <c r="BY14" s="26" t="e">
        <f t="shared" ca="1" si="80"/>
        <v>#NAME?</v>
      </c>
      <c r="BZ14" s="66" t="e">
        <f t="array" aca="1" ref="BZ14" ca="1">+IF(_xludf.XLOOKUP($E14,$AY:$AY,$AZ:$AZ,"-",0)=BZ10,$E14,"-")</f>
        <v>#NAME?</v>
      </c>
      <c r="CA14" s="67">
        <f t="shared" si="81"/>
        <v>1</v>
      </c>
      <c r="CB14" s="68">
        <f t="shared" si="82"/>
        <v>1</v>
      </c>
      <c r="CC14" s="66" t="e">
        <f t="array" aca="1" ref="CC14" ca="1">+IF(_xludf.XLOOKUP($H14,$AY:$AY,$AZ:$AZ,"-",0)=BZ10,$H14,"-")</f>
        <v>#NAME?</v>
      </c>
      <c r="CD14" s="24"/>
      <c r="CE14" s="27" t="str">
        <f t="shared" si="83"/>
        <v>Qatar</v>
      </c>
      <c r="CF14" s="27">
        <f t="shared" ca="1" si="84"/>
        <v>0</v>
      </c>
      <c r="CG14" s="25">
        <f t="shared" si="85"/>
        <v>0</v>
      </c>
      <c r="CH14" s="25">
        <f t="shared" ca="1" si="86"/>
        <v>0</v>
      </c>
      <c r="CI14" s="25">
        <f t="shared" ca="1" si="87"/>
        <v>0</v>
      </c>
      <c r="CJ14" s="25">
        <f t="shared" ca="1" si="88"/>
        <v>0</v>
      </c>
      <c r="CK14" s="25">
        <f t="shared" ca="1" si="89"/>
        <v>0</v>
      </c>
      <c r="CL14" s="25">
        <f t="shared" ca="1" si="90"/>
        <v>0</v>
      </c>
      <c r="CM14" s="69">
        <f t="shared" ca="1" si="91"/>
        <v>0</v>
      </c>
      <c r="CN14" s="29">
        <f t="array" aca="1" ref="CN14" ca="1">+IF(CF14=0,0,_xludf.XLOOKUP(CM14,CP12:CP15,CQ12:CQ15))</f>
        <v>0</v>
      </c>
      <c r="CO14" s="54"/>
      <c r="CP14" s="25">
        <f ca="1">+LARGE(CM12:CM15,3)</f>
        <v>0</v>
      </c>
      <c r="CQ14" s="25">
        <f t="shared" si="92"/>
        <v>0.1</v>
      </c>
      <c r="CR14" s="24">
        <v>1</v>
      </c>
      <c r="CS14" s="24"/>
      <c r="CT14" s="24"/>
      <c r="CU14" s="24"/>
      <c r="CV14" s="109" t="str">
        <f ca="1">IF(CS4="OK",IF(COUNTIF($CW$2:$CX$13,"IN")&lt;8,"Missing INPUTS for BEST 3rd Places",IF(COUNTIF($CW$2:$CX$13,"IN")&gt;8,"Too many BEST 3rd Places","-")),"")</f>
        <v>-</v>
      </c>
      <c r="CW14" s="24"/>
      <c r="CX14" s="25"/>
    </row>
    <row r="15" spans="1:102" ht="14.25" customHeight="1" x14ac:dyDescent="0.25">
      <c r="A15" s="47" t="s">
        <v>129</v>
      </c>
      <c r="B15" s="48">
        <v>46191</v>
      </c>
      <c r="C15" s="49"/>
      <c r="D15" s="50"/>
      <c r="E15" s="51" t="s">
        <v>76</v>
      </c>
      <c r="F15" s="52">
        <v>0</v>
      </c>
      <c r="G15" s="52">
        <v>0</v>
      </c>
      <c r="H15" s="53" t="s">
        <v>89</v>
      </c>
      <c r="I15" s="24"/>
      <c r="J15" s="25" t="str">
        <f t="shared" si="49"/>
        <v/>
      </c>
      <c r="K15" s="25" t="str">
        <f t="shared" si="50"/>
        <v>Canada</v>
      </c>
      <c r="L15" s="25" t="str">
        <f t="shared" si="51"/>
        <v>Qatar</v>
      </c>
      <c r="M15" s="25" t="str">
        <f t="shared" si="52"/>
        <v/>
      </c>
      <c r="N15" s="24"/>
      <c r="O15" s="27" t="str">
        <f>+H13</f>
        <v>Suiza</v>
      </c>
      <c r="P15" s="25">
        <f>+COUNTIF(J12:J17,"="&amp;$O15)</f>
        <v>2</v>
      </c>
      <c r="Q15" s="25">
        <f>+COUNTIF(K12:L17,"="&amp;$O15)</f>
        <v>1</v>
      </c>
      <c r="R15" s="25">
        <f>+COUNTIF(M12:M17,"="&amp;$O15)</f>
        <v>0</v>
      </c>
      <c r="S15" s="25">
        <f t="shared" si="53"/>
        <v>4</v>
      </c>
      <c r="T15" s="25">
        <f>+SUMIF(E12:E17,$O15,F12:F17)+SUMIF(H12:H17,$O15,G12:G17)</f>
        <v>5</v>
      </c>
      <c r="U15" s="25">
        <f>+SUMIF(E12:E17,$O15,G12:G17)+SUMIF(H12:H17,$O15,F12:F17)</f>
        <v>1</v>
      </c>
      <c r="V15" s="54">
        <f t="shared" ca="1" si="54"/>
        <v>7.004501499999999</v>
      </c>
      <c r="W15" s="27" t="str">
        <f t="shared" si="55"/>
        <v>Suiza</v>
      </c>
      <c r="X15" s="24"/>
      <c r="Y15" s="84" t="str">
        <f>+CONCATENATE("4",RIGHT(E11,1))</f>
        <v>4B</v>
      </c>
      <c r="Z15" s="85" t="str">
        <f ca="1">+VLOOKUP(AL15,V12:W15,2,FALSE)</f>
        <v>Qatar</v>
      </c>
      <c r="AA15" s="86">
        <f t="shared" ca="1" si="56"/>
        <v>3</v>
      </c>
      <c r="AB15" s="87">
        <f t="shared" ref="AB15:AG15" ca="1" si="95">+VLOOKUP($Z15,$O$12:$U$15,COLUMN()-26,FALSE)</f>
        <v>0</v>
      </c>
      <c r="AC15" s="87">
        <f t="shared" ca="1" si="95"/>
        <v>1</v>
      </c>
      <c r="AD15" s="87">
        <f t="shared" ca="1" si="95"/>
        <v>2</v>
      </c>
      <c r="AE15" s="87">
        <f t="shared" ca="1" si="95"/>
        <v>-4</v>
      </c>
      <c r="AF15" s="87">
        <f t="shared" ca="1" si="95"/>
        <v>0</v>
      </c>
      <c r="AG15" s="87">
        <f t="shared" ca="1" si="95"/>
        <v>4</v>
      </c>
      <c r="AH15" s="88">
        <f t="shared" ca="1" si="58"/>
        <v>0.99600140000000004</v>
      </c>
      <c r="AI15" s="83"/>
      <c r="AJ15" s="24"/>
      <c r="AK15" s="24"/>
      <c r="AL15" s="54">
        <f ca="1">+LARGE(V12:V15,4)</f>
        <v>0.99600140000000004</v>
      </c>
      <c r="AM15" s="61">
        <f t="shared" ca="1" si="59"/>
        <v>0</v>
      </c>
      <c r="AN15" s="24"/>
      <c r="AO15" s="24"/>
      <c r="AP15" s="62" t="str">
        <f t="shared" si="60"/>
        <v>Suiza</v>
      </c>
      <c r="AQ15" s="28">
        <f t="shared" ca="1" si="61"/>
        <v>7.0044999999999993</v>
      </c>
      <c r="AR15" s="24"/>
      <c r="AS15" s="63">
        <f t="shared" si="62"/>
        <v>0</v>
      </c>
      <c r="AT15" s="63">
        <f ca="1">+IF(AND(AM16="si",OR(AR12=1,AR13=1,AR14=1)),1,0)</f>
        <v>0</v>
      </c>
      <c r="AU15" s="89" t="str">
        <f t="shared" si="63"/>
        <v>Suiza</v>
      </c>
      <c r="AV15" s="90"/>
      <c r="AW15" s="24"/>
      <c r="AX15" s="24" t="str">
        <f>+Y11</f>
        <v>Grupo B</v>
      </c>
      <c r="AY15" s="25" t="str">
        <f t="shared" si="64"/>
        <v>Suiza</v>
      </c>
      <c r="AZ15" s="29">
        <f t="shared" si="65"/>
        <v>7</v>
      </c>
      <c r="BA15" s="29">
        <f t="shared" si="66"/>
        <v>2</v>
      </c>
      <c r="BB15" s="29">
        <f>+IF(AZ15=BF10,ROW()*0.001,AZ15)</f>
        <v>7</v>
      </c>
      <c r="BC15" s="29">
        <f t="shared" si="67"/>
        <v>3</v>
      </c>
      <c r="BD15" s="29"/>
      <c r="BE15" s="26" t="e">
        <f ca="1">+IF(OR(BF15="-",BI15="-",BF10=0),"-","OK")</f>
        <v>#NAME?</v>
      </c>
      <c r="BF15" s="66" t="e">
        <f t="array" aca="1" ref="BF15" ca="1">+IF(_xludf.XLOOKUP($E15,$AY:$AY,$AZ:$AZ,"-",0)=BF10,$E15,"-")</f>
        <v>#NAME?</v>
      </c>
      <c r="BG15" s="67">
        <f t="shared" si="68"/>
        <v>0</v>
      </c>
      <c r="BH15" s="68">
        <f t="shared" si="69"/>
        <v>0</v>
      </c>
      <c r="BI15" s="66" t="e">
        <f t="array" aca="1" ref="BI15" ca="1">+IF(_xludf.XLOOKUP($H15,$AY:$AY,$AZ:$AZ,"-",0)=BF10,$H15,"-")</f>
        <v>#NAME?</v>
      </c>
      <c r="BJ15" s="24"/>
      <c r="BK15" s="27" t="str">
        <f t="shared" si="70"/>
        <v>Suiza</v>
      </c>
      <c r="BL15" s="27">
        <f t="shared" ca="1" si="71"/>
        <v>0</v>
      </c>
      <c r="BM15" s="25">
        <f t="shared" ca="1" si="72"/>
        <v>0</v>
      </c>
      <c r="BN15" s="25">
        <f t="shared" ca="1" si="73"/>
        <v>0</v>
      </c>
      <c r="BO15" s="25">
        <f t="shared" si="74"/>
        <v>0</v>
      </c>
      <c r="BP15" s="25">
        <f t="shared" ca="1" si="75"/>
        <v>0</v>
      </c>
      <c r="BQ15" s="25">
        <f t="shared" ca="1" si="76"/>
        <v>0</v>
      </c>
      <c r="BR15" s="25">
        <f t="shared" ca="1" si="77"/>
        <v>0</v>
      </c>
      <c r="BS15" s="69">
        <f t="shared" ca="1" si="78"/>
        <v>0</v>
      </c>
      <c r="BT15" s="29">
        <f t="array" aca="1" ref="BT15" ca="1">+IF(BL15=0,0,_xludf.XLOOKUP(BS15,BV12:BV15,BW12:BW15))</f>
        <v>0</v>
      </c>
      <c r="BU15" s="54"/>
      <c r="BV15" s="25">
        <f ca="1">+LARGE(BS12:BS15,4)</f>
        <v>0</v>
      </c>
      <c r="BW15" s="25">
        <f t="shared" si="79"/>
        <v>0</v>
      </c>
      <c r="BX15" s="24">
        <v>0</v>
      </c>
      <c r="BY15" s="26" t="e">
        <f t="shared" ca="1" si="80"/>
        <v>#NAME?</v>
      </c>
      <c r="BZ15" s="66" t="e">
        <f t="array" aca="1" ref="BZ15" ca="1">+IF(_xludf.XLOOKUP($E15,$AY:$AY,$AZ:$AZ,"-",0)=BZ10,$E15,"-")</f>
        <v>#NAME?</v>
      </c>
      <c r="CA15" s="67">
        <f t="shared" si="81"/>
        <v>0</v>
      </c>
      <c r="CB15" s="68">
        <f t="shared" si="82"/>
        <v>0</v>
      </c>
      <c r="CC15" s="66" t="e">
        <f t="array" aca="1" ref="CC15" ca="1">+IF(_xludf.XLOOKUP($H15,$AY:$AY,$AZ:$AZ,"-",0)=BZ10,$H15,"-")</f>
        <v>#NAME?</v>
      </c>
      <c r="CD15" s="24"/>
      <c r="CE15" s="27" t="str">
        <f t="shared" si="83"/>
        <v>Suiza</v>
      </c>
      <c r="CF15" s="27">
        <f t="shared" ca="1" si="84"/>
        <v>0</v>
      </c>
      <c r="CG15" s="25">
        <f t="shared" si="85"/>
        <v>0</v>
      </c>
      <c r="CH15" s="25">
        <f t="shared" ca="1" si="86"/>
        <v>0</v>
      </c>
      <c r="CI15" s="25">
        <f t="shared" si="87"/>
        <v>0</v>
      </c>
      <c r="CJ15" s="25">
        <f t="shared" ca="1" si="88"/>
        <v>0</v>
      </c>
      <c r="CK15" s="25">
        <f t="shared" ca="1" si="89"/>
        <v>0</v>
      </c>
      <c r="CL15" s="25">
        <f t="shared" ca="1" si="90"/>
        <v>0</v>
      </c>
      <c r="CM15" s="69">
        <f t="shared" ca="1" si="91"/>
        <v>0</v>
      </c>
      <c r="CN15" s="29">
        <f t="array" aca="1" ref="CN15" ca="1">+IF(CF15=0,0,_xludf.XLOOKUP(CM15,CP12:CP15,CQ12:CQ15))</f>
        <v>0</v>
      </c>
      <c r="CO15" s="54"/>
      <c r="CP15" s="25">
        <f ca="1">+LARGE(CM12:CM15,4)</f>
        <v>0</v>
      </c>
      <c r="CQ15" s="25">
        <f t="shared" si="92"/>
        <v>0</v>
      </c>
      <c r="CR15" s="24">
        <v>0</v>
      </c>
      <c r="CS15" s="24"/>
      <c r="CT15" s="24"/>
      <c r="CU15" s="24"/>
      <c r="CV15" s="24"/>
      <c r="CW15" s="24">
        <f ca="1">+ROUNDDOWN(RAND()*4,0)</f>
        <v>0</v>
      </c>
      <c r="CX15" s="25"/>
    </row>
    <row r="16" spans="1:102" ht="14.25" customHeight="1" x14ac:dyDescent="0.25">
      <c r="A16" s="47" t="s">
        <v>130</v>
      </c>
      <c r="B16" s="48">
        <v>46197</v>
      </c>
      <c r="C16" s="49"/>
      <c r="D16" s="50"/>
      <c r="E16" s="51" t="s">
        <v>65</v>
      </c>
      <c r="F16" s="52">
        <v>2</v>
      </c>
      <c r="G16" s="52">
        <v>0</v>
      </c>
      <c r="H16" s="53" t="s">
        <v>76</v>
      </c>
      <c r="I16" s="24"/>
      <c r="J16" s="25" t="str">
        <f t="shared" si="49"/>
        <v>Suiza</v>
      </c>
      <c r="K16" s="25" t="str">
        <f t="shared" si="50"/>
        <v/>
      </c>
      <c r="L16" s="25" t="str">
        <f t="shared" si="51"/>
        <v/>
      </c>
      <c r="M16" s="25" t="str">
        <f t="shared" si="52"/>
        <v>Canada</v>
      </c>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6" t="s">
        <v>122</v>
      </c>
      <c r="AM16" s="61" t="str">
        <f ca="1">+IF(SUM(AA12:AA15)=12,"si","no")</f>
        <v>si</v>
      </c>
      <c r="AN16" s="24"/>
      <c r="AO16" s="24"/>
      <c r="AP16" s="24"/>
      <c r="AQ16" s="24"/>
      <c r="AR16" s="24"/>
      <c r="AS16" s="24"/>
      <c r="AT16" s="24"/>
      <c r="AU16" s="24"/>
      <c r="AV16" s="24"/>
      <c r="AW16" s="24"/>
      <c r="AX16" s="24"/>
      <c r="AY16" s="24"/>
      <c r="AZ16" s="24"/>
      <c r="BA16" s="24"/>
      <c r="BB16" s="24"/>
      <c r="BC16" s="24"/>
      <c r="BD16" s="24"/>
      <c r="BE16" s="26" t="e">
        <f ca="1">+IF(OR(BF16="-",BI16="-",BF10=0),"-","OK")</f>
        <v>#NAME?</v>
      </c>
      <c r="BF16" s="66" t="e">
        <f t="array" aca="1" ref="BF16" ca="1">+IF(_xludf.XLOOKUP($E16,$AY:$AY,$AZ:$AZ,"-",0)=BF10,$E16,"-")</f>
        <v>#NAME?</v>
      </c>
      <c r="BG16" s="67">
        <f t="shared" si="68"/>
        <v>2</v>
      </c>
      <c r="BH16" s="68">
        <f t="shared" si="69"/>
        <v>0</v>
      </c>
      <c r="BI16" s="66" t="e">
        <f t="array" aca="1" ref="BI16" ca="1">+IF(_xludf.XLOOKUP($H16,$AY:$AY,$AZ:$AZ,"-",0)=BF10,$H16,"-")</f>
        <v>#NAME?</v>
      </c>
      <c r="BJ16" s="24"/>
      <c r="BK16" s="24"/>
      <c r="BL16" s="24"/>
      <c r="BM16" s="24"/>
      <c r="BN16" s="24"/>
      <c r="BO16" s="24"/>
      <c r="BP16" s="24"/>
      <c r="BQ16" s="24"/>
      <c r="BR16" s="24"/>
      <c r="BS16" s="24"/>
      <c r="BT16" s="24"/>
      <c r="BU16" s="24"/>
      <c r="BV16" s="24"/>
      <c r="BW16" s="24"/>
      <c r="BX16" s="24"/>
      <c r="BY16" s="26" t="e">
        <f t="shared" ca="1" si="80"/>
        <v>#NAME?</v>
      </c>
      <c r="BZ16" s="66" t="e">
        <f t="array" aca="1" ref="BZ16" ca="1">+IF(_xludf.XLOOKUP($E16,$AY:$AY,$AZ:$AZ,"-",0)=BZ10,$E16,"-")</f>
        <v>#NAME?</v>
      </c>
      <c r="CA16" s="67">
        <f t="shared" si="81"/>
        <v>2</v>
      </c>
      <c r="CB16" s="68">
        <f t="shared" si="82"/>
        <v>0</v>
      </c>
      <c r="CC16" s="66" t="e">
        <f t="array" aca="1" ref="CC16" ca="1">+IF(_xludf.XLOOKUP($H16,$AY:$AY,$AZ:$AZ,"-",0)=BZ10,$H16,"-")</f>
        <v>#NAME?</v>
      </c>
      <c r="CD16" s="24"/>
      <c r="CE16" s="24"/>
      <c r="CF16" s="24"/>
      <c r="CG16" s="24"/>
      <c r="CH16" s="24"/>
      <c r="CI16" s="24"/>
      <c r="CJ16" s="24"/>
      <c r="CK16" s="24"/>
      <c r="CL16" s="24"/>
      <c r="CM16" s="24"/>
      <c r="CN16" s="24"/>
      <c r="CO16" s="24"/>
      <c r="CP16" s="24"/>
      <c r="CQ16" s="24"/>
      <c r="CR16" s="24"/>
      <c r="CS16" s="24"/>
      <c r="CT16" s="24"/>
      <c r="CU16" s="24"/>
      <c r="CV16" s="24"/>
      <c r="CW16" s="24"/>
      <c r="CX16" s="25"/>
    </row>
    <row r="17" spans="1:96" ht="14.25" customHeight="1" x14ac:dyDescent="0.25">
      <c r="A17" s="47" t="s">
        <v>131</v>
      </c>
      <c r="B17" s="48">
        <v>46197</v>
      </c>
      <c r="C17" s="49"/>
      <c r="D17" s="50"/>
      <c r="E17" s="51" t="s">
        <v>84</v>
      </c>
      <c r="F17" s="52">
        <v>2</v>
      </c>
      <c r="G17" s="52">
        <v>0</v>
      </c>
      <c r="H17" s="53" t="s">
        <v>89</v>
      </c>
      <c r="I17" s="24"/>
      <c r="J17" s="25" t="str">
        <f t="shared" si="49"/>
        <v>Bosnia</v>
      </c>
      <c r="K17" s="25" t="str">
        <f t="shared" si="50"/>
        <v/>
      </c>
      <c r="L17" s="25" t="str">
        <f t="shared" si="51"/>
        <v/>
      </c>
      <c r="M17" s="25" t="str">
        <f t="shared" si="52"/>
        <v>Qatar</v>
      </c>
      <c r="N17" s="24"/>
      <c r="O17" s="24"/>
      <c r="P17" s="24"/>
      <c r="Q17" s="24"/>
      <c r="R17" s="24"/>
      <c r="S17" s="24"/>
      <c r="T17" s="24"/>
      <c r="U17" s="24"/>
      <c r="V17" s="24"/>
      <c r="W17" s="24"/>
      <c r="X17" s="24"/>
      <c r="Y17" s="62" t="s">
        <v>124</v>
      </c>
      <c r="Z17" s="24"/>
      <c r="AA17" s="24"/>
      <c r="AB17" s="24"/>
      <c r="AC17" s="24"/>
      <c r="AD17" s="24"/>
      <c r="AE17" s="24"/>
      <c r="AF17" s="24"/>
      <c r="AG17" s="24"/>
      <c r="AH17" s="24"/>
      <c r="AI17" s="24"/>
      <c r="AJ17" s="24"/>
      <c r="AK17" s="24"/>
      <c r="AL17" s="24"/>
      <c r="AM17" s="24"/>
      <c r="AN17" s="24"/>
      <c r="AO17" s="24"/>
      <c r="AP17" s="24"/>
      <c r="AQ17" s="24"/>
      <c r="AR17" s="24">
        <f ca="1">+IF(AND(AM16="si",OR(AR12=1,AR13=1,AR14=1)),1,0)</f>
        <v>0</v>
      </c>
      <c r="AS17" s="24"/>
      <c r="AT17" s="24"/>
      <c r="AU17" s="24"/>
      <c r="AV17" s="24"/>
      <c r="AW17" s="24"/>
      <c r="AX17" s="24"/>
      <c r="AY17" s="24"/>
      <c r="AZ17" s="24"/>
      <c r="BA17" s="24"/>
      <c r="BB17" s="24"/>
      <c r="BC17" s="24"/>
      <c r="BD17" s="24"/>
      <c r="BE17" s="26" t="e">
        <f ca="1">+IF(OR(BF17="-",BI17="-",BF10=0),"-","OK")</f>
        <v>#NAME?</v>
      </c>
      <c r="BF17" s="66" t="e">
        <f t="array" aca="1" ref="BF17" ca="1">+IF(_xludf.XLOOKUP($E17,$AY:$AY,$AZ:$AZ,"-",0)=BF10,$E17,"-")</f>
        <v>#NAME?</v>
      </c>
      <c r="BG17" s="67">
        <f t="shared" si="68"/>
        <v>2</v>
      </c>
      <c r="BH17" s="68">
        <f t="shared" si="69"/>
        <v>0</v>
      </c>
      <c r="BI17" s="66" t="e">
        <f t="array" aca="1" ref="BI17" ca="1">+IF(_xludf.XLOOKUP($H17,$AY:$AY,$AZ:$AZ,"-",0)=BF10,$H17,"-")</f>
        <v>#NAME?</v>
      </c>
      <c r="BJ17" s="24"/>
      <c r="BK17" s="24"/>
      <c r="BL17" s="24"/>
      <c r="BM17" s="24"/>
      <c r="BN17" s="24"/>
      <c r="BO17" s="24"/>
      <c r="BP17" s="24"/>
      <c r="BQ17" s="24"/>
      <c r="BR17" s="24"/>
      <c r="BS17" s="24"/>
      <c r="BT17" s="24"/>
      <c r="BU17" s="24"/>
      <c r="BV17" s="24"/>
      <c r="BW17" s="24"/>
      <c r="BX17" s="24"/>
      <c r="BY17" s="26" t="e">
        <f t="shared" ca="1" si="80"/>
        <v>#NAME?</v>
      </c>
      <c r="BZ17" s="66" t="e">
        <f t="array" aca="1" ref="BZ17" ca="1">+IF(_xludf.XLOOKUP($E17,$AY:$AY,$AZ:$AZ,"-",0)=BZ10,$E17,"-")</f>
        <v>#NAME?</v>
      </c>
      <c r="CA17" s="67">
        <f t="shared" si="81"/>
        <v>2</v>
      </c>
      <c r="CB17" s="68">
        <f t="shared" si="82"/>
        <v>0</v>
      </c>
      <c r="CC17" s="66" t="e">
        <f t="array" aca="1" ref="CC17" ca="1">+IF(_xludf.XLOOKUP($H17,$AY:$AY,$AZ:$AZ,"-",0)=BZ10,$H17,"-")</f>
        <v>#NAME?</v>
      </c>
      <c r="CD17" s="24"/>
      <c r="CE17" s="24"/>
      <c r="CF17" s="24"/>
      <c r="CG17" s="24"/>
      <c r="CH17" s="24"/>
      <c r="CI17" s="24"/>
      <c r="CJ17" s="24"/>
      <c r="CK17" s="24"/>
      <c r="CL17" s="24"/>
      <c r="CM17" s="24"/>
      <c r="CN17" s="24"/>
      <c r="CO17" s="24"/>
      <c r="CP17" s="24"/>
      <c r="CQ17" s="24"/>
      <c r="CR17" s="24"/>
    </row>
    <row r="18" spans="1:96" ht="14.25" customHeight="1" x14ac:dyDescent="0.25">
      <c r="A18" s="91"/>
      <c r="B18" s="92"/>
      <c r="C18" s="91"/>
      <c r="D18" s="93"/>
      <c r="E18" s="94"/>
      <c r="F18" s="91"/>
      <c r="G18" s="91"/>
      <c r="H18" s="95"/>
      <c r="I18" s="93"/>
      <c r="J18" s="91"/>
      <c r="K18" s="91"/>
      <c r="L18" s="91"/>
      <c r="M18" s="91"/>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1"/>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row>
    <row r="19" spans="1:96" ht="14.25" customHeight="1" x14ac:dyDescent="0.25">
      <c r="A19" s="24"/>
      <c r="B19" s="25"/>
      <c r="C19" s="25"/>
      <c r="D19" s="24"/>
      <c r="E19" s="26"/>
      <c r="F19" s="25"/>
      <c r="G19" s="25"/>
      <c r="H19" s="27"/>
      <c r="I19" s="24"/>
      <c r="J19" s="25"/>
      <c r="K19" s="25"/>
      <c r="L19" s="25"/>
      <c r="M19" s="25"/>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5"/>
      <c r="BF19" s="28" t="str">
        <f>+IF(BA21&gt;1,AZ21,IF(BA22&gt;1,AZ22,IF(BA23&gt;1,AZ23,IF(BA24&gt;1,AZ24,"-"))))</f>
        <v>-</v>
      </c>
      <c r="BG19" s="24"/>
      <c r="BH19" s="24"/>
      <c r="BI19" s="24"/>
      <c r="BJ19" s="24"/>
      <c r="BK19" s="24"/>
      <c r="BL19" s="24"/>
      <c r="BM19" s="24"/>
      <c r="BN19" s="24"/>
      <c r="BO19" s="24"/>
      <c r="BP19" s="24"/>
      <c r="BQ19" s="24"/>
      <c r="BR19" s="24"/>
      <c r="BS19" s="24"/>
      <c r="BT19" s="24"/>
      <c r="BU19" s="24"/>
      <c r="BV19" s="24"/>
      <c r="BW19" s="24">
        <v>10</v>
      </c>
      <c r="BX19" s="24"/>
      <c r="BY19" s="24"/>
      <c r="BZ19" s="29">
        <f>+IF(BC21&gt;1,BB21,IF(BC22&gt;1,BB22,IF(BC23&gt;1,BB23,IF(BC24&gt;1,BB24,"-"))))</f>
        <v>6</v>
      </c>
      <c r="CA19" s="24"/>
      <c r="CB19" s="24"/>
      <c r="CC19" s="24"/>
      <c r="CD19" s="24"/>
      <c r="CE19" s="24"/>
      <c r="CF19" s="24"/>
      <c r="CG19" s="24"/>
      <c r="CH19" s="24"/>
      <c r="CI19" s="24"/>
      <c r="CJ19" s="24"/>
      <c r="CK19" s="24"/>
      <c r="CL19" s="24"/>
      <c r="CM19" s="24"/>
      <c r="CN19" s="24"/>
      <c r="CO19" s="24"/>
      <c r="CP19" s="24"/>
      <c r="CQ19" s="24">
        <v>10</v>
      </c>
      <c r="CR19" s="24"/>
    </row>
    <row r="20" spans="1:96" ht="14.25" customHeight="1" x14ac:dyDescent="0.25">
      <c r="A20" s="110" t="s">
        <v>100</v>
      </c>
      <c r="B20" s="111" t="s">
        <v>101</v>
      </c>
      <c r="C20" s="111" t="s">
        <v>102</v>
      </c>
      <c r="D20" s="112"/>
      <c r="E20" s="113" t="s">
        <v>132</v>
      </c>
      <c r="F20" s="114"/>
      <c r="G20" s="114"/>
      <c r="H20" s="115"/>
      <c r="I20" s="24"/>
      <c r="J20" s="25" t="s">
        <v>104</v>
      </c>
      <c r="K20" s="25" t="s">
        <v>105</v>
      </c>
      <c r="L20" s="25" t="s">
        <v>105</v>
      </c>
      <c r="M20" s="25" t="s">
        <v>106</v>
      </c>
      <c r="N20" s="24"/>
      <c r="O20" s="27" t="str">
        <f t="shared" ref="O20:O21" si="96">+E20</f>
        <v>Grupo C</v>
      </c>
      <c r="P20" s="25" t="s">
        <v>104</v>
      </c>
      <c r="Q20" s="25" t="s">
        <v>105</v>
      </c>
      <c r="R20" s="25" t="s">
        <v>106</v>
      </c>
      <c r="S20" s="25" t="s">
        <v>107</v>
      </c>
      <c r="T20" s="25" t="s">
        <v>108</v>
      </c>
      <c r="U20" s="25" t="s">
        <v>109</v>
      </c>
      <c r="V20" s="25" t="s">
        <v>0</v>
      </c>
      <c r="W20" s="25"/>
      <c r="X20" s="24"/>
      <c r="Y20" s="484" t="s">
        <v>132</v>
      </c>
      <c r="Z20" s="475"/>
      <c r="AA20" s="116" t="s">
        <v>110</v>
      </c>
      <c r="AB20" s="117" t="s">
        <v>104</v>
      </c>
      <c r="AC20" s="117" t="s">
        <v>105</v>
      </c>
      <c r="AD20" s="117" t="s">
        <v>106</v>
      </c>
      <c r="AE20" s="117" t="s">
        <v>107</v>
      </c>
      <c r="AF20" s="117" t="s">
        <v>108</v>
      </c>
      <c r="AG20" s="117" t="s">
        <v>109</v>
      </c>
      <c r="AH20" s="118" t="s">
        <v>0</v>
      </c>
      <c r="AI20" s="119"/>
      <c r="AJ20" s="24"/>
      <c r="AK20" s="24"/>
      <c r="AL20" s="25" t="s">
        <v>0</v>
      </c>
      <c r="AM20" s="25" t="s">
        <v>111</v>
      </c>
      <c r="AN20" s="25"/>
      <c r="AO20" s="25"/>
      <c r="AP20" s="25"/>
      <c r="AQ20" s="25"/>
      <c r="AR20" s="25"/>
      <c r="AS20" s="25"/>
      <c r="AT20" s="25"/>
      <c r="AU20" s="25"/>
      <c r="AV20" s="24"/>
      <c r="AW20" s="24"/>
      <c r="AX20" s="24"/>
      <c r="AY20" s="25" t="s">
        <v>112</v>
      </c>
      <c r="AZ20" s="25" t="s">
        <v>0</v>
      </c>
      <c r="BA20" s="25" t="s">
        <v>113</v>
      </c>
      <c r="BB20" s="25"/>
      <c r="BC20" s="25"/>
      <c r="BD20" s="25"/>
      <c r="BE20" s="25"/>
      <c r="BF20" s="24"/>
      <c r="BG20" s="24"/>
      <c r="BH20" s="24"/>
      <c r="BI20" s="24"/>
      <c r="BJ20" s="24"/>
      <c r="BK20" s="27"/>
      <c r="BL20" s="27" t="s">
        <v>110</v>
      </c>
      <c r="BM20" s="25" t="s">
        <v>104</v>
      </c>
      <c r="BN20" s="25" t="s">
        <v>105</v>
      </c>
      <c r="BO20" s="25" t="s">
        <v>106</v>
      </c>
      <c r="BP20" s="25" t="s">
        <v>107</v>
      </c>
      <c r="BQ20" s="25" t="s">
        <v>108</v>
      </c>
      <c r="BR20" s="25" t="s">
        <v>109</v>
      </c>
      <c r="BS20" s="25" t="s">
        <v>0</v>
      </c>
      <c r="BT20" s="25" t="s">
        <v>114</v>
      </c>
      <c r="BU20" s="25"/>
      <c r="BV20" s="25" t="s">
        <v>115</v>
      </c>
      <c r="BW20" s="25" t="s">
        <v>114</v>
      </c>
      <c r="BX20" s="24"/>
      <c r="BY20" s="24"/>
      <c r="BZ20" s="24"/>
      <c r="CA20" s="24"/>
      <c r="CB20" s="24"/>
      <c r="CC20" s="24"/>
      <c r="CD20" s="24"/>
      <c r="CE20" s="27"/>
      <c r="CF20" s="27" t="s">
        <v>110</v>
      </c>
      <c r="CG20" s="25" t="s">
        <v>104</v>
      </c>
      <c r="CH20" s="25" t="s">
        <v>105</v>
      </c>
      <c r="CI20" s="25" t="s">
        <v>106</v>
      </c>
      <c r="CJ20" s="25" t="s">
        <v>107</v>
      </c>
      <c r="CK20" s="25" t="s">
        <v>108</v>
      </c>
      <c r="CL20" s="25" t="s">
        <v>109</v>
      </c>
      <c r="CM20" s="25" t="s">
        <v>0</v>
      </c>
      <c r="CN20" s="25" t="s">
        <v>114</v>
      </c>
      <c r="CO20" s="25"/>
      <c r="CP20" s="25" t="s">
        <v>115</v>
      </c>
      <c r="CQ20" s="25" t="s">
        <v>114</v>
      </c>
      <c r="CR20" s="24"/>
    </row>
    <row r="21" spans="1:96" ht="14.25" customHeight="1" x14ac:dyDescent="0.25">
      <c r="A21" s="47" t="s">
        <v>133</v>
      </c>
      <c r="B21" s="48">
        <v>46186</v>
      </c>
      <c r="C21" s="49"/>
      <c r="D21" s="50"/>
      <c r="E21" s="51" t="s">
        <v>53</v>
      </c>
      <c r="F21" s="52">
        <v>2</v>
      </c>
      <c r="G21" s="52">
        <v>1</v>
      </c>
      <c r="H21" s="53" t="s">
        <v>59</v>
      </c>
      <c r="I21" s="24"/>
      <c r="J21" s="25" t="str">
        <f t="shared" ref="J21:J26" si="97">IF(OR(ISBLANK(F21),ISBLANK(G21)),"",IF(F21&gt;G21,E21,IF(G21&gt;F21,H21,"")))</f>
        <v>Brasil</v>
      </c>
      <c r="K21" s="25" t="str">
        <f t="shared" ref="K21:K26" si="98">IF(OR(ISBLANK(F21),ISBLANK(G21)),"",IF(F21=G21,E21,""))</f>
        <v/>
      </c>
      <c r="L21" s="25" t="str">
        <f t="shared" ref="L21:L26" si="99">IF(OR(ISBLANK(F21),ISBLANK(G21)),"",IF(F21=G21,H21,""))</f>
        <v/>
      </c>
      <c r="M21" s="25" t="str">
        <f t="shared" ref="M21:M26" si="100">IF(OR(ISBLANK(F21),ISBLANK(G21)),"",IF(F21&lt;G21,E21,IF(G21&lt;F21,H21,"")))</f>
        <v>Marruecos</v>
      </c>
      <c r="N21" s="24"/>
      <c r="O21" s="27" t="str">
        <f t="shared" si="96"/>
        <v>Brasil</v>
      </c>
      <c r="P21" s="25">
        <f>+COUNTIF(J21:J26,"="&amp;$O21)</f>
        <v>3</v>
      </c>
      <c r="Q21" s="25">
        <f>+COUNTIF(K21:L26,"="&amp;$O21)</f>
        <v>0</v>
      </c>
      <c r="R21" s="25">
        <f>+COUNTIF(M21:M26,"="&amp;$O21)</f>
        <v>0</v>
      </c>
      <c r="S21" s="25">
        <f t="shared" ref="S21:S24" si="101">+T21-U21</f>
        <v>6</v>
      </c>
      <c r="T21" s="25">
        <f>+SUMIF(E21:E26,$O21,F21:F26)+SUMIF(H21:H26,$O21,G21:G26)</f>
        <v>7</v>
      </c>
      <c r="U21" s="25">
        <f>+SUMIF(E21:E26,$O21,G21:G26)+SUMIF(H21:H26,$O21,F21:F26)</f>
        <v>1</v>
      </c>
      <c r="V21" s="54">
        <f t="shared" ref="V21:V24" ca="1" si="102">+P21*3+Q21*1+BT21+CN21+S21/1000+T21/10000+AV21/1000000+ROW()/10000000</f>
        <v>9.0067021</v>
      </c>
      <c r="W21" s="27" t="str">
        <f t="shared" ref="W21:W24" si="103">+O21</f>
        <v>Brasil</v>
      </c>
      <c r="X21" s="24"/>
      <c r="Y21" s="55" t="str">
        <f>+CONCATENATE("1",RIGHT(E20,1))</f>
        <v>1C</v>
      </c>
      <c r="Z21" s="56" t="str">
        <f ca="1">+VLOOKUP(AL21,V21:W24,2,FALSE)</f>
        <v>Brasil</v>
      </c>
      <c r="AA21" s="57">
        <f t="shared" ref="AA21:AA24" ca="1" si="104">+SUM(AB21:AD21)</f>
        <v>3</v>
      </c>
      <c r="AB21" s="58">
        <f t="shared" ref="AB21:AG21" ca="1" si="105">+VLOOKUP($Z21,$O$21:$U$24,COLUMN()-26,FALSE)</f>
        <v>3</v>
      </c>
      <c r="AC21" s="58">
        <f t="shared" ca="1" si="105"/>
        <v>0</v>
      </c>
      <c r="AD21" s="58">
        <f t="shared" ca="1" si="105"/>
        <v>0</v>
      </c>
      <c r="AE21" s="58">
        <f t="shared" ca="1" si="105"/>
        <v>6</v>
      </c>
      <c r="AF21" s="58">
        <f t="shared" ca="1" si="105"/>
        <v>7</v>
      </c>
      <c r="AG21" s="58">
        <f t="shared" ca="1" si="105"/>
        <v>1</v>
      </c>
      <c r="AH21" s="59">
        <f t="shared" ref="AH21:AH24" ca="1" si="106">+VLOOKUP($Z21,$O$21:$V$24,COLUMN()-26,FALSE)</f>
        <v>9.0067021</v>
      </c>
      <c r="AI21" s="60"/>
      <c r="AJ21" s="24"/>
      <c r="AK21" s="24"/>
      <c r="AL21" s="54">
        <f ca="1">+LARGE(V21:V24,1)</f>
        <v>9.0067021</v>
      </c>
      <c r="AM21" s="61">
        <f t="shared" ref="AM21:AM24" ca="1" si="107">+(AH21-AL21)*100000000000000000000</f>
        <v>0</v>
      </c>
      <c r="AN21" s="24"/>
      <c r="AO21" s="24"/>
      <c r="AP21" s="62" t="str">
        <f t="shared" ref="AP21:AP24" si="108">+O21</f>
        <v>Brasil</v>
      </c>
      <c r="AQ21" s="28">
        <f t="shared" ref="AQ21:AQ24" ca="1" si="109">+P21*3+Q21*1+BT21+CN21+S21/1000+T21/10000</f>
        <v>9.0067000000000004</v>
      </c>
      <c r="AR21" s="24" t="b">
        <f ca="1">+IF(OR(AQ21=AQ22,AQ21=AQ23,AQ21=AQ24),1)</f>
        <v>0</v>
      </c>
      <c r="AS21" s="63">
        <f t="shared" ref="AS21:AS24" si="110">+AV21</f>
        <v>0</v>
      </c>
      <c r="AT21" s="63">
        <f ca="1">+IF(AND(AM25="si",OR(AR21=1,AR22=1,AR23=1)),1,0)</f>
        <v>0</v>
      </c>
      <c r="AU21" s="64" t="str">
        <f t="shared" ref="AU21:AU24" si="111">+O21</f>
        <v>Brasil</v>
      </c>
      <c r="AV21" s="65"/>
      <c r="AW21" s="24"/>
      <c r="AX21" s="24" t="str">
        <f>+Y20</f>
        <v>Grupo C</v>
      </c>
      <c r="AY21" s="25" t="str">
        <f t="shared" ref="AY21:AY24" si="112">+O21</f>
        <v>Brasil</v>
      </c>
      <c r="AZ21" s="29">
        <f t="shared" ref="AZ21:AZ24" si="113">+P21*3+Q21</f>
        <v>9</v>
      </c>
      <c r="BA21" s="29">
        <f t="shared" ref="BA21:BA24" si="114">+COUNTIFS($AX$1:AX21,AX21,$AZ$1:AZ21,AZ21)</f>
        <v>1</v>
      </c>
      <c r="BB21" s="29">
        <f>+IF(AZ21=BF19,ROW()*0.001,AZ21)</f>
        <v>9</v>
      </c>
      <c r="BC21" s="29">
        <f t="shared" ref="BC21:BC24" si="115">+COUNTIFS($AX$1:AZ21,AZ21,$AZ$1:BB21,BB21)</f>
        <v>1</v>
      </c>
      <c r="BD21" s="29"/>
      <c r="BE21" s="26" t="e">
        <f ca="1">+IF(OR(BF21="-",BI21="-",BF19=0),"-","OK")</f>
        <v>#NAME?</v>
      </c>
      <c r="BF21" s="66" t="e">
        <f t="array" aca="1" ref="BF21" ca="1">+IF(_xludf.XLOOKUP($E21,$AY:$AY,$AZ:$AZ,"-",0)=BF19,$E21,"-")</f>
        <v>#NAME?</v>
      </c>
      <c r="BG21" s="67">
        <f t="shared" ref="BG21:BG26" si="116">+$F21</f>
        <v>2</v>
      </c>
      <c r="BH21" s="68">
        <f t="shared" ref="BH21:BH26" si="117">+$G21</f>
        <v>1</v>
      </c>
      <c r="BI21" s="66" t="e">
        <f t="array" aca="1" ref="BI21" ca="1">+IF(_xludf.XLOOKUP($H21,$AY:$AY,$AZ:$AZ,"-",0)=BF19,$H21,"-")</f>
        <v>#NAME?</v>
      </c>
      <c r="BJ21" s="24"/>
      <c r="BK21" s="27" t="str">
        <f t="shared" ref="BK21:BK24" si="118">+O21</f>
        <v>Brasil</v>
      </c>
      <c r="BL21" s="27">
        <f t="shared" ref="BL21:BL24" ca="1" si="119">+COUNTIFS($BE:$BE,"OK",$BI:$BI,BK21)+COUNTIFS($BE:$BE,"OK",$BF:$BF,BK21)</f>
        <v>0</v>
      </c>
      <c r="BM21" s="25">
        <f t="shared" ref="BM21:BM24" ca="1" si="120">+COUNTIFS(J:J,$BK21,$BE:$BE,"OK")</f>
        <v>0</v>
      </c>
      <c r="BN21" s="25">
        <f t="shared" ref="BN21:BN24" si="121">+COUNTIFS(K:K,$BK21,$BE:$BE,"OK")+COUNTIFS(L:L,$BK21,$BE:$BE,"OK")</f>
        <v>0</v>
      </c>
      <c r="BO21" s="25">
        <f t="shared" ref="BO21:BO24" si="122">+COUNTIFS(M:M,$BK21,$BE:$BE,"OK")</f>
        <v>0</v>
      </c>
      <c r="BP21" s="25">
        <f t="shared" ref="BP21:BP24" ca="1" si="123">+BQ21-BR21</f>
        <v>0</v>
      </c>
      <c r="BQ21" s="25">
        <f t="shared" ref="BQ21:BQ24" ca="1" si="124">+SUMIFS(BG:BG,$BE:$BE,"OK",BF:BF,$BK21)+SUMIFS(BH:BH,$BE:$BE,"OK",BI:BI,$BK21)</f>
        <v>0</v>
      </c>
      <c r="BR21" s="25">
        <f t="shared" ref="BR21:BR24" ca="1" si="125">+SUMIFS(BH:BH,$BE:$BE,"OK",BF:BF,$BK21)+SUMIFS(BG:BG,$BE:$BE,"OK",BI:BI,$BK21)</f>
        <v>0</v>
      </c>
      <c r="BS21" s="69">
        <f t="shared" ref="BS21:BS24" ca="1" si="126">+BM21*3+BN21*1+BP21/100+BQ21/10000</f>
        <v>0</v>
      </c>
      <c r="BT21" s="29">
        <f t="array" aca="1" ref="BT21" ca="1">+IF(BL21=0,0,_xludf.XLOOKUP(BS21,BV21:BV24,BW21:BW24))</f>
        <v>0</v>
      </c>
      <c r="BU21" s="54"/>
      <c r="BV21" s="25">
        <f ca="1">+LARGE(BS21:BS24,1)</f>
        <v>0</v>
      </c>
      <c r="BW21" s="25">
        <f t="shared" ref="BW21:BW24" si="127">+BX21/$BW$1</f>
        <v>0.3</v>
      </c>
      <c r="BX21" s="24">
        <v>3</v>
      </c>
      <c r="BY21" s="26" t="e">
        <f t="shared" ref="BY21:BY26" ca="1" si="128">+IF(OR(BZ21="-",CC21="-"),"-","OK")</f>
        <v>#NAME?</v>
      </c>
      <c r="BZ21" s="66" t="e">
        <f t="array" aca="1" ref="BZ21" ca="1">+IF(_xludf.XLOOKUP($E21,$AY:$AY,$AZ:$AZ,"-",0)=BZ19,$E21,"-")</f>
        <v>#NAME?</v>
      </c>
      <c r="CA21" s="67">
        <f t="shared" ref="CA21:CA26" si="129">+$F21</f>
        <v>2</v>
      </c>
      <c r="CB21" s="68">
        <f t="shared" ref="CB21:CB26" si="130">+$G21</f>
        <v>1</v>
      </c>
      <c r="CC21" s="66" t="e">
        <f t="array" aca="1" ref="CC21" ca="1">+IF(_xludf.XLOOKUP($H21,$AY:$AY,$AZ:$AZ,"-",0)=BZ19,$H21,"-")</f>
        <v>#NAME?</v>
      </c>
      <c r="CD21" s="24"/>
      <c r="CE21" s="27" t="str">
        <f t="shared" ref="CE21:CE24" si="131">+BK21</f>
        <v>Brasil</v>
      </c>
      <c r="CF21" s="27">
        <f t="shared" ref="CF21:CF24" ca="1" si="132">+COUNTIFS($BY:$BY,"OK",$CC:$CC,CE21)+COUNTIFS($BY:$BY,"OK",$BZ:$BZ,CE21)</f>
        <v>0</v>
      </c>
      <c r="CG21" s="25">
        <f t="shared" ref="CG21:CG24" si="133">+COUNTIFS(P:P,$BK21,$BY:$BY,"OK")</f>
        <v>0</v>
      </c>
      <c r="CH21" s="25">
        <f t="shared" ref="CH21:CH24" si="134">+COUNTIFS(K:K,$BK21,$BY:$BY,"OK")+COUNTIFS(L:L,$BK21,$BY:$BY,"OK")</f>
        <v>0</v>
      </c>
      <c r="CI21" s="25">
        <f t="shared" ref="CI21:CI24" si="135">+COUNTIFS(M:M,$CE21,$BY:$BY,"OK")</f>
        <v>0</v>
      </c>
      <c r="CJ21" s="25">
        <f t="shared" ref="CJ21:CJ24" ca="1" si="136">+CK21-CL21</f>
        <v>0</v>
      </c>
      <c r="CK21" s="25">
        <f t="shared" ref="CK21:CK24" ca="1" si="137">+SUMIFS(CA:CA,$BY:$BY,"OK",BZ:BZ,$BK21)+SUMIFS(CB:CB,$BY:$BY,"OK",CC:CC,$BK21)</f>
        <v>0</v>
      </c>
      <c r="CL21" s="25">
        <f t="shared" ref="CL21:CL24" ca="1" si="138">+SUMIFS(CB:CB,$BY:$BY,"OK",BZ:BZ,$BK21)+SUMIFS(CA:CA,$BY:$BY,"OK",CC:CC,$BK21)</f>
        <v>0</v>
      </c>
      <c r="CM21" s="69">
        <f t="shared" ref="CM21:CM24" ca="1" si="139">+CG21*3+CH21*1+CJ21/100+CK21/10000</f>
        <v>0</v>
      </c>
      <c r="CN21" s="29">
        <f t="array" aca="1" ref="CN21" ca="1">+IF(CF21=0,0,_xludf.XLOOKUP(CM21,CP21:CP24,CQ21:CQ24))</f>
        <v>0</v>
      </c>
      <c r="CO21" s="54"/>
      <c r="CP21" s="25">
        <f ca="1">+LARGE(CM21:CM24,1)</f>
        <v>0</v>
      </c>
      <c r="CQ21" s="25">
        <f t="shared" ref="CQ21:CQ24" si="140">+CR21/$BW$1</f>
        <v>0.3</v>
      </c>
      <c r="CR21" s="24">
        <v>3</v>
      </c>
    </row>
    <row r="22" spans="1:96" ht="14.25" customHeight="1" x14ac:dyDescent="0.25">
      <c r="A22" s="47" t="s">
        <v>134</v>
      </c>
      <c r="B22" s="48">
        <v>46186</v>
      </c>
      <c r="C22" s="49"/>
      <c r="D22" s="50"/>
      <c r="E22" s="51" t="s">
        <v>94</v>
      </c>
      <c r="F22" s="52">
        <v>0</v>
      </c>
      <c r="G22" s="52">
        <v>2</v>
      </c>
      <c r="H22" s="53" t="s">
        <v>80</v>
      </c>
      <c r="I22" s="24"/>
      <c r="J22" s="25" t="str">
        <f t="shared" si="97"/>
        <v>Escocia</v>
      </c>
      <c r="K22" s="25" t="str">
        <f t="shared" si="98"/>
        <v/>
      </c>
      <c r="L22" s="25" t="str">
        <f t="shared" si="99"/>
        <v/>
      </c>
      <c r="M22" s="25" t="str">
        <f t="shared" si="100"/>
        <v>Haiti</v>
      </c>
      <c r="N22" s="24"/>
      <c r="O22" s="27" t="str">
        <f>+H21</f>
        <v>Marruecos</v>
      </c>
      <c r="P22" s="25">
        <f>+COUNTIF(J21:J26,"="&amp;$O22)</f>
        <v>2</v>
      </c>
      <c r="Q22" s="25">
        <f>+COUNTIF(K21:L26,"="&amp;$O22)</f>
        <v>0</v>
      </c>
      <c r="R22" s="25">
        <f>+COUNTIF(M21:M26,"="&amp;$O22)</f>
        <v>1</v>
      </c>
      <c r="S22" s="25">
        <f t="shared" si="101"/>
        <v>2</v>
      </c>
      <c r="T22" s="25">
        <f>+SUMIF(E21:E26,$O22,F21:F26)+SUMIF(H21:H26,$O22,G21:G26)</f>
        <v>5</v>
      </c>
      <c r="U22" s="25">
        <f>+SUMIF(E21:E26,$O22,G21:G26)+SUMIF(H21:H26,$O22,F21:F26)</f>
        <v>3</v>
      </c>
      <c r="V22" s="54">
        <f t="shared" ca="1" si="102"/>
        <v>6.0025021999999995</v>
      </c>
      <c r="W22" s="27" t="str">
        <f t="shared" si="103"/>
        <v>Marruecos</v>
      </c>
      <c r="X22" s="24"/>
      <c r="Y22" s="71" t="str">
        <f>+CONCATENATE("2",RIGHT(E20,1))</f>
        <v>2C</v>
      </c>
      <c r="Z22" s="72" t="str">
        <f ca="1">+VLOOKUP(AL22,V21:W24,2,FALSE)</f>
        <v>Marruecos</v>
      </c>
      <c r="AA22" s="73">
        <f t="shared" ca="1" si="104"/>
        <v>3</v>
      </c>
      <c r="AB22" s="74">
        <f t="shared" ref="AB22:AG22" ca="1" si="141">+VLOOKUP($Z22,$O$21:$U$24,COLUMN()-26,FALSE)</f>
        <v>2</v>
      </c>
      <c r="AC22" s="74">
        <f t="shared" ca="1" si="141"/>
        <v>0</v>
      </c>
      <c r="AD22" s="74">
        <f t="shared" ca="1" si="141"/>
        <v>1</v>
      </c>
      <c r="AE22" s="74">
        <f t="shared" ca="1" si="141"/>
        <v>2</v>
      </c>
      <c r="AF22" s="74">
        <f t="shared" ca="1" si="141"/>
        <v>5</v>
      </c>
      <c r="AG22" s="74">
        <f t="shared" ca="1" si="141"/>
        <v>3</v>
      </c>
      <c r="AH22" s="75">
        <f t="shared" ca="1" si="106"/>
        <v>6.0025021999999995</v>
      </c>
      <c r="AI22" s="60"/>
      <c r="AJ22" s="24"/>
      <c r="AK22" s="24"/>
      <c r="AL22" s="54">
        <f ca="1">+LARGE(V21:V24,2)</f>
        <v>6.0025021999999995</v>
      </c>
      <c r="AM22" s="61">
        <f t="shared" ca="1" si="107"/>
        <v>0</v>
      </c>
      <c r="AN22" s="24"/>
      <c r="AO22" s="24"/>
      <c r="AP22" s="62" t="str">
        <f t="shared" si="108"/>
        <v>Marruecos</v>
      </c>
      <c r="AQ22" s="28">
        <f t="shared" ca="1" si="109"/>
        <v>6.0024999999999995</v>
      </c>
      <c r="AR22" s="24" t="b">
        <f ca="1">+IF(OR(AQ22=AQ23,AQ22=AQ24),1)</f>
        <v>0</v>
      </c>
      <c r="AS22" s="63">
        <f t="shared" si="110"/>
        <v>0</v>
      </c>
      <c r="AT22" s="63">
        <f ca="1">+IF(AND(AM25="si",OR(AR21=1,AR22=1,AR23=1)),1,0)</f>
        <v>0</v>
      </c>
      <c r="AU22" s="76" t="str">
        <f t="shared" si="111"/>
        <v>Marruecos</v>
      </c>
      <c r="AV22" s="77"/>
      <c r="AW22" s="24"/>
      <c r="AX22" s="24" t="str">
        <f>+Y20</f>
        <v>Grupo C</v>
      </c>
      <c r="AY22" s="25" t="str">
        <f t="shared" si="112"/>
        <v>Marruecos</v>
      </c>
      <c r="AZ22" s="29">
        <f t="shared" si="113"/>
        <v>6</v>
      </c>
      <c r="BA22" s="29">
        <f t="shared" si="114"/>
        <v>1</v>
      </c>
      <c r="BB22" s="29">
        <f>+IF(AZ22=BF19,ROW()*0.001,AZ22)</f>
        <v>6</v>
      </c>
      <c r="BC22" s="29">
        <f t="shared" si="115"/>
        <v>2</v>
      </c>
      <c r="BD22" s="29"/>
      <c r="BE22" s="26" t="e">
        <f ca="1">+IF(OR(BF22="-",BI22="-",BF19=0),"-","OK")</f>
        <v>#NAME?</v>
      </c>
      <c r="BF22" s="66" t="e">
        <f t="array" aca="1" ref="BF22" ca="1">+IF(_xludf.XLOOKUP($E22,$AY:$AY,$AZ:$AZ,"-",0)=BF19,$E22,"-")</f>
        <v>#NAME?</v>
      </c>
      <c r="BG22" s="67">
        <f t="shared" si="116"/>
        <v>0</v>
      </c>
      <c r="BH22" s="68">
        <f t="shared" si="117"/>
        <v>2</v>
      </c>
      <c r="BI22" s="66" t="e">
        <f t="array" aca="1" ref="BI22" ca="1">+IF(_xludf.XLOOKUP($H22,$AY:$AY,$AZ:$AZ,"-",0)=BF19,$H22,"-")</f>
        <v>#NAME?</v>
      </c>
      <c r="BJ22" s="24"/>
      <c r="BK22" s="27" t="str">
        <f t="shared" si="118"/>
        <v>Marruecos</v>
      </c>
      <c r="BL22" s="27">
        <f t="shared" ca="1" si="119"/>
        <v>0</v>
      </c>
      <c r="BM22" s="25">
        <f t="shared" ca="1" si="120"/>
        <v>0</v>
      </c>
      <c r="BN22" s="25">
        <f t="shared" si="121"/>
        <v>0</v>
      </c>
      <c r="BO22" s="25">
        <f t="shared" ca="1" si="122"/>
        <v>0</v>
      </c>
      <c r="BP22" s="25">
        <f t="shared" ca="1" si="123"/>
        <v>0</v>
      </c>
      <c r="BQ22" s="25">
        <f t="shared" ca="1" si="124"/>
        <v>0</v>
      </c>
      <c r="BR22" s="25">
        <f t="shared" ca="1" si="125"/>
        <v>0</v>
      </c>
      <c r="BS22" s="69">
        <f t="shared" ca="1" si="126"/>
        <v>0</v>
      </c>
      <c r="BT22" s="29">
        <f t="array" aca="1" ref="BT22" ca="1">+IF(BL22=0,0,_xludf.XLOOKUP(BS22,BV21:BV24,BW21:BW24))</f>
        <v>0</v>
      </c>
      <c r="BU22" s="54"/>
      <c r="BV22" s="25">
        <f ca="1">+LARGE(BS21:BS24,2)</f>
        <v>0</v>
      </c>
      <c r="BW22" s="25">
        <f t="shared" si="127"/>
        <v>0.2</v>
      </c>
      <c r="BX22" s="24">
        <v>2</v>
      </c>
      <c r="BY22" s="26" t="e">
        <f t="shared" ca="1" si="128"/>
        <v>#NAME?</v>
      </c>
      <c r="BZ22" s="66" t="e">
        <f t="array" aca="1" ref="BZ22" ca="1">+IF(_xludf.XLOOKUP($E22,$AY:$AY,$AZ:$AZ,"-",0)=BZ19,$E22,"-")</f>
        <v>#NAME?</v>
      </c>
      <c r="CA22" s="67">
        <f t="shared" si="129"/>
        <v>0</v>
      </c>
      <c r="CB22" s="68">
        <f t="shared" si="130"/>
        <v>2</v>
      </c>
      <c r="CC22" s="66" t="e">
        <f t="array" aca="1" ref="CC22" ca="1">+IF(_xludf.XLOOKUP($H22,$AY:$AY,$AZ:$AZ,"-",0)=BZ19,$H22,"-")</f>
        <v>#NAME?</v>
      </c>
      <c r="CD22" s="24"/>
      <c r="CE22" s="27" t="str">
        <f t="shared" si="131"/>
        <v>Marruecos</v>
      </c>
      <c r="CF22" s="27">
        <f t="shared" ca="1" si="132"/>
        <v>0</v>
      </c>
      <c r="CG22" s="25">
        <f t="shared" si="133"/>
        <v>0</v>
      </c>
      <c r="CH22" s="25">
        <f t="shared" si="134"/>
        <v>0</v>
      </c>
      <c r="CI22" s="25">
        <f t="shared" ca="1" si="135"/>
        <v>0</v>
      </c>
      <c r="CJ22" s="25">
        <f t="shared" ca="1" si="136"/>
        <v>0</v>
      </c>
      <c r="CK22" s="25">
        <f t="shared" ca="1" si="137"/>
        <v>0</v>
      </c>
      <c r="CL22" s="25">
        <f t="shared" ca="1" si="138"/>
        <v>0</v>
      </c>
      <c r="CM22" s="69">
        <f t="shared" ca="1" si="139"/>
        <v>0</v>
      </c>
      <c r="CN22" s="29">
        <f t="array" aca="1" ref="CN22" ca="1">+IF(CF22=0,0,_xludf.XLOOKUP(CM22,CP21:CP24,CQ21:CQ24))</f>
        <v>0</v>
      </c>
      <c r="CO22" s="54"/>
      <c r="CP22" s="25">
        <f ca="1">+LARGE(CM21:CM24,2)</f>
        <v>0</v>
      </c>
      <c r="CQ22" s="25">
        <f t="shared" si="140"/>
        <v>0.2</v>
      </c>
      <c r="CR22" s="24">
        <v>2</v>
      </c>
    </row>
    <row r="23" spans="1:96" ht="14.25" customHeight="1" x14ac:dyDescent="0.25">
      <c r="A23" s="47" t="s">
        <v>135</v>
      </c>
      <c r="B23" s="48">
        <v>46192</v>
      </c>
      <c r="C23" s="49"/>
      <c r="D23" s="50"/>
      <c r="E23" s="51" t="s">
        <v>53</v>
      </c>
      <c r="F23" s="52">
        <v>3</v>
      </c>
      <c r="G23" s="52">
        <v>0</v>
      </c>
      <c r="H23" s="53" t="s">
        <v>94</v>
      </c>
      <c r="I23" s="24"/>
      <c r="J23" s="25" t="str">
        <f t="shared" si="97"/>
        <v>Brasil</v>
      </c>
      <c r="K23" s="25" t="str">
        <f t="shared" si="98"/>
        <v/>
      </c>
      <c r="L23" s="25" t="str">
        <f t="shared" si="99"/>
        <v/>
      </c>
      <c r="M23" s="25" t="str">
        <f t="shared" si="100"/>
        <v>Haiti</v>
      </c>
      <c r="N23" s="24"/>
      <c r="O23" s="27" t="str">
        <f>+E22</f>
        <v>Haiti</v>
      </c>
      <c r="P23" s="25">
        <f>+COUNTIF(J21:J26,"="&amp;$O23)</f>
        <v>0</v>
      </c>
      <c r="Q23" s="25">
        <f>+COUNTIF(K21:L26,"="&amp;$O23)</f>
        <v>0</v>
      </c>
      <c r="R23" s="25">
        <f>+COUNTIF(M21:M26,"="&amp;$O23)</f>
        <v>3</v>
      </c>
      <c r="S23" s="25">
        <f t="shared" si="101"/>
        <v>-7</v>
      </c>
      <c r="T23" s="25">
        <f>+SUMIF(E21:E26,$O23,F21:F26)+SUMIF(H21:H26,$O23,G21:G26)</f>
        <v>0</v>
      </c>
      <c r="U23" s="25">
        <f>+SUMIF(E21:E26,$O23,G21:G26)+SUMIF(H21:H26,$O23,F21:F26)</f>
        <v>7</v>
      </c>
      <c r="V23" s="54">
        <f t="shared" ca="1" si="102"/>
        <v>-6.9976999999999999E-3</v>
      </c>
      <c r="W23" s="27" t="str">
        <f t="shared" si="103"/>
        <v>Haiti</v>
      </c>
      <c r="X23" s="24"/>
      <c r="Y23" s="78" t="str">
        <f>+CONCATENATE("3",RIGHT(E20,1))</f>
        <v>3C</v>
      </c>
      <c r="Z23" s="79" t="str">
        <f ca="1">+VLOOKUP(AL23,V21:W24,2,FALSE)</f>
        <v>Escocia</v>
      </c>
      <c r="AA23" s="80">
        <f t="shared" ca="1" si="104"/>
        <v>3</v>
      </c>
      <c r="AB23" s="81">
        <f t="shared" ref="AB23:AG23" ca="1" si="142">+VLOOKUP($Z23,$O$21:$U$24,COLUMN()-26,FALSE)</f>
        <v>1</v>
      </c>
      <c r="AC23" s="81">
        <f t="shared" ca="1" si="142"/>
        <v>0</v>
      </c>
      <c r="AD23" s="81">
        <f t="shared" ca="1" si="142"/>
        <v>2</v>
      </c>
      <c r="AE23" s="81">
        <f t="shared" ca="1" si="142"/>
        <v>-1</v>
      </c>
      <c r="AF23" s="81">
        <f t="shared" ca="1" si="142"/>
        <v>3</v>
      </c>
      <c r="AG23" s="81">
        <f t="shared" ca="1" si="142"/>
        <v>4</v>
      </c>
      <c r="AH23" s="82">
        <f t="shared" ca="1" si="106"/>
        <v>2.9993024000000004</v>
      </c>
      <c r="AI23" s="83">
        <f ca="1">+(COUNTIFS($CV$2:$CV$13,Z23,$CX$2:$CX$13,"IN")+COUNTIFS($CV$2:$CV$13,Z23,$CW$2:$CW$13,"IN"))*IF(SUM(AA21:AA24)=12,1,0)</f>
        <v>1</v>
      </c>
      <c r="AJ23" s="24"/>
      <c r="AK23" s="24"/>
      <c r="AL23" s="54">
        <f ca="1">+LARGE(V21:V24,3)</f>
        <v>2.9993024000000004</v>
      </c>
      <c r="AM23" s="61">
        <f t="shared" ca="1" si="107"/>
        <v>0</v>
      </c>
      <c r="AN23" s="24"/>
      <c r="AO23" s="24"/>
      <c r="AP23" s="62" t="str">
        <f t="shared" si="108"/>
        <v>Haiti</v>
      </c>
      <c r="AQ23" s="28">
        <f t="shared" ca="1" si="109"/>
        <v>-7.0000000000000001E-3</v>
      </c>
      <c r="AR23" s="24" t="b">
        <f ca="1">+IF(OR(AQ23=AQ24),1)</f>
        <v>0</v>
      </c>
      <c r="AS23" s="63">
        <f t="shared" si="110"/>
        <v>0</v>
      </c>
      <c r="AT23" s="63">
        <f ca="1">+IF(AND(AM25="si",OR(AR21=1,AR22=1,AR23=1)),1,0)</f>
        <v>0</v>
      </c>
      <c r="AU23" s="76" t="str">
        <f t="shared" si="111"/>
        <v>Haiti</v>
      </c>
      <c r="AV23" s="77"/>
      <c r="AW23" s="24"/>
      <c r="AX23" s="24" t="str">
        <f>+Y20</f>
        <v>Grupo C</v>
      </c>
      <c r="AY23" s="25" t="str">
        <f t="shared" si="112"/>
        <v>Haiti</v>
      </c>
      <c r="AZ23" s="29">
        <f t="shared" si="113"/>
        <v>0</v>
      </c>
      <c r="BA23" s="29">
        <f t="shared" si="114"/>
        <v>1</v>
      </c>
      <c r="BB23" s="29">
        <f>+IF(AZ23=BF19,ROW()*0.001,AZ23)</f>
        <v>0</v>
      </c>
      <c r="BC23" s="29">
        <f t="shared" si="115"/>
        <v>2</v>
      </c>
      <c r="BD23" s="29"/>
      <c r="BE23" s="26" t="e">
        <f ca="1">+IF(OR(BF23="-",BI23="-",BF19=0),"-","OK")</f>
        <v>#NAME?</v>
      </c>
      <c r="BF23" s="66" t="e">
        <f t="array" aca="1" ref="BF23" ca="1">+IF(_xludf.XLOOKUP($E23,$AY:$AY,$AZ:$AZ,"-",0)=BF19,$E23,"-")</f>
        <v>#NAME?</v>
      </c>
      <c r="BG23" s="67">
        <f t="shared" si="116"/>
        <v>3</v>
      </c>
      <c r="BH23" s="68">
        <f t="shared" si="117"/>
        <v>0</v>
      </c>
      <c r="BI23" s="66" t="e">
        <f t="array" aca="1" ref="BI23" ca="1">+IF(_xludf.XLOOKUP($H23,$AY:$AY,$AZ:$AZ,"-",0)=BF19,$H23,"-")</f>
        <v>#NAME?</v>
      </c>
      <c r="BJ23" s="24"/>
      <c r="BK23" s="27" t="str">
        <f t="shared" si="118"/>
        <v>Haiti</v>
      </c>
      <c r="BL23" s="27">
        <f t="shared" ca="1" si="119"/>
        <v>0</v>
      </c>
      <c r="BM23" s="25">
        <f t="shared" si="120"/>
        <v>0</v>
      </c>
      <c r="BN23" s="25">
        <f t="shared" si="121"/>
        <v>0</v>
      </c>
      <c r="BO23" s="25">
        <f t="shared" ca="1" si="122"/>
        <v>0</v>
      </c>
      <c r="BP23" s="25">
        <f t="shared" ca="1" si="123"/>
        <v>0</v>
      </c>
      <c r="BQ23" s="25">
        <f t="shared" ca="1" si="124"/>
        <v>0</v>
      </c>
      <c r="BR23" s="25">
        <f t="shared" ca="1" si="125"/>
        <v>0</v>
      </c>
      <c r="BS23" s="69">
        <f t="shared" ca="1" si="126"/>
        <v>0</v>
      </c>
      <c r="BT23" s="29">
        <f t="array" aca="1" ref="BT23" ca="1">+IF(BL23=0,0,_xludf.XLOOKUP(BS23,BV21:BV24,BW21:BW24))</f>
        <v>0</v>
      </c>
      <c r="BU23" s="54"/>
      <c r="BV23" s="25">
        <f ca="1">+LARGE(BS21:BS24,3)</f>
        <v>0</v>
      </c>
      <c r="BW23" s="25">
        <f t="shared" si="127"/>
        <v>0.1</v>
      </c>
      <c r="BX23" s="24">
        <v>1</v>
      </c>
      <c r="BY23" s="26" t="e">
        <f t="shared" ca="1" si="128"/>
        <v>#NAME?</v>
      </c>
      <c r="BZ23" s="66" t="e">
        <f t="array" aca="1" ref="BZ23" ca="1">+IF(_xludf.XLOOKUP($E23,$AY:$AY,$AZ:$AZ,"-",0)=BZ19,$E23,"-")</f>
        <v>#NAME?</v>
      </c>
      <c r="CA23" s="67">
        <f t="shared" si="129"/>
        <v>3</v>
      </c>
      <c r="CB23" s="68">
        <f t="shared" si="130"/>
        <v>0</v>
      </c>
      <c r="CC23" s="66" t="e">
        <f t="array" aca="1" ref="CC23" ca="1">+IF(_xludf.XLOOKUP($H23,$AY:$AY,$AZ:$AZ,"-",0)=BZ19,$H23,"-")</f>
        <v>#NAME?</v>
      </c>
      <c r="CD23" s="24"/>
      <c r="CE23" s="27" t="str">
        <f t="shared" si="131"/>
        <v>Haiti</v>
      </c>
      <c r="CF23" s="27">
        <f t="shared" ca="1" si="132"/>
        <v>0</v>
      </c>
      <c r="CG23" s="25">
        <f t="shared" si="133"/>
        <v>0</v>
      </c>
      <c r="CH23" s="25">
        <f t="shared" si="134"/>
        <v>0</v>
      </c>
      <c r="CI23" s="25">
        <f t="shared" ca="1" si="135"/>
        <v>0</v>
      </c>
      <c r="CJ23" s="25">
        <f t="shared" ca="1" si="136"/>
        <v>0</v>
      </c>
      <c r="CK23" s="25">
        <f t="shared" ca="1" si="137"/>
        <v>0</v>
      </c>
      <c r="CL23" s="25">
        <f t="shared" ca="1" si="138"/>
        <v>0</v>
      </c>
      <c r="CM23" s="69">
        <f t="shared" ca="1" si="139"/>
        <v>0</v>
      </c>
      <c r="CN23" s="29">
        <f t="array" aca="1" ref="CN23" ca="1">+IF(CF23=0,0,_xludf.XLOOKUP(CM23,CP21:CP24,CQ21:CQ24))</f>
        <v>0</v>
      </c>
      <c r="CO23" s="54"/>
      <c r="CP23" s="25">
        <f ca="1">+LARGE(CM21:CM24,3)</f>
        <v>0</v>
      </c>
      <c r="CQ23" s="25">
        <f t="shared" si="140"/>
        <v>0.1</v>
      </c>
      <c r="CR23" s="24">
        <v>1</v>
      </c>
    </row>
    <row r="24" spans="1:96" ht="14.25" customHeight="1" x14ac:dyDescent="0.25">
      <c r="A24" s="47" t="s">
        <v>136</v>
      </c>
      <c r="B24" s="48">
        <v>46192</v>
      </c>
      <c r="C24" s="49"/>
      <c r="D24" s="50"/>
      <c r="E24" s="51" t="s">
        <v>80</v>
      </c>
      <c r="F24" s="52">
        <v>1</v>
      </c>
      <c r="G24" s="52">
        <v>2</v>
      </c>
      <c r="H24" s="53" t="s">
        <v>59</v>
      </c>
      <c r="I24" s="24"/>
      <c r="J24" s="25" t="str">
        <f t="shared" si="97"/>
        <v>Marruecos</v>
      </c>
      <c r="K24" s="25" t="str">
        <f t="shared" si="98"/>
        <v/>
      </c>
      <c r="L24" s="25" t="str">
        <f t="shared" si="99"/>
        <v/>
      </c>
      <c r="M24" s="25" t="str">
        <f t="shared" si="100"/>
        <v>Escocia</v>
      </c>
      <c r="N24" s="24"/>
      <c r="O24" s="27" t="str">
        <f>+H22</f>
        <v>Escocia</v>
      </c>
      <c r="P24" s="25">
        <f>+COUNTIF(J21:J26,"="&amp;$O24)</f>
        <v>1</v>
      </c>
      <c r="Q24" s="25">
        <f>+COUNTIF(K21:L26,"="&amp;$O24)</f>
        <v>0</v>
      </c>
      <c r="R24" s="25">
        <f>+COUNTIF(M21:M26,"="&amp;$O24)</f>
        <v>2</v>
      </c>
      <c r="S24" s="25">
        <f t="shared" si="101"/>
        <v>-1</v>
      </c>
      <c r="T24" s="25">
        <f>+SUMIF(E21:E26,$O24,F21:F26)+SUMIF(H21:H26,$O24,G21:G26)</f>
        <v>3</v>
      </c>
      <c r="U24" s="25">
        <f>+SUMIF(E21:E26,$O24,G21:G26)+SUMIF(H21:H26,$O24,F21:F26)</f>
        <v>4</v>
      </c>
      <c r="V24" s="54">
        <f t="shared" ca="1" si="102"/>
        <v>2.9993024000000004</v>
      </c>
      <c r="W24" s="27" t="str">
        <f t="shared" si="103"/>
        <v>Escocia</v>
      </c>
      <c r="X24" s="24"/>
      <c r="Y24" s="84" t="str">
        <f>+CONCATENATE("4",RIGHT(E20,1))</f>
        <v>4C</v>
      </c>
      <c r="Z24" s="85" t="str">
        <f ca="1">+VLOOKUP(AL24,V21:W24,2,FALSE)</f>
        <v>Haiti</v>
      </c>
      <c r="AA24" s="86">
        <f t="shared" ca="1" si="104"/>
        <v>3</v>
      </c>
      <c r="AB24" s="87">
        <f t="shared" ref="AB24:AG24" ca="1" si="143">+VLOOKUP($Z24,$O$21:$U$24,COLUMN()-26,FALSE)</f>
        <v>0</v>
      </c>
      <c r="AC24" s="87">
        <f t="shared" ca="1" si="143"/>
        <v>0</v>
      </c>
      <c r="AD24" s="87">
        <f t="shared" ca="1" si="143"/>
        <v>3</v>
      </c>
      <c r="AE24" s="87">
        <f t="shared" ca="1" si="143"/>
        <v>-7</v>
      </c>
      <c r="AF24" s="87">
        <f t="shared" ca="1" si="143"/>
        <v>0</v>
      </c>
      <c r="AG24" s="87">
        <f t="shared" ca="1" si="143"/>
        <v>7</v>
      </c>
      <c r="AH24" s="88">
        <f t="shared" ca="1" si="106"/>
        <v>-6.9976999999999999E-3</v>
      </c>
      <c r="AI24" s="83"/>
      <c r="AJ24" s="24"/>
      <c r="AK24" s="24"/>
      <c r="AL24" s="54">
        <f ca="1">+LARGE(V21:V24,4)</f>
        <v>-6.9976999999999999E-3</v>
      </c>
      <c r="AM24" s="61">
        <f t="shared" ca="1" si="107"/>
        <v>0</v>
      </c>
      <c r="AN24" s="24"/>
      <c r="AO24" s="24"/>
      <c r="AP24" s="62" t="str">
        <f t="shared" si="108"/>
        <v>Escocia</v>
      </c>
      <c r="AQ24" s="28">
        <f t="shared" ca="1" si="109"/>
        <v>2.9993000000000003</v>
      </c>
      <c r="AR24" s="24"/>
      <c r="AS24" s="63">
        <f t="shared" si="110"/>
        <v>0</v>
      </c>
      <c r="AT24" s="63">
        <f ca="1">+IF(AND(AM25="si",OR(AR21=1,AR22=1,AR23=1)),1,0)</f>
        <v>0</v>
      </c>
      <c r="AU24" s="89" t="str">
        <f t="shared" si="111"/>
        <v>Escocia</v>
      </c>
      <c r="AV24" s="90"/>
      <c r="AW24" s="24"/>
      <c r="AX24" s="24" t="str">
        <f>+Y20</f>
        <v>Grupo C</v>
      </c>
      <c r="AY24" s="25" t="str">
        <f t="shared" si="112"/>
        <v>Escocia</v>
      </c>
      <c r="AZ24" s="29">
        <f t="shared" si="113"/>
        <v>3</v>
      </c>
      <c r="BA24" s="29">
        <f t="shared" si="114"/>
        <v>1</v>
      </c>
      <c r="BB24" s="29">
        <f>+IF(AZ24=BF19,ROW()*0.001,AZ24)</f>
        <v>3</v>
      </c>
      <c r="BC24" s="29">
        <f t="shared" si="115"/>
        <v>1</v>
      </c>
      <c r="BD24" s="29"/>
      <c r="BE24" s="26" t="e">
        <f ca="1">+IF(OR(BF24="-",BI24="-",BF19=0),"-","OK")</f>
        <v>#NAME?</v>
      </c>
      <c r="BF24" s="66" t="e">
        <f t="array" aca="1" ref="BF24" ca="1">+IF(_xludf.XLOOKUP($E24,$AY:$AY,$AZ:$AZ,"-",0)=BF19,$E24,"-")</f>
        <v>#NAME?</v>
      </c>
      <c r="BG24" s="67">
        <f t="shared" si="116"/>
        <v>1</v>
      </c>
      <c r="BH24" s="68">
        <f t="shared" si="117"/>
        <v>2</v>
      </c>
      <c r="BI24" s="66" t="e">
        <f t="array" aca="1" ref="BI24" ca="1">+IF(_xludf.XLOOKUP($H24,$AY:$AY,$AZ:$AZ,"-",0)=BF19,$H24,"-")</f>
        <v>#NAME?</v>
      </c>
      <c r="BJ24" s="24"/>
      <c r="BK24" s="27" t="str">
        <f t="shared" si="118"/>
        <v>Escocia</v>
      </c>
      <c r="BL24" s="27">
        <f t="shared" ca="1" si="119"/>
        <v>0</v>
      </c>
      <c r="BM24" s="25">
        <f t="shared" ca="1" si="120"/>
        <v>0</v>
      </c>
      <c r="BN24" s="25">
        <f t="shared" si="121"/>
        <v>0</v>
      </c>
      <c r="BO24" s="25">
        <f t="shared" ca="1" si="122"/>
        <v>0</v>
      </c>
      <c r="BP24" s="25">
        <f t="shared" ca="1" si="123"/>
        <v>0</v>
      </c>
      <c r="BQ24" s="25">
        <f t="shared" ca="1" si="124"/>
        <v>0</v>
      </c>
      <c r="BR24" s="25">
        <f t="shared" ca="1" si="125"/>
        <v>0</v>
      </c>
      <c r="BS24" s="69">
        <f t="shared" ca="1" si="126"/>
        <v>0</v>
      </c>
      <c r="BT24" s="29">
        <f t="array" aca="1" ref="BT24" ca="1">+IF(BL24=0,0,_xludf.XLOOKUP(BS24,BV21:BV24,BW21:BW24))</f>
        <v>0</v>
      </c>
      <c r="BU24" s="54"/>
      <c r="BV24" s="25">
        <f ca="1">+LARGE(BS21:BS24,4)</f>
        <v>0</v>
      </c>
      <c r="BW24" s="25">
        <f t="shared" si="127"/>
        <v>0</v>
      </c>
      <c r="BX24" s="24">
        <v>0</v>
      </c>
      <c r="BY24" s="26" t="e">
        <f t="shared" ca="1" si="128"/>
        <v>#NAME?</v>
      </c>
      <c r="BZ24" s="66" t="e">
        <f t="array" aca="1" ref="BZ24" ca="1">+IF(_xludf.XLOOKUP($E24,$AY:$AY,$AZ:$AZ,"-",0)=BZ19,$E24,"-")</f>
        <v>#NAME?</v>
      </c>
      <c r="CA24" s="67">
        <f t="shared" si="129"/>
        <v>1</v>
      </c>
      <c r="CB24" s="68">
        <f t="shared" si="130"/>
        <v>2</v>
      </c>
      <c r="CC24" s="66" t="e">
        <f t="array" aca="1" ref="CC24" ca="1">+IF(_xludf.XLOOKUP($H24,$AY:$AY,$AZ:$AZ,"-",0)=BZ19,$H24,"-")</f>
        <v>#NAME?</v>
      </c>
      <c r="CD24" s="24"/>
      <c r="CE24" s="27" t="str">
        <f t="shared" si="131"/>
        <v>Escocia</v>
      </c>
      <c r="CF24" s="27">
        <f t="shared" ca="1" si="132"/>
        <v>0</v>
      </c>
      <c r="CG24" s="25">
        <f t="shared" si="133"/>
        <v>0</v>
      </c>
      <c r="CH24" s="25">
        <f t="shared" si="134"/>
        <v>0</v>
      </c>
      <c r="CI24" s="25">
        <f t="shared" ca="1" si="135"/>
        <v>0</v>
      </c>
      <c r="CJ24" s="25">
        <f t="shared" ca="1" si="136"/>
        <v>0</v>
      </c>
      <c r="CK24" s="25">
        <f t="shared" ca="1" si="137"/>
        <v>0</v>
      </c>
      <c r="CL24" s="25">
        <f t="shared" ca="1" si="138"/>
        <v>0</v>
      </c>
      <c r="CM24" s="69">
        <f t="shared" ca="1" si="139"/>
        <v>0</v>
      </c>
      <c r="CN24" s="29">
        <f t="array" aca="1" ref="CN24" ca="1">+IF(CF24=0,0,_xludf.XLOOKUP(CM24,CP21:CP24,CQ21:CQ24))</f>
        <v>0</v>
      </c>
      <c r="CO24" s="54"/>
      <c r="CP24" s="25">
        <f ca="1">+LARGE(CM21:CM24,4)</f>
        <v>0</v>
      </c>
      <c r="CQ24" s="25">
        <f t="shared" si="140"/>
        <v>0</v>
      </c>
      <c r="CR24" s="24">
        <v>0</v>
      </c>
    </row>
    <row r="25" spans="1:96" ht="14.25" customHeight="1" x14ac:dyDescent="0.25">
      <c r="A25" s="47" t="s">
        <v>137</v>
      </c>
      <c r="B25" s="48">
        <v>46197</v>
      </c>
      <c r="C25" s="49"/>
      <c r="D25" s="50"/>
      <c r="E25" s="51" t="s">
        <v>80</v>
      </c>
      <c r="F25" s="52">
        <v>0</v>
      </c>
      <c r="G25" s="52">
        <v>2</v>
      </c>
      <c r="H25" s="53" t="s">
        <v>53</v>
      </c>
      <c r="I25" s="24"/>
      <c r="J25" s="25" t="str">
        <f t="shared" si="97"/>
        <v>Brasil</v>
      </c>
      <c r="K25" s="25" t="str">
        <f t="shared" si="98"/>
        <v/>
      </c>
      <c r="L25" s="25" t="str">
        <f t="shared" si="99"/>
        <v/>
      </c>
      <c r="M25" s="25" t="str">
        <f t="shared" si="100"/>
        <v>Escocia</v>
      </c>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6" t="s">
        <v>122</v>
      </c>
      <c r="AM25" s="61" t="str">
        <f ca="1">+IF(SUM(AA21:AA24)=12,"si","no")</f>
        <v>si</v>
      </c>
      <c r="AN25" s="24"/>
      <c r="AO25" s="24"/>
      <c r="AP25" s="24"/>
      <c r="AQ25" s="24"/>
      <c r="AR25" s="24"/>
      <c r="AS25" s="24"/>
      <c r="AT25" s="24"/>
      <c r="AU25" s="24"/>
      <c r="AV25" s="24"/>
      <c r="AW25" s="24"/>
      <c r="AX25" s="24"/>
      <c r="AY25" s="24"/>
      <c r="AZ25" s="24"/>
      <c r="BA25" s="24"/>
      <c r="BB25" s="24"/>
      <c r="BC25" s="24"/>
      <c r="BD25" s="24"/>
      <c r="BE25" s="26" t="e">
        <f ca="1">+IF(OR(BF25="-",BI25="-",BF19=0),"-","OK")</f>
        <v>#NAME?</v>
      </c>
      <c r="BF25" s="66" t="e">
        <f t="array" aca="1" ref="BF25" ca="1">+IF(_xludf.XLOOKUP($E25,$AY:$AY,$AZ:$AZ,"-",0)=BF19,$E25,"-")</f>
        <v>#NAME?</v>
      </c>
      <c r="BG25" s="67">
        <f t="shared" si="116"/>
        <v>0</v>
      </c>
      <c r="BH25" s="68">
        <f t="shared" si="117"/>
        <v>2</v>
      </c>
      <c r="BI25" s="66" t="e">
        <f t="array" aca="1" ref="BI25" ca="1">+IF(_xludf.XLOOKUP($H25,$AY:$AY,$AZ:$AZ,"-",0)=BF19,$H25,"-")</f>
        <v>#NAME?</v>
      </c>
      <c r="BJ25" s="24"/>
      <c r="BK25" s="24"/>
      <c r="BL25" s="24"/>
      <c r="BM25" s="24"/>
      <c r="BN25" s="24"/>
      <c r="BO25" s="24"/>
      <c r="BP25" s="24"/>
      <c r="BQ25" s="24"/>
      <c r="BR25" s="24"/>
      <c r="BS25" s="24"/>
      <c r="BT25" s="24"/>
      <c r="BU25" s="24"/>
      <c r="BV25" s="24"/>
      <c r="BW25" s="24"/>
      <c r="BX25" s="24"/>
      <c r="BY25" s="26" t="e">
        <f t="shared" ca="1" si="128"/>
        <v>#NAME?</v>
      </c>
      <c r="BZ25" s="66" t="e">
        <f t="array" aca="1" ref="BZ25" ca="1">+IF(_xludf.XLOOKUP($E25,$AY:$AY,$AZ:$AZ,"-",0)=BZ19,$E25,"-")</f>
        <v>#NAME?</v>
      </c>
      <c r="CA25" s="67">
        <f t="shared" si="129"/>
        <v>0</v>
      </c>
      <c r="CB25" s="68">
        <f t="shared" si="130"/>
        <v>2</v>
      </c>
      <c r="CC25" s="66" t="e">
        <f t="array" aca="1" ref="CC25" ca="1">+IF(_xludf.XLOOKUP($H25,$AY:$AY,$AZ:$AZ,"-",0)=BZ19,$H25,"-")</f>
        <v>#NAME?</v>
      </c>
      <c r="CD25" s="24"/>
      <c r="CE25" s="24"/>
      <c r="CF25" s="24"/>
      <c r="CG25" s="24"/>
      <c r="CH25" s="24"/>
      <c r="CI25" s="24"/>
      <c r="CJ25" s="24"/>
      <c r="CK25" s="24"/>
      <c r="CL25" s="24"/>
      <c r="CM25" s="24"/>
      <c r="CN25" s="24"/>
      <c r="CO25" s="24"/>
      <c r="CP25" s="24"/>
      <c r="CQ25" s="24"/>
      <c r="CR25" s="24"/>
    </row>
    <row r="26" spans="1:96" ht="14.25" customHeight="1" x14ac:dyDescent="0.25">
      <c r="A26" s="47" t="s">
        <v>138</v>
      </c>
      <c r="B26" s="48">
        <v>46197</v>
      </c>
      <c r="C26" s="49"/>
      <c r="D26" s="50"/>
      <c r="E26" s="51" t="s">
        <v>59</v>
      </c>
      <c r="F26" s="52">
        <v>2</v>
      </c>
      <c r="G26" s="52">
        <v>0</v>
      </c>
      <c r="H26" s="53" t="s">
        <v>94</v>
      </c>
      <c r="I26" s="24"/>
      <c r="J26" s="25" t="str">
        <f t="shared" si="97"/>
        <v>Marruecos</v>
      </c>
      <c r="K26" s="25" t="str">
        <f t="shared" si="98"/>
        <v/>
      </c>
      <c r="L26" s="25" t="str">
        <f t="shared" si="99"/>
        <v/>
      </c>
      <c r="M26" s="25" t="str">
        <f t="shared" si="100"/>
        <v>Haiti</v>
      </c>
      <c r="N26" s="24"/>
      <c r="O26" s="24"/>
      <c r="P26" s="24"/>
      <c r="Q26" s="24"/>
      <c r="R26" s="24"/>
      <c r="S26" s="24"/>
      <c r="T26" s="24"/>
      <c r="U26" s="24"/>
      <c r="V26" s="24"/>
      <c r="W26" s="24"/>
      <c r="X26" s="24"/>
      <c r="Y26" s="62" t="s">
        <v>124</v>
      </c>
      <c r="Z26" s="24"/>
      <c r="AA26" s="24"/>
      <c r="AB26" s="24"/>
      <c r="AC26" s="24"/>
      <c r="AD26" s="24"/>
      <c r="AE26" s="24"/>
      <c r="AF26" s="24"/>
      <c r="AG26" s="24"/>
      <c r="AH26" s="24"/>
      <c r="AI26" s="24"/>
      <c r="AJ26" s="24"/>
      <c r="AK26" s="24"/>
      <c r="AL26" s="24"/>
      <c r="AM26" s="24"/>
      <c r="AN26" s="24"/>
      <c r="AO26" s="24"/>
      <c r="AP26" s="24"/>
      <c r="AQ26" s="24"/>
      <c r="AR26" s="24">
        <f ca="1">+IF(AND(AM25="si",OR(AR21=1,AR22=1,AR23=1)),1,0)</f>
        <v>0</v>
      </c>
      <c r="AS26" s="24"/>
      <c r="AT26" s="24"/>
      <c r="AU26" s="24"/>
      <c r="AV26" s="24"/>
      <c r="AW26" s="24"/>
      <c r="AX26" s="24"/>
      <c r="AY26" s="24"/>
      <c r="AZ26" s="24"/>
      <c r="BA26" s="24"/>
      <c r="BB26" s="24"/>
      <c r="BC26" s="24"/>
      <c r="BD26" s="24"/>
      <c r="BE26" s="26" t="e">
        <f ca="1">+IF(OR(BF26="-",BI26="-",BF19=0),"-","OK")</f>
        <v>#NAME?</v>
      </c>
      <c r="BF26" s="66" t="e">
        <f t="array" aca="1" ref="BF26" ca="1">+IF(_xludf.XLOOKUP($E26,$AY:$AY,$AZ:$AZ,"-",0)=BF19,$E26,"-")</f>
        <v>#NAME?</v>
      </c>
      <c r="BG26" s="67">
        <f t="shared" si="116"/>
        <v>2</v>
      </c>
      <c r="BH26" s="68">
        <f t="shared" si="117"/>
        <v>0</v>
      </c>
      <c r="BI26" s="66" t="e">
        <f t="array" aca="1" ref="BI26" ca="1">+IF(_xludf.XLOOKUP($H26,$AY:$AY,$AZ:$AZ,"-",0)=BF19,$H26,"-")</f>
        <v>#NAME?</v>
      </c>
      <c r="BJ26" s="24"/>
      <c r="BK26" s="24"/>
      <c r="BL26" s="24"/>
      <c r="BM26" s="24"/>
      <c r="BN26" s="24"/>
      <c r="BO26" s="24"/>
      <c r="BP26" s="24"/>
      <c r="BQ26" s="24"/>
      <c r="BR26" s="24"/>
      <c r="BS26" s="24"/>
      <c r="BT26" s="24"/>
      <c r="BU26" s="24"/>
      <c r="BV26" s="24"/>
      <c r="BW26" s="24"/>
      <c r="BX26" s="24"/>
      <c r="BY26" s="26" t="e">
        <f t="shared" ca="1" si="128"/>
        <v>#NAME?</v>
      </c>
      <c r="BZ26" s="66" t="e">
        <f t="array" aca="1" ref="BZ26" ca="1">+IF(_xludf.XLOOKUP($E26,$AY:$AY,$AZ:$AZ,"-",0)=BZ19,$E26,"-")</f>
        <v>#NAME?</v>
      </c>
      <c r="CA26" s="67">
        <f t="shared" si="129"/>
        <v>2</v>
      </c>
      <c r="CB26" s="68">
        <f t="shared" si="130"/>
        <v>0</v>
      </c>
      <c r="CC26" s="66" t="e">
        <f t="array" aca="1" ref="CC26" ca="1">+IF(_xludf.XLOOKUP($H26,$AY:$AY,$AZ:$AZ,"-",0)=BZ19,$H26,"-")</f>
        <v>#NAME?</v>
      </c>
      <c r="CD26" s="24"/>
      <c r="CE26" s="24"/>
      <c r="CF26" s="24"/>
      <c r="CG26" s="24"/>
      <c r="CH26" s="24"/>
      <c r="CI26" s="24"/>
      <c r="CJ26" s="24"/>
      <c r="CK26" s="24"/>
      <c r="CL26" s="24"/>
      <c r="CM26" s="24"/>
      <c r="CN26" s="24"/>
      <c r="CO26" s="24"/>
      <c r="CP26" s="24"/>
      <c r="CQ26" s="24"/>
      <c r="CR26" s="24"/>
    </row>
    <row r="27" spans="1:96" ht="14.25" customHeight="1" x14ac:dyDescent="0.25">
      <c r="A27" s="91"/>
      <c r="B27" s="92"/>
      <c r="C27" s="91"/>
      <c r="D27" s="93"/>
      <c r="E27" s="94"/>
      <c r="F27" s="91"/>
      <c r="G27" s="91"/>
      <c r="H27" s="95"/>
      <c r="I27" s="93"/>
      <c r="J27" s="91"/>
      <c r="K27" s="91"/>
      <c r="L27" s="91"/>
      <c r="M27" s="91"/>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1"/>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row>
    <row r="28" spans="1:96" ht="14.25" customHeight="1" x14ac:dyDescent="0.25">
      <c r="A28" s="24"/>
      <c r="B28" s="25"/>
      <c r="C28" s="25"/>
      <c r="D28" s="24"/>
      <c r="E28" s="26"/>
      <c r="F28" s="25"/>
      <c r="G28" s="25"/>
      <c r="H28" s="27"/>
      <c r="I28" s="24"/>
      <c r="J28" s="25"/>
      <c r="K28" s="25"/>
      <c r="L28" s="25"/>
      <c r="M28" s="25"/>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5"/>
      <c r="BF28" s="28">
        <f>+IF(BA30&gt;1,AZ30,IF(BA31&gt;1,AZ31,IF(BA32&gt;1,AZ32,IF(BA33&gt;1,AZ33,"-"))))</f>
        <v>4</v>
      </c>
      <c r="BG28" s="24"/>
      <c r="BH28" s="24"/>
      <c r="BI28" s="24"/>
      <c r="BJ28" s="24"/>
      <c r="BK28" s="24"/>
      <c r="BL28" s="24"/>
      <c r="BM28" s="24"/>
      <c r="BN28" s="24"/>
      <c r="BO28" s="24"/>
      <c r="BP28" s="24"/>
      <c r="BQ28" s="24"/>
      <c r="BR28" s="24"/>
      <c r="BS28" s="24"/>
      <c r="BT28" s="24"/>
      <c r="BU28" s="24"/>
      <c r="BV28" s="24"/>
      <c r="BW28" s="24">
        <v>10</v>
      </c>
      <c r="BX28" s="24"/>
      <c r="BY28" s="24"/>
      <c r="BZ28" s="29">
        <f>+IF(BC30&gt;1,BB30,IF(BC31&gt;1,BB31,IF(BC32&gt;1,BB32,IF(BC33&gt;1,BB33,"-"))))</f>
        <v>0</v>
      </c>
      <c r="CA28" s="24"/>
      <c r="CB28" s="24"/>
      <c r="CC28" s="24"/>
      <c r="CD28" s="24"/>
      <c r="CE28" s="24"/>
      <c r="CF28" s="24"/>
      <c r="CG28" s="24"/>
      <c r="CH28" s="24"/>
      <c r="CI28" s="24"/>
      <c r="CJ28" s="24"/>
      <c r="CK28" s="24"/>
      <c r="CL28" s="24"/>
      <c r="CM28" s="24"/>
      <c r="CN28" s="24"/>
      <c r="CO28" s="24"/>
      <c r="CP28" s="24"/>
      <c r="CQ28" s="24">
        <v>10</v>
      </c>
      <c r="CR28" s="24"/>
    </row>
    <row r="29" spans="1:96" ht="14.25" customHeight="1" x14ac:dyDescent="0.25">
      <c r="A29" s="120" t="s">
        <v>100</v>
      </c>
      <c r="B29" s="121" t="s">
        <v>101</v>
      </c>
      <c r="C29" s="121" t="s">
        <v>102</v>
      </c>
      <c r="D29" s="122"/>
      <c r="E29" s="123" t="s">
        <v>139</v>
      </c>
      <c r="F29" s="124"/>
      <c r="G29" s="124"/>
      <c r="H29" s="125"/>
      <c r="I29" s="24"/>
      <c r="J29" s="25" t="s">
        <v>104</v>
      </c>
      <c r="K29" s="25" t="s">
        <v>105</v>
      </c>
      <c r="L29" s="25" t="s">
        <v>105</v>
      </c>
      <c r="M29" s="25" t="s">
        <v>106</v>
      </c>
      <c r="N29" s="24"/>
      <c r="O29" s="27" t="str">
        <f t="shared" ref="O29:O30" si="144">+E29</f>
        <v>Grupo D</v>
      </c>
      <c r="P29" s="25" t="s">
        <v>104</v>
      </c>
      <c r="Q29" s="25" t="s">
        <v>105</v>
      </c>
      <c r="R29" s="25" t="s">
        <v>106</v>
      </c>
      <c r="S29" s="25" t="s">
        <v>107</v>
      </c>
      <c r="T29" s="25" t="s">
        <v>108</v>
      </c>
      <c r="U29" s="25" t="s">
        <v>109</v>
      </c>
      <c r="V29" s="25" t="s">
        <v>0</v>
      </c>
      <c r="W29" s="25"/>
      <c r="X29" s="24"/>
      <c r="Y29" s="485" t="s">
        <v>139</v>
      </c>
      <c r="Z29" s="475"/>
      <c r="AA29" s="126" t="s">
        <v>110</v>
      </c>
      <c r="AB29" s="127" t="s">
        <v>104</v>
      </c>
      <c r="AC29" s="127" t="s">
        <v>105</v>
      </c>
      <c r="AD29" s="127" t="s">
        <v>106</v>
      </c>
      <c r="AE29" s="127" t="s">
        <v>107</v>
      </c>
      <c r="AF29" s="127" t="s">
        <v>108</v>
      </c>
      <c r="AG29" s="127" t="s">
        <v>109</v>
      </c>
      <c r="AH29" s="128" t="s">
        <v>0</v>
      </c>
      <c r="AI29" s="129"/>
      <c r="AJ29" s="24"/>
      <c r="AK29" s="24"/>
      <c r="AL29" s="25" t="s">
        <v>0</v>
      </c>
      <c r="AM29" s="25" t="s">
        <v>111</v>
      </c>
      <c r="AN29" s="25"/>
      <c r="AO29" s="25"/>
      <c r="AP29" s="25"/>
      <c r="AQ29" s="25"/>
      <c r="AR29" s="25"/>
      <c r="AS29" s="25"/>
      <c r="AT29" s="25"/>
      <c r="AU29" s="25"/>
      <c r="AV29" s="24"/>
      <c r="AW29" s="24"/>
      <c r="AX29" s="24"/>
      <c r="AY29" s="25" t="s">
        <v>112</v>
      </c>
      <c r="AZ29" s="25" t="s">
        <v>0</v>
      </c>
      <c r="BA29" s="25" t="s">
        <v>113</v>
      </c>
      <c r="BB29" s="25"/>
      <c r="BC29" s="25"/>
      <c r="BD29" s="25"/>
      <c r="BE29" s="25"/>
      <c r="BF29" s="24"/>
      <c r="BG29" s="24"/>
      <c r="BH29" s="24"/>
      <c r="BI29" s="24"/>
      <c r="BJ29" s="24"/>
      <c r="BK29" s="27"/>
      <c r="BL29" s="27" t="s">
        <v>110</v>
      </c>
      <c r="BM29" s="25" t="s">
        <v>104</v>
      </c>
      <c r="BN29" s="25" t="s">
        <v>105</v>
      </c>
      <c r="BO29" s="25" t="s">
        <v>106</v>
      </c>
      <c r="BP29" s="25" t="s">
        <v>107</v>
      </c>
      <c r="BQ29" s="25" t="s">
        <v>108</v>
      </c>
      <c r="BR29" s="25" t="s">
        <v>109</v>
      </c>
      <c r="BS29" s="25" t="s">
        <v>0</v>
      </c>
      <c r="BT29" s="25" t="s">
        <v>114</v>
      </c>
      <c r="BU29" s="25"/>
      <c r="BV29" s="25" t="s">
        <v>115</v>
      </c>
      <c r="BW29" s="25" t="s">
        <v>114</v>
      </c>
      <c r="BX29" s="24"/>
      <c r="BY29" s="24"/>
      <c r="BZ29" s="24"/>
      <c r="CA29" s="24"/>
      <c r="CB29" s="24"/>
      <c r="CC29" s="24"/>
      <c r="CD29" s="24"/>
      <c r="CE29" s="27"/>
      <c r="CF29" s="27" t="s">
        <v>110</v>
      </c>
      <c r="CG29" s="25" t="s">
        <v>104</v>
      </c>
      <c r="CH29" s="25" t="s">
        <v>105</v>
      </c>
      <c r="CI29" s="25" t="s">
        <v>106</v>
      </c>
      <c r="CJ29" s="25" t="s">
        <v>107</v>
      </c>
      <c r="CK29" s="25" t="s">
        <v>108</v>
      </c>
      <c r="CL29" s="25" t="s">
        <v>109</v>
      </c>
      <c r="CM29" s="25" t="s">
        <v>0</v>
      </c>
      <c r="CN29" s="25" t="s">
        <v>114</v>
      </c>
      <c r="CO29" s="25"/>
      <c r="CP29" s="25" t="s">
        <v>115</v>
      </c>
      <c r="CQ29" s="25" t="s">
        <v>114</v>
      </c>
      <c r="CR29" s="24"/>
    </row>
    <row r="30" spans="1:96" ht="14.25" customHeight="1" x14ac:dyDescent="0.25">
      <c r="A30" s="47" t="s">
        <v>140</v>
      </c>
      <c r="B30" s="48">
        <v>46185</v>
      </c>
      <c r="C30" s="49"/>
      <c r="D30" s="50"/>
      <c r="E30" s="51" t="s">
        <v>63</v>
      </c>
      <c r="F30" s="52">
        <v>1</v>
      </c>
      <c r="G30" s="52">
        <v>1</v>
      </c>
      <c r="H30" s="53" t="s">
        <v>71</v>
      </c>
      <c r="I30" s="24"/>
      <c r="J30" s="25" t="str">
        <f t="shared" ref="J30:J35" si="145">IF(OR(ISBLANK(F30),ISBLANK(G30)),"",IF(F30&gt;G30,E30,IF(G30&gt;F30,H30,"")))</f>
        <v/>
      </c>
      <c r="K30" s="25" t="str">
        <f t="shared" ref="K30:K35" si="146">IF(OR(ISBLANK(F30),ISBLANK(G30)),"",IF(F30=G30,E30,""))</f>
        <v>Estados Unidos</v>
      </c>
      <c r="L30" s="25" t="str">
        <f t="shared" ref="L30:L35" si="147">IF(OR(ISBLANK(F30),ISBLANK(G30)),"",IF(F30=G30,H30,""))</f>
        <v>Paraguay</v>
      </c>
      <c r="M30" s="25" t="str">
        <f t="shared" ref="M30:M35" si="148">IF(OR(ISBLANK(F30),ISBLANK(G30)),"",IF(F30&lt;G30,E30,IF(G30&lt;F30,H30,"")))</f>
        <v/>
      </c>
      <c r="N30" s="24"/>
      <c r="O30" s="27" t="str">
        <f t="shared" si="144"/>
        <v>Estados Unidos</v>
      </c>
      <c r="P30" s="25">
        <f>+COUNTIF(J30:J35,"="&amp;$O30)</f>
        <v>1</v>
      </c>
      <c r="Q30" s="25">
        <f>+COUNTIF(K30:L35,"="&amp;$O30)</f>
        <v>1</v>
      </c>
      <c r="R30" s="25">
        <f>+COUNTIF(M30:M35,"="&amp;$O30)</f>
        <v>1</v>
      </c>
      <c r="S30" s="25">
        <f t="shared" ref="S30:S33" si="149">+T30-U30</f>
        <v>-1</v>
      </c>
      <c r="T30" s="25">
        <f>+SUMIF(E30:E35,$O30,F30:F35)+SUMIF(H30:H35,$O30,G30:G35)</f>
        <v>2</v>
      </c>
      <c r="U30" s="25">
        <f>+SUMIF(E30:E35,$O30,G30:G35)+SUMIF(H30:H35,$O30,F30:F35)</f>
        <v>3</v>
      </c>
      <c r="V30" s="54">
        <f t="shared" ref="V30:V33" ca="1" si="150">+P30*3+Q30*1+BT30+CN30+S30/1000+T30/10000+AV30/1000000+ROW()/10000000</f>
        <v>3.9992030000000001</v>
      </c>
      <c r="W30" s="27" t="str">
        <f t="shared" ref="W30:W33" si="151">+O30</f>
        <v>Estados Unidos</v>
      </c>
      <c r="X30" s="24"/>
      <c r="Y30" s="55" t="str">
        <f>+CONCATENATE("1",RIGHT(E29,1))</f>
        <v>1D</v>
      </c>
      <c r="Z30" s="56" t="str">
        <f ca="1">+VLOOKUP(AL30,V30:W33,2,FALSE)</f>
        <v>Turquia</v>
      </c>
      <c r="AA30" s="57">
        <f t="shared" ref="AA30:AA33" ca="1" si="152">+SUM(AB30:AD30)</f>
        <v>3</v>
      </c>
      <c r="AB30" s="58">
        <f t="shared" ref="AB30:AG30" ca="1" si="153">+VLOOKUP($Z30,$O$30:$U$33,COLUMN()-26,FALSE)</f>
        <v>3</v>
      </c>
      <c r="AC30" s="58">
        <f t="shared" ca="1" si="153"/>
        <v>0</v>
      </c>
      <c r="AD30" s="58">
        <f t="shared" ca="1" si="153"/>
        <v>0</v>
      </c>
      <c r="AE30" s="58">
        <f t="shared" ca="1" si="153"/>
        <v>4</v>
      </c>
      <c r="AF30" s="58">
        <f t="shared" ca="1" si="153"/>
        <v>6</v>
      </c>
      <c r="AG30" s="58">
        <f t="shared" ca="1" si="153"/>
        <v>2</v>
      </c>
      <c r="AH30" s="59">
        <f t="shared" ref="AH30:AH33" ca="1" si="154">+VLOOKUP($Z30,$O$30:$V$33,COLUMN()-26,FALSE)</f>
        <v>9.0046032999999994</v>
      </c>
      <c r="AI30" s="60"/>
      <c r="AJ30" s="24"/>
      <c r="AK30" s="24"/>
      <c r="AL30" s="54">
        <f ca="1">+LARGE(V30:V33,1)</f>
        <v>9.0046032999999994</v>
      </c>
      <c r="AM30" s="61">
        <f t="shared" ref="AM30:AM33" ca="1" si="155">+(AH30-AL30)*100000000000000000000</f>
        <v>0</v>
      </c>
      <c r="AN30" s="24"/>
      <c r="AO30" s="24"/>
      <c r="AP30" s="62" t="str">
        <f t="shared" ref="AP30:AP33" si="156">+O30</f>
        <v>Estados Unidos</v>
      </c>
      <c r="AQ30" s="28">
        <f t="shared" ref="AQ30:AQ33" ca="1" si="157">+P30*3+Q30*1+BT30+CN30+S30/1000+T30/10000</f>
        <v>3.9992000000000001</v>
      </c>
      <c r="AR30" s="24" t="b">
        <f ca="1">+IF(OR(AQ30=AQ31,AQ30=AQ32,AQ30=AQ33),1)</f>
        <v>0</v>
      </c>
      <c r="AS30" s="63">
        <f t="shared" ref="AS30:AS33" si="158">+AV30</f>
        <v>0</v>
      </c>
      <c r="AT30" s="63">
        <f ca="1">+IF(AND(AM34="si",OR(AR30=1,AR31=1,AR32=1)),1,0)</f>
        <v>0</v>
      </c>
      <c r="AU30" s="64" t="str">
        <f t="shared" ref="AU30:AU33" si="159">+O30</f>
        <v>Estados Unidos</v>
      </c>
      <c r="AV30" s="65"/>
      <c r="AW30" s="24"/>
      <c r="AX30" s="24" t="str">
        <f>+Y29</f>
        <v>Grupo D</v>
      </c>
      <c r="AY30" s="25" t="str">
        <f t="shared" ref="AY30:AY33" si="160">+O30</f>
        <v>Estados Unidos</v>
      </c>
      <c r="AZ30" s="29">
        <f t="shared" ref="AZ30:AZ33" si="161">+P30*3+Q30</f>
        <v>4</v>
      </c>
      <c r="BA30" s="29">
        <f t="shared" ref="BA30:BA33" si="162">+COUNTIFS($AX$1:AX30,AX30,$AZ$1:AZ30,AZ30)</f>
        <v>1</v>
      </c>
      <c r="BB30" s="29">
        <f>+IF(AZ30=BF28,ROW()*0.001,AZ30)</f>
        <v>0.03</v>
      </c>
      <c r="BC30" s="29">
        <f t="shared" ref="BC30:BC33" si="163">+COUNTIFS($AX$1:AZ30,AZ30,$AZ$1:BB30,BB30)</f>
        <v>1</v>
      </c>
      <c r="BD30" s="29"/>
      <c r="BE30" s="26" t="e">
        <f ca="1">+IF(OR(BF30="-",BI30="-",BF28=0),"-","OK")</f>
        <v>#NAME?</v>
      </c>
      <c r="BF30" s="66" t="e">
        <f t="array" aca="1" ref="BF30" ca="1">+IF(_xludf.XLOOKUP($E30,$AY:$AY,$AZ:$AZ,"-",0)=BF28,$E30,"-")</f>
        <v>#NAME?</v>
      </c>
      <c r="BG30" s="67">
        <f t="shared" ref="BG30:BG35" si="164">+$F30</f>
        <v>1</v>
      </c>
      <c r="BH30" s="68">
        <f t="shared" ref="BH30:BH35" si="165">+$G30</f>
        <v>1</v>
      </c>
      <c r="BI30" s="66" t="e">
        <f t="array" aca="1" ref="BI30" ca="1">+IF(_xludf.XLOOKUP($H30,$AY:$AY,$AZ:$AZ,"-",0)=BF28,$H30,"-")</f>
        <v>#NAME?</v>
      </c>
      <c r="BJ30" s="24"/>
      <c r="BK30" s="27" t="str">
        <f t="shared" ref="BK30:BK33" si="166">+O30</f>
        <v>Estados Unidos</v>
      </c>
      <c r="BL30" s="27">
        <f t="shared" ref="BL30:BL33" ca="1" si="167">+COUNTIFS($BE:$BE,"OK",$BI:$BI,BK30)+COUNTIFS($BE:$BE,"OK",$BF:$BF,BK30)</f>
        <v>0</v>
      </c>
      <c r="BM30" s="25">
        <f t="shared" ref="BM30:BM33" ca="1" si="168">+COUNTIFS(J:J,$BK30,$BE:$BE,"OK")</f>
        <v>0</v>
      </c>
      <c r="BN30" s="25">
        <f t="shared" ref="BN30:BN33" ca="1" si="169">+COUNTIFS(K:K,$BK30,$BE:$BE,"OK")+COUNTIFS(L:L,$BK30,$BE:$BE,"OK")</f>
        <v>0</v>
      </c>
      <c r="BO30" s="25">
        <f t="shared" ref="BO30:BO33" ca="1" si="170">+COUNTIFS(M:M,$BK30,$BE:$BE,"OK")</f>
        <v>0</v>
      </c>
      <c r="BP30" s="25">
        <f t="shared" ref="BP30:BP33" ca="1" si="171">+BQ30-BR30</f>
        <v>0</v>
      </c>
      <c r="BQ30" s="25">
        <f t="shared" ref="BQ30:BQ33" ca="1" si="172">+SUMIFS(BG:BG,$BE:$BE,"OK",BF:BF,$BK30)+SUMIFS(BH:BH,$BE:$BE,"OK",BI:BI,$BK30)</f>
        <v>0</v>
      </c>
      <c r="BR30" s="25">
        <f t="shared" ref="BR30:BR33" ca="1" si="173">+SUMIFS(BH:BH,$BE:$BE,"OK",BF:BF,$BK30)+SUMIFS(BG:BG,$BE:$BE,"OK",BI:BI,$BK30)</f>
        <v>0</v>
      </c>
      <c r="BS30" s="69">
        <f t="shared" ref="BS30:BS33" ca="1" si="174">+BM30*3+BN30*1+BP30/100+BQ30/10000</f>
        <v>0</v>
      </c>
      <c r="BT30" s="29">
        <f t="array" aca="1" ref="BT30" ca="1">+IF(BL30=0,0,_xludf.XLOOKUP(BS30,BV30:BV33,BW30:BW33))</f>
        <v>0</v>
      </c>
      <c r="BU30" s="54"/>
      <c r="BV30" s="25">
        <f ca="1">+LARGE(BS30:BS33,1)</f>
        <v>0</v>
      </c>
      <c r="BW30" s="25">
        <f t="shared" ref="BW30:BW33" si="175">+BX30/$BW$1</f>
        <v>0.3</v>
      </c>
      <c r="BX30" s="24">
        <v>3</v>
      </c>
      <c r="BY30" s="26" t="e">
        <f t="shared" ref="BY30:BY35" ca="1" si="176">+IF(OR(BZ30="-",CC30="-"),"-","OK")</f>
        <v>#NAME?</v>
      </c>
      <c r="BZ30" s="66" t="e">
        <f t="array" aca="1" ref="BZ30" ca="1">+IF(_xludf.XLOOKUP($E30,$AY:$AY,$AZ:$AZ,"-",0)=BZ28,$E30,"-")</f>
        <v>#NAME?</v>
      </c>
      <c r="CA30" s="67">
        <f t="shared" ref="CA30:CA35" si="177">+$F30</f>
        <v>1</v>
      </c>
      <c r="CB30" s="68">
        <f t="shared" ref="CB30:CB35" si="178">+$G30</f>
        <v>1</v>
      </c>
      <c r="CC30" s="66" t="e">
        <f t="array" aca="1" ref="CC30" ca="1">+IF(_xludf.XLOOKUP($H30,$AY:$AY,$AZ:$AZ,"-",0)=BZ28,$H30,"-")</f>
        <v>#NAME?</v>
      </c>
      <c r="CD30" s="24"/>
      <c r="CE30" s="27" t="str">
        <f t="shared" ref="CE30:CE33" si="179">+BK30</f>
        <v>Estados Unidos</v>
      </c>
      <c r="CF30" s="27">
        <f t="shared" ref="CF30:CF33" ca="1" si="180">+COUNTIFS($BY:$BY,"OK",$CC:$CC,CE30)+COUNTIFS($BY:$BY,"OK",$BZ:$BZ,CE30)</f>
        <v>0</v>
      </c>
      <c r="CG30" s="25">
        <f t="shared" ref="CG30:CG33" si="181">+COUNTIFS(P:P,$BK30,$BY:$BY,"OK")</f>
        <v>0</v>
      </c>
      <c r="CH30" s="25">
        <f t="shared" ref="CH30:CH33" ca="1" si="182">+COUNTIFS(K:K,$BK30,$BY:$BY,"OK")+COUNTIFS(L:L,$BK30,$BY:$BY,"OK")</f>
        <v>0</v>
      </c>
      <c r="CI30" s="25">
        <f t="shared" ref="CI30:CI33" ca="1" si="183">+COUNTIFS(M:M,$CE30,$BY:$BY,"OK")</f>
        <v>0</v>
      </c>
      <c r="CJ30" s="25">
        <f t="shared" ref="CJ30:CJ33" ca="1" si="184">+CK30-CL30</f>
        <v>0</v>
      </c>
      <c r="CK30" s="25">
        <f t="shared" ref="CK30:CK33" ca="1" si="185">+SUMIFS(CA:CA,$BY:$BY,"OK",BZ:BZ,$BK30)+SUMIFS(CB:CB,$BY:$BY,"OK",CC:CC,$BK30)</f>
        <v>0</v>
      </c>
      <c r="CL30" s="25">
        <f t="shared" ref="CL30:CL33" ca="1" si="186">+SUMIFS(CB:CB,$BY:$BY,"OK",BZ:BZ,$BK30)+SUMIFS(CA:CA,$BY:$BY,"OK",CC:CC,$BK30)</f>
        <v>0</v>
      </c>
      <c r="CM30" s="69">
        <f t="shared" ref="CM30:CM33" ca="1" si="187">+CG30*3+CH30*1+CJ30/100+CK30/10000</f>
        <v>0</v>
      </c>
      <c r="CN30" s="29">
        <f t="array" aca="1" ref="CN30" ca="1">+IF(CF30=0,0,_xludf.XLOOKUP(CM30,CP30:CP33,CQ30:CQ33))</f>
        <v>0</v>
      </c>
      <c r="CO30" s="54"/>
      <c r="CP30" s="25">
        <f ca="1">+LARGE(CM30:CM33,1)</f>
        <v>0</v>
      </c>
      <c r="CQ30" s="25">
        <f t="shared" ref="CQ30:CQ33" si="188">+CR30/$BW$1</f>
        <v>0.3</v>
      </c>
      <c r="CR30" s="24">
        <v>3</v>
      </c>
    </row>
    <row r="31" spans="1:96" ht="14.25" customHeight="1" x14ac:dyDescent="0.25">
      <c r="A31" s="47" t="s">
        <v>141</v>
      </c>
      <c r="B31" s="48">
        <v>46187</v>
      </c>
      <c r="C31" s="49"/>
      <c r="D31" s="50"/>
      <c r="E31" s="51" t="s">
        <v>73</v>
      </c>
      <c r="F31" s="52">
        <v>1</v>
      </c>
      <c r="G31" s="52">
        <v>2</v>
      </c>
      <c r="H31" s="53" t="s">
        <v>66</v>
      </c>
      <c r="I31" s="24"/>
      <c r="J31" s="25" t="str">
        <f t="shared" si="145"/>
        <v>Turquia</v>
      </c>
      <c r="K31" s="25" t="str">
        <f t="shared" si="146"/>
        <v/>
      </c>
      <c r="L31" s="25" t="str">
        <f t="shared" si="147"/>
        <v/>
      </c>
      <c r="M31" s="25" t="str">
        <f t="shared" si="148"/>
        <v>Australia</v>
      </c>
      <c r="N31" s="24"/>
      <c r="O31" s="27" t="str">
        <f>+H30</f>
        <v>Paraguay</v>
      </c>
      <c r="P31" s="25">
        <f>+COUNTIF(J30:J35,"="&amp;$O31)</f>
        <v>1</v>
      </c>
      <c r="Q31" s="25">
        <f>+COUNTIF(K30:L35,"="&amp;$O31)</f>
        <v>1</v>
      </c>
      <c r="R31" s="25">
        <f>+COUNTIF(M30:M35,"="&amp;$O31)</f>
        <v>1</v>
      </c>
      <c r="S31" s="25">
        <f t="shared" si="149"/>
        <v>1</v>
      </c>
      <c r="T31" s="25">
        <f>+SUMIF(E30:E35,$O31,F30:F35)+SUMIF(H30:H35,$O31,G30:G35)</f>
        <v>4</v>
      </c>
      <c r="U31" s="25">
        <f>+SUMIF(E30:E35,$O31,G30:G35)+SUMIF(H30:H35,$O31,F30:F35)</f>
        <v>3</v>
      </c>
      <c r="V31" s="54">
        <f t="shared" ca="1" si="150"/>
        <v>4.0014031000000001</v>
      </c>
      <c r="W31" s="27" t="str">
        <f t="shared" si="151"/>
        <v>Paraguay</v>
      </c>
      <c r="X31" s="24"/>
      <c r="Y31" s="71" t="str">
        <f>+CONCATENATE("2",RIGHT(E29,1))</f>
        <v>2D</v>
      </c>
      <c r="Z31" s="72" t="str">
        <f ca="1">+VLOOKUP(AL31,V30:W33,2,FALSE)</f>
        <v>Paraguay</v>
      </c>
      <c r="AA31" s="73">
        <f t="shared" ca="1" si="152"/>
        <v>3</v>
      </c>
      <c r="AB31" s="74">
        <f t="shared" ref="AB31:AG31" ca="1" si="189">+VLOOKUP($Z31,$O$30:$U$33,COLUMN()-26,FALSE)</f>
        <v>1</v>
      </c>
      <c r="AC31" s="74">
        <f t="shared" ca="1" si="189"/>
        <v>1</v>
      </c>
      <c r="AD31" s="74">
        <f t="shared" ca="1" si="189"/>
        <v>1</v>
      </c>
      <c r="AE31" s="74">
        <f t="shared" ca="1" si="189"/>
        <v>1</v>
      </c>
      <c r="AF31" s="74">
        <f t="shared" ca="1" si="189"/>
        <v>4</v>
      </c>
      <c r="AG31" s="74">
        <f t="shared" ca="1" si="189"/>
        <v>3</v>
      </c>
      <c r="AH31" s="75">
        <f t="shared" ca="1" si="154"/>
        <v>4.0014031000000001</v>
      </c>
      <c r="AI31" s="60"/>
      <c r="AJ31" s="24"/>
      <c r="AK31" s="24"/>
      <c r="AL31" s="54">
        <f ca="1">+LARGE(V30:V33,2)</f>
        <v>4.0014031000000001</v>
      </c>
      <c r="AM31" s="61">
        <f t="shared" ca="1" si="155"/>
        <v>0</v>
      </c>
      <c r="AN31" s="24"/>
      <c r="AO31" s="24"/>
      <c r="AP31" s="62" t="str">
        <f t="shared" si="156"/>
        <v>Paraguay</v>
      </c>
      <c r="AQ31" s="28">
        <f t="shared" ca="1" si="157"/>
        <v>4.0014000000000003</v>
      </c>
      <c r="AR31" s="24" t="b">
        <f ca="1">+IF(OR(AQ31=AQ32,AQ31=AQ33),1)</f>
        <v>0</v>
      </c>
      <c r="AS31" s="63">
        <f t="shared" si="158"/>
        <v>0</v>
      </c>
      <c r="AT31" s="63">
        <f ca="1">+IF(AND(AM34="si",OR(AR30=1,AR31=1,AR32=1)),1,0)</f>
        <v>0</v>
      </c>
      <c r="AU31" s="76" t="str">
        <f t="shared" si="159"/>
        <v>Paraguay</v>
      </c>
      <c r="AV31" s="77"/>
      <c r="AW31" s="24"/>
      <c r="AX31" s="24" t="str">
        <f>+Y29</f>
        <v>Grupo D</v>
      </c>
      <c r="AY31" s="25" t="str">
        <f t="shared" si="160"/>
        <v>Paraguay</v>
      </c>
      <c r="AZ31" s="29">
        <f t="shared" si="161"/>
        <v>4</v>
      </c>
      <c r="BA31" s="29">
        <f t="shared" si="162"/>
        <v>2</v>
      </c>
      <c r="BB31" s="29">
        <f>+IF(AZ31=BF28,ROW()*0.001,AZ31)</f>
        <v>3.1E-2</v>
      </c>
      <c r="BC31" s="29">
        <f t="shared" si="163"/>
        <v>1</v>
      </c>
      <c r="BD31" s="29"/>
      <c r="BE31" s="26" t="e">
        <f ca="1">+IF(OR(BF31="-",BI31="-",BF28=0),"-","OK")</f>
        <v>#NAME?</v>
      </c>
      <c r="BF31" s="66" t="e">
        <f t="array" aca="1" ref="BF31" ca="1">+IF(_xludf.XLOOKUP($E31,$AY:$AY,$AZ:$AZ,"-",0)=BF28,$E31,"-")</f>
        <v>#NAME?</v>
      </c>
      <c r="BG31" s="67">
        <f t="shared" si="164"/>
        <v>1</v>
      </c>
      <c r="BH31" s="68">
        <f t="shared" si="165"/>
        <v>2</v>
      </c>
      <c r="BI31" s="66" t="e">
        <f t="array" aca="1" ref="BI31" ca="1">+IF(_xludf.XLOOKUP($H31,$AY:$AY,$AZ:$AZ,"-",0)=BF28,$H31,"-")</f>
        <v>#NAME?</v>
      </c>
      <c r="BJ31" s="24"/>
      <c r="BK31" s="27" t="str">
        <f t="shared" si="166"/>
        <v>Paraguay</v>
      </c>
      <c r="BL31" s="27">
        <f t="shared" ca="1" si="167"/>
        <v>0</v>
      </c>
      <c r="BM31" s="25">
        <f t="shared" ca="1" si="168"/>
        <v>0</v>
      </c>
      <c r="BN31" s="25">
        <f t="shared" ca="1" si="169"/>
        <v>0</v>
      </c>
      <c r="BO31" s="25">
        <f t="shared" ca="1" si="170"/>
        <v>0</v>
      </c>
      <c r="BP31" s="25">
        <f t="shared" ca="1" si="171"/>
        <v>0</v>
      </c>
      <c r="BQ31" s="25">
        <f t="shared" ca="1" si="172"/>
        <v>0</v>
      </c>
      <c r="BR31" s="25">
        <f t="shared" ca="1" si="173"/>
        <v>0</v>
      </c>
      <c r="BS31" s="69">
        <f t="shared" ca="1" si="174"/>
        <v>0</v>
      </c>
      <c r="BT31" s="29">
        <f t="array" aca="1" ref="BT31" ca="1">+IF(BL31=0,0,_xludf.XLOOKUP(BS31,BV30:BV33,BW30:BW33))</f>
        <v>0</v>
      </c>
      <c r="BU31" s="54"/>
      <c r="BV31" s="25">
        <f ca="1">+LARGE(BS30:BS33,2)</f>
        <v>0</v>
      </c>
      <c r="BW31" s="25">
        <f t="shared" si="175"/>
        <v>0.2</v>
      </c>
      <c r="BX31" s="24">
        <v>2</v>
      </c>
      <c r="BY31" s="26" t="e">
        <f t="shared" ca="1" si="176"/>
        <v>#NAME?</v>
      </c>
      <c r="BZ31" s="66" t="e">
        <f t="array" aca="1" ref="BZ31" ca="1">+IF(_xludf.XLOOKUP($E31,$AY:$AY,$AZ:$AZ,"-",0)=BZ28,$E31,"-")</f>
        <v>#NAME?</v>
      </c>
      <c r="CA31" s="67">
        <f t="shared" si="177"/>
        <v>1</v>
      </c>
      <c r="CB31" s="68">
        <f t="shared" si="178"/>
        <v>2</v>
      </c>
      <c r="CC31" s="66" t="e">
        <f t="array" aca="1" ref="CC31" ca="1">+IF(_xludf.XLOOKUP($H31,$AY:$AY,$AZ:$AZ,"-",0)=BZ28,$H31,"-")</f>
        <v>#NAME?</v>
      </c>
      <c r="CD31" s="24"/>
      <c r="CE31" s="27" t="str">
        <f t="shared" si="179"/>
        <v>Paraguay</v>
      </c>
      <c r="CF31" s="27">
        <f t="shared" ca="1" si="180"/>
        <v>0</v>
      </c>
      <c r="CG31" s="25">
        <f t="shared" si="181"/>
        <v>0</v>
      </c>
      <c r="CH31" s="25">
        <f t="shared" ca="1" si="182"/>
        <v>0</v>
      </c>
      <c r="CI31" s="25">
        <f t="shared" ca="1" si="183"/>
        <v>0</v>
      </c>
      <c r="CJ31" s="25">
        <f t="shared" ca="1" si="184"/>
        <v>0</v>
      </c>
      <c r="CK31" s="25">
        <f t="shared" ca="1" si="185"/>
        <v>0</v>
      </c>
      <c r="CL31" s="25">
        <f t="shared" ca="1" si="186"/>
        <v>0</v>
      </c>
      <c r="CM31" s="69">
        <f t="shared" ca="1" si="187"/>
        <v>0</v>
      </c>
      <c r="CN31" s="29">
        <f t="array" aca="1" ref="CN31" ca="1">+IF(CF31=0,0,_xludf.XLOOKUP(CM31,CP30:CP33,CQ30:CQ33))</f>
        <v>0</v>
      </c>
      <c r="CO31" s="54"/>
      <c r="CP31" s="25">
        <f ca="1">+LARGE(CM30:CM33,2)</f>
        <v>0</v>
      </c>
      <c r="CQ31" s="25">
        <f t="shared" si="188"/>
        <v>0.2</v>
      </c>
      <c r="CR31" s="24">
        <v>2</v>
      </c>
    </row>
    <row r="32" spans="1:96" ht="14.25" customHeight="1" x14ac:dyDescent="0.25">
      <c r="A32" s="47" t="s">
        <v>142</v>
      </c>
      <c r="B32" s="48">
        <v>46193</v>
      </c>
      <c r="C32" s="49"/>
      <c r="D32" s="50"/>
      <c r="E32" s="51" t="s">
        <v>66</v>
      </c>
      <c r="F32" s="52">
        <v>2</v>
      </c>
      <c r="G32" s="52">
        <v>1</v>
      </c>
      <c r="H32" s="53" t="s">
        <v>71</v>
      </c>
      <c r="I32" s="24"/>
      <c r="J32" s="25" t="str">
        <f t="shared" si="145"/>
        <v>Turquia</v>
      </c>
      <c r="K32" s="25" t="str">
        <f t="shared" si="146"/>
        <v/>
      </c>
      <c r="L32" s="25" t="str">
        <f t="shared" si="147"/>
        <v/>
      </c>
      <c r="M32" s="25" t="str">
        <f t="shared" si="148"/>
        <v>Paraguay</v>
      </c>
      <c r="N32" s="24"/>
      <c r="O32" s="27" t="str">
        <f>+E31</f>
        <v>Australia</v>
      </c>
      <c r="P32" s="25">
        <f>+COUNTIF(J30:J35,"="&amp;$O32)</f>
        <v>0</v>
      </c>
      <c r="Q32" s="25">
        <f>+COUNTIF(K30:L35,"="&amp;$O32)</f>
        <v>0</v>
      </c>
      <c r="R32" s="25">
        <f>+COUNTIF(M30:M35,"="&amp;$O32)</f>
        <v>3</v>
      </c>
      <c r="S32" s="25">
        <f t="shared" si="149"/>
        <v>-4</v>
      </c>
      <c r="T32" s="25">
        <f>+SUMIF(E30:E35,$O32,F30:F35)+SUMIF(H30:H35,$O32,G30:G35)</f>
        <v>1</v>
      </c>
      <c r="U32" s="25">
        <f>+SUMIF(E30:E35,$O32,G30:G35)+SUMIF(H30:H35,$O32,F30:F35)</f>
        <v>5</v>
      </c>
      <c r="V32" s="54">
        <f t="shared" ca="1" si="150"/>
        <v>-3.8968000000000002E-3</v>
      </c>
      <c r="W32" s="27" t="str">
        <f t="shared" si="151"/>
        <v>Australia</v>
      </c>
      <c r="X32" s="24"/>
      <c r="Y32" s="78" t="str">
        <f>+CONCATENATE("3",RIGHT(E29,1))</f>
        <v>3D</v>
      </c>
      <c r="Z32" s="79" t="str">
        <f ca="1">+VLOOKUP(AL32,V30:W33,2,FALSE)</f>
        <v>Estados Unidos</v>
      </c>
      <c r="AA32" s="80">
        <f t="shared" ca="1" si="152"/>
        <v>3</v>
      </c>
      <c r="AB32" s="81">
        <f t="shared" ref="AB32:AG32" ca="1" si="190">+VLOOKUP($Z32,$O$30:$U$33,COLUMN()-26,FALSE)</f>
        <v>1</v>
      </c>
      <c r="AC32" s="81">
        <f t="shared" ca="1" si="190"/>
        <v>1</v>
      </c>
      <c r="AD32" s="81">
        <f t="shared" ca="1" si="190"/>
        <v>1</v>
      </c>
      <c r="AE32" s="81">
        <f t="shared" ca="1" si="190"/>
        <v>-1</v>
      </c>
      <c r="AF32" s="81">
        <f t="shared" ca="1" si="190"/>
        <v>2</v>
      </c>
      <c r="AG32" s="81">
        <f t="shared" ca="1" si="190"/>
        <v>3</v>
      </c>
      <c r="AH32" s="82">
        <f t="shared" ca="1" si="154"/>
        <v>3.9992030000000001</v>
      </c>
      <c r="AI32" s="83">
        <f ca="1">+(COUNTIFS($CV$2:$CV$13,Z32,$CX$2:$CX$13,"IN")+COUNTIFS($CV$2:$CV$13,Z32,$CW$2:$CW$13,"IN"))*IF(SUM(AA30:AA33)=12,1,0)</f>
        <v>1</v>
      </c>
      <c r="AJ32" s="24"/>
      <c r="AK32" s="24"/>
      <c r="AL32" s="54">
        <f ca="1">+LARGE(V30:V33,3)</f>
        <v>3.9992030000000001</v>
      </c>
      <c r="AM32" s="61">
        <f t="shared" ca="1" si="155"/>
        <v>0</v>
      </c>
      <c r="AN32" s="24"/>
      <c r="AO32" s="24"/>
      <c r="AP32" s="62" t="str">
        <f t="shared" si="156"/>
        <v>Australia</v>
      </c>
      <c r="AQ32" s="28">
        <f t="shared" ca="1" si="157"/>
        <v>-3.9000000000000003E-3</v>
      </c>
      <c r="AR32" s="24" t="b">
        <f ca="1">+IF(OR(AQ32=AQ33),1)</f>
        <v>0</v>
      </c>
      <c r="AS32" s="63">
        <f t="shared" si="158"/>
        <v>0</v>
      </c>
      <c r="AT32" s="63">
        <f ca="1">+IF(AND(AM34="si",OR(AR30=1,AR31=1,AR32=1)),1,0)</f>
        <v>0</v>
      </c>
      <c r="AU32" s="76" t="str">
        <f t="shared" si="159"/>
        <v>Australia</v>
      </c>
      <c r="AV32" s="77"/>
      <c r="AW32" s="24"/>
      <c r="AX32" s="24" t="str">
        <f>+Y29</f>
        <v>Grupo D</v>
      </c>
      <c r="AY32" s="25" t="str">
        <f t="shared" si="160"/>
        <v>Australia</v>
      </c>
      <c r="AZ32" s="29">
        <f t="shared" si="161"/>
        <v>0</v>
      </c>
      <c r="BA32" s="29">
        <f t="shared" si="162"/>
        <v>1</v>
      </c>
      <c r="BB32" s="29">
        <f>+IF(AZ32=BF28,ROW()*0.001,AZ32)</f>
        <v>0</v>
      </c>
      <c r="BC32" s="29">
        <f t="shared" si="163"/>
        <v>3</v>
      </c>
      <c r="BD32" s="29"/>
      <c r="BE32" s="26" t="e">
        <f ca="1">+IF(OR(BF32="-",BI32="-",BF28=0),"-","OK")</f>
        <v>#NAME?</v>
      </c>
      <c r="BF32" s="66" t="e">
        <f t="array" aca="1" ref="BF32" ca="1">+IF(_xludf.XLOOKUP($E32,$AY:$AY,$AZ:$AZ,"-",0)=BF28,$E32,"-")</f>
        <v>#NAME?</v>
      </c>
      <c r="BG32" s="67">
        <f t="shared" si="164"/>
        <v>2</v>
      </c>
      <c r="BH32" s="68">
        <f t="shared" si="165"/>
        <v>1</v>
      </c>
      <c r="BI32" s="66" t="e">
        <f t="array" aca="1" ref="BI32" ca="1">+IF(_xludf.XLOOKUP($H32,$AY:$AY,$AZ:$AZ,"-",0)=BF28,$H32,"-")</f>
        <v>#NAME?</v>
      </c>
      <c r="BJ32" s="24"/>
      <c r="BK32" s="27" t="str">
        <f t="shared" si="166"/>
        <v>Australia</v>
      </c>
      <c r="BL32" s="27">
        <f t="shared" ca="1" si="167"/>
        <v>0</v>
      </c>
      <c r="BM32" s="25">
        <f t="shared" si="168"/>
        <v>0</v>
      </c>
      <c r="BN32" s="25">
        <f t="shared" si="169"/>
        <v>0</v>
      </c>
      <c r="BO32" s="25">
        <f t="shared" ca="1" si="170"/>
        <v>0</v>
      </c>
      <c r="BP32" s="25">
        <f t="shared" ca="1" si="171"/>
        <v>0</v>
      </c>
      <c r="BQ32" s="25">
        <f t="shared" ca="1" si="172"/>
        <v>0</v>
      </c>
      <c r="BR32" s="25">
        <f t="shared" ca="1" si="173"/>
        <v>0</v>
      </c>
      <c r="BS32" s="69">
        <f t="shared" ca="1" si="174"/>
        <v>0</v>
      </c>
      <c r="BT32" s="29">
        <f t="array" aca="1" ref="BT32" ca="1">+IF(BL32=0,0,_xludf.XLOOKUP(BS32,BV30:BV33,BW30:BW33))</f>
        <v>0</v>
      </c>
      <c r="BU32" s="54"/>
      <c r="BV32" s="25">
        <f ca="1">+LARGE(BS30:BS33,3)</f>
        <v>0</v>
      </c>
      <c r="BW32" s="25">
        <f t="shared" si="175"/>
        <v>0.1</v>
      </c>
      <c r="BX32" s="24">
        <v>1</v>
      </c>
      <c r="BY32" s="26" t="e">
        <f t="shared" ca="1" si="176"/>
        <v>#NAME?</v>
      </c>
      <c r="BZ32" s="66" t="e">
        <f t="array" aca="1" ref="BZ32" ca="1">+IF(_xludf.XLOOKUP($E32,$AY:$AY,$AZ:$AZ,"-",0)=BZ28,$E32,"-")</f>
        <v>#NAME?</v>
      </c>
      <c r="CA32" s="67">
        <f t="shared" si="177"/>
        <v>2</v>
      </c>
      <c r="CB32" s="68">
        <f t="shared" si="178"/>
        <v>1</v>
      </c>
      <c r="CC32" s="66" t="e">
        <f t="array" aca="1" ref="CC32" ca="1">+IF(_xludf.XLOOKUP($H32,$AY:$AY,$AZ:$AZ,"-",0)=BZ28,$H32,"-")</f>
        <v>#NAME?</v>
      </c>
      <c r="CD32" s="24"/>
      <c r="CE32" s="27" t="str">
        <f t="shared" si="179"/>
        <v>Australia</v>
      </c>
      <c r="CF32" s="27">
        <f t="shared" ca="1" si="180"/>
        <v>0</v>
      </c>
      <c r="CG32" s="25">
        <f t="shared" si="181"/>
        <v>0</v>
      </c>
      <c r="CH32" s="25">
        <f t="shared" si="182"/>
        <v>0</v>
      </c>
      <c r="CI32" s="25">
        <f t="shared" ca="1" si="183"/>
        <v>0</v>
      </c>
      <c r="CJ32" s="25">
        <f t="shared" ca="1" si="184"/>
        <v>0</v>
      </c>
      <c r="CK32" s="25">
        <f t="shared" ca="1" si="185"/>
        <v>0</v>
      </c>
      <c r="CL32" s="25">
        <f t="shared" ca="1" si="186"/>
        <v>0</v>
      </c>
      <c r="CM32" s="69">
        <f t="shared" ca="1" si="187"/>
        <v>0</v>
      </c>
      <c r="CN32" s="29">
        <f t="array" aca="1" ref="CN32" ca="1">+IF(CF32=0,0,_xludf.XLOOKUP(CM32,CP30:CP33,CQ30:CQ33))</f>
        <v>0</v>
      </c>
      <c r="CO32" s="54"/>
      <c r="CP32" s="25">
        <f ca="1">+LARGE(CM30:CM33,3)</f>
        <v>0</v>
      </c>
      <c r="CQ32" s="25">
        <f t="shared" si="188"/>
        <v>0.1</v>
      </c>
      <c r="CR32" s="24">
        <v>1</v>
      </c>
    </row>
    <row r="33" spans="1:96" ht="14.25" customHeight="1" x14ac:dyDescent="0.25">
      <c r="A33" s="47" t="s">
        <v>143</v>
      </c>
      <c r="B33" s="48">
        <v>46192</v>
      </c>
      <c r="C33" s="49"/>
      <c r="D33" s="50"/>
      <c r="E33" s="51" t="s">
        <v>63</v>
      </c>
      <c r="F33" s="52">
        <v>1</v>
      </c>
      <c r="G33" s="52">
        <v>0</v>
      </c>
      <c r="H33" s="53" t="s">
        <v>73</v>
      </c>
      <c r="I33" s="24"/>
      <c r="J33" s="25" t="str">
        <f t="shared" si="145"/>
        <v>Estados Unidos</v>
      </c>
      <c r="K33" s="25" t="str">
        <f t="shared" si="146"/>
        <v/>
      </c>
      <c r="L33" s="25" t="str">
        <f t="shared" si="147"/>
        <v/>
      </c>
      <c r="M33" s="25" t="str">
        <f t="shared" si="148"/>
        <v>Australia</v>
      </c>
      <c r="N33" s="24"/>
      <c r="O33" s="27" t="str">
        <f>+H31</f>
        <v>Turquia</v>
      </c>
      <c r="P33" s="25">
        <f>+COUNTIF(J30:J35,"="&amp;$O33)</f>
        <v>3</v>
      </c>
      <c r="Q33" s="25">
        <f>+COUNTIF(K30:L35,"="&amp;$O33)</f>
        <v>0</v>
      </c>
      <c r="R33" s="25">
        <f>+COUNTIF(M30:M35,"="&amp;$O33)</f>
        <v>0</v>
      </c>
      <c r="S33" s="25">
        <f t="shared" si="149"/>
        <v>4</v>
      </c>
      <c r="T33" s="25">
        <f>+SUMIF(E30:E35,$O33,F30:F35)+SUMIF(H30:H35,$O33,G30:G35)</f>
        <v>6</v>
      </c>
      <c r="U33" s="25">
        <f>+SUMIF(E30:E35,$O33,G30:G35)+SUMIF(H30:H35,$O33,F30:F35)</f>
        <v>2</v>
      </c>
      <c r="V33" s="54">
        <f t="shared" ca="1" si="150"/>
        <v>9.0046032999999994</v>
      </c>
      <c r="W33" s="27" t="str">
        <f t="shared" si="151"/>
        <v>Turquia</v>
      </c>
      <c r="X33" s="24"/>
      <c r="Y33" s="84" t="str">
        <f>+CONCATENATE("4",RIGHT(E29,1))</f>
        <v>4D</v>
      </c>
      <c r="Z33" s="85" t="str">
        <f ca="1">+VLOOKUP(AL33,V30:W33,2,FALSE)</f>
        <v>Australia</v>
      </c>
      <c r="AA33" s="86">
        <f t="shared" ca="1" si="152"/>
        <v>3</v>
      </c>
      <c r="AB33" s="87">
        <f t="shared" ref="AB33:AG33" ca="1" si="191">+VLOOKUP($Z33,$O$30:$U$33,COLUMN()-26,FALSE)</f>
        <v>0</v>
      </c>
      <c r="AC33" s="87">
        <f t="shared" ca="1" si="191"/>
        <v>0</v>
      </c>
      <c r="AD33" s="87">
        <f t="shared" ca="1" si="191"/>
        <v>3</v>
      </c>
      <c r="AE33" s="87">
        <f t="shared" ca="1" si="191"/>
        <v>-4</v>
      </c>
      <c r="AF33" s="87">
        <f t="shared" ca="1" si="191"/>
        <v>1</v>
      </c>
      <c r="AG33" s="87">
        <f t="shared" ca="1" si="191"/>
        <v>5</v>
      </c>
      <c r="AH33" s="88">
        <f t="shared" ca="1" si="154"/>
        <v>-3.8968000000000002E-3</v>
      </c>
      <c r="AI33" s="83"/>
      <c r="AJ33" s="24"/>
      <c r="AK33" s="24"/>
      <c r="AL33" s="54">
        <f ca="1">+LARGE(V30:V33,4)</f>
        <v>-3.8968000000000002E-3</v>
      </c>
      <c r="AM33" s="61">
        <f t="shared" ca="1" si="155"/>
        <v>0</v>
      </c>
      <c r="AN33" s="24"/>
      <c r="AO33" s="24"/>
      <c r="AP33" s="62" t="str">
        <f t="shared" si="156"/>
        <v>Turquia</v>
      </c>
      <c r="AQ33" s="28">
        <f t="shared" ca="1" si="157"/>
        <v>9.0045999999999999</v>
      </c>
      <c r="AR33" s="24"/>
      <c r="AS33" s="63">
        <f t="shared" si="158"/>
        <v>0</v>
      </c>
      <c r="AT33" s="63">
        <f ca="1">+IF(AND(AM34="si",OR(AR30=1,AR31=1,AR32=1)),1,0)</f>
        <v>0</v>
      </c>
      <c r="AU33" s="89" t="str">
        <f t="shared" si="159"/>
        <v>Turquia</v>
      </c>
      <c r="AV33" s="90"/>
      <c r="AW33" s="24"/>
      <c r="AX33" s="24" t="str">
        <f>+Y29</f>
        <v>Grupo D</v>
      </c>
      <c r="AY33" s="25" t="str">
        <f t="shared" si="160"/>
        <v>Turquia</v>
      </c>
      <c r="AZ33" s="29">
        <f t="shared" si="161"/>
        <v>9</v>
      </c>
      <c r="BA33" s="29">
        <f t="shared" si="162"/>
        <v>1</v>
      </c>
      <c r="BB33" s="29">
        <f>+IF(AZ33=BF28,ROW()*0.001,AZ33)</f>
        <v>9</v>
      </c>
      <c r="BC33" s="29">
        <f t="shared" si="163"/>
        <v>2</v>
      </c>
      <c r="BD33" s="29"/>
      <c r="BE33" s="26" t="e">
        <f ca="1">+IF(OR(BF33="-",BI33="-",BF28=0),"-","OK")</f>
        <v>#NAME?</v>
      </c>
      <c r="BF33" s="66" t="e">
        <f t="array" aca="1" ref="BF33" ca="1">+IF(_xludf.XLOOKUP($E33,$AY:$AY,$AZ:$AZ,"-",0)=BF28,$E33,"-")</f>
        <v>#NAME?</v>
      </c>
      <c r="BG33" s="67">
        <f t="shared" si="164"/>
        <v>1</v>
      </c>
      <c r="BH33" s="68">
        <f t="shared" si="165"/>
        <v>0</v>
      </c>
      <c r="BI33" s="66" t="e">
        <f t="array" aca="1" ref="BI33" ca="1">+IF(_xludf.XLOOKUP($H33,$AY:$AY,$AZ:$AZ,"-",0)=BF28,$H33,"-")</f>
        <v>#NAME?</v>
      </c>
      <c r="BJ33" s="24"/>
      <c r="BK33" s="27" t="str">
        <f t="shared" si="166"/>
        <v>Turquia</v>
      </c>
      <c r="BL33" s="27">
        <f t="shared" ca="1" si="167"/>
        <v>0</v>
      </c>
      <c r="BM33" s="25">
        <f t="shared" ca="1" si="168"/>
        <v>0</v>
      </c>
      <c r="BN33" s="25">
        <f t="shared" si="169"/>
        <v>0</v>
      </c>
      <c r="BO33" s="25">
        <f t="shared" si="170"/>
        <v>0</v>
      </c>
      <c r="BP33" s="25">
        <f t="shared" ca="1" si="171"/>
        <v>0</v>
      </c>
      <c r="BQ33" s="25">
        <f t="shared" ca="1" si="172"/>
        <v>0</v>
      </c>
      <c r="BR33" s="25">
        <f t="shared" ca="1" si="173"/>
        <v>0</v>
      </c>
      <c r="BS33" s="69">
        <f t="shared" ca="1" si="174"/>
        <v>0</v>
      </c>
      <c r="BT33" s="29">
        <f t="array" aca="1" ref="BT33" ca="1">+IF(BL33=0,0,_xludf.XLOOKUP(BS33,BV30:BV33,BW30:BW33))</f>
        <v>0</v>
      </c>
      <c r="BU33" s="54"/>
      <c r="BV33" s="25">
        <f ca="1">+LARGE(BS30:BS33,4)</f>
        <v>0</v>
      </c>
      <c r="BW33" s="25">
        <f t="shared" si="175"/>
        <v>0</v>
      </c>
      <c r="BX33" s="24">
        <v>0</v>
      </c>
      <c r="BY33" s="26" t="e">
        <f t="shared" ca="1" si="176"/>
        <v>#NAME?</v>
      </c>
      <c r="BZ33" s="66" t="e">
        <f t="array" aca="1" ref="BZ33" ca="1">+IF(_xludf.XLOOKUP($E33,$AY:$AY,$AZ:$AZ,"-",0)=BZ28,$E33,"-")</f>
        <v>#NAME?</v>
      </c>
      <c r="CA33" s="67">
        <f t="shared" si="177"/>
        <v>1</v>
      </c>
      <c r="CB33" s="68">
        <f t="shared" si="178"/>
        <v>0</v>
      </c>
      <c r="CC33" s="66" t="e">
        <f t="array" aca="1" ref="CC33" ca="1">+IF(_xludf.XLOOKUP($H33,$AY:$AY,$AZ:$AZ,"-",0)=BZ28,$H33,"-")</f>
        <v>#NAME?</v>
      </c>
      <c r="CD33" s="24"/>
      <c r="CE33" s="27" t="str">
        <f t="shared" si="179"/>
        <v>Turquia</v>
      </c>
      <c r="CF33" s="27">
        <f t="shared" ca="1" si="180"/>
        <v>0</v>
      </c>
      <c r="CG33" s="25">
        <f t="shared" si="181"/>
        <v>0</v>
      </c>
      <c r="CH33" s="25">
        <f t="shared" si="182"/>
        <v>0</v>
      </c>
      <c r="CI33" s="25">
        <f t="shared" si="183"/>
        <v>0</v>
      </c>
      <c r="CJ33" s="25">
        <f t="shared" ca="1" si="184"/>
        <v>0</v>
      </c>
      <c r="CK33" s="25">
        <f t="shared" ca="1" si="185"/>
        <v>0</v>
      </c>
      <c r="CL33" s="25">
        <f t="shared" ca="1" si="186"/>
        <v>0</v>
      </c>
      <c r="CM33" s="69">
        <f t="shared" ca="1" si="187"/>
        <v>0</v>
      </c>
      <c r="CN33" s="29">
        <f t="array" aca="1" ref="CN33" ca="1">+IF(CF33=0,0,_xludf.XLOOKUP(CM33,CP30:CP33,CQ30:CQ33))</f>
        <v>0</v>
      </c>
      <c r="CO33" s="54"/>
      <c r="CP33" s="25">
        <f ca="1">+LARGE(CM30:CM33,4)</f>
        <v>0</v>
      </c>
      <c r="CQ33" s="25">
        <f t="shared" si="188"/>
        <v>0</v>
      </c>
      <c r="CR33" s="24">
        <v>0</v>
      </c>
    </row>
    <row r="34" spans="1:96" ht="14.25" customHeight="1" x14ac:dyDescent="0.25">
      <c r="A34" s="47" t="s">
        <v>144</v>
      </c>
      <c r="B34" s="48">
        <v>46198</v>
      </c>
      <c r="C34" s="49"/>
      <c r="D34" s="50"/>
      <c r="E34" s="51" t="s">
        <v>66</v>
      </c>
      <c r="F34" s="52">
        <v>2</v>
      </c>
      <c r="G34" s="52">
        <v>0</v>
      </c>
      <c r="H34" s="53" t="s">
        <v>63</v>
      </c>
      <c r="I34" s="24"/>
      <c r="J34" s="25" t="str">
        <f t="shared" si="145"/>
        <v>Turquia</v>
      </c>
      <c r="K34" s="25" t="str">
        <f t="shared" si="146"/>
        <v/>
      </c>
      <c r="L34" s="25" t="str">
        <f t="shared" si="147"/>
        <v/>
      </c>
      <c r="M34" s="25" t="str">
        <f t="shared" si="148"/>
        <v>Estados Unidos</v>
      </c>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6" t="s">
        <v>122</v>
      </c>
      <c r="AM34" s="61" t="str">
        <f ca="1">+IF(SUM(AA30:AA33)=12,"si","no")</f>
        <v>si</v>
      </c>
      <c r="AN34" s="24"/>
      <c r="AO34" s="24"/>
      <c r="AP34" s="24"/>
      <c r="AQ34" s="24"/>
      <c r="AR34" s="24"/>
      <c r="AS34" s="24"/>
      <c r="AT34" s="24"/>
      <c r="AU34" s="24"/>
      <c r="AV34" s="24"/>
      <c r="AW34" s="24"/>
      <c r="AX34" s="24"/>
      <c r="AY34" s="24"/>
      <c r="AZ34" s="24"/>
      <c r="BA34" s="24"/>
      <c r="BB34" s="24"/>
      <c r="BC34" s="24"/>
      <c r="BD34" s="24"/>
      <c r="BE34" s="26" t="e">
        <f ca="1">+IF(OR(BF34="-",BI34="-",BF28=0),"-","OK")</f>
        <v>#NAME?</v>
      </c>
      <c r="BF34" s="66" t="e">
        <f t="array" aca="1" ref="BF34" ca="1">+IF(_xludf.XLOOKUP($E34,$AY:$AY,$AZ:$AZ,"-",0)=BF28,$E34,"-")</f>
        <v>#NAME?</v>
      </c>
      <c r="BG34" s="67">
        <f t="shared" si="164"/>
        <v>2</v>
      </c>
      <c r="BH34" s="68">
        <f t="shared" si="165"/>
        <v>0</v>
      </c>
      <c r="BI34" s="66" t="e">
        <f t="array" aca="1" ref="BI34" ca="1">+IF(_xludf.XLOOKUP($H34,$AY:$AY,$AZ:$AZ,"-",0)=BF28,$H34,"-")</f>
        <v>#NAME?</v>
      </c>
      <c r="BJ34" s="24"/>
      <c r="BK34" s="24"/>
      <c r="BL34" s="24"/>
      <c r="BM34" s="24"/>
      <c r="BN34" s="24"/>
      <c r="BO34" s="24"/>
      <c r="BP34" s="24"/>
      <c r="BQ34" s="24"/>
      <c r="BR34" s="24"/>
      <c r="BS34" s="24"/>
      <c r="BT34" s="24"/>
      <c r="BU34" s="24"/>
      <c r="BV34" s="24"/>
      <c r="BW34" s="24"/>
      <c r="BX34" s="24"/>
      <c r="BY34" s="26" t="e">
        <f t="shared" ca="1" si="176"/>
        <v>#NAME?</v>
      </c>
      <c r="BZ34" s="66" t="e">
        <f t="array" aca="1" ref="BZ34" ca="1">+IF(_xludf.XLOOKUP($E34,$AY:$AY,$AZ:$AZ,"-",0)=BZ28,$E34,"-")</f>
        <v>#NAME?</v>
      </c>
      <c r="CA34" s="67">
        <f t="shared" si="177"/>
        <v>2</v>
      </c>
      <c r="CB34" s="68">
        <f t="shared" si="178"/>
        <v>0</v>
      </c>
      <c r="CC34" s="66" t="e">
        <f t="array" aca="1" ref="CC34" ca="1">+IF(_xludf.XLOOKUP($H34,$AY:$AY,$AZ:$AZ,"-",0)=BZ28,$H34,"-")</f>
        <v>#NAME?</v>
      </c>
      <c r="CD34" s="24"/>
      <c r="CE34" s="24"/>
      <c r="CF34" s="24"/>
      <c r="CG34" s="24"/>
      <c r="CH34" s="24"/>
      <c r="CI34" s="24"/>
      <c r="CJ34" s="24"/>
      <c r="CK34" s="24"/>
      <c r="CL34" s="24"/>
      <c r="CM34" s="24"/>
      <c r="CN34" s="24"/>
      <c r="CO34" s="24"/>
      <c r="CP34" s="24"/>
      <c r="CQ34" s="24"/>
      <c r="CR34" s="24"/>
    </row>
    <row r="35" spans="1:96" ht="14.25" customHeight="1" x14ac:dyDescent="0.25">
      <c r="A35" s="47" t="s">
        <v>145</v>
      </c>
      <c r="B35" s="48">
        <v>46198</v>
      </c>
      <c r="C35" s="49"/>
      <c r="D35" s="50"/>
      <c r="E35" s="51" t="s">
        <v>71</v>
      </c>
      <c r="F35" s="52">
        <v>2</v>
      </c>
      <c r="G35" s="52">
        <v>0</v>
      </c>
      <c r="H35" s="53" t="s">
        <v>73</v>
      </c>
      <c r="I35" s="24"/>
      <c r="J35" s="25" t="str">
        <f t="shared" si="145"/>
        <v>Paraguay</v>
      </c>
      <c r="K35" s="25" t="str">
        <f t="shared" si="146"/>
        <v/>
      </c>
      <c r="L35" s="25" t="str">
        <f t="shared" si="147"/>
        <v/>
      </c>
      <c r="M35" s="25" t="str">
        <f t="shared" si="148"/>
        <v>Australia</v>
      </c>
      <c r="N35" s="24"/>
      <c r="O35" s="24"/>
      <c r="P35" s="24"/>
      <c r="Q35" s="24"/>
      <c r="R35" s="24"/>
      <c r="S35" s="24"/>
      <c r="T35" s="24"/>
      <c r="U35" s="24"/>
      <c r="V35" s="24"/>
      <c r="W35" s="24"/>
      <c r="X35" s="24"/>
      <c r="Y35" s="62" t="s">
        <v>124</v>
      </c>
      <c r="Z35" s="24"/>
      <c r="AA35" s="24"/>
      <c r="AB35" s="24"/>
      <c r="AC35" s="24"/>
      <c r="AD35" s="24"/>
      <c r="AE35" s="24"/>
      <c r="AF35" s="24"/>
      <c r="AG35" s="24"/>
      <c r="AH35" s="24"/>
      <c r="AI35" s="24"/>
      <c r="AJ35" s="24"/>
      <c r="AK35" s="24"/>
      <c r="AL35" s="24"/>
      <c r="AM35" s="24"/>
      <c r="AN35" s="24"/>
      <c r="AO35" s="24"/>
      <c r="AP35" s="24"/>
      <c r="AQ35" s="24"/>
      <c r="AR35" s="24">
        <f ca="1">+IF(AND(AM34="si",OR(AR30=1,AR31=1,AR32=1)),1,0)</f>
        <v>0</v>
      </c>
      <c r="AS35" s="24"/>
      <c r="AT35" s="24"/>
      <c r="AU35" s="24"/>
      <c r="AV35" s="24"/>
      <c r="AW35" s="24"/>
      <c r="AX35" s="24"/>
      <c r="AY35" s="24"/>
      <c r="AZ35" s="24"/>
      <c r="BA35" s="24"/>
      <c r="BB35" s="24"/>
      <c r="BC35" s="24"/>
      <c r="BD35" s="24"/>
      <c r="BE35" s="26" t="e">
        <f ca="1">+IF(OR(BF35="-",BI35="-",BF28=0),"-","OK")</f>
        <v>#NAME?</v>
      </c>
      <c r="BF35" s="66" t="e">
        <f t="array" aca="1" ref="BF35" ca="1">+IF(_xludf.XLOOKUP($E35,$AY:$AY,$AZ:$AZ,"-",0)=BF28,$E35,"-")</f>
        <v>#NAME?</v>
      </c>
      <c r="BG35" s="67">
        <f t="shared" si="164"/>
        <v>2</v>
      </c>
      <c r="BH35" s="68">
        <f t="shared" si="165"/>
        <v>0</v>
      </c>
      <c r="BI35" s="66" t="e">
        <f t="array" aca="1" ref="BI35" ca="1">+IF(_xludf.XLOOKUP($H35,$AY:$AY,$AZ:$AZ,"-",0)=BF28,$H35,"-")</f>
        <v>#NAME?</v>
      </c>
      <c r="BJ35" s="24"/>
      <c r="BK35" s="24"/>
      <c r="BL35" s="24"/>
      <c r="BM35" s="24"/>
      <c r="BN35" s="24"/>
      <c r="BO35" s="24"/>
      <c r="BP35" s="24"/>
      <c r="BQ35" s="24"/>
      <c r="BR35" s="24"/>
      <c r="BS35" s="24"/>
      <c r="BT35" s="24"/>
      <c r="BU35" s="24"/>
      <c r="BV35" s="24"/>
      <c r="BW35" s="24"/>
      <c r="BX35" s="24"/>
      <c r="BY35" s="26" t="e">
        <f t="shared" ca="1" si="176"/>
        <v>#NAME?</v>
      </c>
      <c r="BZ35" s="66" t="e">
        <f t="array" aca="1" ref="BZ35" ca="1">+IF(_xludf.XLOOKUP($E35,$AY:$AY,$AZ:$AZ,"-",0)=BZ28,$E35,"-")</f>
        <v>#NAME?</v>
      </c>
      <c r="CA35" s="67">
        <f t="shared" si="177"/>
        <v>2</v>
      </c>
      <c r="CB35" s="68">
        <f t="shared" si="178"/>
        <v>0</v>
      </c>
      <c r="CC35" s="66" t="e">
        <f t="array" aca="1" ref="CC35" ca="1">+IF(_xludf.XLOOKUP($H35,$AY:$AY,$AZ:$AZ,"-",0)=BZ28,$H35,"-")</f>
        <v>#NAME?</v>
      </c>
      <c r="CD35" s="24"/>
      <c r="CE35" s="24"/>
      <c r="CF35" s="24"/>
      <c r="CG35" s="24"/>
      <c r="CH35" s="24"/>
      <c r="CI35" s="24"/>
      <c r="CJ35" s="24"/>
      <c r="CK35" s="24"/>
      <c r="CL35" s="24"/>
      <c r="CM35" s="24"/>
      <c r="CN35" s="24"/>
      <c r="CO35" s="24"/>
      <c r="CP35" s="24"/>
      <c r="CQ35" s="24"/>
      <c r="CR35" s="24"/>
    </row>
    <row r="36" spans="1:96" ht="14.25" customHeight="1" x14ac:dyDescent="0.25">
      <c r="A36" s="91"/>
      <c r="B36" s="92"/>
      <c r="C36" s="91"/>
      <c r="D36" s="93"/>
      <c r="E36" s="94"/>
      <c r="F36" s="91"/>
      <c r="G36" s="91"/>
      <c r="H36" s="95"/>
      <c r="I36" s="93"/>
      <c r="J36" s="91"/>
      <c r="K36" s="91"/>
      <c r="L36" s="91"/>
      <c r="M36" s="91"/>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1"/>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row>
    <row r="37" spans="1:96" ht="14.25" customHeight="1" x14ac:dyDescent="0.25">
      <c r="A37" s="24"/>
      <c r="B37" s="25"/>
      <c r="C37" s="25"/>
      <c r="D37" s="24"/>
      <c r="E37" s="26"/>
      <c r="F37" s="25"/>
      <c r="G37" s="25"/>
      <c r="H37" s="27"/>
      <c r="I37" s="24"/>
      <c r="J37" s="25"/>
      <c r="K37" s="25"/>
      <c r="L37" s="25"/>
      <c r="M37" s="25"/>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5"/>
      <c r="BF37" s="28" t="str">
        <f>+IF(BA39&gt;1,AZ39,IF(BA40&gt;1,AZ40,IF(BA41&gt;1,AZ41,IF(BA42&gt;1,AZ42,"-"))))</f>
        <v>-</v>
      </c>
      <c r="BG37" s="24"/>
      <c r="BH37" s="24"/>
      <c r="BI37" s="24"/>
      <c r="BJ37" s="24"/>
      <c r="BK37" s="24"/>
      <c r="BL37" s="24"/>
      <c r="BM37" s="24"/>
      <c r="BN37" s="24"/>
      <c r="BO37" s="24"/>
      <c r="BP37" s="24"/>
      <c r="BQ37" s="24"/>
      <c r="BR37" s="24"/>
      <c r="BS37" s="24"/>
      <c r="BT37" s="24"/>
      <c r="BU37" s="24"/>
      <c r="BV37" s="24"/>
      <c r="BW37" s="24">
        <v>10</v>
      </c>
      <c r="BX37" s="24"/>
      <c r="BY37" s="24"/>
      <c r="BZ37" s="29">
        <f>+IF(BC39&gt;1,BB39,IF(BC40&gt;1,BB40,IF(BC41&gt;1,BB41,IF(BC42&gt;1,BB42,"-"))))</f>
        <v>9</v>
      </c>
      <c r="CA37" s="24"/>
      <c r="CB37" s="24"/>
      <c r="CC37" s="24"/>
      <c r="CD37" s="24"/>
      <c r="CE37" s="24"/>
      <c r="CF37" s="24"/>
      <c r="CG37" s="24"/>
      <c r="CH37" s="24"/>
      <c r="CI37" s="24"/>
      <c r="CJ37" s="24"/>
      <c r="CK37" s="24"/>
      <c r="CL37" s="24"/>
      <c r="CM37" s="24"/>
      <c r="CN37" s="24"/>
      <c r="CO37" s="24"/>
      <c r="CP37" s="24"/>
      <c r="CQ37" s="24">
        <v>10</v>
      </c>
      <c r="CR37" s="24"/>
    </row>
    <row r="38" spans="1:96" ht="14.25" customHeight="1" x14ac:dyDescent="0.25">
      <c r="A38" s="130" t="s">
        <v>100</v>
      </c>
      <c r="B38" s="131" t="s">
        <v>101</v>
      </c>
      <c r="C38" s="131" t="s">
        <v>102</v>
      </c>
      <c r="D38" s="132"/>
      <c r="E38" s="133" t="s">
        <v>146</v>
      </c>
      <c r="F38" s="134"/>
      <c r="G38" s="134"/>
      <c r="H38" s="135"/>
      <c r="I38" s="24"/>
      <c r="J38" s="25" t="s">
        <v>104</v>
      </c>
      <c r="K38" s="25" t="s">
        <v>105</v>
      </c>
      <c r="L38" s="25" t="s">
        <v>105</v>
      </c>
      <c r="M38" s="25" t="s">
        <v>106</v>
      </c>
      <c r="N38" s="24"/>
      <c r="O38" s="27" t="str">
        <f t="shared" ref="O38:O39" si="192">+E38</f>
        <v>Grupo E</v>
      </c>
      <c r="P38" s="25" t="s">
        <v>104</v>
      </c>
      <c r="Q38" s="25" t="s">
        <v>105</v>
      </c>
      <c r="R38" s="25" t="s">
        <v>106</v>
      </c>
      <c r="S38" s="25" t="s">
        <v>107</v>
      </c>
      <c r="T38" s="25" t="s">
        <v>108</v>
      </c>
      <c r="U38" s="25" t="s">
        <v>109</v>
      </c>
      <c r="V38" s="25" t="s">
        <v>0</v>
      </c>
      <c r="W38" s="25"/>
      <c r="X38" s="24"/>
      <c r="Y38" s="486" t="s">
        <v>146</v>
      </c>
      <c r="Z38" s="475"/>
      <c r="AA38" s="136" t="s">
        <v>110</v>
      </c>
      <c r="AB38" s="137" t="s">
        <v>104</v>
      </c>
      <c r="AC38" s="137" t="s">
        <v>105</v>
      </c>
      <c r="AD38" s="137" t="s">
        <v>106</v>
      </c>
      <c r="AE38" s="137" t="s">
        <v>107</v>
      </c>
      <c r="AF38" s="137" t="s">
        <v>108</v>
      </c>
      <c r="AG38" s="137" t="s">
        <v>109</v>
      </c>
      <c r="AH38" s="138" t="s">
        <v>0</v>
      </c>
      <c r="AI38" s="139"/>
      <c r="AJ38" s="24"/>
      <c r="AK38" s="24"/>
      <c r="AL38" s="25" t="s">
        <v>0</v>
      </c>
      <c r="AM38" s="25" t="s">
        <v>111</v>
      </c>
      <c r="AN38" s="25"/>
      <c r="AO38" s="25"/>
      <c r="AP38" s="25"/>
      <c r="AQ38" s="25"/>
      <c r="AR38" s="25"/>
      <c r="AS38" s="25"/>
      <c r="AT38" s="25"/>
      <c r="AU38" s="25"/>
      <c r="AV38" s="24"/>
      <c r="AW38" s="24"/>
      <c r="AX38" s="24"/>
      <c r="AY38" s="25" t="s">
        <v>112</v>
      </c>
      <c r="AZ38" s="25" t="s">
        <v>0</v>
      </c>
      <c r="BA38" s="25" t="s">
        <v>113</v>
      </c>
      <c r="BB38" s="25"/>
      <c r="BC38" s="25"/>
      <c r="BD38" s="25"/>
      <c r="BE38" s="25"/>
      <c r="BF38" s="24"/>
      <c r="BG38" s="24"/>
      <c r="BH38" s="24"/>
      <c r="BI38" s="24"/>
      <c r="BJ38" s="24"/>
      <c r="BK38" s="27"/>
      <c r="BL38" s="27" t="s">
        <v>110</v>
      </c>
      <c r="BM38" s="25" t="s">
        <v>104</v>
      </c>
      <c r="BN38" s="25" t="s">
        <v>105</v>
      </c>
      <c r="BO38" s="25" t="s">
        <v>106</v>
      </c>
      <c r="BP38" s="25" t="s">
        <v>107</v>
      </c>
      <c r="BQ38" s="25" t="s">
        <v>108</v>
      </c>
      <c r="BR38" s="25" t="s">
        <v>109</v>
      </c>
      <c r="BS38" s="25" t="s">
        <v>0</v>
      </c>
      <c r="BT38" s="25" t="s">
        <v>114</v>
      </c>
      <c r="BU38" s="25"/>
      <c r="BV38" s="25" t="s">
        <v>115</v>
      </c>
      <c r="BW38" s="25" t="s">
        <v>114</v>
      </c>
      <c r="BX38" s="24"/>
      <c r="BY38" s="24"/>
      <c r="BZ38" s="24"/>
      <c r="CA38" s="24"/>
      <c r="CB38" s="24"/>
      <c r="CC38" s="24"/>
      <c r="CD38" s="24"/>
      <c r="CE38" s="27"/>
      <c r="CF38" s="27" t="s">
        <v>110</v>
      </c>
      <c r="CG38" s="25" t="s">
        <v>104</v>
      </c>
      <c r="CH38" s="25" t="s">
        <v>105</v>
      </c>
      <c r="CI38" s="25" t="s">
        <v>106</v>
      </c>
      <c r="CJ38" s="25" t="s">
        <v>107</v>
      </c>
      <c r="CK38" s="25" t="s">
        <v>108</v>
      </c>
      <c r="CL38" s="25" t="s">
        <v>109</v>
      </c>
      <c r="CM38" s="25" t="s">
        <v>0</v>
      </c>
      <c r="CN38" s="25" t="s">
        <v>114</v>
      </c>
      <c r="CO38" s="25"/>
      <c r="CP38" s="25" t="s">
        <v>115</v>
      </c>
      <c r="CQ38" s="25" t="s">
        <v>114</v>
      </c>
      <c r="CR38" s="24"/>
    </row>
    <row r="39" spans="1:96" ht="14.25" customHeight="1" x14ac:dyDescent="0.25">
      <c r="A39" s="47" t="s">
        <v>147</v>
      </c>
      <c r="B39" s="48">
        <v>46187</v>
      </c>
      <c r="C39" s="49"/>
      <c r="D39" s="50"/>
      <c r="E39" s="51" t="s">
        <v>56</v>
      </c>
      <c r="F39" s="52">
        <v>3</v>
      </c>
      <c r="G39" s="52">
        <v>0</v>
      </c>
      <c r="H39" s="53" t="s">
        <v>93</v>
      </c>
      <c r="I39" s="24"/>
      <c r="J39" s="25" t="str">
        <f t="shared" ref="J39:J44" si="193">IF(OR(ISBLANK(F39),ISBLANK(G39)),"",IF(F39&gt;G39,E39,IF(G39&gt;F39,H39,"")))</f>
        <v>Alemania</v>
      </c>
      <c r="K39" s="25" t="str">
        <f t="shared" ref="K39:K44" si="194">IF(OR(ISBLANK(F39),ISBLANK(G39)),"",IF(F39=G39,E39,""))</f>
        <v/>
      </c>
      <c r="L39" s="25" t="str">
        <f t="shared" ref="L39:L44" si="195">IF(OR(ISBLANK(F39),ISBLANK(G39)),"",IF(F39=G39,H39,""))</f>
        <v/>
      </c>
      <c r="M39" s="25" t="str">
        <f t="shared" ref="M39:M44" si="196">IF(OR(ISBLANK(F39),ISBLANK(G39)),"",IF(F39&lt;G39,E39,IF(G39&lt;F39,H39,"")))</f>
        <v>Curazao</v>
      </c>
      <c r="N39" s="24"/>
      <c r="O39" s="27" t="str">
        <f t="shared" si="192"/>
        <v>Alemania</v>
      </c>
      <c r="P39" s="25">
        <f>+COUNTIF(J39:J44,"="&amp;$O39)</f>
        <v>3</v>
      </c>
      <c r="Q39" s="25">
        <f>+COUNTIF(K39:L44,"="&amp;$O39)</f>
        <v>0</v>
      </c>
      <c r="R39" s="25">
        <f>+COUNTIF(M39:M44,"="&amp;$O39)</f>
        <v>0</v>
      </c>
      <c r="S39" s="25">
        <f t="shared" ref="S39:S42" si="197">+T39-U39</f>
        <v>7</v>
      </c>
      <c r="T39" s="25">
        <f>+SUMIF(E39:E44,$O39,F39:F44)+SUMIF(H39:H44,$O39,G39:G44)</f>
        <v>7</v>
      </c>
      <c r="U39" s="25">
        <f>+SUMIF(E39:E44,$O39,G39:G44)+SUMIF(H39:H44,$O39,F39:F44)</f>
        <v>0</v>
      </c>
      <c r="V39" s="54">
        <f t="shared" ref="V39:V42" ca="1" si="198">+P39*3+Q39*1+BT39+CN39+S39/1000+T39/10000+AV39/1000000+ROW()/10000000</f>
        <v>9.0077038999999992</v>
      </c>
      <c r="W39" s="27" t="str">
        <f t="shared" ref="W39:W42" si="199">+O39</f>
        <v>Alemania</v>
      </c>
      <c r="X39" s="24"/>
      <c r="Y39" s="55" t="str">
        <f>+CONCATENATE("1",RIGHT(E38,1))</f>
        <v>1E</v>
      </c>
      <c r="Z39" s="56" t="str">
        <f ca="1">+VLOOKUP(AL39,V39:W42,2,FALSE)</f>
        <v>Alemania</v>
      </c>
      <c r="AA39" s="57">
        <f t="shared" ref="AA39:AA42" ca="1" si="200">+SUM(AB39:AD39)</f>
        <v>3</v>
      </c>
      <c r="AB39" s="58">
        <f t="shared" ref="AB39:AG39" ca="1" si="201">+VLOOKUP($Z39,$O$39:$U$42,COLUMN()-26,FALSE)</f>
        <v>3</v>
      </c>
      <c r="AC39" s="58">
        <f t="shared" ca="1" si="201"/>
        <v>0</v>
      </c>
      <c r="AD39" s="58">
        <f t="shared" ca="1" si="201"/>
        <v>0</v>
      </c>
      <c r="AE39" s="58">
        <f t="shared" ca="1" si="201"/>
        <v>7</v>
      </c>
      <c r="AF39" s="58">
        <f t="shared" ca="1" si="201"/>
        <v>7</v>
      </c>
      <c r="AG39" s="58">
        <f t="shared" ca="1" si="201"/>
        <v>0</v>
      </c>
      <c r="AH39" s="59">
        <f t="shared" ref="AH39:AH42" ca="1" si="202">+VLOOKUP($Z39,$O$39:$V$42,COLUMN()-26,FALSE)</f>
        <v>9.0077038999999992</v>
      </c>
      <c r="AI39" s="60"/>
      <c r="AJ39" s="24"/>
      <c r="AK39" s="24"/>
      <c r="AL39" s="54">
        <f ca="1">+LARGE(V39:V42,1)</f>
        <v>9.0077038999999992</v>
      </c>
      <c r="AM39" s="61">
        <f t="shared" ref="AM39:AM42" ca="1" si="203">+(AH39-AL39)*100000000000000000000</f>
        <v>0</v>
      </c>
      <c r="AN39" s="24"/>
      <c r="AO39" s="24"/>
      <c r="AP39" s="62" t="str">
        <f t="shared" ref="AP39:AP42" si="204">+O39</f>
        <v>Alemania</v>
      </c>
      <c r="AQ39" s="28">
        <f t="shared" ref="AQ39:AQ42" ca="1" si="205">+P39*3+Q39*1+BT39+CN39+S39/1000+T39/10000</f>
        <v>9.0076999999999998</v>
      </c>
      <c r="AR39" s="24" t="b">
        <f ca="1">+IF(OR(AQ39=AQ40,AQ39=AQ41,AQ39=AQ42),1)</f>
        <v>0</v>
      </c>
      <c r="AS39" s="63">
        <f t="shared" ref="AS39:AS42" si="206">+AV39</f>
        <v>0</v>
      </c>
      <c r="AT39" s="63">
        <f ca="1">+IF(AND(AM43="si",OR(AR39=1,AR40=1,AR41=1)),1,0)</f>
        <v>0</v>
      </c>
      <c r="AU39" s="64" t="str">
        <f t="shared" ref="AU39:AU42" si="207">+O39</f>
        <v>Alemania</v>
      </c>
      <c r="AV39" s="65"/>
      <c r="AW39" s="24"/>
      <c r="AX39" s="24" t="str">
        <f>+Y38</f>
        <v>Grupo E</v>
      </c>
      <c r="AY39" s="25" t="str">
        <f t="shared" ref="AY39:AY42" si="208">+O39</f>
        <v>Alemania</v>
      </c>
      <c r="AZ39" s="29">
        <f t="shared" ref="AZ39:AZ42" si="209">+P39*3+Q39</f>
        <v>9</v>
      </c>
      <c r="BA39" s="29">
        <f t="shared" ref="BA39:BA42" si="210">+COUNTIFS($AX$1:AX39,AX39,$AZ$1:AZ39,AZ39)</f>
        <v>1</v>
      </c>
      <c r="BB39" s="29">
        <f>+IF(AZ39=BF37,ROW()*0.001,AZ39)</f>
        <v>9</v>
      </c>
      <c r="BC39" s="29">
        <f t="shared" ref="BC39:BC42" si="211">+COUNTIFS($AX$1:AZ39,AZ39,$AZ$1:BB39,BB39)</f>
        <v>3</v>
      </c>
      <c r="BD39" s="29"/>
      <c r="BE39" s="26" t="e">
        <f ca="1">+IF(OR(BF39="-",BI39="-",BF37=0),"-","OK")</f>
        <v>#NAME?</v>
      </c>
      <c r="BF39" s="66" t="e">
        <f t="array" aca="1" ref="BF39" ca="1">+IF(_xludf.XLOOKUP($E39,$AY:$AY,$AZ:$AZ,"-",0)=BF37,$E39,"-")</f>
        <v>#NAME?</v>
      </c>
      <c r="BG39" s="67">
        <f t="shared" ref="BG39:BG44" si="212">+$F39</f>
        <v>3</v>
      </c>
      <c r="BH39" s="68">
        <f t="shared" ref="BH39:BH44" si="213">+$G39</f>
        <v>0</v>
      </c>
      <c r="BI39" s="66" t="e">
        <f t="array" aca="1" ref="BI39" ca="1">+IF(_xludf.XLOOKUP($H39,$AY:$AY,$AZ:$AZ,"-",0)=BF37,$H39,"-")</f>
        <v>#NAME?</v>
      </c>
      <c r="BJ39" s="24"/>
      <c r="BK39" s="27" t="str">
        <f t="shared" ref="BK39:BK42" si="214">+O39</f>
        <v>Alemania</v>
      </c>
      <c r="BL39" s="27">
        <f t="shared" ref="BL39:BL42" ca="1" si="215">+COUNTIFS($BE:$BE,"OK",$BI:$BI,BK39)+COUNTIFS($BE:$BE,"OK",$BF:$BF,BK39)</f>
        <v>0</v>
      </c>
      <c r="BM39" s="25">
        <f t="shared" ref="BM39:BM42" ca="1" si="216">+COUNTIFS(J:J,$BK39,$BE:$BE,"OK")</f>
        <v>0</v>
      </c>
      <c r="BN39" s="25">
        <f t="shared" ref="BN39:BN42" si="217">+COUNTIFS(K:K,$BK39,$BE:$BE,"OK")+COUNTIFS(L:L,$BK39,$BE:$BE,"OK")</f>
        <v>0</v>
      </c>
      <c r="BO39" s="25">
        <f t="shared" ref="BO39:BO42" si="218">+COUNTIFS(M:M,$BK39,$BE:$BE,"OK")</f>
        <v>0</v>
      </c>
      <c r="BP39" s="25">
        <f t="shared" ref="BP39:BP42" ca="1" si="219">+BQ39-BR39</f>
        <v>0</v>
      </c>
      <c r="BQ39" s="25">
        <f t="shared" ref="BQ39:BQ42" ca="1" si="220">+SUMIFS(BG:BG,$BE:$BE,"OK",BF:BF,$BK39)+SUMIFS(BH:BH,$BE:$BE,"OK",BI:BI,$BK39)</f>
        <v>0</v>
      </c>
      <c r="BR39" s="25">
        <f t="shared" ref="BR39:BR42" ca="1" si="221">+SUMIFS(BH:BH,$BE:$BE,"OK",BF:BF,$BK39)+SUMIFS(BG:BG,$BE:$BE,"OK",BI:BI,$BK39)</f>
        <v>0</v>
      </c>
      <c r="BS39" s="69">
        <f t="shared" ref="BS39:BS42" ca="1" si="222">+BM39*3+BN39*1+BP39/100+BQ39/10000</f>
        <v>0</v>
      </c>
      <c r="BT39" s="29">
        <f t="array" aca="1" ref="BT39" ca="1">+IF(BL39=0,0,_xludf.XLOOKUP(BS39,BV39:BV42,BW39:BW42))</f>
        <v>0</v>
      </c>
      <c r="BU39" s="54"/>
      <c r="BV39" s="25">
        <f ca="1">+LARGE(BS39:BS42,1)</f>
        <v>0</v>
      </c>
      <c r="BW39" s="25">
        <f t="shared" ref="BW39:BW42" si="223">+BX39/$BW$1</f>
        <v>0.3</v>
      </c>
      <c r="BX39" s="24">
        <v>3</v>
      </c>
      <c r="BY39" s="26" t="e">
        <f t="shared" ref="BY39:BY44" ca="1" si="224">+IF(OR(BZ39="-",CC39="-"),"-","OK")</f>
        <v>#NAME?</v>
      </c>
      <c r="BZ39" s="66" t="e">
        <f t="array" aca="1" ref="BZ39" ca="1">+IF(_xludf.XLOOKUP($E39,$AY:$AY,$AZ:$AZ,"-",0)=BZ37,$E39,"-")</f>
        <v>#NAME?</v>
      </c>
      <c r="CA39" s="67">
        <f t="shared" ref="CA39:CA44" si="225">+$F39</f>
        <v>3</v>
      </c>
      <c r="CB39" s="68">
        <f t="shared" ref="CB39:CB44" si="226">+$G39</f>
        <v>0</v>
      </c>
      <c r="CC39" s="66" t="e">
        <f t="array" aca="1" ref="CC39" ca="1">+IF(_xludf.XLOOKUP($H39,$AY:$AY,$AZ:$AZ,"-",0)=BZ37,$H39,"-")</f>
        <v>#NAME?</v>
      </c>
      <c r="CD39" s="24"/>
      <c r="CE39" s="27" t="str">
        <f t="shared" ref="CE39:CE42" si="227">+BK39</f>
        <v>Alemania</v>
      </c>
      <c r="CF39" s="27">
        <f t="shared" ref="CF39:CF42" ca="1" si="228">+COUNTIFS($BY:$BY,"OK",$CC:$CC,CE39)+COUNTIFS($BY:$BY,"OK",$BZ:$BZ,CE39)</f>
        <v>0</v>
      </c>
      <c r="CG39" s="25">
        <f t="shared" ref="CG39:CG42" si="229">+COUNTIFS(P:P,$BK39,$BY:$BY,"OK")</f>
        <v>0</v>
      </c>
      <c r="CH39" s="25">
        <f t="shared" ref="CH39:CH42" si="230">+COUNTIFS(K:K,$BK39,$BY:$BY,"OK")+COUNTIFS(L:L,$BK39,$BY:$BY,"OK")</f>
        <v>0</v>
      </c>
      <c r="CI39" s="25">
        <f t="shared" ref="CI39:CI42" si="231">+COUNTIFS(M:M,$CE39,$BY:$BY,"OK")</f>
        <v>0</v>
      </c>
      <c r="CJ39" s="25">
        <f t="shared" ref="CJ39:CJ42" ca="1" si="232">+CK39-CL39</f>
        <v>0</v>
      </c>
      <c r="CK39" s="25">
        <f t="shared" ref="CK39:CK42" ca="1" si="233">+SUMIFS(CA:CA,$BY:$BY,"OK",BZ:BZ,$BK39)+SUMIFS(CB:CB,$BY:$BY,"OK",CC:CC,$BK39)</f>
        <v>0</v>
      </c>
      <c r="CL39" s="25">
        <f t="shared" ref="CL39:CL42" ca="1" si="234">+SUMIFS(CB:CB,$BY:$BY,"OK",BZ:BZ,$BK39)+SUMIFS(CA:CA,$BY:$BY,"OK",CC:CC,$BK39)</f>
        <v>0</v>
      </c>
      <c r="CM39" s="69">
        <f t="shared" ref="CM39:CM42" ca="1" si="235">+CG39*3+CH39*1+CJ39/100+CK39/10000</f>
        <v>0</v>
      </c>
      <c r="CN39" s="29">
        <f t="array" aca="1" ref="CN39" ca="1">+IF(CF39=0,0,_xludf.XLOOKUP(CM39,CP39:CP42,CQ39:CQ42))</f>
        <v>0</v>
      </c>
      <c r="CO39" s="54"/>
      <c r="CP39" s="25">
        <f ca="1">+LARGE(CM39:CM42,1)</f>
        <v>0</v>
      </c>
      <c r="CQ39" s="25">
        <f t="shared" ref="CQ39:CQ42" si="236">+CR39/$BW$1</f>
        <v>0.3</v>
      </c>
      <c r="CR39" s="24">
        <v>3</v>
      </c>
    </row>
    <row r="40" spans="1:96" ht="14.25" customHeight="1" x14ac:dyDescent="0.25">
      <c r="A40" s="47" t="s">
        <v>148</v>
      </c>
      <c r="B40" s="48">
        <v>46187</v>
      </c>
      <c r="C40" s="49"/>
      <c r="D40" s="50"/>
      <c r="E40" s="51" t="s">
        <v>78</v>
      </c>
      <c r="F40" s="52">
        <v>0</v>
      </c>
      <c r="G40" s="52">
        <v>2</v>
      </c>
      <c r="H40" s="53" t="s">
        <v>67</v>
      </c>
      <c r="I40" s="24"/>
      <c r="J40" s="25" t="str">
        <f t="shared" si="193"/>
        <v>Ecuador</v>
      </c>
      <c r="K40" s="25" t="str">
        <f t="shared" si="194"/>
        <v/>
      </c>
      <c r="L40" s="25" t="str">
        <f t="shared" si="195"/>
        <v/>
      </c>
      <c r="M40" s="25" t="str">
        <f t="shared" si="196"/>
        <v>Costa de Marfil</v>
      </c>
      <c r="N40" s="24"/>
      <c r="O40" s="27" t="str">
        <f>+H39</f>
        <v>Curazao</v>
      </c>
      <c r="P40" s="25">
        <f>+COUNTIF(J39:J44,"="&amp;$O40)</f>
        <v>0</v>
      </c>
      <c r="Q40" s="25">
        <f>+COUNTIF(K39:L44,"="&amp;$O40)</f>
        <v>0</v>
      </c>
      <c r="R40" s="25">
        <f>+COUNTIF(M39:M44,"="&amp;$O40)</f>
        <v>3</v>
      </c>
      <c r="S40" s="25">
        <f t="shared" si="197"/>
        <v>-6</v>
      </c>
      <c r="T40" s="25">
        <f>+SUMIF(E39:E44,$O40,F39:F44)+SUMIF(H39:H44,$O40,G39:G44)</f>
        <v>0</v>
      </c>
      <c r="U40" s="25">
        <f>+SUMIF(E39:E44,$O40,G39:G44)+SUMIF(H39:H44,$O40,F39:F44)</f>
        <v>6</v>
      </c>
      <c r="V40" s="54">
        <f t="shared" ca="1" si="198"/>
        <v>-5.9960000000000005E-3</v>
      </c>
      <c r="W40" s="27" t="str">
        <f t="shared" si="199"/>
        <v>Curazao</v>
      </c>
      <c r="X40" s="24"/>
      <c r="Y40" s="71" t="str">
        <f>+CONCATENATE("2",RIGHT(E38,1))</f>
        <v>2E</v>
      </c>
      <c r="Z40" s="72" t="str">
        <f ca="1">+VLOOKUP(AL40,V39:W42,2,FALSE)</f>
        <v>Ecuador</v>
      </c>
      <c r="AA40" s="73">
        <f t="shared" ca="1" si="200"/>
        <v>3</v>
      </c>
      <c r="AB40" s="74">
        <f t="shared" ref="AB40:AG40" ca="1" si="237">+VLOOKUP($Z40,$O$39:$U$42,COLUMN()-26,FALSE)</f>
        <v>2</v>
      </c>
      <c r="AC40" s="74">
        <f t="shared" ca="1" si="237"/>
        <v>0</v>
      </c>
      <c r="AD40" s="74">
        <f t="shared" ca="1" si="237"/>
        <v>1</v>
      </c>
      <c r="AE40" s="74">
        <f t="shared" ca="1" si="237"/>
        <v>2</v>
      </c>
      <c r="AF40" s="74">
        <f t="shared" ca="1" si="237"/>
        <v>4</v>
      </c>
      <c r="AG40" s="74">
        <f t="shared" ca="1" si="237"/>
        <v>2</v>
      </c>
      <c r="AH40" s="75">
        <f t="shared" ca="1" si="202"/>
        <v>6.0024042</v>
      </c>
      <c r="AI40" s="60"/>
      <c r="AJ40" s="24"/>
      <c r="AK40" s="24"/>
      <c r="AL40" s="54">
        <f ca="1">+LARGE(V39:V42,2)</f>
        <v>6.0024042</v>
      </c>
      <c r="AM40" s="61">
        <f t="shared" ca="1" si="203"/>
        <v>0</v>
      </c>
      <c r="AN40" s="24"/>
      <c r="AO40" s="24"/>
      <c r="AP40" s="62" t="str">
        <f t="shared" si="204"/>
        <v>Curazao</v>
      </c>
      <c r="AQ40" s="28">
        <f t="shared" ca="1" si="205"/>
        <v>-6.0000000000000001E-3</v>
      </c>
      <c r="AR40" s="24" t="b">
        <f ca="1">+IF(OR(AQ40=AQ41,AQ40=AQ42),1)</f>
        <v>0</v>
      </c>
      <c r="AS40" s="63">
        <f t="shared" si="206"/>
        <v>0</v>
      </c>
      <c r="AT40" s="63">
        <f ca="1">+IF(AND(AM43="si",OR(AR39=1,AR40=1,AR41=1)),1,0)</f>
        <v>0</v>
      </c>
      <c r="AU40" s="76" t="str">
        <f t="shared" si="207"/>
        <v>Curazao</v>
      </c>
      <c r="AV40" s="77"/>
      <c r="AW40" s="24"/>
      <c r="AX40" s="24" t="str">
        <f>+Y38</f>
        <v>Grupo E</v>
      </c>
      <c r="AY40" s="25" t="str">
        <f t="shared" si="208"/>
        <v>Curazao</v>
      </c>
      <c r="AZ40" s="29">
        <f t="shared" si="209"/>
        <v>0</v>
      </c>
      <c r="BA40" s="29">
        <f t="shared" si="210"/>
        <v>1</v>
      </c>
      <c r="BB40" s="29">
        <f>+IF(AZ40=BF37,ROW()*0.001,AZ40)</f>
        <v>0</v>
      </c>
      <c r="BC40" s="29">
        <f t="shared" si="211"/>
        <v>4</v>
      </c>
      <c r="BD40" s="29"/>
      <c r="BE40" s="26" t="e">
        <f ca="1">+IF(OR(BF40="-",BI40="-",BF37=0),"-","OK")</f>
        <v>#NAME?</v>
      </c>
      <c r="BF40" s="66" t="e">
        <f t="array" aca="1" ref="BF40" ca="1">+IF(_xludf.XLOOKUP($E40,$AY:$AY,$AZ:$AZ,"-",0)=BF37,$E40,"-")</f>
        <v>#NAME?</v>
      </c>
      <c r="BG40" s="67">
        <f t="shared" si="212"/>
        <v>0</v>
      </c>
      <c r="BH40" s="68">
        <f t="shared" si="213"/>
        <v>2</v>
      </c>
      <c r="BI40" s="66" t="e">
        <f t="array" aca="1" ref="BI40" ca="1">+IF(_xludf.XLOOKUP($H40,$AY:$AY,$AZ:$AZ,"-",0)=BF37,$H40,"-")</f>
        <v>#NAME?</v>
      </c>
      <c r="BJ40" s="24"/>
      <c r="BK40" s="27" t="str">
        <f t="shared" si="214"/>
        <v>Curazao</v>
      </c>
      <c r="BL40" s="27">
        <f t="shared" ca="1" si="215"/>
        <v>0</v>
      </c>
      <c r="BM40" s="25">
        <f t="shared" si="216"/>
        <v>0</v>
      </c>
      <c r="BN40" s="25">
        <f t="shared" si="217"/>
        <v>0</v>
      </c>
      <c r="BO40" s="25">
        <f t="shared" ca="1" si="218"/>
        <v>0</v>
      </c>
      <c r="BP40" s="25">
        <f t="shared" ca="1" si="219"/>
        <v>0</v>
      </c>
      <c r="BQ40" s="25">
        <f t="shared" ca="1" si="220"/>
        <v>0</v>
      </c>
      <c r="BR40" s="25">
        <f t="shared" ca="1" si="221"/>
        <v>0</v>
      </c>
      <c r="BS40" s="69">
        <f t="shared" ca="1" si="222"/>
        <v>0</v>
      </c>
      <c r="BT40" s="29">
        <f t="array" aca="1" ref="BT40" ca="1">+IF(BL40=0,0,_xludf.XLOOKUP(BS40,BV39:BV42,BW39:BW42))</f>
        <v>0</v>
      </c>
      <c r="BU40" s="54"/>
      <c r="BV40" s="25">
        <f ca="1">+LARGE(BS39:BS42,2)</f>
        <v>0</v>
      </c>
      <c r="BW40" s="25">
        <f t="shared" si="223"/>
        <v>0.2</v>
      </c>
      <c r="BX40" s="24">
        <v>2</v>
      </c>
      <c r="BY40" s="26" t="e">
        <f t="shared" ca="1" si="224"/>
        <v>#NAME?</v>
      </c>
      <c r="BZ40" s="66" t="e">
        <f t="array" aca="1" ref="BZ40" ca="1">+IF(_xludf.XLOOKUP($E40,$AY:$AY,$AZ:$AZ,"-",0)=BZ37,$E40,"-")</f>
        <v>#NAME?</v>
      </c>
      <c r="CA40" s="67">
        <f t="shared" si="225"/>
        <v>0</v>
      </c>
      <c r="CB40" s="68">
        <f t="shared" si="226"/>
        <v>2</v>
      </c>
      <c r="CC40" s="66" t="e">
        <f t="array" aca="1" ref="CC40" ca="1">+IF(_xludf.XLOOKUP($H40,$AY:$AY,$AZ:$AZ,"-",0)=BZ37,$H40,"-")</f>
        <v>#NAME?</v>
      </c>
      <c r="CD40" s="24"/>
      <c r="CE40" s="27" t="str">
        <f t="shared" si="227"/>
        <v>Curazao</v>
      </c>
      <c r="CF40" s="27">
        <f t="shared" ca="1" si="228"/>
        <v>0</v>
      </c>
      <c r="CG40" s="25">
        <f t="shared" si="229"/>
        <v>0</v>
      </c>
      <c r="CH40" s="25">
        <f t="shared" si="230"/>
        <v>0</v>
      </c>
      <c r="CI40" s="25">
        <f t="shared" ca="1" si="231"/>
        <v>0</v>
      </c>
      <c r="CJ40" s="25">
        <f t="shared" ca="1" si="232"/>
        <v>0</v>
      </c>
      <c r="CK40" s="25">
        <f t="shared" ca="1" si="233"/>
        <v>0</v>
      </c>
      <c r="CL40" s="25">
        <f t="shared" ca="1" si="234"/>
        <v>0</v>
      </c>
      <c r="CM40" s="69">
        <f t="shared" ca="1" si="235"/>
        <v>0</v>
      </c>
      <c r="CN40" s="29">
        <f t="array" aca="1" ref="CN40" ca="1">+IF(CF40=0,0,_xludf.XLOOKUP(CM40,CP39:CP42,CQ39:CQ42))</f>
        <v>0</v>
      </c>
      <c r="CO40" s="54"/>
      <c r="CP40" s="25">
        <f ca="1">+LARGE(CM39:CM42,2)</f>
        <v>0</v>
      </c>
      <c r="CQ40" s="25">
        <f t="shared" si="236"/>
        <v>0.2</v>
      </c>
      <c r="CR40" s="24">
        <v>2</v>
      </c>
    </row>
    <row r="41" spans="1:96" ht="14.25" customHeight="1" x14ac:dyDescent="0.25">
      <c r="A41" s="47" t="s">
        <v>149</v>
      </c>
      <c r="B41" s="48">
        <v>46193</v>
      </c>
      <c r="C41" s="49"/>
      <c r="D41" s="50"/>
      <c r="E41" s="51" t="s">
        <v>56</v>
      </c>
      <c r="F41" s="52">
        <v>2</v>
      </c>
      <c r="G41" s="52">
        <v>0</v>
      </c>
      <c r="H41" s="53" t="s">
        <v>78</v>
      </c>
      <c r="I41" s="24"/>
      <c r="J41" s="25" t="str">
        <f t="shared" si="193"/>
        <v>Alemania</v>
      </c>
      <c r="K41" s="25" t="str">
        <f t="shared" si="194"/>
        <v/>
      </c>
      <c r="L41" s="25" t="str">
        <f t="shared" si="195"/>
        <v/>
      </c>
      <c r="M41" s="25" t="str">
        <f t="shared" si="196"/>
        <v>Costa de Marfil</v>
      </c>
      <c r="N41" s="24"/>
      <c r="O41" s="27" t="str">
        <f>+E40</f>
        <v>Costa de Marfil</v>
      </c>
      <c r="P41" s="25">
        <f>+COUNTIF(J39:J44,"="&amp;$O41)</f>
        <v>1</v>
      </c>
      <c r="Q41" s="25">
        <f>+COUNTIF(K39:L44,"="&amp;$O41)</f>
        <v>0</v>
      </c>
      <c r="R41" s="25">
        <f>+COUNTIF(M39:M44,"="&amp;$O41)</f>
        <v>2</v>
      </c>
      <c r="S41" s="25">
        <f t="shared" si="197"/>
        <v>-3</v>
      </c>
      <c r="T41" s="25">
        <f>+SUMIF(E39:E44,$O41,F39:F44)+SUMIF(H39:H44,$O41,G39:G44)</f>
        <v>1</v>
      </c>
      <c r="U41" s="25">
        <f>+SUMIF(E39:E44,$O41,G39:G44)+SUMIF(H39:H44,$O41,F39:F44)</f>
        <v>4</v>
      </c>
      <c r="V41" s="54">
        <f t="shared" ca="1" si="198"/>
        <v>2.9971041</v>
      </c>
      <c r="W41" s="27" t="str">
        <f t="shared" si="199"/>
        <v>Costa de Marfil</v>
      </c>
      <c r="X41" s="24"/>
      <c r="Y41" s="78" t="str">
        <f>+CONCATENATE("3",RIGHT(E38,1))</f>
        <v>3E</v>
      </c>
      <c r="Z41" s="79" t="str">
        <f ca="1">+VLOOKUP(AL41,V39:W42,2,FALSE)</f>
        <v>Costa de Marfil</v>
      </c>
      <c r="AA41" s="80">
        <f t="shared" ca="1" si="200"/>
        <v>3</v>
      </c>
      <c r="AB41" s="81">
        <f t="shared" ref="AB41:AG41" ca="1" si="238">+VLOOKUP($Z41,$O$39:$U$42,COLUMN()-26,FALSE)</f>
        <v>1</v>
      </c>
      <c r="AC41" s="81">
        <f t="shared" ca="1" si="238"/>
        <v>0</v>
      </c>
      <c r="AD41" s="81">
        <f t="shared" ca="1" si="238"/>
        <v>2</v>
      </c>
      <c r="AE41" s="81">
        <f t="shared" ca="1" si="238"/>
        <v>-3</v>
      </c>
      <c r="AF41" s="81">
        <f t="shared" ca="1" si="238"/>
        <v>1</v>
      </c>
      <c r="AG41" s="81">
        <f t="shared" ca="1" si="238"/>
        <v>4</v>
      </c>
      <c r="AH41" s="82">
        <f t="shared" ca="1" si="202"/>
        <v>2.9971041</v>
      </c>
      <c r="AI41" s="83">
        <f ca="1">+(COUNTIFS($CV$2:$CV$13,Z41,$CX$2:$CX$13,"IN")+COUNTIFS($CV$2:$CV$13,Z41,$CW$2:$CW$13,"IN"))*IF(SUM(AA39:AA42)=12,1,0)</f>
        <v>0</v>
      </c>
      <c r="AJ41" s="24"/>
      <c r="AK41" s="24"/>
      <c r="AL41" s="54">
        <f ca="1">+LARGE(V39:V42,3)</f>
        <v>2.9971041</v>
      </c>
      <c r="AM41" s="61">
        <f t="shared" ca="1" si="203"/>
        <v>0</v>
      </c>
      <c r="AN41" s="24"/>
      <c r="AO41" s="24"/>
      <c r="AP41" s="62" t="str">
        <f t="shared" si="204"/>
        <v>Costa de Marfil</v>
      </c>
      <c r="AQ41" s="28">
        <f t="shared" ca="1" si="205"/>
        <v>2.9971000000000001</v>
      </c>
      <c r="AR41" s="24" t="b">
        <f ca="1">+IF(OR(AQ41=AQ42),1)</f>
        <v>0</v>
      </c>
      <c r="AS41" s="63">
        <f t="shared" si="206"/>
        <v>0</v>
      </c>
      <c r="AT41" s="63">
        <f ca="1">+IF(AND(AM43="si",OR(AR39=1,AR40=1,AR41=1)),1,0)</f>
        <v>0</v>
      </c>
      <c r="AU41" s="76" t="str">
        <f t="shared" si="207"/>
        <v>Costa de Marfil</v>
      </c>
      <c r="AV41" s="77"/>
      <c r="AW41" s="24"/>
      <c r="AX41" s="24" t="str">
        <f>+Y38</f>
        <v>Grupo E</v>
      </c>
      <c r="AY41" s="25" t="str">
        <f t="shared" si="208"/>
        <v>Costa de Marfil</v>
      </c>
      <c r="AZ41" s="29">
        <f t="shared" si="209"/>
        <v>3</v>
      </c>
      <c r="BA41" s="29">
        <f t="shared" si="210"/>
        <v>1</v>
      </c>
      <c r="BB41" s="29">
        <f>+IF(AZ41=BF37,ROW()*0.001,AZ41)</f>
        <v>3</v>
      </c>
      <c r="BC41" s="29">
        <f t="shared" si="211"/>
        <v>2</v>
      </c>
      <c r="BD41" s="29"/>
      <c r="BE41" s="26" t="e">
        <f ca="1">+IF(OR(BF41="-",BI41="-",BF37=0),"-","OK")</f>
        <v>#NAME?</v>
      </c>
      <c r="BF41" s="66" t="e">
        <f t="array" aca="1" ref="BF41" ca="1">+IF(_xludf.XLOOKUP($E41,$AY:$AY,$AZ:$AZ,"-",0)=BF37,$E41,"-")</f>
        <v>#NAME?</v>
      </c>
      <c r="BG41" s="67">
        <f t="shared" si="212"/>
        <v>2</v>
      </c>
      <c r="BH41" s="68">
        <f t="shared" si="213"/>
        <v>0</v>
      </c>
      <c r="BI41" s="66" t="e">
        <f t="array" aca="1" ref="BI41" ca="1">+IF(_xludf.XLOOKUP($H41,$AY:$AY,$AZ:$AZ,"-",0)=BF37,$H41,"-")</f>
        <v>#NAME?</v>
      </c>
      <c r="BJ41" s="24"/>
      <c r="BK41" s="27" t="str">
        <f t="shared" si="214"/>
        <v>Costa de Marfil</v>
      </c>
      <c r="BL41" s="27">
        <f t="shared" ca="1" si="215"/>
        <v>0</v>
      </c>
      <c r="BM41" s="25">
        <f t="shared" ca="1" si="216"/>
        <v>0</v>
      </c>
      <c r="BN41" s="25">
        <f t="shared" si="217"/>
        <v>0</v>
      </c>
      <c r="BO41" s="25">
        <f t="shared" ca="1" si="218"/>
        <v>0</v>
      </c>
      <c r="BP41" s="25">
        <f t="shared" ca="1" si="219"/>
        <v>0</v>
      </c>
      <c r="BQ41" s="25">
        <f t="shared" ca="1" si="220"/>
        <v>0</v>
      </c>
      <c r="BR41" s="25">
        <f t="shared" ca="1" si="221"/>
        <v>0</v>
      </c>
      <c r="BS41" s="69">
        <f t="shared" ca="1" si="222"/>
        <v>0</v>
      </c>
      <c r="BT41" s="29">
        <f t="array" aca="1" ref="BT41" ca="1">+IF(BL41=0,0,_xludf.XLOOKUP(BS41,BV39:BV42,BW39:BW42))</f>
        <v>0</v>
      </c>
      <c r="BU41" s="54"/>
      <c r="BV41" s="25">
        <f ca="1">+LARGE(BS39:BS42,3)</f>
        <v>0</v>
      </c>
      <c r="BW41" s="25">
        <f t="shared" si="223"/>
        <v>0.1</v>
      </c>
      <c r="BX41" s="24">
        <v>1</v>
      </c>
      <c r="BY41" s="26" t="e">
        <f t="shared" ca="1" si="224"/>
        <v>#NAME?</v>
      </c>
      <c r="BZ41" s="66" t="e">
        <f t="array" aca="1" ref="BZ41" ca="1">+IF(_xludf.XLOOKUP($E41,$AY:$AY,$AZ:$AZ,"-",0)=BZ37,$E41,"-")</f>
        <v>#NAME?</v>
      </c>
      <c r="CA41" s="67">
        <f t="shared" si="225"/>
        <v>2</v>
      </c>
      <c r="CB41" s="68">
        <f t="shared" si="226"/>
        <v>0</v>
      </c>
      <c r="CC41" s="66" t="e">
        <f t="array" aca="1" ref="CC41" ca="1">+IF(_xludf.XLOOKUP($H41,$AY:$AY,$AZ:$AZ,"-",0)=BZ37,$H41,"-")</f>
        <v>#NAME?</v>
      </c>
      <c r="CD41" s="24"/>
      <c r="CE41" s="27" t="str">
        <f t="shared" si="227"/>
        <v>Costa de Marfil</v>
      </c>
      <c r="CF41" s="27">
        <f t="shared" ca="1" si="228"/>
        <v>0</v>
      </c>
      <c r="CG41" s="25">
        <f t="shared" si="229"/>
        <v>0</v>
      </c>
      <c r="CH41" s="25">
        <f t="shared" si="230"/>
        <v>0</v>
      </c>
      <c r="CI41" s="25">
        <f t="shared" ca="1" si="231"/>
        <v>0</v>
      </c>
      <c r="CJ41" s="25">
        <f t="shared" ca="1" si="232"/>
        <v>0</v>
      </c>
      <c r="CK41" s="25">
        <f t="shared" ca="1" si="233"/>
        <v>0</v>
      </c>
      <c r="CL41" s="25">
        <f t="shared" ca="1" si="234"/>
        <v>0</v>
      </c>
      <c r="CM41" s="69">
        <f t="shared" ca="1" si="235"/>
        <v>0</v>
      </c>
      <c r="CN41" s="29">
        <f t="array" aca="1" ref="CN41" ca="1">+IF(CF41=0,0,_xludf.XLOOKUP(CM41,CP39:CP42,CQ39:CQ42))</f>
        <v>0</v>
      </c>
      <c r="CO41" s="54"/>
      <c r="CP41" s="25">
        <f ca="1">+LARGE(CM39:CM42,3)</f>
        <v>0</v>
      </c>
      <c r="CQ41" s="25">
        <f t="shared" si="236"/>
        <v>0.1</v>
      </c>
      <c r="CR41" s="24">
        <v>1</v>
      </c>
    </row>
    <row r="42" spans="1:96" ht="14.25" customHeight="1" x14ac:dyDescent="0.25">
      <c r="A42" s="47" t="s">
        <v>150</v>
      </c>
      <c r="B42" s="48">
        <v>46193</v>
      </c>
      <c r="C42" s="49"/>
      <c r="D42" s="50"/>
      <c r="E42" s="51" t="s">
        <v>67</v>
      </c>
      <c r="F42" s="52">
        <v>2</v>
      </c>
      <c r="G42" s="52">
        <v>0</v>
      </c>
      <c r="H42" s="53" t="s">
        <v>93</v>
      </c>
      <c r="I42" s="24"/>
      <c r="J42" s="25" t="str">
        <f t="shared" si="193"/>
        <v>Ecuador</v>
      </c>
      <c r="K42" s="25" t="str">
        <f t="shared" si="194"/>
        <v/>
      </c>
      <c r="L42" s="25" t="str">
        <f t="shared" si="195"/>
        <v/>
      </c>
      <c r="M42" s="25" t="str">
        <f t="shared" si="196"/>
        <v>Curazao</v>
      </c>
      <c r="N42" s="24"/>
      <c r="O42" s="27" t="str">
        <f>+H40</f>
        <v>Ecuador</v>
      </c>
      <c r="P42" s="25">
        <f>+COUNTIF(J39:J44,"="&amp;$O42)</f>
        <v>2</v>
      </c>
      <c r="Q42" s="25">
        <f>+COUNTIF(K39:L44,"="&amp;$O42)</f>
        <v>0</v>
      </c>
      <c r="R42" s="25">
        <f>+COUNTIF(M39:M44,"="&amp;$O42)</f>
        <v>1</v>
      </c>
      <c r="S42" s="25">
        <f t="shared" si="197"/>
        <v>2</v>
      </c>
      <c r="T42" s="25">
        <f>+SUMIF(E39:E44,$O42,F39:F44)+SUMIF(H39:H44,$O42,G39:G44)</f>
        <v>4</v>
      </c>
      <c r="U42" s="25">
        <f>+SUMIF(E39:E44,$O42,G39:G44)+SUMIF(H39:H44,$O42,F39:F44)</f>
        <v>2</v>
      </c>
      <c r="V42" s="54">
        <f t="shared" ca="1" si="198"/>
        <v>6.0024042</v>
      </c>
      <c r="W42" s="27" t="str">
        <f t="shared" si="199"/>
        <v>Ecuador</v>
      </c>
      <c r="X42" s="24"/>
      <c r="Y42" s="84" t="str">
        <f>+CONCATENATE("4",RIGHT(E38,1))</f>
        <v>4E</v>
      </c>
      <c r="Z42" s="85" t="str">
        <f ca="1">+VLOOKUP(AL42,V39:W42,2,FALSE)</f>
        <v>Curazao</v>
      </c>
      <c r="AA42" s="86">
        <f t="shared" ca="1" si="200"/>
        <v>3</v>
      </c>
      <c r="AB42" s="87">
        <f t="shared" ref="AB42:AG42" ca="1" si="239">+VLOOKUP($Z42,$O$39:$U$42,COLUMN()-26,FALSE)</f>
        <v>0</v>
      </c>
      <c r="AC42" s="87">
        <f t="shared" ca="1" si="239"/>
        <v>0</v>
      </c>
      <c r="AD42" s="87">
        <f t="shared" ca="1" si="239"/>
        <v>3</v>
      </c>
      <c r="AE42" s="87">
        <f t="shared" ca="1" si="239"/>
        <v>-6</v>
      </c>
      <c r="AF42" s="87">
        <f t="shared" ca="1" si="239"/>
        <v>0</v>
      </c>
      <c r="AG42" s="87">
        <f t="shared" ca="1" si="239"/>
        <v>6</v>
      </c>
      <c r="AH42" s="88">
        <f t="shared" ca="1" si="202"/>
        <v>-5.9960000000000005E-3</v>
      </c>
      <c r="AI42" s="83"/>
      <c r="AJ42" s="24"/>
      <c r="AK42" s="24"/>
      <c r="AL42" s="54">
        <f ca="1">+LARGE(V39:V42,4)</f>
        <v>-5.9960000000000005E-3</v>
      </c>
      <c r="AM42" s="61">
        <f t="shared" ca="1" si="203"/>
        <v>0</v>
      </c>
      <c r="AN42" s="24"/>
      <c r="AO42" s="24"/>
      <c r="AP42" s="62" t="str">
        <f t="shared" si="204"/>
        <v>Ecuador</v>
      </c>
      <c r="AQ42" s="28">
        <f t="shared" ca="1" si="205"/>
        <v>6.0023999999999997</v>
      </c>
      <c r="AR42" s="24"/>
      <c r="AS42" s="63">
        <f t="shared" si="206"/>
        <v>0</v>
      </c>
      <c r="AT42" s="63">
        <f ca="1">+IF(AND(AM43="si",OR(AR39=1,AR40=1,AR41=1)),1,0)</f>
        <v>0</v>
      </c>
      <c r="AU42" s="89" t="str">
        <f t="shared" si="207"/>
        <v>Ecuador</v>
      </c>
      <c r="AV42" s="90"/>
      <c r="AW42" s="24"/>
      <c r="AX42" s="24" t="str">
        <f>+Y38</f>
        <v>Grupo E</v>
      </c>
      <c r="AY42" s="25" t="str">
        <f t="shared" si="208"/>
        <v>Ecuador</v>
      </c>
      <c r="AZ42" s="29">
        <f t="shared" si="209"/>
        <v>6</v>
      </c>
      <c r="BA42" s="29">
        <f t="shared" si="210"/>
        <v>1</v>
      </c>
      <c r="BB42" s="29">
        <f>+IF(AZ42=BF37,ROW()*0.001,AZ42)</f>
        <v>6</v>
      </c>
      <c r="BC42" s="29">
        <f t="shared" si="211"/>
        <v>3</v>
      </c>
      <c r="BD42" s="29"/>
      <c r="BE42" s="26" t="e">
        <f ca="1">+IF(OR(BF42="-",BI42="-",BF37=0),"-","OK")</f>
        <v>#NAME?</v>
      </c>
      <c r="BF42" s="66" t="e">
        <f t="array" aca="1" ref="BF42" ca="1">+IF(_xludf.XLOOKUP($E42,$AY:$AY,$AZ:$AZ,"-",0)=BF37,$E42,"-")</f>
        <v>#NAME?</v>
      </c>
      <c r="BG42" s="67">
        <f t="shared" si="212"/>
        <v>2</v>
      </c>
      <c r="BH42" s="68">
        <f t="shared" si="213"/>
        <v>0</v>
      </c>
      <c r="BI42" s="66" t="e">
        <f t="array" aca="1" ref="BI42" ca="1">+IF(_xludf.XLOOKUP($H42,$AY:$AY,$AZ:$AZ,"-",0)=BF37,$H42,"-")</f>
        <v>#NAME?</v>
      </c>
      <c r="BJ42" s="24"/>
      <c r="BK42" s="27" t="str">
        <f t="shared" si="214"/>
        <v>Ecuador</v>
      </c>
      <c r="BL42" s="27">
        <f t="shared" ca="1" si="215"/>
        <v>0</v>
      </c>
      <c r="BM42" s="25">
        <f t="shared" ca="1" si="216"/>
        <v>0</v>
      </c>
      <c r="BN42" s="25">
        <f t="shared" si="217"/>
        <v>0</v>
      </c>
      <c r="BO42" s="25">
        <f t="shared" ca="1" si="218"/>
        <v>0</v>
      </c>
      <c r="BP42" s="25">
        <f t="shared" ca="1" si="219"/>
        <v>0</v>
      </c>
      <c r="BQ42" s="25">
        <f t="shared" ca="1" si="220"/>
        <v>0</v>
      </c>
      <c r="BR42" s="25">
        <f t="shared" ca="1" si="221"/>
        <v>0</v>
      </c>
      <c r="BS42" s="69">
        <f t="shared" ca="1" si="222"/>
        <v>0</v>
      </c>
      <c r="BT42" s="29">
        <f t="array" aca="1" ref="BT42" ca="1">+IF(BL42=0,0,_xludf.XLOOKUP(BS42,BV39:BV42,BW39:BW42))</f>
        <v>0</v>
      </c>
      <c r="BU42" s="54"/>
      <c r="BV42" s="25">
        <f ca="1">+LARGE(BS39:BS42,4)</f>
        <v>0</v>
      </c>
      <c r="BW42" s="25">
        <f t="shared" si="223"/>
        <v>0</v>
      </c>
      <c r="BX42" s="24">
        <v>0</v>
      </c>
      <c r="BY42" s="26" t="e">
        <f t="shared" ca="1" si="224"/>
        <v>#NAME?</v>
      </c>
      <c r="BZ42" s="66" t="e">
        <f t="array" aca="1" ref="BZ42" ca="1">+IF(_xludf.XLOOKUP($E42,$AY:$AY,$AZ:$AZ,"-",0)=BZ37,$E42,"-")</f>
        <v>#NAME?</v>
      </c>
      <c r="CA42" s="67">
        <f t="shared" si="225"/>
        <v>2</v>
      </c>
      <c r="CB42" s="68">
        <f t="shared" si="226"/>
        <v>0</v>
      </c>
      <c r="CC42" s="66" t="e">
        <f t="array" aca="1" ref="CC42" ca="1">+IF(_xludf.XLOOKUP($H42,$AY:$AY,$AZ:$AZ,"-",0)=BZ37,$H42,"-")</f>
        <v>#NAME?</v>
      </c>
      <c r="CD42" s="24"/>
      <c r="CE42" s="27" t="str">
        <f t="shared" si="227"/>
        <v>Ecuador</v>
      </c>
      <c r="CF42" s="27">
        <f t="shared" ca="1" si="228"/>
        <v>0</v>
      </c>
      <c r="CG42" s="25">
        <f t="shared" si="229"/>
        <v>0</v>
      </c>
      <c r="CH42" s="25">
        <f t="shared" si="230"/>
        <v>0</v>
      </c>
      <c r="CI42" s="25">
        <f t="shared" ca="1" si="231"/>
        <v>0</v>
      </c>
      <c r="CJ42" s="25">
        <f t="shared" ca="1" si="232"/>
        <v>0</v>
      </c>
      <c r="CK42" s="25">
        <f t="shared" ca="1" si="233"/>
        <v>0</v>
      </c>
      <c r="CL42" s="25">
        <f t="shared" ca="1" si="234"/>
        <v>0</v>
      </c>
      <c r="CM42" s="69">
        <f t="shared" ca="1" si="235"/>
        <v>0</v>
      </c>
      <c r="CN42" s="29">
        <f t="array" aca="1" ref="CN42" ca="1">+IF(CF42=0,0,_xludf.XLOOKUP(CM42,CP39:CP42,CQ39:CQ42))</f>
        <v>0</v>
      </c>
      <c r="CO42" s="54"/>
      <c r="CP42" s="25">
        <f ca="1">+LARGE(CM39:CM42,4)</f>
        <v>0</v>
      </c>
      <c r="CQ42" s="25">
        <f t="shared" si="236"/>
        <v>0</v>
      </c>
      <c r="CR42" s="24">
        <v>0</v>
      </c>
    </row>
    <row r="43" spans="1:96" ht="14.25" customHeight="1" x14ac:dyDescent="0.25">
      <c r="A43" s="47" t="s">
        <v>151</v>
      </c>
      <c r="B43" s="48">
        <v>46198</v>
      </c>
      <c r="C43" s="49"/>
      <c r="D43" s="50"/>
      <c r="E43" s="51" t="s">
        <v>67</v>
      </c>
      <c r="F43" s="52">
        <v>0</v>
      </c>
      <c r="G43" s="52">
        <v>2</v>
      </c>
      <c r="H43" s="53" t="s">
        <v>56</v>
      </c>
      <c r="I43" s="24"/>
      <c r="J43" s="25" t="str">
        <f t="shared" si="193"/>
        <v>Alemania</v>
      </c>
      <c r="K43" s="25" t="str">
        <f t="shared" si="194"/>
        <v/>
      </c>
      <c r="L43" s="25" t="str">
        <f t="shared" si="195"/>
        <v/>
      </c>
      <c r="M43" s="25" t="str">
        <f t="shared" si="196"/>
        <v>Ecuador</v>
      </c>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6" t="s">
        <v>122</v>
      </c>
      <c r="AM43" s="61" t="str">
        <f ca="1">+IF(SUM(AA39:AA42)=12,"si","no")</f>
        <v>si</v>
      </c>
      <c r="AN43" s="24"/>
      <c r="AO43" s="24"/>
      <c r="AP43" s="24"/>
      <c r="AQ43" s="24"/>
      <c r="AR43" s="24"/>
      <c r="AS43" s="24"/>
      <c r="AT43" s="24"/>
      <c r="AU43" s="24"/>
      <c r="AV43" s="24"/>
      <c r="AW43" s="24"/>
      <c r="AX43" s="24"/>
      <c r="AY43" s="24"/>
      <c r="AZ43" s="24"/>
      <c r="BA43" s="24"/>
      <c r="BB43" s="24"/>
      <c r="BC43" s="24"/>
      <c r="BD43" s="24"/>
      <c r="BE43" s="26" t="e">
        <f ca="1">+IF(OR(BF43="-",BI43="-",BF37=0),"-","OK")</f>
        <v>#NAME?</v>
      </c>
      <c r="BF43" s="66" t="e">
        <f t="array" aca="1" ref="BF43" ca="1">+IF(_xludf.XLOOKUP($E43,$AY:$AY,$AZ:$AZ,"-",0)=BF37,$E43,"-")</f>
        <v>#NAME?</v>
      </c>
      <c r="BG43" s="67">
        <f t="shared" si="212"/>
        <v>0</v>
      </c>
      <c r="BH43" s="68">
        <f t="shared" si="213"/>
        <v>2</v>
      </c>
      <c r="BI43" s="66" t="e">
        <f t="array" aca="1" ref="BI43" ca="1">+IF(_xludf.XLOOKUP($H43,$AY:$AY,$AZ:$AZ,"-",0)=BF37,$H43,"-")</f>
        <v>#NAME?</v>
      </c>
      <c r="BJ43" s="24"/>
      <c r="BK43" s="24"/>
      <c r="BL43" s="24"/>
      <c r="BM43" s="24"/>
      <c r="BN43" s="24"/>
      <c r="BO43" s="24"/>
      <c r="BP43" s="24"/>
      <c r="BQ43" s="24"/>
      <c r="BR43" s="24"/>
      <c r="BS43" s="24"/>
      <c r="BT43" s="24"/>
      <c r="BU43" s="24"/>
      <c r="BV43" s="24"/>
      <c r="BW43" s="24"/>
      <c r="BX43" s="24"/>
      <c r="BY43" s="26" t="e">
        <f t="shared" ca="1" si="224"/>
        <v>#NAME?</v>
      </c>
      <c r="BZ43" s="66" t="e">
        <f t="array" aca="1" ref="BZ43" ca="1">+IF(_xludf.XLOOKUP($E43,$AY:$AY,$AZ:$AZ,"-",0)=BZ37,$E43,"-")</f>
        <v>#NAME?</v>
      </c>
      <c r="CA43" s="67">
        <f t="shared" si="225"/>
        <v>0</v>
      </c>
      <c r="CB43" s="68">
        <f t="shared" si="226"/>
        <v>2</v>
      </c>
      <c r="CC43" s="66" t="e">
        <f t="array" aca="1" ref="CC43" ca="1">+IF(_xludf.XLOOKUP($H43,$AY:$AY,$AZ:$AZ,"-",0)=BZ37,$H43,"-")</f>
        <v>#NAME?</v>
      </c>
      <c r="CD43" s="24"/>
      <c r="CE43" s="24"/>
      <c r="CF43" s="24"/>
      <c r="CG43" s="24"/>
      <c r="CH43" s="24"/>
      <c r="CI43" s="24"/>
      <c r="CJ43" s="24"/>
      <c r="CK43" s="24"/>
      <c r="CL43" s="24"/>
      <c r="CM43" s="24"/>
      <c r="CN43" s="24"/>
      <c r="CO43" s="24"/>
      <c r="CP43" s="24"/>
      <c r="CQ43" s="24"/>
      <c r="CR43" s="24"/>
    </row>
    <row r="44" spans="1:96" ht="14.25" customHeight="1" x14ac:dyDescent="0.25">
      <c r="A44" s="47" t="s">
        <v>152</v>
      </c>
      <c r="B44" s="48">
        <v>46198</v>
      </c>
      <c r="C44" s="49"/>
      <c r="D44" s="50"/>
      <c r="E44" s="51" t="s">
        <v>93</v>
      </c>
      <c r="F44" s="52">
        <v>0</v>
      </c>
      <c r="G44" s="52">
        <v>1</v>
      </c>
      <c r="H44" s="53" t="s">
        <v>78</v>
      </c>
      <c r="I44" s="24"/>
      <c r="J44" s="25" t="str">
        <f t="shared" si="193"/>
        <v>Costa de Marfil</v>
      </c>
      <c r="K44" s="25" t="str">
        <f t="shared" si="194"/>
        <v/>
      </c>
      <c r="L44" s="25" t="str">
        <f t="shared" si="195"/>
        <v/>
      </c>
      <c r="M44" s="25" t="str">
        <f t="shared" si="196"/>
        <v>Curazao</v>
      </c>
      <c r="N44" s="24"/>
      <c r="O44" s="24"/>
      <c r="P44" s="24"/>
      <c r="Q44" s="24"/>
      <c r="R44" s="24"/>
      <c r="S44" s="24"/>
      <c r="T44" s="24"/>
      <c r="U44" s="24"/>
      <c r="V44" s="24"/>
      <c r="W44" s="24"/>
      <c r="X44" s="24"/>
      <c r="Y44" s="62" t="s">
        <v>124</v>
      </c>
      <c r="Z44" s="24"/>
      <c r="AA44" s="24"/>
      <c r="AB44" s="24"/>
      <c r="AC44" s="24"/>
      <c r="AD44" s="24"/>
      <c r="AE44" s="24"/>
      <c r="AF44" s="24"/>
      <c r="AG44" s="24"/>
      <c r="AH44" s="24"/>
      <c r="AI44" s="24"/>
      <c r="AJ44" s="24"/>
      <c r="AK44" s="24"/>
      <c r="AL44" s="24"/>
      <c r="AM44" s="24"/>
      <c r="AN44" s="24"/>
      <c r="AO44" s="24"/>
      <c r="AP44" s="24"/>
      <c r="AQ44" s="24"/>
      <c r="AR44" s="24">
        <f ca="1">+IF(AND(AM43="si",OR(AR39=1,AR40=1,AR41=1)),1,0)</f>
        <v>0</v>
      </c>
      <c r="AS44" s="24"/>
      <c r="AT44" s="24"/>
      <c r="AU44" s="24"/>
      <c r="AV44" s="24"/>
      <c r="AW44" s="24"/>
      <c r="AX44" s="24"/>
      <c r="AY44" s="24"/>
      <c r="AZ44" s="24"/>
      <c r="BA44" s="24"/>
      <c r="BB44" s="24"/>
      <c r="BC44" s="24"/>
      <c r="BD44" s="24"/>
      <c r="BE44" s="26" t="e">
        <f ca="1">+IF(OR(BF44="-",BI44="-",BF37=0),"-","OK")</f>
        <v>#NAME?</v>
      </c>
      <c r="BF44" s="66" t="e">
        <f t="array" aca="1" ref="BF44" ca="1">+IF(_xludf.XLOOKUP($E44,$AY:$AY,$AZ:$AZ,"-",0)=BF37,$E44,"-")</f>
        <v>#NAME?</v>
      </c>
      <c r="BG44" s="67">
        <f t="shared" si="212"/>
        <v>0</v>
      </c>
      <c r="BH44" s="68">
        <f t="shared" si="213"/>
        <v>1</v>
      </c>
      <c r="BI44" s="66" t="e">
        <f t="array" aca="1" ref="BI44" ca="1">+IF(_xludf.XLOOKUP($H44,$AY:$AY,$AZ:$AZ,"-",0)=BF37,$H44,"-")</f>
        <v>#NAME?</v>
      </c>
      <c r="BJ44" s="24"/>
      <c r="BK44" s="24"/>
      <c r="BL44" s="24"/>
      <c r="BM44" s="24"/>
      <c r="BN44" s="24"/>
      <c r="BO44" s="24"/>
      <c r="BP44" s="24"/>
      <c r="BQ44" s="24"/>
      <c r="BR44" s="24"/>
      <c r="BS44" s="24"/>
      <c r="BT44" s="24"/>
      <c r="BU44" s="24"/>
      <c r="BV44" s="24"/>
      <c r="BW44" s="24"/>
      <c r="BX44" s="24"/>
      <c r="BY44" s="26" t="e">
        <f t="shared" ca="1" si="224"/>
        <v>#NAME?</v>
      </c>
      <c r="BZ44" s="66" t="e">
        <f t="array" aca="1" ref="BZ44" ca="1">+IF(_xludf.XLOOKUP($E44,$AY:$AY,$AZ:$AZ,"-",0)=BZ37,$E44,"-")</f>
        <v>#NAME?</v>
      </c>
      <c r="CA44" s="67">
        <f t="shared" si="225"/>
        <v>0</v>
      </c>
      <c r="CB44" s="68">
        <f t="shared" si="226"/>
        <v>1</v>
      </c>
      <c r="CC44" s="66" t="e">
        <f t="array" aca="1" ref="CC44" ca="1">+IF(_xludf.XLOOKUP($H44,$AY:$AY,$AZ:$AZ,"-",0)=BZ37,$H44,"-")</f>
        <v>#NAME?</v>
      </c>
      <c r="CD44" s="24"/>
      <c r="CE44" s="24"/>
      <c r="CF44" s="24"/>
      <c r="CG44" s="24"/>
      <c r="CH44" s="24"/>
      <c r="CI44" s="24"/>
      <c r="CJ44" s="24"/>
      <c r="CK44" s="24"/>
      <c r="CL44" s="24"/>
      <c r="CM44" s="24"/>
      <c r="CN44" s="24"/>
      <c r="CO44" s="24"/>
      <c r="CP44" s="24"/>
      <c r="CQ44" s="24"/>
      <c r="CR44" s="24"/>
    </row>
    <row r="45" spans="1:96" ht="14.25" customHeight="1" x14ac:dyDescent="0.25">
      <c r="A45" s="91"/>
      <c r="B45" s="92"/>
      <c r="C45" s="91"/>
      <c r="D45" s="93"/>
      <c r="E45" s="94"/>
      <c r="F45" s="91"/>
      <c r="G45" s="91"/>
      <c r="H45" s="95"/>
      <c r="I45" s="93"/>
      <c r="J45" s="91"/>
      <c r="K45" s="91"/>
      <c r="L45" s="91"/>
      <c r="M45" s="91"/>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1"/>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row>
    <row r="46" spans="1:96" ht="14.25" customHeight="1" x14ac:dyDescent="0.25">
      <c r="A46" s="24"/>
      <c r="B46" s="25"/>
      <c r="C46" s="25"/>
      <c r="D46" s="24"/>
      <c r="E46" s="26"/>
      <c r="F46" s="25"/>
      <c r="G46" s="25"/>
      <c r="H46" s="27"/>
      <c r="I46" s="24"/>
      <c r="J46" s="25"/>
      <c r="K46" s="25"/>
      <c r="L46" s="25"/>
      <c r="M46" s="25"/>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5"/>
      <c r="BF46" s="28">
        <f>+IF(BA48&gt;1,AZ48,IF(BA49&gt;1,AZ49,IF(BA50&gt;1,AZ50,IF(BA51&gt;1,AZ51,"-"))))</f>
        <v>7</v>
      </c>
      <c r="BG46" s="24"/>
      <c r="BH46" s="24"/>
      <c r="BI46" s="24"/>
      <c r="BJ46" s="24"/>
      <c r="BK46" s="24"/>
      <c r="BL46" s="24"/>
      <c r="BM46" s="24"/>
      <c r="BN46" s="24"/>
      <c r="BO46" s="24"/>
      <c r="BP46" s="24"/>
      <c r="BQ46" s="24"/>
      <c r="BR46" s="24"/>
      <c r="BS46" s="24"/>
      <c r="BT46" s="24"/>
      <c r="BU46" s="24"/>
      <c r="BV46" s="24"/>
      <c r="BW46" s="24">
        <v>10</v>
      </c>
      <c r="BX46" s="24"/>
      <c r="BY46" s="24"/>
      <c r="BZ46" s="29">
        <f>+IF(BC48&gt;1,BB48,IF(BC49&gt;1,BB49,IF(BC50&gt;1,BB50,IF(BC51&gt;1,BB51,"-"))))</f>
        <v>3</v>
      </c>
      <c r="CA46" s="24"/>
      <c r="CB46" s="24"/>
      <c r="CC46" s="24"/>
      <c r="CD46" s="24"/>
      <c r="CE46" s="24"/>
      <c r="CF46" s="24"/>
      <c r="CG46" s="24"/>
      <c r="CH46" s="24"/>
      <c r="CI46" s="24"/>
      <c r="CJ46" s="24"/>
      <c r="CK46" s="24"/>
      <c r="CL46" s="24"/>
      <c r="CM46" s="24"/>
      <c r="CN46" s="24"/>
      <c r="CO46" s="24"/>
      <c r="CP46" s="24"/>
      <c r="CQ46" s="24">
        <v>10</v>
      </c>
      <c r="CR46" s="24"/>
    </row>
    <row r="47" spans="1:96" ht="14.25" customHeight="1" x14ac:dyDescent="0.25">
      <c r="A47" s="140" t="s">
        <v>100</v>
      </c>
      <c r="B47" s="141" t="s">
        <v>101</v>
      </c>
      <c r="C47" s="141" t="s">
        <v>102</v>
      </c>
      <c r="D47" s="142"/>
      <c r="E47" s="143" t="s">
        <v>153</v>
      </c>
      <c r="F47" s="144"/>
      <c r="G47" s="144"/>
      <c r="H47" s="145"/>
      <c r="I47" s="24"/>
      <c r="J47" s="25" t="s">
        <v>104</v>
      </c>
      <c r="K47" s="25" t="s">
        <v>105</v>
      </c>
      <c r="L47" s="25" t="s">
        <v>105</v>
      </c>
      <c r="M47" s="25" t="s">
        <v>106</v>
      </c>
      <c r="N47" s="24"/>
      <c r="O47" s="27" t="str">
        <f t="shared" ref="O47:O48" si="240">+E47</f>
        <v>Grupo F</v>
      </c>
      <c r="P47" s="25" t="s">
        <v>104</v>
      </c>
      <c r="Q47" s="25" t="s">
        <v>105</v>
      </c>
      <c r="R47" s="25" t="s">
        <v>106</v>
      </c>
      <c r="S47" s="25" t="s">
        <v>107</v>
      </c>
      <c r="T47" s="25" t="s">
        <v>108</v>
      </c>
      <c r="U47" s="25" t="s">
        <v>109</v>
      </c>
      <c r="V47" s="25" t="s">
        <v>0</v>
      </c>
      <c r="W47" s="25"/>
      <c r="X47" s="24"/>
      <c r="Y47" s="480" t="s">
        <v>153</v>
      </c>
      <c r="Z47" s="475"/>
      <c r="AA47" s="146" t="s">
        <v>110</v>
      </c>
      <c r="AB47" s="147" t="s">
        <v>104</v>
      </c>
      <c r="AC47" s="147" t="s">
        <v>105</v>
      </c>
      <c r="AD47" s="147" t="s">
        <v>106</v>
      </c>
      <c r="AE47" s="147" t="s">
        <v>107</v>
      </c>
      <c r="AF47" s="147" t="s">
        <v>108</v>
      </c>
      <c r="AG47" s="147" t="s">
        <v>109</v>
      </c>
      <c r="AH47" s="148" t="s">
        <v>0</v>
      </c>
      <c r="AI47" s="149"/>
      <c r="AJ47" s="24"/>
      <c r="AK47" s="24"/>
      <c r="AL47" s="25" t="s">
        <v>0</v>
      </c>
      <c r="AM47" s="25" t="s">
        <v>111</v>
      </c>
      <c r="AN47" s="25"/>
      <c r="AO47" s="25"/>
      <c r="AP47" s="25"/>
      <c r="AQ47" s="25"/>
      <c r="AR47" s="25"/>
      <c r="AS47" s="25"/>
      <c r="AT47" s="25"/>
      <c r="AU47" s="25"/>
      <c r="AV47" s="24"/>
      <c r="AW47" s="24"/>
      <c r="AX47" s="24"/>
      <c r="AY47" s="25" t="s">
        <v>112</v>
      </c>
      <c r="AZ47" s="25" t="s">
        <v>0</v>
      </c>
      <c r="BA47" s="25" t="s">
        <v>113</v>
      </c>
      <c r="BB47" s="25"/>
      <c r="BC47" s="25"/>
      <c r="BD47" s="25"/>
      <c r="BE47" s="25"/>
      <c r="BF47" s="24"/>
      <c r="BG47" s="24"/>
      <c r="BH47" s="24"/>
      <c r="BI47" s="24"/>
      <c r="BJ47" s="24"/>
      <c r="BK47" s="27"/>
      <c r="BL47" s="27" t="s">
        <v>110</v>
      </c>
      <c r="BM47" s="25" t="s">
        <v>104</v>
      </c>
      <c r="BN47" s="25" t="s">
        <v>105</v>
      </c>
      <c r="BO47" s="25" t="s">
        <v>106</v>
      </c>
      <c r="BP47" s="25" t="s">
        <v>107</v>
      </c>
      <c r="BQ47" s="25" t="s">
        <v>108</v>
      </c>
      <c r="BR47" s="25" t="s">
        <v>109</v>
      </c>
      <c r="BS47" s="25" t="s">
        <v>0</v>
      </c>
      <c r="BT47" s="25" t="s">
        <v>114</v>
      </c>
      <c r="BU47" s="25"/>
      <c r="BV47" s="25" t="s">
        <v>115</v>
      </c>
      <c r="BW47" s="25" t="s">
        <v>114</v>
      </c>
      <c r="BX47" s="24"/>
      <c r="BY47" s="24"/>
      <c r="BZ47" s="24"/>
      <c r="CA47" s="24"/>
      <c r="CB47" s="24"/>
      <c r="CC47" s="24"/>
      <c r="CD47" s="24"/>
      <c r="CE47" s="27"/>
      <c r="CF47" s="27" t="s">
        <v>110</v>
      </c>
      <c r="CG47" s="25" t="s">
        <v>104</v>
      </c>
      <c r="CH47" s="25" t="s">
        <v>105</v>
      </c>
      <c r="CI47" s="25" t="s">
        <v>106</v>
      </c>
      <c r="CJ47" s="25" t="s">
        <v>107</v>
      </c>
      <c r="CK47" s="25" t="s">
        <v>108</v>
      </c>
      <c r="CL47" s="25" t="s">
        <v>109</v>
      </c>
      <c r="CM47" s="25" t="s">
        <v>0</v>
      </c>
      <c r="CN47" s="25" t="s">
        <v>114</v>
      </c>
      <c r="CO47" s="25"/>
      <c r="CP47" s="25" t="s">
        <v>115</v>
      </c>
      <c r="CQ47" s="25" t="s">
        <v>114</v>
      </c>
      <c r="CR47" s="24"/>
    </row>
    <row r="48" spans="1:96" ht="14.25" customHeight="1" x14ac:dyDescent="0.25">
      <c r="A48" s="47" t="s">
        <v>154</v>
      </c>
      <c r="B48" s="48">
        <v>46190</v>
      </c>
      <c r="C48" s="49"/>
      <c r="D48" s="50"/>
      <c r="E48" s="51" t="s">
        <v>54</v>
      </c>
      <c r="F48" s="52">
        <v>2</v>
      </c>
      <c r="G48" s="52">
        <v>2</v>
      </c>
      <c r="H48" s="53" t="s">
        <v>64</v>
      </c>
      <c r="I48" s="24"/>
      <c r="J48" s="25" t="str">
        <f t="shared" ref="J48:J53" si="241">IF(OR(ISBLANK(F48),ISBLANK(G48)),"",IF(F48&gt;G48,E48,IF(G48&gt;F48,H48,"")))</f>
        <v/>
      </c>
      <c r="K48" s="25" t="str">
        <f t="shared" ref="K48:K53" si="242">IF(OR(ISBLANK(F48),ISBLANK(G48)),"",IF(F48=G48,E48,""))</f>
        <v>Paises Bajos</v>
      </c>
      <c r="L48" s="25" t="str">
        <f t="shared" ref="L48:L53" si="243">IF(OR(ISBLANK(F48),ISBLANK(G48)),"",IF(F48=G48,H48,""))</f>
        <v>Japon</v>
      </c>
      <c r="M48" s="25" t="str">
        <f t="shared" ref="M48:M53" si="244">IF(OR(ISBLANK(F48),ISBLANK(G48)),"",IF(F48&lt;G48,E48,IF(G48&lt;F48,H48,"")))</f>
        <v/>
      </c>
      <c r="N48" s="24"/>
      <c r="O48" s="27" t="str">
        <f t="shared" si="240"/>
        <v>Paises Bajos</v>
      </c>
      <c r="P48" s="25">
        <f>+COUNTIF(J48:J53,"="&amp;$O48)</f>
        <v>2</v>
      </c>
      <c r="Q48" s="25">
        <f>+COUNTIF(K48:L53,"="&amp;$O48)</f>
        <v>1</v>
      </c>
      <c r="R48" s="25">
        <f>+COUNTIF(M48:M53,"="&amp;$O48)</f>
        <v>0</v>
      </c>
      <c r="S48" s="25">
        <f t="shared" ref="S48:S51" si="245">+T48-U48</f>
        <v>4</v>
      </c>
      <c r="T48" s="25">
        <f>+SUMIF(E48:E53,$O48,F48:F53)+SUMIF(H48:H53,$O48,G48:G53)</f>
        <v>6</v>
      </c>
      <c r="U48" s="25">
        <f>+SUMIF(E48:E53,$O48,G48:G53)+SUMIF(H48:H53,$O48,F48:F53)</f>
        <v>2</v>
      </c>
      <c r="V48" s="54">
        <f t="shared" ref="V48:V51" ca="1" si="246">+P48*3+Q48*1+BT48+CN48+S48/1000+T48/10000+AV48/1000000+ROW()/10000000</f>
        <v>7.0046048000000001</v>
      </c>
      <c r="W48" s="27" t="str">
        <f t="shared" ref="W48:W51" si="247">+O48</f>
        <v>Paises Bajos</v>
      </c>
      <c r="X48" s="24"/>
      <c r="Y48" s="55" t="str">
        <f>+CONCATENATE("1",RIGHT(E47,1))</f>
        <v>1F</v>
      </c>
      <c r="Z48" s="56" t="str">
        <f ca="1">+VLOOKUP(AL48,V48:W51,2,FALSE)</f>
        <v>Paises Bajos</v>
      </c>
      <c r="AA48" s="57">
        <f t="shared" ref="AA48:AA51" ca="1" si="248">+SUM(AB48:AD48)</f>
        <v>3</v>
      </c>
      <c r="AB48" s="58">
        <f t="shared" ref="AB48:AG48" ca="1" si="249">+VLOOKUP($Z48,$O$48:$U$51,COLUMN()-26,FALSE)</f>
        <v>2</v>
      </c>
      <c r="AC48" s="58">
        <f t="shared" ca="1" si="249"/>
        <v>1</v>
      </c>
      <c r="AD48" s="58">
        <f t="shared" ca="1" si="249"/>
        <v>0</v>
      </c>
      <c r="AE48" s="58">
        <f t="shared" ca="1" si="249"/>
        <v>4</v>
      </c>
      <c r="AF48" s="58">
        <f t="shared" ca="1" si="249"/>
        <v>6</v>
      </c>
      <c r="AG48" s="58">
        <f t="shared" ca="1" si="249"/>
        <v>2</v>
      </c>
      <c r="AH48" s="59">
        <f t="shared" ref="AH48:AH51" ca="1" si="250">+VLOOKUP($Z48,$O$48:$V$51,COLUMN()-26,FALSE)</f>
        <v>7.0046048000000001</v>
      </c>
      <c r="AI48" s="60"/>
      <c r="AJ48" s="24"/>
      <c r="AK48" s="24"/>
      <c r="AL48" s="54">
        <f ca="1">+LARGE(V48:V51,1)</f>
        <v>7.0046048000000001</v>
      </c>
      <c r="AM48" s="61">
        <f t="shared" ref="AM48:AM51" ca="1" si="251">+(AH48-AL48)*100000000000000000000</f>
        <v>0</v>
      </c>
      <c r="AN48" s="24"/>
      <c r="AO48" s="24"/>
      <c r="AP48" s="62" t="str">
        <f t="shared" ref="AP48:AP51" si="252">+O48</f>
        <v>Paises Bajos</v>
      </c>
      <c r="AQ48" s="28">
        <f t="shared" ref="AQ48:AQ51" ca="1" si="253">+P48*3+Q48*1+BT48+CN48+S48/1000+T48/10000</f>
        <v>7.0045999999999999</v>
      </c>
      <c r="AR48" s="24" t="b">
        <f ca="1">+IF(OR(AQ48=AQ49,AQ48=AQ50,AQ48=AQ51),1)</f>
        <v>0</v>
      </c>
      <c r="AS48" s="63">
        <f t="shared" ref="AS48:AS51" si="254">+AV48</f>
        <v>0</v>
      </c>
      <c r="AT48" s="63">
        <f ca="1">+IF(AND(AM52="si",OR(AR48=1,AR49=1,AR50=1)),1,0)</f>
        <v>0</v>
      </c>
      <c r="AU48" s="64" t="str">
        <f t="shared" ref="AU48:AU51" si="255">+O48</f>
        <v>Paises Bajos</v>
      </c>
      <c r="AV48" s="65"/>
      <c r="AW48" s="24"/>
      <c r="AX48" s="24" t="str">
        <f>+Y47</f>
        <v>Grupo F</v>
      </c>
      <c r="AY48" s="25" t="str">
        <f t="shared" ref="AY48:AY51" si="256">+O48</f>
        <v>Paises Bajos</v>
      </c>
      <c r="AZ48" s="29">
        <f t="shared" ref="AZ48:AZ51" si="257">+P48*3+Q48</f>
        <v>7</v>
      </c>
      <c r="BA48" s="29">
        <f t="shared" ref="BA48:BA51" si="258">+COUNTIFS($AX$1:AX48,AX48,$AZ$1:AZ48,AZ48)</f>
        <v>1</v>
      </c>
      <c r="BB48" s="29">
        <f>+IF(AZ48=BF46,ROW()*0.001,AZ48)</f>
        <v>4.8000000000000001E-2</v>
      </c>
      <c r="BC48" s="29">
        <f t="shared" ref="BC48:BC51" si="259">+COUNTIFS($AX$1:AZ48,AZ48,$AZ$1:BB48,BB48)</f>
        <v>1</v>
      </c>
      <c r="BD48" s="29"/>
      <c r="BE48" s="26" t="e">
        <f ca="1">+IF(OR(BF48="-",BI48="-",BF46=0),"-","OK")</f>
        <v>#NAME?</v>
      </c>
      <c r="BF48" s="66" t="e">
        <f t="array" aca="1" ref="BF48" ca="1">+IF(_xludf.XLOOKUP($E48,$AY:$AY,$AZ:$AZ,"-",0)=BF46,$E48,"-")</f>
        <v>#NAME?</v>
      </c>
      <c r="BG48" s="67">
        <f t="shared" ref="BG48:BG53" si="260">+$F48</f>
        <v>2</v>
      </c>
      <c r="BH48" s="68">
        <f t="shared" ref="BH48:BH53" si="261">+$G48</f>
        <v>2</v>
      </c>
      <c r="BI48" s="66" t="e">
        <f t="array" aca="1" ref="BI48" ca="1">+IF(_xludf.XLOOKUP($H48,$AY:$AY,$AZ:$AZ,"-",0)=BF46,$H48,"-")</f>
        <v>#NAME?</v>
      </c>
      <c r="BJ48" s="24"/>
      <c r="BK48" s="27" t="str">
        <f t="shared" ref="BK48:BK51" si="262">+O48</f>
        <v>Paises Bajos</v>
      </c>
      <c r="BL48" s="27">
        <f t="shared" ref="BL48:BL51" ca="1" si="263">+COUNTIFS($BE:$BE,"OK",$BI:$BI,BK48)+COUNTIFS($BE:$BE,"OK",$BF:$BF,BK48)</f>
        <v>0</v>
      </c>
      <c r="BM48" s="25">
        <f t="shared" ref="BM48:BM51" ca="1" si="264">+COUNTIFS(J:J,$BK48,$BE:$BE,"OK")</f>
        <v>0</v>
      </c>
      <c r="BN48" s="25">
        <f t="shared" ref="BN48:BN51" ca="1" si="265">+COUNTIFS(K:K,$BK48,$BE:$BE,"OK")+COUNTIFS(L:L,$BK48,$BE:$BE,"OK")</f>
        <v>0</v>
      </c>
      <c r="BO48" s="25">
        <f t="shared" ref="BO48:BO51" si="266">+COUNTIFS(M:M,$BK48,$BE:$BE,"OK")</f>
        <v>0</v>
      </c>
      <c r="BP48" s="25">
        <f t="shared" ref="BP48:BP51" ca="1" si="267">+BQ48-BR48</f>
        <v>0</v>
      </c>
      <c r="BQ48" s="25">
        <f t="shared" ref="BQ48:BQ51" ca="1" si="268">+SUMIFS(BG:BG,$BE:$BE,"OK",BF:BF,$BK48)+SUMIFS(BH:BH,$BE:$BE,"OK",BI:BI,$BK48)</f>
        <v>0</v>
      </c>
      <c r="BR48" s="25">
        <f t="shared" ref="BR48:BR51" ca="1" si="269">+SUMIFS(BH:BH,$BE:$BE,"OK",BF:BF,$BK48)+SUMIFS(BG:BG,$BE:$BE,"OK",BI:BI,$BK48)</f>
        <v>0</v>
      </c>
      <c r="BS48" s="69">
        <f t="shared" ref="BS48:BS51" ca="1" si="270">+BM48*3+BN48*1+BP48/100+BQ48/10000</f>
        <v>0</v>
      </c>
      <c r="BT48" s="29">
        <f t="array" aca="1" ref="BT48" ca="1">+IF(BL48=0,0,_xludf.XLOOKUP(BS48,BV48:BV51,BW48:BW51))</f>
        <v>0</v>
      </c>
      <c r="BU48" s="54"/>
      <c r="BV48" s="25">
        <f ca="1">+LARGE(BS48:BS51,1)</f>
        <v>0</v>
      </c>
      <c r="BW48" s="25">
        <f t="shared" ref="BW48:BW51" si="271">+BX48/$BW$1</f>
        <v>0.3</v>
      </c>
      <c r="BX48" s="24">
        <v>3</v>
      </c>
      <c r="BY48" s="26" t="e">
        <f t="shared" ref="BY48:BY53" ca="1" si="272">+IF(OR(BZ48="-",CC48="-"),"-","OK")</f>
        <v>#NAME?</v>
      </c>
      <c r="BZ48" s="66" t="e">
        <f t="array" aca="1" ref="BZ48" ca="1">+IF(_xludf.XLOOKUP($E48,$AY:$AY,$AZ:$AZ,"-",0)=BZ46,$E48,"-")</f>
        <v>#NAME?</v>
      </c>
      <c r="CA48" s="67">
        <f t="shared" ref="CA48:CA53" si="273">+$F48</f>
        <v>2</v>
      </c>
      <c r="CB48" s="68">
        <f t="shared" ref="CB48:CB53" si="274">+$G48</f>
        <v>2</v>
      </c>
      <c r="CC48" s="66" t="e">
        <f t="array" aca="1" ref="CC48" ca="1">+IF(_xludf.XLOOKUP($H48,$AY:$AY,$AZ:$AZ,"-",0)=BZ46,$H48,"-")</f>
        <v>#NAME?</v>
      </c>
      <c r="CD48" s="24"/>
      <c r="CE48" s="27" t="str">
        <f t="shared" ref="CE48:CE51" si="275">+BK48</f>
        <v>Paises Bajos</v>
      </c>
      <c r="CF48" s="27">
        <f t="shared" ref="CF48:CF51" ca="1" si="276">+COUNTIFS($BY:$BY,"OK",$CC:$CC,CE48)+COUNTIFS($BY:$BY,"OK",$BZ:$BZ,CE48)</f>
        <v>0</v>
      </c>
      <c r="CG48" s="25">
        <f t="shared" ref="CG48:CG51" si="277">+COUNTIFS(P:P,$BK48,$BY:$BY,"OK")</f>
        <v>0</v>
      </c>
      <c r="CH48" s="25">
        <f t="shared" ref="CH48:CH51" ca="1" si="278">+COUNTIFS(K:K,$BK48,$BY:$BY,"OK")+COUNTIFS(L:L,$BK48,$BY:$BY,"OK")</f>
        <v>0</v>
      </c>
      <c r="CI48" s="25">
        <f t="shared" ref="CI48:CI51" si="279">+COUNTIFS(M:M,$CE48,$BY:$BY,"OK")</f>
        <v>0</v>
      </c>
      <c r="CJ48" s="25">
        <f t="shared" ref="CJ48:CJ51" ca="1" si="280">+CK48-CL48</f>
        <v>0</v>
      </c>
      <c r="CK48" s="25">
        <f t="shared" ref="CK48:CK51" ca="1" si="281">+SUMIFS(CA:CA,$BY:$BY,"OK",BZ:BZ,$BK48)+SUMIFS(CB:CB,$BY:$BY,"OK",CC:CC,$BK48)</f>
        <v>0</v>
      </c>
      <c r="CL48" s="25">
        <f t="shared" ref="CL48:CL51" ca="1" si="282">+SUMIFS(CB:CB,$BY:$BY,"OK",BZ:BZ,$BK48)+SUMIFS(CA:CA,$BY:$BY,"OK",CC:CC,$BK48)</f>
        <v>0</v>
      </c>
      <c r="CM48" s="69">
        <f t="shared" ref="CM48:CM51" ca="1" si="283">+CG48*3+CH48*1+CJ48/100+CK48/10000</f>
        <v>0</v>
      </c>
      <c r="CN48" s="29">
        <f t="array" aca="1" ref="CN48" ca="1">+IF(CF48=0,0,_xludf.XLOOKUP(CM48,CP48:CP51,CQ48:CQ51))</f>
        <v>0</v>
      </c>
      <c r="CO48" s="54"/>
      <c r="CP48" s="25">
        <f ca="1">+LARGE(CM48:CM51,1)</f>
        <v>0</v>
      </c>
      <c r="CQ48" s="25">
        <f t="shared" ref="CQ48:CQ51" si="284">+CR48/$BW$1</f>
        <v>0.3</v>
      </c>
      <c r="CR48" s="24">
        <v>3</v>
      </c>
    </row>
    <row r="49" spans="1:96" ht="14.25" customHeight="1" x14ac:dyDescent="0.25">
      <c r="A49" s="47" t="s">
        <v>155</v>
      </c>
      <c r="B49" s="48">
        <v>46187</v>
      </c>
      <c r="C49" s="49"/>
      <c r="D49" s="50"/>
      <c r="E49" s="51" t="s">
        <v>70</v>
      </c>
      <c r="F49" s="52">
        <v>3</v>
      </c>
      <c r="G49" s="52">
        <v>1</v>
      </c>
      <c r="H49" s="53" t="s">
        <v>81</v>
      </c>
      <c r="I49" s="24"/>
      <c r="J49" s="25" t="str">
        <f t="shared" si="241"/>
        <v>Suecia</v>
      </c>
      <c r="K49" s="25" t="str">
        <f t="shared" si="242"/>
        <v/>
      </c>
      <c r="L49" s="25" t="str">
        <f t="shared" si="243"/>
        <v/>
      </c>
      <c r="M49" s="25" t="str">
        <f t="shared" si="244"/>
        <v>Tunez</v>
      </c>
      <c r="N49" s="24"/>
      <c r="O49" s="27" t="str">
        <f>+H48</f>
        <v>Japon</v>
      </c>
      <c r="P49" s="25">
        <f>+COUNTIF(J48:J53,"="&amp;$O49)</f>
        <v>2</v>
      </c>
      <c r="Q49" s="25">
        <f>+COUNTIF(K48:L53,"="&amp;$O49)</f>
        <v>1</v>
      </c>
      <c r="R49" s="25">
        <f>+COUNTIF(M48:M53,"="&amp;$O49)</f>
        <v>0</v>
      </c>
      <c r="S49" s="25">
        <f t="shared" si="245"/>
        <v>3</v>
      </c>
      <c r="T49" s="25">
        <f>+SUMIF(E48:E53,$O49,F48:F53)+SUMIF(H48:H53,$O49,G48:G53)</f>
        <v>5</v>
      </c>
      <c r="U49" s="25">
        <f>+SUMIF(E48:E53,$O49,G48:G53)+SUMIF(H48:H53,$O49,F48:F53)</f>
        <v>2</v>
      </c>
      <c r="V49" s="54">
        <f t="shared" ca="1" si="246"/>
        <v>7.0035049000000003</v>
      </c>
      <c r="W49" s="27" t="str">
        <f t="shared" si="247"/>
        <v>Japon</v>
      </c>
      <c r="X49" s="24"/>
      <c r="Y49" s="71" t="str">
        <f>+CONCATENATE("2",RIGHT(E47,1))</f>
        <v>2F</v>
      </c>
      <c r="Z49" s="72" t="str">
        <f ca="1">+VLOOKUP(AL49,V48:W51,2,FALSE)</f>
        <v>Japon</v>
      </c>
      <c r="AA49" s="73">
        <f t="shared" ca="1" si="248"/>
        <v>3</v>
      </c>
      <c r="AB49" s="74">
        <f t="shared" ref="AB49:AG49" ca="1" si="285">+VLOOKUP($Z49,$O$48:$U$51,COLUMN()-26,FALSE)</f>
        <v>2</v>
      </c>
      <c r="AC49" s="74">
        <f t="shared" ca="1" si="285"/>
        <v>1</v>
      </c>
      <c r="AD49" s="74">
        <f t="shared" ca="1" si="285"/>
        <v>0</v>
      </c>
      <c r="AE49" s="74">
        <f t="shared" ca="1" si="285"/>
        <v>3</v>
      </c>
      <c r="AF49" s="74">
        <f t="shared" ca="1" si="285"/>
        <v>5</v>
      </c>
      <c r="AG49" s="74">
        <f t="shared" ca="1" si="285"/>
        <v>2</v>
      </c>
      <c r="AH49" s="75">
        <f t="shared" ca="1" si="250"/>
        <v>7.0035049000000003</v>
      </c>
      <c r="AI49" s="60"/>
      <c r="AJ49" s="24"/>
      <c r="AK49" s="24"/>
      <c r="AL49" s="54">
        <f ca="1">+LARGE(V48:V51,2)</f>
        <v>7.0035049000000003</v>
      </c>
      <c r="AM49" s="61">
        <f t="shared" ca="1" si="251"/>
        <v>0</v>
      </c>
      <c r="AN49" s="24"/>
      <c r="AO49" s="24"/>
      <c r="AP49" s="62" t="str">
        <f t="shared" si="252"/>
        <v>Japon</v>
      </c>
      <c r="AQ49" s="28">
        <f t="shared" ca="1" si="253"/>
        <v>7.0034999999999998</v>
      </c>
      <c r="AR49" s="24" t="b">
        <f ca="1">+IF(OR(AQ49=AQ50,AQ49=AQ51),1)</f>
        <v>0</v>
      </c>
      <c r="AS49" s="63">
        <f t="shared" si="254"/>
        <v>0</v>
      </c>
      <c r="AT49" s="63">
        <f ca="1">+IF(AND(AM52="si",OR(AR48=1,AR49=1,AR50=1)),1,0)</f>
        <v>0</v>
      </c>
      <c r="AU49" s="76" t="str">
        <f t="shared" si="255"/>
        <v>Japon</v>
      </c>
      <c r="AV49" s="77"/>
      <c r="AW49" s="24"/>
      <c r="AX49" s="24" t="str">
        <f>+Y47</f>
        <v>Grupo F</v>
      </c>
      <c r="AY49" s="25" t="str">
        <f t="shared" si="256"/>
        <v>Japon</v>
      </c>
      <c r="AZ49" s="29">
        <f t="shared" si="257"/>
        <v>7</v>
      </c>
      <c r="BA49" s="29">
        <f t="shared" si="258"/>
        <v>2</v>
      </c>
      <c r="BB49" s="29">
        <f>+IF(AZ49=BF46,ROW()*0.001,AZ49)</f>
        <v>4.9000000000000002E-2</v>
      </c>
      <c r="BC49" s="29">
        <f t="shared" si="259"/>
        <v>1</v>
      </c>
      <c r="BD49" s="29"/>
      <c r="BE49" s="26" t="e">
        <f ca="1">+IF(OR(BF49="-",BI49="-",BF46=0),"-","OK")</f>
        <v>#NAME?</v>
      </c>
      <c r="BF49" s="66" t="e">
        <f t="array" aca="1" ref="BF49" ca="1">+IF(_xludf.XLOOKUP($E49,$AY:$AY,$AZ:$AZ,"-",0)=BF46,$E49,"-")</f>
        <v>#NAME?</v>
      </c>
      <c r="BG49" s="67">
        <f t="shared" si="260"/>
        <v>3</v>
      </c>
      <c r="BH49" s="68">
        <f t="shared" si="261"/>
        <v>1</v>
      </c>
      <c r="BI49" s="66" t="e">
        <f t="array" aca="1" ref="BI49" ca="1">+IF(_xludf.XLOOKUP($H49,$AY:$AY,$AZ:$AZ,"-",0)=BF46,$H49,"-")</f>
        <v>#NAME?</v>
      </c>
      <c r="BJ49" s="24"/>
      <c r="BK49" s="27" t="str">
        <f t="shared" si="262"/>
        <v>Japon</v>
      </c>
      <c r="BL49" s="27">
        <f t="shared" ca="1" si="263"/>
        <v>0</v>
      </c>
      <c r="BM49" s="25">
        <f t="shared" ca="1" si="264"/>
        <v>0</v>
      </c>
      <c r="BN49" s="25">
        <f t="shared" ca="1" si="265"/>
        <v>0</v>
      </c>
      <c r="BO49" s="25">
        <f t="shared" si="266"/>
        <v>0</v>
      </c>
      <c r="BP49" s="25">
        <f t="shared" ca="1" si="267"/>
        <v>0</v>
      </c>
      <c r="BQ49" s="25">
        <f t="shared" ca="1" si="268"/>
        <v>0</v>
      </c>
      <c r="BR49" s="25">
        <f t="shared" ca="1" si="269"/>
        <v>0</v>
      </c>
      <c r="BS49" s="69">
        <f t="shared" ca="1" si="270"/>
        <v>0</v>
      </c>
      <c r="BT49" s="29">
        <f t="array" aca="1" ref="BT49" ca="1">+IF(BL49=0,0,_xludf.XLOOKUP(BS49,BV48:BV51,BW48:BW51))</f>
        <v>0</v>
      </c>
      <c r="BU49" s="54"/>
      <c r="BV49" s="25">
        <f ca="1">+LARGE(BS48:BS51,2)</f>
        <v>0</v>
      </c>
      <c r="BW49" s="25">
        <f t="shared" si="271"/>
        <v>0.2</v>
      </c>
      <c r="BX49" s="24">
        <v>2</v>
      </c>
      <c r="BY49" s="26" t="e">
        <f t="shared" ca="1" si="272"/>
        <v>#NAME?</v>
      </c>
      <c r="BZ49" s="66" t="e">
        <f t="array" aca="1" ref="BZ49" ca="1">+IF(_xludf.XLOOKUP($E49,$AY:$AY,$AZ:$AZ,"-",0)=BZ46,$E49,"-")</f>
        <v>#NAME?</v>
      </c>
      <c r="CA49" s="67">
        <f t="shared" si="273"/>
        <v>3</v>
      </c>
      <c r="CB49" s="68">
        <f t="shared" si="274"/>
        <v>1</v>
      </c>
      <c r="CC49" s="66" t="e">
        <f t="array" aca="1" ref="CC49" ca="1">+IF(_xludf.XLOOKUP($H49,$AY:$AY,$AZ:$AZ,"-",0)=BZ46,$H49,"-")</f>
        <v>#NAME?</v>
      </c>
      <c r="CD49" s="24"/>
      <c r="CE49" s="27" t="str">
        <f t="shared" si="275"/>
        <v>Japon</v>
      </c>
      <c r="CF49" s="27">
        <f t="shared" ca="1" si="276"/>
        <v>0</v>
      </c>
      <c r="CG49" s="25">
        <f t="shared" si="277"/>
        <v>0</v>
      </c>
      <c r="CH49" s="25">
        <f t="shared" ca="1" si="278"/>
        <v>0</v>
      </c>
      <c r="CI49" s="25">
        <f t="shared" si="279"/>
        <v>0</v>
      </c>
      <c r="CJ49" s="25">
        <f t="shared" ca="1" si="280"/>
        <v>0</v>
      </c>
      <c r="CK49" s="25">
        <f t="shared" ca="1" si="281"/>
        <v>0</v>
      </c>
      <c r="CL49" s="25">
        <f t="shared" ca="1" si="282"/>
        <v>0</v>
      </c>
      <c r="CM49" s="69">
        <f t="shared" ca="1" si="283"/>
        <v>0</v>
      </c>
      <c r="CN49" s="29">
        <f t="array" aca="1" ref="CN49" ca="1">+IF(CF49=0,0,_xludf.XLOOKUP(CM49,CP48:CP51,CQ48:CQ51))</f>
        <v>0</v>
      </c>
      <c r="CO49" s="54"/>
      <c r="CP49" s="25">
        <f ca="1">+LARGE(CM48:CM51,2)</f>
        <v>0</v>
      </c>
      <c r="CQ49" s="25">
        <f t="shared" si="284"/>
        <v>0.2</v>
      </c>
      <c r="CR49" s="24">
        <v>2</v>
      </c>
    </row>
    <row r="50" spans="1:96" ht="14.25" customHeight="1" x14ac:dyDescent="0.25">
      <c r="A50" s="47" t="s">
        <v>156</v>
      </c>
      <c r="B50" s="48">
        <v>46193</v>
      </c>
      <c r="C50" s="49"/>
      <c r="D50" s="50"/>
      <c r="E50" s="51" t="s">
        <v>54</v>
      </c>
      <c r="F50" s="52">
        <v>2</v>
      </c>
      <c r="G50" s="52">
        <v>0</v>
      </c>
      <c r="H50" s="53" t="s">
        <v>70</v>
      </c>
      <c r="I50" s="24"/>
      <c r="J50" s="25" t="str">
        <f t="shared" si="241"/>
        <v>Paises Bajos</v>
      </c>
      <c r="K50" s="25" t="str">
        <f t="shared" si="242"/>
        <v/>
      </c>
      <c r="L50" s="25" t="str">
        <f t="shared" si="243"/>
        <v/>
      </c>
      <c r="M50" s="25" t="str">
        <f t="shared" si="244"/>
        <v>Suecia</v>
      </c>
      <c r="N50" s="24"/>
      <c r="O50" s="27" t="str">
        <f>+E49</f>
        <v>Suecia</v>
      </c>
      <c r="P50" s="25">
        <f>+COUNTIF(J48:J53,"="&amp;$O50)</f>
        <v>1</v>
      </c>
      <c r="Q50" s="25">
        <f>+COUNTIF(K48:L53,"="&amp;$O50)</f>
        <v>0</v>
      </c>
      <c r="R50" s="25">
        <f>+COUNTIF(M48:M53,"="&amp;$O50)</f>
        <v>2</v>
      </c>
      <c r="S50" s="25">
        <f t="shared" si="245"/>
        <v>-1</v>
      </c>
      <c r="T50" s="25">
        <f>+SUMIF(E48:E53,$O50,F48:F53)+SUMIF(H48:H53,$O50,G48:G53)</f>
        <v>3</v>
      </c>
      <c r="U50" s="25">
        <f>+SUMIF(E48:E53,$O50,G48:G53)+SUMIF(H48:H53,$O50,F48:F53)</f>
        <v>4</v>
      </c>
      <c r="V50" s="54">
        <f t="shared" ca="1" si="246"/>
        <v>2.9993050000000001</v>
      </c>
      <c r="W50" s="27" t="str">
        <f t="shared" si="247"/>
        <v>Suecia</v>
      </c>
      <c r="X50" s="24"/>
      <c r="Y50" s="78" t="str">
        <f>+CONCATENATE("3",RIGHT(E47,1))</f>
        <v>3F</v>
      </c>
      <c r="Z50" s="79" t="str">
        <f ca="1">+VLOOKUP(AL50,V48:W51,2,FALSE)</f>
        <v>Suecia</v>
      </c>
      <c r="AA50" s="80">
        <f t="shared" ca="1" si="248"/>
        <v>3</v>
      </c>
      <c r="AB50" s="81">
        <f t="shared" ref="AB50:AG50" ca="1" si="286">+VLOOKUP($Z50,$O$48:$U$51,COLUMN()-26,FALSE)</f>
        <v>1</v>
      </c>
      <c r="AC50" s="81">
        <f t="shared" ca="1" si="286"/>
        <v>0</v>
      </c>
      <c r="AD50" s="81">
        <f t="shared" ca="1" si="286"/>
        <v>2</v>
      </c>
      <c r="AE50" s="81">
        <f t="shared" ca="1" si="286"/>
        <v>-1</v>
      </c>
      <c r="AF50" s="81">
        <f t="shared" ca="1" si="286"/>
        <v>3</v>
      </c>
      <c r="AG50" s="81">
        <f t="shared" ca="1" si="286"/>
        <v>4</v>
      </c>
      <c r="AH50" s="82">
        <f t="shared" ca="1" si="250"/>
        <v>2.9993050000000001</v>
      </c>
      <c r="AI50" s="83">
        <f ca="1">+(COUNTIFS($CV$2:$CV$13,Z50,$CX$2:$CX$13,"IN")+COUNTIFS($CV$2:$CV$13,Z50,$CW$2:$CW$13,"IN"))*IF(SUM(AA48:AA51)=12,1,0)</f>
        <v>1</v>
      </c>
      <c r="AJ50" s="24"/>
      <c r="AK50" s="24"/>
      <c r="AL50" s="54">
        <f ca="1">+LARGE(V48:V51,3)</f>
        <v>2.9993050000000001</v>
      </c>
      <c r="AM50" s="61">
        <f t="shared" ca="1" si="251"/>
        <v>0</v>
      </c>
      <c r="AN50" s="24"/>
      <c r="AO50" s="24"/>
      <c r="AP50" s="62" t="str">
        <f t="shared" si="252"/>
        <v>Suecia</v>
      </c>
      <c r="AQ50" s="28">
        <f t="shared" ca="1" si="253"/>
        <v>2.9993000000000003</v>
      </c>
      <c r="AR50" s="24" t="b">
        <f ca="1">+IF(OR(AQ50=AQ51),1)</f>
        <v>0</v>
      </c>
      <c r="AS50" s="63">
        <f t="shared" si="254"/>
        <v>0</v>
      </c>
      <c r="AT50" s="63">
        <f ca="1">+IF(AND(AM52="si",OR(AR48=1,AR49=1,AR50=1)),1,0)</f>
        <v>0</v>
      </c>
      <c r="AU50" s="76" t="str">
        <f t="shared" si="255"/>
        <v>Suecia</v>
      </c>
      <c r="AV50" s="77"/>
      <c r="AW50" s="24"/>
      <c r="AX50" s="24" t="str">
        <f>+Y47</f>
        <v>Grupo F</v>
      </c>
      <c r="AY50" s="25" t="str">
        <f t="shared" si="256"/>
        <v>Suecia</v>
      </c>
      <c r="AZ50" s="29">
        <f t="shared" si="257"/>
        <v>3</v>
      </c>
      <c r="BA50" s="29">
        <f t="shared" si="258"/>
        <v>1</v>
      </c>
      <c r="BB50" s="29">
        <f>+IF(AZ50=BF46,ROW()*0.001,AZ50)</f>
        <v>3</v>
      </c>
      <c r="BC50" s="29">
        <f t="shared" si="259"/>
        <v>3</v>
      </c>
      <c r="BD50" s="29"/>
      <c r="BE50" s="26" t="e">
        <f ca="1">+IF(OR(BF50="-",BI50="-",BF46=0),"-","OK")</f>
        <v>#NAME?</v>
      </c>
      <c r="BF50" s="66" t="e">
        <f t="array" aca="1" ref="BF50" ca="1">+IF(_xludf.XLOOKUP($E50,$AY:$AY,$AZ:$AZ,"-",0)=BF46,$E50,"-")</f>
        <v>#NAME?</v>
      </c>
      <c r="BG50" s="67">
        <f t="shared" si="260"/>
        <v>2</v>
      </c>
      <c r="BH50" s="68">
        <f t="shared" si="261"/>
        <v>0</v>
      </c>
      <c r="BI50" s="66" t="e">
        <f t="array" aca="1" ref="BI50" ca="1">+IF(_xludf.XLOOKUP($H50,$AY:$AY,$AZ:$AZ,"-",0)=BF46,$H50,"-")</f>
        <v>#NAME?</v>
      </c>
      <c r="BJ50" s="24"/>
      <c r="BK50" s="27" t="str">
        <f t="shared" si="262"/>
        <v>Suecia</v>
      </c>
      <c r="BL50" s="27">
        <f t="shared" ca="1" si="263"/>
        <v>0</v>
      </c>
      <c r="BM50" s="25">
        <f t="shared" ca="1" si="264"/>
        <v>0</v>
      </c>
      <c r="BN50" s="25">
        <f t="shared" si="265"/>
        <v>0</v>
      </c>
      <c r="BO50" s="25">
        <f t="shared" ca="1" si="266"/>
        <v>0</v>
      </c>
      <c r="BP50" s="25">
        <f t="shared" ca="1" si="267"/>
        <v>0</v>
      </c>
      <c r="BQ50" s="25">
        <f t="shared" ca="1" si="268"/>
        <v>0</v>
      </c>
      <c r="BR50" s="25">
        <f t="shared" ca="1" si="269"/>
        <v>0</v>
      </c>
      <c r="BS50" s="69">
        <f t="shared" ca="1" si="270"/>
        <v>0</v>
      </c>
      <c r="BT50" s="29">
        <f t="array" aca="1" ref="BT50" ca="1">+IF(BL50=0,0,_xludf.XLOOKUP(BS50,BV48:BV51,BW48:BW51))</f>
        <v>0</v>
      </c>
      <c r="BU50" s="54"/>
      <c r="BV50" s="25">
        <f ca="1">+LARGE(BS48:BS51,3)</f>
        <v>0</v>
      </c>
      <c r="BW50" s="25">
        <f t="shared" si="271"/>
        <v>0.1</v>
      </c>
      <c r="BX50" s="24">
        <v>1</v>
      </c>
      <c r="BY50" s="26" t="e">
        <f t="shared" ca="1" si="272"/>
        <v>#NAME?</v>
      </c>
      <c r="BZ50" s="66" t="e">
        <f t="array" aca="1" ref="BZ50" ca="1">+IF(_xludf.XLOOKUP($E50,$AY:$AY,$AZ:$AZ,"-",0)=BZ46,$E50,"-")</f>
        <v>#NAME?</v>
      </c>
      <c r="CA50" s="67">
        <f t="shared" si="273"/>
        <v>2</v>
      </c>
      <c r="CB50" s="68">
        <f t="shared" si="274"/>
        <v>0</v>
      </c>
      <c r="CC50" s="66" t="e">
        <f t="array" aca="1" ref="CC50" ca="1">+IF(_xludf.XLOOKUP($H50,$AY:$AY,$AZ:$AZ,"-",0)=BZ46,$H50,"-")</f>
        <v>#NAME?</v>
      </c>
      <c r="CD50" s="24"/>
      <c r="CE50" s="27" t="str">
        <f t="shared" si="275"/>
        <v>Suecia</v>
      </c>
      <c r="CF50" s="27">
        <f t="shared" ca="1" si="276"/>
        <v>0</v>
      </c>
      <c r="CG50" s="25">
        <f t="shared" si="277"/>
        <v>0</v>
      </c>
      <c r="CH50" s="25">
        <f t="shared" si="278"/>
        <v>0</v>
      </c>
      <c r="CI50" s="25">
        <f t="shared" ca="1" si="279"/>
        <v>0</v>
      </c>
      <c r="CJ50" s="25">
        <f t="shared" ca="1" si="280"/>
        <v>0</v>
      </c>
      <c r="CK50" s="25">
        <f t="shared" ca="1" si="281"/>
        <v>0</v>
      </c>
      <c r="CL50" s="25">
        <f t="shared" ca="1" si="282"/>
        <v>0</v>
      </c>
      <c r="CM50" s="69">
        <f t="shared" ca="1" si="283"/>
        <v>0</v>
      </c>
      <c r="CN50" s="29">
        <f t="array" aca="1" ref="CN50" ca="1">+IF(CF50=0,0,_xludf.XLOOKUP(CM50,CP48:CP51,CQ48:CQ51))</f>
        <v>0</v>
      </c>
      <c r="CO50" s="54"/>
      <c r="CP50" s="25">
        <f ca="1">+LARGE(CM48:CM51,3)</f>
        <v>0</v>
      </c>
      <c r="CQ50" s="25">
        <f t="shared" si="284"/>
        <v>0.1</v>
      </c>
      <c r="CR50" s="24">
        <v>1</v>
      </c>
    </row>
    <row r="51" spans="1:96" ht="14.25" customHeight="1" x14ac:dyDescent="0.25">
      <c r="A51" s="47" t="s">
        <v>157</v>
      </c>
      <c r="B51" s="48">
        <v>46194</v>
      </c>
      <c r="C51" s="49"/>
      <c r="D51" s="50"/>
      <c r="E51" s="51" t="s">
        <v>81</v>
      </c>
      <c r="F51" s="52">
        <v>0</v>
      </c>
      <c r="G51" s="52">
        <v>2</v>
      </c>
      <c r="H51" s="53" t="s">
        <v>64</v>
      </c>
      <c r="I51" s="24"/>
      <c r="J51" s="25" t="str">
        <f t="shared" si="241"/>
        <v>Japon</v>
      </c>
      <c r="K51" s="25" t="str">
        <f t="shared" si="242"/>
        <v/>
      </c>
      <c r="L51" s="25" t="str">
        <f t="shared" si="243"/>
        <v/>
      </c>
      <c r="M51" s="25" t="str">
        <f t="shared" si="244"/>
        <v>Tunez</v>
      </c>
      <c r="N51" s="24"/>
      <c r="O51" s="27" t="str">
        <f>+H49</f>
        <v>Tunez</v>
      </c>
      <c r="P51" s="25">
        <f>+COUNTIF(J48:J53,"="&amp;$O51)</f>
        <v>0</v>
      </c>
      <c r="Q51" s="25">
        <f>+COUNTIF(K48:L53,"="&amp;$O51)</f>
        <v>0</v>
      </c>
      <c r="R51" s="25">
        <f>+COUNTIF(M48:M53,"="&amp;$O51)</f>
        <v>3</v>
      </c>
      <c r="S51" s="25">
        <f t="shared" si="245"/>
        <v>-6</v>
      </c>
      <c r="T51" s="25">
        <f>+SUMIF(E48:E53,$O51,F48:F53)+SUMIF(H48:H53,$O51,G48:G53)</f>
        <v>1</v>
      </c>
      <c r="U51" s="25">
        <f>+SUMIF(E48:E53,$O51,G48:G53)+SUMIF(H48:H53,$O51,F48:F53)</f>
        <v>7</v>
      </c>
      <c r="V51" s="54">
        <f t="shared" ca="1" si="246"/>
        <v>-5.8948999999999998E-3</v>
      </c>
      <c r="W51" s="27" t="str">
        <f t="shared" si="247"/>
        <v>Tunez</v>
      </c>
      <c r="X51" s="24"/>
      <c r="Y51" s="84" t="str">
        <f>+CONCATENATE("4",RIGHT(E47,1))</f>
        <v>4F</v>
      </c>
      <c r="Z51" s="85" t="str">
        <f ca="1">+VLOOKUP(AL51,V48:W51,2,FALSE)</f>
        <v>Tunez</v>
      </c>
      <c r="AA51" s="86">
        <f t="shared" ca="1" si="248"/>
        <v>3</v>
      </c>
      <c r="AB51" s="87">
        <f t="shared" ref="AB51:AG51" ca="1" si="287">+VLOOKUP($Z51,$O$48:$U$51,COLUMN()-26,FALSE)</f>
        <v>0</v>
      </c>
      <c r="AC51" s="87">
        <f t="shared" ca="1" si="287"/>
        <v>0</v>
      </c>
      <c r="AD51" s="87">
        <f t="shared" ca="1" si="287"/>
        <v>3</v>
      </c>
      <c r="AE51" s="87">
        <f t="shared" ca="1" si="287"/>
        <v>-6</v>
      </c>
      <c r="AF51" s="87">
        <f t="shared" ca="1" si="287"/>
        <v>1</v>
      </c>
      <c r="AG51" s="87">
        <f t="shared" ca="1" si="287"/>
        <v>7</v>
      </c>
      <c r="AH51" s="88">
        <f t="shared" ca="1" si="250"/>
        <v>-5.8948999999999998E-3</v>
      </c>
      <c r="AI51" s="83"/>
      <c r="AJ51" s="24"/>
      <c r="AK51" s="24"/>
      <c r="AL51" s="54">
        <f ca="1">+LARGE(V48:V51,4)</f>
        <v>-5.8948999999999998E-3</v>
      </c>
      <c r="AM51" s="61">
        <f t="shared" ca="1" si="251"/>
        <v>0</v>
      </c>
      <c r="AN51" s="24"/>
      <c r="AO51" s="24"/>
      <c r="AP51" s="62" t="str">
        <f t="shared" si="252"/>
        <v>Tunez</v>
      </c>
      <c r="AQ51" s="28">
        <f t="shared" ca="1" si="253"/>
        <v>-5.8999999999999999E-3</v>
      </c>
      <c r="AR51" s="24"/>
      <c r="AS51" s="63">
        <f t="shared" si="254"/>
        <v>0</v>
      </c>
      <c r="AT51" s="63">
        <f ca="1">+IF(AND(AM52="si",OR(AR48=1,AR49=1,AR50=1)),1,0)</f>
        <v>0</v>
      </c>
      <c r="AU51" s="89" t="str">
        <f t="shared" si="255"/>
        <v>Tunez</v>
      </c>
      <c r="AV51" s="90"/>
      <c r="AW51" s="24"/>
      <c r="AX51" s="24" t="str">
        <f>+Y47</f>
        <v>Grupo F</v>
      </c>
      <c r="AY51" s="25" t="str">
        <f t="shared" si="256"/>
        <v>Tunez</v>
      </c>
      <c r="AZ51" s="29">
        <f t="shared" si="257"/>
        <v>0</v>
      </c>
      <c r="BA51" s="29">
        <f t="shared" si="258"/>
        <v>1</v>
      </c>
      <c r="BB51" s="29">
        <f>+IF(AZ51=BF46,ROW()*0.001,AZ51)</f>
        <v>0</v>
      </c>
      <c r="BC51" s="29">
        <f t="shared" si="259"/>
        <v>5</v>
      </c>
      <c r="BD51" s="29"/>
      <c r="BE51" s="26" t="e">
        <f ca="1">+IF(OR(BF51="-",BI51="-",BF46=0),"-","OK")</f>
        <v>#NAME?</v>
      </c>
      <c r="BF51" s="66" t="e">
        <f t="array" aca="1" ref="BF51" ca="1">+IF(_xludf.XLOOKUP($E51,$AY:$AY,$AZ:$AZ,"-",0)=BF46,$E51,"-")</f>
        <v>#NAME?</v>
      </c>
      <c r="BG51" s="67">
        <f t="shared" si="260"/>
        <v>0</v>
      </c>
      <c r="BH51" s="68">
        <f t="shared" si="261"/>
        <v>2</v>
      </c>
      <c r="BI51" s="66" t="e">
        <f t="array" aca="1" ref="BI51" ca="1">+IF(_xludf.XLOOKUP($H51,$AY:$AY,$AZ:$AZ,"-",0)=BF46,$H51,"-")</f>
        <v>#NAME?</v>
      </c>
      <c r="BJ51" s="24"/>
      <c r="BK51" s="27" t="str">
        <f t="shared" si="262"/>
        <v>Tunez</v>
      </c>
      <c r="BL51" s="27">
        <f t="shared" ca="1" si="263"/>
        <v>0</v>
      </c>
      <c r="BM51" s="25">
        <f t="shared" si="264"/>
        <v>0</v>
      </c>
      <c r="BN51" s="25">
        <f t="shared" si="265"/>
        <v>0</v>
      </c>
      <c r="BO51" s="25">
        <f t="shared" ca="1" si="266"/>
        <v>0</v>
      </c>
      <c r="BP51" s="25">
        <f t="shared" ca="1" si="267"/>
        <v>0</v>
      </c>
      <c r="BQ51" s="25">
        <f t="shared" ca="1" si="268"/>
        <v>0</v>
      </c>
      <c r="BR51" s="25">
        <f t="shared" ca="1" si="269"/>
        <v>0</v>
      </c>
      <c r="BS51" s="69">
        <f t="shared" ca="1" si="270"/>
        <v>0</v>
      </c>
      <c r="BT51" s="29">
        <f t="array" aca="1" ref="BT51" ca="1">+IF(BL51=0,0,_xludf.XLOOKUP(BS51,BV48:BV51,BW48:BW51))</f>
        <v>0</v>
      </c>
      <c r="BU51" s="54"/>
      <c r="BV51" s="25">
        <f ca="1">+LARGE(BS48:BS51,4)</f>
        <v>0</v>
      </c>
      <c r="BW51" s="25">
        <f t="shared" si="271"/>
        <v>0</v>
      </c>
      <c r="BX51" s="24">
        <v>0</v>
      </c>
      <c r="BY51" s="26" t="e">
        <f t="shared" ca="1" si="272"/>
        <v>#NAME?</v>
      </c>
      <c r="BZ51" s="66" t="e">
        <f t="array" aca="1" ref="BZ51" ca="1">+IF(_xludf.XLOOKUP($E51,$AY:$AY,$AZ:$AZ,"-",0)=BZ46,$E51,"-")</f>
        <v>#NAME?</v>
      </c>
      <c r="CA51" s="67">
        <f t="shared" si="273"/>
        <v>0</v>
      </c>
      <c r="CB51" s="68">
        <f t="shared" si="274"/>
        <v>2</v>
      </c>
      <c r="CC51" s="66" t="e">
        <f t="array" aca="1" ref="CC51" ca="1">+IF(_xludf.XLOOKUP($H51,$AY:$AY,$AZ:$AZ,"-",0)=BZ46,$H51,"-")</f>
        <v>#NAME?</v>
      </c>
      <c r="CD51" s="24"/>
      <c r="CE51" s="27" t="str">
        <f t="shared" si="275"/>
        <v>Tunez</v>
      </c>
      <c r="CF51" s="27">
        <f t="shared" ca="1" si="276"/>
        <v>0</v>
      </c>
      <c r="CG51" s="25">
        <f t="shared" si="277"/>
        <v>0</v>
      </c>
      <c r="CH51" s="25">
        <f t="shared" si="278"/>
        <v>0</v>
      </c>
      <c r="CI51" s="25">
        <f t="shared" ca="1" si="279"/>
        <v>0</v>
      </c>
      <c r="CJ51" s="25">
        <f t="shared" ca="1" si="280"/>
        <v>0</v>
      </c>
      <c r="CK51" s="25">
        <f t="shared" ca="1" si="281"/>
        <v>0</v>
      </c>
      <c r="CL51" s="25">
        <f t="shared" ca="1" si="282"/>
        <v>0</v>
      </c>
      <c r="CM51" s="69">
        <f t="shared" ca="1" si="283"/>
        <v>0</v>
      </c>
      <c r="CN51" s="29">
        <f t="array" aca="1" ref="CN51" ca="1">+IF(CF51=0,0,_xludf.XLOOKUP(CM51,CP48:CP51,CQ48:CQ51))</f>
        <v>0</v>
      </c>
      <c r="CO51" s="54"/>
      <c r="CP51" s="25">
        <f ca="1">+LARGE(CM48:CM51,4)</f>
        <v>0</v>
      </c>
      <c r="CQ51" s="25">
        <f t="shared" si="284"/>
        <v>0</v>
      </c>
      <c r="CR51" s="24">
        <v>0</v>
      </c>
    </row>
    <row r="52" spans="1:96" ht="14.25" customHeight="1" x14ac:dyDescent="0.25">
      <c r="A52" s="47" t="s">
        <v>158</v>
      </c>
      <c r="B52" s="48">
        <v>46198</v>
      </c>
      <c r="C52" s="49"/>
      <c r="D52" s="50"/>
      <c r="E52" s="51" t="s">
        <v>64</v>
      </c>
      <c r="F52" s="52">
        <v>1</v>
      </c>
      <c r="G52" s="52">
        <v>0</v>
      </c>
      <c r="H52" s="53" t="s">
        <v>70</v>
      </c>
      <c r="I52" s="24"/>
      <c r="J52" s="25" t="str">
        <f t="shared" si="241"/>
        <v>Japon</v>
      </c>
      <c r="K52" s="25" t="str">
        <f t="shared" si="242"/>
        <v/>
      </c>
      <c r="L52" s="25" t="str">
        <f t="shared" si="243"/>
        <v/>
      </c>
      <c r="M52" s="25" t="str">
        <f t="shared" si="244"/>
        <v>Suecia</v>
      </c>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6" t="s">
        <v>122</v>
      </c>
      <c r="AM52" s="61" t="str">
        <f ca="1">+IF(SUM(AA48:AA51)=12,"si","no")</f>
        <v>si</v>
      </c>
      <c r="AN52" s="24"/>
      <c r="AO52" s="24"/>
      <c r="AP52" s="24"/>
      <c r="AQ52" s="24"/>
      <c r="AR52" s="24"/>
      <c r="AS52" s="24"/>
      <c r="AT52" s="24"/>
      <c r="AU52" s="24"/>
      <c r="AV52" s="24"/>
      <c r="AW52" s="24"/>
      <c r="AX52" s="24"/>
      <c r="AY52" s="24"/>
      <c r="AZ52" s="24"/>
      <c r="BA52" s="24"/>
      <c r="BB52" s="24"/>
      <c r="BC52" s="24"/>
      <c r="BD52" s="24"/>
      <c r="BE52" s="26" t="e">
        <f ca="1">+IF(OR(BF52="-",BI52="-",BF46=0),"-","OK")</f>
        <v>#NAME?</v>
      </c>
      <c r="BF52" s="66" t="e">
        <f t="array" aca="1" ref="BF52" ca="1">+IF(_xludf.XLOOKUP($E52,$AY:$AY,$AZ:$AZ,"-",0)=BF46,$E52,"-")</f>
        <v>#NAME?</v>
      </c>
      <c r="BG52" s="67">
        <f t="shared" si="260"/>
        <v>1</v>
      </c>
      <c r="BH52" s="68">
        <f t="shared" si="261"/>
        <v>0</v>
      </c>
      <c r="BI52" s="66" t="e">
        <f t="array" aca="1" ref="BI52" ca="1">+IF(_xludf.XLOOKUP($H52,$AY:$AY,$AZ:$AZ,"-",0)=BF46,$H52,"-")</f>
        <v>#NAME?</v>
      </c>
      <c r="BJ52" s="24"/>
      <c r="BK52" s="24"/>
      <c r="BL52" s="24"/>
      <c r="BM52" s="24"/>
      <c r="BN52" s="24"/>
      <c r="BO52" s="24"/>
      <c r="BP52" s="24"/>
      <c r="BQ52" s="24"/>
      <c r="BR52" s="24"/>
      <c r="BS52" s="24"/>
      <c r="BT52" s="24"/>
      <c r="BU52" s="24"/>
      <c r="BV52" s="24"/>
      <c r="BW52" s="24"/>
      <c r="BX52" s="24"/>
      <c r="BY52" s="26" t="e">
        <f t="shared" ca="1" si="272"/>
        <v>#NAME?</v>
      </c>
      <c r="BZ52" s="66" t="e">
        <f t="array" aca="1" ref="BZ52" ca="1">+IF(_xludf.XLOOKUP($E52,$AY:$AY,$AZ:$AZ,"-",0)=BZ46,$E52,"-")</f>
        <v>#NAME?</v>
      </c>
      <c r="CA52" s="67">
        <f t="shared" si="273"/>
        <v>1</v>
      </c>
      <c r="CB52" s="68">
        <f t="shared" si="274"/>
        <v>0</v>
      </c>
      <c r="CC52" s="66" t="e">
        <f t="array" aca="1" ref="CC52" ca="1">+IF(_xludf.XLOOKUP($H52,$AY:$AY,$AZ:$AZ,"-",0)=BZ46,$H52,"-")</f>
        <v>#NAME?</v>
      </c>
      <c r="CD52" s="24"/>
      <c r="CE52" s="24"/>
      <c r="CF52" s="24"/>
      <c r="CG52" s="24"/>
      <c r="CH52" s="24"/>
      <c r="CI52" s="24"/>
      <c r="CJ52" s="24"/>
      <c r="CK52" s="24"/>
      <c r="CL52" s="24"/>
      <c r="CM52" s="24"/>
      <c r="CN52" s="24"/>
      <c r="CO52" s="24"/>
      <c r="CP52" s="24"/>
      <c r="CQ52" s="24"/>
      <c r="CR52" s="24"/>
    </row>
    <row r="53" spans="1:96" ht="14.25" customHeight="1" x14ac:dyDescent="0.25">
      <c r="A53" s="47" t="s">
        <v>159</v>
      </c>
      <c r="B53" s="48">
        <v>46198</v>
      </c>
      <c r="C53" s="49"/>
      <c r="D53" s="50"/>
      <c r="E53" s="51" t="s">
        <v>81</v>
      </c>
      <c r="F53" s="52">
        <v>0</v>
      </c>
      <c r="G53" s="52">
        <v>2</v>
      </c>
      <c r="H53" s="53" t="s">
        <v>54</v>
      </c>
      <c r="I53" s="24"/>
      <c r="J53" s="25" t="str">
        <f t="shared" si="241"/>
        <v>Paises Bajos</v>
      </c>
      <c r="K53" s="25" t="str">
        <f t="shared" si="242"/>
        <v/>
      </c>
      <c r="L53" s="25" t="str">
        <f t="shared" si="243"/>
        <v/>
      </c>
      <c r="M53" s="25" t="str">
        <f t="shared" si="244"/>
        <v>Tunez</v>
      </c>
      <c r="N53" s="24"/>
      <c r="O53" s="24"/>
      <c r="P53" s="24"/>
      <c r="Q53" s="24"/>
      <c r="R53" s="24"/>
      <c r="S53" s="24"/>
      <c r="T53" s="24"/>
      <c r="U53" s="24"/>
      <c r="V53" s="24"/>
      <c r="W53" s="24"/>
      <c r="X53" s="24"/>
      <c r="Y53" s="62" t="s">
        <v>124</v>
      </c>
      <c r="Z53" s="24"/>
      <c r="AA53" s="24"/>
      <c r="AB53" s="24"/>
      <c r="AC53" s="24"/>
      <c r="AD53" s="24"/>
      <c r="AE53" s="24"/>
      <c r="AF53" s="24"/>
      <c r="AG53" s="24"/>
      <c r="AH53" s="24"/>
      <c r="AI53" s="24"/>
      <c r="AJ53" s="24"/>
      <c r="AK53" s="24"/>
      <c r="AL53" s="24"/>
      <c r="AM53" s="24"/>
      <c r="AN53" s="24"/>
      <c r="AO53" s="24"/>
      <c r="AP53" s="24"/>
      <c r="AQ53" s="24"/>
      <c r="AR53" s="24">
        <f ca="1">+IF(AND(AM52="si",OR(AR48=1,AR49=1,AR50=1)),1,0)</f>
        <v>0</v>
      </c>
      <c r="AS53" s="24"/>
      <c r="AT53" s="24"/>
      <c r="AU53" s="24"/>
      <c r="AV53" s="24"/>
      <c r="AW53" s="24"/>
      <c r="AX53" s="24"/>
      <c r="AY53" s="24"/>
      <c r="AZ53" s="24"/>
      <c r="BA53" s="24"/>
      <c r="BB53" s="24"/>
      <c r="BC53" s="24"/>
      <c r="BD53" s="24"/>
      <c r="BE53" s="26" t="e">
        <f ca="1">+IF(OR(BF53="-",BI53="-",BF46=0),"-","OK")</f>
        <v>#NAME?</v>
      </c>
      <c r="BF53" s="66" t="e">
        <f t="array" aca="1" ref="BF53" ca="1">+IF(_xludf.XLOOKUP($E53,$AY:$AY,$AZ:$AZ,"-",0)=BF46,$E53,"-")</f>
        <v>#NAME?</v>
      </c>
      <c r="BG53" s="67">
        <f t="shared" si="260"/>
        <v>0</v>
      </c>
      <c r="BH53" s="68">
        <f t="shared" si="261"/>
        <v>2</v>
      </c>
      <c r="BI53" s="66" t="e">
        <f t="array" aca="1" ref="BI53" ca="1">+IF(_xludf.XLOOKUP($H53,$AY:$AY,$AZ:$AZ,"-",0)=BF46,$H53,"-")</f>
        <v>#NAME?</v>
      </c>
      <c r="BJ53" s="24"/>
      <c r="BK53" s="24"/>
      <c r="BL53" s="24"/>
      <c r="BM53" s="24"/>
      <c r="BN53" s="24"/>
      <c r="BO53" s="24"/>
      <c r="BP53" s="24"/>
      <c r="BQ53" s="24"/>
      <c r="BR53" s="24"/>
      <c r="BS53" s="24"/>
      <c r="BT53" s="24"/>
      <c r="BU53" s="24"/>
      <c r="BV53" s="24"/>
      <c r="BW53" s="24"/>
      <c r="BX53" s="24"/>
      <c r="BY53" s="26" t="e">
        <f t="shared" ca="1" si="272"/>
        <v>#NAME?</v>
      </c>
      <c r="BZ53" s="66" t="e">
        <f t="array" aca="1" ref="BZ53" ca="1">+IF(_xludf.XLOOKUP($E53,$AY:$AY,$AZ:$AZ,"-",0)=BZ46,$E53,"-")</f>
        <v>#NAME?</v>
      </c>
      <c r="CA53" s="67">
        <f t="shared" si="273"/>
        <v>0</v>
      </c>
      <c r="CB53" s="68">
        <f t="shared" si="274"/>
        <v>2</v>
      </c>
      <c r="CC53" s="66" t="e">
        <f t="array" aca="1" ref="CC53" ca="1">+IF(_xludf.XLOOKUP($H53,$AY:$AY,$AZ:$AZ,"-",0)=BZ46,$H53,"-")</f>
        <v>#NAME?</v>
      </c>
      <c r="CD53" s="24"/>
      <c r="CE53" s="24"/>
      <c r="CF53" s="24"/>
      <c r="CG53" s="24"/>
      <c r="CH53" s="24"/>
      <c r="CI53" s="24"/>
      <c r="CJ53" s="24"/>
      <c r="CK53" s="24"/>
      <c r="CL53" s="24"/>
      <c r="CM53" s="24"/>
      <c r="CN53" s="24"/>
      <c r="CO53" s="24"/>
      <c r="CP53" s="24"/>
      <c r="CQ53" s="24"/>
      <c r="CR53" s="24"/>
    </row>
    <row r="54" spans="1:96" ht="14.25" customHeight="1" x14ac:dyDescent="0.25">
      <c r="A54" s="91"/>
      <c r="B54" s="92"/>
      <c r="C54" s="91"/>
      <c r="D54" s="93"/>
      <c r="E54" s="94"/>
      <c r="F54" s="91"/>
      <c r="G54" s="91"/>
      <c r="H54" s="95"/>
      <c r="I54" s="93"/>
      <c r="J54" s="91"/>
      <c r="K54" s="91"/>
      <c r="L54" s="91"/>
      <c r="M54" s="91"/>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1"/>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row>
    <row r="55" spans="1:96" ht="14.25" customHeight="1" x14ac:dyDescent="0.25">
      <c r="A55" s="24"/>
      <c r="B55" s="25"/>
      <c r="C55" s="25"/>
      <c r="D55" s="24"/>
      <c r="E55" s="26"/>
      <c r="F55" s="25"/>
      <c r="G55" s="25"/>
      <c r="H55" s="27"/>
      <c r="I55" s="24"/>
      <c r="J55" s="25"/>
      <c r="K55" s="25"/>
      <c r="L55" s="25"/>
      <c r="M55" s="25"/>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5"/>
      <c r="BF55" s="28" t="str">
        <f>+IF(BA57&gt;1,AZ57,IF(BA58&gt;1,AZ58,IF(BA59&gt;1,AZ59,IF(BA60&gt;1,AZ60,"-"))))</f>
        <v>-</v>
      </c>
      <c r="BG55" s="24"/>
      <c r="BH55" s="24"/>
      <c r="BI55" s="24"/>
      <c r="BJ55" s="24"/>
      <c r="BK55" s="24"/>
      <c r="BL55" s="24"/>
      <c r="BM55" s="24"/>
      <c r="BN55" s="24"/>
      <c r="BO55" s="24"/>
      <c r="BP55" s="24"/>
      <c r="BQ55" s="24"/>
      <c r="BR55" s="24"/>
      <c r="BS55" s="24"/>
      <c r="BT55" s="24"/>
      <c r="BU55" s="24"/>
      <c r="BV55" s="24"/>
      <c r="BW55" s="24">
        <v>10</v>
      </c>
      <c r="BX55" s="24"/>
      <c r="BY55" s="24"/>
      <c r="BZ55" s="29">
        <f>+IF(BC57&gt;1,BB57,IF(BC58&gt;1,BB58,IF(BC59&gt;1,BB59,IF(BC60&gt;1,BB60,"-"))))</f>
        <v>6</v>
      </c>
      <c r="CA55" s="24"/>
      <c r="CB55" s="24"/>
      <c r="CC55" s="24"/>
      <c r="CD55" s="24"/>
      <c r="CE55" s="24"/>
      <c r="CF55" s="24"/>
      <c r="CG55" s="24"/>
      <c r="CH55" s="24"/>
      <c r="CI55" s="24"/>
      <c r="CJ55" s="24"/>
      <c r="CK55" s="24"/>
      <c r="CL55" s="24"/>
      <c r="CM55" s="24"/>
      <c r="CN55" s="24"/>
      <c r="CO55" s="24"/>
      <c r="CP55" s="24"/>
      <c r="CQ55" s="24">
        <v>10</v>
      </c>
      <c r="CR55" s="24"/>
    </row>
    <row r="56" spans="1:96" ht="14.25" customHeight="1" x14ac:dyDescent="0.25">
      <c r="A56" s="150" t="s">
        <v>100</v>
      </c>
      <c r="B56" s="151" t="s">
        <v>101</v>
      </c>
      <c r="C56" s="151" t="s">
        <v>102</v>
      </c>
      <c r="D56" s="152"/>
      <c r="E56" s="153" t="s">
        <v>160</v>
      </c>
      <c r="F56" s="154"/>
      <c r="G56" s="154"/>
      <c r="H56" s="155"/>
      <c r="I56" s="24"/>
      <c r="J56" s="25" t="s">
        <v>104</v>
      </c>
      <c r="K56" s="25" t="s">
        <v>105</v>
      </c>
      <c r="L56" s="25" t="s">
        <v>105</v>
      </c>
      <c r="M56" s="25" t="s">
        <v>106</v>
      </c>
      <c r="N56" s="24"/>
      <c r="O56" s="27" t="str">
        <f t="shared" ref="O56:O57" si="288">+E56</f>
        <v>Grupo G</v>
      </c>
      <c r="P56" s="25" t="s">
        <v>104</v>
      </c>
      <c r="Q56" s="25" t="s">
        <v>105</v>
      </c>
      <c r="R56" s="25" t="s">
        <v>106</v>
      </c>
      <c r="S56" s="25" t="s">
        <v>107</v>
      </c>
      <c r="T56" s="25" t="s">
        <v>108</v>
      </c>
      <c r="U56" s="25" t="s">
        <v>109</v>
      </c>
      <c r="V56" s="25" t="s">
        <v>0</v>
      </c>
      <c r="W56" s="25"/>
      <c r="X56" s="24"/>
      <c r="Y56" s="481" t="s">
        <v>160</v>
      </c>
      <c r="Z56" s="475"/>
      <c r="AA56" s="156" t="s">
        <v>110</v>
      </c>
      <c r="AB56" s="157" t="s">
        <v>104</v>
      </c>
      <c r="AC56" s="157" t="s">
        <v>105</v>
      </c>
      <c r="AD56" s="157" t="s">
        <v>106</v>
      </c>
      <c r="AE56" s="157" t="s">
        <v>107</v>
      </c>
      <c r="AF56" s="157" t="s">
        <v>108</v>
      </c>
      <c r="AG56" s="157" t="s">
        <v>109</v>
      </c>
      <c r="AH56" s="158" t="s">
        <v>0</v>
      </c>
      <c r="AI56" s="119"/>
      <c r="AJ56" s="24"/>
      <c r="AK56" s="24"/>
      <c r="AL56" s="25" t="s">
        <v>0</v>
      </c>
      <c r="AM56" s="25" t="s">
        <v>111</v>
      </c>
      <c r="AN56" s="25"/>
      <c r="AO56" s="25"/>
      <c r="AP56" s="25"/>
      <c r="AQ56" s="25"/>
      <c r="AR56" s="25"/>
      <c r="AS56" s="25"/>
      <c r="AT56" s="25"/>
      <c r="AU56" s="25"/>
      <c r="AV56" s="24"/>
      <c r="AW56" s="24"/>
      <c r="AX56" s="24"/>
      <c r="AY56" s="25" t="s">
        <v>112</v>
      </c>
      <c r="AZ56" s="25" t="s">
        <v>0</v>
      </c>
      <c r="BA56" s="25" t="s">
        <v>113</v>
      </c>
      <c r="BB56" s="25"/>
      <c r="BC56" s="25"/>
      <c r="BD56" s="25"/>
      <c r="BE56" s="25"/>
      <c r="BF56" s="24"/>
      <c r="BG56" s="24"/>
      <c r="BH56" s="24"/>
      <c r="BI56" s="24"/>
      <c r="BJ56" s="24"/>
      <c r="BK56" s="27"/>
      <c r="BL56" s="27" t="s">
        <v>110</v>
      </c>
      <c r="BM56" s="25" t="s">
        <v>104</v>
      </c>
      <c r="BN56" s="25" t="s">
        <v>105</v>
      </c>
      <c r="BO56" s="25" t="s">
        <v>106</v>
      </c>
      <c r="BP56" s="25" t="s">
        <v>107</v>
      </c>
      <c r="BQ56" s="25" t="s">
        <v>108</v>
      </c>
      <c r="BR56" s="25" t="s">
        <v>109</v>
      </c>
      <c r="BS56" s="25" t="s">
        <v>0</v>
      </c>
      <c r="BT56" s="25" t="s">
        <v>114</v>
      </c>
      <c r="BU56" s="25"/>
      <c r="BV56" s="25" t="s">
        <v>115</v>
      </c>
      <c r="BW56" s="25" t="s">
        <v>114</v>
      </c>
      <c r="BX56" s="24"/>
      <c r="BY56" s="24"/>
      <c r="BZ56" s="24"/>
      <c r="CA56" s="24"/>
      <c r="CB56" s="24"/>
      <c r="CC56" s="24"/>
      <c r="CD56" s="24"/>
      <c r="CE56" s="27"/>
      <c r="CF56" s="27" t="s">
        <v>110</v>
      </c>
      <c r="CG56" s="25" t="s">
        <v>104</v>
      </c>
      <c r="CH56" s="25" t="s">
        <v>105</v>
      </c>
      <c r="CI56" s="25" t="s">
        <v>106</v>
      </c>
      <c r="CJ56" s="25" t="s">
        <v>107</v>
      </c>
      <c r="CK56" s="25" t="s">
        <v>108</v>
      </c>
      <c r="CL56" s="25" t="s">
        <v>109</v>
      </c>
      <c r="CM56" s="25" t="s">
        <v>0</v>
      </c>
      <c r="CN56" s="25" t="s">
        <v>114</v>
      </c>
      <c r="CO56" s="25"/>
      <c r="CP56" s="25" t="s">
        <v>115</v>
      </c>
      <c r="CQ56" s="25" t="s">
        <v>114</v>
      </c>
      <c r="CR56" s="24"/>
    </row>
    <row r="57" spans="1:96" ht="14.25" customHeight="1" x14ac:dyDescent="0.25">
      <c r="A57" s="47" t="s">
        <v>161</v>
      </c>
      <c r="B57" s="48">
        <v>46188</v>
      </c>
      <c r="C57" s="49"/>
      <c r="D57" s="50"/>
      <c r="E57" s="51" t="s">
        <v>86</v>
      </c>
      <c r="F57" s="52">
        <v>1</v>
      </c>
      <c r="G57" s="52">
        <v>0</v>
      </c>
      <c r="H57" s="53" t="s">
        <v>95</v>
      </c>
      <c r="I57" s="24"/>
      <c r="J57" s="25" t="str">
        <f t="shared" ref="J57:J62" si="289">IF(OR(ISBLANK(F57),ISBLANK(G57)),"",IF(F57&gt;G57,E57,IF(G57&gt;F57,H57,"")))</f>
        <v>Iran</v>
      </c>
      <c r="K57" s="25" t="str">
        <f t="shared" ref="K57:K62" si="290">IF(OR(ISBLANK(F57),ISBLANK(G57)),"",IF(F57=G57,E57,""))</f>
        <v/>
      </c>
      <c r="L57" s="25" t="str">
        <f t="shared" ref="L57:L62" si="291">IF(OR(ISBLANK(F57),ISBLANK(G57)),"",IF(F57=G57,H57,""))</f>
        <v/>
      </c>
      <c r="M57" s="25" t="str">
        <f t="shared" ref="M57:M62" si="292">IF(OR(ISBLANK(F57),ISBLANK(G57)),"",IF(F57&lt;G57,E57,IF(G57&lt;F57,H57,"")))</f>
        <v>Nueva Zelanda</v>
      </c>
      <c r="N57" s="24"/>
      <c r="O57" s="27" t="str">
        <f t="shared" si="288"/>
        <v>Iran</v>
      </c>
      <c r="P57" s="25">
        <f>+COUNTIF(J57:J62,"="&amp;$O57)</f>
        <v>2</v>
      </c>
      <c r="Q57" s="25">
        <f>+COUNTIF(K57:L62,"="&amp;$O57)</f>
        <v>0</v>
      </c>
      <c r="R57" s="25">
        <f>+COUNTIF(M57:M62,"="&amp;$O57)</f>
        <v>1</v>
      </c>
      <c r="S57" s="25">
        <f t="shared" ref="S57:S60" si="293">+T57-U57</f>
        <v>2</v>
      </c>
      <c r="T57" s="25">
        <f>+SUMIF(E57:E62,$O57,F57:F62)+SUMIF(H57:H62,$O57,G57:G62)</f>
        <v>4</v>
      </c>
      <c r="U57" s="25">
        <f>+SUMIF(E57:E62,$O57,G57:G62)+SUMIF(H57:H62,$O57,F57:F62)</f>
        <v>2</v>
      </c>
      <c r="V57" s="54">
        <f t="shared" ref="V57:V60" ca="1" si="294">+P57*3+Q57*1+BT57+CN57+S57/1000+T57/10000+AV57/1000000+ROW()/10000000</f>
        <v>6.0024056999999997</v>
      </c>
      <c r="W57" s="27" t="str">
        <f t="shared" ref="W57:W60" si="295">+O57</f>
        <v>Iran</v>
      </c>
      <c r="X57" s="24"/>
      <c r="Y57" s="55" t="str">
        <f>+CONCATENATE("1",RIGHT(E56,1))</f>
        <v>1G</v>
      </c>
      <c r="Z57" s="56" t="str">
        <f ca="1">+VLOOKUP(AL57,V57:W60,2,FALSE)</f>
        <v>Belgica</v>
      </c>
      <c r="AA57" s="57">
        <f t="shared" ref="AA57:AA60" ca="1" si="296">+SUM(AB57:AD57)</f>
        <v>3</v>
      </c>
      <c r="AB57" s="58">
        <f t="shared" ref="AB57:AG57" ca="1" si="297">+VLOOKUP($Z57,$O$57:$U$60,COLUMN()-26,FALSE)</f>
        <v>3</v>
      </c>
      <c r="AC57" s="58">
        <f t="shared" ca="1" si="297"/>
        <v>0</v>
      </c>
      <c r="AD57" s="58">
        <f t="shared" ca="1" si="297"/>
        <v>0</v>
      </c>
      <c r="AE57" s="58">
        <f t="shared" ca="1" si="297"/>
        <v>6</v>
      </c>
      <c r="AF57" s="58">
        <f t="shared" ca="1" si="297"/>
        <v>7</v>
      </c>
      <c r="AG57" s="58">
        <f t="shared" ca="1" si="297"/>
        <v>1</v>
      </c>
      <c r="AH57" s="59">
        <f t="shared" ref="AH57:AH60" ca="1" si="298">+VLOOKUP($Z57,$O$57:$V$60,COLUMN()-26,FALSE)</f>
        <v>9.0067059</v>
      </c>
      <c r="AI57" s="60"/>
      <c r="AJ57" s="24"/>
      <c r="AK57" s="24"/>
      <c r="AL57" s="54">
        <f ca="1">+LARGE(V57:V60,1)</f>
        <v>9.0067059</v>
      </c>
      <c r="AM57" s="61">
        <f t="shared" ref="AM57:AM60" ca="1" si="299">+(AH57-AL57)*100000000000000000000</f>
        <v>0</v>
      </c>
      <c r="AN57" s="24"/>
      <c r="AO57" s="24"/>
      <c r="AP57" s="62" t="str">
        <f t="shared" ref="AP57:AP60" si="300">+O57</f>
        <v>Iran</v>
      </c>
      <c r="AQ57" s="28">
        <f t="shared" ref="AQ57:AQ60" ca="1" si="301">+P57*3+Q57*1+BT57+CN57+S57/1000+T57/10000</f>
        <v>6.0023999999999997</v>
      </c>
      <c r="AR57" s="24" t="b">
        <f ca="1">+IF(OR(AQ57=AQ58,AQ57=AQ59,AQ57=AQ60),1)</f>
        <v>0</v>
      </c>
      <c r="AS57" s="63">
        <f t="shared" ref="AS57:AS60" si="302">+AV57</f>
        <v>0</v>
      </c>
      <c r="AT57" s="63">
        <f ca="1">+IF(AND(AM61="si",OR(AR57=1,AR58=1,AR59=1)),1,0)</f>
        <v>0</v>
      </c>
      <c r="AU57" s="64" t="str">
        <f t="shared" ref="AU57:AU60" si="303">+O57</f>
        <v>Iran</v>
      </c>
      <c r="AV57" s="65"/>
      <c r="AW57" s="24"/>
      <c r="AX57" s="24" t="str">
        <f>+Y56</f>
        <v>Grupo G</v>
      </c>
      <c r="AY57" s="25" t="str">
        <f t="shared" ref="AY57:AY60" si="304">+O57</f>
        <v>Iran</v>
      </c>
      <c r="AZ57" s="29">
        <f t="shared" ref="AZ57:AZ60" si="305">+P57*3+Q57</f>
        <v>6</v>
      </c>
      <c r="BA57" s="29">
        <f t="shared" ref="BA57:BA60" si="306">+COUNTIFS($AX$1:AX57,AX57,$AZ$1:AZ57,AZ57)</f>
        <v>1</v>
      </c>
      <c r="BB57" s="29">
        <f>+IF(AZ57=BF55,ROW()*0.001,AZ57)</f>
        <v>6</v>
      </c>
      <c r="BC57" s="29">
        <f t="shared" ref="BC57:BC60" si="307">+COUNTIFS($AX$1:AZ57,AZ57,$AZ$1:BB57,BB57)</f>
        <v>4</v>
      </c>
      <c r="BD57" s="29"/>
      <c r="BE57" s="26" t="e">
        <f ca="1">+IF(OR(BF57="-",BI57="-",BF55=0),"-","OK")</f>
        <v>#NAME?</v>
      </c>
      <c r="BF57" s="66" t="e">
        <f t="array" aca="1" ref="BF57" ca="1">+IF(_xludf.XLOOKUP($E57,$AY:$AY,$AZ:$AZ,"-",0)=BF55,$E57,"-")</f>
        <v>#NAME?</v>
      </c>
      <c r="BG57" s="67">
        <f t="shared" ref="BG57:BG62" si="308">+$F57</f>
        <v>1</v>
      </c>
      <c r="BH57" s="68">
        <f t="shared" ref="BH57:BH62" si="309">+$G57</f>
        <v>0</v>
      </c>
      <c r="BI57" s="66" t="e">
        <f t="array" aca="1" ref="BI57" ca="1">+IF(_xludf.XLOOKUP($H57,$AY:$AY,$AZ:$AZ,"-",0)=BF55,$H57,"-")</f>
        <v>#NAME?</v>
      </c>
      <c r="BJ57" s="24"/>
      <c r="BK57" s="27" t="str">
        <f t="shared" ref="BK57:BK60" si="310">+O57</f>
        <v>Iran</v>
      </c>
      <c r="BL57" s="27">
        <f t="shared" ref="BL57:BL60" ca="1" si="311">+COUNTIFS($BE:$BE,"OK",$BI:$BI,BK57)+COUNTIFS($BE:$BE,"OK",$BF:$BF,BK57)</f>
        <v>0</v>
      </c>
      <c r="BM57" s="25">
        <f t="shared" ref="BM57:BM60" ca="1" si="312">+COUNTIFS(J:J,$BK57,$BE:$BE,"OK")</f>
        <v>0</v>
      </c>
      <c r="BN57" s="25">
        <f t="shared" ref="BN57:BN60" si="313">+COUNTIFS(K:K,$BK57,$BE:$BE,"OK")+COUNTIFS(L:L,$BK57,$BE:$BE,"OK")</f>
        <v>0</v>
      </c>
      <c r="BO57" s="25">
        <f t="shared" ref="BO57:BO60" ca="1" si="314">+COUNTIFS(M:M,$BK57,$BE:$BE,"OK")</f>
        <v>0</v>
      </c>
      <c r="BP57" s="25">
        <f t="shared" ref="BP57:BP60" ca="1" si="315">+BQ57-BR57</f>
        <v>0</v>
      </c>
      <c r="BQ57" s="25">
        <f t="shared" ref="BQ57:BQ60" ca="1" si="316">+SUMIFS(BG:BG,$BE:$BE,"OK",BF:BF,$BK57)+SUMIFS(BH:BH,$BE:$BE,"OK",BI:BI,$BK57)</f>
        <v>0</v>
      </c>
      <c r="BR57" s="25">
        <f t="shared" ref="BR57:BR60" ca="1" si="317">+SUMIFS(BH:BH,$BE:$BE,"OK",BF:BF,$BK57)+SUMIFS(BG:BG,$BE:$BE,"OK",BI:BI,$BK57)</f>
        <v>0</v>
      </c>
      <c r="BS57" s="69">
        <f t="shared" ref="BS57:BS60" ca="1" si="318">+BM57*3+BN57*1+BP57/100+BQ57/10000</f>
        <v>0</v>
      </c>
      <c r="BT57" s="29">
        <f t="array" aca="1" ref="BT57" ca="1">+IF(BL57=0,0,_xludf.XLOOKUP(BS57,BV57:BV60,BW57:BW60))</f>
        <v>0</v>
      </c>
      <c r="BU57" s="54"/>
      <c r="BV57" s="25">
        <f ca="1">+LARGE(BS57:BS60,1)</f>
        <v>0</v>
      </c>
      <c r="BW57" s="25">
        <f t="shared" ref="BW57:BW60" si="319">+BX57/$BW$1</f>
        <v>0.3</v>
      </c>
      <c r="BX57" s="24">
        <v>3</v>
      </c>
      <c r="BY57" s="26" t="e">
        <f t="shared" ref="BY57:BY62" ca="1" si="320">+IF(OR(BZ57="-",CC57="-"),"-","OK")</f>
        <v>#NAME?</v>
      </c>
      <c r="BZ57" s="66" t="e">
        <f t="array" aca="1" ref="BZ57" ca="1">+IF(_xludf.XLOOKUP($E57,$AY:$AY,$AZ:$AZ,"-",0)=BZ55,$E57,"-")</f>
        <v>#NAME?</v>
      </c>
      <c r="CA57" s="67">
        <f t="shared" ref="CA57:CA62" si="321">+$F57</f>
        <v>1</v>
      </c>
      <c r="CB57" s="68">
        <f t="shared" ref="CB57:CB62" si="322">+$G57</f>
        <v>0</v>
      </c>
      <c r="CC57" s="66" t="e">
        <f t="array" aca="1" ref="CC57" ca="1">+IF(_xludf.XLOOKUP($H57,$AY:$AY,$AZ:$AZ,"-",0)=BZ55,$H57,"-")</f>
        <v>#NAME?</v>
      </c>
      <c r="CD57" s="24"/>
      <c r="CE57" s="27" t="str">
        <f t="shared" ref="CE57:CE60" si="323">+BK57</f>
        <v>Iran</v>
      </c>
      <c r="CF57" s="27">
        <f t="shared" ref="CF57:CF60" ca="1" si="324">+COUNTIFS($BY:$BY,"OK",$CC:$CC,CE57)+COUNTIFS($BY:$BY,"OK",$BZ:$BZ,CE57)</f>
        <v>0</v>
      </c>
      <c r="CG57" s="25">
        <f t="shared" ref="CG57:CG60" si="325">+COUNTIFS(P:P,$BK57,$BY:$BY,"OK")</f>
        <v>0</v>
      </c>
      <c r="CH57" s="25">
        <f t="shared" ref="CH57:CH60" si="326">+COUNTIFS(K:K,$BK57,$BY:$BY,"OK")+COUNTIFS(L:L,$BK57,$BY:$BY,"OK")</f>
        <v>0</v>
      </c>
      <c r="CI57" s="25">
        <f t="shared" ref="CI57:CI60" ca="1" si="327">+COUNTIFS(M:M,$CE57,$BY:$BY,"OK")</f>
        <v>0</v>
      </c>
      <c r="CJ57" s="25">
        <f t="shared" ref="CJ57:CJ60" ca="1" si="328">+CK57-CL57</f>
        <v>0</v>
      </c>
      <c r="CK57" s="25">
        <f t="shared" ref="CK57:CK60" ca="1" si="329">+SUMIFS(CA:CA,$BY:$BY,"OK",BZ:BZ,$BK57)+SUMIFS(CB:CB,$BY:$BY,"OK",CC:CC,$BK57)</f>
        <v>0</v>
      </c>
      <c r="CL57" s="25">
        <f t="shared" ref="CL57:CL60" ca="1" si="330">+SUMIFS(CB:CB,$BY:$BY,"OK",BZ:BZ,$BK57)+SUMIFS(CA:CA,$BY:$BY,"OK",CC:CC,$BK57)</f>
        <v>0</v>
      </c>
      <c r="CM57" s="69">
        <f t="shared" ref="CM57:CM60" ca="1" si="331">+CG57*3+CH57*1+CJ57/100+CK57/10000</f>
        <v>0</v>
      </c>
      <c r="CN57" s="29">
        <f t="array" aca="1" ref="CN57" ca="1">+IF(CF57=0,0,_xludf.XLOOKUP(CM57,CP57:CP60,CQ57:CQ60))</f>
        <v>0</v>
      </c>
      <c r="CO57" s="54"/>
      <c r="CP57" s="25">
        <f ca="1">+LARGE(CM57:CM60,1)</f>
        <v>0</v>
      </c>
      <c r="CQ57" s="25">
        <f t="shared" ref="CQ57:CQ60" si="332">+CR57/$BW$1</f>
        <v>0.3</v>
      </c>
      <c r="CR57" s="24">
        <v>3</v>
      </c>
    </row>
    <row r="58" spans="1:96" ht="14.25" customHeight="1" x14ac:dyDescent="0.25">
      <c r="A58" s="47" t="s">
        <v>162</v>
      </c>
      <c r="B58" s="48">
        <v>46188</v>
      </c>
      <c r="C58" s="49"/>
      <c r="D58" s="50"/>
      <c r="E58" s="51" t="s">
        <v>55</v>
      </c>
      <c r="F58" s="52">
        <v>3</v>
      </c>
      <c r="G58" s="52">
        <v>0</v>
      </c>
      <c r="H58" s="53" t="s">
        <v>75</v>
      </c>
      <c r="I58" s="24"/>
      <c r="J58" s="25" t="str">
        <f t="shared" si="289"/>
        <v>Belgica</v>
      </c>
      <c r="K58" s="25" t="str">
        <f t="shared" si="290"/>
        <v/>
      </c>
      <c r="L58" s="25" t="str">
        <f t="shared" si="291"/>
        <v/>
      </c>
      <c r="M58" s="25" t="str">
        <f t="shared" si="292"/>
        <v>Egipto</v>
      </c>
      <c r="N58" s="24"/>
      <c r="O58" s="27" t="str">
        <f>+H57</f>
        <v>Nueva Zelanda</v>
      </c>
      <c r="P58" s="25">
        <f>+COUNTIF(J57:J62,"="&amp;$O58)</f>
        <v>1</v>
      </c>
      <c r="Q58" s="25">
        <f>+COUNTIF(K57:L62,"="&amp;$O58)</f>
        <v>0</v>
      </c>
      <c r="R58" s="25">
        <f>+COUNTIF(M57:M62,"="&amp;$O58)</f>
        <v>2</v>
      </c>
      <c r="S58" s="25">
        <f t="shared" si="293"/>
        <v>-2</v>
      </c>
      <c r="T58" s="25">
        <f>+SUMIF(E57:E62,$O58,F57:F62)+SUMIF(H57:H62,$O58,G57:G62)</f>
        <v>1</v>
      </c>
      <c r="U58" s="25">
        <f>+SUMIF(E57:E62,$O58,G57:G62)+SUMIF(H57:H62,$O58,F57:F62)</f>
        <v>3</v>
      </c>
      <c r="V58" s="54">
        <f t="shared" ca="1" si="294"/>
        <v>2.9981058000000003</v>
      </c>
      <c r="W58" s="27" t="str">
        <f t="shared" si="295"/>
        <v>Nueva Zelanda</v>
      </c>
      <c r="X58" s="24"/>
      <c r="Y58" s="71" t="str">
        <f>+CONCATENATE("2",RIGHT(E56,1))</f>
        <v>2G</v>
      </c>
      <c r="Z58" s="72" t="str">
        <f ca="1">+VLOOKUP(AL58,V57:W60,2,FALSE)</f>
        <v>Iran</v>
      </c>
      <c r="AA58" s="73">
        <f t="shared" ca="1" si="296"/>
        <v>3</v>
      </c>
      <c r="AB58" s="74">
        <f t="shared" ref="AB58:AG58" ca="1" si="333">+VLOOKUP($Z58,$O$57:$U$60,COLUMN()-26,FALSE)</f>
        <v>2</v>
      </c>
      <c r="AC58" s="74">
        <f t="shared" ca="1" si="333"/>
        <v>0</v>
      </c>
      <c r="AD58" s="74">
        <f t="shared" ca="1" si="333"/>
        <v>1</v>
      </c>
      <c r="AE58" s="74">
        <f t="shared" ca="1" si="333"/>
        <v>2</v>
      </c>
      <c r="AF58" s="74">
        <f t="shared" ca="1" si="333"/>
        <v>4</v>
      </c>
      <c r="AG58" s="74">
        <f t="shared" ca="1" si="333"/>
        <v>2</v>
      </c>
      <c r="AH58" s="75">
        <f t="shared" ca="1" si="298"/>
        <v>6.0024056999999997</v>
      </c>
      <c r="AI58" s="60"/>
      <c r="AJ58" s="24"/>
      <c r="AK58" s="24"/>
      <c r="AL58" s="54">
        <f ca="1">+LARGE(V57:V60,2)</f>
        <v>6.0024056999999997</v>
      </c>
      <c r="AM58" s="61">
        <f t="shared" ca="1" si="299"/>
        <v>0</v>
      </c>
      <c r="AN58" s="24"/>
      <c r="AO58" s="24"/>
      <c r="AP58" s="62" t="str">
        <f t="shared" si="300"/>
        <v>Nueva Zelanda</v>
      </c>
      <c r="AQ58" s="28">
        <f t="shared" ca="1" si="301"/>
        <v>2.9981000000000004</v>
      </c>
      <c r="AR58" s="24" t="b">
        <f ca="1">+IF(OR(AQ58=AQ59,AQ58=AQ60),1)</f>
        <v>0</v>
      </c>
      <c r="AS58" s="63">
        <f t="shared" si="302"/>
        <v>0</v>
      </c>
      <c r="AT58" s="63">
        <f ca="1">+IF(AND(AM61="si",OR(AR57=1,AR58=1,AR59=1)),1,0)</f>
        <v>0</v>
      </c>
      <c r="AU58" s="76" t="str">
        <f t="shared" si="303"/>
        <v>Nueva Zelanda</v>
      </c>
      <c r="AV58" s="77"/>
      <c r="AW58" s="24"/>
      <c r="AX58" s="24" t="str">
        <f>+Y56</f>
        <v>Grupo G</v>
      </c>
      <c r="AY58" s="25" t="str">
        <f t="shared" si="304"/>
        <v>Nueva Zelanda</v>
      </c>
      <c r="AZ58" s="29">
        <f t="shared" si="305"/>
        <v>3</v>
      </c>
      <c r="BA58" s="29">
        <f t="shared" si="306"/>
        <v>1</v>
      </c>
      <c r="BB58" s="29">
        <f>+IF(AZ58=BF55,ROW()*0.001,AZ58)</f>
        <v>3</v>
      </c>
      <c r="BC58" s="29">
        <f t="shared" si="307"/>
        <v>4</v>
      </c>
      <c r="BD58" s="29"/>
      <c r="BE58" s="26" t="e">
        <f ca="1">+IF(OR(BF58="-",BI58="-",BF55=0),"-","OK")</f>
        <v>#NAME?</v>
      </c>
      <c r="BF58" s="66" t="e">
        <f t="array" aca="1" ref="BF58" ca="1">+IF(_xludf.XLOOKUP($E58,$AY:$AY,$AZ:$AZ,"-",0)=BF55,$E58,"-")</f>
        <v>#NAME?</v>
      </c>
      <c r="BG58" s="67">
        <f t="shared" si="308"/>
        <v>3</v>
      </c>
      <c r="BH58" s="68">
        <f t="shared" si="309"/>
        <v>0</v>
      </c>
      <c r="BI58" s="66" t="e">
        <f t="array" aca="1" ref="BI58" ca="1">+IF(_xludf.XLOOKUP($H58,$AY:$AY,$AZ:$AZ,"-",0)=BF55,$H58,"-")</f>
        <v>#NAME?</v>
      </c>
      <c r="BJ58" s="24"/>
      <c r="BK58" s="27" t="str">
        <f t="shared" si="310"/>
        <v>Nueva Zelanda</v>
      </c>
      <c r="BL58" s="27">
        <f t="shared" ca="1" si="311"/>
        <v>0</v>
      </c>
      <c r="BM58" s="25">
        <f t="shared" ca="1" si="312"/>
        <v>0</v>
      </c>
      <c r="BN58" s="25">
        <f t="shared" si="313"/>
        <v>0</v>
      </c>
      <c r="BO58" s="25">
        <f t="shared" ca="1" si="314"/>
        <v>0</v>
      </c>
      <c r="BP58" s="25">
        <f t="shared" ca="1" si="315"/>
        <v>0</v>
      </c>
      <c r="BQ58" s="25">
        <f t="shared" ca="1" si="316"/>
        <v>0</v>
      </c>
      <c r="BR58" s="25">
        <f t="shared" ca="1" si="317"/>
        <v>0</v>
      </c>
      <c r="BS58" s="69">
        <f t="shared" ca="1" si="318"/>
        <v>0</v>
      </c>
      <c r="BT58" s="29">
        <f t="array" aca="1" ref="BT58" ca="1">+IF(BL58=0,0,_xludf.XLOOKUP(BS58,BV57:BV60,BW57:BW60))</f>
        <v>0</v>
      </c>
      <c r="BU58" s="54"/>
      <c r="BV58" s="25">
        <f ca="1">+LARGE(BS57:BS60,2)</f>
        <v>0</v>
      </c>
      <c r="BW58" s="25">
        <f t="shared" si="319"/>
        <v>0.2</v>
      </c>
      <c r="BX58" s="24">
        <v>2</v>
      </c>
      <c r="BY58" s="26" t="e">
        <f t="shared" ca="1" si="320"/>
        <v>#NAME?</v>
      </c>
      <c r="BZ58" s="66" t="e">
        <f t="array" aca="1" ref="BZ58" ca="1">+IF(_xludf.XLOOKUP($E58,$AY:$AY,$AZ:$AZ,"-",0)=BZ55,$E58,"-")</f>
        <v>#NAME?</v>
      </c>
      <c r="CA58" s="67">
        <f t="shared" si="321"/>
        <v>3</v>
      </c>
      <c r="CB58" s="68">
        <f t="shared" si="322"/>
        <v>0</v>
      </c>
      <c r="CC58" s="66" t="e">
        <f t="array" aca="1" ref="CC58" ca="1">+IF(_xludf.XLOOKUP($H58,$AY:$AY,$AZ:$AZ,"-",0)=BZ55,$H58,"-")</f>
        <v>#NAME?</v>
      </c>
      <c r="CD58" s="24"/>
      <c r="CE58" s="27" t="str">
        <f t="shared" si="323"/>
        <v>Nueva Zelanda</v>
      </c>
      <c r="CF58" s="27">
        <f t="shared" ca="1" si="324"/>
        <v>0</v>
      </c>
      <c r="CG58" s="25">
        <f t="shared" si="325"/>
        <v>0</v>
      </c>
      <c r="CH58" s="25">
        <f t="shared" si="326"/>
        <v>0</v>
      </c>
      <c r="CI58" s="25">
        <f t="shared" ca="1" si="327"/>
        <v>0</v>
      </c>
      <c r="CJ58" s="25">
        <f t="shared" ca="1" si="328"/>
        <v>0</v>
      </c>
      <c r="CK58" s="25">
        <f t="shared" ca="1" si="329"/>
        <v>0</v>
      </c>
      <c r="CL58" s="25">
        <f t="shared" ca="1" si="330"/>
        <v>0</v>
      </c>
      <c r="CM58" s="69">
        <f t="shared" ca="1" si="331"/>
        <v>0</v>
      </c>
      <c r="CN58" s="29">
        <f t="array" aca="1" ref="CN58" ca="1">+IF(CF58=0,0,_xludf.XLOOKUP(CM58,CP57:CP60,CQ57:CQ60))</f>
        <v>0</v>
      </c>
      <c r="CO58" s="54"/>
      <c r="CP58" s="25">
        <f ca="1">+LARGE(CM57:CM60,2)</f>
        <v>0</v>
      </c>
      <c r="CQ58" s="25">
        <f t="shared" si="332"/>
        <v>0.2</v>
      </c>
      <c r="CR58" s="24">
        <v>2</v>
      </c>
    </row>
    <row r="59" spans="1:96" ht="14.25" customHeight="1" x14ac:dyDescent="0.25">
      <c r="A59" s="47" t="s">
        <v>163</v>
      </c>
      <c r="B59" s="48">
        <v>46194</v>
      </c>
      <c r="C59" s="49"/>
      <c r="D59" s="50"/>
      <c r="E59" s="51" t="s">
        <v>55</v>
      </c>
      <c r="F59" s="52">
        <v>2</v>
      </c>
      <c r="G59" s="52">
        <v>1</v>
      </c>
      <c r="H59" s="53" t="s">
        <v>86</v>
      </c>
      <c r="I59" s="24"/>
      <c r="J59" s="25" t="str">
        <f t="shared" si="289"/>
        <v>Belgica</v>
      </c>
      <c r="K59" s="25" t="str">
        <f t="shared" si="290"/>
        <v/>
      </c>
      <c r="L59" s="25" t="str">
        <f t="shared" si="291"/>
        <v/>
      </c>
      <c r="M59" s="25" t="str">
        <f t="shared" si="292"/>
        <v>Iran</v>
      </c>
      <c r="N59" s="24"/>
      <c r="O59" s="27" t="str">
        <f>+E58</f>
        <v>Belgica</v>
      </c>
      <c r="P59" s="25">
        <f>+COUNTIF(J57:J62,"="&amp;$O59)</f>
        <v>3</v>
      </c>
      <c r="Q59" s="25">
        <f>+COUNTIF(K57:L62,"="&amp;$O59)</f>
        <v>0</v>
      </c>
      <c r="R59" s="25">
        <f>+COUNTIF(M57:M62,"="&amp;$O59)</f>
        <v>0</v>
      </c>
      <c r="S59" s="25">
        <f t="shared" si="293"/>
        <v>6</v>
      </c>
      <c r="T59" s="25">
        <f>+SUMIF(E57:E62,$O59,F57:F62)+SUMIF(H57:H62,$O59,G57:G62)</f>
        <v>7</v>
      </c>
      <c r="U59" s="25">
        <f>+SUMIF(E57:E62,$O59,G57:G62)+SUMIF(H57:H62,$O59,F57:F62)</f>
        <v>1</v>
      </c>
      <c r="V59" s="54">
        <f t="shared" ca="1" si="294"/>
        <v>9.0067059</v>
      </c>
      <c r="W59" s="27" t="str">
        <f t="shared" si="295"/>
        <v>Belgica</v>
      </c>
      <c r="X59" s="24"/>
      <c r="Y59" s="78" t="str">
        <f>+CONCATENATE("3",RIGHT(E56,1))</f>
        <v>3G</v>
      </c>
      <c r="Z59" s="79" t="str">
        <f ca="1">+VLOOKUP(AL59,V57:W60,2,FALSE)</f>
        <v>Nueva Zelanda</v>
      </c>
      <c r="AA59" s="80">
        <f t="shared" ca="1" si="296"/>
        <v>3</v>
      </c>
      <c r="AB59" s="81">
        <f t="shared" ref="AB59:AG59" ca="1" si="334">+VLOOKUP($Z59,$O$57:$U$60,COLUMN()-26,FALSE)</f>
        <v>1</v>
      </c>
      <c r="AC59" s="81">
        <f t="shared" ca="1" si="334"/>
        <v>0</v>
      </c>
      <c r="AD59" s="81">
        <f t="shared" ca="1" si="334"/>
        <v>2</v>
      </c>
      <c r="AE59" s="81">
        <f t="shared" ca="1" si="334"/>
        <v>-2</v>
      </c>
      <c r="AF59" s="81">
        <f t="shared" ca="1" si="334"/>
        <v>1</v>
      </c>
      <c r="AG59" s="81">
        <f t="shared" ca="1" si="334"/>
        <v>3</v>
      </c>
      <c r="AH59" s="82">
        <f t="shared" ca="1" si="298"/>
        <v>2.9981058000000003</v>
      </c>
      <c r="AI59" s="83">
        <f ca="1">+(COUNTIFS($CV$2:$CV$13,Z59,$CX$2:$CX$13,"IN")+COUNTIFS($CV$2:$CV$13,Z59,$CW$2:$CW$13,"IN"))*IF(SUM(AA57:AA60)=12,1,0)</f>
        <v>1</v>
      </c>
      <c r="AJ59" s="24"/>
      <c r="AK59" s="24"/>
      <c r="AL59" s="54">
        <f ca="1">+LARGE(V57:V60,3)</f>
        <v>2.9981058000000003</v>
      </c>
      <c r="AM59" s="61">
        <f t="shared" ca="1" si="299"/>
        <v>0</v>
      </c>
      <c r="AN59" s="24"/>
      <c r="AO59" s="24"/>
      <c r="AP59" s="62" t="str">
        <f t="shared" si="300"/>
        <v>Belgica</v>
      </c>
      <c r="AQ59" s="28">
        <f t="shared" ca="1" si="301"/>
        <v>9.0067000000000004</v>
      </c>
      <c r="AR59" s="24" t="b">
        <f ca="1">+IF(OR(AQ59=AQ60),1)</f>
        <v>0</v>
      </c>
      <c r="AS59" s="63">
        <f t="shared" si="302"/>
        <v>0</v>
      </c>
      <c r="AT59" s="63">
        <f ca="1">+IF(AND(AM61="si",OR(AR57=1,AR58=1,AR59=1)),1,0)</f>
        <v>0</v>
      </c>
      <c r="AU59" s="76" t="str">
        <f t="shared" si="303"/>
        <v>Belgica</v>
      </c>
      <c r="AV59" s="77"/>
      <c r="AW59" s="24"/>
      <c r="AX59" s="24" t="str">
        <f>+Y56</f>
        <v>Grupo G</v>
      </c>
      <c r="AY59" s="25" t="str">
        <f t="shared" si="304"/>
        <v>Belgica</v>
      </c>
      <c r="AZ59" s="29">
        <f t="shared" si="305"/>
        <v>9</v>
      </c>
      <c r="BA59" s="29">
        <f t="shared" si="306"/>
        <v>1</v>
      </c>
      <c r="BB59" s="29">
        <f>+IF(AZ59=BF55,ROW()*0.001,AZ59)</f>
        <v>9</v>
      </c>
      <c r="BC59" s="29">
        <f t="shared" si="307"/>
        <v>4</v>
      </c>
      <c r="BD59" s="29"/>
      <c r="BE59" s="26" t="e">
        <f ca="1">+IF(OR(BF59="-",BI59="-",BF55=0),"-","OK")</f>
        <v>#NAME?</v>
      </c>
      <c r="BF59" s="66" t="e">
        <f t="array" aca="1" ref="BF59" ca="1">+IF(_xludf.XLOOKUP($E59,$AY:$AY,$AZ:$AZ,"-",0)=BF55,$E59,"-")</f>
        <v>#NAME?</v>
      </c>
      <c r="BG59" s="67">
        <f t="shared" si="308"/>
        <v>2</v>
      </c>
      <c r="BH59" s="68">
        <f t="shared" si="309"/>
        <v>1</v>
      </c>
      <c r="BI59" s="66" t="e">
        <f t="array" aca="1" ref="BI59" ca="1">+IF(_xludf.XLOOKUP($H59,$AY:$AY,$AZ:$AZ,"-",0)=BF55,$H59,"-")</f>
        <v>#NAME?</v>
      </c>
      <c r="BJ59" s="24"/>
      <c r="BK59" s="27" t="str">
        <f t="shared" si="310"/>
        <v>Belgica</v>
      </c>
      <c r="BL59" s="27">
        <f t="shared" ca="1" si="311"/>
        <v>0</v>
      </c>
      <c r="BM59" s="25">
        <f t="shared" ca="1" si="312"/>
        <v>0</v>
      </c>
      <c r="BN59" s="25">
        <f t="shared" si="313"/>
        <v>0</v>
      </c>
      <c r="BO59" s="25">
        <f t="shared" si="314"/>
        <v>0</v>
      </c>
      <c r="BP59" s="25">
        <f t="shared" ca="1" si="315"/>
        <v>0</v>
      </c>
      <c r="BQ59" s="25">
        <f t="shared" ca="1" si="316"/>
        <v>0</v>
      </c>
      <c r="BR59" s="25">
        <f t="shared" ca="1" si="317"/>
        <v>0</v>
      </c>
      <c r="BS59" s="69">
        <f t="shared" ca="1" si="318"/>
        <v>0</v>
      </c>
      <c r="BT59" s="29">
        <f t="array" aca="1" ref="BT59" ca="1">+IF(BL59=0,0,_xludf.XLOOKUP(BS59,BV57:BV60,BW57:BW60))</f>
        <v>0</v>
      </c>
      <c r="BU59" s="54"/>
      <c r="BV59" s="25">
        <f ca="1">+LARGE(BS57:BS60,3)</f>
        <v>0</v>
      </c>
      <c r="BW59" s="25">
        <f t="shared" si="319"/>
        <v>0.1</v>
      </c>
      <c r="BX59" s="24">
        <v>1</v>
      </c>
      <c r="BY59" s="26" t="e">
        <f t="shared" ca="1" si="320"/>
        <v>#NAME?</v>
      </c>
      <c r="BZ59" s="66" t="e">
        <f t="array" aca="1" ref="BZ59" ca="1">+IF(_xludf.XLOOKUP($E59,$AY:$AY,$AZ:$AZ,"-",0)=BZ55,$E59,"-")</f>
        <v>#NAME?</v>
      </c>
      <c r="CA59" s="67">
        <f t="shared" si="321"/>
        <v>2</v>
      </c>
      <c r="CB59" s="68">
        <f t="shared" si="322"/>
        <v>1</v>
      </c>
      <c r="CC59" s="66" t="e">
        <f t="array" aca="1" ref="CC59" ca="1">+IF(_xludf.XLOOKUP($H59,$AY:$AY,$AZ:$AZ,"-",0)=BZ55,$H59,"-")</f>
        <v>#NAME?</v>
      </c>
      <c r="CD59" s="24"/>
      <c r="CE59" s="27" t="str">
        <f t="shared" si="323"/>
        <v>Belgica</v>
      </c>
      <c r="CF59" s="27">
        <f t="shared" ca="1" si="324"/>
        <v>0</v>
      </c>
      <c r="CG59" s="25">
        <f t="shared" si="325"/>
        <v>0</v>
      </c>
      <c r="CH59" s="25">
        <f t="shared" si="326"/>
        <v>0</v>
      </c>
      <c r="CI59" s="25">
        <f t="shared" si="327"/>
        <v>0</v>
      </c>
      <c r="CJ59" s="25">
        <f t="shared" ca="1" si="328"/>
        <v>0</v>
      </c>
      <c r="CK59" s="25">
        <f t="shared" ca="1" si="329"/>
        <v>0</v>
      </c>
      <c r="CL59" s="25">
        <f t="shared" ca="1" si="330"/>
        <v>0</v>
      </c>
      <c r="CM59" s="69">
        <f t="shared" ca="1" si="331"/>
        <v>0</v>
      </c>
      <c r="CN59" s="29">
        <f t="array" aca="1" ref="CN59" ca="1">+IF(CF59=0,0,_xludf.XLOOKUP(CM59,CP57:CP60,CQ57:CQ60))</f>
        <v>0</v>
      </c>
      <c r="CO59" s="54"/>
      <c r="CP59" s="25">
        <f ca="1">+LARGE(CM57:CM60,3)</f>
        <v>0</v>
      </c>
      <c r="CQ59" s="25">
        <f t="shared" si="332"/>
        <v>0.1</v>
      </c>
      <c r="CR59" s="24">
        <v>1</v>
      </c>
    </row>
    <row r="60" spans="1:96" ht="14.25" customHeight="1" x14ac:dyDescent="0.25">
      <c r="A60" s="47" t="s">
        <v>164</v>
      </c>
      <c r="B60" s="48">
        <v>46194</v>
      </c>
      <c r="C60" s="49"/>
      <c r="D60" s="50"/>
      <c r="E60" s="51" t="s">
        <v>95</v>
      </c>
      <c r="F60" s="52">
        <v>1</v>
      </c>
      <c r="G60" s="52">
        <v>0</v>
      </c>
      <c r="H60" s="53" t="s">
        <v>75</v>
      </c>
      <c r="I60" s="24"/>
      <c r="J60" s="25" t="str">
        <f t="shared" si="289"/>
        <v>Nueva Zelanda</v>
      </c>
      <c r="K60" s="25" t="str">
        <f t="shared" si="290"/>
        <v/>
      </c>
      <c r="L60" s="25" t="str">
        <f t="shared" si="291"/>
        <v/>
      </c>
      <c r="M60" s="25" t="str">
        <f t="shared" si="292"/>
        <v>Egipto</v>
      </c>
      <c r="N60" s="24"/>
      <c r="O60" s="27" t="str">
        <f>+H58</f>
        <v>Egipto</v>
      </c>
      <c r="P60" s="25">
        <f>+COUNTIF(J57:J62,"="&amp;$O60)</f>
        <v>0</v>
      </c>
      <c r="Q60" s="25">
        <f>+COUNTIF(K57:L62,"="&amp;$O60)</f>
        <v>0</v>
      </c>
      <c r="R60" s="25">
        <f>+COUNTIF(M57:M62,"="&amp;$O60)</f>
        <v>3</v>
      </c>
      <c r="S60" s="25">
        <f t="shared" si="293"/>
        <v>-6</v>
      </c>
      <c r="T60" s="25">
        <f>+SUMIF(E57:E62,$O60,F57:F62)+SUMIF(H57:H62,$O60,G57:G62)</f>
        <v>0</v>
      </c>
      <c r="U60" s="25">
        <f>+SUMIF(E57:E62,$O60,G57:G62)+SUMIF(H57:H62,$O60,F57:F62)</f>
        <v>6</v>
      </c>
      <c r="V60" s="54">
        <f t="shared" ca="1" si="294"/>
        <v>-5.9940000000000002E-3</v>
      </c>
      <c r="W60" s="27" t="str">
        <f t="shared" si="295"/>
        <v>Egipto</v>
      </c>
      <c r="X60" s="24"/>
      <c r="Y60" s="84" t="str">
        <f>+CONCATENATE("4",RIGHT(E56,1))</f>
        <v>4G</v>
      </c>
      <c r="Z60" s="85" t="str">
        <f ca="1">+VLOOKUP(AL60,V57:W60,2,FALSE)</f>
        <v>Egipto</v>
      </c>
      <c r="AA60" s="86">
        <f t="shared" ca="1" si="296"/>
        <v>3</v>
      </c>
      <c r="AB60" s="87">
        <f t="shared" ref="AB60:AG60" ca="1" si="335">+VLOOKUP($Z60,$O$57:$U$60,COLUMN()-26,FALSE)</f>
        <v>0</v>
      </c>
      <c r="AC60" s="87">
        <f t="shared" ca="1" si="335"/>
        <v>0</v>
      </c>
      <c r="AD60" s="87">
        <f t="shared" ca="1" si="335"/>
        <v>3</v>
      </c>
      <c r="AE60" s="87">
        <f t="shared" ca="1" si="335"/>
        <v>-6</v>
      </c>
      <c r="AF60" s="87">
        <f t="shared" ca="1" si="335"/>
        <v>0</v>
      </c>
      <c r="AG60" s="87">
        <f t="shared" ca="1" si="335"/>
        <v>6</v>
      </c>
      <c r="AH60" s="88">
        <f t="shared" ca="1" si="298"/>
        <v>-5.9940000000000002E-3</v>
      </c>
      <c r="AI60" s="83"/>
      <c r="AJ60" s="24"/>
      <c r="AK60" s="24"/>
      <c r="AL60" s="54">
        <f ca="1">+LARGE(V57:V60,4)</f>
        <v>-5.9940000000000002E-3</v>
      </c>
      <c r="AM60" s="61">
        <f t="shared" ca="1" si="299"/>
        <v>0</v>
      </c>
      <c r="AN60" s="24"/>
      <c r="AO60" s="24"/>
      <c r="AP60" s="62" t="str">
        <f t="shared" si="300"/>
        <v>Egipto</v>
      </c>
      <c r="AQ60" s="28">
        <f t="shared" ca="1" si="301"/>
        <v>-6.0000000000000001E-3</v>
      </c>
      <c r="AR60" s="24"/>
      <c r="AS60" s="63">
        <f t="shared" si="302"/>
        <v>0</v>
      </c>
      <c r="AT60" s="63">
        <f ca="1">+IF(AND(AM61="si",OR(AR57=1,AR58=1,AR59=1)),1,0)</f>
        <v>0</v>
      </c>
      <c r="AU60" s="89" t="str">
        <f t="shared" si="303"/>
        <v>Egipto</v>
      </c>
      <c r="AV60" s="90"/>
      <c r="AW60" s="24"/>
      <c r="AX60" s="24" t="str">
        <f>+Y56</f>
        <v>Grupo G</v>
      </c>
      <c r="AY60" s="25" t="str">
        <f t="shared" si="304"/>
        <v>Egipto</v>
      </c>
      <c r="AZ60" s="29">
        <f t="shared" si="305"/>
        <v>0</v>
      </c>
      <c r="BA60" s="29">
        <f t="shared" si="306"/>
        <v>1</v>
      </c>
      <c r="BB60" s="29">
        <f>+IF(AZ60=BF55,ROW()*0.001,AZ60)</f>
        <v>0</v>
      </c>
      <c r="BC60" s="29">
        <f t="shared" si="307"/>
        <v>6</v>
      </c>
      <c r="BD60" s="29"/>
      <c r="BE60" s="26" t="e">
        <f ca="1">+IF(OR(BF60="-",BI60="-",BF55=0),"-","OK")</f>
        <v>#NAME?</v>
      </c>
      <c r="BF60" s="66" t="e">
        <f t="array" aca="1" ref="BF60" ca="1">+IF(_xludf.XLOOKUP($E60,$AY:$AY,$AZ:$AZ,"-",0)=BF55,$E60,"-")</f>
        <v>#NAME?</v>
      </c>
      <c r="BG60" s="67">
        <f t="shared" si="308"/>
        <v>1</v>
      </c>
      <c r="BH60" s="68">
        <f t="shared" si="309"/>
        <v>0</v>
      </c>
      <c r="BI60" s="66" t="e">
        <f t="array" aca="1" ref="BI60" ca="1">+IF(_xludf.XLOOKUP($H60,$AY:$AY,$AZ:$AZ,"-",0)=BF55,$H60,"-")</f>
        <v>#NAME?</v>
      </c>
      <c r="BJ60" s="24"/>
      <c r="BK60" s="27" t="str">
        <f t="shared" si="310"/>
        <v>Egipto</v>
      </c>
      <c r="BL60" s="27">
        <f t="shared" ca="1" si="311"/>
        <v>0</v>
      </c>
      <c r="BM60" s="25">
        <f t="shared" si="312"/>
        <v>0</v>
      </c>
      <c r="BN60" s="25">
        <f t="shared" si="313"/>
        <v>0</v>
      </c>
      <c r="BO60" s="25">
        <f t="shared" ca="1" si="314"/>
        <v>0</v>
      </c>
      <c r="BP60" s="25">
        <f t="shared" ca="1" si="315"/>
        <v>0</v>
      </c>
      <c r="BQ60" s="25">
        <f t="shared" ca="1" si="316"/>
        <v>0</v>
      </c>
      <c r="BR60" s="25">
        <f t="shared" ca="1" si="317"/>
        <v>0</v>
      </c>
      <c r="BS60" s="69">
        <f t="shared" ca="1" si="318"/>
        <v>0</v>
      </c>
      <c r="BT60" s="29">
        <f t="array" aca="1" ref="BT60" ca="1">+IF(BL60=0,0,_xludf.XLOOKUP(BS60,BV57:BV60,BW57:BW60))</f>
        <v>0</v>
      </c>
      <c r="BU60" s="54"/>
      <c r="BV60" s="25">
        <f ca="1">+LARGE(BS57:BS60,4)</f>
        <v>0</v>
      </c>
      <c r="BW60" s="25">
        <f t="shared" si="319"/>
        <v>0</v>
      </c>
      <c r="BX60" s="24">
        <v>0</v>
      </c>
      <c r="BY60" s="26" t="e">
        <f t="shared" ca="1" si="320"/>
        <v>#NAME?</v>
      </c>
      <c r="BZ60" s="66" t="e">
        <f t="array" aca="1" ref="BZ60" ca="1">+IF(_xludf.XLOOKUP($E60,$AY:$AY,$AZ:$AZ,"-",0)=BZ55,$E60,"-")</f>
        <v>#NAME?</v>
      </c>
      <c r="CA60" s="67">
        <f t="shared" si="321"/>
        <v>1</v>
      </c>
      <c r="CB60" s="68">
        <f t="shared" si="322"/>
        <v>0</v>
      </c>
      <c r="CC60" s="66" t="e">
        <f t="array" aca="1" ref="CC60" ca="1">+IF(_xludf.XLOOKUP($H60,$AY:$AY,$AZ:$AZ,"-",0)=BZ55,$H60,"-")</f>
        <v>#NAME?</v>
      </c>
      <c r="CD60" s="24"/>
      <c r="CE60" s="27" t="str">
        <f t="shared" si="323"/>
        <v>Egipto</v>
      </c>
      <c r="CF60" s="27">
        <f t="shared" ca="1" si="324"/>
        <v>0</v>
      </c>
      <c r="CG60" s="25">
        <f t="shared" si="325"/>
        <v>0</v>
      </c>
      <c r="CH60" s="25">
        <f t="shared" si="326"/>
        <v>0</v>
      </c>
      <c r="CI60" s="25">
        <f t="shared" ca="1" si="327"/>
        <v>0</v>
      </c>
      <c r="CJ60" s="25">
        <f t="shared" ca="1" si="328"/>
        <v>0</v>
      </c>
      <c r="CK60" s="25">
        <f t="shared" ca="1" si="329"/>
        <v>0</v>
      </c>
      <c r="CL60" s="25">
        <f t="shared" ca="1" si="330"/>
        <v>0</v>
      </c>
      <c r="CM60" s="69">
        <f t="shared" ca="1" si="331"/>
        <v>0</v>
      </c>
      <c r="CN60" s="29">
        <f t="array" aca="1" ref="CN60" ca="1">+IF(CF60=0,0,_xludf.XLOOKUP(CM60,CP57:CP60,CQ57:CQ60))</f>
        <v>0</v>
      </c>
      <c r="CO60" s="54"/>
      <c r="CP60" s="25">
        <f ca="1">+LARGE(CM57:CM60,4)</f>
        <v>0</v>
      </c>
      <c r="CQ60" s="25">
        <f t="shared" si="332"/>
        <v>0</v>
      </c>
      <c r="CR60" s="24">
        <v>0</v>
      </c>
    </row>
    <row r="61" spans="1:96" ht="14.25" customHeight="1" x14ac:dyDescent="0.25">
      <c r="A61" s="47" t="s">
        <v>165</v>
      </c>
      <c r="B61" s="48">
        <v>46200</v>
      </c>
      <c r="C61" s="49"/>
      <c r="D61" s="50"/>
      <c r="E61" s="51" t="s">
        <v>95</v>
      </c>
      <c r="F61" s="52">
        <v>0</v>
      </c>
      <c r="G61" s="52">
        <v>2</v>
      </c>
      <c r="H61" s="53" t="s">
        <v>55</v>
      </c>
      <c r="I61" s="24"/>
      <c r="J61" s="25" t="str">
        <f t="shared" si="289"/>
        <v>Belgica</v>
      </c>
      <c r="K61" s="25" t="str">
        <f t="shared" si="290"/>
        <v/>
      </c>
      <c r="L61" s="25" t="str">
        <f t="shared" si="291"/>
        <v/>
      </c>
      <c r="M61" s="25" t="str">
        <f t="shared" si="292"/>
        <v>Nueva Zelanda</v>
      </c>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6" t="s">
        <v>122</v>
      </c>
      <c r="AM61" s="61" t="str">
        <f ca="1">+IF(SUM(AA57:AA60)=12,"si","no")</f>
        <v>si</v>
      </c>
      <c r="AN61" s="24"/>
      <c r="AO61" s="24"/>
      <c r="AP61" s="24"/>
      <c r="AQ61" s="24"/>
      <c r="AR61" s="24"/>
      <c r="AS61" s="24"/>
      <c r="AT61" s="24"/>
      <c r="AU61" s="24"/>
      <c r="AV61" s="24"/>
      <c r="AW61" s="24"/>
      <c r="AX61" s="24"/>
      <c r="AY61" s="24"/>
      <c r="AZ61" s="24"/>
      <c r="BA61" s="24"/>
      <c r="BB61" s="24"/>
      <c r="BC61" s="24"/>
      <c r="BD61" s="24"/>
      <c r="BE61" s="26" t="e">
        <f ca="1">+IF(OR(BF61="-",BI61="-",BF55=0),"-","OK")</f>
        <v>#NAME?</v>
      </c>
      <c r="BF61" s="66" t="e">
        <f t="array" aca="1" ref="BF61" ca="1">+IF(_xludf.XLOOKUP($E61,$AY:$AY,$AZ:$AZ,"-",0)=BF55,$E61,"-")</f>
        <v>#NAME?</v>
      </c>
      <c r="BG61" s="67">
        <f t="shared" si="308"/>
        <v>0</v>
      </c>
      <c r="BH61" s="68">
        <f t="shared" si="309"/>
        <v>2</v>
      </c>
      <c r="BI61" s="66" t="e">
        <f t="array" aca="1" ref="BI61" ca="1">+IF(_xludf.XLOOKUP($H61,$AY:$AY,$AZ:$AZ,"-",0)=BF55,$H61,"-")</f>
        <v>#NAME?</v>
      </c>
      <c r="BJ61" s="24"/>
      <c r="BK61" s="24"/>
      <c r="BL61" s="24"/>
      <c r="BM61" s="24"/>
      <c r="BN61" s="24"/>
      <c r="BO61" s="24"/>
      <c r="BP61" s="24"/>
      <c r="BQ61" s="24"/>
      <c r="BR61" s="24"/>
      <c r="BS61" s="24"/>
      <c r="BT61" s="24"/>
      <c r="BU61" s="24"/>
      <c r="BV61" s="24"/>
      <c r="BW61" s="24"/>
      <c r="BX61" s="24"/>
      <c r="BY61" s="26" t="e">
        <f t="shared" ca="1" si="320"/>
        <v>#NAME?</v>
      </c>
      <c r="BZ61" s="66" t="e">
        <f t="array" aca="1" ref="BZ61" ca="1">+IF(_xludf.XLOOKUP($E61,$AY:$AY,$AZ:$AZ,"-",0)=BZ55,$E61,"-")</f>
        <v>#NAME?</v>
      </c>
      <c r="CA61" s="67">
        <f t="shared" si="321"/>
        <v>0</v>
      </c>
      <c r="CB61" s="68">
        <f t="shared" si="322"/>
        <v>2</v>
      </c>
      <c r="CC61" s="66" t="e">
        <f t="array" aca="1" ref="CC61" ca="1">+IF(_xludf.XLOOKUP($H61,$AY:$AY,$AZ:$AZ,"-",0)=BZ55,$H61,"-")</f>
        <v>#NAME?</v>
      </c>
      <c r="CD61" s="24"/>
      <c r="CE61" s="24"/>
      <c r="CF61" s="24"/>
      <c r="CG61" s="24"/>
      <c r="CH61" s="24"/>
      <c r="CI61" s="24"/>
      <c r="CJ61" s="24"/>
      <c r="CK61" s="24"/>
      <c r="CL61" s="24"/>
      <c r="CM61" s="24"/>
      <c r="CN61" s="24"/>
      <c r="CO61" s="24"/>
      <c r="CP61" s="24"/>
      <c r="CQ61" s="24"/>
      <c r="CR61" s="24"/>
    </row>
    <row r="62" spans="1:96" ht="14.25" customHeight="1" x14ac:dyDescent="0.25">
      <c r="A62" s="47" t="s">
        <v>166</v>
      </c>
      <c r="B62" s="48">
        <v>46200</v>
      </c>
      <c r="C62" s="49"/>
      <c r="D62" s="50"/>
      <c r="E62" s="51" t="s">
        <v>75</v>
      </c>
      <c r="F62" s="52">
        <v>0</v>
      </c>
      <c r="G62" s="52">
        <v>2</v>
      </c>
      <c r="H62" s="53" t="s">
        <v>86</v>
      </c>
      <c r="I62" s="24"/>
      <c r="J62" s="25" t="str">
        <f t="shared" si="289"/>
        <v>Iran</v>
      </c>
      <c r="K62" s="25" t="str">
        <f t="shared" si="290"/>
        <v/>
      </c>
      <c r="L62" s="25" t="str">
        <f t="shared" si="291"/>
        <v/>
      </c>
      <c r="M62" s="25" t="str">
        <f t="shared" si="292"/>
        <v>Egipto</v>
      </c>
      <c r="N62" s="24"/>
      <c r="O62" s="24"/>
      <c r="P62" s="24"/>
      <c r="Q62" s="24"/>
      <c r="R62" s="24"/>
      <c r="S62" s="24"/>
      <c r="T62" s="24"/>
      <c r="U62" s="24"/>
      <c r="V62" s="24"/>
      <c r="W62" s="24"/>
      <c r="X62" s="24"/>
      <c r="Y62" s="62" t="s">
        <v>124</v>
      </c>
      <c r="Z62" s="24"/>
      <c r="AA62" s="24"/>
      <c r="AB62" s="24"/>
      <c r="AC62" s="24"/>
      <c r="AD62" s="24"/>
      <c r="AE62" s="24"/>
      <c r="AF62" s="24"/>
      <c r="AG62" s="24"/>
      <c r="AH62" s="24"/>
      <c r="AI62" s="24"/>
      <c r="AJ62" s="24"/>
      <c r="AK62" s="24"/>
      <c r="AL62" s="24"/>
      <c r="AM62" s="24"/>
      <c r="AN62" s="24"/>
      <c r="AO62" s="24"/>
      <c r="AP62" s="24"/>
      <c r="AQ62" s="24"/>
      <c r="AR62" s="24">
        <f ca="1">+IF(AND(AM61="si",OR(AR57=1,AR58=1,AR59=1)),1,0)</f>
        <v>0</v>
      </c>
      <c r="AS62" s="24"/>
      <c r="AT62" s="24"/>
      <c r="AU62" s="24"/>
      <c r="AV62" s="24"/>
      <c r="AW62" s="24"/>
      <c r="AX62" s="24"/>
      <c r="AY62" s="24"/>
      <c r="AZ62" s="24"/>
      <c r="BA62" s="24"/>
      <c r="BB62" s="24"/>
      <c r="BC62" s="24"/>
      <c r="BD62" s="24"/>
      <c r="BE62" s="26" t="e">
        <f ca="1">+IF(OR(BF62="-",BI62="-",BF55=0),"-","OK")</f>
        <v>#NAME?</v>
      </c>
      <c r="BF62" s="66" t="e">
        <f t="array" aca="1" ref="BF62" ca="1">+IF(_xludf.XLOOKUP($E62,$AY:$AY,$AZ:$AZ,"-",0)=BF55,$E62,"-")</f>
        <v>#NAME?</v>
      </c>
      <c r="BG62" s="67">
        <f t="shared" si="308"/>
        <v>0</v>
      </c>
      <c r="BH62" s="68">
        <f t="shared" si="309"/>
        <v>2</v>
      </c>
      <c r="BI62" s="66" t="e">
        <f t="array" aca="1" ref="BI62" ca="1">+IF(_xludf.XLOOKUP($H62,$AY:$AY,$AZ:$AZ,"-",0)=BF55,$H62,"-")</f>
        <v>#NAME?</v>
      </c>
      <c r="BJ62" s="24"/>
      <c r="BK62" s="24"/>
      <c r="BL62" s="24"/>
      <c r="BM62" s="24"/>
      <c r="BN62" s="24"/>
      <c r="BO62" s="24"/>
      <c r="BP62" s="24"/>
      <c r="BQ62" s="24"/>
      <c r="BR62" s="24"/>
      <c r="BS62" s="24"/>
      <c r="BT62" s="24"/>
      <c r="BU62" s="24"/>
      <c r="BV62" s="24"/>
      <c r="BW62" s="24"/>
      <c r="BX62" s="24"/>
      <c r="BY62" s="26" t="e">
        <f t="shared" ca="1" si="320"/>
        <v>#NAME?</v>
      </c>
      <c r="BZ62" s="66" t="e">
        <f t="array" aca="1" ref="BZ62" ca="1">+IF(_xludf.XLOOKUP($E62,$AY:$AY,$AZ:$AZ,"-",0)=BZ55,$E62,"-")</f>
        <v>#NAME?</v>
      </c>
      <c r="CA62" s="67">
        <f t="shared" si="321"/>
        <v>0</v>
      </c>
      <c r="CB62" s="68">
        <f t="shared" si="322"/>
        <v>2</v>
      </c>
      <c r="CC62" s="66" t="e">
        <f t="array" aca="1" ref="CC62" ca="1">+IF(_xludf.XLOOKUP($H62,$AY:$AY,$AZ:$AZ,"-",0)=BZ55,$H62,"-")</f>
        <v>#NAME?</v>
      </c>
      <c r="CD62" s="24"/>
      <c r="CE62" s="24"/>
      <c r="CF62" s="24"/>
      <c r="CG62" s="24"/>
      <c r="CH62" s="24"/>
      <c r="CI62" s="24"/>
      <c r="CJ62" s="24"/>
      <c r="CK62" s="24"/>
      <c r="CL62" s="24"/>
      <c r="CM62" s="24"/>
      <c r="CN62" s="24"/>
      <c r="CO62" s="24"/>
      <c r="CP62" s="24"/>
      <c r="CQ62" s="24"/>
      <c r="CR62" s="24"/>
    </row>
    <row r="63" spans="1:96" ht="14.25" customHeight="1" x14ac:dyDescent="0.25">
      <c r="A63" s="91"/>
      <c r="B63" s="92"/>
      <c r="C63" s="91"/>
      <c r="D63" s="93"/>
      <c r="E63" s="94"/>
      <c r="F63" s="91"/>
      <c r="G63" s="91"/>
      <c r="H63" s="95"/>
      <c r="I63" s="93"/>
      <c r="J63" s="91"/>
      <c r="K63" s="91"/>
      <c r="L63" s="91"/>
      <c r="M63" s="91"/>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1"/>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row>
    <row r="64" spans="1:96" ht="14.25" customHeight="1" x14ac:dyDescent="0.25">
      <c r="A64" s="24"/>
      <c r="B64" s="25"/>
      <c r="C64" s="25"/>
      <c r="D64" s="24"/>
      <c r="E64" s="26"/>
      <c r="F64" s="25"/>
      <c r="G64" s="25"/>
      <c r="H64" s="27"/>
      <c r="I64" s="24"/>
      <c r="J64" s="25"/>
      <c r="K64" s="25"/>
      <c r="L64" s="25"/>
      <c r="M64" s="25"/>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5"/>
      <c r="BF64" s="28" t="str">
        <f>+IF(BA66&gt;1,AZ66,IF(BA67&gt;1,AZ67,IF(BA68&gt;1,AZ68,IF(BA69&gt;1,AZ69,"-"))))</f>
        <v>-</v>
      </c>
      <c r="BG64" s="24"/>
      <c r="BH64" s="24"/>
      <c r="BI64" s="24"/>
      <c r="BJ64" s="24"/>
      <c r="BK64" s="24"/>
      <c r="BL64" s="24"/>
      <c r="BM64" s="24"/>
      <c r="BN64" s="24"/>
      <c r="BO64" s="24"/>
      <c r="BP64" s="24"/>
      <c r="BQ64" s="24"/>
      <c r="BR64" s="24"/>
      <c r="BS64" s="24"/>
      <c r="BT64" s="24"/>
      <c r="BU64" s="24"/>
      <c r="BV64" s="24"/>
      <c r="BW64" s="24">
        <v>10</v>
      </c>
      <c r="BX64" s="24"/>
      <c r="BY64" s="24"/>
      <c r="BZ64" s="29">
        <f>+IF(BC66&gt;1,BB66,IF(BC67&gt;1,BB67,IF(BC68&gt;1,BB68,IF(BC69&gt;1,BB69,"-"))))</f>
        <v>9</v>
      </c>
      <c r="CA64" s="24"/>
      <c r="CB64" s="24"/>
      <c r="CC64" s="24"/>
      <c r="CD64" s="24"/>
      <c r="CE64" s="24"/>
      <c r="CF64" s="24"/>
      <c r="CG64" s="24"/>
      <c r="CH64" s="24"/>
      <c r="CI64" s="24"/>
      <c r="CJ64" s="24"/>
      <c r="CK64" s="24"/>
      <c r="CL64" s="24"/>
      <c r="CM64" s="24"/>
      <c r="CN64" s="24"/>
      <c r="CO64" s="24"/>
      <c r="CP64" s="24"/>
      <c r="CQ64" s="24">
        <v>10</v>
      </c>
      <c r="CR64" s="24"/>
    </row>
    <row r="65" spans="1:96" ht="14.25" customHeight="1" x14ac:dyDescent="0.25">
      <c r="A65" s="159" t="s">
        <v>100</v>
      </c>
      <c r="B65" s="160" t="s">
        <v>101</v>
      </c>
      <c r="C65" s="160" t="s">
        <v>102</v>
      </c>
      <c r="D65" s="161"/>
      <c r="E65" s="162" t="s">
        <v>167</v>
      </c>
      <c r="F65" s="163"/>
      <c r="G65" s="163"/>
      <c r="H65" s="164"/>
      <c r="I65" s="24"/>
      <c r="J65" s="25" t="s">
        <v>104</v>
      </c>
      <c r="K65" s="25" t="s">
        <v>105</v>
      </c>
      <c r="L65" s="25" t="s">
        <v>105</v>
      </c>
      <c r="M65" s="25" t="s">
        <v>106</v>
      </c>
      <c r="N65" s="24"/>
      <c r="O65" s="27" t="str">
        <f t="shared" ref="O65:O66" si="336">+E65</f>
        <v>Grupo H</v>
      </c>
      <c r="P65" s="25" t="s">
        <v>104</v>
      </c>
      <c r="Q65" s="25" t="s">
        <v>105</v>
      </c>
      <c r="R65" s="25" t="s">
        <v>106</v>
      </c>
      <c r="S65" s="25" t="s">
        <v>107</v>
      </c>
      <c r="T65" s="25" t="s">
        <v>108</v>
      </c>
      <c r="U65" s="25" t="s">
        <v>109</v>
      </c>
      <c r="V65" s="25" t="s">
        <v>0</v>
      </c>
      <c r="W65" s="25"/>
      <c r="X65" s="24"/>
      <c r="Y65" s="474" t="s">
        <v>167</v>
      </c>
      <c r="Z65" s="475"/>
      <c r="AA65" s="165" t="s">
        <v>110</v>
      </c>
      <c r="AB65" s="166" t="s">
        <v>104</v>
      </c>
      <c r="AC65" s="166" t="s">
        <v>105</v>
      </c>
      <c r="AD65" s="166" t="s">
        <v>106</v>
      </c>
      <c r="AE65" s="166" t="s">
        <v>107</v>
      </c>
      <c r="AF65" s="166" t="s">
        <v>108</v>
      </c>
      <c r="AG65" s="166" t="s">
        <v>109</v>
      </c>
      <c r="AH65" s="167" t="s">
        <v>0</v>
      </c>
      <c r="AI65" s="168"/>
      <c r="AJ65" s="24"/>
      <c r="AK65" s="24"/>
      <c r="AL65" s="25" t="s">
        <v>0</v>
      </c>
      <c r="AM65" s="25" t="s">
        <v>111</v>
      </c>
      <c r="AN65" s="25"/>
      <c r="AO65" s="25"/>
      <c r="AP65" s="25"/>
      <c r="AQ65" s="25"/>
      <c r="AR65" s="25"/>
      <c r="AS65" s="25"/>
      <c r="AT65" s="25"/>
      <c r="AU65" s="25"/>
      <c r="AV65" s="24"/>
      <c r="AW65" s="24"/>
      <c r="AX65" s="24"/>
      <c r="AY65" s="25" t="s">
        <v>112</v>
      </c>
      <c r="AZ65" s="25" t="s">
        <v>0</v>
      </c>
      <c r="BA65" s="25" t="s">
        <v>113</v>
      </c>
      <c r="BB65" s="25"/>
      <c r="BC65" s="25"/>
      <c r="BD65" s="25"/>
      <c r="BE65" s="25"/>
      <c r="BF65" s="24"/>
      <c r="BG65" s="24"/>
      <c r="BH65" s="24"/>
      <c r="BI65" s="24"/>
      <c r="BJ65" s="24"/>
      <c r="BK65" s="27"/>
      <c r="BL65" s="27" t="s">
        <v>110</v>
      </c>
      <c r="BM65" s="25" t="s">
        <v>104</v>
      </c>
      <c r="BN65" s="25" t="s">
        <v>105</v>
      </c>
      <c r="BO65" s="25" t="s">
        <v>106</v>
      </c>
      <c r="BP65" s="25" t="s">
        <v>107</v>
      </c>
      <c r="BQ65" s="25" t="s">
        <v>108</v>
      </c>
      <c r="BR65" s="25" t="s">
        <v>109</v>
      </c>
      <c r="BS65" s="25" t="s">
        <v>0</v>
      </c>
      <c r="BT65" s="25" t="s">
        <v>114</v>
      </c>
      <c r="BU65" s="25"/>
      <c r="BV65" s="25" t="s">
        <v>115</v>
      </c>
      <c r="BW65" s="25" t="s">
        <v>114</v>
      </c>
      <c r="BX65" s="24"/>
      <c r="BY65" s="24"/>
      <c r="BZ65" s="24"/>
      <c r="CA65" s="24"/>
      <c r="CB65" s="24"/>
      <c r="CC65" s="24"/>
      <c r="CD65" s="24"/>
      <c r="CE65" s="27"/>
      <c r="CF65" s="27" t="s">
        <v>110</v>
      </c>
      <c r="CG65" s="25" t="s">
        <v>104</v>
      </c>
      <c r="CH65" s="25" t="s">
        <v>105</v>
      </c>
      <c r="CI65" s="25" t="s">
        <v>106</v>
      </c>
      <c r="CJ65" s="25" t="s">
        <v>107</v>
      </c>
      <c r="CK65" s="25" t="s">
        <v>108</v>
      </c>
      <c r="CL65" s="25" t="s">
        <v>109</v>
      </c>
      <c r="CM65" s="25" t="s">
        <v>0</v>
      </c>
      <c r="CN65" s="25" t="s">
        <v>114</v>
      </c>
      <c r="CO65" s="25"/>
      <c r="CP65" s="25" t="s">
        <v>115</v>
      </c>
      <c r="CQ65" s="25" t="s">
        <v>114</v>
      </c>
      <c r="CR65" s="24"/>
    </row>
    <row r="66" spans="1:96" ht="14.25" customHeight="1" x14ac:dyDescent="0.25">
      <c r="A66" s="47" t="s">
        <v>168</v>
      </c>
      <c r="B66" s="48">
        <v>46188</v>
      </c>
      <c r="C66" s="49"/>
      <c r="D66" s="50"/>
      <c r="E66" s="51" t="s">
        <v>49</v>
      </c>
      <c r="F66" s="52">
        <v>3</v>
      </c>
      <c r="G66" s="52">
        <v>0</v>
      </c>
      <c r="H66" s="53" t="s">
        <v>92</v>
      </c>
      <c r="I66" s="24"/>
      <c r="J66" s="25" t="str">
        <f t="shared" ref="J66:J71" si="337">IF(OR(ISBLANK(F66),ISBLANK(G66)),"",IF(F66&gt;G66,E66,IF(G66&gt;F66,H66,"")))</f>
        <v>España</v>
      </c>
      <c r="K66" s="25" t="str">
        <f t="shared" ref="K66:K71" si="338">IF(OR(ISBLANK(F66),ISBLANK(G66)),"",IF(F66=G66,E66,""))</f>
        <v/>
      </c>
      <c r="L66" s="25" t="str">
        <f t="shared" ref="L66:L71" si="339">IF(OR(ISBLANK(F66),ISBLANK(G66)),"",IF(F66=G66,H66,""))</f>
        <v/>
      </c>
      <c r="M66" s="25" t="str">
        <f t="shared" ref="M66:M71" si="340">IF(OR(ISBLANK(F66),ISBLANK(G66)),"",IF(F66&lt;G66,E66,IF(G66&lt;F66,H66,"")))</f>
        <v>Cabo Verde</v>
      </c>
      <c r="N66" s="24"/>
      <c r="O66" s="27" t="str">
        <f t="shared" si="336"/>
        <v>España</v>
      </c>
      <c r="P66" s="25">
        <f>+COUNTIF(J66:J71,"="&amp;$O66)</f>
        <v>3</v>
      </c>
      <c r="Q66" s="25">
        <f>+COUNTIF(K66:L71,"="&amp;$O66)</f>
        <v>0</v>
      </c>
      <c r="R66" s="25">
        <f>+COUNTIF(M66:M71,"="&amp;$O66)</f>
        <v>0</v>
      </c>
      <c r="S66" s="25">
        <f t="shared" ref="S66:S69" si="341">+T66-U66</f>
        <v>6</v>
      </c>
      <c r="T66" s="25">
        <f>+SUMIF(E66:E71,$O66,F66:F71)+SUMIF(H66:H71,$O66,G66:G71)</f>
        <v>6</v>
      </c>
      <c r="U66" s="25">
        <f>+SUMIF(E66:E71,$O66,G66:G71)+SUMIF(H66:H71,$O66,F66:F71)</f>
        <v>0</v>
      </c>
      <c r="V66" s="54">
        <f t="shared" ref="V66:V69" ca="1" si="342">+P66*3+Q66*1+BT66+CN66+S66/1000+T66/10000+AV66/1000000+ROW()/10000000</f>
        <v>9.0066066000000014</v>
      </c>
      <c r="W66" s="27" t="str">
        <f t="shared" ref="W66:W69" si="343">+O66</f>
        <v>España</v>
      </c>
      <c r="X66" s="24"/>
      <c r="Y66" s="55" t="str">
        <f>+CONCATENATE("1",RIGHT(E65,1))</f>
        <v>1H</v>
      </c>
      <c r="Z66" s="56" t="str">
        <f ca="1">+VLOOKUP(AL66,V66:W69,2,FALSE)</f>
        <v>España</v>
      </c>
      <c r="AA66" s="57">
        <f t="shared" ref="AA66:AA69" ca="1" si="344">+SUM(AB66:AD66)</f>
        <v>3</v>
      </c>
      <c r="AB66" s="58">
        <f t="shared" ref="AB66:AG66" ca="1" si="345">+VLOOKUP($Z66,$O$66:$U$69,COLUMN()-26,FALSE)</f>
        <v>3</v>
      </c>
      <c r="AC66" s="58">
        <f t="shared" ca="1" si="345"/>
        <v>0</v>
      </c>
      <c r="AD66" s="58">
        <f t="shared" ca="1" si="345"/>
        <v>0</v>
      </c>
      <c r="AE66" s="58">
        <f t="shared" ca="1" si="345"/>
        <v>6</v>
      </c>
      <c r="AF66" s="58">
        <f t="shared" ca="1" si="345"/>
        <v>6</v>
      </c>
      <c r="AG66" s="58">
        <f t="shared" ca="1" si="345"/>
        <v>0</v>
      </c>
      <c r="AH66" s="59">
        <f t="shared" ref="AH66:AH69" ca="1" si="346">+VLOOKUP($Z66,$O$66:$V$69,COLUMN()-26,FALSE)</f>
        <v>9.0066066000000014</v>
      </c>
      <c r="AI66" s="60"/>
      <c r="AJ66" s="24"/>
      <c r="AK66" s="24"/>
      <c r="AL66" s="54">
        <f ca="1">+LARGE(V66:V69,1)</f>
        <v>9.0066066000000014</v>
      </c>
      <c r="AM66" s="61">
        <f t="shared" ref="AM66:AM69" ca="1" si="347">+(AH66-AL66)*100000000000000000000</f>
        <v>0</v>
      </c>
      <c r="AN66" s="24"/>
      <c r="AO66" s="24"/>
      <c r="AP66" s="62" t="str">
        <f t="shared" ref="AP66:AP69" si="348">+O66</f>
        <v>España</v>
      </c>
      <c r="AQ66" s="169">
        <f t="shared" ref="AQ66:AQ69" ca="1" si="349">+P66*3+Q66*1+BT66+CN66+S66/1000+T66/10000</f>
        <v>9.0066000000000006</v>
      </c>
      <c r="AR66" s="24" t="b">
        <f ca="1">+IF(OR(AQ66=AQ67,AQ66=AQ68,AQ66=AQ69),1)</f>
        <v>0</v>
      </c>
      <c r="AS66" s="63">
        <f t="shared" ref="AS66:AS69" si="350">+AV66</f>
        <v>0</v>
      </c>
      <c r="AT66" s="63">
        <f ca="1">+IF(AND(AM70="si",OR(AR66=1,AR67=1,AR68=1)),1,0)</f>
        <v>0</v>
      </c>
      <c r="AU66" s="64" t="str">
        <f t="shared" ref="AU66:AU69" si="351">+O66</f>
        <v>España</v>
      </c>
      <c r="AV66" s="65"/>
      <c r="AW66" s="24"/>
      <c r="AX66" s="24" t="str">
        <f>+Y65</f>
        <v>Grupo H</v>
      </c>
      <c r="AY66" s="25" t="str">
        <f t="shared" ref="AY66:AY69" si="352">+O66</f>
        <v>España</v>
      </c>
      <c r="AZ66" s="29">
        <f t="shared" ref="AZ66:AZ69" si="353">+P66*3+Q66</f>
        <v>9</v>
      </c>
      <c r="BA66" s="29">
        <f t="shared" ref="BA66:BA69" si="354">+COUNTIFS($AX$1:AX66,AX66,$AZ$1:AZ66,AZ66)</f>
        <v>1</v>
      </c>
      <c r="BB66" s="29">
        <f>+IF(AZ66=BF64,ROW()*0.001,AZ66)</f>
        <v>9</v>
      </c>
      <c r="BC66" s="29">
        <f t="shared" ref="BC66:BC69" si="355">+COUNTIFS($AX$1:AZ66,AZ66,$AZ$1:BB66,BB66)</f>
        <v>5</v>
      </c>
      <c r="BD66" s="29"/>
      <c r="BE66" s="26" t="e">
        <f ca="1">+IF(OR(BF66="-",BI66="-",BF64=0),"-","OK")</f>
        <v>#NAME?</v>
      </c>
      <c r="BF66" s="66" t="e">
        <f t="array" aca="1" ref="BF66" ca="1">+IF(_xludf.XLOOKUP($E66,$AY:$AY,$AZ:$AZ,"-",0)=BF64,$E66,"-")</f>
        <v>#NAME?</v>
      </c>
      <c r="BG66" s="67">
        <f t="shared" ref="BG66:BG71" si="356">+$F66</f>
        <v>3</v>
      </c>
      <c r="BH66" s="68">
        <f t="shared" ref="BH66:BH71" si="357">+$G66</f>
        <v>0</v>
      </c>
      <c r="BI66" s="66" t="e">
        <f t="array" aca="1" ref="BI66" ca="1">+IF(_xludf.XLOOKUP($H66,$AY:$AY,$AZ:$AZ,"-",0)=BF64,$H66,"-")</f>
        <v>#NAME?</v>
      </c>
      <c r="BJ66" s="24"/>
      <c r="BK66" s="27" t="str">
        <f t="shared" ref="BK66:BK69" si="358">+O66</f>
        <v>España</v>
      </c>
      <c r="BL66" s="27">
        <f t="shared" ref="BL66:BL69" ca="1" si="359">+COUNTIFS($BE:$BE,"OK",$BI:$BI,BK66)+COUNTIFS($BE:$BE,"OK",$BF:$BF,BK66)</f>
        <v>0</v>
      </c>
      <c r="BM66" s="25">
        <f t="shared" ref="BM66:BM69" ca="1" si="360">+COUNTIFS(J:J,$BK66,$BE:$BE,"OK")</f>
        <v>0</v>
      </c>
      <c r="BN66" s="25">
        <f t="shared" ref="BN66:BN69" si="361">+COUNTIFS(K:K,$BK66,$BE:$BE,"OK")+COUNTIFS(L:L,$BK66,$BE:$BE,"OK")</f>
        <v>0</v>
      </c>
      <c r="BO66" s="25">
        <f t="shared" ref="BO66:BO69" si="362">+COUNTIFS(M:M,$BK66,$BE:$BE,"OK")</f>
        <v>0</v>
      </c>
      <c r="BP66" s="25">
        <f t="shared" ref="BP66:BP69" ca="1" si="363">+BQ66-BR66</f>
        <v>0</v>
      </c>
      <c r="BQ66" s="25">
        <f t="shared" ref="BQ66:BQ69" ca="1" si="364">+SUMIFS(BG:BG,$BE:$BE,"OK",BF:BF,$BK66)+SUMIFS(BH:BH,$BE:$BE,"OK",BI:BI,$BK66)</f>
        <v>0</v>
      </c>
      <c r="BR66" s="25">
        <f t="shared" ref="BR66:BR69" ca="1" si="365">+SUMIFS(BH:BH,$BE:$BE,"OK",BF:BF,$BK66)+SUMIFS(BG:BG,$BE:$BE,"OK",BI:BI,$BK66)</f>
        <v>0</v>
      </c>
      <c r="BS66" s="69">
        <f t="shared" ref="BS66:BS69" ca="1" si="366">+BM66*3+BN66*1+BP66/100+BQ66/10000</f>
        <v>0</v>
      </c>
      <c r="BT66" s="69">
        <f t="array" aca="1" ref="BT66" ca="1">+IF(BL66=0,0,_xludf.XLOOKUP(BS66,BV66:BV69,BW66:BW69))</f>
        <v>0</v>
      </c>
      <c r="BU66" s="54"/>
      <c r="BV66" s="25">
        <f ca="1">+LARGE(BS66:BS69,1)</f>
        <v>0</v>
      </c>
      <c r="BW66" s="25">
        <f t="shared" ref="BW66:BW69" si="367">+BX66/$BW$1</f>
        <v>0.3</v>
      </c>
      <c r="BX66" s="24">
        <v>3</v>
      </c>
      <c r="BY66" s="26" t="e">
        <f t="shared" ref="BY66:BY71" ca="1" si="368">+IF(OR(BZ66="-",CC66="-"),"-","OK")</f>
        <v>#NAME?</v>
      </c>
      <c r="BZ66" s="66" t="e">
        <f t="array" aca="1" ref="BZ66" ca="1">+IF(_xludf.XLOOKUP($E66,$AY:$AY,$AZ:$AZ,"-",0)=BZ64,$E66,"-")</f>
        <v>#NAME?</v>
      </c>
      <c r="CA66" s="67">
        <f t="shared" ref="CA66:CA71" si="369">+$F66</f>
        <v>3</v>
      </c>
      <c r="CB66" s="68">
        <f t="shared" ref="CB66:CB71" si="370">+$G66</f>
        <v>0</v>
      </c>
      <c r="CC66" s="66" t="e">
        <f t="array" aca="1" ref="CC66" ca="1">+IF(_xludf.XLOOKUP($H66,$AY:$AY,$AZ:$AZ,"-",0)=BZ64,$H66,"-")</f>
        <v>#NAME?</v>
      </c>
      <c r="CD66" s="24"/>
      <c r="CE66" s="27" t="str">
        <f t="shared" ref="CE66:CE69" si="371">+BK66</f>
        <v>España</v>
      </c>
      <c r="CF66" s="27">
        <f t="shared" ref="CF66:CF69" ca="1" si="372">+COUNTIFS($BY:$BY,"OK",$CC:$CC,CE66)+COUNTIFS($BY:$BY,"OK",$BZ:$BZ,CE66)</f>
        <v>0</v>
      </c>
      <c r="CG66" s="25">
        <f t="shared" ref="CG66:CG69" si="373">+COUNTIFS(P:P,$BK66,$BY:$BY,"OK")</f>
        <v>0</v>
      </c>
      <c r="CH66" s="25">
        <f t="shared" ref="CH66:CH69" si="374">+COUNTIFS(K:K,$BK66,$BY:$BY,"OK")+COUNTIFS(L:L,$BK66,$BY:$BY,"OK")</f>
        <v>0</v>
      </c>
      <c r="CI66" s="25">
        <f t="shared" ref="CI66:CI69" si="375">+COUNTIFS(M:M,$CE66,$BY:$BY,"OK")</f>
        <v>0</v>
      </c>
      <c r="CJ66" s="25">
        <f t="shared" ref="CJ66:CJ69" ca="1" si="376">+CK66-CL66</f>
        <v>0</v>
      </c>
      <c r="CK66" s="25">
        <f t="shared" ref="CK66:CK69" ca="1" si="377">+SUMIFS(CA:CA,$BY:$BY,"OK",BZ:BZ,$BK66)+SUMIFS(CB:CB,$BY:$BY,"OK",CC:CC,$BK66)</f>
        <v>0</v>
      </c>
      <c r="CL66" s="25">
        <f t="shared" ref="CL66:CL69" ca="1" si="378">+SUMIFS(CB:CB,$BY:$BY,"OK",BZ:BZ,$BK66)+SUMIFS(CA:CA,$BY:$BY,"OK",CC:CC,$BK66)</f>
        <v>0</v>
      </c>
      <c r="CM66" s="69">
        <f t="shared" ref="CM66:CM69" ca="1" si="379">+CG66*3+CH66*1+CJ66/100+CK66/10000</f>
        <v>0</v>
      </c>
      <c r="CN66" s="170">
        <f t="array" aca="1" ref="CN66" ca="1">+IF(CF66=0,0,_xludf.XLOOKUP(CM66,CP66:CP69,CQ66:CQ69))</f>
        <v>0</v>
      </c>
      <c r="CO66" s="54"/>
      <c r="CP66" s="25">
        <f ca="1">+LARGE(CM66:CM69,1)</f>
        <v>0</v>
      </c>
      <c r="CQ66" s="25">
        <f t="shared" ref="CQ66:CQ69" si="380">+CR66/$BW$1</f>
        <v>0.3</v>
      </c>
      <c r="CR66" s="24">
        <v>3</v>
      </c>
    </row>
    <row r="67" spans="1:96" ht="14.25" customHeight="1" x14ac:dyDescent="0.25">
      <c r="A67" s="47" t="s">
        <v>169</v>
      </c>
      <c r="B67" s="48">
        <v>46188</v>
      </c>
      <c r="C67" s="49"/>
      <c r="D67" s="50"/>
      <c r="E67" s="51" t="s">
        <v>83</v>
      </c>
      <c r="F67" s="52">
        <v>1</v>
      </c>
      <c r="G67" s="52">
        <v>2</v>
      </c>
      <c r="H67" s="53" t="s">
        <v>58</v>
      </c>
      <c r="I67" s="24"/>
      <c r="J67" s="25" t="str">
        <f t="shared" si="337"/>
        <v>Uruguay</v>
      </c>
      <c r="K67" s="25" t="str">
        <f t="shared" si="338"/>
        <v/>
      </c>
      <c r="L67" s="25" t="str">
        <f t="shared" si="339"/>
        <v/>
      </c>
      <c r="M67" s="25" t="str">
        <f t="shared" si="340"/>
        <v>Arabia Saudita</v>
      </c>
      <c r="N67" s="24"/>
      <c r="O67" s="27" t="str">
        <f>+H66</f>
        <v>Cabo Verde</v>
      </c>
      <c r="P67" s="25">
        <f>+COUNTIF(J66:J71,"="&amp;$O67)</f>
        <v>0</v>
      </c>
      <c r="Q67" s="25">
        <f>+COUNTIF(K66:L71,"="&amp;$O67)</f>
        <v>0</v>
      </c>
      <c r="R67" s="25">
        <f>+COUNTIF(M66:M71,"="&amp;$O67)</f>
        <v>3</v>
      </c>
      <c r="S67" s="25">
        <f t="shared" si="341"/>
        <v>-6</v>
      </c>
      <c r="T67" s="25">
        <f>+SUMIF(E66:E71,$O67,F66:F71)+SUMIF(H66:H71,$O67,G66:G71)</f>
        <v>0</v>
      </c>
      <c r="U67" s="25">
        <f>+SUMIF(E66:E71,$O67,G66:G71)+SUMIF(H66:H71,$O67,F66:F71)</f>
        <v>6</v>
      </c>
      <c r="V67" s="54">
        <f t="shared" ca="1" si="342"/>
        <v>-5.9933E-3</v>
      </c>
      <c r="W67" s="27" t="str">
        <f t="shared" si="343"/>
        <v>Cabo Verde</v>
      </c>
      <c r="X67" s="24"/>
      <c r="Y67" s="71" t="str">
        <f>+CONCATENATE("2",RIGHT(E65,1))</f>
        <v>2H</v>
      </c>
      <c r="Z67" s="72" t="str">
        <f ca="1">+VLOOKUP(AL67,V66:W69,2,FALSE)</f>
        <v>Uruguay</v>
      </c>
      <c r="AA67" s="73">
        <f t="shared" ca="1" si="344"/>
        <v>3</v>
      </c>
      <c r="AB67" s="74">
        <f t="shared" ref="AB67:AG67" ca="1" si="381">+VLOOKUP($Z67,$O$66:$U$69,COLUMN()-26,FALSE)</f>
        <v>2</v>
      </c>
      <c r="AC67" s="74">
        <f t="shared" ca="1" si="381"/>
        <v>0</v>
      </c>
      <c r="AD67" s="74">
        <f t="shared" ca="1" si="381"/>
        <v>1</v>
      </c>
      <c r="AE67" s="74">
        <f t="shared" ca="1" si="381"/>
        <v>2</v>
      </c>
      <c r="AF67" s="74">
        <f t="shared" ca="1" si="381"/>
        <v>4</v>
      </c>
      <c r="AG67" s="74">
        <f t="shared" ca="1" si="381"/>
        <v>2</v>
      </c>
      <c r="AH67" s="75">
        <f t="shared" ca="1" si="346"/>
        <v>6.0024068999999995</v>
      </c>
      <c r="AI67" s="60"/>
      <c r="AJ67" s="24"/>
      <c r="AK67" s="24"/>
      <c r="AL67" s="54">
        <f ca="1">+LARGE(V66:V69,2)</f>
        <v>6.0024068999999995</v>
      </c>
      <c r="AM67" s="61">
        <f t="shared" ca="1" si="347"/>
        <v>0</v>
      </c>
      <c r="AN67" s="24"/>
      <c r="AO67" s="24"/>
      <c r="AP67" s="62" t="str">
        <f t="shared" si="348"/>
        <v>Cabo Verde</v>
      </c>
      <c r="AQ67" s="28">
        <f t="shared" ca="1" si="349"/>
        <v>-6.0000000000000001E-3</v>
      </c>
      <c r="AR67" s="24" t="b">
        <f ca="1">+IF(OR(AQ67=AQ68,AQ67=AQ69),1)</f>
        <v>0</v>
      </c>
      <c r="AS67" s="63">
        <f t="shared" si="350"/>
        <v>0</v>
      </c>
      <c r="AT67" s="63">
        <f ca="1">+IF(AND(AM70="si",OR(AR66=1,AR67=1,AR68=1)),1,0)</f>
        <v>0</v>
      </c>
      <c r="AU67" s="76" t="str">
        <f t="shared" si="351"/>
        <v>Cabo Verde</v>
      </c>
      <c r="AV67" s="77"/>
      <c r="AW67" s="24"/>
      <c r="AX67" s="24" t="str">
        <f>+Y65</f>
        <v>Grupo H</v>
      </c>
      <c r="AY67" s="25" t="str">
        <f t="shared" si="352"/>
        <v>Cabo Verde</v>
      </c>
      <c r="AZ67" s="29">
        <f t="shared" si="353"/>
        <v>0</v>
      </c>
      <c r="BA67" s="29">
        <f t="shared" si="354"/>
        <v>1</v>
      </c>
      <c r="BB67" s="29">
        <f>+IF(AZ67=BF64,ROW()*0.001,AZ67)</f>
        <v>0</v>
      </c>
      <c r="BC67" s="29">
        <f t="shared" si="355"/>
        <v>7</v>
      </c>
      <c r="BD67" s="29"/>
      <c r="BE67" s="26" t="e">
        <f ca="1">+IF(OR(BF67="-",BI67="-",BF64=0),"-","OK")</f>
        <v>#NAME?</v>
      </c>
      <c r="BF67" s="66" t="e">
        <f t="array" aca="1" ref="BF67" ca="1">+IF(_xludf.XLOOKUP($E67,$AY:$AY,$AZ:$AZ,"-",0)=BF64,$E67,"-")</f>
        <v>#NAME?</v>
      </c>
      <c r="BG67" s="67">
        <f t="shared" si="356"/>
        <v>1</v>
      </c>
      <c r="BH67" s="68">
        <f t="shared" si="357"/>
        <v>2</v>
      </c>
      <c r="BI67" s="66" t="e">
        <f t="array" aca="1" ref="BI67" ca="1">+IF(_xludf.XLOOKUP($H67,$AY:$AY,$AZ:$AZ,"-",0)=BF64,$H67,"-")</f>
        <v>#NAME?</v>
      </c>
      <c r="BJ67" s="24"/>
      <c r="BK67" s="27" t="str">
        <f t="shared" si="358"/>
        <v>Cabo Verde</v>
      </c>
      <c r="BL67" s="27">
        <f t="shared" ca="1" si="359"/>
        <v>0</v>
      </c>
      <c r="BM67" s="25">
        <f t="shared" si="360"/>
        <v>0</v>
      </c>
      <c r="BN67" s="25">
        <f t="shared" si="361"/>
        <v>0</v>
      </c>
      <c r="BO67" s="25">
        <f t="shared" ca="1" si="362"/>
        <v>0</v>
      </c>
      <c r="BP67" s="25">
        <f t="shared" ca="1" si="363"/>
        <v>0</v>
      </c>
      <c r="BQ67" s="25">
        <f t="shared" ca="1" si="364"/>
        <v>0</v>
      </c>
      <c r="BR67" s="25">
        <f t="shared" ca="1" si="365"/>
        <v>0</v>
      </c>
      <c r="BS67" s="69">
        <f t="shared" ca="1" si="366"/>
        <v>0</v>
      </c>
      <c r="BT67" s="29">
        <f t="array" aca="1" ref="BT67" ca="1">+IF(BL67=0,0,_xludf.XLOOKUP(BS67,BV66:BV69,BW66:BW69))</f>
        <v>0</v>
      </c>
      <c r="BU67" s="54"/>
      <c r="BV67" s="25">
        <f ca="1">+LARGE(BS66:BS69,2)</f>
        <v>0</v>
      </c>
      <c r="BW67" s="25">
        <f t="shared" si="367"/>
        <v>0.2</v>
      </c>
      <c r="BX67" s="24">
        <v>2</v>
      </c>
      <c r="BY67" s="26" t="e">
        <f t="shared" ca="1" si="368"/>
        <v>#NAME?</v>
      </c>
      <c r="BZ67" s="66" t="e">
        <f t="array" aca="1" ref="BZ67" ca="1">+IF(_xludf.XLOOKUP($E67,$AY:$AY,$AZ:$AZ,"-",0)=BZ64,$E67,"-")</f>
        <v>#NAME?</v>
      </c>
      <c r="CA67" s="67">
        <f t="shared" si="369"/>
        <v>1</v>
      </c>
      <c r="CB67" s="68">
        <f t="shared" si="370"/>
        <v>2</v>
      </c>
      <c r="CC67" s="66" t="e">
        <f t="array" aca="1" ref="CC67" ca="1">+IF(_xludf.XLOOKUP($H67,$AY:$AY,$AZ:$AZ,"-",0)=BZ64,$H67,"-")</f>
        <v>#NAME?</v>
      </c>
      <c r="CD67" s="24"/>
      <c r="CE67" s="27" t="str">
        <f t="shared" si="371"/>
        <v>Cabo Verde</v>
      </c>
      <c r="CF67" s="27">
        <f t="shared" ca="1" si="372"/>
        <v>0</v>
      </c>
      <c r="CG67" s="25">
        <f t="shared" si="373"/>
        <v>0</v>
      </c>
      <c r="CH67" s="25">
        <f t="shared" si="374"/>
        <v>0</v>
      </c>
      <c r="CI67" s="25">
        <f t="shared" ca="1" si="375"/>
        <v>0</v>
      </c>
      <c r="CJ67" s="25">
        <f t="shared" ca="1" si="376"/>
        <v>0</v>
      </c>
      <c r="CK67" s="25">
        <f t="shared" ca="1" si="377"/>
        <v>0</v>
      </c>
      <c r="CL67" s="25">
        <f t="shared" ca="1" si="378"/>
        <v>0</v>
      </c>
      <c r="CM67" s="69">
        <f t="shared" ca="1" si="379"/>
        <v>0</v>
      </c>
      <c r="CN67" s="29">
        <f t="array" aca="1" ref="CN67" ca="1">+IF(CF67=0,0,_xludf.XLOOKUP(CM67,CP66:CP69,CQ66:CQ69))</f>
        <v>0</v>
      </c>
      <c r="CO67" s="54"/>
      <c r="CP67" s="25">
        <f ca="1">+LARGE(CM66:CM69,2)</f>
        <v>0</v>
      </c>
      <c r="CQ67" s="25">
        <f t="shared" si="380"/>
        <v>0.2</v>
      </c>
      <c r="CR67" s="24">
        <v>2</v>
      </c>
    </row>
    <row r="68" spans="1:96" ht="14.25" customHeight="1" x14ac:dyDescent="0.25">
      <c r="A68" s="47" t="s">
        <v>170</v>
      </c>
      <c r="B68" s="48">
        <v>46194</v>
      </c>
      <c r="C68" s="49"/>
      <c r="D68" s="50"/>
      <c r="E68" s="51" t="s">
        <v>49</v>
      </c>
      <c r="F68" s="52">
        <v>2</v>
      </c>
      <c r="G68" s="52">
        <v>0</v>
      </c>
      <c r="H68" s="53" t="s">
        <v>83</v>
      </c>
      <c r="I68" s="24"/>
      <c r="J68" s="25" t="str">
        <f t="shared" si="337"/>
        <v>España</v>
      </c>
      <c r="K68" s="25" t="str">
        <f t="shared" si="338"/>
        <v/>
      </c>
      <c r="L68" s="25" t="str">
        <f t="shared" si="339"/>
        <v/>
      </c>
      <c r="M68" s="25" t="str">
        <f t="shared" si="340"/>
        <v>Arabia Saudita</v>
      </c>
      <c r="N68" s="24"/>
      <c r="O68" s="27" t="str">
        <f>+E67</f>
        <v>Arabia Saudita</v>
      </c>
      <c r="P68" s="25">
        <f>+COUNTIF(J66:J71,"="&amp;$O68)</f>
        <v>1</v>
      </c>
      <c r="Q68" s="25">
        <f>+COUNTIF(K66:L71,"="&amp;$O68)</f>
        <v>0</v>
      </c>
      <c r="R68" s="25">
        <f>+COUNTIF(M66:M71,"="&amp;$O68)</f>
        <v>2</v>
      </c>
      <c r="S68" s="25">
        <f t="shared" si="341"/>
        <v>-2</v>
      </c>
      <c r="T68" s="25">
        <f>+SUMIF(E66:E71,$O68,F66:F71)+SUMIF(H66:H71,$O68,G66:G71)</f>
        <v>2</v>
      </c>
      <c r="U68" s="25">
        <f>+SUMIF(E66:E71,$O68,G66:G71)+SUMIF(H66:H71,$O68,F66:F71)</f>
        <v>4</v>
      </c>
      <c r="V68" s="54">
        <f t="shared" ca="1" si="342"/>
        <v>2.9982068000000002</v>
      </c>
      <c r="W68" s="27" t="str">
        <f t="shared" si="343"/>
        <v>Arabia Saudita</v>
      </c>
      <c r="X68" s="24"/>
      <c r="Y68" s="78" t="str">
        <f>+CONCATENATE("3",RIGHT(E65,1))</f>
        <v>3H</v>
      </c>
      <c r="Z68" s="79" t="str">
        <f ca="1">+VLOOKUP(AL68,V66:W69,2,FALSE)</f>
        <v>Arabia Saudita</v>
      </c>
      <c r="AA68" s="80">
        <f t="shared" ca="1" si="344"/>
        <v>3</v>
      </c>
      <c r="AB68" s="81">
        <f t="shared" ref="AB68:AG68" ca="1" si="382">+VLOOKUP($Z68,$O$66:$U$69,COLUMN()-26,FALSE)</f>
        <v>1</v>
      </c>
      <c r="AC68" s="81">
        <f t="shared" ca="1" si="382"/>
        <v>0</v>
      </c>
      <c r="AD68" s="81">
        <f t="shared" ca="1" si="382"/>
        <v>2</v>
      </c>
      <c r="AE68" s="81">
        <f t="shared" ca="1" si="382"/>
        <v>-2</v>
      </c>
      <c r="AF68" s="81">
        <f t="shared" ca="1" si="382"/>
        <v>2</v>
      </c>
      <c r="AG68" s="81">
        <f t="shared" ca="1" si="382"/>
        <v>4</v>
      </c>
      <c r="AH68" s="82">
        <f t="shared" ca="1" si="346"/>
        <v>2.9982068000000002</v>
      </c>
      <c r="AI68" s="83">
        <f ca="1">+(COUNTIFS($CV$2:$CV$13,Z68,$CX$2:$CX$13,"IN")+COUNTIFS($CV$2:$CV$13,Z68,$CW$2:$CW$13,"IN"))*IF(SUM(AA66:AA69)=12,1,0)</f>
        <v>1</v>
      </c>
      <c r="AJ68" s="24"/>
      <c r="AK68" s="24"/>
      <c r="AL68" s="54">
        <f ca="1">+LARGE(V66:V69,3)</f>
        <v>2.9982068000000002</v>
      </c>
      <c r="AM68" s="61">
        <f t="shared" ca="1" si="347"/>
        <v>0</v>
      </c>
      <c r="AN68" s="24"/>
      <c r="AO68" s="24"/>
      <c r="AP68" s="62" t="str">
        <f t="shared" si="348"/>
        <v>Arabia Saudita</v>
      </c>
      <c r="AQ68" s="28">
        <f t="shared" ca="1" si="349"/>
        <v>2.9982000000000002</v>
      </c>
      <c r="AR68" s="24" t="b">
        <f ca="1">+IF(OR(AQ68=AQ69),1)</f>
        <v>0</v>
      </c>
      <c r="AS68" s="63">
        <f t="shared" si="350"/>
        <v>0</v>
      </c>
      <c r="AT68" s="63">
        <f ca="1">+IF(AND(AM70="si",OR(AR66=1,AR67=1,AR68=1)),1,0)</f>
        <v>0</v>
      </c>
      <c r="AU68" s="76" t="str">
        <f t="shared" si="351"/>
        <v>Arabia Saudita</v>
      </c>
      <c r="AV68" s="77"/>
      <c r="AW68" s="24"/>
      <c r="AX68" s="24" t="str">
        <f>+Y65</f>
        <v>Grupo H</v>
      </c>
      <c r="AY68" s="25" t="str">
        <f t="shared" si="352"/>
        <v>Arabia Saudita</v>
      </c>
      <c r="AZ68" s="29">
        <f t="shared" si="353"/>
        <v>3</v>
      </c>
      <c r="BA68" s="29">
        <f t="shared" si="354"/>
        <v>1</v>
      </c>
      <c r="BB68" s="29">
        <f>+IF(AZ68=BF64,ROW()*0.001,AZ68)</f>
        <v>3</v>
      </c>
      <c r="BC68" s="29">
        <f t="shared" si="355"/>
        <v>5</v>
      </c>
      <c r="BD68" s="29"/>
      <c r="BE68" s="26" t="e">
        <f ca="1">+IF(OR(BF68="-",BI68="-",BF64=0),"-","OK")</f>
        <v>#NAME?</v>
      </c>
      <c r="BF68" s="66" t="e">
        <f t="array" aca="1" ref="BF68" ca="1">+IF(_xludf.XLOOKUP($E68,$AY:$AY,$AZ:$AZ,"-",0)=BF64,$E68,"-")</f>
        <v>#NAME?</v>
      </c>
      <c r="BG68" s="67">
        <f t="shared" si="356"/>
        <v>2</v>
      </c>
      <c r="BH68" s="68">
        <f t="shared" si="357"/>
        <v>0</v>
      </c>
      <c r="BI68" s="66" t="e">
        <f t="array" aca="1" ref="BI68" ca="1">+IF(_xludf.XLOOKUP($H68,$AY:$AY,$AZ:$AZ,"-",0)=BF64,$H68,"-")</f>
        <v>#NAME?</v>
      </c>
      <c r="BJ68" s="24"/>
      <c r="BK68" s="27" t="str">
        <f t="shared" si="358"/>
        <v>Arabia Saudita</v>
      </c>
      <c r="BL68" s="27">
        <f t="shared" ca="1" si="359"/>
        <v>0</v>
      </c>
      <c r="BM68" s="25">
        <f t="shared" ca="1" si="360"/>
        <v>0</v>
      </c>
      <c r="BN68" s="25">
        <f t="shared" si="361"/>
        <v>0</v>
      </c>
      <c r="BO68" s="25">
        <f t="shared" ca="1" si="362"/>
        <v>0</v>
      </c>
      <c r="BP68" s="25">
        <f t="shared" ca="1" si="363"/>
        <v>0</v>
      </c>
      <c r="BQ68" s="25">
        <f t="shared" ca="1" si="364"/>
        <v>0</v>
      </c>
      <c r="BR68" s="25">
        <f t="shared" ca="1" si="365"/>
        <v>0</v>
      </c>
      <c r="BS68" s="69">
        <f t="shared" ca="1" si="366"/>
        <v>0</v>
      </c>
      <c r="BT68" s="29">
        <f t="array" aca="1" ref="BT68" ca="1">+IF(BL68=0,0,_xludf.XLOOKUP(BS68,BV66:BV69,BW66:BW69))</f>
        <v>0</v>
      </c>
      <c r="BU68" s="54"/>
      <c r="BV68" s="25">
        <f ca="1">+LARGE(BS66:BS69,3)</f>
        <v>0</v>
      </c>
      <c r="BW68" s="25">
        <f t="shared" si="367"/>
        <v>0.1</v>
      </c>
      <c r="BX68" s="24">
        <v>1</v>
      </c>
      <c r="BY68" s="26" t="e">
        <f t="shared" ca="1" si="368"/>
        <v>#NAME?</v>
      </c>
      <c r="BZ68" s="66" t="e">
        <f t="array" aca="1" ref="BZ68" ca="1">+IF(_xludf.XLOOKUP($E68,$AY:$AY,$AZ:$AZ,"-",0)=BZ64,$E68,"-")</f>
        <v>#NAME?</v>
      </c>
      <c r="CA68" s="67">
        <f t="shared" si="369"/>
        <v>2</v>
      </c>
      <c r="CB68" s="68">
        <f t="shared" si="370"/>
        <v>0</v>
      </c>
      <c r="CC68" s="66" t="e">
        <f t="array" aca="1" ref="CC68" ca="1">+IF(_xludf.XLOOKUP($H68,$AY:$AY,$AZ:$AZ,"-",0)=BZ64,$H68,"-")</f>
        <v>#NAME?</v>
      </c>
      <c r="CD68" s="24"/>
      <c r="CE68" s="27" t="str">
        <f t="shared" si="371"/>
        <v>Arabia Saudita</v>
      </c>
      <c r="CF68" s="27">
        <f t="shared" ca="1" si="372"/>
        <v>0</v>
      </c>
      <c r="CG68" s="25">
        <f t="shared" si="373"/>
        <v>0</v>
      </c>
      <c r="CH68" s="25">
        <f t="shared" si="374"/>
        <v>0</v>
      </c>
      <c r="CI68" s="25">
        <f t="shared" ca="1" si="375"/>
        <v>0</v>
      </c>
      <c r="CJ68" s="25">
        <f t="shared" ca="1" si="376"/>
        <v>0</v>
      </c>
      <c r="CK68" s="25">
        <f t="shared" ca="1" si="377"/>
        <v>0</v>
      </c>
      <c r="CL68" s="25">
        <f t="shared" ca="1" si="378"/>
        <v>0</v>
      </c>
      <c r="CM68" s="69">
        <f t="shared" ca="1" si="379"/>
        <v>0</v>
      </c>
      <c r="CN68" s="29">
        <f t="array" aca="1" ref="CN68" ca="1">+IF(CF68=0,0,_xludf.XLOOKUP(CM68,CP66:CP69,CQ66:CQ69))</f>
        <v>0</v>
      </c>
      <c r="CO68" s="54"/>
      <c r="CP68" s="25">
        <f ca="1">+LARGE(CM66:CM69,3)</f>
        <v>0</v>
      </c>
      <c r="CQ68" s="25">
        <f t="shared" si="380"/>
        <v>0.1</v>
      </c>
      <c r="CR68" s="24">
        <v>1</v>
      </c>
    </row>
    <row r="69" spans="1:96" ht="14.25" customHeight="1" x14ac:dyDescent="0.25">
      <c r="A69" s="47" t="s">
        <v>171</v>
      </c>
      <c r="B69" s="48">
        <v>46194</v>
      </c>
      <c r="C69" s="49"/>
      <c r="D69" s="50"/>
      <c r="E69" s="51" t="s">
        <v>58</v>
      </c>
      <c r="F69" s="52">
        <v>2</v>
      </c>
      <c r="G69" s="52">
        <v>0</v>
      </c>
      <c r="H69" s="53" t="s">
        <v>92</v>
      </c>
      <c r="I69" s="24"/>
      <c r="J69" s="25" t="str">
        <f t="shared" si="337"/>
        <v>Uruguay</v>
      </c>
      <c r="K69" s="25" t="str">
        <f t="shared" si="338"/>
        <v/>
      </c>
      <c r="L69" s="25" t="str">
        <f t="shared" si="339"/>
        <v/>
      </c>
      <c r="M69" s="25" t="str">
        <f t="shared" si="340"/>
        <v>Cabo Verde</v>
      </c>
      <c r="N69" s="24"/>
      <c r="O69" s="27" t="str">
        <f>+H67</f>
        <v>Uruguay</v>
      </c>
      <c r="P69" s="25">
        <f>+COUNTIF(J66:J71,"="&amp;$O69)</f>
        <v>2</v>
      </c>
      <c r="Q69" s="25">
        <f>+COUNTIF(K66:L71,"="&amp;$O69)</f>
        <v>0</v>
      </c>
      <c r="R69" s="25">
        <f>+COUNTIF(M66:M71,"="&amp;$O69)</f>
        <v>1</v>
      </c>
      <c r="S69" s="25">
        <f t="shared" si="341"/>
        <v>2</v>
      </c>
      <c r="T69" s="25">
        <f>+SUMIF(E66:E71,$O69,F66:F71)+SUMIF(H66:H71,$O69,G66:G71)</f>
        <v>4</v>
      </c>
      <c r="U69" s="25">
        <f>+SUMIF(E66:E71,$O69,G66:G71)+SUMIF(H66:H71,$O69,F66:F71)</f>
        <v>2</v>
      </c>
      <c r="V69" s="54">
        <f t="shared" ca="1" si="342"/>
        <v>6.0024068999999995</v>
      </c>
      <c r="W69" s="27" t="str">
        <f t="shared" si="343"/>
        <v>Uruguay</v>
      </c>
      <c r="X69" s="24"/>
      <c r="Y69" s="84" t="str">
        <f>+CONCATENATE("4",RIGHT(E65,1))</f>
        <v>4H</v>
      </c>
      <c r="Z69" s="85" t="str">
        <f ca="1">+VLOOKUP(AL69,V66:W69,2,FALSE)</f>
        <v>Cabo Verde</v>
      </c>
      <c r="AA69" s="86">
        <f t="shared" ca="1" si="344"/>
        <v>3</v>
      </c>
      <c r="AB69" s="87">
        <f t="shared" ref="AB69:AG69" ca="1" si="383">+VLOOKUP($Z69,$O$66:$U$69,COLUMN()-26,FALSE)</f>
        <v>0</v>
      </c>
      <c r="AC69" s="87">
        <f t="shared" ca="1" si="383"/>
        <v>0</v>
      </c>
      <c r="AD69" s="87">
        <f t="shared" ca="1" si="383"/>
        <v>3</v>
      </c>
      <c r="AE69" s="87">
        <f t="shared" ca="1" si="383"/>
        <v>-6</v>
      </c>
      <c r="AF69" s="87">
        <f t="shared" ca="1" si="383"/>
        <v>0</v>
      </c>
      <c r="AG69" s="87">
        <f t="shared" ca="1" si="383"/>
        <v>6</v>
      </c>
      <c r="AH69" s="88">
        <f t="shared" ca="1" si="346"/>
        <v>-5.9933E-3</v>
      </c>
      <c r="AI69" s="83"/>
      <c r="AJ69" s="24"/>
      <c r="AK69" s="24"/>
      <c r="AL69" s="54">
        <f ca="1">+LARGE(V66:V69,4)</f>
        <v>-5.9933E-3</v>
      </c>
      <c r="AM69" s="61">
        <f t="shared" ca="1" si="347"/>
        <v>0</v>
      </c>
      <c r="AN69" s="24"/>
      <c r="AO69" s="24"/>
      <c r="AP69" s="62" t="str">
        <f t="shared" si="348"/>
        <v>Uruguay</v>
      </c>
      <c r="AQ69" s="169">
        <f t="shared" ca="1" si="349"/>
        <v>6.0023999999999997</v>
      </c>
      <c r="AR69" s="24"/>
      <c r="AS69" s="63">
        <f t="shared" si="350"/>
        <v>0</v>
      </c>
      <c r="AT69" s="63">
        <f ca="1">+IF(AND(AM70="si",OR(AR66=1,AR67=1,AR68=1)),1,0)</f>
        <v>0</v>
      </c>
      <c r="AU69" s="89" t="str">
        <f t="shared" si="351"/>
        <v>Uruguay</v>
      </c>
      <c r="AV69" s="90"/>
      <c r="AW69" s="24"/>
      <c r="AX69" s="24" t="str">
        <f>+Y65</f>
        <v>Grupo H</v>
      </c>
      <c r="AY69" s="25" t="str">
        <f t="shared" si="352"/>
        <v>Uruguay</v>
      </c>
      <c r="AZ69" s="29">
        <f t="shared" si="353"/>
        <v>6</v>
      </c>
      <c r="BA69" s="29">
        <f t="shared" si="354"/>
        <v>1</v>
      </c>
      <c r="BB69" s="29">
        <f>+IF(AZ69=BF64,ROW()*0.001,AZ69)</f>
        <v>6</v>
      </c>
      <c r="BC69" s="29">
        <f t="shared" si="355"/>
        <v>5</v>
      </c>
      <c r="BD69" s="29"/>
      <c r="BE69" s="26" t="e">
        <f ca="1">+IF(OR(BF69="-",BI69="-",BF64=0),"-","OK")</f>
        <v>#NAME?</v>
      </c>
      <c r="BF69" s="66" t="e">
        <f t="array" aca="1" ref="BF69" ca="1">+IF(_xludf.XLOOKUP($E69,$AY:$AY,$AZ:$AZ,"-",0)=BF64,$E69,"-")</f>
        <v>#NAME?</v>
      </c>
      <c r="BG69" s="67">
        <f t="shared" si="356"/>
        <v>2</v>
      </c>
      <c r="BH69" s="68">
        <f t="shared" si="357"/>
        <v>0</v>
      </c>
      <c r="BI69" s="66" t="e">
        <f t="array" aca="1" ref="BI69" ca="1">+IF(_xludf.XLOOKUP($H69,$AY:$AY,$AZ:$AZ,"-",0)=BF64,$H69,"-")</f>
        <v>#NAME?</v>
      </c>
      <c r="BJ69" s="24"/>
      <c r="BK69" s="27" t="str">
        <f t="shared" si="358"/>
        <v>Uruguay</v>
      </c>
      <c r="BL69" s="27">
        <f t="shared" ca="1" si="359"/>
        <v>0</v>
      </c>
      <c r="BM69" s="25">
        <f t="shared" ca="1" si="360"/>
        <v>0</v>
      </c>
      <c r="BN69" s="25">
        <f t="shared" si="361"/>
        <v>0</v>
      </c>
      <c r="BO69" s="25">
        <f t="shared" ca="1" si="362"/>
        <v>0</v>
      </c>
      <c r="BP69" s="25">
        <f t="shared" ca="1" si="363"/>
        <v>0</v>
      </c>
      <c r="BQ69" s="25">
        <f t="shared" ca="1" si="364"/>
        <v>0</v>
      </c>
      <c r="BR69" s="25">
        <f t="shared" ca="1" si="365"/>
        <v>0</v>
      </c>
      <c r="BS69" s="69">
        <f t="shared" ca="1" si="366"/>
        <v>0</v>
      </c>
      <c r="BT69" s="69">
        <f t="array" aca="1" ref="BT69" ca="1">+IF(BL69=0,0,_xludf.XLOOKUP(BS69,BV66:BV69,BW66:BW69))</f>
        <v>0</v>
      </c>
      <c r="BU69" s="54"/>
      <c r="BV69" s="25">
        <f ca="1">+LARGE(BS66:BS69,4)</f>
        <v>0</v>
      </c>
      <c r="BW69" s="25">
        <f t="shared" si="367"/>
        <v>0</v>
      </c>
      <c r="BX69" s="24">
        <v>0</v>
      </c>
      <c r="BY69" s="26" t="e">
        <f t="shared" ca="1" si="368"/>
        <v>#NAME?</v>
      </c>
      <c r="BZ69" s="66" t="e">
        <f t="array" aca="1" ref="BZ69" ca="1">+IF(_xludf.XLOOKUP($E69,$AY:$AY,$AZ:$AZ,"-",0)=BZ64,$E69,"-")</f>
        <v>#NAME?</v>
      </c>
      <c r="CA69" s="67">
        <f t="shared" si="369"/>
        <v>2</v>
      </c>
      <c r="CB69" s="68">
        <f t="shared" si="370"/>
        <v>0</v>
      </c>
      <c r="CC69" s="66" t="e">
        <f t="array" aca="1" ref="CC69" ca="1">+IF(_xludf.XLOOKUP($H69,$AY:$AY,$AZ:$AZ,"-",0)=BZ64,$H69,"-")</f>
        <v>#NAME?</v>
      </c>
      <c r="CD69" s="24"/>
      <c r="CE69" s="27" t="str">
        <f t="shared" si="371"/>
        <v>Uruguay</v>
      </c>
      <c r="CF69" s="27">
        <f t="shared" ca="1" si="372"/>
        <v>0</v>
      </c>
      <c r="CG69" s="25">
        <f t="shared" si="373"/>
        <v>0</v>
      </c>
      <c r="CH69" s="25">
        <f t="shared" si="374"/>
        <v>0</v>
      </c>
      <c r="CI69" s="25">
        <f t="shared" ca="1" si="375"/>
        <v>0</v>
      </c>
      <c r="CJ69" s="25">
        <f t="shared" ca="1" si="376"/>
        <v>0</v>
      </c>
      <c r="CK69" s="25">
        <f t="shared" ca="1" si="377"/>
        <v>0</v>
      </c>
      <c r="CL69" s="25">
        <f t="shared" ca="1" si="378"/>
        <v>0</v>
      </c>
      <c r="CM69" s="69">
        <f t="shared" ca="1" si="379"/>
        <v>0</v>
      </c>
      <c r="CN69" s="170">
        <f t="array" aca="1" ref="CN69" ca="1">+IF(CF69=0,0,_xludf.XLOOKUP(CM69,CP66:CP69,CQ66:CQ69))</f>
        <v>0</v>
      </c>
      <c r="CO69" s="54"/>
      <c r="CP69" s="25">
        <f ca="1">+LARGE(CM66:CM69,4)</f>
        <v>0</v>
      </c>
      <c r="CQ69" s="25">
        <f t="shared" si="380"/>
        <v>0</v>
      </c>
      <c r="CR69" s="24">
        <v>0</v>
      </c>
    </row>
    <row r="70" spans="1:96" ht="14.25" customHeight="1" x14ac:dyDescent="0.25">
      <c r="A70" s="47" t="s">
        <v>172</v>
      </c>
      <c r="B70" s="48">
        <v>46199</v>
      </c>
      <c r="C70" s="49"/>
      <c r="D70" s="50"/>
      <c r="E70" s="51" t="s">
        <v>58</v>
      </c>
      <c r="F70" s="52">
        <v>0</v>
      </c>
      <c r="G70" s="52">
        <v>1</v>
      </c>
      <c r="H70" s="53" t="s">
        <v>49</v>
      </c>
      <c r="I70" s="24"/>
      <c r="J70" s="25" t="str">
        <f t="shared" si="337"/>
        <v>España</v>
      </c>
      <c r="K70" s="25" t="str">
        <f t="shared" si="338"/>
        <v/>
      </c>
      <c r="L70" s="25" t="str">
        <f t="shared" si="339"/>
        <v/>
      </c>
      <c r="M70" s="25" t="str">
        <f t="shared" si="340"/>
        <v>Uruguay</v>
      </c>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6" t="s">
        <v>122</v>
      </c>
      <c r="AM70" s="61" t="str">
        <f ca="1">+IF(SUM(AA66:AA69)=12,"si","no")</f>
        <v>si</v>
      </c>
      <c r="AN70" s="24"/>
      <c r="AO70" s="24"/>
      <c r="AP70" s="24"/>
      <c r="AQ70" s="24"/>
      <c r="AR70" s="24"/>
      <c r="AS70" s="24"/>
      <c r="AT70" s="24"/>
      <c r="AU70" s="24"/>
      <c r="AV70" s="24"/>
      <c r="AW70" s="24"/>
      <c r="AX70" s="24"/>
      <c r="AY70" s="24"/>
      <c r="AZ70" s="24"/>
      <c r="BA70" s="24"/>
      <c r="BB70" s="24"/>
      <c r="BC70" s="24"/>
      <c r="BD70" s="24"/>
      <c r="BE70" s="26" t="e">
        <f ca="1">+IF(OR(BF70="-",BI70="-",BF64=0),"-","OK")</f>
        <v>#NAME?</v>
      </c>
      <c r="BF70" s="66" t="e">
        <f t="array" aca="1" ref="BF70" ca="1">+IF(_xludf.XLOOKUP($E70,$AY:$AY,$AZ:$AZ,"-",0)=BF64,$E70,"-")</f>
        <v>#NAME?</v>
      </c>
      <c r="BG70" s="67">
        <f t="shared" si="356"/>
        <v>0</v>
      </c>
      <c r="BH70" s="68">
        <f t="shared" si="357"/>
        <v>1</v>
      </c>
      <c r="BI70" s="66" t="e">
        <f t="array" aca="1" ref="BI70" ca="1">+IF(_xludf.XLOOKUP($H70,$AY:$AY,$AZ:$AZ,"-",0)=BF64,$H70,"-")</f>
        <v>#NAME?</v>
      </c>
      <c r="BJ70" s="24"/>
      <c r="BK70" s="24"/>
      <c r="BL70" s="24"/>
      <c r="BM70" s="24"/>
      <c r="BN70" s="24"/>
      <c r="BO70" s="24"/>
      <c r="BP70" s="24"/>
      <c r="BQ70" s="24"/>
      <c r="BR70" s="24"/>
      <c r="BS70" s="24"/>
      <c r="BT70" s="24"/>
      <c r="BU70" s="24"/>
      <c r="BV70" s="24"/>
      <c r="BW70" s="24"/>
      <c r="BX70" s="24"/>
      <c r="BY70" s="26" t="e">
        <f t="shared" ca="1" si="368"/>
        <v>#NAME?</v>
      </c>
      <c r="BZ70" s="66" t="e">
        <f t="array" aca="1" ref="BZ70" ca="1">+IF(_xludf.XLOOKUP($E70,$AY:$AY,$AZ:$AZ,"-",0)=BZ64,$E70,"-")</f>
        <v>#NAME?</v>
      </c>
      <c r="CA70" s="67">
        <f t="shared" si="369"/>
        <v>0</v>
      </c>
      <c r="CB70" s="68">
        <f t="shared" si="370"/>
        <v>1</v>
      </c>
      <c r="CC70" s="66" t="e">
        <f t="array" aca="1" ref="CC70" ca="1">+IF(_xludf.XLOOKUP($H70,$AY:$AY,$AZ:$AZ,"-",0)=BZ64,$H70,"-")</f>
        <v>#NAME?</v>
      </c>
      <c r="CD70" s="24"/>
      <c r="CE70" s="24"/>
      <c r="CF70" s="24"/>
      <c r="CG70" s="24"/>
      <c r="CH70" s="24"/>
      <c r="CI70" s="24"/>
      <c r="CJ70" s="24"/>
      <c r="CK70" s="24"/>
      <c r="CL70" s="24"/>
      <c r="CM70" s="24"/>
      <c r="CN70" s="24"/>
      <c r="CO70" s="24"/>
      <c r="CP70" s="24"/>
      <c r="CQ70" s="24"/>
      <c r="CR70" s="24"/>
    </row>
    <row r="71" spans="1:96" ht="14.25" customHeight="1" x14ac:dyDescent="0.25">
      <c r="A71" s="47" t="s">
        <v>173</v>
      </c>
      <c r="B71" s="48">
        <v>46199</v>
      </c>
      <c r="C71" s="49"/>
      <c r="D71" s="50"/>
      <c r="E71" s="51" t="s">
        <v>92</v>
      </c>
      <c r="F71" s="52">
        <v>0</v>
      </c>
      <c r="G71" s="52">
        <v>1</v>
      </c>
      <c r="H71" s="53" t="s">
        <v>83</v>
      </c>
      <c r="I71" s="24"/>
      <c r="J71" s="25" t="str">
        <f t="shared" si="337"/>
        <v>Arabia Saudita</v>
      </c>
      <c r="K71" s="25" t="str">
        <f t="shared" si="338"/>
        <v/>
      </c>
      <c r="L71" s="25" t="str">
        <f t="shared" si="339"/>
        <v/>
      </c>
      <c r="M71" s="25" t="str">
        <f t="shared" si="340"/>
        <v>Cabo Verde</v>
      </c>
      <c r="N71" s="24"/>
      <c r="O71" s="24"/>
      <c r="P71" s="24"/>
      <c r="Q71" s="24"/>
      <c r="R71" s="24"/>
      <c r="S71" s="24"/>
      <c r="T71" s="24"/>
      <c r="U71" s="24"/>
      <c r="V71" s="24"/>
      <c r="W71" s="24"/>
      <c r="X71" s="24"/>
      <c r="Y71" s="62" t="s">
        <v>124</v>
      </c>
      <c r="Z71" s="24"/>
      <c r="AA71" s="24"/>
      <c r="AB71" s="24"/>
      <c r="AC71" s="24"/>
      <c r="AD71" s="24"/>
      <c r="AE71" s="24"/>
      <c r="AF71" s="24"/>
      <c r="AG71" s="24"/>
      <c r="AH71" s="24"/>
      <c r="AI71" s="24"/>
      <c r="AJ71" s="24"/>
      <c r="AK71" s="24"/>
      <c r="AL71" s="24"/>
      <c r="AM71" s="24"/>
      <c r="AN71" s="24"/>
      <c r="AO71" s="24"/>
      <c r="AP71" s="24"/>
      <c r="AQ71" s="24"/>
      <c r="AR71" s="24">
        <f ca="1">+IF(AND(AM70="si",OR(AR66=1,AR67=1,AR68=1)),1,0)</f>
        <v>0</v>
      </c>
      <c r="AS71" s="24"/>
      <c r="AT71" s="24"/>
      <c r="AU71" s="24"/>
      <c r="AV71" s="24"/>
      <c r="AW71" s="24"/>
      <c r="AX71" s="24"/>
      <c r="AY71" s="24"/>
      <c r="AZ71" s="24"/>
      <c r="BA71" s="24"/>
      <c r="BB71" s="24"/>
      <c r="BC71" s="24"/>
      <c r="BD71" s="24"/>
      <c r="BE71" s="26" t="e">
        <f ca="1">+IF(OR(BF71="-",BI71="-",BF64=0),"-","OK")</f>
        <v>#NAME?</v>
      </c>
      <c r="BF71" s="66" t="e">
        <f t="array" aca="1" ref="BF71" ca="1">+IF(_xludf.XLOOKUP($E71,$AY:$AY,$AZ:$AZ,"-",0)=BF64,$E71,"-")</f>
        <v>#NAME?</v>
      </c>
      <c r="BG71" s="67">
        <f t="shared" si="356"/>
        <v>0</v>
      </c>
      <c r="BH71" s="68">
        <f t="shared" si="357"/>
        <v>1</v>
      </c>
      <c r="BI71" s="66" t="e">
        <f t="array" aca="1" ref="BI71" ca="1">+IF(_xludf.XLOOKUP($H71,$AY:$AY,$AZ:$AZ,"-",0)=BF64,$H71,"-")</f>
        <v>#NAME?</v>
      </c>
      <c r="BJ71" s="24"/>
      <c r="BK71" s="24"/>
      <c r="BL71" s="24"/>
      <c r="BM71" s="24"/>
      <c r="BN71" s="24"/>
      <c r="BO71" s="24"/>
      <c r="BP71" s="24"/>
      <c r="BQ71" s="24"/>
      <c r="BR71" s="24"/>
      <c r="BS71" s="24"/>
      <c r="BT71" s="24"/>
      <c r="BU71" s="24"/>
      <c r="BV71" s="24"/>
      <c r="BW71" s="24"/>
      <c r="BX71" s="24"/>
      <c r="BY71" s="26" t="e">
        <f t="shared" ca="1" si="368"/>
        <v>#NAME?</v>
      </c>
      <c r="BZ71" s="66" t="e">
        <f t="array" aca="1" ref="BZ71" ca="1">+IF(_xludf.XLOOKUP($E71,$AY:$AY,$AZ:$AZ,"-",0)=BZ64,$E71,"-")</f>
        <v>#NAME?</v>
      </c>
      <c r="CA71" s="67">
        <f t="shared" si="369"/>
        <v>0</v>
      </c>
      <c r="CB71" s="68">
        <f t="shared" si="370"/>
        <v>1</v>
      </c>
      <c r="CC71" s="66" t="e">
        <f t="array" aca="1" ref="CC71" ca="1">+IF(_xludf.XLOOKUP($H71,$AY:$AY,$AZ:$AZ,"-",0)=BZ64,$H71,"-")</f>
        <v>#NAME?</v>
      </c>
      <c r="CD71" s="24"/>
      <c r="CE71" s="24"/>
      <c r="CF71" s="24"/>
      <c r="CG71" s="24"/>
      <c r="CH71" s="24"/>
      <c r="CI71" s="24"/>
      <c r="CJ71" s="24"/>
      <c r="CK71" s="24"/>
      <c r="CL71" s="24"/>
      <c r="CM71" s="24"/>
      <c r="CN71" s="24"/>
      <c r="CO71" s="24"/>
      <c r="CP71" s="24"/>
      <c r="CQ71" s="24"/>
      <c r="CR71" s="24"/>
    </row>
    <row r="72" spans="1:96" ht="14.25" customHeight="1" x14ac:dyDescent="0.25">
      <c r="A72" s="91"/>
      <c r="B72" s="92"/>
      <c r="C72" s="91"/>
      <c r="D72" s="93"/>
      <c r="E72" s="94"/>
      <c r="F72" s="91"/>
      <c r="G72" s="91"/>
      <c r="H72" s="95"/>
      <c r="I72" s="93"/>
      <c r="J72" s="91"/>
      <c r="K72" s="91"/>
      <c r="L72" s="91"/>
      <c r="M72" s="91"/>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1"/>
      <c r="BF72" s="93"/>
      <c r="BG72" s="93"/>
      <c r="BH72" s="93"/>
      <c r="BI72" s="93"/>
      <c r="BJ72" s="93"/>
      <c r="BK72" s="93"/>
      <c r="BL72" s="93"/>
      <c r="BM72" s="93"/>
      <c r="BN72" s="93"/>
      <c r="BO72" s="93"/>
      <c r="BP72" s="93"/>
      <c r="BQ72" s="93"/>
      <c r="BR72" s="93"/>
      <c r="BS72" s="93"/>
      <c r="BT72" s="93"/>
      <c r="BU72" s="93"/>
      <c r="BV72" s="93"/>
      <c r="BW72" s="93"/>
      <c r="BX72" s="93"/>
      <c r="BY72" s="93"/>
      <c r="BZ72" s="93"/>
      <c r="CA72" s="93"/>
      <c r="CB72" s="93"/>
      <c r="CC72" s="93"/>
      <c r="CD72" s="93"/>
      <c r="CE72" s="93"/>
      <c r="CF72" s="93"/>
      <c r="CG72" s="93"/>
      <c r="CH72" s="93"/>
      <c r="CI72" s="93"/>
      <c r="CJ72" s="93"/>
      <c r="CK72" s="93"/>
      <c r="CL72" s="93"/>
      <c r="CM72" s="93"/>
      <c r="CN72" s="93"/>
      <c r="CO72" s="93"/>
      <c r="CP72" s="93"/>
      <c r="CQ72" s="93"/>
      <c r="CR72" s="93"/>
    </row>
    <row r="73" spans="1:96" ht="14.25" customHeight="1" x14ac:dyDescent="0.25">
      <c r="A73" s="24"/>
      <c r="B73" s="25"/>
      <c r="C73" s="25"/>
      <c r="D73" s="24"/>
      <c r="E73" s="26"/>
      <c r="F73" s="25"/>
      <c r="G73" s="25"/>
      <c r="H73" s="27"/>
      <c r="I73" s="24"/>
      <c r="J73" s="25"/>
      <c r="K73" s="25"/>
      <c r="L73" s="25"/>
      <c r="M73" s="25"/>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5"/>
      <c r="BF73" s="28" t="str">
        <f>+IF(BA75&gt;1,AZ75,IF(BA76&gt;1,AZ76,IF(BA77&gt;1,AZ77,IF(BA78&gt;1,AZ78,"-"))))</f>
        <v>-</v>
      </c>
      <c r="BG73" s="24"/>
      <c r="BH73" s="24"/>
      <c r="BI73" s="24"/>
      <c r="BJ73" s="24"/>
      <c r="BK73" s="24"/>
      <c r="BL73" s="24"/>
      <c r="BM73" s="24"/>
      <c r="BN73" s="24"/>
      <c r="BO73" s="24"/>
      <c r="BP73" s="24"/>
      <c r="BQ73" s="24"/>
      <c r="BR73" s="24"/>
      <c r="BS73" s="24"/>
      <c r="BT73" s="24"/>
      <c r="BU73" s="24"/>
      <c r="BV73" s="24"/>
      <c r="BW73" s="24">
        <v>10</v>
      </c>
      <c r="BX73" s="24"/>
      <c r="BY73" s="24"/>
      <c r="BZ73" s="29">
        <f>+IF(BC75&gt;1,BB75,IF(BC76&gt;1,BB76,IF(BC77&gt;1,BB77,IF(BC78&gt;1,BB78,"-"))))</f>
        <v>9</v>
      </c>
      <c r="CA73" s="24"/>
      <c r="CB73" s="24"/>
      <c r="CC73" s="24"/>
      <c r="CD73" s="24"/>
      <c r="CE73" s="24"/>
      <c r="CF73" s="24"/>
      <c r="CG73" s="24"/>
      <c r="CH73" s="24"/>
      <c r="CI73" s="24"/>
      <c r="CJ73" s="24"/>
      <c r="CK73" s="24"/>
      <c r="CL73" s="24"/>
      <c r="CM73" s="24"/>
      <c r="CN73" s="24"/>
      <c r="CO73" s="24"/>
      <c r="CP73" s="24"/>
      <c r="CQ73" s="24">
        <v>10</v>
      </c>
      <c r="CR73" s="24"/>
    </row>
    <row r="74" spans="1:96" ht="14.25" customHeight="1" x14ac:dyDescent="0.25">
      <c r="A74" s="171" t="s">
        <v>100</v>
      </c>
      <c r="B74" s="172" t="s">
        <v>101</v>
      </c>
      <c r="C74" s="172" t="s">
        <v>102</v>
      </c>
      <c r="D74" s="173"/>
      <c r="E74" s="174" t="s">
        <v>174</v>
      </c>
      <c r="F74" s="175"/>
      <c r="G74" s="175"/>
      <c r="H74" s="176"/>
      <c r="I74" s="24"/>
      <c r="J74" s="25" t="s">
        <v>104</v>
      </c>
      <c r="K74" s="25" t="s">
        <v>105</v>
      </c>
      <c r="L74" s="25" t="s">
        <v>105</v>
      </c>
      <c r="M74" s="25" t="s">
        <v>106</v>
      </c>
      <c r="N74" s="24"/>
      <c r="O74" s="27" t="str">
        <f t="shared" ref="O74:O75" si="384">+E74</f>
        <v>Grupo I</v>
      </c>
      <c r="P74" s="25" t="s">
        <v>104</v>
      </c>
      <c r="Q74" s="25" t="s">
        <v>105</v>
      </c>
      <c r="R74" s="25" t="s">
        <v>106</v>
      </c>
      <c r="S74" s="25" t="s">
        <v>107</v>
      </c>
      <c r="T74" s="25" t="s">
        <v>108</v>
      </c>
      <c r="U74" s="25" t="s">
        <v>109</v>
      </c>
      <c r="V74" s="25" t="s">
        <v>0</v>
      </c>
      <c r="W74" s="25"/>
      <c r="X74" s="24"/>
      <c r="Y74" s="476" t="s">
        <v>174</v>
      </c>
      <c r="Z74" s="475"/>
      <c r="AA74" s="177" t="s">
        <v>110</v>
      </c>
      <c r="AB74" s="178" t="s">
        <v>104</v>
      </c>
      <c r="AC74" s="178" t="s">
        <v>105</v>
      </c>
      <c r="AD74" s="178" t="s">
        <v>106</v>
      </c>
      <c r="AE74" s="178" t="s">
        <v>107</v>
      </c>
      <c r="AF74" s="178" t="s">
        <v>108</v>
      </c>
      <c r="AG74" s="178" t="s">
        <v>109</v>
      </c>
      <c r="AH74" s="179" t="s">
        <v>0</v>
      </c>
      <c r="AI74" s="168"/>
      <c r="AJ74" s="24"/>
      <c r="AK74" s="24"/>
      <c r="AL74" s="25" t="s">
        <v>0</v>
      </c>
      <c r="AM74" s="25" t="s">
        <v>111</v>
      </c>
      <c r="AN74" s="25"/>
      <c r="AO74" s="25"/>
      <c r="AP74" s="25"/>
      <c r="AQ74" s="25"/>
      <c r="AR74" s="25"/>
      <c r="AS74" s="25"/>
      <c r="AT74" s="25"/>
      <c r="AU74" s="25"/>
      <c r="AV74" s="24"/>
      <c r="AW74" s="24"/>
      <c r="AX74" s="24"/>
      <c r="AY74" s="25" t="s">
        <v>112</v>
      </c>
      <c r="AZ74" s="25" t="s">
        <v>0</v>
      </c>
      <c r="BA74" s="25" t="s">
        <v>113</v>
      </c>
      <c r="BB74" s="25"/>
      <c r="BC74" s="25"/>
      <c r="BD74" s="25"/>
      <c r="BE74" s="25"/>
      <c r="BF74" s="24"/>
      <c r="BG74" s="24"/>
      <c r="BH74" s="24"/>
      <c r="BI74" s="24"/>
      <c r="BJ74" s="24"/>
      <c r="BK74" s="27"/>
      <c r="BL74" s="27" t="s">
        <v>110</v>
      </c>
      <c r="BM74" s="25" t="s">
        <v>104</v>
      </c>
      <c r="BN74" s="25" t="s">
        <v>105</v>
      </c>
      <c r="BO74" s="25" t="s">
        <v>106</v>
      </c>
      <c r="BP74" s="25" t="s">
        <v>107</v>
      </c>
      <c r="BQ74" s="25" t="s">
        <v>108</v>
      </c>
      <c r="BR74" s="25" t="s">
        <v>109</v>
      </c>
      <c r="BS74" s="25" t="s">
        <v>0</v>
      </c>
      <c r="BT74" s="25" t="s">
        <v>114</v>
      </c>
      <c r="BU74" s="25"/>
      <c r="BV74" s="25" t="s">
        <v>115</v>
      </c>
      <c r="BW74" s="25" t="s">
        <v>114</v>
      </c>
      <c r="BX74" s="24"/>
      <c r="BY74" s="24"/>
      <c r="BZ74" s="24"/>
      <c r="CA74" s="24"/>
      <c r="CB74" s="24"/>
      <c r="CC74" s="24"/>
      <c r="CD74" s="24"/>
      <c r="CE74" s="27"/>
      <c r="CF74" s="27" t="s">
        <v>110</v>
      </c>
      <c r="CG74" s="25" t="s">
        <v>104</v>
      </c>
      <c r="CH74" s="25" t="s">
        <v>105</v>
      </c>
      <c r="CI74" s="25" t="s">
        <v>106</v>
      </c>
      <c r="CJ74" s="25" t="s">
        <v>107</v>
      </c>
      <c r="CK74" s="25" t="s">
        <v>108</v>
      </c>
      <c r="CL74" s="25" t="s">
        <v>109</v>
      </c>
      <c r="CM74" s="25" t="s">
        <v>0</v>
      </c>
      <c r="CN74" s="25" t="s">
        <v>114</v>
      </c>
      <c r="CO74" s="25"/>
      <c r="CP74" s="25" t="s">
        <v>115</v>
      </c>
      <c r="CQ74" s="25" t="s">
        <v>114</v>
      </c>
      <c r="CR74" s="24"/>
    </row>
    <row r="75" spans="1:96" ht="14.25" customHeight="1" x14ac:dyDescent="0.25">
      <c r="A75" s="47" t="s">
        <v>175</v>
      </c>
      <c r="B75" s="48">
        <v>46189</v>
      </c>
      <c r="C75" s="49"/>
      <c r="D75" s="50"/>
      <c r="E75" s="51" t="s">
        <v>48</v>
      </c>
      <c r="F75" s="52">
        <v>2</v>
      </c>
      <c r="G75" s="52">
        <v>0</v>
      </c>
      <c r="H75" s="53" t="s">
        <v>61</v>
      </c>
      <c r="I75" s="24"/>
      <c r="J75" s="25" t="str">
        <f t="shared" ref="J75:J80" si="385">IF(OR(ISBLANK(F75),ISBLANK(G75)),"",IF(F75&gt;G75,E75,IF(G75&gt;F75,H75,"")))</f>
        <v>Francia</v>
      </c>
      <c r="K75" s="25" t="str">
        <f t="shared" ref="K75:K80" si="386">IF(OR(ISBLANK(F75),ISBLANK(G75)),"",IF(F75=G75,E75,""))</f>
        <v/>
      </c>
      <c r="L75" s="25" t="str">
        <f t="shared" ref="L75:L80" si="387">IF(OR(ISBLANK(F75),ISBLANK(G75)),"",IF(F75=G75,H75,""))</f>
        <v/>
      </c>
      <c r="M75" s="25" t="str">
        <f t="shared" ref="M75:M80" si="388">IF(OR(ISBLANK(F75),ISBLANK(G75)),"",IF(F75&lt;G75,E75,IF(G75&lt;F75,H75,"")))</f>
        <v>Senegal</v>
      </c>
      <c r="N75" s="24"/>
      <c r="O75" s="27" t="str">
        <f t="shared" si="384"/>
        <v>Francia</v>
      </c>
      <c r="P75" s="25">
        <f>+COUNTIF(J75:J80,"="&amp;$O75)</f>
        <v>3</v>
      </c>
      <c r="Q75" s="25">
        <f>+COUNTIF(K75:L80,"="&amp;$O75)</f>
        <v>0</v>
      </c>
      <c r="R75" s="25">
        <f>+COUNTIF(M75:M80,"="&amp;$O75)</f>
        <v>0</v>
      </c>
      <c r="S75" s="25">
        <f t="shared" ref="S75:S78" si="389">+T75-U75</f>
        <v>7</v>
      </c>
      <c r="T75" s="25">
        <f>+SUMIF(E75:E80,$O75,F75:F80)+SUMIF(H75:H80,$O75,G75:G80)</f>
        <v>7</v>
      </c>
      <c r="U75" s="25">
        <f>+SUMIF(E75:E80,$O75,G75:G80)+SUMIF(H75:H80,$O75,F75:F80)</f>
        <v>0</v>
      </c>
      <c r="V75" s="54">
        <f t="shared" ref="V75:V78" ca="1" si="390">+P75*3+Q75*1+BT75+CN75+S75/1000+T75/10000+AV75/1000000+ROW()/10000000</f>
        <v>9.0077075000000004</v>
      </c>
      <c r="W75" s="27" t="str">
        <f t="shared" ref="W75:W78" si="391">+O75</f>
        <v>Francia</v>
      </c>
      <c r="X75" s="24"/>
      <c r="Y75" s="55" t="str">
        <f>+CONCATENATE("1",RIGHT(E74,1))</f>
        <v>1I</v>
      </c>
      <c r="Z75" s="56" t="str">
        <f ca="1">+VLOOKUP(AL75,V75:W78,2,FALSE)</f>
        <v>Francia</v>
      </c>
      <c r="AA75" s="57">
        <f t="shared" ref="AA75:AA78" ca="1" si="392">+SUM(AB75:AD75)</f>
        <v>3</v>
      </c>
      <c r="AB75" s="58">
        <f t="shared" ref="AB75:AH78" ca="1" si="393">+_xlfn.XLOOKUP($Z75,$O:$O,P:P,"Error",0)</f>
        <v>3</v>
      </c>
      <c r="AC75" s="58">
        <f t="shared" ca="1" si="393"/>
        <v>0</v>
      </c>
      <c r="AD75" s="58">
        <f t="shared" ca="1" si="393"/>
        <v>0</v>
      </c>
      <c r="AE75" s="58">
        <f t="shared" ca="1" si="393"/>
        <v>7</v>
      </c>
      <c r="AF75" s="58">
        <f t="shared" ca="1" si="393"/>
        <v>7</v>
      </c>
      <c r="AG75" s="58">
        <f t="shared" ca="1" si="393"/>
        <v>0</v>
      </c>
      <c r="AH75" s="59">
        <f t="shared" ca="1" si="393"/>
        <v>9.0077075000000004</v>
      </c>
      <c r="AI75" s="60"/>
      <c r="AJ75" s="24"/>
      <c r="AK75" s="24"/>
      <c r="AL75" s="54">
        <f ca="1">+LARGE(V75:V78,1)</f>
        <v>9.0077075000000004</v>
      </c>
      <c r="AM75" s="61">
        <f t="shared" ref="AM75:AM78" ca="1" si="394">+(AH75-AL75)*100000000000000000000</f>
        <v>0</v>
      </c>
      <c r="AN75" s="24"/>
      <c r="AO75" s="24"/>
      <c r="AP75" s="62" t="str">
        <f t="shared" ref="AP75:AP78" si="395">+O75</f>
        <v>Francia</v>
      </c>
      <c r="AQ75" s="28">
        <f t="shared" ref="AQ75:AQ78" ca="1" si="396">+P75*3+Q75*1+BT75+CN75+S75/1000+T75/10000</f>
        <v>9.0076999999999998</v>
      </c>
      <c r="AR75" s="24" t="b">
        <f ca="1">+IF(OR(AQ75=AQ76,AQ75=AQ77,AQ75=AQ78),1)</f>
        <v>0</v>
      </c>
      <c r="AS75" s="63">
        <f t="shared" ref="AS75:AS78" si="397">+AV75</f>
        <v>0</v>
      </c>
      <c r="AT75" s="63">
        <f ca="1">+IF(AND(AM79="si",OR(AR75=1,AR76=1,AR77=1)),1,0)</f>
        <v>0</v>
      </c>
      <c r="AU75" s="64" t="str">
        <f t="shared" ref="AU75:AU78" si="398">+O75</f>
        <v>Francia</v>
      </c>
      <c r="AV75" s="65"/>
      <c r="AW75" s="24"/>
      <c r="AX75" s="24" t="str">
        <f>+Y74</f>
        <v>Grupo I</v>
      </c>
      <c r="AY75" s="25" t="str">
        <f t="shared" ref="AY75:AY78" si="399">+O75</f>
        <v>Francia</v>
      </c>
      <c r="AZ75" s="29">
        <f t="shared" ref="AZ75:AZ78" si="400">+P75*3+Q75</f>
        <v>9</v>
      </c>
      <c r="BA75" s="29">
        <f t="shared" ref="BA75:BA78" si="401">+COUNTIFS($AX$1:AX75,AX75,$AZ$1:AZ75,AZ75)</f>
        <v>1</v>
      </c>
      <c r="BB75" s="29">
        <f>+IF(AZ75=BF73,ROW()*0.001,AZ75)</f>
        <v>9</v>
      </c>
      <c r="BC75" s="29">
        <f t="shared" ref="BC75:BC78" si="402">+COUNTIFS($AX$1:AZ75,AZ75,$AZ$1:BB75,BB75)</f>
        <v>6</v>
      </c>
      <c r="BD75" s="29"/>
      <c r="BE75" s="26" t="e">
        <f ca="1">+IF(OR(BF75="-",BI75="-",BF73=0),"-","OK")</f>
        <v>#NAME?</v>
      </c>
      <c r="BF75" s="66" t="e">
        <f t="array" aca="1" ref="BF75" ca="1">+IF(_xludf.XLOOKUP($E75,$AY:$AY,$AZ:$AZ,"-",0)=BF73,$E75,"-")</f>
        <v>#NAME?</v>
      </c>
      <c r="BG75" s="67">
        <f t="shared" ref="BG75:BG80" si="403">+$F75</f>
        <v>2</v>
      </c>
      <c r="BH75" s="68">
        <f t="shared" ref="BH75:BH80" si="404">+$G75</f>
        <v>0</v>
      </c>
      <c r="BI75" s="66" t="e">
        <f t="array" aca="1" ref="BI75" ca="1">+IF(_xludf.XLOOKUP($H75,$AY:$AY,$AZ:$AZ,"-",0)=BF73,$H75,"-")</f>
        <v>#NAME?</v>
      </c>
      <c r="BJ75" s="24"/>
      <c r="BK75" s="27" t="str">
        <f t="shared" ref="BK75:BK78" si="405">+O75</f>
        <v>Francia</v>
      </c>
      <c r="BL75" s="27">
        <f t="shared" ref="BL75:BL78" ca="1" si="406">+COUNTIFS($BE:$BE,"OK",$BI:$BI,BK75)+COUNTIFS($BE:$BE,"OK",$BF:$BF,BK75)</f>
        <v>0</v>
      </c>
      <c r="BM75" s="25">
        <f t="shared" ref="BM75:BM78" ca="1" si="407">+COUNTIFS(J:J,$BK75,$BE:$BE,"OK")</f>
        <v>0</v>
      </c>
      <c r="BN75" s="25">
        <f t="shared" ref="BN75:BN78" si="408">+COUNTIFS(K:K,$BK75,$BE:$BE,"OK")+COUNTIFS(L:L,$BK75,$BE:$BE,"OK")</f>
        <v>0</v>
      </c>
      <c r="BO75" s="25">
        <f t="shared" ref="BO75:BO78" si="409">+COUNTIFS(M:M,$BK75,$BE:$BE,"OK")</f>
        <v>0</v>
      </c>
      <c r="BP75" s="25">
        <f t="shared" ref="BP75:BP78" ca="1" si="410">+BQ75-BR75</f>
        <v>0</v>
      </c>
      <c r="BQ75" s="25">
        <f t="shared" ref="BQ75:BQ78" ca="1" si="411">+SUMIFS(BG:BG,$BE:$BE,"OK",BF:BF,$BK75)+SUMIFS(BH:BH,$BE:$BE,"OK",BI:BI,$BK75)</f>
        <v>0</v>
      </c>
      <c r="BR75" s="25">
        <f t="shared" ref="BR75:BR78" ca="1" si="412">+SUMIFS(BH:BH,$BE:$BE,"OK",BF:BF,$BK75)+SUMIFS(BG:BG,$BE:$BE,"OK",BI:BI,$BK75)</f>
        <v>0</v>
      </c>
      <c r="BS75" s="69">
        <f t="shared" ref="BS75:BS78" ca="1" si="413">+BM75*3+BN75*1+BP75/100+BQ75/10000</f>
        <v>0</v>
      </c>
      <c r="BT75" s="29">
        <f t="array" aca="1" ref="BT75" ca="1">+IF(BL75=0,0,_xludf.XLOOKUP(BS75,BV75:BV78,BW75:BW78))</f>
        <v>0</v>
      </c>
      <c r="BU75" s="54"/>
      <c r="BV75" s="25">
        <f ca="1">+LARGE(BS75:BS78,1)</f>
        <v>0</v>
      </c>
      <c r="BW75" s="25">
        <f t="shared" ref="BW75:BW78" si="414">+BX75/$BW$1</f>
        <v>0.3</v>
      </c>
      <c r="BX75" s="24">
        <v>3</v>
      </c>
      <c r="BY75" s="26" t="e">
        <f t="shared" ref="BY75:BY80" ca="1" si="415">+IF(OR(BZ75="-",CC75="-"),"-","OK")</f>
        <v>#NAME?</v>
      </c>
      <c r="BZ75" s="66" t="e">
        <f t="array" aca="1" ref="BZ75" ca="1">+IF(_xludf.XLOOKUP($E75,$AY:$AY,$AZ:$AZ,"-",0)=BZ73,$E75,"-")</f>
        <v>#NAME?</v>
      </c>
      <c r="CA75" s="67">
        <f t="shared" ref="CA75:CA80" si="416">+$F75</f>
        <v>2</v>
      </c>
      <c r="CB75" s="68">
        <f t="shared" ref="CB75:CB80" si="417">+$G75</f>
        <v>0</v>
      </c>
      <c r="CC75" s="66" t="e">
        <f t="array" aca="1" ref="CC75" ca="1">+IF(_xludf.XLOOKUP($H75,$AY:$AY,$AZ:$AZ,"-",0)=BZ73,$H75,"-")</f>
        <v>#NAME?</v>
      </c>
      <c r="CD75" s="24"/>
      <c r="CE75" s="27" t="str">
        <f t="shared" ref="CE75:CE78" si="418">+BK75</f>
        <v>Francia</v>
      </c>
      <c r="CF75" s="27">
        <f t="shared" ref="CF75:CF78" ca="1" si="419">+COUNTIFS($BY:$BY,"OK",$CC:$CC,CE75)+COUNTIFS($BY:$BY,"OK",$BZ:$BZ,CE75)</f>
        <v>0</v>
      </c>
      <c r="CG75" s="25">
        <f t="shared" ref="CG75:CG78" si="420">+COUNTIFS(P:P,$BK75,$BY:$BY,"OK")</f>
        <v>0</v>
      </c>
      <c r="CH75" s="25">
        <f t="shared" ref="CH75:CH78" si="421">+COUNTIFS(K:K,$BK75,$BY:$BY,"OK")+COUNTIFS(L:L,$BK75,$BY:$BY,"OK")</f>
        <v>0</v>
      </c>
      <c r="CI75" s="25">
        <f t="shared" ref="CI75:CI78" si="422">+COUNTIFS(M:M,$CE75,$BY:$BY,"OK")</f>
        <v>0</v>
      </c>
      <c r="CJ75" s="25">
        <f t="shared" ref="CJ75:CJ78" ca="1" si="423">+CK75-CL75</f>
        <v>0</v>
      </c>
      <c r="CK75" s="25">
        <f t="shared" ref="CK75:CK78" ca="1" si="424">+SUMIFS(CA:CA,$BY:$BY,"OK",BZ:BZ,$BK75)+SUMIFS(CB:CB,$BY:$BY,"OK",CC:CC,$BK75)</f>
        <v>0</v>
      </c>
      <c r="CL75" s="25">
        <f t="shared" ref="CL75:CL78" ca="1" si="425">+SUMIFS(CB:CB,$BY:$BY,"OK",BZ:BZ,$BK75)+SUMIFS(CA:CA,$BY:$BY,"OK",CC:CC,$BK75)</f>
        <v>0</v>
      </c>
      <c r="CM75" s="69">
        <f t="shared" ref="CM75:CM78" ca="1" si="426">+CG75*3+CH75*1+CJ75/100+CK75/10000</f>
        <v>0</v>
      </c>
      <c r="CN75" s="29">
        <f t="array" aca="1" ref="CN75" ca="1">+IF(CF75=0,0,_xludf.XLOOKUP(CM75,CP75:CP78,CQ75:CQ78))</f>
        <v>0</v>
      </c>
      <c r="CO75" s="54"/>
      <c r="CP75" s="25">
        <f ca="1">+LARGE(CM75:CM78,1)</f>
        <v>0</v>
      </c>
      <c r="CQ75" s="25">
        <f t="shared" ref="CQ75:CQ78" si="427">+CR75/$BW$1</f>
        <v>0.3</v>
      </c>
      <c r="CR75" s="24">
        <v>3</v>
      </c>
    </row>
    <row r="76" spans="1:96" ht="14.25" customHeight="1" x14ac:dyDescent="0.25">
      <c r="A76" s="47" t="s">
        <v>176</v>
      </c>
      <c r="B76" s="48">
        <v>46189</v>
      </c>
      <c r="C76" s="49"/>
      <c r="D76" s="50"/>
      <c r="E76" s="51" t="s">
        <v>90</v>
      </c>
      <c r="F76" s="52">
        <v>0</v>
      </c>
      <c r="G76" s="52">
        <v>3</v>
      </c>
      <c r="H76" s="53" t="s">
        <v>69</v>
      </c>
      <c r="I76" s="24"/>
      <c r="J76" s="25" t="str">
        <f t="shared" si="385"/>
        <v>Noruega</v>
      </c>
      <c r="K76" s="25" t="str">
        <f t="shared" si="386"/>
        <v/>
      </c>
      <c r="L76" s="25" t="str">
        <f t="shared" si="387"/>
        <v/>
      </c>
      <c r="M76" s="25" t="str">
        <f t="shared" si="388"/>
        <v>Irak</v>
      </c>
      <c r="N76" s="24"/>
      <c r="O76" s="27" t="str">
        <f>+H75</f>
        <v>Senegal</v>
      </c>
      <c r="P76" s="25">
        <f>+COUNTIF(J75:J80,"="&amp;$O76)</f>
        <v>1</v>
      </c>
      <c r="Q76" s="25">
        <f>+COUNTIF(K75:L80,"="&amp;$O76)</f>
        <v>0</v>
      </c>
      <c r="R76" s="25">
        <f>+COUNTIF(M75:M80,"="&amp;$O76)</f>
        <v>2</v>
      </c>
      <c r="S76" s="25">
        <f t="shared" si="389"/>
        <v>-1</v>
      </c>
      <c r="T76" s="25">
        <f>+SUMIF(E75:E80,$O76,F75:F80)+SUMIF(H75:H80,$O76,G75:G80)</f>
        <v>3</v>
      </c>
      <c r="U76" s="25">
        <f>+SUMIF(E75:E80,$O76,G75:G80)+SUMIF(H75:H80,$O76,F75:F80)</f>
        <v>4</v>
      </c>
      <c r="V76" s="54">
        <f t="shared" ca="1" si="390"/>
        <v>2.9993076000000003</v>
      </c>
      <c r="W76" s="27" t="str">
        <f t="shared" si="391"/>
        <v>Senegal</v>
      </c>
      <c r="X76" s="24"/>
      <c r="Y76" s="71" t="str">
        <f>+CONCATENATE("2",RIGHT(E74,1))</f>
        <v>2I</v>
      </c>
      <c r="Z76" s="72" t="str">
        <f ca="1">+VLOOKUP(AL76,V75:W78,2,FALSE)</f>
        <v>Noruega</v>
      </c>
      <c r="AA76" s="73">
        <f t="shared" ca="1" si="392"/>
        <v>3</v>
      </c>
      <c r="AB76" s="74">
        <f t="shared" ca="1" si="393"/>
        <v>2</v>
      </c>
      <c r="AC76" s="74">
        <f t="shared" ca="1" si="393"/>
        <v>0</v>
      </c>
      <c r="AD76" s="74">
        <f t="shared" ca="1" si="393"/>
        <v>1</v>
      </c>
      <c r="AE76" s="74">
        <f t="shared" ca="1" si="393"/>
        <v>3</v>
      </c>
      <c r="AF76" s="74">
        <f t="shared" ca="1" si="393"/>
        <v>5</v>
      </c>
      <c r="AG76" s="74">
        <f t="shared" ca="1" si="393"/>
        <v>2</v>
      </c>
      <c r="AH76" s="75">
        <f t="shared" ca="1" si="393"/>
        <v>6.0035077999999995</v>
      </c>
      <c r="AI76" s="60"/>
      <c r="AJ76" s="24"/>
      <c r="AK76" s="24"/>
      <c r="AL76" s="54">
        <f ca="1">+LARGE(V75:V78,2)</f>
        <v>6.0035077999999995</v>
      </c>
      <c r="AM76" s="61">
        <f t="shared" ca="1" si="394"/>
        <v>0</v>
      </c>
      <c r="AN76" s="24"/>
      <c r="AO76" s="24"/>
      <c r="AP76" s="62" t="str">
        <f t="shared" si="395"/>
        <v>Senegal</v>
      </c>
      <c r="AQ76" s="28">
        <f t="shared" ca="1" si="396"/>
        <v>2.9993000000000003</v>
      </c>
      <c r="AR76" s="24" t="b">
        <f ca="1">+IF(OR(AQ76=AQ77,AQ76=AQ78),1)</f>
        <v>0</v>
      </c>
      <c r="AS76" s="63">
        <f t="shared" si="397"/>
        <v>0</v>
      </c>
      <c r="AT76" s="63">
        <f ca="1">+IF(AND(AM79="si",OR(AR75=1,AR76=1,AR77=1)),1,0)</f>
        <v>0</v>
      </c>
      <c r="AU76" s="76" t="str">
        <f t="shared" si="398"/>
        <v>Senegal</v>
      </c>
      <c r="AV76" s="77"/>
      <c r="AW76" s="24"/>
      <c r="AX76" s="24" t="str">
        <f>+Y74</f>
        <v>Grupo I</v>
      </c>
      <c r="AY76" s="25" t="str">
        <f t="shared" si="399"/>
        <v>Senegal</v>
      </c>
      <c r="AZ76" s="29">
        <f t="shared" si="400"/>
        <v>3</v>
      </c>
      <c r="BA76" s="29">
        <f t="shared" si="401"/>
        <v>1</v>
      </c>
      <c r="BB76" s="29">
        <f>+IF(AZ76=BF73,ROW()*0.001,AZ76)</f>
        <v>3</v>
      </c>
      <c r="BC76" s="29">
        <f t="shared" si="402"/>
        <v>6</v>
      </c>
      <c r="BD76" s="29"/>
      <c r="BE76" s="26" t="e">
        <f ca="1">+IF(OR(BF76="-",BI76="-",BF73=0),"-","OK")</f>
        <v>#NAME?</v>
      </c>
      <c r="BF76" s="66" t="e">
        <f t="array" aca="1" ref="BF76" ca="1">+IF(_xludf.XLOOKUP($E76,$AY:$AY,$AZ:$AZ,"-",0)=BF73,$E76,"-")</f>
        <v>#NAME?</v>
      </c>
      <c r="BG76" s="67">
        <f t="shared" si="403"/>
        <v>0</v>
      </c>
      <c r="BH76" s="68">
        <f t="shared" si="404"/>
        <v>3</v>
      </c>
      <c r="BI76" s="66" t="e">
        <f t="array" aca="1" ref="BI76" ca="1">+IF(_xludf.XLOOKUP($H76,$AY:$AY,$AZ:$AZ,"-",0)=BF73,$H76,"-")</f>
        <v>#NAME?</v>
      </c>
      <c r="BJ76" s="24"/>
      <c r="BK76" s="27" t="str">
        <f t="shared" si="405"/>
        <v>Senegal</v>
      </c>
      <c r="BL76" s="27">
        <f t="shared" ca="1" si="406"/>
        <v>0</v>
      </c>
      <c r="BM76" s="25">
        <f t="shared" ca="1" si="407"/>
        <v>0</v>
      </c>
      <c r="BN76" s="25">
        <f t="shared" si="408"/>
        <v>0</v>
      </c>
      <c r="BO76" s="25">
        <f t="shared" ca="1" si="409"/>
        <v>0</v>
      </c>
      <c r="BP76" s="25">
        <f t="shared" ca="1" si="410"/>
        <v>0</v>
      </c>
      <c r="BQ76" s="25">
        <f t="shared" ca="1" si="411"/>
        <v>0</v>
      </c>
      <c r="BR76" s="25">
        <f t="shared" ca="1" si="412"/>
        <v>0</v>
      </c>
      <c r="BS76" s="69">
        <f t="shared" ca="1" si="413"/>
        <v>0</v>
      </c>
      <c r="BT76" s="29">
        <f t="array" aca="1" ref="BT76" ca="1">+IF(BL76=0,0,_xludf.XLOOKUP(BS76,BV75:BV78,BW75:BW78))</f>
        <v>0</v>
      </c>
      <c r="BU76" s="54"/>
      <c r="BV76" s="25">
        <f ca="1">+LARGE(BS75:BS78,2)</f>
        <v>0</v>
      </c>
      <c r="BW76" s="25">
        <f t="shared" si="414"/>
        <v>0.2</v>
      </c>
      <c r="BX76" s="24">
        <v>2</v>
      </c>
      <c r="BY76" s="26" t="e">
        <f t="shared" ca="1" si="415"/>
        <v>#NAME?</v>
      </c>
      <c r="BZ76" s="66" t="e">
        <f t="array" aca="1" ref="BZ76" ca="1">+IF(_xludf.XLOOKUP($E76,$AY:$AY,$AZ:$AZ,"-",0)=BZ73,$E76,"-")</f>
        <v>#NAME?</v>
      </c>
      <c r="CA76" s="67">
        <f t="shared" si="416"/>
        <v>0</v>
      </c>
      <c r="CB76" s="68">
        <f t="shared" si="417"/>
        <v>3</v>
      </c>
      <c r="CC76" s="66" t="e">
        <f t="array" aca="1" ref="CC76" ca="1">+IF(_xludf.XLOOKUP($H76,$AY:$AY,$AZ:$AZ,"-",0)=BZ73,$H76,"-")</f>
        <v>#NAME?</v>
      </c>
      <c r="CD76" s="24"/>
      <c r="CE76" s="27" t="str">
        <f t="shared" si="418"/>
        <v>Senegal</v>
      </c>
      <c r="CF76" s="27">
        <f t="shared" ca="1" si="419"/>
        <v>0</v>
      </c>
      <c r="CG76" s="25">
        <f t="shared" si="420"/>
        <v>0</v>
      </c>
      <c r="CH76" s="25">
        <f t="shared" si="421"/>
        <v>0</v>
      </c>
      <c r="CI76" s="25">
        <f t="shared" ca="1" si="422"/>
        <v>0</v>
      </c>
      <c r="CJ76" s="25">
        <f t="shared" ca="1" si="423"/>
        <v>0</v>
      </c>
      <c r="CK76" s="25">
        <f t="shared" ca="1" si="424"/>
        <v>0</v>
      </c>
      <c r="CL76" s="25">
        <f t="shared" ca="1" si="425"/>
        <v>0</v>
      </c>
      <c r="CM76" s="69">
        <f t="shared" ca="1" si="426"/>
        <v>0</v>
      </c>
      <c r="CN76" s="29">
        <f t="array" aca="1" ref="CN76" ca="1">+IF(CF76=0,0,_xludf.XLOOKUP(CM76,CP75:CP78,CQ75:CQ78))</f>
        <v>0</v>
      </c>
      <c r="CO76" s="54"/>
      <c r="CP76" s="25">
        <f ca="1">+LARGE(CM75:CM78,2)</f>
        <v>0</v>
      </c>
      <c r="CQ76" s="25">
        <f t="shared" si="427"/>
        <v>0.2</v>
      </c>
      <c r="CR76" s="24">
        <v>2</v>
      </c>
    </row>
    <row r="77" spans="1:96" ht="14.25" customHeight="1" x14ac:dyDescent="0.25">
      <c r="A77" s="47" t="s">
        <v>177</v>
      </c>
      <c r="B77" s="48">
        <v>46195</v>
      </c>
      <c r="C77" s="49"/>
      <c r="D77" s="50"/>
      <c r="E77" s="51" t="s">
        <v>48</v>
      </c>
      <c r="F77" s="52">
        <v>4</v>
      </c>
      <c r="G77" s="52">
        <v>0</v>
      </c>
      <c r="H77" s="53" t="s">
        <v>90</v>
      </c>
      <c r="I77" s="24"/>
      <c r="J77" s="25" t="str">
        <f t="shared" si="385"/>
        <v>Francia</v>
      </c>
      <c r="K77" s="25" t="str">
        <f t="shared" si="386"/>
        <v/>
      </c>
      <c r="L77" s="25" t="str">
        <f t="shared" si="387"/>
        <v/>
      </c>
      <c r="M77" s="25" t="str">
        <f t="shared" si="388"/>
        <v>Irak</v>
      </c>
      <c r="N77" s="24"/>
      <c r="O77" s="27" t="str">
        <f>+E76</f>
        <v>Irak</v>
      </c>
      <c r="P77" s="25">
        <f>+COUNTIF(J75:J80,"="&amp;$O77)</f>
        <v>0</v>
      </c>
      <c r="Q77" s="25">
        <f>+COUNTIF(K75:L80,"="&amp;$O77)</f>
        <v>0</v>
      </c>
      <c r="R77" s="25">
        <f>+COUNTIF(M75:M80,"="&amp;$O77)</f>
        <v>3</v>
      </c>
      <c r="S77" s="25">
        <f t="shared" si="389"/>
        <v>-9</v>
      </c>
      <c r="T77" s="25">
        <f>+SUMIF(E75:E80,$O77,F75:F80)+SUMIF(H75:H80,$O77,G75:G80)</f>
        <v>0</v>
      </c>
      <c r="U77" s="25">
        <f>+SUMIF(E75:E80,$O77,G75:G80)+SUMIF(H75:H80,$O77,F75:F80)</f>
        <v>9</v>
      </c>
      <c r="V77" s="54">
        <f t="shared" ca="1" si="390"/>
        <v>-8.9922999999999999E-3</v>
      </c>
      <c r="W77" s="27" t="str">
        <f t="shared" si="391"/>
        <v>Irak</v>
      </c>
      <c r="X77" s="24"/>
      <c r="Y77" s="78" t="str">
        <f>+CONCATENATE("3",RIGHT(E74,1))</f>
        <v>3I</v>
      </c>
      <c r="Z77" s="79" t="str">
        <f ca="1">+VLOOKUP(AL77,V75:W78,2,FALSE)</f>
        <v>Senegal</v>
      </c>
      <c r="AA77" s="80">
        <f t="shared" ca="1" si="392"/>
        <v>3</v>
      </c>
      <c r="AB77" s="81">
        <f t="shared" ca="1" si="393"/>
        <v>1</v>
      </c>
      <c r="AC77" s="81">
        <f t="shared" ca="1" si="393"/>
        <v>0</v>
      </c>
      <c r="AD77" s="81">
        <f t="shared" ca="1" si="393"/>
        <v>2</v>
      </c>
      <c r="AE77" s="81">
        <f t="shared" ca="1" si="393"/>
        <v>-1</v>
      </c>
      <c r="AF77" s="81">
        <f t="shared" ca="1" si="393"/>
        <v>3</v>
      </c>
      <c r="AG77" s="81">
        <f t="shared" ca="1" si="393"/>
        <v>4</v>
      </c>
      <c r="AH77" s="82">
        <f t="shared" ca="1" si="393"/>
        <v>2.9993076000000003</v>
      </c>
      <c r="AI77" s="83">
        <f ca="1">+(COUNTIFS($CV$2:$CV$13,Z77,$CX$2:$CX$13,"IN")+COUNTIFS($CV$2:$CV$13,Z77,$CW$2:$CW$13,"IN"))*IF(SUM(AA75:AA78)=12,1,0)</f>
        <v>1</v>
      </c>
      <c r="AJ77" s="24"/>
      <c r="AK77" s="24"/>
      <c r="AL77" s="54">
        <f ca="1">+LARGE(V75:V78,3)</f>
        <v>2.9993076000000003</v>
      </c>
      <c r="AM77" s="61">
        <f t="shared" ca="1" si="394"/>
        <v>0</v>
      </c>
      <c r="AN77" s="24"/>
      <c r="AO77" s="24"/>
      <c r="AP77" s="62" t="str">
        <f t="shared" si="395"/>
        <v>Irak</v>
      </c>
      <c r="AQ77" s="28">
        <f t="shared" ca="1" si="396"/>
        <v>-8.9999999999999993E-3</v>
      </c>
      <c r="AR77" s="24" t="b">
        <f ca="1">+IF(OR(AQ77=AQ78),1)</f>
        <v>0</v>
      </c>
      <c r="AS77" s="63">
        <f t="shared" si="397"/>
        <v>0</v>
      </c>
      <c r="AT77" s="63">
        <f ca="1">+IF(AND(AM79="si",OR(AR75=1,AR76=1,AR77=1)),1,0)</f>
        <v>0</v>
      </c>
      <c r="AU77" s="76" t="str">
        <f t="shared" si="398"/>
        <v>Irak</v>
      </c>
      <c r="AV77" s="77"/>
      <c r="AW77" s="24"/>
      <c r="AX77" s="24" t="str">
        <f>+Y74</f>
        <v>Grupo I</v>
      </c>
      <c r="AY77" s="25" t="str">
        <f t="shared" si="399"/>
        <v>Irak</v>
      </c>
      <c r="AZ77" s="29">
        <f t="shared" si="400"/>
        <v>0</v>
      </c>
      <c r="BA77" s="29">
        <f t="shared" si="401"/>
        <v>1</v>
      </c>
      <c r="BB77" s="29">
        <f>+IF(AZ77=BF73,ROW()*0.001,AZ77)</f>
        <v>0</v>
      </c>
      <c r="BC77" s="29">
        <f t="shared" si="402"/>
        <v>8</v>
      </c>
      <c r="BD77" s="29"/>
      <c r="BE77" s="26" t="e">
        <f ca="1">+IF(OR(BF77="-",BI77="-",BF73=0),"-","OK")</f>
        <v>#NAME?</v>
      </c>
      <c r="BF77" s="66" t="e">
        <f t="array" aca="1" ref="BF77" ca="1">+IF(_xludf.XLOOKUP($E77,$AY:$AY,$AZ:$AZ,"-",0)=BF73,$E77,"-")</f>
        <v>#NAME?</v>
      </c>
      <c r="BG77" s="67">
        <f t="shared" si="403"/>
        <v>4</v>
      </c>
      <c r="BH77" s="68">
        <f t="shared" si="404"/>
        <v>0</v>
      </c>
      <c r="BI77" s="66" t="e">
        <f t="array" aca="1" ref="BI77" ca="1">+IF(_xludf.XLOOKUP($H77,$AY:$AY,$AZ:$AZ,"-",0)=BF73,$H77,"-")</f>
        <v>#NAME?</v>
      </c>
      <c r="BJ77" s="24"/>
      <c r="BK77" s="27" t="str">
        <f t="shared" si="405"/>
        <v>Irak</v>
      </c>
      <c r="BL77" s="27">
        <f t="shared" ca="1" si="406"/>
        <v>0</v>
      </c>
      <c r="BM77" s="25">
        <f t="shared" si="407"/>
        <v>0</v>
      </c>
      <c r="BN77" s="25">
        <f t="shared" si="408"/>
        <v>0</v>
      </c>
      <c r="BO77" s="25">
        <f t="shared" ca="1" si="409"/>
        <v>0</v>
      </c>
      <c r="BP77" s="25">
        <f t="shared" ca="1" si="410"/>
        <v>0</v>
      </c>
      <c r="BQ77" s="25">
        <f t="shared" ca="1" si="411"/>
        <v>0</v>
      </c>
      <c r="BR77" s="25">
        <f t="shared" ca="1" si="412"/>
        <v>0</v>
      </c>
      <c r="BS77" s="69">
        <f t="shared" ca="1" si="413"/>
        <v>0</v>
      </c>
      <c r="BT77" s="29">
        <f t="array" aca="1" ref="BT77" ca="1">+IF(BL77=0,0,_xludf.XLOOKUP(BS77,BV75:BV78,BW75:BW78))</f>
        <v>0</v>
      </c>
      <c r="BU77" s="54"/>
      <c r="BV77" s="25">
        <f ca="1">+LARGE(BS75:BS78,3)</f>
        <v>0</v>
      </c>
      <c r="BW77" s="25">
        <f t="shared" si="414"/>
        <v>0.1</v>
      </c>
      <c r="BX77" s="24">
        <v>1</v>
      </c>
      <c r="BY77" s="26" t="e">
        <f t="shared" ca="1" si="415"/>
        <v>#NAME?</v>
      </c>
      <c r="BZ77" s="66" t="e">
        <f t="array" aca="1" ref="BZ77" ca="1">+IF(_xludf.XLOOKUP($E77,$AY:$AY,$AZ:$AZ,"-",0)=BZ73,$E77,"-")</f>
        <v>#NAME?</v>
      </c>
      <c r="CA77" s="67">
        <f t="shared" si="416"/>
        <v>4</v>
      </c>
      <c r="CB77" s="68">
        <f t="shared" si="417"/>
        <v>0</v>
      </c>
      <c r="CC77" s="66" t="e">
        <f t="array" aca="1" ref="CC77" ca="1">+IF(_xludf.XLOOKUP($H77,$AY:$AY,$AZ:$AZ,"-",0)=BZ73,$H77,"-")</f>
        <v>#NAME?</v>
      </c>
      <c r="CD77" s="24"/>
      <c r="CE77" s="27" t="str">
        <f t="shared" si="418"/>
        <v>Irak</v>
      </c>
      <c r="CF77" s="27">
        <f t="shared" ca="1" si="419"/>
        <v>0</v>
      </c>
      <c r="CG77" s="25">
        <f t="shared" si="420"/>
        <v>0</v>
      </c>
      <c r="CH77" s="25">
        <f t="shared" si="421"/>
        <v>0</v>
      </c>
      <c r="CI77" s="25">
        <f t="shared" ca="1" si="422"/>
        <v>0</v>
      </c>
      <c r="CJ77" s="25">
        <f t="shared" ca="1" si="423"/>
        <v>0</v>
      </c>
      <c r="CK77" s="25">
        <f t="shared" ca="1" si="424"/>
        <v>0</v>
      </c>
      <c r="CL77" s="25">
        <f t="shared" ca="1" si="425"/>
        <v>0</v>
      </c>
      <c r="CM77" s="69">
        <f t="shared" ca="1" si="426"/>
        <v>0</v>
      </c>
      <c r="CN77" s="29">
        <f t="array" aca="1" ref="CN77" ca="1">+IF(CF77=0,0,_xludf.XLOOKUP(CM77,CP75:CP78,CQ75:CQ78))</f>
        <v>0</v>
      </c>
      <c r="CO77" s="54"/>
      <c r="CP77" s="25">
        <f ca="1">+LARGE(CM75:CM78,3)</f>
        <v>0</v>
      </c>
      <c r="CQ77" s="25">
        <f t="shared" si="427"/>
        <v>0.1</v>
      </c>
      <c r="CR77" s="24">
        <v>1</v>
      </c>
    </row>
    <row r="78" spans="1:96" ht="14.25" customHeight="1" x14ac:dyDescent="0.25">
      <c r="A78" s="47" t="s">
        <v>178</v>
      </c>
      <c r="B78" s="48">
        <v>46195</v>
      </c>
      <c r="C78" s="49"/>
      <c r="D78" s="50"/>
      <c r="E78" s="51" t="s">
        <v>69</v>
      </c>
      <c r="F78" s="52">
        <v>2</v>
      </c>
      <c r="G78" s="52">
        <v>1</v>
      </c>
      <c r="H78" s="53" t="s">
        <v>61</v>
      </c>
      <c r="I78" s="24"/>
      <c r="J78" s="25" t="str">
        <f t="shared" si="385"/>
        <v>Noruega</v>
      </c>
      <c r="K78" s="25" t="str">
        <f t="shared" si="386"/>
        <v/>
      </c>
      <c r="L78" s="25" t="str">
        <f t="shared" si="387"/>
        <v/>
      </c>
      <c r="M78" s="25" t="str">
        <f t="shared" si="388"/>
        <v>Senegal</v>
      </c>
      <c r="N78" s="24"/>
      <c r="O78" s="27" t="str">
        <f>+H76</f>
        <v>Noruega</v>
      </c>
      <c r="P78" s="25">
        <f>+COUNTIF(J75:J80,"="&amp;$O78)</f>
        <v>2</v>
      </c>
      <c r="Q78" s="25">
        <f>+COUNTIF(K75:L80,"="&amp;$O78)</f>
        <v>0</v>
      </c>
      <c r="R78" s="25">
        <f>+COUNTIF(M75:M80,"="&amp;$O78)</f>
        <v>1</v>
      </c>
      <c r="S78" s="25">
        <f t="shared" si="389"/>
        <v>3</v>
      </c>
      <c r="T78" s="25">
        <f>+SUMIF(E75:E80,$O78,F75:F80)+SUMIF(H75:H80,$O78,G75:G80)</f>
        <v>5</v>
      </c>
      <c r="U78" s="25">
        <f>+SUMIF(E75:E80,$O78,G75:G80)+SUMIF(H75:H80,$O78,F75:F80)</f>
        <v>2</v>
      </c>
      <c r="V78" s="54">
        <f t="shared" ca="1" si="390"/>
        <v>6.0035077999999995</v>
      </c>
      <c r="W78" s="27" t="str">
        <f t="shared" si="391"/>
        <v>Noruega</v>
      </c>
      <c r="X78" s="24"/>
      <c r="Y78" s="84" t="str">
        <f>+CONCATENATE("4",RIGHT(E74,1))</f>
        <v>4I</v>
      </c>
      <c r="Z78" s="85" t="str">
        <f ca="1">+VLOOKUP(AL78,V75:W78,2,FALSE)</f>
        <v>Irak</v>
      </c>
      <c r="AA78" s="86">
        <f t="shared" ca="1" si="392"/>
        <v>3</v>
      </c>
      <c r="AB78" s="87">
        <f t="shared" ca="1" si="393"/>
        <v>0</v>
      </c>
      <c r="AC78" s="87">
        <f t="shared" ca="1" si="393"/>
        <v>0</v>
      </c>
      <c r="AD78" s="87">
        <f t="shared" ca="1" si="393"/>
        <v>3</v>
      </c>
      <c r="AE78" s="87">
        <f t="shared" ca="1" si="393"/>
        <v>-9</v>
      </c>
      <c r="AF78" s="87">
        <f t="shared" ca="1" si="393"/>
        <v>0</v>
      </c>
      <c r="AG78" s="87">
        <f t="shared" ca="1" si="393"/>
        <v>9</v>
      </c>
      <c r="AH78" s="88">
        <f t="shared" ca="1" si="393"/>
        <v>-8.9922999999999999E-3</v>
      </c>
      <c r="AI78" s="83"/>
      <c r="AJ78" s="24"/>
      <c r="AK78" s="24"/>
      <c r="AL78" s="54">
        <f ca="1">+LARGE(V75:V78,4)</f>
        <v>-8.9922999999999999E-3</v>
      </c>
      <c r="AM78" s="61">
        <f t="shared" ca="1" si="394"/>
        <v>0</v>
      </c>
      <c r="AN78" s="24"/>
      <c r="AO78" s="24"/>
      <c r="AP78" s="62" t="str">
        <f t="shared" si="395"/>
        <v>Noruega</v>
      </c>
      <c r="AQ78" s="28">
        <f t="shared" ca="1" si="396"/>
        <v>6.0034999999999998</v>
      </c>
      <c r="AR78" s="24"/>
      <c r="AS78" s="63">
        <f t="shared" si="397"/>
        <v>0</v>
      </c>
      <c r="AT78" s="63">
        <f ca="1">+IF(AND(AM79="si",OR(AR75=1,AR76=1,AR77=1)),1,0)</f>
        <v>0</v>
      </c>
      <c r="AU78" s="89" t="str">
        <f t="shared" si="398"/>
        <v>Noruega</v>
      </c>
      <c r="AV78" s="90"/>
      <c r="AW78" s="24"/>
      <c r="AX78" s="24" t="str">
        <f>+Y74</f>
        <v>Grupo I</v>
      </c>
      <c r="AY78" s="25" t="str">
        <f t="shared" si="399"/>
        <v>Noruega</v>
      </c>
      <c r="AZ78" s="29">
        <f t="shared" si="400"/>
        <v>6</v>
      </c>
      <c r="BA78" s="29">
        <f t="shared" si="401"/>
        <v>1</v>
      </c>
      <c r="BB78" s="29">
        <f>+IF(AZ78=BF73,ROW()*0.001,AZ78)</f>
        <v>6</v>
      </c>
      <c r="BC78" s="29">
        <f t="shared" si="402"/>
        <v>6</v>
      </c>
      <c r="BD78" s="29"/>
      <c r="BE78" s="26" t="e">
        <f ca="1">+IF(OR(BF78="-",BI78="-",BF73=0),"-","OK")</f>
        <v>#NAME?</v>
      </c>
      <c r="BF78" s="66" t="e">
        <f t="array" aca="1" ref="BF78" ca="1">+IF(_xludf.XLOOKUP($E78,$AY:$AY,$AZ:$AZ,"-",0)=BF73,$E78,"-")</f>
        <v>#NAME?</v>
      </c>
      <c r="BG78" s="67">
        <f t="shared" si="403"/>
        <v>2</v>
      </c>
      <c r="BH78" s="68">
        <f t="shared" si="404"/>
        <v>1</v>
      </c>
      <c r="BI78" s="66" t="e">
        <f t="array" aca="1" ref="BI78" ca="1">+IF(_xludf.XLOOKUP($H78,$AY:$AY,$AZ:$AZ,"-",0)=BF73,$H78,"-")</f>
        <v>#NAME?</v>
      </c>
      <c r="BJ78" s="24"/>
      <c r="BK78" s="27" t="str">
        <f t="shared" si="405"/>
        <v>Noruega</v>
      </c>
      <c r="BL78" s="27">
        <f t="shared" ca="1" si="406"/>
        <v>0</v>
      </c>
      <c r="BM78" s="25">
        <f t="shared" ca="1" si="407"/>
        <v>0</v>
      </c>
      <c r="BN78" s="25">
        <f t="shared" si="408"/>
        <v>0</v>
      </c>
      <c r="BO78" s="25">
        <f t="shared" ca="1" si="409"/>
        <v>0</v>
      </c>
      <c r="BP78" s="25">
        <f t="shared" ca="1" si="410"/>
        <v>0</v>
      </c>
      <c r="BQ78" s="25">
        <f t="shared" ca="1" si="411"/>
        <v>0</v>
      </c>
      <c r="BR78" s="25">
        <f t="shared" ca="1" si="412"/>
        <v>0</v>
      </c>
      <c r="BS78" s="69">
        <f t="shared" ca="1" si="413"/>
        <v>0</v>
      </c>
      <c r="BT78" s="29">
        <f t="array" aca="1" ref="BT78" ca="1">+IF(BL78=0,0,_xludf.XLOOKUP(BS78,BV75:BV78,BW75:BW78))</f>
        <v>0</v>
      </c>
      <c r="BU78" s="54"/>
      <c r="BV78" s="25">
        <f ca="1">+LARGE(BS75:BS78,4)</f>
        <v>0</v>
      </c>
      <c r="BW78" s="25">
        <f t="shared" si="414"/>
        <v>0</v>
      </c>
      <c r="BX78" s="24">
        <v>0</v>
      </c>
      <c r="BY78" s="26" t="e">
        <f t="shared" ca="1" si="415"/>
        <v>#NAME?</v>
      </c>
      <c r="BZ78" s="66" t="e">
        <f t="array" aca="1" ref="BZ78" ca="1">+IF(_xludf.XLOOKUP($E78,$AY:$AY,$AZ:$AZ,"-",0)=BZ73,$E78,"-")</f>
        <v>#NAME?</v>
      </c>
      <c r="CA78" s="67">
        <f t="shared" si="416"/>
        <v>2</v>
      </c>
      <c r="CB78" s="68">
        <f t="shared" si="417"/>
        <v>1</v>
      </c>
      <c r="CC78" s="66" t="e">
        <f t="array" aca="1" ref="CC78" ca="1">+IF(_xludf.XLOOKUP($H78,$AY:$AY,$AZ:$AZ,"-",0)=BZ73,$H78,"-")</f>
        <v>#NAME?</v>
      </c>
      <c r="CD78" s="24"/>
      <c r="CE78" s="27" t="str">
        <f t="shared" si="418"/>
        <v>Noruega</v>
      </c>
      <c r="CF78" s="27">
        <f t="shared" ca="1" si="419"/>
        <v>0</v>
      </c>
      <c r="CG78" s="25">
        <f t="shared" si="420"/>
        <v>0</v>
      </c>
      <c r="CH78" s="25">
        <f t="shared" si="421"/>
        <v>0</v>
      </c>
      <c r="CI78" s="25">
        <f t="shared" ca="1" si="422"/>
        <v>0</v>
      </c>
      <c r="CJ78" s="25">
        <f t="shared" ca="1" si="423"/>
        <v>0</v>
      </c>
      <c r="CK78" s="25">
        <f t="shared" ca="1" si="424"/>
        <v>0</v>
      </c>
      <c r="CL78" s="25">
        <f t="shared" ca="1" si="425"/>
        <v>0</v>
      </c>
      <c r="CM78" s="69">
        <f t="shared" ca="1" si="426"/>
        <v>0</v>
      </c>
      <c r="CN78" s="29">
        <f t="array" aca="1" ref="CN78" ca="1">+IF(CF78=0,0,_xludf.XLOOKUP(CM78,CP75:CP78,CQ75:CQ78))</f>
        <v>0</v>
      </c>
      <c r="CO78" s="54"/>
      <c r="CP78" s="25">
        <f ca="1">+LARGE(CM75:CM78,4)</f>
        <v>0</v>
      </c>
      <c r="CQ78" s="25">
        <f t="shared" si="427"/>
        <v>0</v>
      </c>
      <c r="CR78" s="24">
        <v>0</v>
      </c>
    </row>
    <row r="79" spans="1:96" ht="14.25" customHeight="1" x14ac:dyDescent="0.25">
      <c r="A79" s="47" t="s">
        <v>179</v>
      </c>
      <c r="B79" s="48">
        <v>46199</v>
      </c>
      <c r="C79" s="49"/>
      <c r="D79" s="50"/>
      <c r="E79" s="51" t="s">
        <v>69</v>
      </c>
      <c r="F79" s="52">
        <v>0</v>
      </c>
      <c r="G79" s="52">
        <v>1</v>
      </c>
      <c r="H79" s="53" t="s">
        <v>48</v>
      </c>
      <c r="I79" s="24"/>
      <c r="J79" s="25" t="str">
        <f t="shared" si="385"/>
        <v>Francia</v>
      </c>
      <c r="K79" s="25" t="str">
        <f t="shared" si="386"/>
        <v/>
      </c>
      <c r="L79" s="25" t="str">
        <f t="shared" si="387"/>
        <v/>
      </c>
      <c r="M79" s="25" t="str">
        <f t="shared" si="388"/>
        <v>Noruega</v>
      </c>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6" t="s">
        <v>122</v>
      </c>
      <c r="AM79" s="61" t="str">
        <f ca="1">+IF(SUM(AA75:AA78)=12,"si","no")</f>
        <v>si</v>
      </c>
      <c r="AN79" s="24"/>
      <c r="AO79" s="24"/>
      <c r="AP79" s="24"/>
      <c r="AQ79" s="24"/>
      <c r="AR79" s="24"/>
      <c r="AS79" s="24"/>
      <c r="AT79" s="24"/>
      <c r="AU79" s="24"/>
      <c r="AV79" s="24"/>
      <c r="AW79" s="24"/>
      <c r="AX79" s="24"/>
      <c r="AY79" s="24"/>
      <c r="AZ79" s="24"/>
      <c r="BA79" s="24"/>
      <c r="BB79" s="24"/>
      <c r="BC79" s="24"/>
      <c r="BD79" s="24"/>
      <c r="BE79" s="26" t="e">
        <f ca="1">+IF(OR(BF79="-",BI79="-",BF73=0),"-","OK")</f>
        <v>#NAME?</v>
      </c>
      <c r="BF79" s="66" t="e">
        <f t="array" aca="1" ref="BF79" ca="1">+IF(_xludf.XLOOKUP($E79,$AY:$AY,$AZ:$AZ,"-",0)=BF73,$E79,"-")</f>
        <v>#NAME?</v>
      </c>
      <c r="BG79" s="67">
        <f t="shared" si="403"/>
        <v>0</v>
      </c>
      <c r="BH79" s="68">
        <f t="shared" si="404"/>
        <v>1</v>
      </c>
      <c r="BI79" s="66" t="e">
        <f t="array" aca="1" ref="BI79" ca="1">+IF(_xludf.XLOOKUP($H79,$AY:$AY,$AZ:$AZ,"-",0)=BF73,$H79,"-")</f>
        <v>#NAME?</v>
      </c>
      <c r="BJ79" s="24"/>
      <c r="BK79" s="24"/>
      <c r="BL79" s="24"/>
      <c r="BM79" s="24"/>
      <c r="BN79" s="24"/>
      <c r="BO79" s="24"/>
      <c r="BP79" s="24"/>
      <c r="BQ79" s="24"/>
      <c r="BR79" s="24"/>
      <c r="BS79" s="24"/>
      <c r="BT79" s="24"/>
      <c r="BU79" s="24"/>
      <c r="BV79" s="24"/>
      <c r="BW79" s="24"/>
      <c r="BX79" s="24"/>
      <c r="BY79" s="26" t="e">
        <f t="shared" ca="1" si="415"/>
        <v>#NAME?</v>
      </c>
      <c r="BZ79" s="66" t="e">
        <f t="array" aca="1" ref="BZ79" ca="1">+IF(_xludf.XLOOKUP($E79,$AY:$AY,$AZ:$AZ,"-",0)=BZ73,$E79,"-")</f>
        <v>#NAME?</v>
      </c>
      <c r="CA79" s="67">
        <f t="shared" si="416"/>
        <v>0</v>
      </c>
      <c r="CB79" s="68">
        <f t="shared" si="417"/>
        <v>1</v>
      </c>
      <c r="CC79" s="66" t="e">
        <f t="array" aca="1" ref="CC79" ca="1">+IF(_xludf.XLOOKUP($H79,$AY:$AY,$AZ:$AZ,"-",0)=BZ73,$H79,"-")</f>
        <v>#NAME?</v>
      </c>
      <c r="CD79" s="24"/>
      <c r="CE79" s="24"/>
      <c r="CF79" s="24"/>
      <c r="CG79" s="24"/>
      <c r="CH79" s="24"/>
      <c r="CI79" s="24"/>
      <c r="CJ79" s="24"/>
      <c r="CK79" s="24"/>
      <c r="CL79" s="24"/>
      <c r="CM79" s="24"/>
      <c r="CN79" s="24"/>
      <c r="CO79" s="24"/>
      <c r="CP79" s="24"/>
      <c r="CQ79" s="24"/>
      <c r="CR79" s="24"/>
    </row>
    <row r="80" spans="1:96" ht="14.25" customHeight="1" x14ac:dyDescent="0.25">
      <c r="A80" s="47" t="s">
        <v>180</v>
      </c>
      <c r="B80" s="48">
        <v>46199</v>
      </c>
      <c r="C80" s="49"/>
      <c r="D80" s="50"/>
      <c r="E80" s="51" t="s">
        <v>61</v>
      </c>
      <c r="F80" s="52">
        <v>2</v>
      </c>
      <c r="G80" s="52">
        <v>0</v>
      </c>
      <c r="H80" s="53" t="s">
        <v>90</v>
      </c>
      <c r="I80" s="24"/>
      <c r="J80" s="25" t="str">
        <f t="shared" si="385"/>
        <v>Senegal</v>
      </c>
      <c r="K80" s="25" t="str">
        <f t="shared" si="386"/>
        <v/>
      </c>
      <c r="L80" s="25" t="str">
        <f t="shared" si="387"/>
        <v/>
      </c>
      <c r="M80" s="25" t="str">
        <f t="shared" si="388"/>
        <v>Irak</v>
      </c>
      <c r="N80" s="24"/>
      <c r="O80" s="24"/>
      <c r="P80" s="24"/>
      <c r="Q80" s="24"/>
      <c r="R80" s="24"/>
      <c r="S80" s="24"/>
      <c r="T80" s="24"/>
      <c r="U80" s="24"/>
      <c r="V80" s="24"/>
      <c r="W80" s="24"/>
      <c r="X80" s="24"/>
      <c r="Y80" s="62" t="s">
        <v>124</v>
      </c>
      <c r="Z80" s="24"/>
      <c r="AA80" s="24"/>
      <c r="AB80" s="24"/>
      <c r="AC80" s="24"/>
      <c r="AD80" s="24"/>
      <c r="AE80" s="24"/>
      <c r="AF80" s="24"/>
      <c r="AG80" s="24"/>
      <c r="AH80" s="24"/>
      <c r="AI80" s="24"/>
      <c r="AJ80" s="24"/>
      <c r="AK80" s="24"/>
      <c r="AL80" s="24"/>
      <c r="AM80" s="24"/>
      <c r="AN80" s="24"/>
      <c r="AO80" s="24"/>
      <c r="AP80" s="24"/>
      <c r="AQ80" s="24"/>
      <c r="AR80" s="24">
        <f ca="1">+IF(AND(AM79="si",OR(AR75=1,AR76=1,AR77=1)),1,0)</f>
        <v>0</v>
      </c>
      <c r="AS80" s="24"/>
      <c r="AT80" s="24"/>
      <c r="AU80" s="24"/>
      <c r="AV80" s="24"/>
      <c r="AW80" s="24"/>
      <c r="AX80" s="24"/>
      <c r="AY80" s="24"/>
      <c r="AZ80" s="24"/>
      <c r="BA80" s="24"/>
      <c r="BB80" s="24"/>
      <c r="BC80" s="24"/>
      <c r="BD80" s="24"/>
      <c r="BE80" s="26" t="e">
        <f ca="1">+IF(OR(BF80="-",BI80="-",BF73=0),"-","OK")</f>
        <v>#NAME?</v>
      </c>
      <c r="BF80" s="66" t="e">
        <f t="array" aca="1" ref="BF80" ca="1">+IF(_xludf.XLOOKUP($E80,$AY:$AY,$AZ:$AZ,"-",0)=BF73,$E80,"-")</f>
        <v>#NAME?</v>
      </c>
      <c r="BG80" s="67">
        <f t="shared" si="403"/>
        <v>2</v>
      </c>
      <c r="BH80" s="68">
        <f t="shared" si="404"/>
        <v>0</v>
      </c>
      <c r="BI80" s="66" t="e">
        <f t="array" aca="1" ref="BI80" ca="1">+IF(_xludf.XLOOKUP($H80,$AY:$AY,$AZ:$AZ,"-",0)=BF73,$H80,"-")</f>
        <v>#NAME?</v>
      </c>
      <c r="BJ80" s="24"/>
      <c r="BK80" s="24"/>
      <c r="BL80" s="24"/>
      <c r="BM80" s="24"/>
      <c r="BN80" s="24"/>
      <c r="BO80" s="24"/>
      <c r="BP80" s="24"/>
      <c r="BQ80" s="24"/>
      <c r="BR80" s="24"/>
      <c r="BS80" s="24"/>
      <c r="BT80" s="24"/>
      <c r="BU80" s="24"/>
      <c r="BV80" s="24"/>
      <c r="BW80" s="24"/>
      <c r="BX80" s="24"/>
      <c r="BY80" s="26" t="e">
        <f t="shared" ca="1" si="415"/>
        <v>#NAME?</v>
      </c>
      <c r="BZ80" s="66" t="e">
        <f t="array" aca="1" ref="BZ80" ca="1">+IF(_xludf.XLOOKUP($E80,$AY:$AY,$AZ:$AZ,"-",0)=BZ73,$E80,"-")</f>
        <v>#NAME?</v>
      </c>
      <c r="CA80" s="67">
        <f t="shared" si="416"/>
        <v>2</v>
      </c>
      <c r="CB80" s="68">
        <f t="shared" si="417"/>
        <v>0</v>
      </c>
      <c r="CC80" s="66" t="e">
        <f t="array" aca="1" ref="CC80" ca="1">+IF(_xludf.XLOOKUP($H80,$AY:$AY,$AZ:$AZ,"-",0)=BZ73,$H80,"-")</f>
        <v>#NAME?</v>
      </c>
      <c r="CD80" s="24"/>
      <c r="CE80" s="24"/>
      <c r="CF80" s="24"/>
      <c r="CG80" s="24"/>
      <c r="CH80" s="24"/>
      <c r="CI80" s="24"/>
      <c r="CJ80" s="24"/>
      <c r="CK80" s="24"/>
      <c r="CL80" s="24"/>
      <c r="CM80" s="24"/>
      <c r="CN80" s="24"/>
      <c r="CO80" s="24"/>
      <c r="CP80" s="24"/>
      <c r="CQ80" s="24"/>
      <c r="CR80" s="24"/>
    </row>
    <row r="82" spans="1:96" ht="14.25" customHeight="1" x14ac:dyDescent="0.25">
      <c r="A82" s="24"/>
      <c r="B82" s="25"/>
      <c r="C82" s="25"/>
      <c r="D82" s="24"/>
      <c r="E82" s="26"/>
      <c r="F82" s="25"/>
      <c r="G82" s="25"/>
      <c r="H82" s="27"/>
      <c r="I82" s="24"/>
      <c r="J82" s="25"/>
      <c r="K82" s="25"/>
      <c r="L82" s="25"/>
      <c r="M82" s="25"/>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5"/>
      <c r="BF82" s="28" t="str">
        <f>+IF(BA84&gt;1,AZ84,IF(BA85&gt;1,AZ85,IF(BA86&gt;1,AZ86,IF(BA87&gt;1,AZ87,"-"))))</f>
        <v>-</v>
      </c>
      <c r="BG82" s="24"/>
      <c r="BH82" s="24"/>
      <c r="BI82" s="24"/>
      <c r="BJ82" s="24"/>
      <c r="BK82" s="24"/>
      <c r="BL82" s="24"/>
      <c r="BM82" s="24"/>
      <c r="BN82" s="24"/>
      <c r="BO82" s="24"/>
      <c r="BP82" s="24"/>
      <c r="BQ82" s="24"/>
      <c r="BR82" s="24"/>
      <c r="BS82" s="24"/>
      <c r="BT82" s="24"/>
      <c r="BU82" s="24"/>
      <c r="BV82" s="24"/>
      <c r="BW82" s="24">
        <v>10</v>
      </c>
      <c r="BX82" s="24"/>
      <c r="BY82" s="24"/>
      <c r="BZ82" s="29">
        <f>+IF(BC84&gt;1,BB84,IF(BC85&gt;1,BB85,IF(BC86&gt;1,BB86,IF(BC87&gt;1,BB87,"-"))))</f>
        <v>9</v>
      </c>
      <c r="CA82" s="24"/>
      <c r="CB82" s="24"/>
      <c r="CC82" s="24"/>
      <c r="CD82" s="24"/>
      <c r="CE82" s="24"/>
      <c r="CF82" s="24"/>
      <c r="CG82" s="24"/>
      <c r="CH82" s="24"/>
      <c r="CI82" s="24"/>
      <c r="CJ82" s="24"/>
      <c r="CK82" s="24"/>
      <c r="CL82" s="24"/>
      <c r="CM82" s="24"/>
      <c r="CN82" s="24"/>
      <c r="CO82" s="24"/>
      <c r="CP82" s="24"/>
      <c r="CQ82" s="24">
        <v>10</v>
      </c>
      <c r="CR82" s="24"/>
    </row>
    <row r="83" spans="1:96" ht="14.25" customHeight="1" x14ac:dyDescent="0.25">
      <c r="A83" s="180" t="s">
        <v>100</v>
      </c>
      <c r="B83" s="181" t="s">
        <v>101</v>
      </c>
      <c r="C83" s="181" t="s">
        <v>102</v>
      </c>
      <c r="D83" s="182"/>
      <c r="E83" s="183" t="s">
        <v>181</v>
      </c>
      <c r="F83" s="184"/>
      <c r="G83" s="184"/>
      <c r="H83" s="185"/>
      <c r="I83" s="24"/>
      <c r="J83" s="25" t="s">
        <v>104</v>
      </c>
      <c r="K83" s="25" t="s">
        <v>105</v>
      </c>
      <c r="L83" s="25" t="s">
        <v>105</v>
      </c>
      <c r="M83" s="25" t="s">
        <v>106</v>
      </c>
      <c r="N83" s="24"/>
      <c r="O83" s="27" t="str">
        <f t="shared" ref="O83:O84" si="428">+E83</f>
        <v>Grupo J</v>
      </c>
      <c r="P83" s="25" t="s">
        <v>104</v>
      </c>
      <c r="Q83" s="25" t="s">
        <v>105</v>
      </c>
      <c r="R83" s="25" t="s">
        <v>106</v>
      </c>
      <c r="S83" s="25" t="s">
        <v>107</v>
      </c>
      <c r="T83" s="25" t="s">
        <v>108</v>
      </c>
      <c r="U83" s="25" t="s">
        <v>109</v>
      </c>
      <c r="V83" s="25" t="s">
        <v>0</v>
      </c>
      <c r="W83" s="25"/>
      <c r="X83" s="24"/>
      <c r="Y83" s="477" t="s">
        <v>181</v>
      </c>
      <c r="Z83" s="475"/>
      <c r="AA83" s="186" t="s">
        <v>110</v>
      </c>
      <c r="AB83" s="187" t="s">
        <v>104</v>
      </c>
      <c r="AC83" s="187" t="s">
        <v>105</v>
      </c>
      <c r="AD83" s="187" t="s">
        <v>106</v>
      </c>
      <c r="AE83" s="187" t="s">
        <v>107</v>
      </c>
      <c r="AF83" s="187" t="s">
        <v>108</v>
      </c>
      <c r="AG83" s="187" t="s">
        <v>109</v>
      </c>
      <c r="AH83" s="188" t="s">
        <v>0</v>
      </c>
      <c r="AI83" s="168"/>
      <c r="AJ83" s="24"/>
      <c r="AK83" s="24"/>
      <c r="AL83" s="25" t="s">
        <v>0</v>
      </c>
      <c r="AM83" s="25" t="s">
        <v>111</v>
      </c>
      <c r="AN83" s="25"/>
      <c r="AO83" s="25"/>
      <c r="AP83" s="25"/>
      <c r="AQ83" s="25"/>
      <c r="AR83" s="25"/>
      <c r="AS83" s="25"/>
      <c r="AT83" s="25"/>
      <c r="AU83" s="25"/>
      <c r="AV83" s="24"/>
      <c r="AW83" s="24"/>
      <c r="AX83" s="24"/>
      <c r="AY83" s="25" t="s">
        <v>112</v>
      </c>
      <c r="AZ83" s="25" t="s">
        <v>0</v>
      </c>
      <c r="BA83" s="25" t="s">
        <v>113</v>
      </c>
      <c r="BB83" s="25"/>
      <c r="BC83" s="25"/>
      <c r="BD83" s="25"/>
      <c r="BE83" s="25"/>
      <c r="BF83" s="24"/>
      <c r="BG83" s="24"/>
      <c r="BH83" s="24"/>
      <c r="BI83" s="24"/>
      <c r="BJ83" s="24"/>
      <c r="BK83" s="27"/>
      <c r="BL83" s="27" t="s">
        <v>110</v>
      </c>
      <c r="BM83" s="25" t="s">
        <v>104</v>
      </c>
      <c r="BN83" s="25" t="s">
        <v>105</v>
      </c>
      <c r="BO83" s="25" t="s">
        <v>106</v>
      </c>
      <c r="BP83" s="25" t="s">
        <v>107</v>
      </c>
      <c r="BQ83" s="25" t="s">
        <v>108</v>
      </c>
      <c r="BR83" s="25" t="s">
        <v>109</v>
      </c>
      <c r="BS83" s="25" t="s">
        <v>0</v>
      </c>
      <c r="BT83" s="25" t="s">
        <v>114</v>
      </c>
      <c r="BU83" s="25"/>
      <c r="BV83" s="25" t="s">
        <v>115</v>
      </c>
      <c r="BW83" s="25" t="s">
        <v>114</v>
      </c>
      <c r="BX83" s="24"/>
      <c r="BY83" s="24"/>
      <c r="BZ83" s="24"/>
      <c r="CA83" s="24"/>
      <c r="CB83" s="24"/>
      <c r="CC83" s="24"/>
      <c r="CD83" s="24"/>
      <c r="CE83" s="27"/>
      <c r="CF83" s="27" t="s">
        <v>110</v>
      </c>
      <c r="CG83" s="25" t="s">
        <v>104</v>
      </c>
      <c r="CH83" s="25" t="s">
        <v>105</v>
      </c>
      <c r="CI83" s="25" t="s">
        <v>106</v>
      </c>
      <c r="CJ83" s="25" t="s">
        <v>107</v>
      </c>
      <c r="CK83" s="25" t="s">
        <v>108</v>
      </c>
      <c r="CL83" s="25" t="s">
        <v>109</v>
      </c>
      <c r="CM83" s="25" t="s">
        <v>0</v>
      </c>
      <c r="CN83" s="25" t="s">
        <v>114</v>
      </c>
      <c r="CO83" s="25"/>
      <c r="CP83" s="25" t="s">
        <v>115</v>
      </c>
      <c r="CQ83" s="25" t="s">
        <v>114</v>
      </c>
      <c r="CR83" s="24"/>
    </row>
    <row r="84" spans="1:96" ht="14.25" customHeight="1" x14ac:dyDescent="0.25">
      <c r="A84" s="47" t="s">
        <v>182</v>
      </c>
      <c r="B84" s="48">
        <v>46189</v>
      </c>
      <c r="C84" s="49"/>
      <c r="D84" s="50"/>
      <c r="E84" s="51" t="s">
        <v>50</v>
      </c>
      <c r="F84" s="52">
        <v>3</v>
      </c>
      <c r="G84" s="52">
        <v>0</v>
      </c>
      <c r="H84" s="53" t="s">
        <v>74</v>
      </c>
      <c r="I84" s="24"/>
      <c r="J84" s="25" t="str">
        <f t="shared" ref="J84:J89" si="429">IF(OR(ISBLANK(F84),ISBLANK(G84)),"",IF(F84&gt;G84,E84,IF(G84&gt;F84,H84,"")))</f>
        <v>Argentina</v>
      </c>
      <c r="K84" s="25" t="str">
        <f t="shared" ref="K84:K89" si="430">IF(OR(ISBLANK(F84),ISBLANK(G84)),"",IF(F84=G84,E84,""))</f>
        <v/>
      </c>
      <c r="L84" s="25" t="str">
        <f t="shared" ref="L84:L89" si="431">IF(OR(ISBLANK(F84),ISBLANK(G84)),"",IF(F84=G84,H84,""))</f>
        <v/>
      </c>
      <c r="M84" s="25" t="str">
        <f t="shared" ref="M84:M89" si="432">IF(OR(ISBLANK(F84),ISBLANK(G84)),"",IF(F84&lt;G84,E84,IF(G84&lt;F84,H84,"")))</f>
        <v>Argelia</v>
      </c>
      <c r="N84" s="24"/>
      <c r="O84" s="27" t="str">
        <f t="shared" si="428"/>
        <v>Argentina</v>
      </c>
      <c r="P84" s="25">
        <f>+COUNTIF(J84:J89,"="&amp;$O84)</f>
        <v>3</v>
      </c>
      <c r="Q84" s="25">
        <f>+COUNTIF(K84:L89,"="&amp;$O84)</f>
        <v>0</v>
      </c>
      <c r="R84" s="25">
        <f>+COUNTIF(M84:M89,"="&amp;$O84)</f>
        <v>0</v>
      </c>
      <c r="S84" s="25">
        <f t="shared" ref="S84:S87" si="433">+T84-U84</f>
        <v>6</v>
      </c>
      <c r="T84" s="25">
        <f>+SUMIF(E84:E89,$O84,F84:F89)+SUMIF(H84:H89,$O84,G84:G89)</f>
        <v>7</v>
      </c>
      <c r="U84" s="25">
        <f>+SUMIF(E84:E89,$O84,G84:G89)+SUMIF(H84:H89,$O84,F84:F89)</f>
        <v>1</v>
      </c>
      <c r="V84" s="54">
        <f t="shared" ref="V84:V87" ca="1" si="434">+P84*3+Q84*1+BT84+CN84+S84/1000+T84/10000+AV84/1000000+ROW()/10000000</f>
        <v>9.0067124000000014</v>
      </c>
      <c r="W84" s="27" t="str">
        <f t="shared" ref="W84:W87" si="435">+O84</f>
        <v>Argentina</v>
      </c>
      <c r="X84" s="24"/>
      <c r="Y84" s="55" t="str">
        <f>+CONCATENATE("1",RIGHT(E83,1))</f>
        <v>1J</v>
      </c>
      <c r="Z84" s="56" t="str">
        <f ca="1">+VLOOKUP(AL84,V84:W87,2,FALSE)</f>
        <v>Argentina</v>
      </c>
      <c r="AA84" s="57">
        <f t="shared" ref="AA84:AA87" ca="1" si="436">+SUM(AB84:AD84)</f>
        <v>3</v>
      </c>
      <c r="AB84" s="58">
        <f t="shared" ref="AB84:AH87" ca="1" si="437">+_xlfn.XLOOKUP($Z84,$O:$O,P:P,"Error",0)</f>
        <v>3</v>
      </c>
      <c r="AC84" s="58">
        <f t="shared" ca="1" si="437"/>
        <v>0</v>
      </c>
      <c r="AD84" s="58">
        <f t="shared" ca="1" si="437"/>
        <v>0</v>
      </c>
      <c r="AE84" s="58">
        <f t="shared" ca="1" si="437"/>
        <v>6</v>
      </c>
      <c r="AF84" s="58">
        <f t="shared" ca="1" si="437"/>
        <v>7</v>
      </c>
      <c r="AG84" s="58">
        <f t="shared" ca="1" si="437"/>
        <v>1</v>
      </c>
      <c r="AH84" s="59">
        <f t="shared" ca="1" si="437"/>
        <v>9.0067124000000014</v>
      </c>
      <c r="AI84" s="60"/>
      <c r="AJ84" s="24"/>
      <c r="AK84" s="24"/>
      <c r="AL84" s="54">
        <f ca="1">+LARGE(V84:V87,1)</f>
        <v>9.0067124000000014</v>
      </c>
      <c r="AM84" s="61">
        <f t="shared" ref="AM84:AM87" ca="1" si="438">+(AH84-AL84)*100000000000000000000</f>
        <v>0</v>
      </c>
      <c r="AN84" s="24"/>
      <c r="AO84" s="24"/>
      <c r="AP84" s="62" t="str">
        <f t="shared" ref="AP84:AP87" si="439">+O84</f>
        <v>Argentina</v>
      </c>
      <c r="AQ84" s="28">
        <f t="shared" ref="AQ84:AQ87" ca="1" si="440">+P84*3+Q84*1+BT84+CN84+S84/1000+T84/10000</f>
        <v>9.0067000000000004</v>
      </c>
      <c r="AR84" s="24" t="b">
        <f ca="1">+IF(OR(AQ84=AQ85,AQ84=AQ86,AQ84=AQ87),1)</f>
        <v>0</v>
      </c>
      <c r="AS84" s="63">
        <f t="shared" ref="AS84:AS87" si="441">+AV84</f>
        <v>4</v>
      </c>
      <c r="AT84" s="63">
        <f ca="1">+IF(AND(AM88="si",OR(AR84=1,AR85=1,AR86=1)),1,0)</f>
        <v>0</v>
      </c>
      <c r="AU84" s="64" t="str">
        <f t="shared" ref="AU84:AU87" si="442">+O84</f>
        <v>Argentina</v>
      </c>
      <c r="AV84" s="189">
        <v>4</v>
      </c>
      <c r="AW84" s="24"/>
      <c r="AX84" s="24" t="str">
        <f>+Y83</f>
        <v>Grupo J</v>
      </c>
      <c r="AY84" s="25" t="str">
        <f t="shared" ref="AY84:AY87" si="443">+O84</f>
        <v>Argentina</v>
      </c>
      <c r="AZ84" s="29">
        <f t="shared" ref="AZ84:AZ87" si="444">+P84*3+Q84</f>
        <v>9</v>
      </c>
      <c r="BA84" s="29">
        <f t="shared" ref="BA84:BA87" si="445">+COUNTIFS($AX$1:AX84,AX84,$AZ$1:AZ84,AZ84)</f>
        <v>1</v>
      </c>
      <c r="BB84" s="29">
        <f>+IF(AZ84=BF82,ROW()*0.001,AZ84)</f>
        <v>9</v>
      </c>
      <c r="BC84" s="29">
        <f t="shared" ref="BC84:BC87" si="446">+COUNTIFS($AX$1:AZ84,AZ84,$AZ$1:BB84,BB84)</f>
        <v>7</v>
      </c>
      <c r="BD84" s="29"/>
      <c r="BE84" s="26" t="e">
        <f ca="1">+IF(OR(BF84="-",BI84="-",BF82=0),"-","OK")</f>
        <v>#NAME?</v>
      </c>
      <c r="BF84" s="66" t="e">
        <f t="array" aca="1" ref="BF84" ca="1">+IF(_xludf.XLOOKUP($E84,$AY:$AY,$AZ:$AZ,"-",0)=BF82,$E84,"-")</f>
        <v>#NAME?</v>
      </c>
      <c r="BG84" s="67">
        <f t="shared" ref="BG84:BG89" si="447">+$F84</f>
        <v>3</v>
      </c>
      <c r="BH84" s="68">
        <f t="shared" ref="BH84:BH89" si="448">+$G84</f>
        <v>0</v>
      </c>
      <c r="BI84" s="66" t="e">
        <f t="array" aca="1" ref="BI84" ca="1">+IF(_xludf.XLOOKUP($H84,$AY:$AY,$AZ:$AZ,"-",0)=BF82,$H84,"-")</f>
        <v>#NAME?</v>
      </c>
      <c r="BJ84" s="24"/>
      <c r="BK84" s="27" t="str">
        <f t="shared" ref="BK84:BK87" si="449">+O84</f>
        <v>Argentina</v>
      </c>
      <c r="BL84" s="27">
        <f t="shared" ref="BL84:BL87" ca="1" si="450">+COUNTIFS($BE:$BE,"OK",$BI:$BI,BK84)+COUNTIFS($BE:$BE,"OK",$BF:$BF,BK84)</f>
        <v>0</v>
      </c>
      <c r="BM84" s="25">
        <f t="shared" ref="BM84:BM87" ca="1" si="451">+COUNTIFS(J:J,$BK84,$BE:$BE,"OK")</f>
        <v>0</v>
      </c>
      <c r="BN84" s="25">
        <f t="shared" ref="BN84:BN87" si="452">+COUNTIFS(K:K,$BK84,$BE:$BE,"OK")+COUNTIFS(L:L,$BK84,$BE:$BE,"OK")</f>
        <v>0</v>
      </c>
      <c r="BO84" s="25">
        <f t="shared" ref="BO84:BO87" si="453">+COUNTIFS(M:M,$BK84,$BE:$BE,"OK")</f>
        <v>0</v>
      </c>
      <c r="BP84" s="25">
        <f t="shared" ref="BP84:BP87" ca="1" si="454">+BQ84-BR84</f>
        <v>0</v>
      </c>
      <c r="BQ84" s="25">
        <f t="shared" ref="BQ84:BQ87" ca="1" si="455">+SUMIFS(BG:BG,$BE:$BE,"OK",BF:BF,$BK84)+SUMIFS(BH:BH,$BE:$BE,"OK",BI:BI,$BK84)</f>
        <v>0</v>
      </c>
      <c r="BR84" s="25">
        <f t="shared" ref="BR84:BR87" ca="1" si="456">+SUMIFS(BH:BH,$BE:$BE,"OK",BF:BF,$BK84)+SUMIFS(BG:BG,$BE:$BE,"OK",BI:BI,$BK84)</f>
        <v>0</v>
      </c>
      <c r="BS84" s="69">
        <f t="shared" ref="BS84:BS87" ca="1" si="457">+BM84*3+BN84*1+BP84/100+BQ84/10000</f>
        <v>0</v>
      </c>
      <c r="BT84" s="29">
        <f t="array" aca="1" ref="BT84" ca="1">+IF(BL84=0,0,_xludf.XLOOKUP(BS84,BV84:BV87,BW84:BW87))</f>
        <v>0</v>
      </c>
      <c r="BU84" s="54"/>
      <c r="BV84" s="25">
        <f ca="1">+LARGE(BS84:BS87,1)</f>
        <v>0</v>
      </c>
      <c r="BW84" s="25">
        <f t="shared" ref="BW84:BW87" si="458">+BX84/$BW$1</f>
        <v>0.3</v>
      </c>
      <c r="BX84" s="24">
        <v>3</v>
      </c>
      <c r="BY84" s="26" t="e">
        <f t="shared" ref="BY84:BY89" ca="1" si="459">+IF(OR(BZ84="-",CC84="-"),"-","OK")</f>
        <v>#NAME?</v>
      </c>
      <c r="BZ84" s="66" t="e">
        <f t="array" aca="1" ref="BZ84" ca="1">+IF(_xludf.XLOOKUP($E84,$AY:$AY,$AZ:$AZ,"-",0)=BZ82,$E84,"-")</f>
        <v>#NAME?</v>
      </c>
      <c r="CA84" s="67">
        <f t="shared" ref="CA84:CA89" si="460">+$F84</f>
        <v>3</v>
      </c>
      <c r="CB84" s="68">
        <f t="shared" ref="CB84:CB89" si="461">+$G84</f>
        <v>0</v>
      </c>
      <c r="CC84" s="66" t="e">
        <f t="array" aca="1" ref="CC84" ca="1">+IF(_xludf.XLOOKUP($H84,$AY:$AY,$AZ:$AZ,"-",0)=BZ82,$H84,"-")</f>
        <v>#NAME?</v>
      </c>
      <c r="CD84" s="24"/>
      <c r="CE84" s="27" t="str">
        <f t="shared" ref="CE84:CE87" si="462">+BK84</f>
        <v>Argentina</v>
      </c>
      <c r="CF84" s="27">
        <f t="shared" ref="CF84:CF87" ca="1" si="463">+COUNTIFS($BY:$BY,"OK",$CC:$CC,CE84)+COUNTIFS($BY:$BY,"OK",$BZ:$BZ,CE84)</f>
        <v>0</v>
      </c>
      <c r="CG84" s="25">
        <f t="shared" ref="CG84:CG87" si="464">+COUNTIFS(P:P,$BK84,$BY:$BY,"OK")</f>
        <v>0</v>
      </c>
      <c r="CH84" s="25">
        <f t="shared" ref="CH84:CH87" si="465">+COUNTIFS(K:K,$BK84,$BY:$BY,"OK")+COUNTIFS(L:L,$BK84,$BY:$BY,"OK")</f>
        <v>0</v>
      </c>
      <c r="CI84" s="25">
        <f t="shared" ref="CI84:CI87" si="466">+COUNTIFS(M:M,$CE84,$BY:$BY,"OK")</f>
        <v>0</v>
      </c>
      <c r="CJ84" s="25">
        <f t="shared" ref="CJ84:CJ87" ca="1" si="467">+CK84-CL84</f>
        <v>0</v>
      </c>
      <c r="CK84" s="25">
        <f t="shared" ref="CK84:CK87" ca="1" si="468">+SUMIFS(CA:CA,$BY:$BY,"OK",BZ:BZ,$BK84)+SUMIFS(CB:CB,$BY:$BY,"OK",CC:CC,$BK84)</f>
        <v>0</v>
      </c>
      <c r="CL84" s="25">
        <f t="shared" ref="CL84:CL87" ca="1" si="469">+SUMIFS(CB:CB,$BY:$BY,"OK",BZ:BZ,$BK84)+SUMIFS(CA:CA,$BY:$BY,"OK",CC:CC,$BK84)</f>
        <v>0</v>
      </c>
      <c r="CM84" s="69">
        <f t="shared" ref="CM84:CM87" ca="1" si="470">+CG84*3+CH84*1+CJ84/100+CK84/10000</f>
        <v>0</v>
      </c>
      <c r="CN84" s="29">
        <f t="array" aca="1" ref="CN84" ca="1">+IF(CF84=0,0,_xludf.XLOOKUP(CM84,CP84:CP87,CQ84:CQ87))</f>
        <v>0</v>
      </c>
      <c r="CO84" s="54"/>
      <c r="CP84" s="25">
        <f ca="1">+LARGE(CM84:CM87,1)</f>
        <v>0</v>
      </c>
      <c r="CQ84" s="25">
        <f t="shared" ref="CQ84:CQ87" si="471">+CR84/$BW$1</f>
        <v>0.3</v>
      </c>
      <c r="CR84" s="24">
        <v>3</v>
      </c>
    </row>
    <row r="85" spans="1:96" ht="14.25" customHeight="1" x14ac:dyDescent="0.25">
      <c r="A85" s="47" t="s">
        <v>183</v>
      </c>
      <c r="B85" s="48">
        <v>46190</v>
      </c>
      <c r="C85" s="49"/>
      <c r="D85" s="50"/>
      <c r="E85" s="51" t="s">
        <v>72</v>
      </c>
      <c r="F85" s="52">
        <v>2</v>
      </c>
      <c r="G85" s="52">
        <v>0</v>
      </c>
      <c r="H85" s="53" t="s">
        <v>91</v>
      </c>
      <c r="I85" s="24"/>
      <c r="J85" s="25" t="str">
        <f t="shared" si="429"/>
        <v>Austria</v>
      </c>
      <c r="K85" s="25" t="str">
        <f t="shared" si="430"/>
        <v/>
      </c>
      <c r="L85" s="25" t="str">
        <f t="shared" si="431"/>
        <v/>
      </c>
      <c r="M85" s="25" t="str">
        <f t="shared" si="432"/>
        <v>Jordania</v>
      </c>
      <c r="N85" s="24"/>
      <c r="O85" s="27" t="str">
        <f>+H84</f>
        <v>Argelia</v>
      </c>
      <c r="P85" s="25">
        <f>+COUNTIF(J84:J89,"="&amp;$O85)</f>
        <v>1</v>
      </c>
      <c r="Q85" s="25">
        <f>+COUNTIF(K84:L89,"="&amp;$O85)</f>
        <v>0</v>
      </c>
      <c r="R85" s="25">
        <f>+COUNTIF(M84:M89,"="&amp;$O85)</f>
        <v>2</v>
      </c>
      <c r="S85" s="25">
        <f t="shared" si="433"/>
        <v>-3</v>
      </c>
      <c r="T85" s="25">
        <f>+SUMIF(E84:E89,$O85,F84:F89)+SUMIF(H84:H89,$O85,G84:G89)</f>
        <v>1</v>
      </c>
      <c r="U85" s="25">
        <f>+SUMIF(E84:E89,$O85,G84:G89)+SUMIF(H84:H89,$O85,F84:F89)</f>
        <v>4</v>
      </c>
      <c r="V85" s="54">
        <f t="shared" ca="1" si="434"/>
        <v>2.9971114999999999</v>
      </c>
      <c r="W85" s="27" t="str">
        <f t="shared" si="435"/>
        <v>Argelia</v>
      </c>
      <c r="X85" s="24"/>
      <c r="Y85" s="71" t="str">
        <f>+CONCATENATE("2",RIGHT(E83,1))</f>
        <v>2J</v>
      </c>
      <c r="Z85" s="72" t="str">
        <f ca="1">+VLOOKUP(AL85,V84:W87,2,FALSE)</f>
        <v>Austria</v>
      </c>
      <c r="AA85" s="73">
        <f t="shared" ca="1" si="436"/>
        <v>3</v>
      </c>
      <c r="AB85" s="58">
        <f t="shared" ca="1" si="437"/>
        <v>2</v>
      </c>
      <c r="AC85" s="58">
        <f t="shared" ca="1" si="437"/>
        <v>0</v>
      </c>
      <c r="AD85" s="58">
        <f t="shared" ca="1" si="437"/>
        <v>1</v>
      </c>
      <c r="AE85" s="58">
        <f t="shared" ca="1" si="437"/>
        <v>2</v>
      </c>
      <c r="AF85" s="58">
        <f t="shared" ca="1" si="437"/>
        <v>4</v>
      </c>
      <c r="AG85" s="58">
        <f t="shared" ca="1" si="437"/>
        <v>2</v>
      </c>
      <c r="AH85" s="75">
        <f t="shared" ca="1" si="437"/>
        <v>6.0024106000000002</v>
      </c>
      <c r="AI85" s="60"/>
      <c r="AJ85" s="24"/>
      <c r="AK85" s="24"/>
      <c r="AL85" s="54">
        <f ca="1">+LARGE(V84:V87,2)</f>
        <v>6.0024106000000002</v>
      </c>
      <c r="AM85" s="61">
        <f t="shared" ca="1" si="438"/>
        <v>0</v>
      </c>
      <c r="AN85" s="24"/>
      <c r="AO85" s="24"/>
      <c r="AP85" s="62" t="str">
        <f t="shared" si="439"/>
        <v>Argelia</v>
      </c>
      <c r="AQ85" s="28">
        <f t="shared" ca="1" si="440"/>
        <v>2.9971000000000001</v>
      </c>
      <c r="AR85" s="24" t="b">
        <f ca="1">+IF(OR(AQ85=AQ86,AQ85=AQ87),1)</f>
        <v>0</v>
      </c>
      <c r="AS85" s="63">
        <f t="shared" si="441"/>
        <v>3</v>
      </c>
      <c r="AT85" s="63">
        <f ca="1">+IF(AND(AM88="si",OR(AR84=1,AR85=1,AR86=1)),1,0)</f>
        <v>0</v>
      </c>
      <c r="AU85" s="76" t="str">
        <f t="shared" si="442"/>
        <v>Argelia</v>
      </c>
      <c r="AV85" s="190">
        <v>3</v>
      </c>
      <c r="AW85" s="24"/>
      <c r="AX85" s="24" t="str">
        <f>+Y83</f>
        <v>Grupo J</v>
      </c>
      <c r="AY85" s="25" t="str">
        <f t="shared" si="443"/>
        <v>Argelia</v>
      </c>
      <c r="AZ85" s="29">
        <f t="shared" si="444"/>
        <v>3</v>
      </c>
      <c r="BA85" s="29">
        <f t="shared" si="445"/>
        <v>1</v>
      </c>
      <c r="BB85" s="29">
        <f>+IF(AZ85=BF82,ROW()*0.001,AZ85)</f>
        <v>3</v>
      </c>
      <c r="BC85" s="29">
        <f t="shared" si="446"/>
        <v>7</v>
      </c>
      <c r="BD85" s="29"/>
      <c r="BE85" s="26" t="e">
        <f ca="1">+IF(OR(BF85="-",BI85="-",BF82=0),"-","OK")</f>
        <v>#NAME?</v>
      </c>
      <c r="BF85" s="66" t="e">
        <f t="array" aca="1" ref="BF85" ca="1">+IF(_xludf.XLOOKUP($E85,$AY:$AY,$AZ:$AZ,"-",0)=BF82,$E85,"-")</f>
        <v>#NAME?</v>
      </c>
      <c r="BG85" s="67">
        <f t="shared" si="447"/>
        <v>2</v>
      </c>
      <c r="BH85" s="68">
        <f t="shared" si="448"/>
        <v>0</v>
      </c>
      <c r="BI85" s="66" t="e">
        <f t="array" aca="1" ref="BI85" ca="1">+IF(_xludf.XLOOKUP($H85,$AY:$AY,$AZ:$AZ,"-",0)=BF82,$H85,"-")</f>
        <v>#NAME?</v>
      </c>
      <c r="BJ85" s="24"/>
      <c r="BK85" s="27" t="str">
        <f t="shared" si="449"/>
        <v>Argelia</v>
      </c>
      <c r="BL85" s="27">
        <f t="shared" ca="1" si="450"/>
        <v>0</v>
      </c>
      <c r="BM85" s="25">
        <f t="shared" ca="1" si="451"/>
        <v>0</v>
      </c>
      <c r="BN85" s="25">
        <f t="shared" si="452"/>
        <v>0</v>
      </c>
      <c r="BO85" s="25">
        <f t="shared" ca="1" si="453"/>
        <v>0</v>
      </c>
      <c r="BP85" s="25">
        <f t="shared" ca="1" si="454"/>
        <v>0</v>
      </c>
      <c r="BQ85" s="25">
        <f t="shared" ca="1" si="455"/>
        <v>0</v>
      </c>
      <c r="BR85" s="25">
        <f t="shared" ca="1" si="456"/>
        <v>0</v>
      </c>
      <c r="BS85" s="69">
        <f t="shared" ca="1" si="457"/>
        <v>0</v>
      </c>
      <c r="BT85" s="29">
        <f t="array" aca="1" ref="BT85" ca="1">+IF(BL85=0,0,_xludf.XLOOKUP(BS85,BV84:BV87,BW84:BW87))</f>
        <v>0</v>
      </c>
      <c r="BU85" s="54"/>
      <c r="BV85" s="25">
        <f ca="1">+LARGE(BS84:BS87,2)</f>
        <v>0</v>
      </c>
      <c r="BW85" s="25">
        <f t="shared" si="458"/>
        <v>0.2</v>
      </c>
      <c r="BX85" s="24">
        <v>2</v>
      </c>
      <c r="BY85" s="26" t="e">
        <f t="shared" ca="1" si="459"/>
        <v>#NAME?</v>
      </c>
      <c r="BZ85" s="66" t="e">
        <f t="array" aca="1" ref="BZ85" ca="1">+IF(_xludf.XLOOKUP($E85,$AY:$AY,$AZ:$AZ,"-",0)=BZ82,$E85,"-")</f>
        <v>#NAME?</v>
      </c>
      <c r="CA85" s="67">
        <f t="shared" si="460"/>
        <v>2</v>
      </c>
      <c r="CB85" s="68">
        <f t="shared" si="461"/>
        <v>0</v>
      </c>
      <c r="CC85" s="66" t="e">
        <f t="array" aca="1" ref="CC85" ca="1">+IF(_xludf.XLOOKUP($H85,$AY:$AY,$AZ:$AZ,"-",0)=BZ82,$H85,"-")</f>
        <v>#NAME?</v>
      </c>
      <c r="CD85" s="24"/>
      <c r="CE85" s="27" t="str">
        <f t="shared" si="462"/>
        <v>Argelia</v>
      </c>
      <c r="CF85" s="27">
        <f t="shared" ca="1" si="463"/>
        <v>0</v>
      </c>
      <c r="CG85" s="25">
        <f t="shared" si="464"/>
        <v>0</v>
      </c>
      <c r="CH85" s="25">
        <f t="shared" si="465"/>
        <v>0</v>
      </c>
      <c r="CI85" s="25">
        <f t="shared" ca="1" si="466"/>
        <v>0</v>
      </c>
      <c r="CJ85" s="25">
        <f t="shared" ca="1" si="467"/>
        <v>0</v>
      </c>
      <c r="CK85" s="25">
        <f t="shared" ca="1" si="468"/>
        <v>0</v>
      </c>
      <c r="CL85" s="25">
        <f t="shared" ca="1" si="469"/>
        <v>0</v>
      </c>
      <c r="CM85" s="69">
        <f t="shared" ca="1" si="470"/>
        <v>0</v>
      </c>
      <c r="CN85" s="29">
        <f t="array" aca="1" ref="CN85" ca="1">+IF(CF85=0,0,_xludf.XLOOKUP(CM85,CP84:CP87,CQ84:CQ87))</f>
        <v>0</v>
      </c>
      <c r="CO85" s="54"/>
      <c r="CP85" s="25">
        <f ca="1">+LARGE(CM84:CM87,2)</f>
        <v>0</v>
      </c>
      <c r="CQ85" s="25">
        <f t="shared" si="471"/>
        <v>0.2</v>
      </c>
      <c r="CR85" s="24">
        <v>2</v>
      </c>
    </row>
    <row r="86" spans="1:96" ht="14.25" customHeight="1" x14ac:dyDescent="0.25">
      <c r="A86" s="47" t="s">
        <v>184</v>
      </c>
      <c r="B86" s="48">
        <v>46195</v>
      </c>
      <c r="C86" s="49"/>
      <c r="D86" s="50"/>
      <c r="E86" s="51" t="s">
        <v>50</v>
      </c>
      <c r="F86" s="52">
        <v>2</v>
      </c>
      <c r="G86" s="52">
        <v>1</v>
      </c>
      <c r="H86" s="53" t="s">
        <v>72</v>
      </c>
      <c r="I86" s="24"/>
      <c r="J86" s="25" t="str">
        <f t="shared" si="429"/>
        <v>Argentina</v>
      </c>
      <c r="K86" s="25" t="str">
        <f t="shared" si="430"/>
        <v/>
      </c>
      <c r="L86" s="25" t="str">
        <f t="shared" si="431"/>
        <v/>
      </c>
      <c r="M86" s="25" t="str">
        <f t="shared" si="432"/>
        <v>Austria</v>
      </c>
      <c r="N86" s="24"/>
      <c r="O86" s="27" t="str">
        <f>+E85</f>
        <v>Austria</v>
      </c>
      <c r="P86" s="25">
        <f>+COUNTIF(J84:J89,"="&amp;$O86)</f>
        <v>2</v>
      </c>
      <c r="Q86" s="25">
        <f>+COUNTIF(K84:L89,"="&amp;$O86)</f>
        <v>0</v>
      </c>
      <c r="R86" s="25">
        <f>+COUNTIF(M84:M89,"="&amp;$O86)</f>
        <v>1</v>
      </c>
      <c r="S86" s="25">
        <f t="shared" si="433"/>
        <v>2</v>
      </c>
      <c r="T86" s="25">
        <f>+SUMIF(E84:E89,$O86,F84:F89)+SUMIF(H84:H89,$O86,G84:G89)</f>
        <v>4</v>
      </c>
      <c r="U86" s="25">
        <f>+SUMIF(E84:E89,$O86,G84:G89)+SUMIF(H84:H89,$O86,F84:F89)</f>
        <v>2</v>
      </c>
      <c r="V86" s="54">
        <f t="shared" ca="1" si="434"/>
        <v>6.0024106000000002</v>
      </c>
      <c r="W86" s="27" t="str">
        <f t="shared" si="435"/>
        <v>Austria</v>
      </c>
      <c r="X86" s="24"/>
      <c r="Y86" s="78" t="str">
        <f>+CONCATENATE("3",RIGHT(E83,1))</f>
        <v>3J</v>
      </c>
      <c r="Z86" s="79" t="str">
        <f ca="1">+VLOOKUP(AL86,V84:W87,2,FALSE)</f>
        <v>Argelia</v>
      </c>
      <c r="AA86" s="80">
        <f t="shared" ca="1" si="436"/>
        <v>3</v>
      </c>
      <c r="AB86" s="81">
        <f t="shared" ca="1" si="437"/>
        <v>1</v>
      </c>
      <c r="AC86" s="81">
        <f t="shared" ca="1" si="437"/>
        <v>0</v>
      </c>
      <c r="AD86" s="81">
        <f t="shared" ca="1" si="437"/>
        <v>2</v>
      </c>
      <c r="AE86" s="81">
        <f t="shared" ca="1" si="437"/>
        <v>-3</v>
      </c>
      <c r="AF86" s="81">
        <f t="shared" ca="1" si="437"/>
        <v>1</v>
      </c>
      <c r="AG86" s="81">
        <f t="shared" ca="1" si="437"/>
        <v>4</v>
      </c>
      <c r="AH86" s="82">
        <f t="shared" ca="1" si="437"/>
        <v>2.9971114999999999</v>
      </c>
      <c r="AI86" s="83">
        <f ca="1">+(COUNTIFS($CV$2:$CV$13,Z86,$CX$2:$CX$13,"IN")+COUNTIFS($CV$2:$CV$13,Z86,$CW$2:$CW$13,"IN"))*IF(SUM(AA84:AA87)=12,1,0)</f>
        <v>0</v>
      </c>
      <c r="AJ86" s="24"/>
      <c r="AK86" s="24"/>
      <c r="AL86" s="54">
        <f ca="1">+LARGE(V84:V87,3)</f>
        <v>2.9971114999999999</v>
      </c>
      <c r="AM86" s="61">
        <f t="shared" ca="1" si="438"/>
        <v>0</v>
      </c>
      <c r="AN86" s="24"/>
      <c r="AO86" s="24"/>
      <c r="AP86" s="62" t="str">
        <f t="shared" si="439"/>
        <v>Austria</v>
      </c>
      <c r="AQ86" s="28">
        <f t="shared" ca="1" si="440"/>
        <v>6.0023999999999997</v>
      </c>
      <c r="AR86" s="24" t="b">
        <f ca="1">+IF(OR(AQ86=AQ87),1)</f>
        <v>0</v>
      </c>
      <c r="AS86" s="63">
        <f t="shared" si="441"/>
        <v>2</v>
      </c>
      <c r="AT86" s="63">
        <f ca="1">+IF(AND(AM88="si",OR(AR84=1,AR85=1,AR86=1)),1,0)</f>
        <v>0</v>
      </c>
      <c r="AU86" s="76" t="str">
        <f t="shared" si="442"/>
        <v>Austria</v>
      </c>
      <c r="AV86" s="190">
        <v>2</v>
      </c>
      <c r="AW86" s="24"/>
      <c r="AX86" s="24" t="str">
        <f>+Y83</f>
        <v>Grupo J</v>
      </c>
      <c r="AY86" s="25" t="str">
        <f t="shared" si="443"/>
        <v>Austria</v>
      </c>
      <c r="AZ86" s="29">
        <f t="shared" si="444"/>
        <v>6</v>
      </c>
      <c r="BA86" s="29">
        <f t="shared" si="445"/>
        <v>1</v>
      </c>
      <c r="BB86" s="29">
        <f>+IF(AZ86=BF82,ROW()*0.001,AZ86)</f>
        <v>6</v>
      </c>
      <c r="BC86" s="29">
        <f t="shared" si="446"/>
        <v>7</v>
      </c>
      <c r="BD86" s="29"/>
      <c r="BE86" s="26" t="e">
        <f ca="1">+IF(OR(BF86="-",BI86="-",BF82=0),"-","OK")</f>
        <v>#NAME?</v>
      </c>
      <c r="BF86" s="66" t="e">
        <f t="array" aca="1" ref="BF86" ca="1">+IF(_xludf.XLOOKUP($E86,$AY:$AY,$AZ:$AZ,"-",0)=BF82,$E86,"-")</f>
        <v>#NAME?</v>
      </c>
      <c r="BG86" s="67">
        <f t="shared" si="447"/>
        <v>2</v>
      </c>
      <c r="BH86" s="68">
        <f t="shared" si="448"/>
        <v>1</v>
      </c>
      <c r="BI86" s="66" t="e">
        <f t="array" aca="1" ref="BI86" ca="1">+IF(_xludf.XLOOKUP($H86,$AY:$AY,$AZ:$AZ,"-",0)=BF82,$H86,"-")</f>
        <v>#NAME?</v>
      </c>
      <c r="BJ86" s="24"/>
      <c r="BK86" s="27" t="str">
        <f t="shared" si="449"/>
        <v>Austria</v>
      </c>
      <c r="BL86" s="27">
        <f t="shared" ca="1" si="450"/>
        <v>0</v>
      </c>
      <c r="BM86" s="25">
        <f t="shared" ca="1" si="451"/>
        <v>0</v>
      </c>
      <c r="BN86" s="25">
        <f t="shared" si="452"/>
        <v>0</v>
      </c>
      <c r="BO86" s="25">
        <f t="shared" ca="1" si="453"/>
        <v>0</v>
      </c>
      <c r="BP86" s="25">
        <f t="shared" ca="1" si="454"/>
        <v>0</v>
      </c>
      <c r="BQ86" s="25">
        <f t="shared" ca="1" si="455"/>
        <v>0</v>
      </c>
      <c r="BR86" s="25">
        <f t="shared" ca="1" si="456"/>
        <v>0</v>
      </c>
      <c r="BS86" s="69">
        <f t="shared" ca="1" si="457"/>
        <v>0</v>
      </c>
      <c r="BT86" s="29">
        <f t="array" aca="1" ref="BT86" ca="1">+IF(BL86=0,0,_xludf.XLOOKUP(BS86,BV84:BV87,BW84:BW87))</f>
        <v>0</v>
      </c>
      <c r="BU86" s="54"/>
      <c r="BV86" s="25">
        <f ca="1">+LARGE(BS84:BS87,3)</f>
        <v>0</v>
      </c>
      <c r="BW86" s="25">
        <f t="shared" si="458"/>
        <v>0.1</v>
      </c>
      <c r="BX86" s="24">
        <v>1</v>
      </c>
      <c r="BY86" s="26" t="e">
        <f t="shared" ca="1" si="459"/>
        <v>#NAME?</v>
      </c>
      <c r="BZ86" s="66" t="e">
        <f t="array" aca="1" ref="BZ86" ca="1">+IF(_xludf.XLOOKUP($E86,$AY:$AY,$AZ:$AZ,"-",0)=BZ82,$E86,"-")</f>
        <v>#NAME?</v>
      </c>
      <c r="CA86" s="67">
        <f t="shared" si="460"/>
        <v>2</v>
      </c>
      <c r="CB86" s="68">
        <f t="shared" si="461"/>
        <v>1</v>
      </c>
      <c r="CC86" s="66" t="e">
        <f t="array" aca="1" ref="CC86" ca="1">+IF(_xludf.XLOOKUP($H86,$AY:$AY,$AZ:$AZ,"-",0)=BZ82,$H86,"-")</f>
        <v>#NAME?</v>
      </c>
      <c r="CD86" s="24"/>
      <c r="CE86" s="27" t="str">
        <f t="shared" si="462"/>
        <v>Austria</v>
      </c>
      <c r="CF86" s="27">
        <f t="shared" ca="1" si="463"/>
        <v>0</v>
      </c>
      <c r="CG86" s="25">
        <f t="shared" si="464"/>
        <v>0</v>
      </c>
      <c r="CH86" s="25">
        <f t="shared" si="465"/>
        <v>0</v>
      </c>
      <c r="CI86" s="25">
        <f t="shared" ca="1" si="466"/>
        <v>0</v>
      </c>
      <c r="CJ86" s="25">
        <f t="shared" ca="1" si="467"/>
        <v>0</v>
      </c>
      <c r="CK86" s="25">
        <f t="shared" ca="1" si="468"/>
        <v>0</v>
      </c>
      <c r="CL86" s="25">
        <f t="shared" ca="1" si="469"/>
        <v>0</v>
      </c>
      <c r="CM86" s="69">
        <f t="shared" ca="1" si="470"/>
        <v>0</v>
      </c>
      <c r="CN86" s="29">
        <f t="array" aca="1" ref="CN86" ca="1">+IF(CF86=0,0,_xludf.XLOOKUP(CM86,CP84:CP87,CQ84:CQ87))</f>
        <v>0</v>
      </c>
      <c r="CO86" s="54"/>
      <c r="CP86" s="25">
        <f ca="1">+LARGE(CM84:CM87,3)</f>
        <v>0</v>
      </c>
      <c r="CQ86" s="25">
        <f t="shared" si="471"/>
        <v>0.1</v>
      </c>
      <c r="CR86" s="24">
        <v>1</v>
      </c>
    </row>
    <row r="87" spans="1:96" ht="14.25" customHeight="1" x14ac:dyDescent="0.25">
      <c r="A87" s="47" t="s">
        <v>185</v>
      </c>
      <c r="B87" s="48">
        <v>46196</v>
      </c>
      <c r="C87" s="49"/>
      <c r="D87" s="50"/>
      <c r="E87" s="51" t="s">
        <v>91</v>
      </c>
      <c r="F87" s="52">
        <v>0</v>
      </c>
      <c r="G87" s="52">
        <v>1</v>
      </c>
      <c r="H87" s="53" t="s">
        <v>74</v>
      </c>
      <c r="I87" s="24"/>
      <c r="J87" s="25" t="str">
        <f t="shared" si="429"/>
        <v>Argelia</v>
      </c>
      <c r="K87" s="25" t="str">
        <f t="shared" si="430"/>
        <v/>
      </c>
      <c r="L87" s="25" t="str">
        <f t="shared" si="431"/>
        <v/>
      </c>
      <c r="M87" s="25" t="str">
        <f t="shared" si="432"/>
        <v>Jordania</v>
      </c>
      <c r="N87" s="24"/>
      <c r="O87" s="27" t="str">
        <f>+H85</f>
        <v>Jordania</v>
      </c>
      <c r="P87" s="25">
        <f>+COUNTIF(J84:J89,"="&amp;$O87)</f>
        <v>0</v>
      </c>
      <c r="Q87" s="25">
        <f>+COUNTIF(K84:L89,"="&amp;$O87)</f>
        <v>0</v>
      </c>
      <c r="R87" s="25">
        <f>+COUNTIF(M84:M89,"="&amp;$O87)</f>
        <v>3</v>
      </c>
      <c r="S87" s="25">
        <f t="shared" si="433"/>
        <v>-5</v>
      </c>
      <c r="T87" s="25">
        <f>+SUMIF(E84:E89,$O87,F84:F89)+SUMIF(H84:H89,$O87,G84:G89)</f>
        <v>0</v>
      </c>
      <c r="U87" s="25">
        <f>+SUMIF(E84:E89,$O87,G84:G89)+SUMIF(H84:H89,$O87,F84:F89)</f>
        <v>5</v>
      </c>
      <c r="V87" s="54">
        <f t="shared" ca="1" si="434"/>
        <v>-4.9873000000000001E-3</v>
      </c>
      <c r="W87" s="27" t="str">
        <f t="shared" si="435"/>
        <v>Jordania</v>
      </c>
      <c r="X87" s="24"/>
      <c r="Y87" s="84" t="str">
        <f>+CONCATENATE("4",RIGHT(E83,1))</f>
        <v>4J</v>
      </c>
      <c r="Z87" s="85" t="str">
        <f ca="1">+VLOOKUP(AL87,V84:W87,2,FALSE)</f>
        <v>Jordania</v>
      </c>
      <c r="AA87" s="86">
        <f t="shared" ca="1" si="436"/>
        <v>3</v>
      </c>
      <c r="AB87" s="87">
        <f t="shared" ca="1" si="437"/>
        <v>0</v>
      </c>
      <c r="AC87" s="87">
        <f t="shared" ca="1" si="437"/>
        <v>0</v>
      </c>
      <c r="AD87" s="87">
        <f t="shared" ca="1" si="437"/>
        <v>3</v>
      </c>
      <c r="AE87" s="87">
        <f t="shared" ca="1" si="437"/>
        <v>-5</v>
      </c>
      <c r="AF87" s="87">
        <f t="shared" ca="1" si="437"/>
        <v>0</v>
      </c>
      <c r="AG87" s="87">
        <f t="shared" ca="1" si="437"/>
        <v>5</v>
      </c>
      <c r="AH87" s="88">
        <f t="shared" ca="1" si="437"/>
        <v>-4.9873000000000001E-3</v>
      </c>
      <c r="AI87" s="83"/>
      <c r="AJ87" s="24"/>
      <c r="AK87" s="24"/>
      <c r="AL87" s="54">
        <f ca="1">+LARGE(V84:V87,4)</f>
        <v>-4.9873000000000001E-3</v>
      </c>
      <c r="AM87" s="61">
        <f t="shared" ca="1" si="438"/>
        <v>0</v>
      </c>
      <c r="AN87" s="24"/>
      <c r="AO87" s="24"/>
      <c r="AP87" s="62" t="str">
        <f t="shared" si="439"/>
        <v>Jordania</v>
      </c>
      <c r="AQ87" s="28">
        <f t="shared" ca="1" si="440"/>
        <v>-5.0000000000000001E-3</v>
      </c>
      <c r="AR87" s="24"/>
      <c r="AS87" s="63">
        <f t="shared" si="441"/>
        <v>4</v>
      </c>
      <c r="AT87" s="63">
        <f ca="1">+IF(AND(AM88="si",OR(AR84=1,AR85=1,AR86=1)),1,0)</f>
        <v>0</v>
      </c>
      <c r="AU87" s="89" t="str">
        <f t="shared" si="442"/>
        <v>Jordania</v>
      </c>
      <c r="AV87" s="191">
        <v>4</v>
      </c>
      <c r="AW87" s="24"/>
      <c r="AX87" s="24" t="str">
        <f>+Y83</f>
        <v>Grupo J</v>
      </c>
      <c r="AY87" s="25" t="str">
        <f t="shared" si="443"/>
        <v>Jordania</v>
      </c>
      <c r="AZ87" s="29">
        <f t="shared" si="444"/>
        <v>0</v>
      </c>
      <c r="BA87" s="29">
        <f t="shared" si="445"/>
        <v>1</v>
      </c>
      <c r="BB87" s="29">
        <f>+IF(AZ87=BF82,ROW()*0.001,AZ87)</f>
        <v>0</v>
      </c>
      <c r="BC87" s="29">
        <f t="shared" si="446"/>
        <v>9</v>
      </c>
      <c r="BD87" s="29"/>
      <c r="BE87" s="26" t="e">
        <f ca="1">+IF(OR(BF87="-",BI87="-",BF82=0),"-","OK")</f>
        <v>#NAME?</v>
      </c>
      <c r="BF87" s="66" t="e">
        <f t="array" aca="1" ref="BF87" ca="1">+IF(_xludf.XLOOKUP($E87,$AY:$AY,$AZ:$AZ,"-",0)=BF82,$E87,"-")</f>
        <v>#NAME?</v>
      </c>
      <c r="BG87" s="67">
        <f t="shared" si="447"/>
        <v>0</v>
      </c>
      <c r="BH87" s="68">
        <f t="shared" si="448"/>
        <v>1</v>
      </c>
      <c r="BI87" s="66" t="e">
        <f t="array" aca="1" ref="BI87" ca="1">+IF(_xludf.XLOOKUP($H87,$AY:$AY,$AZ:$AZ,"-",0)=BF82,$H87,"-")</f>
        <v>#NAME?</v>
      </c>
      <c r="BJ87" s="24"/>
      <c r="BK87" s="27" t="str">
        <f t="shared" si="449"/>
        <v>Jordania</v>
      </c>
      <c r="BL87" s="27">
        <f t="shared" ca="1" si="450"/>
        <v>0</v>
      </c>
      <c r="BM87" s="25">
        <f t="shared" si="451"/>
        <v>0</v>
      </c>
      <c r="BN87" s="25">
        <f t="shared" si="452"/>
        <v>0</v>
      </c>
      <c r="BO87" s="25">
        <f t="shared" ca="1" si="453"/>
        <v>0</v>
      </c>
      <c r="BP87" s="25">
        <f t="shared" ca="1" si="454"/>
        <v>0</v>
      </c>
      <c r="BQ87" s="25">
        <f t="shared" ca="1" si="455"/>
        <v>0</v>
      </c>
      <c r="BR87" s="25">
        <f t="shared" ca="1" si="456"/>
        <v>0</v>
      </c>
      <c r="BS87" s="69">
        <f t="shared" ca="1" si="457"/>
        <v>0</v>
      </c>
      <c r="BT87" s="29">
        <f t="array" aca="1" ref="BT87" ca="1">+IF(BL87=0,0,_xludf.XLOOKUP(BS87,BV84:BV87,BW84:BW87))</f>
        <v>0</v>
      </c>
      <c r="BU87" s="54"/>
      <c r="BV87" s="25">
        <f ca="1">+LARGE(BS84:BS87,4)</f>
        <v>0</v>
      </c>
      <c r="BW87" s="25">
        <f t="shared" si="458"/>
        <v>0</v>
      </c>
      <c r="BX87" s="24">
        <v>0</v>
      </c>
      <c r="BY87" s="26" t="e">
        <f t="shared" ca="1" si="459"/>
        <v>#NAME?</v>
      </c>
      <c r="BZ87" s="66" t="e">
        <f t="array" aca="1" ref="BZ87" ca="1">+IF(_xludf.XLOOKUP($E87,$AY:$AY,$AZ:$AZ,"-",0)=BZ82,$E87,"-")</f>
        <v>#NAME?</v>
      </c>
      <c r="CA87" s="67">
        <f t="shared" si="460"/>
        <v>0</v>
      </c>
      <c r="CB87" s="68">
        <f t="shared" si="461"/>
        <v>1</v>
      </c>
      <c r="CC87" s="66" t="e">
        <f t="array" aca="1" ref="CC87" ca="1">+IF(_xludf.XLOOKUP($H87,$AY:$AY,$AZ:$AZ,"-",0)=BZ82,$H87,"-")</f>
        <v>#NAME?</v>
      </c>
      <c r="CD87" s="24"/>
      <c r="CE87" s="27" t="str">
        <f t="shared" si="462"/>
        <v>Jordania</v>
      </c>
      <c r="CF87" s="27">
        <f t="shared" ca="1" si="463"/>
        <v>0</v>
      </c>
      <c r="CG87" s="25">
        <f t="shared" si="464"/>
        <v>0</v>
      </c>
      <c r="CH87" s="25">
        <f t="shared" si="465"/>
        <v>0</v>
      </c>
      <c r="CI87" s="25">
        <f t="shared" ca="1" si="466"/>
        <v>0</v>
      </c>
      <c r="CJ87" s="25">
        <f t="shared" ca="1" si="467"/>
        <v>0</v>
      </c>
      <c r="CK87" s="25">
        <f t="shared" ca="1" si="468"/>
        <v>0</v>
      </c>
      <c r="CL87" s="25">
        <f t="shared" ca="1" si="469"/>
        <v>0</v>
      </c>
      <c r="CM87" s="69">
        <f t="shared" ca="1" si="470"/>
        <v>0</v>
      </c>
      <c r="CN87" s="29">
        <f t="array" aca="1" ref="CN87" ca="1">+IF(CF87=0,0,_xludf.XLOOKUP(CM87,CP84:CP87,CQ84:CQ87))</f>
        <v>0</v>
      </c>
      <c r="CO87" s="54"/>
      <c r="CP87" s="25">
        <f ca="1">+LARGE(CM84:CM87,4)</f>
        <v>0</v>
      </c>
      <c r="CQ87" s="25">
        <f t="shared" si="471"/>
        <v>0</v>
      </c>
      <c r="CR87" s="24">
        <v>0</v>
      </c>
    </row>
    <row r="88" spans="1:96" ht="14.25" customHeight="1" x14ac:dyDescent="0.25">
      <c r="A88" s="47" t="s">
        <v>186</v>
      </c>
      <c r="B88" s="48">
        <v>46200</v>
      </c>
      <c r="C88" s="49"/>
      <c r="D88" s="50"/>
      <c r="E88" s="51" t="s">
        <v>91</v>
      </c>
      <c r="F88" s="52">
        <v>0</v>
      </c>
      <c r="G88" s="52">
        <v>2</v>
      </c>
      <c r="H88" s="53" t="s">
        <v>50</v>
      </c>
      <c r="I88" s="24"/>
      <c r="J88" s="25" t="str">
        <f t="shared" si="429"/>
        <v>Argentina</v>
      </c>
      <c r="K88" s="25" t="str">
        <f t="shared" si="430"/>
        <v/>
      </c>
      <c r="L88" s="25" t="str">
        <f t="shared" si="431"/>
        <v/>
      </c>
      <c r="M88" s="25" t="str">
        <f t="shared" si="432"/>
        <v>Jordania</v>
      </c>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6" t="s">
        <v>122</v>
      </c>
      <c r="AM88" s="61" t="str">
        <f ca="1">+IF(SUM(AA84:AA87)=12,"si","no")</f>
        <v>si</v>
      </c>
      <c r="AN88" s="24"/>
      <c r="AO88" s="24"/>
      <c r="AP88" s="24"/>
      <c r="AQ88" s="24"/>
      <c r="AR88" s="24"/>
      <c r="AS88" s="24"/>
      <c r="AT88" s="24"/>
      <c r="AU88" s="24"/>
      <c r="AV88" s="24"/>
      <c r="AW88" s="24"/>
      <c r="AX88" s="24"/>
      <c r="AY88" s="24"/>
      <c r="AZ88" s="24"/>
      <c r="BA88" s="24"/>
      <c r="BB88" s="24"/>
      <c r="BC88" s="24"/>
      <c r="BD88" s="24"/>
      <c r="BE88" s="26" t="e">
        <f ca="1">+IF(OR(BF88="-",BI88="-",BF82=0),"-","OK")</f>
        <v>#NAME?</v>
      </c>
      <c r="BF88" s="66" t="e">
        <f t="array" aca="1" ref="BF88" ca="1">+IF(_xludf.XLOOKUP($E88,$AY:$AY,$AZ:$AZ,"-",0)=BF82,$E88,"-")</f>
        <v>#NAME?</v>
      </c>
      <c r="BG88" s="67">
        <f t="shared" si="447"/>
        <v>0</v>
      </c>
      <c r="BH88" s="68">
        <f t="shared" si="448"/>
        <v>2</v>
      </c>
      <c r="BI88" s="66" t="e">
        <f t="array" aca="1" ref="BI88" ca="1">+IF(_xludf.XLOOKUP($H88,$AY:$AY,$AZ:$AZ,"-",0)=BF82,$H88,"-")</f>
        <v>#NAME?</v>
      </c>
      <c r="BJ88" s="24"/>
      <c r="BK88" s="24"/>
      <c r="BL88" s="24"/>
      <c r="BM88" s="24"/>
      <c r="BN88" s="24"/>
      <c r="BO88" s="24"/>
      <c r="BP88" s="24"/>
      <c r="BQ88" s="24"/>
      <c r="BR88" s="24"/>
      <c r="BS88" s="24"/>
      <c r="BT88" s="24"/>
      <c r="BU88" s="24"/>
      <c r="BV88" s="24"/>
      <c r="BW88" s="24"/>
      <c r="BX88" s="24"/>
      <c r="BY88" s="26" t="e">
        <f t="shared" ca="1" si="459"/>
        <v>#NAME?</v>
      </c>
      <c r="BZ88" s="66" t="e">
        <f t="array" aca="1" ref="BZ88" ca="1">+IF(_xludf.XLOOKUP($E88,$AY:$AY,$AZ:$AZ,"-",0)=BZ82,$E88,"-")</f>
        <v>#NAME?</v>
      </c>
      <c r="CA88" s="67">
        <f t="shared" si="460"/>
        <v>0</v>
      </c>
      <c r="CB88" s="68">
        <f t="shared" si="461"/>
        <v>2</v>
      </c>
      <c r="CC88" s="66" t="e">
        <f t="array" aca="1" ref="CC88" ca="1">+IF(_xludf.XLOOKUP($H88,$AY:$AY,$AZ:$AZ,"-",0)=BZ82,$H88,"-")</f>
        <v>#NAME?</v>
      </c>
      <c r="CD88" s="24"/>
      <c r="CE88" s="24"/>
      <c r="CF88" s="24"/>
      <c r="CG88" s="24"/>
      <c r="CH88" s="24"/>
      <c r="CI88" s="24"/>
      <c r="CJ88" s="24"/>
      <c r="CK88" s="24"/>
      <c r="CL88" s="24"/>
      <c r="CM88" s="24"/>
      <c r="CN88" s="24"/>
      <c r="CO88" s="24"/>
      <c r="CP88" s="24"/>
      <c r="CQ88" s="24"/>
      <c r="CR88" s="24"/>
    </row>
    <row r="89" spans="1:96" ht="14.25" customHeight="1" x14ac:dyDescent="0.25">
      <c r="A89" s="47" t="s">
        <v>187</v>
      </c>
      <c r="B89" s="48">
        <v>46200</v>
      </c>
      <c r="C89" s="49"/>
      <c r="D89" s="50"/>
      <c r="E89" s="51" t="s">
        <v>74</v>
      </c>
      <c r="F89" s="52">
        <v>0</v>
      </c>
      <c r="G89" s="52">
        <v>1</v>
      </c>
      <c r="H89" s="53" t="s">
        <v>72</v>
      </c>
      <c r="I89" s="24"/>
      <c r="J89" s="25" t="str">
        <f t="shared" si="429"/>
        <v>Austria</v>
      </c>
      <c r="K89" s="25" t="str">
        <f t="shared" si="430"/>
        <v/>
      </c>
      <c r="L89" s="25" t="str">
        <f t="shared" si="431"/>
        <v/>
      </c>
      <c r="M89" s="25" t="str">
        <f t="shared" si="432"/>
        <v>Argelia</v>
      </c>
      <c r="N89" s="24"/>
      <c r="O89" s="24"/>
      <c r="P89" s="24"/>
      <c r="Q89" s="24"/>
      <c r="R89" s="24"/>
      <c r="S89" s="24"/>
      <c r="T89" s="24"/>
      <c r="U89" s="24"/>
      <c r="V89" s="24"/>
      <c r="W89" s="24"/>
      <c r="X89" s="24"/>
      <c r="Y89" s="62" t="s">
        <v>124</v>
      </c>
      <c r="Z89" s="24"/>
      <c r="AA89" s="24"/>
      <c r="AB89" s="24"/>
      <c r="AC89" s="24"/>
      <c r="AD89" s="24"/>
      <c r="AE89" s="24"/>
      <c r="AF89" s="24"/>
      <c r="AG89" s="24"/>
      <c r="AH89" s="24"/>
      <c r="AI89" s="24"/>
      <c r="AJ89" s="24"/>
      <c r="AK89" s="24"/>
      <c r="AL89" s="24"/>
      <c r="AM89" s="24"/>
      <c r="AN89" s="24"/>
      <c r="AO89" s="24"/>
      <c r="AP89" s="24"/>
      <c r="AQ89" s="24"/>
      <c r="AR89" s="24">
        <f ca="1">+IF(AND(AM88="si",OR(AR84=1,AR85=1,AR86=1)),1,0)</f>
        <v>0</v>
      </c>
      <c r="AS89" s="24"/>
      <c r="AT89" s="24"/>
      <c r="AU89" s="24"/>
      <c r="AV89" s="24"/>
      <c r="AW89" s="24"/>
      <c r="AX89" s="24"/>
      <c r="AY89" s="24"/>
      <c r="AZ89" s="24"/>
      <c r="BA89" s="24"/>
      <c r="BB89" s="24"/>
      <c r="BC89" s="24"/>
      <c r="BD89" s="24"/>
      <c r="BE89" s="26" t="e">
        <f ca="1">+IF(OR(BF89="-",BI89="-",BF82=0),"-","OK")</f>
        <v>#NAME?</v>
      </c>
      <c r="BF89" s="66" t="e">
        <f t="array" aca="1" ref="BF89" ca="1">+IF(_xludf.XLOOKUP($E89,$AY:$AY,$AZ:$AZ,"-",0)=BF82,$E89,"-")</f>
        <v>#NAME?</v>
      </c>
      <c r="BG89" s="67">
        <f t="shared" si="447"/>
        <v>0</v>
      </c>
      <c r="BH89" s="68">
        <f t="shared" si="448"/>
        <v>1</v>
      </c>
      <c r="BI89" s="66" t="e">
        <f t="array" aca="1" ref="BI89" ca="1">+IF(_xludf.XLOOKUP($H89,$AY:$AY,$AZ:$AZ,"-",0)=BF82,$H89,"-")</f>
        <v>#NAME?</v>
      </c>
      <c r="BJ89" s="24"/>
      <c r="BK89" s="24"/>
      <c r="BL89" s="24"/>
      <c r="BM89" s="24"/>
      <c r="BN89" s="24"/>
      <c r="BO89" s="24"/>
      <c r="BP89" s="24"/>
      <c r="BQ89" s="24"/>
      <c r="BR89" s="24"/>
      <c r="BS89" s="24"/>
      <c r="BT89" s="24"/>
      <c r="BU89" s="24"/>
      <c r="BV89" s="24"/>
      <c r="BW89" s="24"/>
      <c r="BX89" s="24"/>
      <c r="BY89" s="26" t="e">
        <f t="shared" ca="1" si="459"/>
        <v>#NAME?</v>
      </c>
      <c r="BZ89" s="66" t="e">
        <f t="array" aca="1" ref="BZ89" ca="1">+IF(_xludf.XLOOKUP($E89,$AY:$AY,$AZ:$AZ,"-",0)=BZ82,$E89,"-")</f>
        <v>#NAME?</v>
      </c>
      <c r="CA89" s="67">
        <f t="shared" si="460"/>
        <v>0</v>
      </c>
      <c r="CB89" s="68">
        <f t="shared" si="461"/>
        <v>1</v>
      </c>
      <c r="CC89" s="66" t="e">
        <f t="array" aca="1" ref="CC89" ca="1">+IF(_xludf.XLOOKUP($H89,$AY:$AY,$AZ:$AZ,"-",0)=BZ82,$H89,"-")</f>
        <v>#NAME?</v>
      </c>
      <c r="CD89" s="24"/>
      <c r="CE89" s="24"/>
      <c r="CF89" s="24"/>
      <c r="CG89" s="24"/>
      <c r="CH89" s="24"/>
      <c r="CI89" s="24"/>
      <c r="CJ89" s="24"/>
      <c r="CK89" s="24"/>
      <c r="CL89" s="24"/>
      <c r="CM89" s="24"/>
      <c r="CN89" s="24"/>
      <c r="CO89" s="24"/>
      <c r="CP89" s="24"/>
      <c r="CQ89" s="24"/>
      <c r="CR89" s="24"/>
    </row>
    <row r="90" spans="1:96" ht="14.25" customHeight="1" x14ac:dyDescent="0.25">
      <c r="A90" s="91"/>
      <c r="B90" s="92"/>
      <c r="C90" s="91"/>
      <c r="D90" s="93"/>
      <c r="E90" s="94"/>
      <c r="F90" s="91"/>
      <c r="G90" s="91"/>
      <c r="H90" s="95"/>
      <c r="I90" s="93"/>
      <c r="J90" s="91"/>
      <c r="K90" s="91"/>
      <c r="L90" s="91"/>
      <c r="M90" s="91"/>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1"/>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row>
    <row r="91" spans="1:96" ht="14.25" customHeight="1" x14ac:dyDescent="0.25">
      <c r="A91" s="24"/>
      <c r="B91" s="25"/>
      <c r="C91" s="25"/>
      <c r="D91" s="24"/>
      <c r="E91" s="26"/>
      <c r="F91" s="25"/>
      <c r="G91" s="25"/>
      <c r="H91" s="27"/>
      <c r="I91" s="24"/>
      <c r="J91" s="25"/>
      <c r="K91" s="25"/>
      <c r="L91" s="25"/>
      <c r="M91" s="25"/>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5"/>
      <c r="BF91" s="28">
        <f>+IF(BA93&gt;1,AZ93,IF(BA94&gt;1,AZ94,IF(BA95&gt;1,AZ95,IF(BA96&gt;1,AZ96,"-"))))</f>
        <v>7</v>
      </c>
      <c r="BG91" s="24"/>
      <c r="BH91" s="24"/>
      <c r="BI91" s="24"/>
      <c r="BJ91" s="24"/>
      <c r="BK91" s="24"/>
      <c r="BL91" s="24"/>
      <c r="BM91" s="24"/>
      <c r="BN91" s="24"/>
      <c r="BO91" s="24"/>
      <c r="BP91" s="24"/>
      <c r="BQ91" s="24"/>
      <c r="BR91" s="24"/>
      <c r="BS91" s="24"/>
      <c r="BT91" s="24"/>
      <c r="BU91" s="24"/>
      <c r="BV91" s="24"/>
      <c r="BW91" s="24">
        <v>10</v>
      </c>
      <c r="BX91" s="24"/>
      <c r="BY91" s="24"/>
      <c r="BZ91" s="29">
        <f>+IF(BC93&gt;1,BB93,IF(BC94&gt;1,BB94,IF(BC95&gt;1,BB95,IF(BC96&gt;1,BB96,"-"))))</f>
        <v>0</v>
      </c>
      <c r="CA91" s="24"/>
      <c r="CB91" s="24"/>
      <c r="CC91" s="24"/>
      <c r="CD91" s="24"/>
      <c r="CE91" s="24"/>
      <c r="CF91" s="24"/>
      <c r="CG91" s="24"/>
      <c r="CH91" s="24"/>
      <c r="CI91" s="24"/>
      <c r="CJ91" s="24"/>
      <c r="CK91" s="24"/>
      <c r="CL91" s="24"/>
      <c r="CM91" s="24"/>
      <c r="CN91" s="24"/>
      <c r="CO91" s="24"/>
      <c r="CP91" s="24"/>
      <c r="CQ91" s="24">
        <v>10</v>
      </c>
      <c r="CR91" s="24"/>
    </row>
    <row r="92" spans="1:96" ht="14.25" customHeight="1" x14ac:dyDescent="0.25">
      <c r="A92" s="192" t="s">
        <v>100</v>
      </c>
      <c r="B92" s="193" t="s">
        <v>101</v>
      </c>
      <c r="C92" s="193" t="s">
        <v>102</v>
      </c>
      <c r="D92" s="194"/>
      <c r="E92" s="195" t="s">
        <v>188</v>
      </c>
      <c r="F92" s="196"/>
      <c r="G92" s="196"/>
      <c r="H92" s="197"/>
      <c r="I92" s="24"/>
      <c r="J92" s="25" t="s">
        <v>104</v>
      </c>
      <c r="K92" s="25" t="s">
        <v>105</v>
      </c>
      <c r="L92" s="25" t="s">
        <v>105</v>
      </c>
      <c r="M92" s="25" t="s">
        <v>106</v>
      </c>
      <c r="N92" s="24"/>
      <c r="O92" s="27" t="str">
        <f t="shared" ref="O92:O93" si="472">+E92</f>
        <v>Grupo K</v>
      </c>
      <c r="P92" s="25" t="s">
        <v>104</v>
      </c>
      <c r="Q92" s="25" t="s">
        <v>105</v>
      </c>
      <c r="R92" s="25" t="s">
        <v>106</v>
      </c>
      <c r="S92" s="25" t="s">
        <v>107</v>
      </c>
      <c r="T92" s="25" t="s">
        <v>108</v>
      </c>
      <c r="U92" s="25" t="s">
        <v>109</v>
      </c>
      <c r="V92" s="25" t="s">
        <v>0</v>
      </c>
      <c r="W92" s="25"/>
      <c r="X92" s="24"/>
      <c r="Y92" s="478" t="s">
        <v>188</v>
      </c>
      <c r="Z92" s="475"/>
      <c r="AA92" s="198" t="s">
        <v>110</v>
      </c>
      <c r="AB92" s="199" t="s">
        <v>104</v>
      </c>
      <c r="AC92" s="199" t="s">
        <v>105</v>
      </c>
      <c r="AD92" s="199" t="s">
        <v>106</v>
      </c>
      <c r="AE92" s="199" t="s">
        <v>107</v>
      </c>
      <c r="AF92" s="199" t="s">
        <v>108</v>
      </c>
      <c r="AG92" s="199" t="s">
        <v>109</v>
      </c>
      <c r="AH92" s="200" t="s">
        <v>0</v>
      </c>
      <c r="AI92" s="168"/>
      <c r="AJ92" s="24"/>
      <c r="AK92" s="24"/>
      <c r="AL92" s="25" t="s">
        <v>0</v>
      </c>
      <c r="AM92" s="25" t="s">
        <v>111</v>
      </c>
      <c r="AN92" s="25"/>
      <c r="AO92" s="25"/>
      <c r="AP92" s="25"/>
      <c r="AQ92" s="25"/>
      <c r="AR92" s="25"/>
      <c r="AS92" s="25"/>
      <c r="AT92" s="25"/>
      <c r="AU92" s="25"/>
      <c r="AV92" s="24"/>
      <c r="AW92" s="24"/>
      <c r="AX92" s="24"/>
      <c r="AY92" s="25" t="s">
        <v>112</v>
      </c>
      <c r="AZ92" s="25" t="s">
        <v>0</v>
      </c>
      <c r="BA92" s="25" t="s">
        <v>113</v>
      </c>
      <c r="BB92" s="25"/>
      <c r="BC92" s="25"/>
      <c r="BD92" s="25"/>
      <c r="BE92" s="25"/>
      <c r="BF92" s="24"/>
      <c r="BG92" s="24"/>
      <c r="BH92" s="24"/>
      <c r="BI92" s="24"/>
      <c r="BJ92" s="24"/>
      <c r="BK92" s="27"/>
      <c r="BL92" s="27" t="s">
        <v>110</v>
      </c>
      <c r="BM92" s="25" t="s">
        <v>104</v>
      </c>
      <c r="BN92" s="25" t="s">
        <v>105</v>
      </c>
      <c r="BO92" s="25" t="s">
        <v>106</v>
      </c>
      <c r="BP92" s="25" t="s">
        <v>107</v>
      </c>
      <c r="BQ92" s="25" t="s">
        <v>108</v>
      </c>
      <c r="BR92" s="25" t="s">
        <v>109</v>
      </c>
      <c r="BS92" s="25" t="s">
        <v>0</v>
      </c>
      <c r="BT92" s="25" t="s">
        <v>114</v>
      </c>
      <c r="BU92" s="25"/>
      <c r="BV92" s="25" t="s">
        <v>115</v>
      </c>
      <c r="BW92" s="25" t="s">
        <v>114</v>
      </c>
      <c r="BX92" s="24"/>
      <c r="BY92" s="24"/>
      <c r="BZ92" s="24"/>
      <c r="CA92" s="24"/>
      <c r="CB92" s="24"/>
      <c r="CC92" s="24"/>
      <c r="CD92" s="24"/>
      <c r="CE92" s="27"/>
      <c r="CF92" s="27" t="s">
        <v>110</v>
      </c>
      <c r="CG92" s="25" t="s">
        <v>104</v>
      </c>
      <c r="CH92" s="25" t="s">
        <v>105</v>
      </c>
      <c r="CI92" s="25" t="s">
        <v>106</v>
      </c>
      <c r="CJ92" s="25" t="s">
        <v>107</v>
      </c>
      <c r="CK92" s="25" t="s">
        <v>108</v>
      </c>
      <c r="CL92" s="25" t="s">
        <v>109</v>
      </c>
      <c r="CM92" s="25" t="s">
        <v>0</v>
      </c>
      <c r="CN92" s="25" t="s">
        <v>114</v>
      </c>
      <c r="CO92" s="25"/>
      <c r="CP92" s="25" t="s">
        <v>115</v>
      </c>
      <c r="CQ92" s="25" t="s">
        <v>114</v>
      </c>
      <c r="CR92" s="24"/>
    </row>
    <row r="93" spans="1:96" ht="14.25" customHeight="1" x14ac:dyDescent="0.25">
      <c r="A93" s="47" t="s">
        <v>189</v>
      </c>
      <c r="B93" s="48">
        <v>46190</v>
      </c>
      <c r="C93" s="49"/>
      <c r="D93" s="50"/>
      <c r="E93" s="51" t="s">
        <v>52</v>
      </c>
      <c r="F93" s="52">
        <v>3</v>
      </c>
      <c r="G93" s="52">
        <v>0</v>
      </c>
      <c r="H93" s="53" t="s">
        <v>87</v>
      </c>
      <c r="I93" s="24"/>
      <c r="J93" s="25" t="str">
        <f t="shared" ref="J93:J98" si="473">IF(OR(ISBLANK(F93),ISBLANK(G93)),"",IF(F93&gt;G93,E93,IF(G93&gt;F93,H93,"")))</f>
        <v>Portugal</v>
      </c>
      <c r="K93" s="25" t="str">
        <f t="shared" ref="K93:K98" si="474">IF(OR(ISBLANK(F93),ISBLANK(G93)),"",IF(F93=G93,E93,""))</f>
        <v/>
      </c>
      <c r="L93" s="25" t="str">
        <f t="shared" ref="L93:L98" si="475">IF(OR(ISBLANK(F93),ISBLANK(G93)),"",IF(F93=G93,H93,""))</f>
        <v/>
      </c>
      <c r="M93" s="25" t="str">
        <f t="shared" ref="M93:M98" si="476">IF(OR(ISBLANK(F93),ISBLANK(G93)),"",IF(F93&lt;G93,E93,IF(G93&lt;F93,H93,"")))</f>
        <v>Congo</v>
      </c>
      <c r="N93" s="24"/>
      <c r="O93" s="27" t="str">
        <f t="shared" si="472"/>
        <v>Portugal</v>
      </c>
      <c r="P93" s="25">
        <f>+COUNTIF(J93:J98,"="&amp;$O93)</f>
        <v>2</v>
      </c>
      <c r="Q93" s="25">
        <f>+COUNTIF(K93:L98,"="&amp;$O93)</f>
        <v>1</v>
      </c>
      <c r="R93" s="25">
        <f>+COUNTIF(M93:M98,"="&amp;$O93)</f>
        <v>0</v>
      </c>
      <c r="S93" s="25">
        <f t="shared" ref="S93:S96" si="477">+T93-U93</f>
        <v>5</v>
      </c>
      <c r="T93" s="25">
        <f>+SUMIF(E93:E98,$O93,F93:F98)+SUMIF(H93:H98,$O93,G93:G98)</f>
        <v>7</v>
      </c>
      <c r="U93" s="25">
        <f>+SUMIF(E93:E98,$O93,G93:G98)+SUMIF(H93:H98,$O93,F93:F98)</f>
        <v>2</v>
      </c>
      <c r="V93" s="54">
        <f t="shared" ref="V93:V96" ca="1" si="478">+P93*3+Q93*1+BT93+CN93+S93/1000+T93/10000+AV93/1000000+ROW()/10000000</f>
        <v>7.0057093000000004</v>
      </c>
      <c r="W93" s="27" t="str">
        <f t="shared" ref="W93:W96" si="479">+O93</f>
        <v>Portugal</v>
      </c>
      <c r="X93" s="24"/>
      <c r="Y93" s="55" t="str">
        <f>+CONCATENATE("1",RIGHT(E92,1))</f>
        <v>1K</v>
      </c>
      <c r="Z93" s="56" t="str">
        <f ca="1">+VLOOKUP(AL93,V93:W96,2,FALSE)</f>
        <v>Portugal</v>
      </c>
      <c r="AA93" s="57">
        <f t="shared" ref="AA93:AA96" ca="1" si="480">+SUM(AB93:AD93)</f>
        <v>3</v>
      </c>
      <c r="AB93" s="58">
        <f t="shared" ref="AB93:AH96" ca="1" si="481">+_xlfn.XLOOKUP($Z93,$O:$O,P:P,"Error",0)</f>
        <v>2</v>
      </c>
      <c r="AC93" s="58">
        <f t="shared" ca="1" si="481"/>
        <v>1</v>
      </c>
      <c r="AD93" s="58">
        <f t="shared" ca="1" si="481"/>
        <v>0</v>
      </c>
      <c r="AE93" s="58">
        <f t="shared" ca="1" si="481"/>
        <v>5</v>
      </c>
      <c r="AF93" s="58">
        <f t="shared" ca="1" si="481"/>
        <v>7</v>
      </c>
      <c r="AG93" s="58">
        <f t="shared" ca="1" si="481"/>
        <v>2</v>
      </c>
      <c r="AH93" s="59">
        <f t="shared" ca="1" si="481"/>
        <v>7.0057093000000004</v>
      </c>
      <c r="AI93" s="60"/>
      <c r="AJ93" s="24"/>
      <c r="AK93" s="24"/>
      <c r="AL93" s="54">
        <f ca="1">+LARGE(V93:V96,1)</f>
        <v>7.0057093000000004</v>
      </c>
      <c r="AM93" s="61">
        <f t="shared" ref="AM93:AM96" ca="1" si="482">+(AH93-AL93)*100000000000000000000</f>
        <v>0</v>
      </c>
      <c r="AN93" s="24"/>
      <c r="AO93" s="24"/>
      <c r="AP93" s="62" t="str">
        <f t="shared" ref="AP93:AP96" si="483">+O93</f>
        <v>Portugal</v>
      </c>
      <c r="AQ93" s="28">
        <f t="shared" ref="AQ93:AQ96" ca="1" si="484">+P93*3+Q93*1+BT93+CN93+S93/1000+T93/10000</f>
        <v>7.0057</v>
      </c>
      <c r="AR93" s="24" t="b">
        <f ca="1">+IF(OR(AQ93=AQ94,AQ93=AQ95,AQ93=AQ96),1)</f>
        <v>0</v>
      </c>
      <c r="AS93" s="63">
        <f t="shared" ref="AS93:AS96" si="485">+AV93</f>
        <v>0</v>
      </c>
      <c r="AT93" s="63">
        <f ca="1">+IF(AND(AM97="si",OR(AR93=1,AR94=1,AR95=1)),1,0)</f>
        <v>0</v>
      </c>
      <c r="AU93" s="64" t="str">
        <f t="shared" ref="AU93:AU96" si="486">+O93</f>
        <v>Portugal</v>
      </c>
      <c r="AV93" s="65"/>
      <c r="AW93" s="24"/>
      <c r="AX93" s="24" t="str">
        <f>+Y92</f>
        <v>Grupo K</v>
      </c>
      <c r="AY93" s="25" t="str">
        <f t="shared" ref="AY93:AY96" si="487">+O93</f>
        <v>Portugal</v>
      </c>
      <c r="AZ93" s="29">
        <f t="shared" ref="AZ93:AZ96" si="488">+P93*3+Q93</f>
        <v>7</v>
      </c>
      <c r="BA93" s="29">
        <f t="shared" ref="BA93:BA96" si="489">+COUNTIFS($AX$1:AX93,AX93,$AZ$1:AZ93,AZ93)</f>
        <v>1</v>
      </c>
      <c r="BB93" s="29">
        <f>+IF(AZ93=BF91,ROW()*0.001,AZ93)</f>
        <v>9.2999999999999999E-2</v>
      </c>
      <c r="BC93" s="29">
        <f t="shared" ref="BC93:BC96" si="490">+COUNTIFS($AX$1:AZ93,AZ93,$AZ$1:BB93,BB93)</f>
        <v>1</v>
      </c>
      <c r="BD93" s="29"/>
      <c r="BE93" s="26" t="e">
        <f ca="1">+IF(OR(BF93="-",BI93="-",BF91=0),"-","OK")</f>
        <v>#NAME?</v>
      </c>
      <c r="BF93" s="66" t="e">
        <f t="array" aca="1" ref="BF93" ca="1">+IF(_xludf.XLOOKUP($E93,$AY:$AY,$AZ:$AZ,"-",0)=BF91,$E93,"-")</f>
        <v>#NAME?</v>
      </c>
      <c r="BG93" s="67">
        <f t="shared" ref="BG93:BG98" si="491">+$F93</f>
        <v>3</v>
      </c>
      <c r="BH93" s="68">
        <f t="shared" ref="BH93:BH98" si="492">+$G93</f>
        <v>0</v>
      </c>
      <c r="BI93" s="66" t="e">
        <f t="array" aca="1" ref="BI93" ca="1">+IF(_xludf.XLOOKUP($H93,$AY:$AY,$AZ:$AZ,"-",0)=BF91,$H93,"-")</f>
        <v>#NAME?</v>
      </c>
      <c r="BJ93" s="24"/>
      <c r="BK93" s="27" t="str">
        <f t="shared" ref="BK93:BK96" si="493">+O93</f>
        <v>Portugal</v>
      </c>
      <c r="BL93" s="27">
        <f t="shared" ref="BL93:BL96" ca="1" si="494">+COUNTIFS($BE:$BE,"OK",$BI:$BI,BK93)+COUNTIFS($BE:$BE,"OK",$BF:$BF,BK93)</f>
        <v>0</v>
      </c>
      <c r="BM93" s="25">
        <f t="shared" ref="BM93:BM96" ca="1" si="495">+COUNTIFS(J:J,$BK93,$BE:$BE,"OK")</f>
        <v>0</v>
      </c>
      <c r="BN93" s="25">
        <f t="shared" ref="BN93:BN96" ca="1" si="496">+COUNTIFS(K:K,$BK93,$BE:$BE,"OK")+COUNTIFS(L:L,$BK93,$BE:$BE,"OK")</f>
        <v>0</v>
      </c>
      <c r="BO93" s="25">
        <f t="shared" ref="BO93:BO96" si="497">+COUNTIFS(M:M,$BK93,$BE:$BE,"OK")</f>
        <v>0</v>
      </c>
      <c r="BP93" s="25">
        <f t="shared" ref="BP93:BP96" ca="1" si="498">+BQ93-BR93</f>
        <v>0</v>
      </c>
      <c r="BQ93" s="25">
        <f t="shared" ref="BQ93:BQ96" ca="1" si="499">+SUMIFS(BG:BG,$BE:$BE,"OK",BF:BF,$BK93)+SUMIFS(BH:BH,$BE:$BE,"OK",BI:BI,$BK93)</f>
        <v>0</v>
      </c>
      <c r="BR93" s="25">
        <f t="shared" ref="BR93:BR96" ca="1" si="500">+SUMIFS(BH:BH,$BE:$BE,"OK",BF:BF,$BK93)+SUMIFS(BG:BG,$BE:$BE,"OK",BI:BI,$BK93)</f>
        <v>0</v>
      </c>
      <c r="BS93" s="69">
        <f t="shared" ref="BS93:BS96" ca="1" si="501">+BM93*3+BN93*1+BP93/100+BQ93/10000</f>
        <v>0</v>
      </c>
      <c r="BT93" s="29">
        <f t="array" aca="1" ref="BT93" ca="1">+IF(BL93=0,0,_xludf.XLOOKUP(BS93,BV93:BV96,BW93:BW96))</f>
        <v>0</v>
      </c>
      <c r="BU93" s="54"/>
      <c r="BV93" s="25">
        <f ca="1">+LARGE(BS93:BS96,1)</f>
        <v>0</v>
      </c>
      <c r="BW93" s="25">
        <f t="shared" ref="BW93:BW96" si="502">+BX93/$BW$1</f>
        <v>0.3</v>
      </c>
      <c r="BX93" s="24">
        <v>3</v>
      </c>
      <c r="BY93" s="26" t="e">
        <f t="shared" ref="BY93:BY98" ca="1" si="503">+IF(OR(BZ93="-",CC93="-"),"-","OK")</f>
        <v>#NAME?</v>
      </c>
      <c r="BZ93" s="66" t="e">
        <f t="array" aca="1" ref="BZ93" ca="1">+IF(_xludf.XLOOKUP($E93,$AY:$AY,$AZ:$AZ,"-",0)=BZ91,$E93,"-")</f>
        <v>#NAME?</v>
      </c>
      <c r="CA93" s="67">
        <f t="shared" ref="CA93:CA98" si="504">+$F93</f>
        <v>3</v>
      </c>
      <c r="CB93" s="68">
        <f t="shared" ref="CB93:CB98" si="505">+$G93</f>
        <v>0</v>
      </c>
      <c r="CC93" s="66" t="e">
        <f t="array" aca="1" ref="CC93" ca="1">+IF(_xludf.XLOOKUP($H93,$AY:$AY,$AZ:$AZ,"-",0)=BZ91,$H93,"-")</f>
        <v>#NAME?</v>
      </c>
      <c r="CD93" s="24"/>
      <c r="CE93" s="27" t="str">
        <f t="shared" ref="CE93:CE96" si="506">+BK93</f>
        <v>Portugal</v>
      </c>
      <c r="CF93" s="27">
        <f t="shared" ref="CF93:CF96" ca="1" si="507">+COUNTIFS($BY:$BY,"OK",$CC:$CC,CE93)+COUNTIFS($BY:$BY,"OK",$BZ:$BZ,CE93)</f>
        <v>0</v>
      </c>
      <c r="CG93" s="25">
        <f t="shared" ref="CG93:CG96" si="508">+COUNTIFS(P:P,$BK93,$BY:$BY,"OK")</f>
        <v>0</v>
      </c>
      <c r="CH93" s="25">
        <f t="shared" ref="CH93:CH96" ca="1" si="509">+COUNTIFS(K:K,$BK93,$BY:$BY,"OK")+COUNTIFS(L:L,$BK93,$BY:$BY,"OK")</f>
        <v>0</v>
      </c>
      <c r="CI93" s="25">
        <f t="shared" ref="CI93:CI96" si="510">+COUNTIFS(M:M,$CE93,$BY:$BY,"OK")</f>
        <v>0</v>
      </c>
      <c r="CJ93" s="25">
        <f t="shared" ref="CJ93:CJ96" ca="1" si="511">+CK93-CL93</f>
        <v>0</v>
      </c>
      <c r="CK93" s="25">
        <f t="shared" ref="CK93:CK96" ca="1" si="512">+SUMIFS(CA:CA,$BY:$BY,"OK",BZ:BZ,$BK93)+SUMIFS(CB:CB,$BY:$BY,"OK",CC:CC,$BK93)</f>
        <v>0</v>
      </c>
      <c r="CL93" s="25">
        <f t="shared" ref="CL93:CL96" ca="1" si="513">+SUMIFS(CB:CB,$BY:$BY,"OK",BZ:BZ,$BK93)+SUMIFS(CA:CA,$BY:$BY,"OK",CC:CC,$BK93)</f>
        <v>0</v>
      </c>
      <c r="CM93" s="69">
        <f t="shared" ref="CM93:CM96" ca="1" si="514">+CG93*3+CH93*1+CJ93/100+CK93/10000</f>
        <v>0</v>
      </c>
      <c r="CN93" s="29">
        <f t="array" aca="1" ref="CN93" ca="1">+IF(CF93=0,0,_xludf.XLOOKUP(CM93,CP93:CP96,CQ93:CQ96))</f>
        <v>0</v>
      </c>
      <c r="CO93" s="54"/>
      <c r="CP93" s="25">
        <f ca="1">+LARGE(CM93:CM96,1)</f>
        <v>0</v>
      </c>
      <c r="CQ93" s="25">
        <f t="shared" ref="CQ93:CQ96" si="515">+CR93/$BW$1</f>
        <v>0.3</v>
      </c>
      <c r="CR93" s="24">
        <v>3</v>
      </c>
    </row>
    <row r="94" spans="1:96" ht="14.25" customHeight="1" x14ac:dyDescent="0.25">
      <c r="A94" s="47" t="s">
        <v>190</v>
      </c>
      <c r="B94" s="48">
        <v>46190</v>
      </c>
      <c r="C94" s="49"/>
      <c r="D94" s="50"/>
      <c r="E94" s="51" t="s">
        <v>88</v>
      </c>
      <c r="F94" s="52">
        <v>0</v>
      </c>
      <c r="G94" s="52">
        <v>2</v>
      </c>
      <c r="H94" s="53" t="s">
        <v>60</v>
      </c>
      <c r="I94" s="24"/>
      <c r="J94" s="25" t="str">
        <f t="shared" si="473"/>
        <v>Colombia</v>
      </c>
      <c r="K94" s="25" t="str">
        <f t="shared" si="474"/>
        <v/>
      </c>
      <c r="L94" s="25" t="str">
        <f t="shared" si="475"/>
        <v/>
      </c>
      <c r="M94" s="25" t="str">
        <f t="shared" si="476"/>
        <v>Uzbekistan</v>
      </c>
      <c r="N94" s="24"/>
      <c r="O94" s="27" t="str">
        <f>+H93</f>
        <v>Congo</v>
      </c>
      <c r="P94" s="25">
        <f>+COUNTIF(J93:J98,"="&amp;$O94)</f>
        <v>0</v>
      </c>
      <c r="Q94" s="25">
        <f>+COUNTIF(K93:L98,"="&amp;$O94)</f>
        <v>0</v>
      </c>
      <c r="R94" s="25">
        <f>+COUNTIF(M93:M98,"="&amp;$O94)</f>
        <v>3</v>
      </c>
      <c r="S94" s="25">
        <f t="shared" si="477"/>
        <v>-6</v>
      </c>
      <c r="T94" s="25">
        <f>+SUMIF(E93:E98,$O94,F93:F98)+SUMIF(H93:H98,$O94,G93:G98)</f>
        <v>0</v>
      </c>
      <c r="U94" s="25">
        <f>+SUMIF(E93:E98,$O94,G93:G98)+SUMIF(H93:H98,$O94,F93:F98)</f>
        <v>6</v>
      </c>
      <c r="V94" s="54">
        <f t="shared" ca="1" si="478"/>
        <v>-5.9906000000000004E-3</v>
      </c>
      <c r="W94" s="27" t="str">
        <f t="shared" si="479"/>
        <v>Congo</v>
      </c>
      <c r="X94" s="24"/>
      <c r="Y94" s="71" t="str">
        <f>+CONCATENATE("2",RIGHT(E92,1))</f>
        <v>2K</v>
      </c>
      <c r="Z94" s="72" t="str">
        <f ca="1">+VLOOKUP(AL94,V93:W96,2,FALSE)</f>
        <v>Colombia</v>
      </c>
      <c r="AA94" s="73">
        <f t="shared" ca="1" si="480"/>
        <v>3</v>
      </c>
      <c r="AB94" s="58">
        <f t="shared" ca="1" si="481"/>
        <v>2</v>
      </c>
      <c r="AC94" s="58">
        <f t="shared" ca="1" si="481"/>
        <v>1</v>
      </c>
      <c r="AD94" s="58">
        <f t="shared" ca="1" si="481"/>
        <v>0</v>
      </c>
      <c r="AE94" s="58">
        <f t="shared" ca="1" si="481"/>
        <v>4</v>
      </c>
      <c r="AF94" s="58">
        <f t="shared" ca="1" si="481"/>
        <v>6</v>
      </c>
      <c r="AG94" s="58">
        <f t="shared" ca="1" si="481"/>
        <v>2</v>
      </c>
      <c r="AH94" s="75">
        <f t="shared" ca="1" si="481"/>
        <v>7.0046096000000002</v>
      </c>
      <c r="AI94" s="60"/>
      <c r="AJ94" s="24"/>
      <c r="AK94" s="24"/>
      <c r="AL94" s="54">
        <f ca="1">+LARGE(V93:V96,2)</f>
        <v>7.0046096000000002</v>
      </c>
      <c r="AM94" s="61">
        <f t="shared" ca="1" si="482"/>
        <v>0</v>
      </c>
      <c r="AN94" s="24"/>
      <c r="AO94" s="24"/>
      <c r="AP94" s="62" t="str">
        <f t="shared" si="483"/>
        <v>Congo</v>
      </c>
      <c r="AQ94" s="28">
        <f t="shared" ca="1" si="484"/>
        <v>-6.0000000000000001E-3</v>
      </c>
      <c r="AR94" s="24" t="b">
        <f ca="1">+IF(OR(AQ94=AQ95,AQ94=AQ96),1)</f>
        <v>0</v>
      </c>
      <c r="AS94" s="63">
        <f t="shared" si="485"/>
        <v>0</v>
      </c>
      <c r="AT94" s="63">
        <f ca="1">+IF(AND(AM97="si",OR(AR93=1,AR94=1,AR95=1)),1,0)</f>
        <v>0</v>
      </c>
      <c r="AU94" s="76" t="str">
        <f t="shared" si="486"/>
        <v>Congo</v>
      </c>
      <c r="AV94" s="77"/>
      <c r="AW94" s="24"/>
      <c r="AX94" s="24" t="str">
        <f>+Y92</f>
        <v>Grupo K</v>
      </c>
      <c r="AY94" s="25" t="str">
        <f t="shared" si="487"/>
        <v>Congo</v>
      </c>
      <c r="AZ94" s="29">
        <f t="shared" si="488"/>
        <v>0</v>
      </c>
      <c r="BA94" s="29">
        <f t="shared" si="489"/>
        <v>1</v>
      </c>
      <c r="BB94" s="29">
        <f>+IF(AZ94=BF91,ROW()*0.001,AZ94)</f>
        <v>0</v>
      </c>
      <c r="BC94" s="29">
        <f t="shared" si="490"/>
        <v>10</v>
      </c>
      <c r="BD94" s="29"/>
      <c r="BE94" s="26" t="e">
        <f ca="1">+IF(OR(BF94="-",BI94="-",BF91=0),"-","OK")</f>
        <v>#NAME?</v>
      </c>
      <c r="BF94" s="66" t="e">
        <f t="array" aca="1" ref="BF94" ca="1">+IF(_xludf.XLOOKUP($E94,$AY:$AY,$AZ:$AZ,"-",0)=BF91,$E94,"-")</f>
        <v>#NAME?</v>
      </c>
      <c r="BG94" s="67">
        <f t="shared" si="491"/>
        <v>0</v>
      </c>
      <c r="BH94" s="68">
        <f t="shared" si="492"/>
        <v>2</v>
      </c>
      <c r="BI94" s="66" t="e">
        <f t="array" aca="1" ref="BI94" ca="1">+IF(_xludf.XLOOKUP($H94,$AY:$AY,$AZ:$AZ,"-",0)=BF91,$H94,"-")</f>
        <v>#NAME?</v>
      </c>
      <c r="BJ94" s="24"/>
      <c r="BK94" s="27" t="str">
        <f t="shared" si="493"/>
        <v>Congo</v>
      </c>
      <c r="BL94" s="27">
        <f t="shared" ca="1" si="494"/>
        <v>0</v>
      </c>
      <c r="BM94" s="25">
        <f t="shared" si="495"/>
        <v>0</v>
      </c>
      <c r="BN94" s="25">
        <f t="shared" si="496"/>
        <v>0</v>
      </c>
      <c r="BO94" s="25">
        <f t="shared" ca="1" si="497"/>
        <v>0</v>
      </c>
      <c r="BP94" s="25">
        <f t="shared" ca="1" si="498"/>
        <v>0</v>
      </c>
      <c r="BQ94" s="25">
        <f t="shared" ca="1" si="499"/>
        <v>0</v>
      </c>
      <c r="BR94" s="25">
        <f t="shared" ca="1" si="500"/>
        <v>0</v>
      </c>
      <c r="BS94" s="69">
        <f t="shared" ca="1" si="501"/>
        <v>0</v>
      </c>
      <c r="BT94" s="29">
        <f t="array" aca="1" ref="BT94" ca="1">+IF(BL94=0,0,_xludf.XLOOKUP(BS94,BV93:BV96,BW93:BW96))</f>
        <v>0</v>
      </c>
      <c r="BU94" s="54"/>
      <c r="BV94" s="25">
        <f ca="1">+LARGE(BS93:BS96,2)</f>
        <v>0</v>
      </c>
      <c r="BW94" s="25">
        <f t="shared" si="502"/>
        <v>0.2</v>
      </c>
      <c r="BX94" s="24">
        <v>2</v>
      </c>
      <c r="BY94" s="26" t="e">
        <f t="shared" ca="1" si="503"/>
        <v>#NAME?</v>
      </c>
      <c r="BZ94" s="66" t="e">
        <f t="array" aca="1" ref="BZ94" ca="1">+IF(_xludf.XLOOKUP($E94,$AY:$AY,$AZ:$AZ,"-",0)=BZ91,$E94,"-")</f>
        <v>#NAME?</v>
      </c>
      <c r="CA94" s="67">
        <f t="shared" si="504"/>
        <v>0</v>
      </c>
      <c r="CB94" s="68">
        <f t="shared" si="505"/>
        <v>2</v>
      </c>
      <c r="CC94" s="66" t="e">
        <f t="array" aca="1" ref="CC94" ca="1">+IF(_xludf.XLOOKUP($H94,$AY:$AY,$AZ:$AZ,"-",0)=BZ91,$H94,"-")</f>
        <v>#NAME?</v>
      </c>
      <c r="CD94" s="24"/>
      <c r="CE94" s="27" t="str">
        <f t="shared" si="506"/>
        <v>Congo</v>
      </c>
      <c r="CF94" s="27">
        <f t="shared" ca="1" si="507"/>
        <v>0</v>
      </c>
      <c r="CG94" s="25">
        <f t="shared" si="508"/>
        <v>0</v>
      </c>
      <c r="CH94" s="25">
        <f t="shared" si="509"/>
        <v>0</v>
      </c>
      <c r="CI94" s="25">
        <f t="shared" ca="1" si="510"/>
        <v>0</v>
      </c>
      <c r="CJ94" s="25">
        <f t="shared" ca="1" si="511"/>
        <v>0</v>
      </c>
      <c r="CK94" s="25">
        <f t="shared" ca="1" si="512"/>
        <v>0</v>
      </c>
      <c r="CL94" s="25">
        <f t="shared" ca="1" si="513"/>
        <v>0</v>
      </c>
      <c r="CM94" s="69">
        <f t="shared" ca="1" si="514"/>
        <v>0</v>
      </c>
      <c r="CN94" s="29">
        <f t="array" aca="1" ref="CN94" ca="1">+IF(CF94=0,0,_xludf.XLOOKUP(CM94,CP93:CP96,CQ93:CQ96))</f>
        <v>0</v>
      </c>
      <c r="CO94" s="54"/>
      <c r="CP94" s="25">
        <f ca="1">+LARGE(CM93:CM96,2)</f>
        <v>0</v>
      </c>
      <c r="CQ94" s="25">
        <f t="shared" si="515"/>
        <v>0.2</v>
      </c>
      <c r="CR94" s="24">
        <v>2</v>
      </c>
    </row>
    <row r="95" spans="1:96" ht="14.25" customHeight="1" x14ac:dyDescent="0.25">
      <c r="A95" s="47" t="s">
        <v>191</v>
      </c>
      <c r="B95" s="48">
        <v>46196</v>
      </c>
      <c r="C95" s="49"/>
      <c r="D95" s="50"/>
      <c r="E95" s="51" t="s">
        <v>52</v>
      </c>
      <c r="F95" s="52">
        <v>2</v>
      </c>
      <c r="G95" s="52">
        <v>0</v>
      </c>
      <c r="H95" s="53" t="s">
        <v>88</v>
      </c>
      <c r="I95" s="24"/>
      <c r="J95" s="25" t="str">
        <f t="shared" si="473"/>
        <v>Portugal</v>
      </c>
      <c r="K95" s="25" t="str">
        <f t="shared" si="474"/>
        <v/>
      </c>
      <c r="L95" s="25" t="str">
        <f t="shared" si="475"/>
        <v/>
      </c>
      <c r="M95" s="25" t="str">
        <f t="shared" si="476"/>
        <v>Uzbekistan</v>
      </c>
      <c r="N95" s="24"/>
      <c r="O95" s="27" t="str">
        <f>+E94</f>
        <v>Uzbekistan</v>
      </c>
      <c r="P95" s="25">
        <f>+COUNTIF(J93:J98,"="&amp;$O95)</f>
        <v>1</v>
      </c>
      <c r="Q95" s="25">
        <f>+COUNTIF(K93:L98,"="&amp;$O95)</f>
        <v>0</v>
      </c>
      <c r="R95" s="25">
        <f>+COUNTIF(M93:M98,"="&amp;$O95)</f>
        <v>2</v>
      </c>
      <c r="S95" s="25">
        <f t="shared" si="477"/>
        <v>-3</v>
      </c>
      <c r="T95" s="25">
        <f>+SUMIF(E93:E98,$O95,F93:F98)+SUMIF(H93:H98,$O95,G93:G98)</f>
        <v>1</v>
      </c>
      <c r="U95" s="25">
        <f>+SUMIF(E93:E98,$O95,G93:G98)+SUMIF(H93:H98,$O95,F93:F98)</f>
        <v>4</v>
      </c>
      <c r="V95" s="54">
        <f t="shared" ca="1" si="478"/>
        <v>2.9971095000000001</v>
      </c>
      <c r="W95" s="27" t="str">
        <f t="shared" si="479"/>
        <v>Uzbekistan</v>
      </c>
      <c r="X95" s="24"/>
      <c r="Y95" s="78" t="str">
        <f>+CONCATENATE("3",RIGHT(E92,1))</f>
        <v>3K</v>
      </c>
      <c r="Z95" s="79" t="str">
        <f ca="1">+VLOOKUP(AL95,V93:W96,2,FALSE)</f>
        <v>Uzbekistan</v>
      </c>
      <c r="AA95" s="80">
        <f t="shared" ca="1" si="480"/>
        <v>3</v>
      </c>
      <c r="AB95" s="81">
        <f t="shared" ca="1" si="481"/>
        <v>1</v>
      </c>
      <c r="AC95" s="81">
        <f t="shared" ca="1" si="481"/>
        <v>0</v>
      </c>
      <c r="AD95" s="81">
        <f t="shared" ca="1" si="481"/>
        <v>2</v>
      </c>
      <c r="AE95" s="81">
        <f t="shared" ca="1" si="481"/>
        <v>-3</v>
      </c>
      <c r="AF95" s="81">
        <f t="shared" ca="1" si="481"/>
        <v>1</v>
      </c>
      <c r="AG95" s="81">
        <f t="shared" ca="1" si="481"/>
        <v>4</v>
      </c>
      <c r="AH95" s="82">
        <f t="shared" ca="1" si="481"/>
        <v>2.9971095000000001</v>
      </c>
      <c r="AI95" s="83">
        <f ca="1">+(COUNTIFS($CV$2:$CV$13,Z95,$CX$2:$CX$13,"IN")+COUNTIFS($CV$2:$CV$13,Z95,$CW$2:$CW$13,"IN"))*IF(SUM(AA93:AA96)=12,1,0)</f>
        <v>0</v>
      </c>
      <c r="AJ95" s="24"/>
      <c r="AK95" s="24"/>
      <c r="AL95" s="54">
        <f ca="1">+LARGE(V93:V96,3)</f>
        <v>2.9971095000000001</v>
      </c>
      <c r="AM95" s="61">
        <f t="shared" ca="1" si="482"/>
        <v>0</v>
      </c>
      <c r="AN95" s="24"/>
      <c r="AO95" s="24"/>
      <c r="AP95" s="62" t="str">
        <f t="shared" si="483"/>
        <v>Uzbekistan</v>
      </c>
      <c r="AQ95" s="28">
        <f t="shared" ca="1" si="484"/>
        <v>2.9971000000000001</v>
      </c>
      <c r="AR95" s="24" t="b">
        <f ca="1">+IF(OR(AQ95=AQ96),1)</f>
        <v>0</v>
      </c>
      <c r="AS95" s="63">
        <f t="shared" si="485"/>
        <v>0</v>
      </c>
      <c r="AT95" s="63">
        <f ca="1">+IF(AND(AM97="si",OR(AR93=1,AR94=1,AR95=1)),1,0)</f>
        <v>0</v>
      </c>
      <c r="AU95" s="76" t="str">
        <f t="shared" si="486"/>
        <v>Uzbekistan</v>
      </c>
      <c r="AV95" s="77"/>
      <c r="AW95" s="24"/>
      <c r="AX95" s="24" t="str">
        <f>+Y92</f>
        <v>Grupo K</v>
      </c>
      <c r="AY95" s="25" t="str">
        <f t="shared" si="487"/>
        <v>Uzbekistan</v>
      </c>
      <c r="AZ95" s="29">
        <f t="shared" si="488"/>
        <v>3</v>
      </c>
      <c r="BA95" s="29">
        <f t="shared" si="489"/>
        <v>1</v>
      </c>
      <c r="BB95" s="29">
        <f>+IF(AZ95=BF91,ROW()*0.001,AZ95)</f>
        <v>3</v>
      </c>
      <c r="BC95" s="29">
        <f t="shared" si="490"/>
        <v>8</v>
      </c>
      <c r="BD95" s="29"/>
      <c r="BE95" s="26" t="e">
        <f ca="1">+IF(OR(BF95="-",BI95="-",BF91=0),"-","OK")</f>
        <v>#NAME?</v>
      </c>
      <c r="BF95" s="66" t="e">
        <f t="array" aca="1" ref="BF95" ca="1">+IF(_xludf.XLOOKUP($E95,$AY:$AY,$AZ:$AZ,"-",0)=BF91,$E95,"-")</f>
        <v>#NAME?</v>
      </c>
      <c r="BG95" s="67">
        <f t="shared" si="491"/>
        <v>2</v>
      </c>
      <c r="BH95" s="68">
        <f t="shared" si="492"/>
        <v>0</v>
      </c>
      <c r="BI95" s="66" t="e">
        <f t="array" aca="1" ref="BI95" ca="1">+IF(_xludf.XLOOKUP($H95,$AY:$AY,$AZ:$AZ,"-",0)=BF91,$H95,"-")</f>
        <v>#NAME?</v>
      </c>
      <c r="BJ95" s="24"/>
      <c r="BK95" s="27" t="str">
        <f t="shared" si="493"/>
        <v>Uzbekistan</v>
      </c>
      <c r="BL95" s="27">
        <f t="shared" ca="1" si="494"/>
        <v>0</v>
      </c>
      <c r="BM95" s="25">
        <f t="shared" ca="1" si="495"/>
        <v>0</v>
      </c>
      <c r="BN95" s="25">
        <f t="shared" si="496"/>
        <v>0</v>
      </c>
      <c r="BO95" s="25">
        <f t="shared" ca="1" si="497"/>
        <v>0</v>
      </c>
      <c r="BP95" s="25">
        <f t="shared" ca="1" si="498"/>
        <v>0</v>
      </c>
      <c r="BQ95" s="25">
        <f t="shared" ca="1" si="499"/>
        <v>0</v>
      </c>
      <c r="BR95" s="25">
        <f t="shared" ca="1" si="500"/>
        <v>0</v>
      </c>
      <c r="BS95" s="69">
        <f t="shared" ca="1" si="501"/>
        <v>0</v>
      </c>
      <c r="BT95" s="29">
        <f t="array" aca="1" ref="BT95" ca="1">+IF(BL95=0,0,_xludf.XLOOKUP(BS95,BV93:BV96,BW93:BW96))</f>
        <v>0</v>
      </c>
      <c r="BU95" s="54"/>
      <c r="BV95" s="25">
        <f ca="1">+LARGE(BS93:BS96,3)</f>
        <v>0</v>
      </c>
      <c r="BW95" s="25">
        <f t="shared" si="502"/>
        <v>0.1</v>
      </c>
      <c r="BX95" s="24">
        <v>1</v>
      </c>
      <c r="BY95" s="26" t="e">
        <f t="shared" ca="1" si="503"/>
        <v>#NAME?</v>
      </c>
      <c r="BZ95" s="66" t="e">
        <f t="array" aca="1" ref="BZ95" ca="1">+IF(_xludf.XLOOKUP($E95,$AY:$AY,$AZ:$AZ,"-",0)=BZ91,$E95,"-")</f>
        <v>#NAME?</v>
      </c>
      <c r="CA95" s="67">
        <f t="shared" si="504"/>
        <v>2</v>
      </c>
      <c r="CB95" s="68">
        <f t="shared" si="505"/>
        <v>0</v>
      </c>
      <c r="CC95" s="66" t="e">
        <f t="array" aca="1" ref="CC95" ca="1">+IF(_xludf.XLOOKUP($H95,$AY:$AY,$AZ:$AZ,"-",0)=BZ91,$H95,"-")</f>
        <v>#NAME?</v>
      </c>
      <c r="CD95" s="24"/>
      <c r="CE95" s="27" t="str">
        <f t="shared" si="506"/>
        <v>Uzbekistan</v>
      </c>
      <c r="CF95" s="27">
        <f t="shared" ca="1" si="507"/>
        <v>0</v>
      </c>
      <c r="CG95" s="25">
        <f t="shared" si="508"/>
        <v>0</v>
      </c>
      <c r="CH95" s="25">
        <f t="shared" si="509"/>
        <v>0</v>
      </c>
      <c r="CI95" s="25">
        <f t="shared" ca="1" si="510"/>
        <v>0</v>
      </c>
      <c r="CJ95" s="25">
        <f t="shared" ca="1" si="511"/>
        <v>0</v>
      </c>
      <c r="CK95" s="25">
        <f t="shared" ca="1" si="512"/>
        <v>0</v>
      </c>
      <c r="CL95" s="25">
        <f t="shared" ca="1" si="513"/>
        <v>0</v>
      </c>
      <c r="CM95" s="69">
        <f t="shared" ca="1" si="514"/>
        <v>0</v>
      </c>
      <c r="CN95" s="29">
        <f t="array" aca="1" ref="CN95" ca="1">+IF(CF95=0,0,_xludf.XLOOKUP(CM95,CP93:CP96,CQ93:CQ96))</f>
        <v>0</v>
      </c>
      <c r="CO95" s="54"/>
      <c r="CP95" s="25">
        <f ca="1">+LARGE(CM93:CM96,3)</f>
        <v>0</v>
      </c>
      <c r="CQ95" s="25">
        <f t="shared" si="515"/>
        <v>0.1</v>
      </c>
      <c r="CR95" s="24">
        <v>1</v>
      </c>
    </row>
    <row r="96" spans="1:96" ht="14.25" customHeight="1" x14ac:dyDescent="0.25">
      <c r="A96" s="47" t="s">
        <v>192</v>
      </c>
      <c r="B96" s="48">
        <v>46196</v>
      </c>
      <c r="C96" s="49"/>
      <c r="D96" s="50"/>
      <c r="E96" s="51" t="s">
        <v>60</v>
      </c>
      <c r="F96" s="52">
        <v>2</v>
      </c>
      <c r="G96" s="52">
        <v>0</v>
      </c>
      <c r="H96" s="53" t="s">
        <v>87</v>
      </c>
      <c r="I96" s="24"/>
      <c r="J96" s="25" t="str">
        <f t="shared" si="473"/>
        <v>Colombia</v>
      </c>
      <c r="K96" s="25" t="str">
        <f t="shared" si="474"/>
        <v/>
      </c>
      <c r="L96" s="25" t="str">
        <f t="shared" si="475"/>
        <v/>
      </c>
      <c r="M96" s="25" t="str">
        <f t="shared" si="476"/>
        <v>Congo</v>
      </c>
      <c r="N96" s="24"/>
      <c r="O96" s="27" t="str">
        <f>+H94</f>
        <v>Colombia</v>
      </c>
      <c r="P96" s="25">
        <f>+COUNTIF(J93:J98,"="&amp;$O96)</f>
        <v>2</v>
      </c>
      <c r="Q96" s="25">
        <f>+COUNTIF(K93:L98,"="&amp;$O96)</f>
        <v>1</v>
      </c>
      <c r="R96" s="25">
        <f>+COUNTIF(M93:M98,"="&amp;$O96)</f>
        <v>0</v>
      </c>
      <c r="S96" s="25">
        <f t="shared" si="477"/>
        <v>4</v>
      </c>
      <c r="T96" s="25">
        <f>+SUMIF(E93:E98,$O96,F93:F98)+SUMIF(H93:H98,$O96,G93:G98)</f>
        <v>6</v>
      </c>
      <c r="U96" s="25">
        <f>+SUMIF(E93:E98,$O96,G93:G98)+SUMIF(H93:H98,$O96,F93:F98)</f>
        <v>2</v>
      </c>
      <c r="V96" s="54">
        <f t="shared" ca="1" si="478"/>
        <v>7.0046096000000002</v>
      </c>
      <c r="W96" s="27" t="str">
        <f t="shared" si="479"/>
        <v>Colombia</v>
      </c>
      <c r="X96" s="24"/>
      <c r="Y96" s="84" t="str">
        <f>+CONCATENATE("4",RIGHT(E92,1))</f>
        <v>4K</v>
      </c>
      <c r="Z96" s="85" t="str">
        <f ca="1">+VLOOKUP(AL96,V93:W96,2,FALSE)</f>
        <v>Congo</v>
      </c>
      <c r="AA96" s="86">
        <f t="shared" ca="1" si="480"/>
        <v>3</v>
      </c>
      <c r="AB96" s="87">
        <f t="shared" ca="1" si="481"/>
        <v>0</v>
      </c>
      <c r="AC96" s="87">
        <f t="shared" ca="1" si="481"/>
        <v>0</v>
      </c>
      <c r="AD96" s="87">
        <f t="shared" ca="1" si="481"/>
        <v>3</v>
      </c>
      <c r="AE96" s="87">
        <f t="shared" ca="1" si="481"/>
        <v>-6</v>
      </c>
      <c r="AF96" s="87">
        <f t="shared" ca="1" si="481"/>
        <v>0</v>
      </c>
      <c r="AG96" s="87">
        <f t="shared" ca="1" si="481"/>
        <v>6</v>
      </c>
      <c r="AH96" s="88">
        <f t="shared" ca="1" si="481"/>
        <v>-5.9906000000000004E-3</v>
      </c>
      <c r="AI96" s="83"/>
      <c r="AJ96" s="24"/>
      <c r="AK96" s="24"/>
      <c r="AL96" s="54">
        <f ca="1">+LARGE(V93:V96,4)</f>
        <v>-5.9906000000000004E-3</v>
      </c>
      <c r="AM96" s="61">
        <f t="shared" ca="1" si="482"/>
        <v>0</v>
      </c>
      <c r="AN96" s="24"/>
      <c r="AO96" s="24"/>
      <c r="AP96" s="62" t="str">
        <f t="shared" si="483"/>
        <v>Colombia</v>
      </c>
      <c r="AQ96" s="28">
        <f t="shared" ca="1" si="484"/>
        <v>7.0045999999999999</v>
      </c>
      <c r="AR96" s="24"/>
      <c r="AS96" s="63">
        <f t="shared" si="485"/>
        <v>0</v>
      </c>
      <c r="AT96" s="63">
        <f ca="1">+IF(AND(AM97="si",OR(AR93=1,AR94=1,AR95=1)),1,0)</f>
        <v>0</v>
      </c>
      <c r="AU96" s="89" t="str">
        <f t="shared" si="486"/>
        <v>Colombia</v>
      </c>
      <c r="AV96" s="90"/>
      <c r="AW96" s="24"/>
      <c r="AX96" s="24" t="str">
        <f>+Y92</f>
        <v>Grupo K</v>
      </c>
      <c r="AY96" s="25" t="str">
        <f t="shared" si="487"/>
        <v>Colombia</v>
      </c>
      <c r="AZ96" s="29">
        <f t="shared" si="488"/>
        <v>7</v>
      </c>
      <c r="BA96" s="29">
        <f t="shared" si="489"/>
        <v>2</v>
      </c>
      <c r="BB96" s="29">
        <f>+IF(AZ96=BF91,ROW()*0.001,AZ96)</f>
        <v>9.6000000000000002E-2</v>
      </c>
      <c r="BC96" s="29">
        <f t="shared" si="490"/>
        <v>1</v>
      </c>
      <c r="BD96" s="29"/>
      <c r="BE96" s="26" t="e">
        <f ca="1">+IF(OR(BF96="-",BI96="-",BF91=0),"-","OK")</f>
        <v>#NAME?</v>
      </c>
      <c r="BF96" s="66" t="e">
        <f t="array" aca="1" ref="BF96" ca="1">+IF(_xludf.XLOOKUP($E96,$AY:$AY,$AZ:$AZ,"-",0)=BF91,$E96,"-")</f>
        <v>#NAME?</v>
      </c>
      <c r="BG96" s="67">
        <f t="shared" si="491"/>
        <v>2</v>
      </c>
      <c r="BH96" s="68">
        <f t="shared" si="492"/>
        <v>0</v>
      </c>
      <c r="BI96" s="66" t="e">
        <f t="array" aca="1" ref="BI96" ca="1">+IF(_xludf.XLOOKUP($H96,$AY:$AY,$AZ:$AZ,"-",0)=BF91,$H96,"-")</f>
        <v>#NAME?</v>
      </c>
      <c r="BJ96" s="24"/>
      <c r="BK96" s="27" t="str">
        <f t="shared" si="493"/>
        <v>Colombia</v>
      </c>
      <c r="BL96" s="27">
        <f t="shared" ca="1" si="494"/>
        <v>0</v>
      </c>
      <c r="BM96" s="25">
        <f t="shared" ca="1" si="495"/>
        <v>0</v>
      </c>
      <c r="BN96" s="25">
        <f t="shared" ca="1" si="496"/>
        <v>0</v>
      </c>
      <c r="BO96" s="25">
        <f t="shared" si="497"/>
        <v>0</v>
      </c>
      <c r="BP96" s="25">
        <f t="shared" ca="1" si="498"/>
        <v>0</v>
      </c>
      <c r="BQ96" s="25">
        <f t="shared" ca="1" si="499"/>
        <v>0</v>
      </c>
      <c r="BR96" s="25">
        <f t="shared" ca="1" si="500"/>
        <v>0</v>
      </c>
      <c r="BS96" s="69">
        <f t="shared" ca="1" si="501"/>
        <v>0</v>
      </c>
      <c r="BT96" s="29">
        <f t="array" aca="1" ref="BT96" ca="1">+IF(BL96=0,0,_xludf.XLOOKUP(BS96,BV93:BV96,BW93:BW96))</f>
        <v>0</v>
      </c>
      <c r="BU96" s="54"/>
      <c r="BV96" s="25">
        <f ca="1">+LARGE(BS93:BS96,4)</f>
        <v>0</v>
      </c>
      <c r="BW96" s="25">
        <f t="shared" si="502"/>
        <v>0</v>
      </c>
      <c r="BX96" s="24">
        <v>0</v>
      </c>
      <c r="BY96" s="26" t="e">
        <f t="shared" ca="1" si="503"/>
        <v>#NAME?</v>
      </c>
      <c r="BZ96" s="66" t="e">
        <f t="array" aca="1" ref="BZ96" ca="1">+IF(_xludf.XLOOKUP($E96,$AY:$AY,$AZ:$AZ,"-",0)=BZ91,$E96,"-")</f>
        <v>#NAME?</v>
      </c>
      <c r="CA96" s="67">
        <f t="shared" si="504"/>
        <v>2</v>
      </c>
      <c r="CB96" s="68">
        <f t="shared" si="505"/>
        <v>0</v>
      </c>
      <c r="CC96" s="66" t="e">
        <f t="array" aca="1" ref="CC96" ca="1">+IF(_xludf.XLOOKUP($H96,$AY:$AY,$AZ:$AZ,"-",0)=BZ91,$H96,"-")</f>
        <v>#NAME?</v>
      </c>
      <c r="CD96" s="24"/>
      <c r="CE96" s="27" t="str">
        <f t="shared" si="506"/>
        <v>Colombia</v>
      </c>
      <c r="CF96" s="27">
        <f t="shared" ca="1" si="507"/>
        <v>0</v>
      </c>
      <c r="CG96" s="25">
        <f t="shared" si="508"/>
        <v>0</v>
      </c>
      <c r="CH96" s="25">
        <f t="shared" ca="1" si="509"/>
        <v>0</v>
      </c>
      <c r="CI96" s="25">
        <f t="shared" si="510"/>
        <v>0</v>
      </c>
      <c r="CJ96" s="25">
        <f t="shared" ca="1" si="511"/>
        <v>0</v>
      </c>
      <c r="CK96" s="25">
        <f t="shared" ca="1" si="512"/>
        <v>0</v>
      </c>
      <c r="CL96" s="25">
        <f t="shared" ca="1" si="513"/>
        <v>0</v>
      </c>
      <c r="CM96" s="69">
        <f t="shared" ca="1" si="514"/>
        <v>0</v>
      </c>
      <c r="CN96" s="29">
        <f t="array" aca="1" ref="CN96" ca="1">+IF(CF96=0,0,_xludf.XLOOKUP(CM96,CP93:CP96,CQ93:CQ96))</f>
        <v>0</v>
      </c>
      <c r="CO96" s="54"/>
      <c r="CP96" s="25">
        <f ca="1">+LARGE(CM93:CM96,4)</f>
        <v>0</v>
      </c>
      <c r="CQ96" s="25">
        <f t="shared" si="515"/>
        <v>0</v>
      </c>
      <c r="CR96" s="24">
        <v>0</v>
      </c>
    </row>
    <row r="97" spans="1:96" ht="14.25" customHeight="1" x14ac:dyDescent="0.25">
      <c r="A97" s="47" t="s">
        <v>193</v>
      </c>
      <c r="B97" s="48">
        <v>46200</v>
      </c>
      <c r="C97" s="49"/>
      <c r="D97" s="50"/>
      <c r="E97" s="51" t="s">
        <v>60</v>
      </c>
      <c r="F97" s="52">
        <v>2</v>
      </c>
      <c r="G97" s="52">
        <v>2</v>
      </c>
      <c r="H97" s="53" t="s">
        <v>52</v>
      </c>
      <c r="I97" s="24"/>
      <c r="J97" s="25" t="str">
        <f t="shared" si="473"/>
        <v/>
      </c>
      <c r="K97" s="25" t="str">
        <f t="shared" si="474"/>
        <v>Colombia</v>
      </c>
      <c r="L97" s="25" t="str">
        <f t="shared" si="475"/>
        <v>Portugal</v>
      </c>
      <c r="M97" s="25" t="str">
        <f t="shared" si="476"/>
        <v/>
      </c>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6" t="s">
        <v>122</v>
      </c>
      <c r="AM97" s="61" t="str">
        <f ca="1">+IF(SUM(AA93:AA96)=12,"si","no")</f>
        <v>si</v>
      </c>
      <c r="AN97" s="24"/>
      <c r="AO97" s="24"/>
      <c r="AP97" s="24"/>
      <c r="AQ97" s="24"/>
      <c r="AR97" s="24"/>
      <c r="AS97" s="24"/>
      <c r="AT97" s="24"/>
      <c r="AU97" s="24"/>
      <c r="AV97" s="24"/>
      <c r="AW97" s="24"/>
      <c r="AX97" s="24"/>
      <c r="AY97" s="24"/>
      <c r="AZ97" s="24"/>
      <c r="BA97" s="24"/>
      <c r="BB97" s="24"/>
      <c r="BC97" s="24"/>
      <c r="BD97" s="24"/>
      <c r="BE97" s="26" t="e">
        <f ca="1">+IF(OR(BF97="-",BI97="-",BF91=0),"-","OK")</f>
        <v>#NAME?</v>
      </c>
      <c r="BF97" s="66" t="e">
        <f t="array" aca="1" ref="BF97" ca="1">+IF(_xludf.XLOOKUP($E97,$AY:$AY,$AZ:$AZ,"-",0)=BF91,$E97,"-")</f>
        <v>#NAME?</v>
      </c>
      <c r="BG97" s="67">
        <f t="shared" si="491"/>
        <v>2</v>
      </c>
      <c r="BH97" s="68">
        <f t="shared" si="492"/>
        <v>2</v>
      </c>
      <c r="BI97" s="66" t="e">
        <f t="array" aca="1" ref="BI97" ca="1">+IF(_xludf.XLOOKUP($H97,$AY:$AY,$AZ:$AZ,"-",0)=BF91,$H97,"-")</f>
        <v>#NAME?</v>
      </c>
      <c r="BJ97" s="24"/>
      <c r="BK97" s="24"/>
      <c r="BL97" s="24"/>
      <c r="BM97" s="24"/>
      <c r="BN97" s="24"/>
      <c r="BO97" s="24"/>
      <c r="BP97" s="24"/>
      <c r="BQ97" s="24"/>
      <c r="BR97" s="24"/>
      <c r="BS97" s="24"/>
      <c r="BT97" s="24"/>
      <c r="BU97" s="24"/>
      <c r="BV97" s="24"/>
      <c r="BW97" s="24"/>
      <c r="BX97" s="24"/>
      <c r="BY97" s="26" t="e">
        <f t="shared" ca="1" si="503"/>
        <v>#NAME?</v>
      </c>
      <c r="BZ97" s="66" t="e">
        <f t="array" aca="1" ref="BZ97" ca="1">+IF(_xludf.XLOOKUP($E97,$AY:$AY,$AZ:$AZ,"-",0)=BZ91,$E97,"-")</f>
        <v>#NAME?</v>
      </c>
      <c r="CA97" s="67">
        <f t="shared" si="504"/>
        <v>2</v>
      </c>
      <c r="CB97" s="68">
        <f t="shared" si="505"/>
        <v>2</v>
      </c>
      <c r="CC97" s="66" t="e">
        <f t="array" aca="1" ref="CC97" ca="1">+IF(_xludf.XLOOKUP($H97,$AY:$AY,$AZ:$AZ,"-",0)=BZ91,$H97,"-")</f>
        <v>#NAME?</v>
      </c>
      <c r="CD97" s="24"/>
      <c r="CE97" s="24"/>
      <c r="CF97" s="24"/>
      <c r="CG97" s="24"/>
      <c r="CH97" s="24"/>
      <c r="CI97" s="24"/>
      <c r="CJ97" s="24"/>
      <c r="CK97" s="24"/>
      <c r="CL97" s="24"/>
      <c r="CM97" s="24"/>
      <c r="CN97" s="24"/>
      <c r="CO97" s="24"/>
      <c r="CP97" s="24"/>
      <c r="CQ97" s="24"/>
      <c r="CR97" s="24"/>
    </row>
    <row r="98" spans="1:96" ht="14.25" customHeight="1" x14ac:dyDescent="0.25">
      <c r="A98" s="47" t="s">
        <v>194</v>
      </c>
      <c r="B98" s="48">
        <v>46200</v>
      </c>
      <c r="C98" s="49"/>
      <c r="D98" s="50"/>
      <c r="E98" s="51" t="s">
        <v>87</v>
      </c>
      <c r="F98" s="52">
        <v>0</v>
      </c>
      <c r="G98" s="52">
        <v>1</v>
      </c>
      <c r="H98" s="53" t="s">
        <v>88</v>
      </c>
      <c r="I98" s="24"/>
      <c r="J98" s="25" t="str">
        <f t="shared" si="473"/>
        <v>Uzbekistan</v>
      </c>
      <c r="K98" s="25" t="str">
        <f t="shared" si="474"/>
        <v/>
      </c>
      <c r="L98" s="25" t="str">
        <f t="shared" si="475"/>
        <v/>
      </c>
      <c r="M98" s="25" t="str">
        <f t="shared" si="476"/>
        <v>Congo</v>
      </c>
      <c r="N98" s="24"/>
      <c r="O98" s="24"/>
      <c r="P98" s="24"/>
      <c r="Q98" s="24"/>
      <c r="R98" s="24"/>
      <c r="S98" s="24"/>
      <c r="T98" s="24"/>
      <c r="U98" s="24"/>
      <c r="V98" s="24"/>
      <c r="W98" s="24"/>
      <c r="X98" s="24"/>
      <c r="Y98" s="62" t="s">
        <v>124</v>
      </c>
      <c r="Z98" s="24"/>
      <c r="AA98" s="24"/>
      <c r="AB98" s="24"/>
      <c r="AC98" s="24"/>
      <c r="AD98" s="24"/>
      <c r="AE98" s="24"/>
      <c r="AF98" s="24"/>
      <c r="AG98" s="24"/>
      <c r="AH98" s="24"/>
      <c r="AI98" s="24"/>
      <c r="AJ98" s="24"/>
      <c r="AK98" s="24"/>
      <c r="AL98" s="24"/>
      <c r="AM98" s="24"/>
      <c r="AN98" s="24"/>
      <c r="AO98" s="24"/>
      <c r="AP98" s="24"/>
      <c r="AQ98" s="24"/>
      <c r="AR98" s="24">
        <f ca="1">+IF(AND(AM97="si",OR(AR93=1,AR94=1,AR95=1)),1,0)</f>
        <v>0</v>
      </c>
      <c r="AS98" s="24"/>
      <c r="AT98" s="24"/>
      <c r="AU98" s="24"/>
      <c r="AV98" s="24"/>
      <c r="AW98" s="24"/>
      <c r="AX98" s="24"/>
      <c r="AY98" s="24"/>
      <c r="AZ98" s="24"/>
      <c r="BA98" s="24"/>
      <c r="BB98" s="24"/>
      <c r="BC98" s="24"/>
      <c r="BD98" s="24"/>
      <c r="BE98" s="26" t="e">
        <f ca="1">+IF(OR(BF98="-",BI98="-",BF91=0),"-","OK")</f>
        <v>#NAME?</v>
      </c>
      <c r="BF98" s="66" t="e">
        <f t="array" aca="1" ref="BF98" ca="1">+IF(_xludf.XLOOKUP($E98,$AY:$AY,$AZ:$AZ,"-",0)=BF91,$E98,"-")</f>
        <v>#NAME?</v>
      </c>
      <c r="BG98" s="67">
        <f t="shared" si="491"/>
        <v>0</v>
      </c>
      <c r="BH98" s="68">
        <f t="shared" si="492"/>
        <v>1</v>
      </c>
      <c r="BI98" s="66" t="e">
        <f t="array" aca="1" ref="BI98" ca="1">+IF(_xludf.XLOOKUP($H98,$AY:$AY,$AZ:$AZ,"-",0)=BF91,$H98,"-")</f>
        <v>#NAME?</v>
      </c>
      <c r="BJ98" s="24"/>
      <c r="BK98" s="24"/>
      <c r="BL98" s="24"/>
      <c r="BM98" s="24"/>
      <c r="BN98" s="24"/>
      <c r="BO98" s="24"/>
      <c r="BP98" s="24"/>
      <c r="BQ98" s="24"/>
      <c r="BR98" s="24"/>
      <c r="BS98" s="24"/>
      <c r="BT98" s="24"/>
      <c r="BU98" s="24"/>
      <c r="BV98" s="24"/>
      <c r="BW98" s="24"/>
      <c r="BX98" s="24"/>
      <c r="BY98" s="26" t="e">
        <f t="shared" ca="1" si="503"/>
        <v>#NAME?</v>
      </c>
      <c r="BZ98" s="66" t="e">
        <f t="array" aca="1" ref="BZ98" ca="1">+IF(_xludf.XLOOKUP($E98,$AY:$AY,$AZ:$AZ,"-",0)=BZ91,$E98,"-")</f>
        <v>#NAME?</v>
      </c>
      <c r="CA98" s="67">
        <f t="shared" si="504"/>
        <v>0</v>
      </c>
      <c r="CB98" s="68">
        <f t="shared" si="505"/>
        <v>1</v>
      </c>
      <c r="CC98" s="66" t="e">
        <f t="array" aca="1" ref="CC98" ca="1">+IF(_xludf.XLOOKUP($H98,$AY:$AY,$AZ:$AZ,"-",0)=BZ91,$H98,"-")</f>
        <v>#NAME?</v>
      </c>
      <c r="CD98" s="24"/>
      <c r="CE98" s="24"/>
      <c r="CF98" s="24"/>
      <c r="CG98" s="24"/>
      <c r="CH98" s="24"/>
      <c r="CI98" s="24"/>
      <c r="CJ98" s="24"/>
      <c r="CK98" s="24"/>
      <c r="CL98" s="24"/>
      <c r="CM98" s="24"/>
      <c r="CN98" s="24"/>
      <c r="CO98" s="24"/>
      <c r="CP98" s="24"/>
      <c r="CQ98" s="24"/>
      <c r="CR98" s="24"/>
    </row>
    <row r="99" spans="1:96" ht="14.25" customHeight="1" x14ac:dyDescent="0.25">
      <c r="A99" s="91"/>
      <c r="B99" s="92"/>
      <c r="C99" s="91"/>
      <c r="D99" s="93"/>
      <c r="E99" s="94"/>
      <c r="F99" s="91"/>
      <c r="G99" s="91"/>
      <c r="H99" s="95"/>
      <c r="I99" s="93"/>
      <c r="J99" s="91"/>
      <c r="K99" s="91"/>
      <c r="L99" s="91"/>
      <c r="M99" s="91"/>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1"/>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row>
    <row r="100" spans="1:96" ht="14.25" customHeight="1" x14ac:dyDescent="0.25">
      <c r="A100" s="24"/>
      <c r="B100" s="25"/>
      <c r="C100" s="25"/>
      <c r="D100" s="24"/>
      <c r="E100" s="26"/>
      <c r="F100" s="25"/>
      <c r="G100" s="25"/>
      <c r="H100" s="27"/>
      <c r="I100" s="24"/>
      <c r="J100" s="25"/>
      <c r="K100" s="25"/>
      <c r="L100" s="25"/>
      <c r="M100" s="25"/>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5"/>
      <c r="BF100" s="28" t="str">
        <f>+IF(BA102&gt;1,AZ102,IF(BA103&gt;1,AZ103,IF(BA104&gt;1,AZ104,IF(BA105&gt;1,AZ105,"-"))))</f>
        <v>-</v>
      </c>
      <c r="BG100" s="24"/>
      <c r="BH100" s="24"/>
      <c r="BI100" s="24"/>
      <c r="BJ100" s="24"/>
      <c r="BK100" s="24"/>
      <c r="BL100" s="24"/>
      <c r="BM100" s="24"/>
      <c r="BN100" s="24"/>
      <c r="BO100" s="24"/>
      <c r="BP100" s="24"/>
      <c r="BQ100" s="24"/>
      <c r="BR100" s="24"/>
      <c r="BS100" s="24"/>
      <c r="BT100" s="24"/>
      <c r="BU100" s="24"/>
      <c r="BV100" s="24"/>
      <c r="BW100" s="24">
        <v>10</v>
      </c>
      <c r="BX100" s="24"/>
      <c r="BY100" s="24"/>
      <c r="BZ100" s="29">
        <f>+IF(BC102&gt;1,BB102,IF(BC103&gt;1,BB103,IF(BC104&gt;1,BB104,IF(BC105&gt;1,BB105,"-"))))</f>
        <v>9</v>
      </c>
      <c r="CA100" s="24"/>
      <c r="CB100" s="24"/>
      <c r="CC100" s="24"/>
      <c r="CD100" s="24"/>
      <c r="CE100" s="24"/>
      <c r="CF100" s="24"/>
      <c r="CG100" s="24"/>
      <c r="CH100" s="24"/>
      <c r="CI100" s="24"/>
      <c r="CJ100" s="24"/>
      <c r="CK100" s="24"/>
      <c r="CL100" s="24"/>
      <c r="CM100" s="24"/>
      <c r="CN100" s="24"/>
      <c r="CO100" s="24"/>
      <c r="CP100" s="24"/>
      <c r="CQ100" s="24">
        <v>10</v>
      </c>
      <c r="CR100" s="24"/>
    </row>
    <row r="101" spans="1:96" ht="14.25" customHeight="1" x14ac:dyDescent="0.25">
      <c r="A101" s="201" t="s">
        <v>100</v>
      </c>
      <c r="B101" s="202" t="s">
        <v>101</v>
      </c>
      <c r="C101" s="202" t="s">
        <v>102</v>
      </c>
      <c r="D101" s="203"/>
      <c r="E101" s="204" t="s">
        <v>195</v>
      </c>
      <c r="F101" s="205"/>
      <c r="G101" s="205"/>
      <c r="H101" s="206"/>
      <c r="I101" s="24"/>
      <c r="J101" s="25" t="s">
        <v>104</v>
      </c>
      <c r="K101" s="25" t="s">
        <v>105</v>
      </c>
      <c r="L101" s="25" t="s">
        <v>105</v>
      </c>
      <c r="M101" s="25" t="s">
        <v>106</v>
      </c>
      <c r="N101" s="24"/>
      <c r="O101" s="27" t="str">
        <f t="shared" ref="O101:O102" si="516">+E101</f>
        <v>Grupo L</v>
      </c>
      <c r="P101" s="25" t="s">
        <v>104</v>
      </c>
      <c r="Q101" s="25" t="s">
        <v>105</v>
      </c>
      <c r="R101" s="25" t="s">
        <v>106</v>
      </c>
      <c r="S101" s="25" t="s">
        <v>107</v>
      </c>
      <c r="T101" s="25" t="s">
        <v>108</v>
      </c>
      <c r="U101" s="25" t="s">
        <v>109</v>
      </c>
      <c r="V101" s="25" t="s">
        <v>0</v>
      </c>
      <c r="W101" s="25"/>
      <c r="X101" s="24"/>
      <c r="Y101" s="479" t="s">
        <v>195</v>
      </c>
      <c r="Z101" s="475"/>
      <c r="AA101" s="207" t="s">
        <v>110</v>
      </c>
      <c r="AB101" s="208" t="s">
        <v>104</v>
      </c>
      <c r="AC101" s="208" t="s">
        <v>105</v>
      </c>
      <c r="AD101" s="208" t="s">
        <v>106</v>
      </c>
      <c r="AE101" s="208" t="s">
        <v>107</v>
      </c>
      <c r="AF101" s="208" t="s">
        <v>108</v>
      </c>
      <c r="AG101" s="208" t="s">
        <v>109</v>
      </c>
      <c r="AH101" s="209" t="s">
        <v>0</v>
      </c>
      <c r="AI101" s="168"/>
      <c r="AJ101" s="24"/>
      <c r="AK101" s="24"/>
      <c r="AL101" s="25" t="s">
        <v>0</v>
      </c>
      <c r="AM101" s="25" t="s">
        <v>111</v>
      </c>
      <c r="AN101" s="25"/>
      <c r="AO101" s="25"/>
      <c r="AP101" s="25"/>
      <c r="AQ101" s="25"/>
      <c r="AR101" s="25"/>
      <c r="AS101" s="25"/>
      <c r="AT101" s="25"/>
      <c r="AU101" s="25"/>
      <c r="AV101" s="24"/>
      <c r="AW101" s="24"/>
      <c r="AX101" s="24"/>
      <c r="AY101" s="25" t="s">
        <v>112</v>
      </c>
      <c r="AZ101" s="25" t="s">
        <v>0</v>
      </c>
      <c r="BA101" s="25" t="s">
        <v>113</v>
      </c>
      <c r="BB101" s="25"/>
      <c r="BC101" s="25"/>
      <c r="BD101" s="25"/>
      <c r="BE101" s="25"/>
      <c r="BF101" s="24"/>
      <c r="BG101" s="24"/>
      <c r="BH101" s="24"/>
      <c r="BI101" s="24"/>
      <c r="BJ101" s="24"/>
      <c r="BK101" s="27"/>
      <c r="BL101" s="27" t="s">
        <v>110</v>
      </c>
      <c r="BM101" s="25" t="s">
        <v>104</v>
      </c>
      <c r="BN101" s="25" t="s">
        <v>105</v>
      </c>
      <c r="BO101" s="25" t="s">
        <v>106</v>
      </c>
      <c r="BP101" s="25" t="s">
        <v>107</v>
      </c>
      <c r="BQ101" s="25" t="s">
        <v>108</v>
      </c>
      <c r="BR101" s="25" t="s">
        <v>109</v>
      </c>
      <c r="BS101" s="25" t="s">
        <v>0</v>
      </c>
      <c r="BT101" s="25" t="s">
        <v>114</v>
      </c>
      <c r="BU101" s="25"/>
      <c r="BV101" s="25" t="s">
        <v>115</v>
      </c>
      <c r="BW101" s="25" t="s">
        <v>114</v>
      </c>
      <c r="BX101" s="24"/>
      <c r="BY101" s="24"/>
      <c r="BZ101" s="24"/>
      <c r="CA101" s="24"/>
      <c r="CB101" s="24"/>
      <c r="CC101" s="24"/>
      <c r="CD101" s="24"/>
      <c r="CE101" s="27"/>
      <c r="CF101" s="27" t="s">
        <v>110</v>
      </c>
      <c r="CG101" s="25" t="s">
        <v>104</v>
      </c>
      <c r="CH101" s="25" t="s">
        <v>105</v>
      </c>
      <c r="CI101" s="25" t="s">
        <v>106</v>
      </c>
      <c r="CJ101" s="25" t="s">
        <v>107</v>
      </c>
      <c r="CK101" s="25" t="s">
        <v>108</v>
      </c>
      <c r="CL101" s="25" t="s">
        <v>109</v>
      </c>
      <c r="CM101" s="25" t="s">
        <v>0</v>
      </c>
      <c r="CN101" s="25" t="s">
        <v>114</v>
      </c>
      <c r="CO101" s="25"/>
      <c r="CP101" s="25" t="s">
        <v>115</v>
      </c>
      <c r="CQ101" s="25" t="s">
        <v>114</v>
      </c>
      <c r="CR101" s="24"/>
    </row>
    <row r="102" spans="1:96" ht="14.25" customHeight="1" x14ac:dyDescent="0.25">
      <c r="A102" s="47" t="s">
        <v>196</v>
      </c>
      <c r="B102" s="48">
        <v>46190</v>
      </c>
      <c r="C102" s="49"/>
      <c r="D102" s="50"/>
      <c r="E102" s="51" t="s">
        <v>51</v>
      </c>
      <c r="F102" s="52">
        <v>3</v>
      </c>
      <c r="G102" s="52">
        <v>2</v>
      </c>
      <c r="H102" s="53" t="s">
        <v>57</v>
      </c>
      <c r="I102" s="24"/>
      <c r="J102" s="25" t="str">
        <f t="shared" ref="J102:J107" si="517">IF(OR(ISBLANK(F102),ISBLANK(G102)),"",IF(F102&gt;G102,E102,IF(G102&gt;F102,H102,"")))</f>
        <v>Inglaterra</v>
      </c>
      <c r="K102" s="25" t="str">
        <f t="shared" ref="K102:K107" si="518">IF(OR(ISBLANK(F102),ISBLANK(G102)),"",IF(F102=G102,E102,""))</f>
        <v/>
      </c>
      <c r="L102" s="25" t="str">
        <f t="shared" ref="L102:L107" si="519">IF(OR(ISBLANK(F102),ISBLANK(G102)),"",IF(F102=G102,H102,""))</f>
        <v/>
      </c>
      <c r="M102" s="25" t="str">
        <f t="shared" ref="M102:M107" si="520">IF(OR(ISBLANK(F102),ISBLANK(G102)),"",IF(F102&lt;G102,E102,IF(G102&lt;F102,H102,"")))</f>
        <v>Croacia</v>
      </c>
      <c r="N102" s="24"/>
      <c r="O102" s="27" t="str">
        <f t="shared" si="516"/>
        <v>Inglaterra</v>
      </c>
      <c r="P102" s="25">
        <f>+COUNTIF(J102:J107,"="&amp;$O102)</f>
        <v>3</v>
      </c>
      <c r="Q102" s="25">
        <f>+COUNTIF(K102:L107,"="&amp;$O102)</f>
        <v>0</v>
      </c>
      <c r="R102" s="25">
        <f>+COUNTIF(M102:M107,"="&amp;$O102)</f>
        <v>0</v>
      </c>
      <c r="S102" s="25">
        <f t="shared" ref="S102:S105" si="521">+T102-U102</f>
        <v>5</v>
      </c>
      <c r="T102" s="25">
        <f>+SUMIF(E102:E107,$O102,F102:F107)+SUMIF(H102:H107,$O102,G102:G107)</f>
        <v>8</v>
      </c>
      <c r="U102" s="25">
        <f>+SUMIF(E102:E107,$O102,G102:G107)+SUMIF(H102:H107,$O102,F102:F107)</f>
        <v>3</v>
      </c>
      <c r="V102" s="54">
        <f t="shared" ref="V102:V105" ca="1" si="522">+P102*3+Q102*1+BT102+CN102+S102/1000+T102/10000+AV102/1000000+ROW()/10000000</f>
        <v>9.0058132000000004</v>
      </c>
      <c r="W102" s="27" t="str">
        <f t="shared" ref="W102:W105" si="523">+O102</f>
        <v>Inglaterra</v>
      </c>
      <c r="X102" s="24"/>
      <c r="Y102" s="55" t="str">
        <f>+CONCATENATE("1",RIGHT(E101,1))</f>
        <v>1L</v>
      </c>
      <c r="Z102" s="56" t="str">
        <f ca="1">+VLOOKUP(AL102,V102:W105,2,FALSE)</f>
        <v>Inglaterra</v>
      </c>
      <c r="AA102" s="57">
        <f t="shared" ref="AA102:AA105" ca="1" si="524">+SUM(AB102:AD102)</f>
        <v>3</v>
      </c>
      <c r="AB102" s="58">
        <f t="shared" ref="AB102:AH105" ca="1" si="525">+_xlfn.XLOOKUP($Z102,$O:$O,P:P,"Error",0)</f>
        <v>3</v>
      </c>
      <c r="AC102" s="58">
        <f t="shared" ca="1" si="525"/>
        <v>0</v>
      </c>
      <c r="AD102" s="58">
        <f t="shared" ca="1" si="525"/>
        <v>0</v>
      </c>
      <c r="AE102" s="58">
        <f t="shared" ca="1" si="525"/>
        <v>5</v>
      </c>
      <c r="AF102" s="58">
        <f t="shared" ca="1" si="525"/>
        <v>8</v>
      </c>
      <c r="AG102" s="58">
        <f t="shared" ca="1" si="525"/>
        <v>3</v>
      </c>
      <c r="AH102" s="59">
        <f t="shared" ca="1" si="525"/>
        <v>9.0058132000000004</v>
      </c>
      <c r="AI102" s="60"/>
      <c r="AJ102" s="24"/>
      <c r="AK102" s="24"/>
      <c r="AL102" s="54">
        <f ca="1">+LARGE(V102:V105,1)</f>
        <v>9.0058132000000004</v>
      </c>
      <c r="AM102" s="61">
        <f t="shared" ref="AM102:AM105" ca="1" si="526">+(AH102-AL102)*100000000000000000000</f>
        <v>0</v>
      </c>
      <c r="AN102" s="24"/>
      <c r="AO102" s="24"/>
      <c r="AP102" s="62" t="str">
        <f t="shared" ref="AP102:AP105" si="527">+O102</f>
        <v>Inglaterra</v>
      </c>
      <c r="AQ102" s="28">
        <f t="shared" ref="AQ102:AQ105" ca="1" si="528">+P102*3+Q102*1+BT102+CN102+S102/1000+T102/10000</f>
        <v>9.0058000000000007</v>
      </c>
      <c r="AR102" s="24" t="b">
        <f ca="1">+IF(OR(AQ102=AQ103,AQ102=AQ104,AQ102=AQ105),1)</f>
        <v>0</v>
      </c>
      <c r="AS102" s="63">
        <f t="shared" ref="AS102:AS105" si="529">+AV102</f>
        <v>3</v>
      </c>
      <c r="AT102" s="63">
        <f ca="1">+IF(AND(AM106="si",OR(AR102=1,AR103=1,AR104=1)),1,0)</f>
        <v>0</v>
      </c>
      <c r="AU102" s="64" t="str">
        <f t="shared" ref="AU102:AU105" si="530">+O102</f>
        <v>Inglaterra</v>
      </c>
      <c r="AV102" s="65">
        <v>3</v>
      </c>
      <c r="AW102" s="24"/>
      <c r="AX102" s="24" t="str">
        <f>+Y101</f>
        <v>Grupo L</v>
      </c>
      <c r="AY102" s="25" t="str">
        <f t="shared" ref="AY102:AY105" si="531">+O102</f>
        <v>Inglaterra</v>
      </c>
      <c r="AZ102" s="29">
        <f t="shared" ref="AZ102:AZ105" si="532">+P102*3+Q102</f>
        <v>9</v>
      </c>
      <c r="BA102" s="29">
        <f t="shared" ref="BA102:BA105" si="533">+COUNTIFS($AX$1:AX102,AX102,$AZ$1:AZ102,AZ102)</f>
        <v>1</v>
      </c>
      <c r="BB102" s="29">
        <f>+IF(AZ102=BF100,ROW()*0.001,AZ102)</f>
        <v>9</v>
      </c>
      <c r="BC102" s="29">
        <f t="shared" ref="BC102:BC105" si="534">+COUNTIFS($AX$1:AZ102,AZ102,$AZ$1:BB102,BB102)</f>
        <v>8</v>
      </c>
      <c r="BD102" s="29"/>
      <c r="BE102" s="26" t="e">
        <f ca="1">+IF(OR(BF102="-",BI102="-",BF100=0),"-","OK")</f>
        <v>#NAME?</v>
      </c>
      <c r="BF102" s="66" t="e">
        <f t="array" aca="1" ref="BF102" ca="1">+IF(_xludf.XLOOKUP($E102,$AY:$AY,$AZ:$AZ,"-",0)=BF100,$E102,"-")</f>
        <v>#NAME?</v>
      </c>
      <c r="BG102" s="67">
        <f t="shared" ref="BG102:BG107" si="535">+$F102</f>
        <v>3</v>
      </c>
      <c r="BH102" s="68">
        <f t="shared" ref="BH102:BH107" si="536">+$G102</f>
        <v>2</v>
      </c>
      <c r="BI102" s="66" t="e">
        <f t="array" aca="1" ref="BI102" ca="1">+IF(_xludf.XLOOKUP($H102,$AY:$AY,$AZ:$AZ,"-",0)=BF100,$H102,"-")</f>
        <v>#NAME?</v>
      </c>
      <c r="BJ102" s="24"/>
      <c r="BK102" s="27" t="str">
        <f t="shared" ref="BK102:BK105" si="537">+O102</f>
        <v>Inglaterra</v>
      </c>
      <c r="BL102" s="27">
        <f t="shared" ref="BL102:BL105" ca="1" si="538">+COUNTIFS($BE:$BE,"OK",$BI:$BI,BK102)+COUNTIFS($BE:$BE,"OK",$BF:$BF,BK102)</f>
        <v>0</v>
      </c>
      <c r="BM102" s="25">
        <f t="shared" ref="BM102:BM105" ca="1" si="539">+COUNTIFS(J:J,$BK102,$BE:$BE,"OK")</f>
        <v>0</v>
      </c>
      <c r="BN102" s="25">
        <f t="shared" ref="BN102:BN105" si="540">+COUNTIFS(K:K,$BK102,$BE:$BE,"OK")+COUNTIFS(L:L,$BK102,$BE:$BE,"OK")</f>
        <v>0</v>
      </c>
      <c r="BO102" s="25">
        <f t="shared" ref="BO102:BO105" si="541">+COUNTIFS(M:M,$BK102,$BE:$BE,"OK")</f>
        <v>0</v>
      </c>
      <c r="BP102" s="25">
        <f t="shared" ref="BP102:BP105" ca="1" si="542">+BQ102-BR102</f>
        <v>0</v>
      </c>
      <c r="BQ102" s="25">
        <f t="shared" ref="BQ102:BQ105" ca="1" si="543">+SUMIFS(BG:BG,$BE:$BE,"OK",BF:BF,$BK102)+SUMIFS(BH:BH,$BE:$BE,"OK",BI:BI,$BK102)</f>
        <v>0</v>
      </c>
      <c r="BR102" s="25">
        <f t="shared" ref="BR102:BR105" ca="1" si="544">+SUMIFS(BH:BH,$BE:$BE,"OK",BF:BF,$BK102)+SUMIFS(BG:BG,$BE:$BE,"OK",BI:BI,$BK102)</f>
        <v>0</v>
      </c>
      <c r="BS102" s="69">
        <f t="shared" ref="BS102:BS105" ca="1" si="545">+BM102*3+BN102*1+BP102/100+BQ102/10000</f>
        <v>0</v>
      </c>
      <c r="BT102" s="29">
        <f t="array" aca="1" ref="BT102" ca="1">+IF(BL102=0,0,_xludf.XLOOKUP(BS102,BV102:BV105,BW102:BW105))</f>
        <v>0</v>
      </c>
      <c r="BU102" s="54"/>
      <c r="BV102" s="25">
        <f ca="1">+LARGE(BS102:BS105,1)</f>
        <v>0</v>
      </c>
      <c r="BW102" s="25">
        <f t="shared" ref="BW102:BW105" si="546">+BX102/$BW$1</f>
        <v>0.3</v>
      </c>
      <c r="BX102" s="24">
        <v>3</v>
      </c>
      <c r="BY102" s="26" t="e">
        <f t="shared" ref="BY102:BY107" ca="1" si="547">+IF(OR(BZ102="-",CC102="-"),"-","OK")</f>
        <v>#NAME?</v>
      </c>
      <c r="BZ102" s="66" t="e">
        <f t="array" aca="1" ref="BZ102" ca="1">+IF(_xludf.XLOOKUP($E102,$AY:$AY,$AZ:$AZ,"-",0)=BZ100,$E102,"-")</f>
        <v>#NAME?</v>
      </c>
      <c r="CA102" s="67">
        <f t="shared" ref="CA102:CA107" si="548">+$F102</f>
        <v>3</v>
      </c>
      <c r="CB102" s="68">
        <f t="shared" ref="CB102:CB107" si="549">+$G102</f>
        <v>2</v>
      </c>
      <c r="CC102" s="66" t="e">
        <f t="array" aca="1" ref="CC102" ca="1">+IF(_xludf.XLOOKUP($H102,$AY:$AY,$AZ:$AZ,"-",0)=BZ100,$H102,"-")</f>
        <v>#NAME?</v>
      </c>
      <c r="CD102" s="24"/>
      <c r="CE102" s="27" t="str">
        <f t="shared" ref="CE102:CE105" si="550">+BK102</f>
        <v>Inglaterra</v>
      </c>
      <c r="CF102" s="27">
        <f t="shared" ref="CF102:CF105" ca="1" si="551">+COUNTIFS($BY:$BY,"OK",$CC:$CC,CE102)+COUNTIFS($BY:$BY,"OK",$BZ:$BZ,CE102)</f>
        <v>0</v>
      </c>
      <c r="CG102" s="25">
        <f t="shared" ref="CG102:CG105" si="552">+COUNTIFS(P:P,$BK102,$BY:$BY,"OK")</f>
        <v>0</v>
      </c>
      <c r="CH102" s="25">
        <f t="shared" ref="CH102:CH105" si="553">+COUNTIFS(K:K,$BK102,$BY:$BY,"OK")+COUNTIFS(L:L,$BK102,$BY:$BY,"OK")</f>
        <v>0</v>
      </c>
      <c r="CI102" s="25">
        <f t="shared" ref="CI102:CI105" si="554">+COUNTIFS(M:M,$CE102,$BY:$BY,"OK")</f>
        <v>0</v>
      </c>
      <c r="CJ102" s="25">
        <f t="shared" ref="CJ102:CJ105" ca="1" si="555">+CK102-CL102</f>
        <v>0</v>
      </c>
      <c r="CK102" s="25">
        <f t="shared" ref="CK102:CK105" ca="1" si="556">+SUMIFS(CA:CA,$BY:$BY,"OK",BZ:BZ,$BK102)+SUMIFS(CB:CB,$BY:$BY,"OK",CC:CC,$BK102)</f>
        <v>0</v>
      </c>
      <c r="CL102" s="25">
        <f t="shared" ref="CL102:CL105" ca="1" si="557">+SUMIFS(CB:CB,$BY:$BY,"OK",BZ:BZ,$BK102)+SUMIFS(CA:CA,$BY:$BY,"OK",CC:CC,$BK102)</f>
        <v>0</v>
      </c>
      <c r="CM102" s="69">
        <f t="shared" ref="CM102:CM105" ca="1" si="558">+CG102*3+CH102*1+CJ102/100+CK102/10000</f>
        <v>0</v>
      </c>
      <c r="CN102" s="29">
        <f t="array" aca="1" ref="CN102" ca="1">+IF(CF102=0,0,_xludf.XLOOKUP(CM102,CP102:CP105,CQ102:CQ105))</f>
        <v>0</v>
      </c>
      <c r="CO102" s="54"/>
      <c r="CP102" s="25">
        <f ca="1">+LARGE(CM102:CM105,1)</f>
        <v>0</v>
      </c>
      <c r="CQ102" s="25">
        <f t="shared" ref="CQ102:CQ105" si="559">+CR102/$BW$1</f>
        <v>0.3</v>
      </c>
      <c r="CR102" s="24">
        <v>3</v>
      </c>
    </row>
    <row r="103" spans="1:96" ht="14.25" customHeight="1" x14ac:dyDescent="0.25">
      <c r="A103" s="47" t="s">
        <v>197</v>
      </c>
      <c r="B103" s="48">
        <v>46190</v>
      </c>
      <c r="C103" s="49"/>
      <c r="D103" s="50"/>
      <c r="E103" s="51" t="s">
        <v>85</v>
      </c>
      <c r="F103" s="52">
        <v>1</v>
      </c>
      <c r="G103" s="52">
        <v>0</v>
      </c>
      <c r="H103" s="53" t="s">
        <v>77</v>
      </c>
      <c r="I103" s="24"/>
      <c r="J103" s="25" t="str">
        <f t="shared" si="517"/>
        <v>Ghana</v>
      </c>
      <c r="K103" s="25" t="str">
        <f t="shared" si="518"/>
        <v/>
      </c>
      <c r="L103" s="25" t="str">
        <f t="shared" si="519"/>
        <v/>
      </c>
      <c r="M103" s="25" t="str">
        <f t="shared" si="520"/>
        <v>Panama</v>
      </c>
      <c r="N103" s="24"/>
      <c r="O103" s="27" t="str">
        <f>+H102</f>
        <v>Croacia</v>
      </c>
      <c r="P103" s="25">
        <f>+COUNTIF(J102:J107,"="&amp;$O103)</f>
        <v>2</v>
      </c>
      <c r="Q103" s="25">
        <f>+COUNTIF(K102:L107,"="&amp;$O103)</f>
        <v>0</v>
      </c>
      <c r="R103" s="25">
        <f>+COUNTIF(M102:M107,"="&amp;$O103)</f>
        <v>1</v>
      </c>
      <c r="S103" s="25">
        <f t="shared" si="521"/>
        <v>2</v>
      </c>
      <c r="T103" s="25">
        <f>+SUMIF(E102:E107,$O103,F102:F107)+SUMIF(H102:H107,$O103,G102:G107)</f>
        <v>6</v>
      </c>
      <c r="U103" s="25">
        <f>+SUMIF(E102:E107,$O103,G102:G107)+SUMIF(H102:H107,$O103,F102:F107)</f>
        <v>4</v>
      </c>
      <c r="V103" s="54">
        <f t="shared" ca="1" si="522"/>
        <v>6.0026102999999997</v>
      </c>
      <c r="W103" s="27" t="str">
        <f t="shared" si="523"/>
        <v>Croacia</v>
      </c>
      <c r="X103" s="24"/>
      <c r="Y103" s="71" t="str">
        <f>+CONCATENATE("2",RIGHT(E101,1))</f>
        <v>2L</v>
      </c>
      <c r="Z103" s="72" t="str">
        <f ca="1">+VLOOKUP(AL103,V102:W105,2,FALSE)</f>
        <v>Croacia</v>
      </c>
      <c r="AA103" s="73">
        <f t="shared" ca="1" si="524"/>
        <v>3</v>
      </c>
      <c r="AB103" s="58">
        <f t="shared" ca="1" si="525"/>
        <v>2</v>
      </c>
      <c r="AC103" s="58">
        <f t="shared" ca="1" si="525"/>
        <v>0</v>
      </c>
      <c r="AD103" s="58">
        <f t="shared" ca="1" si="525"/>
        <v>1</v>
      </c>
      <c r="AE103" s="58">
        <f t="shared" ca="1" si="525"/>
        <v>2</v>
      </c>
      <c r="AF103" s="58">
        <f t="shared" ca="1" si="525"/>
        <v>6</v>
      </c>
      <c r="AG103" s="58">
        <f t="shared" ca="1" si="525"/>
        <v>4</v>
      </c>
      <c r="AH103" s="75">
        <f t="shared" ca="1" si="525"/>
        <v>6.0026102999999997</v>
      </c>
      <c r="AI103" s="60"/>
      <c r="AJ103" s="24"/>
      <c r="AK103" s="24"/>
      <c r="AL103" s="54">
        <f ca="1">+LARGE(V102:V105,2)</f>
        <v>6.0026102999999997</v>
      </c>
      <c r="AM103" s="61">
        <f t="shared" ca="1" si="526"/>
        <v>0</v>
      </c>
      <c r="AN103" s="24"/>
      <c r="AO103" s="24"/>
      <c r="AP103" s="62" t="str">
        <f t="shared" si="527"/>
        <v>Croacia</v>
      </c>
      <c r="AQ103" s="28">
        <f t="shared" ca="1" si="528"/>
        <v>6.0026000000000002</v>
      </c>
      <c r="AR103" s="24" t="b">
        <f ca="1">+IF(OR(AQ103=AQ104,AQ103=AQ105),1)</f>
        <v>0</v>
      </c>
      <c r="AS103" s="63">
        <f t="shared" si="529"/>
        <v>0</v>
      </c>
      <c r="AT103" s="63">
        <f ca="1">+IF(AND(AM106="si",OR(AR102=1,AR103=1,AR104=1)),1,0)</f>
        <v>0</v>
      </c>
      <c r="AU103" s="76" t="str">
        <f t="shared" si="530"/>
        <v>Croacia</v>
      </c>
      <c r="AV103" s="77"/>
      <c r="AW103" s="24"/>
      <c r="AX103" s="24" t="str">
        <f>+Y101</f>
        <v>Grupo L</v>
      </c>
      <c r="AY103" s="25" t="str">
        <f t="shared" si="531"/>
        <v>Croacia</v>
      </c>
      <c r="AZ103" s="29">
        <f t="shared" si="532"/>
        <v>6</v>
      </c>
      <c r="BA103" s="29">
        <f t="shared" si="533"/>
        <v>1</v>
      </c>
      <c r="BB103" s="29">
        <f>+IF(AZ103=BF100,ROW()*0.001,AZ103)</f>
        <v>6</v>
      </c>
      <c r="BC103" s="29">
        <f t="shared" si="534"/>
        <v>8</v>
      </c>
      <c r="BD103" s="29"/>
      <c r="BE103" s="26" t="e">
        <f ca="1">+IF(OR(BF103="-",BI103="-",BF100=0),"-","OK")</f>
        <v>#NAME?</v>
      </c>
      <c r="BF103" s="66" t="e">
        <f t="array" aca="1" ref="BF103" ca="1">+IF(_xludf.XLOOKUP($E103,$AY:$AY,$AZ:$AZ,"-",0)=BF100,$E103,"-")</f>
        <v>#NAME?</v>
      </c>
      <c r="BG103" s="67">
        <f t="shared" si="535"/>
        <v>1</v>
      </c>
      <c r="BH103" s="68">
        <f t="shared" si="536"/>
        <v>0</v>
      </c>
      <c r="BI103" s="66" t="e">
        <f t="array" aca="1" ref="BI103" ca="1">+IF(_xludf.XLOOKUP($H103,$AY:$AY,$AZ:$AZ,"-",0)=BF100,$H103,"-")</f>
        <v>#NAME?</v>
      </c>
      <c r="BJ103" s="24"/>
      <c r="BK103" s="27" t="str">
        <f t="shared" si="537"/>
        <v>Croacia</v>
      </c>
      <c r="BL103" s="27">
        <f t="shared" ca="1" si="538"/>
        <v>0</v>
      </c>
      <c r="BM103" s="25">
        <f t="shared" ca="1" si="539"/>
        <v>0</v>
      </c>
      <c r="BN103" s="25">
        <f t="shared" si="540"/>
        <v>0</v>
      </c>
      <c r="BO103" s="25">
        <f t="shared" ca="1" si="541"/>
        <v>0</v>
      </c>
      <c r="BP103" s="25">
        <f t="shared" ca="1" si="542"/>
        <v>0</v>
      </c>
      <c r="BQ103" s="25">
        <f t="shared" ca="1" si="543"/>
        <v>0</v>
      </c>
      <c r="BR103" s="25">
        <f t="shared" ca="1" si="544"/>
        <v>0</v>
      </c>
      <c r="BS103" s="69">
        <f t="shared" ca="1" si="545"/>
        <v>0</v>
      </c>
      <c r="BT103" s="29">
        <f t="array" aca="1" ref="BT103" ca="1">+IF(BL103=0,0,_xludf.XLOOKUP(BS103,BV102:BV105,BW102:BW105))</f>
        <v>0</v>
      </c>
      <c r="BU103" s="54"/>
      <c r="BV103" s="25">
        <f ca="1">+LARGE(BS102:BS105,2)</f>
        <v>0</v>
      </c>
      <c r="BW103" s="25">
        <f t="shared" si="546"/>
        <v>0.2</v>
      </c>
      <c r="BX103" s="24">
        <v>2</v>
      </c>
      <c r="BY103" s="26" t="e">
        <f t="shared" ca="1" si="547"/>
        <v>#NAME?</v>
      </c>
      <c r="BZ103" s="66" t="e">
        <f t="array" aca="1" ref="BZ103" ca="1">+IF(_xludf.XLOOKUP($E103,$AY:$AY,$AZ:$AZ,"-",0)=BZ100,$E103,"-")</f>
        <v>#NAME?</v>
      </c>
      <c r="CA103" s="67">
        <f t="shared" si="548"/>
        <v>1</v>
      </c>
      <c r="CB103" s="68">
        <f t="shared" si="549"/>
        <v>0</v>
      </c>
      <c r="CC103" s="66" t="e">
        <f t="array" aca="1" ref="CC103" ca="1">+IF(_xludf.XLOOKUP($H103,$AY:$AY,$AZ:$AZ,"-",0)=BZ100,$H103,"-")</f>
        <v>#NAME?</v>
      </c>
      <c r="CD103" s="24"/>
      <c r="CE103" s="27" t="str">
        <f t="shared" si="550"/>
        <v>Croacia</v>
      </c>
      <c r="CF103" s="27">
        <f t="shared" ca="1" si="551"/>
        <v>0</v>
      </c>
      <c r="CG103" s="25">
        <f t="shared" si="552"/>
        <v>0</v>
      </c>
      <c r="CH103" s="25">
        <f t="shared" si="553"/>
        <v>0</v>
      </c>
      <c r="CI103" s="25">
        <f t="shared" ca="1" si="554"/>
        <v>0</v>
      </c>
      <c r="CJ103" s="25">
        <f t="shared" ca="1" si="555"/>
        <v>0</v>
      </c>
      <c r="CK103" s="25">
        <f t="shared" ca="1" si="556"/>
        <v>0</v>
      </c>
      <c r="CL103" s="25">
        <f t="shared" ca="1" si="557"/>
        <v>0</v>
      </c>
      <c r="CM103" s="69">
        <f t="shared" ca="1" si="558"/>
        <v>0</v>
      </c>
      <c r="CN103" s="29">
        <f t="array" aca="1" ref="CN103" ca="1">+IF(CF103=0,0,_xludf.XLOOKUP(CM103,CP102:CP105,CQ102:CQ105))</f>
        <v>0</v>
      </c>
      <c r="CO103" s="54"/>
      <c r="CP103" s="25">
        <f ca="1">+LARGE(CM102:CM105,2)</f>
        <v>0</v>
      </c>
      <c r="CQ103" s="25">
        <f t="shared" si="559"/>
        <v>0.2</v>
      </c>
      <c r="CR103" s="24">
        <v>2</v>
      </c>
    </row>
    <row r="104" spans="1:96" ht="14.25" customHeight="1" x14ac:dyDescent="0.25">
      <c r="A104" s="47" t="s">
        <v>198</v>
      </c>
      <c r="B104" s="48">
        <v>46196</v>
      </c>
      <c r="C104" s="49"/>
      <c r="D104" s="50"/>
      <c r="E104" s="51" t="s">
        <v>51</v>
      </c>
      <c r="F104" s="52">
        <v>3</v>
      </c>
      <c r="G104" s="52">
        <v>1</v>
      </c>
      <c r="H104" s="53" t="s">
        <v>85</v>
      </c>
      <c r="I104" s="24"/>
      <c r="J104" s="25" t="str">
        <f t="shared" si="517"/>
        <v>Inglaterra</v>
      </c>
      <c r="K104" s="25" t="str">
        <f t="shared" si="518"/>
        <v/>
      </c>
      <c r="L104" s="25" t="str">
        <f t="shared" si="519"/>
        <v/>
      </c>
      <c r="M104" s="25" t="str">
        <f t="shared" si="520"/>
        <v>Ghana</v>
      </c>
      <c r="N104" s="24"/>
      <c r="O104" s="27" t="str">
        <f>+E103</f>
        <v>Ghana</v>
      </c>
      <c r="P104" s="25">
        <f>+COUNTIF(J102:J107,"="&amp;$O104)</f>
        <v>1</v>
      </c>
      <c r="Q104" s="25">
        <f>+COUNTIF(K102:L107,"="&amp;$O104)</f>
        <v>0</v>
      </c>
      <c r="R104" s="25">
        <f>+COUNTIF(M102:M107,"="&amp;$O104)</f>
        <v>2</v>
      </c>
      <c r="S104" s="25">
        <f t="shared" si="521"/>
        <v>-2</v>
      </c>
      <c r="T104" s="25">
        <f>+SUMIF(E102:E107,$O104,F102:F107)+SUMIF(H102:H107,$O104,G102:G107)</f>
        <v>3</v>
      </c>
      <c r="U104" s="25">
        <f>+SUMIF(E102:E107,$O104,G102:G107)+SUMIF(H102:H107,$O104,F102:F107)</f>
        <v>5</v>
      </c>
      <c r="V104" s="54">
        <f t="shared" ca="1" si="522"/>
        <v>2.9983104000000003</v>
      </c>
      <c r="W104" s="27" t="str">
        <f t="shared" si="523"/>
        <v>Ghana</v>
      </c>
      <c r="X104" s="24"/>
      <c r="Y104" s="78" t="str">
        <f>+CONCATENATE("3",RIGHT(E101,1))</f>
        <v>3L</v>
      </c>
      <c r="Z104" s="79" t="str">
        <f ca="1">+VLOOKUP(AL104,V102:W105,2,FALSE)</f>
        <v>Ghana</v>
      </c>
      <c r="AA104" s="80">
        <f t="shared" ca="1" si="524"/>
        <v>3</v>
      </c>
      <c r="AB104" s="81">
        <f t="shared" ca="1" si="525"/>
        <v>1</v>
      </c>
      <c r="AC104" s="81">
        <f t="shared" ca="1" si="525"/>
        <v>0</v>
      </c>
      <c r="AD104" s="81">
        <f t="shared" ca="1" si="525"/>
        <v>2</v>
      </c>
      <c r="AE104" s="81">
        <f t="shared" ca="1" si="525"/>
        <v>-2</v>
      </c>
      <c r="AF104" s="81">
        <f t="shared" ca="1" si="525"/>
        <v>3</v>
      </c>
      <c r="AG104" s="81">
        <f t="shared" ca="1" si="525"/>
        <v>5</v>
      </c>
      <c r="AH104" s="82">
        <f t="shared" ca="1" si="525"/>
        <v>2.9983104000000003</v>
      </c>
      <c r="AI104" s="83">
        <f ca="1">+(COUNTIFS($CV$2:$CV$13,Z104,$CX$2:$CX$13,"IN")+COUNTIFS($CV$2:$CV$13,Z104,$CW$2:$CW$13,"IN"))*IF(SUM(AA102:AA105)=12,1,0)</f>
        <v>1</v>
      </c>
      <c r="AJ104" s="24"/>
      <c r="AK104" s="24"/>
      <c r="AL104" s="54">
        <f ca="1">+LARGE(V102:V105,3)</f>
        <v>2.9983104000000003</v>
      </c>
      <c r="AM104" s="61">
        <f t="shared" ca="1" si="526"/>
        <v>0</v>
      </c>
      <c r="AN104" s="24"/>
      <c r="AO104" s="24"/>
      <c r="AP104" s="62" t="str">
        <f t="shared" si="527"/>
        <v>Ghana</v>
      </c>
      <c r="AQ104" s="28">
        <f t="shared" ca="1" si="528"/>
        <v>2.9983000000000004</v>
      </c>
      <c r="AR104" s="24" t="b">
        <f ca="1">+IF(OR(AQ104=AQ105),1)</f>
        <v>0</v>
      </c>
      <c r="AS104" s="63">
        <f t="shared" si="529"/>
        <v>0</v>
      </c>
      <c r="AT104" s="63">
        <f ca="1">+IF(AND(AM106="si",OR(AR102=1,AR103=1,AR104=1)),1,0)</f>
        <v>0</v>
      </c>
      <c r="AU104" s="76" t="str">
        <f t="shared" si="530"/>
        <v>Ghana</v>
      </c>
      <c r="AV104" s="77"/>
      <c r="AW104" s="24"/>
      <c r="AX104" s="24" t="str">
        <f>+Y101</f>
        <v>Grupo L</v>
      </c>
      <c r="AY104" s="25" t="str">
        <f t="shared" si="531"/>
        <v>Ghana</v>
      </c>
      <c r="AZ104" s="29">
        <f t="shared" si="532"/>
        <v>3</v>
      </c>
      <c r="BA104" s="29">
        <f t="shared" si="533"/>
        <v>1</v>
      </c>
      <c r="BB104" s="29">
        <f>+IF(AZ104=BF100,ROW()*0.001,AZ104)</f>
        <v>3</v>
      </c>
      <c r="BC104" s="29">
        <f t="shared" si="534"/>
        <v>9</v>
      </c>
      <c r="BD104" s="29"/>
      <c r="BE104" s="26" t="e">
        <f ca="1">+IF(OR(BF104="-",BI104="-",BF100=0),"-","OK")</f>
        <v>#NAME?</v>
      </c>
      <c r="BF104" s="66" t="e">
        <f t="array" aca="1" ref="BF104" ca="1">+IF(_xludf.XLOOKUP($E104,$AY:$AY,$AZ:$AZ,"-",0)=BF100,$E104,"-")</f>
        <v>#NAME?</v>
      </c>
      <c r="BG104" s="67">
        <f t="shared" si="535"/>
        <v>3</v>
      </c>
      <c r="BH104" s="68">
        <f t="shared" si="536"/>
        <v>1</v>
      </c>
      <c r="BI104" s="66" t="e">
        <f t="array" aca="1" ref="BI104" ca="1">+IF(_xludf.XLOOKUP($H104,$AY:$AY,$AZ:$AZ,"-",0)=BF100,$H104,"-")</f>
        <v>#NAME?</v>
      </c>
      <c r="BJ104" s="24"/>
      <c r="BK104" s="27" t="str">
        <f t="shared" si="537"/>
        <v>Ghana</v>
      </c>
      <c r="BL104" s="27">
        <f t="shared" ca="1" si="538"/>
        <v>0</v>
      </c>
      <c r="BM104" s="25">
        <f t="shared" ca="1" si="539"/>
        <v>0</v>
      </c>
      <c r="BN104" s="25">
        <f t="shared" si="540"/>
        <v>0</v>
      </c>
      <c r="BO104" s="25">
        <f t="shared" ca="1" si="541"/>
        <v>0</v>
      </c>
      <c r="BP104" s="25">
        <f t="shared" ca="1" si="542"/>
        <v>0</v>
      </c>
      <c r="BQ104" s="25">
        <f t="shared" ca="1" si="543"/>
        <v>0</v>
      </c>
      <c r="BR104" s="25">
        <f t="shared" ca="1" si="544"/>
        <v>0</v>
      </c>
      <c r="BS104" s="69">
        <f t="shared" ca="1" si="545"/>
        <v>0</v>
      </c>
      <c r="BT104" s="29">
        <f t="array" aca="1" ref="BT104" ca="1">+IF(BL104=0,0,_xludf.XLOOKUP(BS104,BV102:BV105,BW102:BW105))</f>
        <v>0</v>
      </c>
      <c r="BU104" s="54"/>
      <c r="BV104" s="25">
        <f ca="1">+LARGE(BS102:BS105,3)</f>
        <v>0</v>
      </c>
      <c r="BW104" s="25">
        <f t="shared" si="546"/>
        <v>0.1</v>
      </c>
      <c r="BX104" s="24">
        <v>1</v>
      </c>
      <c r="BY104" s="26" t="e">
        <f t="shared" ca="1" si="547"/>
        <v>#NAME?</v>
      </c>
      <c r="BZ104" s="66" t="e">
        <f t="array" aca="1" ref="BZ104" ca="1">+IF(_xludf.XLOOKUP($E104,$AY:$AY,$AZ:$AZ,"-",0)=BZ100,$E104,"-")</f>
        <v>#NAME?</v>
      </c>
      <c r="CA104" s="67">
        <f t="shared" si="548"/>
        <v>3</v>
      </c>
      <c r="CB104" s="68">
        <f t="shared" si="549"/>
        <v>1</v>
      </c>
      <c r="CC104" s="66" t="e">
        <f t="array" aca="1" ref="CC104" ca="1">+IF(_xludf.XLOOKUP($H104,$AY:$AY,$AZ:$AZ,"-",0)=BZ100,$H104,"-")</f>
        <v>#NAME?</v>
      </c>
      <c r="CD104" s="24"/>
      <c r="CE104" s="27" t="str">
        <f t="shared" si="550"/>
        <v>Ghana</v>
      </c>
      <c r="CF104" s="27">
        <f t="shared" ca="1" si="551"/>
        <v>0</v>
      </c>
      <c r="CG104" s="25">
        <f t="shared" si="552"/>
        <v>0</v>
      </c>
      <c r="CH104" s="25">
        <f t="shared" si="553"/>
        <v>0</v>
      </c>
      <c r="CI104" s="25">
        <f t="shared" ca="1" si="554"/>
        <v>0</v>
      </c>
      <c r="CJ104" s="25">
        <f t="shared" ca="1" si="555"/>
        <v>0</v>
      </c>
      <c r="CK104" s="25">
        <f t="shared" ca="1" si="556"/>
        <v>0</v>
      </c>
      <c r="CL104" s="25">
        <f t="shared" ca="1" si="557"/>
        <v>0</v>
      </c>
      <c r="CM104" s="69">
        <f t="shared" ca="1" si="558"/>
        <v>0</v>
      </c>
      <c r="CN104" s="29">
        <f t="array" aca="1" ref="CN104" ca="1">+IF(CF104=0,0,_xludf.XLOOKUP(CM104,CP102:CP105,CQ102:CQ105))</f>
        <v>0</v>
      </c>
      <c r="CO104" s="54"/>
      <c r="CP104" s="25">
        <f ca="1">+LARGE(CM102:CM105,3)</f>
        <v>0</v>
      </c>
      <c r="CQ104" s="25">
        <f t="shared" si="559"/>
        <v>0.1</v>
      </c>
      <c r="CR104" s="24">
        <v>1</v>
      </c>
    </row>
    <row r="105" spans="1:96" ht="14.25" customHeight="1" x14ac:dyDescent="0.25">
      <c r="A105" s="47" t="s">
        <v>199</v>
      </c>
      <c r="B105" s="48">
        <v>46196</v>
      </c>
      <c r="C105" s="49"/>
      <c r="D105" s="50"/>
      <c r="E105" s="51" t="s">
        <v>77</v>
      </c>
      <c r="F105" s="52">
        <v>0</v>
      </c>
      <c r="G105" s="52">
        <v>2</v>
      </c>
      <c r="H105" s="53" t="s">
        <v>57</v>
      </c>
      <c r="I105" s="24"/>
      <c r="J105" s="25" t="str">
        <f t="shared" si="517"/>
        <v>Croacia</v>
      </c>
      <c r="K105" s="25" t="str">
        <f t="shared" si="518"/>
        <v/>
      </c>
      <c r="L105" s="25" t="str">
        <f t="shared" si="519"/>
        <v/>
      </c>
      <c r="M105" s="25" t="str">
        <f t="shared" si="520"/>
        <v>Panama</v>
      </c>
      <c r="N105" s="24"/>
      <c r="O105" s="27" t="str">
        <f>+H103</f>
        <v>Panama</v>
      </c>
      <c r="P105" s="25">
        <f>+COUNTIF(J102:J107,"="&amp;$O105)</f>
        <v>0</v>
      </c>
      <c r="Q105" s="25">
        <f>+COUNTIF(K102:L107,"="&amp;$O105)</f>
        <v>0</v>
      </c>
      <c r="R105" s="25">
        <f>+COUNTIF(M102:M107,"="&amp;$O105)</f>
        <v>3</v>
      </c>
      <c r="S105" s="25">
        <f t="shared" si="521"/>
        <v>-5</v>
      </c>
      <c r="T105" s="25">
        <f>+SUMIF(E102:E107,$O105,F102:F107)+SUMIF(H102:H107,$O105,G102:G107)</f>
        <v>0</v>
      </c>
      <c r="U105" s="25">
        <f>+SUMIF(E102:E107,$O105,G102:G107)+SUMIF(H102:H107,$O105,F102:F107)</f>
        <v>5</v>
      </c>
      <c r="V105" s="54">
        <f t="shared" ca="1" si="522"/>
        <v>-4.9895E-3</v>
      </c>
      <c r="W105" s="27" t="str">
        <f t="shared" si="523"/>
        <v>Panama</v>
      </c>
      <c r="X105" s="24"/>
      <c r="Y105" s="84" t="str">
        <f>+CONCATENATE("4",RIGHT(E101,1))</f>
        <v>4L</v>
      </c>
      <c r="Z105" s="85" t="str">
        <f ca="1">+VLOOKUP(AL105,V102:W105,2,FALSE)</f>
        <v>Panama</v>
      </c>
      <c r="AA105" s="86">
        <f t="shared" ca="1" si="524"/>
        <v>3</v>
      </c>
      <c r="AB105" s="87">
        <f t="shared" ca="1" si="525"/>
        <v>0</v>
      </c>
      <c r="AC105" s="87">
        <f t="shared" ca="1" si="525"/>
        <v>0</v>
      </c>
      <c r="AD105" s="87">
        <f t="shared" ca="1" si="525"/>
        <v>3</v>
      </c>
      <c r="AE105" s="87">
        <f t="shared" ca="1" si="525"/>
        <v>-5</v>
      </c>
      <c r="AF105" s="87">
        <f t="shared" ca="1" si="525"/>
        <v>0</v>
      </c>
      <c r="AG105" s="87">
        <f t="shared" ca="1" si="525"/>
        <v>5</v>
      </c>
      <c r="AH105" s="88">
        <f t="shared" ca="1" si="525"/>
        <v>-4.9895E-3</v>
      </c>
      <c r="AI105" s="83"/>
      <c r="AJ105" s="24"/>
      <c r="AK105" s="24"/>
      <c r="AL105" s="54">
        <f ca="1">+LARGE(V102:V105,4)</f>
        <v>-4.9895E-3</v>
      </c>
      <c r="AM105" s="61">
        <f t="shared" ca="1" si="526"/>
        <v>0</v>
      </c>
      <c r="AN105" s="24"/>
      <c r="AO105" s="24"/>
      <c r="AP105" s="62" t="str">
        <f t="shared" si="527"/>
        <v>Panama</v>
      </c>
      <c r="AQ105" s="28">
        <f t="shared" ca="1" si="528"/>
        <v>-5.0000000000000001E-3</v>
      </c>
      <c r="AR105" s="24"/>
      <c r="AS105" s="63">
        <f t="shared" si="529"/>
        <v>0</v>
      </c>
      <c r="AT105" s="63">
        <f ca="1">+IF(AND(AM106="si",OR(AR102=1,AR103=1,AR104=1)),1,0)</f>
        <v>0</v>
      </c>
      <c r="AU105" s="89" t="str">
        <f t="shared" si="530"/>
        <v>Panama</v>
      </c>
      <c r="AV105" s="90"/>
      <c r="AW105" s="24"/>
      <c r="AX105" s="24" t="str">
        <f>+Y101</f>
        <v>Grupo L</v>
      </c>
      <c r="AY105" s="25" t="str">
        <f t="shared" si="531"/>
        <v>Panama</v>
      </c>
      <c r="AZ105" s="29">
        <f t="shared" si="532"/>
        <v>0</v>
      </c>
      <c r="BA105" s="29">
        <f t="shared" si="533"/>
        <v>1</v>
      </c>
      <c r="BB105" s="29">
        <f>+IF(AZ105=BF100,ROW()*0.001,AZ105)</f>
        <v>0</v>
      </c>
      <c r="BC105" s="29">
        <f t="shared" si="534"/>
        <v>11</v>
      </c>
      <c r="BD105" s="29"/>
      <c r="BE105" s="26" t="e">
        <f ca="1">+IF(OR(BF105="-",BI105="-",BF100=0),"-","OK")</f>
        <v>#NAME?</v>
      </c>
      <c r="BF105" s="66" t="e">
        <f t="array" aca="1" ref="BF105" ca="1">+IF(_xludf.XLOOKUP($E105,$AY:$AY,$AZ:$AZ,"-",0)=BF100,$E105,"-")</f>
        <v>#NAME?</v>
      </c>
      <c r="BG105" s="67">
        <f t="shared" si="535"/>
        <v>0</v>
      </c>
      <c r="BH105" s="68">
        <f t="shared" si="536"/>
        <v>2</v>
      </c>
      <c r="BI105" s="66" t="e">
        <f t="array" aca="1" ref="BI105" ca="1">+IF(_xludf.XLOOKUP($H105,$AY:$AY,$AZ:$AZ,"-",0)=BF100,$H105,"-")</f>
        <v>#NAME?</v>
      </c>
      <c r="BJ105" s="24"/>
      <c r="BK105" s="27" t="str">
        <f t="shared" si="537"/>
        <v>Panama</v>
      </c>
      <c r="BL105" s="27">
        <f t="shared" ca="1" si="538"/>
        <v>0</v>
      </c>
      <c r="BM105" s="25">
        <f t="shared" si="539"/>
        <v>0</v>
      </c>
      <c r="BN105" s="25">
        <f t="shared" si="540"/>
        <v>0</v>
      </c>
      <c r="BO105" s="25">
        <f t="shared" ca="1" si="541"/>
        <v>0</v>
      </c>
      <c r="BP105" s="25">
        <f t="shared" ca="1" si="542"/>
        <v>0</v>
      </c>
      <c r="BQ105" s="25">
        <f t="shared" ca="1" si="543"/>
        <v>0</v>
      </c>
      <c r="BR105" s="25">
        <f t="shared" ca="1" si="544"/>
        <v>0</v>
      </c>
      <c r="BS105" s="69">
        <f t="shared" ca="1" si="545"/>
        <v>0</v>
      </c>
      <c r="BT105" s="29">
        <f t="array" aca="1" ref="BT105" ca="1">+IF(BL105=0,0,_xludf.XLOOKUP(BS105,BV102:BV105,BW102:BW105))</f>
        <v>0</v>
      </c>
      <c r="BU105" s="54"/>
      <c r="BV105" s="25">
        <f ca="1">+LARGE(BS102:BS105,4)</f>
        <v>0</v>
      </c>
      <c r="BW105" s="25">
        <f t="shared" si="546"/>
        <v>0</v>
      </c>
      <c r="BX105" s="24">
        <v>0</v>
      </c>
      <c r="BY105" s="26" t="e">
        <f t="shared" ca="1" si="547"/>
        <v>#NAME?</v>
      </c>
      <c r="BZ105" s="66" t="e">
        <f t="array" aca="1" ref="BZ105" ca="1">+IF(_xludf.XLOOKUP($E105,$AY:$AY,$AZ:$AZ,"-",0)=BZ100,$E105,"-")</f>
        <v>#NAME?</v>
      </c>
      <c r="CA105" s="67">
        <f t="shared" si="548"/>
        <v>0</v>
      </c>
      <c r="CB105" s="68">
        <f t="shared" si="549"/>
        <v>2</v>
      </c>
      <c r="CC105" s="66" t="e">
        <f t="array" aca="1" ref="CC105" ca="1">+IF(_xludf.XLOOKUP($H105,$AY:$AY,$AZ:$AZ,"-",0)=BZ100,$H105,"-")</f>
        <v>#NAME?</v>
      </c>
      <c r="CD105" s="24"/>
      <c r="CE105" s="27" t="str">
        <f t="shared" si="550"/>
        <v>Panama</v>
      </c>
      <c r="CF105" s="27">
        <f t="shared" ca="1" si="551"/>
        <v>0</v>
      </c>
      <c r="CG105" s="25">
        <f t="shared" si="552"/>
        <v>0</v>
      </c>
      <c r="CH105" s="25">
        <f t="shared" si="553"/>
        <v>0</v>
      </c>
      <c r="CI105" s="25">
        <f t="shared" ca="1" si="554"/>
        <v>0</v>
      </c>
      <c r="CJ105" s="25">
        <f t="shared" ca="1" si="555"/>
        <v>0</v>
      </c>
      <c r="CK105" s="25">
        <f t="shared" ca="1" si="556"/>
        <v>0</v>
      </c>
      <c r="CL105" s="25">
        <f t="shared" ca="1" si="557"/>
        <v>0</v>
      </c>
      <c r="CM105" s="69">
        <f t="shared" ca="1" si="558"/>
        <v>0</v>
      </c>
      <c r="CN105" s="29">
        <f t="array" aca="1" ref="CN105" ca="1">+IF(CF105=0,0,_xludf.XLOOKUP(CM105,CP102:CP105,CQ102:CQ105))</f>
        <v>0</v>
      </c>
      <c r="CO105" s="54"/>
      <c r="CP105" s="25">
        <f ca="1">+LARGE(CM102:CM105,4)</f>
        <v>0</v>
      </c>
      <c r="CQ105" s="25">
        <f t="shared" si="559"/>
        <v>0</v>
      </c>
      <c r="CR105" s="24">
        <v>0</v>
      </c>
    </row>
    <row r="106" spans="1:96" ht="14.25" customHeight="1" x14ac:dyDescent="0.25">
      <c r="A106" s="47" t="s">
        <v>200</v>
      </c>
      <c r="B106" s="48">
        <v>46200</v>
      </c>
      <c r="C106" s="49"/>
      <c r="D106" s="50"/>
      <c r="E106" s="51" t="s">
        <v>77</v>
      </c>
      <c r="F106" s="52">
        <v>0</v>
      </c>
      <c r="G106" s="52">
        <v>2</v>
      </c>
      <c r="H106" s="53" t="s">
        <v>51</v>
      </c>
      <c r="I106" s="24"/>
      <c r="J106" s="25" t="str">
        <f t="shared" si="517"/>
        <v>Inglaterra</v>
      </c>
      <c r="K106" s="25" t="str">
        <f t="shared" si="518"/>
        <v/>
      </c>
      <c r="L106" s="25" t="str">
        <f t="shared" si="519"/>
        <v/>
      </c>
      <c r="M106" s="25" t="str">
        <f t="shared" si="520"/>
        <v>Panama</v>
      </c>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6" t="s">
        <v>122</v>
      </c>
      <c r="AM106" s="61" t="str">
        <f ca="1">+IF(SUM(AA102:AA105)=12,"si","no")</f>
        <v>si</v>
      </c>
      <c r="AN106" s="24"/>
      <c r="AO106" s="24"/>
      <c r="AP106" s="24"/>
      <c r="AQ106" s="24"/>
      <c r="AR106" s="24"/>
      <c r="AS106" s="24"/>
      <c r="AT106" s="24"/>
      <c r="AU106" s="24"/>
      <c r="AV106" s="24"/>
      <c r="AW106" s="24"/>
      <c r="AX106" s="24"/>
      <c r="AY106" s="24"/>
      <c r="AZ106" s="24"/>
      <c r="BA106" s="24"/>
      <c r="BB106" s="24"/>
      <c r="BC106" s="24"/>
      <c r="BD106" s="24"/>
      <c r="BE106" s="26" t="e">
        <f ca="1">+IF(OR(BF106="-",BI106="-",BF100=0),"-","OK")</f>
        <v>#NAME?</v>
      </c>
      <c r="BF106" s="66" t="e">
        <f t="array" aca="1" ref="BF106" ca="1">+IF(_xludf.XLOOKUP($E106,$AY:$AY,$AZ:$AZ,"-",0)=BF100,$E106,"-")</f>
        <v>#NAME?</v>
      </c>
      <c r="BG106" s="67">
        <f t="shared" si="535"/>
        <v>0</v>
      </c>
      <c r="BH106" s="68">
        <f t="shared" si="536"/>
        <v>2</v>
      </c>
      <c r="BI106" s="66" t="e">
        <f t="array" aca="1" ref="BI106" ca="1">+IF(_xludf.XLOOKUP($H106,$AY:$AY,$AZ:$AZ,"-",0)=BF100,$H106,"-")</f>
        <v>#NAME?</v>
      </c>
      <c r="BJ106" s="24"/>
      <c r="BK106" s="24"/>
      <c r="BL106" s="24"/>
      <c r="BM106" s="24"/>
      <c r="BN106" s="24"/>
      <c r="BO106" s="24"/>
      <c r="BP106" s="24"/>
      <c r="BQ106" s="24"/>
      <c r="BR106" s="24"/>
      <c r="BS106" s="24"/>
      <c r="BT106" s="24"/>
      <c r="BU106" s="24"/>
      <c r="BV106" s="24"/>
      <c r="BW106" s="24"/>
      <c r="BX106" s="24"/>
      <c r="BY106" s="26" t="e">
        <f t="shared" ca="1" si="547"/>
        <v>#NAME?</v>
      </c>
      <c r="BZ106" s="66" t="e">
        <f t="array" aca="1" ref="BZ106" ca="1">+IF(_xludf.XLOOKUP($E106,$AY:$AY,$AZ:$AZ,"-",0)=BZ100,$E106,"-")</f>
        <v>#NAME?</v>
      </c>
      <c r="CA106" s="67">
        <f t="shared" si="548"/>
        <v>0</v>
      </c>
      <c r="CB106" s="68">
        <f t="shared" si="549"/>
        <v>2</v>
      </c>
      <c r="CC106" s="66" t="e">
        <f t="array" aca="1" ref="CC106" ca="1">+IF(_xludf.XLOOKUP($H106,$AY:$AY,$AZ:$AZ,"-",0)=BZ100,$H106,"-")</f>
        <v>#NAME?</v>
      </c>
      <c r="CD106" s="24"/>
      <c r="CE106" s="24"/>
      <c r="CF106" s="24"/>
      <c r="CG106" s="24"/>
      <c r="CH106" s="24"/>
      <c r="CI106" s="24"/>
      <c r="CJ106" s="24"/>
      <c r="CK106" s="24"/>
      <c r="CL106" s="24"/>
      <c r="CM106" s="24"/>
      <c r="CN106" s="24"/>
      <c r="CO106" s="24"/>
      <c r="CP106" s="24"/>
      <c r="CQ106" s="24"/>
      <c r="CR106" s="24"/>
    </row>
    <row r="107" spans="1:96" ht="14.25" customHeight="1" x14ac:dyDescent="0.25">
      <c r="A107" s="47" t="s">
        <v>201</v>
      </c>
      <c r="B107" s="48">
        <v>46200</v>
      </c>
      <c r="C107" s="49"/>
      <c r="D107" s="50"/>
      <c r="E107" s="51" t="s">
        <v>57</v>
      </c>
      <c r="F107" s="52">
        <v>2</v>
      </c>
      <c r="G107" s="52">
        <v>1</v>
      </c>
      <c r="H107" s="53" t="s">
        <v>85</v>
      </c>
      <c r="I107" s="24"/>
      <c r="J107" s="25" t="str">
        <f t="shared" si="517"/>
        <v>Croacia</v>
      </c>
      <c r="K107" s="25" t="str">
        <f t="shared" si="518"/>
        <v/>
      </c>
      <c r="L107" s="25" t="str">
        <f t="shared" si="519"/>
        <v/>
      </c>
      <c r="M107" s="25" t="str">
        <f t="shared" si="520"/>
        <v>Ghana</v>
      </c>
      <c r="N107" s="24"/>
      <c r="O107" s="24"/>
      <c r="P107" s="24"/>
      <c r="Q107" s="24"/>
      <c r="R107" s="24"/>
      <c r="S107" s="24"/>
      <c r="T107" s="24"/>
      <c r="U107" s="24"/>
      <c r="V107" s="24"/>
      <c r="W107" s="24"/>
      <c r="X107" s="24"/>
      <c r="Y107" s="62" t="s">
        <v>124</v>
      </c>
      <c r="Z107" s="24"/>
      <c r="AA107" s="24"/>
      <c r="AB107" s="24"/>
      <c r="AC107" s="24"/>
      <c r="AD107" s="24"/>
      <c r="AE107" s="24"/>
      <c r="AF107" s="24"/>
      <c r="AG107" s="24"/>
      <c r="AH107" s="24"/>
      <c r="AI107" s="24"/>
      <c r="AJ107" s="24"/>
      <c r="AK107" s="24"/>
      <c r="AL107" s="24"/>
      <c r="AM107" s="24"/>
      <c r="AN107" s="24"/>
      <c r="AO107" s="24"/>
      <c r="AP107" s="24"/>
      <c r="AQ107" s="24"/>
      <c r="AR107" s="24">
        <f ca="1">+IF(AND(AM106="si",OR(AR102=1,AR103=1,AR104=1)),1,0)</f>
        <v>0</v>
      </c>
      <c r="AS107" s="24"/>
      <c r="AT107" s="24"/>
      <c r="AU107" s="24"/>
      <c r="AV107" s="24"/>
      <c r="AW107" s="24"/>
      <c r="AX107" s="24"/>
      <c r="AY107" s="24"/>
      <c r="AZ107" s="24"/>
      <c r="BA107" s="24"/>
      <c r="BB107" s="24"/>
      <c r="BC107" s="24"/>
      <c r="BD107" s="24"/>
      <c r="BE107" s="26" t="e">
        <f ca="1">+IF(OR(BF107="-",BI107="-",BF100=0),"-","OK")</f>
        <v>#NAME?</v>
      </c>
      <c r="BF107" s="66" t="e">
        <f t="array" aca="1" ref="BF107" ca="1">+IF(_xludf.XLOOKUP($E107,$AY:$AY,$AZ:$AZ,"-",0)=BF100,$E107,"-")</f>
        <v>#NAME?</v>
      </c>
      <c r="BG107" s="67">
        <f t="shared" si="535"/>
        <v>2</v>
      </c>
      <c r="BH107" s="68">
        <f t="shared" si="536"/>
        <v>1</v>
      </c>
      <c r="BI107" s="66" t="e">
        <f t="array" aca="1" ref="BI107" ca="1">+IF(_xludf.XLOOKUP($H107,$AY:$AY,$AZ:$AZ,"-",0)=BF100,$H107,"-")</f>
        <v>#NAME?</v>
      </c>
      <c r="BJ107" s="24"/>
      <c r="BK107" s="24"/>
      <c r="BL107" s="24"/>
      <c r="BM107" s="24"/>
      <c r="BN107" s="24"/>
      <c r="BO107" s="24"/>
      <c r="BP107" s="24"/>
      <c r="BQ107" s="24"/>
      <c r="BR107" s="24"/>
      <c r="BS107" s="24"/>
      <c r="BT107" s="24"/>
      <c r="BU107" s="24"/>
      <c r="BV107" s="24"/>
      <c r="BW107" s="24"/>
      <c r="BX107" s="24"/>
      <c r="BY107" s="26" t="e">
        <f t="shared" ca="1" si="547"/>
        <v>#NAME?</v>
      </c>
      <c r="BZ107" s="66" t="e">
        <f t="array" aca="1" ref="BZ107" ca="1">+IF(_xludf.XLOOKUP($E107,$AY:$AY,$AZ:$AZ,"-",0)=BZ100,$E107,"-")</f>
        <v>#NAME?</v>
      </c>
      <c r="CA107" s="67">
        <f t="shared" si="548"/>
        <v>2</v>
      </c>
      <c r="CB107" s="68">
        <f t="shared" si="549"/>
        <v>1</v>
      </c>
      <c r="CC107" s="66" t="e">
        <f t="array" aca="1" ref="CC107" ca="1">+IF(_xludf.XLOOKUP($H107,$AY:$AY,$AZ:$AZ,"-",0)=BZ100,$H107,"-")</f>
        <v>#NAME?</v>
      </c>
      <c r="CD107" s="24"/>
      <c r="CE107" s="24"/>
      <c r="CF107" s="24"/>
      <c r="CG107" s="24"/>
      <c r="CH107" s="24"/>
      <c r="CI107" s="24"/>
      <c r="CJ107" s="24"/>
      <c r="CK107" s="24"/>
      <c r="CL107" s="24"/>
      <c r="CM107" s="24"/>
      <c r="CN107" s="24"/>
      <c r="CO107" s="24"/>
      <c r="CP107" s="24"/>
      <c r="CQ107" s="24"/>
      <c r="CR107" s="24"/>
    </row>
  </sheetData>
  <mergeCells count="12">
    <mergeCell ref="Y47:Z47"/>
    <mergeCell ref="Y56:Z56"/>
    <mergeCell ref="Y2:Z2"/>
    <mergeCell ref="Y11:Z11"/>
    <mergeCell ref="Y20:Z20"/>
    <mergeCell ref="Y29:Z29"/>
    <mergeCell ref="Y38:Z38"/>
    <mergeCell ref="Y65:Z65"/>
    <mergeCell ref="Y74:Z74"/>
    <mergeCell ref="Y83:Z83"/>
    <mergeCell ref="Y92:Z92"/>
    <mergeCell ref="Y101:Z101"/>
  </mergeCells>
  <conditionalFormatting sqref="Y8">
    <cfRule type="expression" dxfId="163" priority="1">
      <formula>AR8=1</formula>
    </cfRule>
  </conditionalFormatting>
  <conditionalFormatting sqref="Y17">
    <cfRule type="expression" dxfId="162" priority="2">
      <formula>AR17=1</formula>
    </cfRule>
  </conditionalFormatting>
  <conditionalFormatting sqref="Y26">
    <cfRule type="expression" dxfId="161" priority="3">
      <formula>AR26=1</formula>
    </cfRule>
  </conditionalFormatting>
  <conditionalFormatting sqref="Y35">
    <cfRule type="expression" dxfId="160" priority="4">
      <formula>AR35=1</formula>
    </cfRule>
  </conditionalFormatting>
  <conditionalFormatting sqref="Y44">
    <cfRule type="expression" dxfId="159" priority="5">
      <formula>AR44=1</formula>
    </cfRule>
  </conditionalFormatting>
  <conditionalFormatting sqref="Y53">
    <cfRule type="expression" dxfId="158" priority="6">
      <formula>AR53=1</formula>
    </cfRule>
  </conditionalFormatting>
  <conditionalFormatting sqref="Y62">
    <cfRule type="expression" dxfId="157" priority="7">
      <formula>AR62=1</formula>
    </cfRule>
  </conditionalFormatting>
  <conditionalFormatting sqref="Y71">
    <cfRule type="expression" dxfId="156" priority="8">
      <formula>AR71=1</formula>
    </cfRule>
  </conditionalFormatting>
  <conditionalFormatting sqref="Y80">
    <cfRule type="expression" dxfId="155" priority="9">
      <formula>AR80=1</formula>
    </cfRule>
  </conditionalFormatting>
  <conditionalFormatting sqref="Y89">
    <cfRule type="expression" dxfId="154" priority="10">
      <formula>AR89=1</formula>
    </cfRule>
  </conditionalFormatting>
  <conditionalFormatting sqref="Y98">
    <cfRule type="expression" dxfId="153" priority="11">
      <formula>AR98=1</formula>
    </cfRule>
  </conditionalFormatting>
  <conditionalFormatting sqref="Y107">
    <cfRule type="expression" dxfId="152" priority="12">
      <formula>AR107=1</formula>
    </cfRule>
  </conditionalFormatting>
  <conditionalFormatting sqref="Y5:AH5">
    <cfRule type="expression" dxfId="151" priority="36">
      <formula>$AI5=1</formula>
    </cfRule>
  </conditionalFormatting>
  <conditionalFormatting sqref="Y12:AH15">
    <cfRule type="expression" dxfId="150" priority="14">
      <formula>$AM$16="no"</formula>
    </cfRule>
  </conditionalFormatting>
  <conditionalFormatting sqref="Y14:AH14">
    <cfRule type="expression" dxfId="149" priority="38">
      <formula>$AI14=1</formula>
    </cfRule>
  </conditionalFormatting>
  <conditionalFormatting sqref="Y21:AH24">
    <cfRule type="expression" dxfId="148" priority="15">
      <formula>$AM$25="no"</formula>
    </cfRule>
  </conditionalFormatting>
  <conditionalFormatting sqref="Y23:AH23">
    <cfRule type="expression" dxfId="147" priority="39">
      <formula>$AI23=1</formula>
    </cfRule>
  </conditionalFormatting>
  <conditionalFormatting sqref="Y30:AH33">
    <cfRule type="expression" dxfId="146" priority="16">
      <formula>$AM$34="no"</formula>
    </cfRule>
  </conditionalFormatting>
  <conditionalFormatting sqref="Y32:AH32">
    <cfRule type="expression" dxfId="145" priority="40">
      <formula>$AI32=1</formula>
    </cfRule>
  </conditionalFormatting>
  <conditionalFormatting sqref="Y39:AH42">
    <cfRule type="expression" dxfId="144" priority="17">
      <formula>$AM$43="no"</formula>
    </cfRule>
  </conditionalFormatting>
  <conditionalFormatting sqref="Y41:AH41">
    <cfRule type="expression" dxfId="143" priority="41">
      <formula>$AI41=1</formula>
    </cfRule>
  </conditionalFormatting>
  <conditionalFormatting sqref="Y48:AH51">
    <cfRule type="expression" dxfId="142" priority="18">
      <formula>$AM$52="no"</formula>
    </cfRule>
  </conditionalFormatting>
  <conditionalFormatting sqref="Y50:AH50">
    <cfRule type="expression" dxfId="141" priority="42">
      <formula>$AI50=1</formula>
    </cfRule>
  </conditionalFormatting>
  <conditionalFormatting sqref="Y57:AH60">
    <cfRule type="expression" dxfId="140" priority="19">
      <formula>$AM$61="no"</formula>
    </cfRule>
  </conditionalFormatting>
  <conditionalFormatting sqref="Y59:AH59">
    <cfRule type="expression" dxfId="139" priority="43">
      <formula>$AI59=1</formula>
    </cfRule>
  </conditionalFormatting>
  <conditionalFormatting sqref="Y66:AH69">
    <cfRule type="expression" dxfId="138" priority="20">
      <formula>$AM$70="no"</formula>
    </cfRule>
  </conditionalFormatting>
  <conditionalFormatting sqref="Y68:AH68">
    <cfRule type="expression" dxfId="137" priority="44">
      <formula>$AI68=1</formula>
    </cfRule>
  </conditionalFormatting>
  <conditionalFormatting sqref="Y75:AH78">
    <cfRule type="expression" dxfId="136" priority="21">
      <formula>$AM$79="no"</formula>
    </cfRule>
  </conditionalFormatting>
  <conditionalFormatting sqref="Y77:AH77">
    <cfRule type="expression" dxfId="135" priority="45">
      <formula>$AI77=1</formula>
    </cfRule>
  </conditionalFormatting>
  <conditionalFormatting sqref="Y84:AH87">
    <cfRule type="expression" dxfId="134" priority="22">
      <formula>$AM$88="no"</formula>
    </cfRule>
  </conditionalFormatting>
  <conditionalFormatting sqref="Y86:AH86">
    <cfRule type="expression" dxfId="133" priority="62">
      <formula>$AI86=1</formula>
    </cfRule>
  </conditionalFormatting>
  <conditionalFormatting sqref="Y93:AH96">
    <cfRule type="expression" dxfId="132" priority="23">
      <formula>$AM$97="no"</formula>
    </cfRule>
  </conditionalFormatting>
  <conditionalFormatting sqref="Y95:AH95">
    <cfRule type="expression" dxfId="131" priority="63">
      <formula>$AI95=1</formula>
    </cfRule>
  </conditionalFormatting>
  <conditionalFormatting sqref="Y102:AH105">
    <cfRule type="expression" dxfId="130" priority="46">
      <formula>$AM$106="no"</formula>
    </cfRule>
  </conditionalFormatting>
  <conditionalFormatting sqref="Y104:AH104">
    <cfRule type="expression" dxfId="129" priority="64">
      <formula>$AI104=1</formula>
    </cfRule>
  </conditionalFormatting>
  <conditionalFormatting sqref="Y3:AI6">
    <cfRule type="expression" dxfId="128" priority="13">
      <formula>$AM$7="no"</formula>
    </cfRule>
  </conditionalFormatting>
  <conditionalFormatting sqref="AI14">
    <cfRule type="expression" dxfId="127" priority="56">
      <formula>$AM$7="no"</formula>
    </cfRule>
  </conditionalFormatting>
  <conditionalFormatting sqref="AI23">
    <cfRule type="expression" dxfId="126" priority="55">
      <formula>$AM$7="no"</formula>
    </cfRule>
  </conditionalFormatting>
  <conditionalFormatting sqref="AI32">
    <cfRule type="expression" dxfId="125" priority="54">
      <formula>$AM$7="no"</formula>
    </cfRule>
  </conditionalFormatting>
  <conditionalFormatting sqref="AI41">
    <cfRule type="expression" dxfId="124" priority="53">
      <formula>$AM$7="no"</formula>
    </cfRule>
  </conditionalFormatting>
  <conditionalFormatting sqref="AI50">
    <cfRule type="expression" dxfId="123" priority="52">
      <formula>$AM$7="no"</formula>
    </cfRule>
  </conditionalFormatting>
  <conditionalFormatting sqref="AI59">
    <cfRule type="expression" dxfId="122" priority="51">
      <formula>$AM$7="no"</formula>
    </cfRule>
  </conditionalFormatting>
  <conditionalFormatting sqref="AI68">
    <cfRule type="expression" dxfId="121" priority="50">
      <formula>$AM$7="no"</formula>
    </cfRule>
  </conditionalFormatting>
  <conditionalFormatting sqref="AI77">
    <cfRule type="expression" dxfId="120" priority="49">
      <formula>$AM$7="no"</formula>
    </cfRule>
  </conditionalFormatting>
  <conditionalFormatting sqref="AI86">
    <cfRule type="expression" dxfId="119" priority="48">
      <formula>$AM$7="no"</formula>
    </cfRule>
  </conditionalFormatting>
  <conditionalFormatting sqref="AI95">
    <cfRule type="expression" dxfId="118" priority="47">
      <formula>$AM$7="no"</formula>
    </cfRule>
  </conditionalFormatting>
  <conditionalFormatting sqref="AI104">
    <cfRule type="expression" dxfId="117" priority="37">
      <formula>$AM$7="no"</formula>
    </cfRule>
  </conditionalFormatting>
  <conditionalFormatting sqref="AP12:AP15">
    <cfRule type="expression" dxfId="116" priority="24">
      <formula>$AR$8=1</formula>
    </cfRule>
  </conditionalFormatting>
  <conditionalFormatting sqref="AP21:AP24">
    <cfRule type="expression" dxfId="115" priority="25">
      <formula>$AR$8=1</formula>
    </cfRule>
  </conditionalFormatting>
  <conditionalFormatting sqref="AP30:AP33">
    <cfRule type="expression" dxfId="114" priority="26">
      <formula>$AR$8=1</formula>
    </cfRule>
  </conditionalFormatting>
  <conditionalFormatting sqref="AP39:AP42">
    <cfRule type="expression" dxfId="113" priority="27">
      <formula>$AR$8=1</formula>
    </cfRule>
  </conditionalFormatting>
  <conditionalFormatting sqref="AP48:AP51">
    <cfRule type="expression" dxfId="112" priority="28">
      <formula>$AR$8=1</formula>
    </cfRule>
  </conditionalFormatting>
  <conditionalFormatting sqref="AP57:AP60">
    <cfRule type="expression" dxfId="111" priority="29">
      <formula>$AR$8=1</formula>
    </cfRule>
  </conditionalFormatting>
  <conditionalFormatting sqref="AP66:AP69">
    <cfRule type="expression" dxfId="110" priority="30">
      <formula>$AR$8=1</formula>
    </cfRule>
  </conditionalFormatting>
  <conditionalFormatting sqref="AP75:AP78">
    <cfRule type="expression" dxfId="109" priority="31">
      <formula>$AR$8=1</formula>
    </cfRule>
  </conditionalFormatting>
  <conditionalFormatting sqref="AP84:AP87">
    <cfRule type="expression" dxfId="108" priority="32">
      <formula>$AR$8=1</formula>
    </cfRule>
  </conditionalFormatting>
  <conditionalFormatting sqref="AP93:AP96">
    <cfRule type="expression" dxfId="107" priority="33">
      <formula>$AR$8=1</formula>
    </cfRule>
  </conditionalFormatting>
  <conditionalFormatting sqref="AP102:AP105">
    <cfRule type="expression" dxfId="106" priority="34">
      <formula>$AR$8=1</formula>
    </cfRule>
  </conditionalFormatting>
  <conditionalFormatting sqref="AU3:AU6">
    <cfRule type="expression" dxfId="105" priority="71">
      <formula>AT3=1</formula>
    </cfRule>
  </conditionalFormatting>
  <conditionalFormatting sqref="AU12:AU15">
    <cfRule type="expression" dxfId="104" priority="69">
      <formula>AT12=1</formula>
    </cfRule>
  </conditionalFormatting>
  <conditionalFormatting sqref="AU21:AU24">
    <cfRule type="expression" dxfId="103" priority="67">
      <formula>AT21=1</formula>
    </cfRule>
  </conditionalFormatting>
  <conditionalFormatting sqref="AU30:AU33">
    <cfRule type="expression" dxfId="102" priority="65">
      <formula>AT30=1</formula>
    </cfRule>
  </conditionalFormatting>
  <conditionalFormatting sqref="AU39:AU42">
    <cfRule type="expression" dxfId="101" priority="73">
      <formula>AT39=1</formula>
    </cfRule>
  </conditionalFormatting>
  <conditionalFormatting sqref="AU48:AU51">
    <cfRule type="expression" dxfId="100" priority="75">
      <formula>AT48=1</formula>
    </cfRule>
  </conditionalFormatting>
  <conditionalFormatting sqref="AU57:AU60">
    <cfRule type="expression" dxfId="99" priority="77">
      <formula>AT57=1</formula>
    </cfRule>
  </conditionalFormatting>
  <conditionalFormatting sqref="AU66:AU69">
    <cfRule type="expression" dxfId="98" priority="79">
      <formula>AT66=1</formula>
    </cfRule>
  </conditionalFormatting>
  <conditionalFormatting sqref="AU75:AU78">
    <cfRule type="expression" dxfId="97" priority="81">
      <formula>AT75=1</formula>
    </cfRule>
  </conditionalFormatting>
  <conditionalFormatting sqref="AU84:AU87">
    <cfRule type="expression" dxfId="96" priority="87">
      <formula>AT84=1</formula>
    </cfRule>
  </conditionalFormatting>
  <conditionalFormatting sqref="AU93:AU96">
    <cfRule type="expression" dxfId="95" priority="83">
      <formula>AT93=1</formula>
    </cfRule>
  </conditionalFormatting>
  <conditionalFormatting sqref="AU102:AU105">
    <cfRule type="expression" dxfId="94" priority="85">
      <formula>AT102=1</formula>
    </cfRule>
  </conditionalFormatting>
  <conditionalFormatting sqref="AV3:AV6">
    <cfRule type="expression" dxfId="93" priority="70">
      <formula>AT3=1</formula>
    </cfRule>
  </conditionalFormatting>
  <conditionalFormatting sqref="AV12:AV15">
    <cfRule type="expression" dxfId="92" priority="68">
      <formula>AT12=1</formula>
    </cfRule>
  </conditionalFormatting>
  <conditionalFormatting sqref="AV21:AV24">
    <cfRule type="expression" dxfId="91" priority="66">
      <formula>AT21=1</formula>
    </cfRule>
  </conditionalFormatting>
  <conditionalFormatting sqref="AV30:AV33">
    <cfRule type="expression" dxfId="90" priority="35">
      <formula>AT30=1</formula>
    </cfRule>
  </conditionalFormatting>
  <conditionalFormatting sqref="AV39:AV42">
    <cfRule type="expression" dxfId="89" priority="72">
      <formula>AT39=1</formula>
    </cfRule>
  </conditionalFormatting>
  <conditionalFormatting sqref="AV48:AV51">
    <cfRule type="expression" dxfId="88" priority="74">
      <formula>AT48=1</formula>
    </cfRule>
  </conditionalFormatting>
  <conditionalFormatting sqref="AV57:AV60">
    <cfRule type="expression" dxfId="87" priority="76">
      <formula>AT57=1</formula>
    </cfRule>
  </conditionalFormatting>
  <conditionalFormatting sqref="AV66:AV69">
    <cfRule type="expression" dxfId="86" priority="78">
      <formula>AT66=1</formula>
    </cfRule>
  </conditionalFormatting>
  <conditionalFormatting sqref="AV75:AV78">
    <cfRule type="expression" dxfId="85" priority="80">
      <formula>AT75=1</formula>
    </cfRule>
  </conditionalFormatting>
  <conditionalFormatting sqref="AV84:AV87">
    <cfRule type="expression" dxfId="84" priority="86">
      <formula>AT84=1</formula>
    </cfRule>
  </conditionalFormatting>
  <conditionalFormatting sqref="AV93:AV96">
    <cfRule type="expression" dxfId="83" priority="82">
      <formula>AT93=1</formula>
    </cfRule>
  </conditionalFormatting>
  <conditionalFormatting sqref="AV102:AV105">
    <cfRule type="expression" dxfId="82" priority="84">
      <formula>AT102=1</formula>
    </cfRule>
  </conditionalFormatting>
  <conditionalFormatting sqref="CV1:CX13">
    <cfRule type="expression" dxfId="81" priority="58">
      <formula>$CS$4="-"</formula>
    </cfRule>
  </conditionalFormatting>
  <conditionalFormatting sqref="CW2:CX13">
    <cfRule type="cellIs" dxfId="80" priority="61" operator="equal">
      <formula>"IN"</formula>
    </cfRule>
    <cfRule type="cellIs" dxfId="79" priority="60" operator="equal">
      <formula>"OUT"</formula>
    </cfRule>
    <cfRule type="cellIs" dxfId="78" priority="59" operator="equal">
      <formula>"Draw - Select"</formula>
    </cfRule>
  </conditionalFormatting>
  <conditionalFormatting sqref="CX2:CX13">
    <cfRule type="expression" dxfId="77" priority="88">
      <formula>CW2="Draw - Select"</formula>
    </cfRule>
  </conditionalFormatting>
  <pageMargins left="0.7" right="0.7" top="0.75" bottom="0.75" header="0" footer="0"/>
  <pageSetup paperSize="9" orientation="portrait"/>
  <drawing r:id="rId1"/>
  <extLst>
    <ext xmlns:x14="http://schemas.microsoft.com/office/spreadsheetml/2009/9/main" uri="{CCE6A557-97BC-4b89-ADB6-D9C93CAAB3DF}">
      <x14:dataValidations xmlns:xm="http://schemas.microsoft.com/office/excel/2006/main" disablePrompts="1" count="2">
        <x14:dataValidation type="list" allowBlank="1" showErrorMessage="1" xr:uid="{00000000-0002-0000-0100-000000000000}">
          <x14:formula1>
            <xm:f>Aux!$C$3:$C$5</xm:f>
          </x14:formula1>
          <xm:sqref>CX2:CX13</xm:sqref>
        </x14:dataValidation>
        <x14:dataValidation type="list" allowBlank="1" showErrorMessage="1" xr:uid="{00000000-0002-0000-0100-000001000000}">
          <x14:formula1>
            <xm:f>Aux!$A$3:$A$6</xm:f>
          </x14:formula1>
          <xm:sqref>AV3:AV6 AV12:AV15 AV21:AV24 AV30:AV33 AV39:AV42 AV48:AV51 AV57:AV60 AV66:AV69 AV75:AV78 AV84:AV87 AV93:AV96 AV102:AV105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4:Y35"/>
  <sheetViews>
    <sheetView workbookViewId="0">
      <selection activeCell="Y30" sqref="Y30"/>
    </sheetView>
  </sheetViews>
  <sheetFormatPr defaultColWidth="12.59765625" defaultRowHeight="15" customHeight="1" x14ac:dyDescent="0.25"/>
  <cols>
    <col min="1" max="1" width="4.69921875" customWidth="1"/>
    <col min="2" max="2" width="16.09765625" customWidth="1"/>
    <col min="3" max="3" width="3.19921875" customWidth="1"/>
    <col min="4" max="4" width="7" bestFit="1" customWidth="1"/>
    <col min="5" max="5" width="16.09765625" customWidth="1"/>
    <col min="6" max="6" width="4" customWidth="1"/>
    <col min="7" max="7" width="4.69921875" customWidth="1"/>
    <col min="8" max="8" width="16.09765625" customWidth="1"/>
    <col min="9" max="10" width="3.69921875" customWidth="1"/>
    <col min="11" max="11" width="16.09765625" customWidth="1"/>
    <col min="12" max="12" width="8.69921875" customWidth="1"/>
    <col min="13" max="14" width="1.8984375" customWidth="1"/>
    <col min="15" max="15" width="4.69921875" customWidth="1"/>
    <col min="16" max="16" width="16.09765625" customWidth="1"/>
    <col min="17" max="18" width="4.5" customWidth="1"/>
    <col min="19" max="19" width="16.09765625" customWidth="1"/>
    <col min="20" max="20" width="4" customWidth="1"/>
    <col min="21" max="21" width="4.69921875" customWidth="1"/>
    <col min="22" max="22" width="16.09765625" customWidth="1"/>
    <col min="23" max="24" width="3.69921875" customWidth="1"/>
    <col min="25" max="25" width="16.09765625" customWidth="1"/>
    <col min="26" max="26" width="8.69921875" customWidth="1"/>
  </cols>
  <sheetData>
    <row r="4" spans="1:25" ht="14.25" customHeight="1" x14ac:dyDescent="0.25">
      <c r="A4" s="214"/>
      <c r="B4" s="215"/>
      <c r="C4" s="216" t="s">
        <v>202</v>
      </c>
      <c r="D4" s="216" t="s">
        <v>203</v>
      </c>
      <c r="E4" s="217" t="s">
        <v>204</v>
      </c>
      <c r="F4" s="218"/>
      <c r="G4" s="219"/>
      <c r="H4" s="220"/>
      <c r="I4" s="221" t="s">
        <v>205</v>
      </c>
      <c r="J4" s="221" t="str">
        <f ca="1">+_xlfn.XLOOKUP(I4,'Mejores 3eros'!$AD$1:$AK$1,'Mejores 3eros'!$AD$3:$AK$3,"-",0)</f>
        <v>3F</v>
      </c>
      <c r="K4" s="222" t="s">
        <v>206</v>
      </c>
      <c r="L4" s="210"/>
      <c r="M4" s="211"/>
      <c r="N4" s="212"/>
      <c r="O4" s="214"/>
      <c r="P4" s="215"/>
      <c r="Q4" s="216" t="s">
        <v>207</v>
      </c>
      <c r="R4" s="216" t="s">
        <v>208</v>
      </c>
      <c r="S4" s="217" t="s">
        <v>209</v>
      </c>
      <c r="T4" s="213"/>
      <c r="U4" s="219"/>
      <c r="V4" s="220"/>
      <c r="W4" s="221" t="s">
        <v>210</v>
      </c>
      <c r="X4" s="221" t="s">
        <v>211</v>
      </c>
      <c r="Y4" s="222" t="s">
        <v>212</v>
      </c>
    </row>
    <row r="5" spans="1:25" ht="14.25" customHeight="1" x14ac:dyDescent="0.25">
      <c r="A5" s="223" t="s">
        <v>213</v>
      </c>
      <c r="B5" s="224" t="str">
        <f ca="1">+_xlfn.XLOOKUP(C4,'Groups Stage'!$Y:$Y,'Groups Stage'!$Z:$Z,"-",0)</f>
        <v>Corea del Sur</v>
      </c>
      <c r="C5" s="225">
        <v>2</v>
      </c>
      <c r="D5" s="226">
        <v>2</v>
      </c>
      <c r="E5" s="227" t="str">
        <f ca="1">+_xlfn.XLOOKUP(D4,'Groups Stage'!$Y:$Y,'Groups Stage'!$Z:$Z,"-",0)</f>
        <v>Bosnia</v>
      </c>
      <c r="F5" s="218"/>
      <c r="G5" s="228" t="s">
        <v>214</v>
      </c>
      <c r="H5" s="224" t="str">
        <f ca="1">+_xlfn.XLOOKUP(I4,'Groups Stage'!$Y:$Y,'Groups Stage'!$Z:$Z,"-",0)</f>
        <v>Turquia</v>
      </c>
      <c r="I5" s="225">
        <v>2</v>
      </c>
      <c r="J5" s="226">
        <v>2</v>
      </c>
      <c r="K5" s="229" t="str">
        <f ca="1">+_xlfn.XLOOKUP(J4,'Groups Stage'!$Y:$Y,'Groups Stage'!$Z:$Z,"-",0)</f>
        <v>Suecia</v>
      </c>
      <c r="L5" s="210"/>
      <c r="M5" s="211"/>
      <c r="N5" s="212"/>
      <c r="O5" s="223" t="s">
        <v>215</v>
      </c>
      <c r="P5" s="224" t="str">
        <f ca="1">+_xlfn.XLOOKUP(Q4,$C:$C,$B:$B,_xlfn.XLOOKUP(Q4,$I:$I,$H:$H,"-",0),0)</f>
        <v>Alemania</v>
      </c>
      <c r="Q5" s="225">
        <v>2</v>
      </c>
      <c r="R5" s="226">
        <v>3</v>
      </c>
      <c r="S5" s="227" t="str">
        <f ca="1">+_xlfn.XLOOKUP(R4,$C:$C,$B:$B,_xlfn.XLOOKUP(R4,$I:$I,$H:$H,"-",0),0)</f>
        <v>Francia</v>
      </c>
      <c r="T5" s="213"/>
      <c r="U5" s="228" t="s">
        <v>216</v>
      </c>
      <c r="V5" s="224" t="str">
        <f ca="1">+_xlfn.XLOOKUP(W4,$C:$C,$B:$B,_xlfn.XLOOKUP(W4,$I:$I,$H:$H,"-",0),0)</f>
        <v>Croacia</v>
      </c>
      <c r="W5" s="225">
        <v>2</v>
      </c>
      <c r="X5" s="226">
        <v>3</v>
      </c>
      <c r="Y5" s="229" t="str">
        <f ca="1">+_xlfn.XLOOKUP(X4,$C:$C,$B:$B,_xlfn.XLOOKUP(X4,$I:$I,$H:$H,"-",0),0)</f>
        <v>España</v>
      </c>
    </row>
    <row r="6" spans="1:25" ht="14.25" customHeight="1" x14ac:dyDescent="0.25">
      <c r="A6" s="230"/>
      <c r="B6" s="231" t="s">
        <v>217</v>
      </c>
      <c r="C6" s="232">
        <v>5</v>
      </c>
      <c r="D6" s="232">
        <v>4</v>
      </c>
      <c r="E6" s="233" t="str">
        <f>+IF(AND(ISNUMBER(C5),ISNUMBER(D5),C5=D5),"Y","N")</f>
        <v>Y</v>
      </c>
      <c r="F6" s="218"/>
      <c r="G6" s="234"/>
      <c r="H6" s="235" t="s">
        <v>217</v>
      </c>
      <c r="I6" s="236">
        <v>5</v>
      </c>
      <c r="J6" s="236">
        <v>4</v>
      </c>
      <c r="K6" s="237" t="str">
        <f>+IF(AND(ISNUMBER(I5),ISNUMBER(J5),I5=J5),"Y","N")</f>
        <v>Y</v>
      </c>
      <c r="L6" s="210"/>
      <c r="M6" s="211"/>
      <c r="N6" s="212"/>
      <c r="O6" s="230"/>
      <c r="P6" s="231" t="s">
        <v>217</v>
      </c>
      <c r="Q6" s="238"/>
      <c r="R6" s="238"/>
      <c r="S6" s="233" t="str">
        <f>+IF(AND(ISNUMBER(Q5),ISNUMBER(R5),Q5=R5),"Y","N")</f>
        <v>N</v>
      </c>
      <c r="T6" s="213"/>
      <c r="U6" s="234"/>
      <c r="V6" s="235" t="s">
        <v>217</v>
      </c>
      <c r="W6" s="239"/>
      <c r="X6" s="239"/>
      <c r="Y6" s="237" t="str">
        <f>+IF(AND(ISNUMBER(W5),ISNUMBER(X5),W5=X5),"Y","N")</f>
        <v>N</v>
      </c>
    </row>
    <row r="7" spans="1:25" ht="14.25" customHeight="1" x14ac:dyDescent="0.25">
      <c r="A7" s="210"/>
      <c r="B7" s="240" t="str">
        <f ca="1">+IF(AND(ISNUMBER(C5),ISNUMBER(D5)),IF((C5+C6)&gt;(D5+D6),B5,E5),"-")</f>
        <v>Corea del Sur</v>
      </c>
      <c r="C7" s="240" t="str">
        <f>+E4</f>
        <v>W73</v>
      </c>
      <c r="D7" s="240"/>
      <c r="E7" s="240"/>
      <c r="F7" s="218"/>
      <c r="G7" s="210"/>
      <c r="H7" s="240" t="str">
        <f ca="1">+IF(AND(ISNUMBER(I5),ISNUMBER(J5)),IF((I5+I6)&gt;(J5+J6),H5,K5),"-")</f>
        <v>Turquia</v>
      </c>
      <c r="I7" s="240" t="str">
        <f>+K4</f>
        <v>W81</v>
      </c>
      <c r="J7" s="240"/>
      <c r="K7" s="240"/>
      <c r="L7" s="210"/>
      <c r="M7" s="211"/>
      <c r="N7" s="212"/>
      <c r="O7" s="213"/>
      <c r="P7" s="241" t="str">
        <f ca="1">+IF(AND(ISNUMBER(Q5),ISNUMBER(R5)),IF((Q5+Q6)&gt;(R5+R6),P5,S5),"-")</f>
        <v>Francia</v>
      </c>
      <c r="Q7" s="241" t="str">
        <f>+S4</f>
        <v>W89</v>
      </c>
      <c r="R7" s="241"/>
      <c r="S7" s="241"/>
      <c r="T7" s="242"/>
      <c r="U7" s="213"/>
      <c r="V7" s="241" t="str">
        <f ca="1">+IF(AND(ISNUMBER(W5),ISNUMBER(X5)),IF((W5+W6)&gt;(X5+X6),V5,Y5),"-")</f>
        <v>España</v>
      </c>
      <c r="W7" s="241" t="str">
        <f>+Y4</f>
        <v>W93</v>
      </c>
      <c r="X7" s="241"/>
      <c r="Y7" s="241"/>
    </row>
    <row r="8" spans="1:25" ht="14.25" customHeight="1" x14ac:dyDescent="0.25">
      <c r="A8" s="214"/>
      <c r="B8" s="215"/>
      <c r="C8" s="216" t="s">
        <v>218</v>
      </c>
      <c r="D8" s="216" t="str">
        <f ca="1">+_xlfn.XLOOKUP(C8,'Mejores 3eros'!$AD$1:$AK$1,'Mejores 3eros'!$AD$3:$AK$3,"-",0)</f>
        <v>3C</v>
      </c>
      <c r="E8" s="217" t="s">
        <v>207</v>
      </c>
      <c r="F8" s="218"/>
      <c r="G8" s="219"/>
      <c r="H8" s="220"/>
      <c r="I8" s="221" t="s">
        <v>219</v>
      </c>
      <c r="J8" s="221" t="str">
        <f ca="1">+_xlfn.XLOOKUP(I8,'Mejores 3eros'!$AD$1:$AK$1,'Mejores 3eros'!$AD$3:$AK$3,"-",0)</f>
        <v>3A</v>
      </c>
      <c r="K8" s="222" t="s">
        <v>220</v>
      </c>
      <c r="L8" s="210"/>
      <c r="M8" s="211"/>
      <c r="N8" s="212"/>
      <c r="O8" s="213"/>
      <c r="P8" s="213"/>
      <c r="Q8" s="213"/>
      <c r="R8" s="213"/>
      <c r="S8" s="213"/>
      <c r="T8" s="213"/>
      <c r="U8" s="213"/>
      <c r="V8" s="213"/>
      <c r="W8" s="213"/>
      <c r="X8" s="213"/>
      <c r="Y8" s="213"/>
    </row>
    <row r="9" spans="1:25" ht="14.25" customHeight="1" x14ac:dyDescent="0.25">
      <c r="A9" s="223" t="s">
        <v>221</v>
      </c>
      <c r="B9" s="224" t="str">
        <f ca="1">+_xlfn.XLOOKUP(C8,'Groups Stage'!$Y:$Y,'Groups Stage'!$Z:$Z,"-",0)</f>
        <v>Alemania</v>
      </c>
      <c r="C9" s="225">
        <v>3</v>
      </c>
      <c r="D9" s="226">
        <v>1</v>
      </c>
      <c r="E9" s="227" t="str">
        <f ca="1">+_xlfn.XLOOKUP(D8,'Groups Stage'!$Y:$Y,'Groups Stage'!$Z:$Z,"-",0)</f>
        <v>Escocia</v>
      </c>
      <c r="F9" s="218"/>
      <c r="G9" s="228" t="s">
        <v>222</v>
      </c>
      <c r="H9" s="224" t="str">
        <f ca="1">+_xlfn.XLOOKUP(I8,'Groups Stage'!$Y:$Y,'Groups Stage'!$Z:$Z,"-",0)</f>
        <v>Belgica</v>
      </c>
      <c r="I9" s="225">
        <v>3</v>
      </c>
      <c r="J9" s="226">
        <v>1</v>
      </c>
      <c r="K9" s="229" t="str">
        <f ca="1">+_xlfn.XLOOKUP(J8,'Groups Stage'!$Y:$Y,'Groups Stage'!$Z:$Z,"-",0)</f>
        <v>Repubilca Checa</v>
      </c>
      <c r="L9" s="210"/>
      <c r="M9" s="211"/>
      <c r="N9" s="212"/>
      <c r="O9" s="213"/>
      <c r="P9" s="213"/>
      <c r="Q9" s="213"/>
      <c r="R9" s="213"/>
      <c r="S9" s="213"/>
      <c r="T9" s="213"/>
      <c r="U9" s="213"/>
      <c r="V9" s="213"/>
      <c r="W9" s="213"/>
      <c r="X9" s="213"/>
      <c r="Y9" s="213"/>
    </row>
    <row r="10" spans="1:25" ht="14.25" customHeight="1" x14ac:dyDescent="0.25">
      <c r="A10" s="230"/>
      <c r="B10" s="231" t="s">
        <v>217</v>
      </c>
      <c r="C10" s="238"/>
      <c r="D10" s="238"/>
      <c r="E10" s="233" t="str">
        <f>+IF(AND(ISNUMBER(C9),ISNUMBER(D9),C9=D9),"Y","N")</f>
        <v>N</v>
      </c>
      <c r="F10" s="218"/>
      <c r="G10" s="234"/>
      <c r="H10" s="235" t="s">
        <v>217</v>
      </c>
      <c r="I10" s="239"/>
      <c r="J10" s="239"/>
      <c r="K10" s="237" t="str">
        <f>+IF(AND(ISNUMBER(I9),ISNUMBER(J9),I9=J9),"Y","N")</f>
        <v>N</v>
      </c>
      <c r="L10" s="210"/>
      <c r="M10" s="211"/>
      <c r="N10" s="212"/>
      <c r="O10" s="213"/>
      <c r="P10" s="213"/>
      <c r="Q10" s="213"/>
      <c r="R10" s="213"/>
      <c r="S10" s="213"/>
      <c r="T10" s="213"/>
      <c r="U10" s="213"/>
      <c r="V10" s="213"/>
      <c r="W10" s="213"/>
      <c r="X10" s="213"/>
      <c r="Y10" s="213"/>
    </row>
    <row r="11" spans="1:25" ht="14.25" customHeight="1" x14ac:dyDescent="0.25">
      <c r="A11" s="210"/>
      <c r="B11" s="240" t="str">
        <f ca="1">+IF(AND(ISNUMBER(C9),ISNUMBER(D9)),IF((C9+C10)&gt;(D9+D10),B9,E9),"-")</f>
        <v>Alemania</v>
      </c>
      <c r="C11" s="240" t="str">
        <f>+E8</f>
        <v>W74</v>
      </c>
      <c r="D11" s="240"/>
      <c r="E11" s="240"/>
      <c r="F11" s="218"/>
      <c r="G11" s="210"/>
      <c r="H11" s="240" t="str">
        <f ca="1">+IF(AND(ISNUMBER(I9),ISNUMBER(J9)),IF((I9+I10)&gt;(J9+J10),H9,K9),"-")</f>
        <v>Belgica</v>
      </c>
      <c r="I11" s="240" t="str">
        <f>+K8</f>
        <v>W82</v>
      </c>
      <c r="J11" s="240"/>
      <c r="K11" s="240"/>
      <c r="L11" s="210"/>
      <c r="M11" s="211"/>
      <c r="N11" s="212"/>
      <c r="O11" s="213"/>
      <c r="P11" s="213"/>
      <c r="Q11" s="213"/>
      <c r="R11" s="213"/>
      <c r="S11" s="213"/>
      <c r="T11" s="213"/>
      <c r="U11" s="213"/>
      <c r="V11" s="213"/>
      <c r="W11" s="213"/>
      <c r="X11" s="213"/>
      <c r="Y11" s="213"/>
    </row>
    <row r="12" spans="1:25" ht="14.25" customHeight="1" x14ac:dyDescent="0.25">
      <c r="A12" s="214"/>
      <c r="B12" s="215"/>
      <c r="C12" s="216" t="s">
        <v>223</v>
      </c>
      <c r="D12" s="216" t="s">
        <v>224</v>
      </c>
      <c r="E12" s="217" t="s">
        <v>225</v>
      </c>
      <c r="F12" s="218"/>
      <c r="G12" s="219"/>
      <c r="H12" s="220"/>
      <c r="I12" s="221" t="s">
        <v>226</v>
      </c>
      <c r="J12" s="221" t="s">
        <v>227</v>
      </c>
      <c r="K12" s="222" t="s">
        <v>210</v>
      </c>
      <c r="L12" s="210"/>
      <c r="M12" s="211"/>
      <c r="N12" s="212"/>
      <c r="O12" s="214"/>
      <c r="P12" s="215"/>
      <c r="Q12" s="216" t="s">
        <v>204</v>
      </c>
      <c r="R12" s="216" t="s">
        <v>225</v>
      </c>
      <c r="S12" s="217" t="s">
        <v>228</v>
      </c>
      <c r="T12" s="213"/>
      <c r="U12" s="219"/>
      <c r="V12" s="220"/>
      <c r="W12" s="221" t="s">
        <v>206</v>
      </c>
      <c r="X12" s="221" t="s">
        <v>220</v>
      </c>
      <c r="Y12" s="222" t="s">
        <v>229</v>
      </c>
    </row>
    <row r="13" spans="1:25" ht="14.25" customHeight="1" x14ac:dyDescent="0.25">
      <c r="A13" s="223" t="s">
        <v>230</v>
      </c>
      <c r="B13" s="224" t="str">
        <f ca="1">+_xlfn.XLOOKUP(C12,'Groups Stage'!$Y:$Y,'Groups Stage'!$Z:$Z,"-",0)</f>
        <v>Paises Bajos</v>
      </c>
      <c r="C13" s="225">
        <v>2</v>
      </c>
      <c r="D13" s="226">
        <v>1</v>
      </c>
      <c r="E13" s="227" t="str">
        <f ca="1">+_xlfn.XLOOKUP(D12,'Groups Stage'!$Y:$Y,'Groups Stage'!$Z:$Z,"-",0)</f>
        <v>Marruecos</v>
      </c>
      <c r="F13" s="218"/>
      <c r="G13" s="228" t="s">
        <v>231</v>
      </c>
      <c r="H13" s="224" t="str">
        <f ca="1">+_xlfn.XLOOKUP(I12,'Groups Stage'!$Y:$Y,'Groups Stage'!$Z:$Z,"-",0)</f>
        <v>Colombia</v>
      </c>
      <c r="I13" s="225">
        <v>1</v>
      </c>
      <c r="J13" s="226">
        <v>2</v>
      </c>
      <c r="K13" s="229" t="str">
        <f ca="1">+_xlfn.XLOOKUP(J12,'Groups Stage'!$Y:$Y,'Groups Stage'!$Z:$Z,"-",0)</f>
        <v>Croacia</v>
      </c>
      <c r="L13" s="210"/>
      <c r="M13" s="211"/>
      <c r="N13" s="212"/>
      <c r="O13" s="223" t="s">
        <v>232</v>
      </c>
      <c r="P13" s="224" t="str">
        <f ca="1">+_xlfn.XLOOKUP(Q12,$C:$C,$B:$B,_xlfn.XLOOKUP(Q12,$I:$I,$H:$H,"-",0),0)</f>
        <v>Corea del Sur</v>
      </c>
      <c r="Q13" s="225">
        <v>0</v>
      </c>
      <c r="R13" s="226">
        <v>2</v>
      </c>
      <c r="S13" s="227" t="str">
        <f ca="1">+_xlfn.XLOOKUP(R12,$C:$C,$B:$B,_xlfn.XLOOKUP(R12,$I:$I,$H:$H,"-",0),0)</f>
        <v>Paises Bajos</v>
      </c>
      <c r="T13" s="213"/>
      <c r="U13" s="228" t="s">
        <v>233</v>
      </c>
      <c r="V13" s="224" t="str">
        <f ca="1">+_xlfn.XLOOKUP(W12,$C:$C,$B:$B,_xlfn.XLOOKUP(W12,$I:$I,$H:$H,"-",0),0)</f>
        <v>Turquia</v>
      </c>
      <c r="W13" s="225">
        <v>1</v>
      </c>
      <c r="X13" s="226">
        <v>2</v>
      </c>
      <c r="Y13" s="229" t="str">
        <f ca="1">+_xlfn.XLOOKUP(X12,$C:$C,$B:$B,_xlfn.XLOOKUP(X12,$I:$I,$H:$H,"-",0),0)</f>
        <v>Belgica</v>
      </c>
    </row>
    <row r="14" spans="1:25" ht="14.25" customHeight="1" x14ac:dyDescent="0.25">
      <c r="A14" s="230"/>
      <c r="B14" s="231" t="s">
        <v>217</v>
      </c>
      <c r="C14" s="238"/>
      <c r="D14" s="238"/>
      <c r="E14" s="233" t="str">
        <f>+IF(AND(ISNUMBER(C13),ISNUMBER(D13),C13=D13),"Y","N")</f>
        <v>N</v>
      </c>
      <c r="F14" s="218"/>
      <c r="G14" s="234"/>
      <c r="H14" s="235" t="s">
        <v>217</v>
      </c>
      <c r="I14" s="239"/>
      <c r="J14" s="239"/>
      <c r="K14" s="237" t="str">
        <f>+IF(AND(ISNUMBER(I13),ISNUMBER(J13),I13=J13),"Y","N")</f>
        <v>N</v>
      </c>
      <c r="L14" s="210"/>
      <c r="M14" s="211"/>
      <c r="N14" s="212"/>
      <c r="O14" s="230"/>
      <c r="P14" s="231" t="s">
        <v>217</v>
      </c>
      <c r="Q14" s="238"/>
      <c r="R14" s="238"/>
      <c r="S14" s="233" t="str">
        <f>+IF(AND(ISNUMBER(Q13),ISNUMBER(R13),Q13=R13),"Y","N")</f>
        <v>N</v>
      </c>
      <c r="T14" s="213"/>
      <c r="U14" s="234"/>
      <c r="V14" s="235" t="s">
        <v>217</v>
      </c>
      <c r="W14" s="239"/>
      <c r="X14" s="239"/>
      <c r="Y14" s="237" t="str">
        <f>+IF(AND(ISNUMBER(W13),ISNUMBER(X13),W13=X13),"Y","N")</f>
        <v>N</v>
      </c>
    </row>
    <row r="15" spans="1:25" ht="14.25" customHeight="1" x14ac:dyDescent="0.25">
      <c r="A15" s="210"/>
      <c r="B15" s="240" t="str">
        <f ca="1">+IF(AND(ISNUMBER(C13),ISNUMBER(D13)),IF((C13+C14)&gt;(D13+D14),B13,E13),"-")</f>
        <v>Paises Bajos</v>
      </c>
      <c r="C15" s="240" t="str">
        <f>+E12</f>
        <v>W75</v>
      </c>
      <c r="D15" s="240"/>
      <c r="E15" s="240"/>
      <c r="F15" s="218"/>
      <c r="G15" s="210"/>
      <c r="H15" s="240" t="str">
        <f ca="1">+IF(AND(ISNUMBER(I13),ISNUMBER(J13)),IF((I13+I14)&gt;(J13+J14),H13,K13),"-")</f>
        <v>Croacia</v>
      </c>
      <c r="I15" s="240" t="str">
        <f>+K12</f>
        <v>W83</v>
      </c>
      <c r="J15" s="240"/>
      <c r="K15" s="240"/>
      <c r="L15" s="210"/>
      <c r="M15" s="211"/>
      <c r="N15" s="212"/>
      <c r="O15" s="213"/>
      <c r="P15" s="241" t="str">
        <f ca="1">+IF(AND(ISNUMBER(Q13),ISNUMBER(R13)),IF((Q13+Q14)&gt;(R13+R14),P13,S13),"-")</f>
        <v>Paises Bajos</v>
      </c>
      <c r="Q15" s="241" t="str">
        <f>+S12</f>
        <v>W90</v>
      </c>
      <c r="R15" s="241"/>
      <c r="S15" s="241"/>
      <c r="T15" s="242"/>
      <c r="U15" s="213"/>
      <c r="V15" s="241" t="str">
        <f ca="1">+IF(AND(ISNUMBER(W13),ISNUMBER(X13)),IF((W13+W14)&gt;(X13+X14),V13,Y13),"-")</f>
        <v>Belgica</v>
      </c>
      <c r="W15" s="241" t="str">
        <f>+Y12</f>
        <v>W94</v>
      </c>
      <c r="X15" s="241"/>
      <c r="Y15" s="241"/>
    </row>
    <row r="16" spans="1:25" ht="14.25" customHeight="1" x14ac:dyDescent="0.25">
      <c r="A16" s="243"/>
      <c r="B16" s="244"/>
      <c r="C16" s="245" t="s">
        <v>234</v>
      </c>
      <c r="D16" s="245" t="s">
        <v>235</v>
      </c>
      <c r="E16" s="246" t="s">
        <v>236</v>
      </c>
      <c r="F16" s="218"/>
      <c r="G16" s="219"/>
      <c r="H16" s="220"/>
      <c r="I16" s="221" t="s">
        <v>237</v>
      </c>
      <c r="J16" s="221" t="s">
        <v>238</v>
      </c>
      <c r="K16" s="222" t="s">
        <v>211</v>
      </c>
      <c r="L16" s="210"/>
      <c r="M16" s="211"/>
      <c r="N16" s="212"/>
      <c r="O16" s="213"/>
      <c r="P16" s="213"/>
      <c r="Q16" s="213"/>
      <c r="R16" s="213"/>
      <c r="S16" s="213"/>
      <c r="T16" s="213"/>
      <c r="U16" s="213"/>
      <c r="V16" s="213"/>
      <c r="W16" s="213"/>
      <c r="X16" s="213"/>
      <c r="Y16" s="213"/>
    </row>
    <row r="17" spans="1:25" ht="14.25" customHeight="1" x14ac:dyDescent="0.25">
      <c r="A17" s="247" t="s">
        <v>239</v>
      </c>
      <c r="B17" s="224" t="str">
        <f ca="1">+_xlfn.XLOOKUP(C16,'Groups Stage'!$Y:$Y,'Groups Stage'!$Z:$Z,"-",0)</f>
        <v>Brasil</v>
      </c>
      <c r="C17" s="225">
        <v>2</v>
      </c>
      <c r="D17" s="226">
        <v>1</v>
      </c>
      <c r="E17" s="248" t="str">
        <f ca="1">+_xlfn.XLOOKUP(D16,'Groups Stage'!$Y:$Y,'Groups Stage'!$Z:$Z,"-",0)</f>
        <v>Japon</v>
      </c>
      <c r="F17" s="218"/>
      <c r="G17" s="228" t="s">
        <v>240</v>
      </c>
      <c r="H17" s="224" t="str">
        <f ca="1">+_xlfn.XLOOKUP(I16,'Groups Stage'!$Y:$Y,'Groups Stage'!$Z:$Z,"-",0)</f>
        <v>España</v>
      </c>
      <c r="I17" s="225">
        <v>3</v>
      </c>
      <c r="J17" s="226">
        <v>1</v>
      </c>
      <c r="K17" s="229" t="str">
        <f ca="1">+_xlfn.XLOOKUP(J16,'Groups Stage'!$Y:$Y,'Groups Stage'!$Z:$Z,"-",0)</f>
        <v>Austria</v>
      </c>
      <c r="L17" s="210"/>
      <c r="M17" s="211"/>
      <c r="N17" s="212"/>
      <c r="O17" s="213"/>
      <c r="P17" s="213"/>
      <c r="Q17" s="213"/>
      <c r="R17" s="213"/>
      <c r="S17" s="213"/>
      <c r="T17" s="213"/>
      <c r="U17" s="213"/>
      <c r="V17" s="213"/>
      <c r="W17" s="213"/>
      <c r="X17" s="213"/>
      <c r="Y17" s="213"/>
    </row>
    <row r="18" spans="1:25" ht="14.25" customHeight="1" x14ac:dyDescent="0.25">
      <c r="A18" s="249"/>
      <c r="B18" s="250" t="s">
        <v>217</v>
      </c>
      <c r="C18" s="251"/>
      <c r="D18" s="251"/>
      <c r="E18" s="252" t="str">
        <f>+IF(AND(ISNUMBER(C17),ISNUMBER(D17),C17=D17),"Y","N")</f>
        <v>N</v>
      </c>
      <c r="F18" s="218"/>
      <c r="G18" s="234"/>
      <c r="H18" s="235" t="s">
        <v>217</v>
      </c>
      <c r="I18" s="239"/>
      <c r="J18" s="239"/>
      <c r="K18" s="237" t="str">
        <f>+IF(AND(ISNUMBER(I17),ISNUMBER(J17),I17=J17),"Y","N")</f>
        <v>N</v>
      </c>
      <c r="L18" s="210"/>
      <c r="M18" s="211"/>
      <c r="N18" s="212"/>
      <c r="O18" s="213"/>
      <c r="P18" s="213"/>
      <c r="Q18" s="213"/>
      <c r="R18" s="213"/>
      <c r="S18" s="213"/>
      <c r="T18" s="213"/>
      <c r="U18" s="213"/>
      <c r="V18" s="213"/>
      <c r="W18" s="213"/>
      <c r="X18" s="213"/>
      <c r="Y18" s="213"/>
    </row>
    <row r="19" spans="1:25" ht="14.25" customHeight="1" x14ac:dyDescent="0.25">
      <c r="A19" s="210"/>
      <c r="B19" s="240" t="str">
        <f ca="1">+IF(AND(ISNUMBER(C17),ISNUMBER(D17)),IF((C17+C18)&gt;(D17+D18),B17,E17),"-")</f>
        <v>Brasil</v>
      </c>
      <c r="C19" s="240" t="str">
        <f>+E16</f>
        <v>W76</v>
      </c>
      <c r="D19" s="240"/>
      <c r="E19" s="240"/>
      <c r="F19" s="218"/>
      <c r="G19" s="210"/>
      <c r="H19" s="240" t="str">
        <f ca="1">+IF(AND(ISNUMBER(I17),ISNUMBER(J17)),IF((I17+I18)&gt;(J17+J18),H17,K17),"-")</f>
        <v>España</v>
      </c>
      <c r="I19" s="240" t="str">
        <f>+K16</f>
        <v>W84</v>
      </c>
      <c r="J19" s="240"/>
      <c r="K19" s="240"/>
      <c r="L19" s="210"/>
      <c r="M19" s="211"/>
      <c r="N19" s="212"/>
      <c r="O19" s="213"/>
      <c r="P19" s="213"/>
      <c r="Q19" s="213"/>
      <c r="R19" s="213"/>
      <c r="S19" s="213"/>
      <c r="T19" s="213"/>
      <c r="U19" s="213"/>
      <c r="V19" s="213"/>
      <c r="W19" s="213"/>
      <c r="X19" s="213"/>
      <c r="Y19" s="213"/>
    </row>
    <row r="20" spans="1:25" ht="14.25" customHeight="1" x14ac:dyDescent="0.25">
      <c r="A20" s="214"/>
      <c r="B20" s="215"/>
      <c r="C20" s="216" t="s">
        <v>241</v>
      </c>
      <c r="D20" s="216" t="str">
        <f ca="1">+_xlfn.XLOOKUP(C20,'Mejores 3eros'!$AD$1:$AK$1,'Mejores 3eros'!$AD$3:$AK$3,"-",0)</f>
        <v>3D</v>
      </c>
      <c r="E20" s="217" t="s">
        <v>208</v>
      </c>
      <c r="F20" s="218"/>
      <c r="G20" s="253"/>
      <c r="H20" s="254"/>
      <c r="I20" s="255" t="s">
        <v>242</v>
      </c>
      <c r="J20" s="255" t="str">
        <f ca="1">+_xlfn.XLOOKUP(I20,'Mejores 3eros'!$AD$1:$AK$1,'Mejores 3eros'!$AD$3:$AK$3,"-",0)</f>
        <v>3G</v>
      </c>
      <c r="K20" s="256" t="s">
        <v>243</v>
      </c>
      <c r="L20" s="210"/>
      <c r="M20" s="211"/>
      <c r="N20" s="212"/>
      <c r="O20" s="243"/>
      <c r="P20" s="244"/>
      <c r="Q20" s="245" t="s">
        <v>236</v>
      </c>
      <c r="R20" s="245" t="s">
        <v>244</v>
      </c>
      <c r="S20" s="246" t="s">
        <v>245</v>
      </c>
      <c r="T20" s="213"/>
      <c r="U20" s="253"/>
      <c r="V20" s="254"/>
      <c r="W20" s="255" t="s">
        <v>246</v>
      </c>
      <c r="X20" s="255" t="s">
        <v>247</v>
      </c>
      <c r="Y20" s="256" t="s">
        <v>248</v>
      </c>
    </row>
    <row r="21" spans="1:25" ht="14.25" customHeight="1" x14ac:dyDescent="0.25">
      <c r="A21" s="223" t="s">
        <v>249</v>
      </c>
      <c r="B21" s="224" t="str">
        <f ca="1">+_xlfn.XLOOKUP(C20,'Groups Stage'!$Y:$Y,'Groups Stage'!$Z:$Z,"-",0)</f>
        <v>Francia</v>
      </c>
      <c r="C21" s="225">
        <v>3</v>
      </c>
      <c r="D21" s="226">
        <v>0</v>
      </c>
      <c r="E21" s="227" t="str">
        <f ca="1">+_xlfn.XLOOKUP(D20,'Groups Stage'!$Y:$Y,'Groups Stage'!$Z:$Z,"-",0)</f>
        <v>Estados Unidos</v>
      </c>
      <c r="F21" s="218"/>
      <c r="G21" s="257" t="s">
        <v>250</v>
      </c>
      <c r="H21" s="224" t="str">
        <f ca="1">+_xlfn.XLOOKUP(I20,'Groups Stage'!$Y:$Y,'Groups Stage'!$Z:$Z,"-",0)</f>
        <v>Suiza</v>
      </c>
      <c r="I21" s="225">
        <v>2</v>
      </c>
      <c r="J21" s="226">
        <v>0</v>
      </c>
      <c r="K21" s="258" t="str">
        <f ca="1">+_xlfn.XLOOKUP(J20,'Groups Stage'!$Y:$Y,'Groups Stage'!$Z:$Z,"-",0)</f>
        <v>Nueva Zelanda</v>
      </c>
      <c r="L21" s="210"/>
      <c r="M21" s="211"/>
      <c r="N21" s="212"/>
      <c r="O21" s="247" t="s">
        <v>251</v>
      </c>
      <c r="P21" s="224" t="str">
        <f ca="1">+_xlfn.XLOOKUP(Q20,$C:$C,$B:$B,_xlfn.XLOOKUP(Q20,$I:$I,$H:$H,"-",0),0)</f>
        <v>Brasil</v>
      </c>
      <c r="Q21" s="225">
        <v>2</v>
      </c>
      <c r="R21" s="226">
        <v>1</v>
      </c>
      <c r="S21" s="248" t="str">
        <f ca="1">+_xlfn.XLOOKUP(R20,$C:$C,$B:$B,_xlfn.XLOOKUP(R20,$I:$I,$H:$H,"-",0),0)</f>
        <v>Noruega</v>
      </c>
      <c r="T21" s="213"/>
      <c r="U21" s="257" t="s">
        <v>252</v>
      </c>
      <c r="V21" s="224" t="str">
        <f ca="1">+_xlfn.XLOOKUP(W20,$C:$C,$B:$B,_xlfn.XLOOKUP(W20,$I:$I,$H:$H,"-",0),0)</f>
        <v>Argentina</v>
      </c>
      <c r="W21" s="225">
        <v>2</v>
      </c>
      <c r="X21" s="226">
        <v>1</v>
      </c>
      <c r="Y21" s="258" t="str">
        <f ca="1">+_xlfn.XLOOKUP(X20,$C:$C,$B:$B,_xlfn.XLOOKUP(X20,$I:$I,$H:$H,"-",0),0)</f>
        <v>Iran</v>
      </c>
    </row>
    <row r="22" spans="1:25" ht="14.25" customHeight="1" x14ac:dyDescent="0.25">
      <c r="A22" s="230"/>
      <c r="B22" s="231" t="s">
        <v>217</v>
      </c>
      <c r="C22" s="238"/>
      <c r="D22" s="238"/>
      <c r="E22" s="233" t="str">
        <f>+IF(AND(ISNUMBER(C21),ISNUMBER(D21),C21=D21),"Y","N")</f>
        <v>N</v>
      </c>
      <c r="F22" s="218"/>
      <c r="G22" s="259"/>
      <c r="H22" s="260" t="s">
        <v>217</v>
      </c>
      <c r="I22" s="261"/>
      <c r="J22" s="261"/>
      <c r="K22" s="262" t="str">
        <f>+IF(AND(ISNUMBER(I21),ISNUMBER(J21),I21=J21),"Y","N")</f>
        <v>N</v>
      </c>
      <c r="L22" s="210"/>
      <c r="M22" s="211"/>
      <c r="N22" s="212"/>
      <c r="O22" s="249"/>
      <c r="P22" s="250" t="s">
        <v>217</v>
      </c>
      <c r="Q22" s="251"/>
      <c r="R22" s="251"/>
      <c r="S22" s="252" t="str">
        <f>+IF(AND(ISNUMBER(Q21),ISNUMBER(R21),Q21=R21),"Y","N")</f>
        <v>N</v>
      </c>
      <c r="T22" s="213"/>
      <c r="U22" s="259"/>
      <c r="V22" s="260" t="s">
        <v>217</v>
      </c>
      <c r="W22" s="261"/>
      <c r="X22" s="261"/>
      <c r="Y22" s="262" t="str">
        <f>+IF(AND(ISNUMBER(W21),ISNUMBER(X21),W21=X21),"Y","N")</f>
        <v>N</v>
      </c>
    </row>
    <row r="23" spans="1:25" ht="14.25" customHeight="1" x14ac:dyDescent="0.25">
      <c r="A23" s="210"/>
      <c r="B23" s="240" t="str">
        <f ca="1">+IF(AND(ISNUMBER(C21),ISNUMBER(D21)),IF((C21+C22)&gt;(D21+D22),B21,E21),"-")</f>
        <v>Francia</v>
      </c>
      <c r="C23" s="240" t="str">
        <f>+E20</f>
        <v>W77</v>
      </c>
      <c r="D23" s="240"/>
      <c r="E23" s="240"/>
      <c r="F23" s="218"/>
      <c r="G23" s="210"/>
      <c r="H23" s="240" t="str">
        <f ca="1">+IF(AND(ISNUMBER(I21),ISNUMBER(J21)),IF((I21+I22)&gt;(J21+J22),H21,K21),"-")</f>
        <v>Suiza</v>
      </c>
      <c r="I23" s="240" t="str">
        <f>+K20</f>
        <v>W85</v>
      </c>
      <c r="J23" s="240"/>
      <c r="K23" s="240"/>
      <c r="L23" s="210"/>
      <c r="M23" s="211"/>
      <c r="N23" s="212"/>
      <c r="O23" s="213"/>
      <c r="P23" s="241" t="str">
        <f ca="1">+IF(AND(ISNUMBER(Q21),ISNUMBER(R21)),IF((Q21+Q22)&gt;(R21+R22),P21,S21),"-")</f>
        <v>Brasil</v>
      </c>
      <c r="Q23" s="241" t="str">
        <f>+S20</f>
        <v>W91</v>
      </c>
      <c r="R23" s="241"/>
      <c r="S23" s="241"/>
      <c r="T23" s="242"/>
      <c r="U23" s="213"/>
      <c r="V23" s="241" t="str">
        <f ca="1">+IF(AND(ISNUMBER(W21),ISNUMBER(X21)),IF((W21+W22)&gt;(X21+X22),V21,Y21),"-")</f>
        <v>Argentina</v>
      </c>
      <c r="W23" s="241" t="str">
        <f>+Y20</f>
        <v>W95</v>
      </c>
      <c r="X23" s="241"/>
      <c r="Y23" s="241"/>
    </row>
    <row r="24" spans="1:25" ht="14.25" customHeight="1" x14ac:dyDescent="0.25">
      <c r="A24" s="243"/>
      <c r="B24" s="244"/>
      <c r="C24" s="245" t="s">
        <v>253</v>
      </c>
      <c r="D24" s="245" t="s">
        <v>254</v>
      </c>
      <c r="E24" s="246" t="s">
        <v>244</v>
      </c>
      <c r="F24" s="218"/>
      <c r="G24" s="253"/>
      <c r="H24" s="254"/>
      <c r="I24" s="255" t="s">
        <v>255</v>
      </c>
      <c r="J24" s="255" t="s">
        <v>256</v>
      </c>
      <c r="K24" s="256" t="s">
        <v>246</v>
      </c>
      <c r="L24" s="210"/>
      <c r="M24" s="211"/>
      <c r="N24" s="212"/>
      <c r="O24" s="213"/>
      <c r="P24" s="213"/>
      <c r="Q24" s="213"/>
      <c r="R24" s="213"/>
      <c r="S24" s="213"/>
      <c r="T24" s="213"/>
      <c r="U24" s="213"/>
      <c r="V24" s="213"/>
      <c r="W24" s="213"/>
      <c r="X24" s="213"/>
      <c r="Y24" s="213"/>
    </row>
    <row r="25" spans="1:25" ht="14.25" customHeight="1" x14ac:dyDescent="0.25">
      <c r="A25" s="247" t="s">
        <v>257</v>
      </c>
      <c r="B25" s="224" t="str">
        <f ca="1">+_xlfn.XLOOKUP(C24,'Groups Stage'!$Y:$Y,'Groups Stage'!$Z:$Z,"-",0)</f>
        <v>Ecuador</v>
      </c>
      <c r="C25" s="225">
        <v>1</v>
      </c>
      <c r="D25" s="226">
        <v>2</v>
      </c>
      <c r="E25" s="248" t="str">
        <f ca="1">+_xlfn.XLOOKUP(D24,'Groups Stage'!$Y:$Y,'Groups Stage'!$Z:$Z,"-",0)</f>
        <v>Noruega</v>
      </c>
      <c r="F25" s="218"/>
      <c r="G25" s="257" t="s">
        <v>258</v>
      </c>
      <c r="H25" s="224" t="str">
        <f ca="1">+_xlfn.XLOOKUP(I24,'Groups Stage'!$Y:$Y,'Groups Stage'!$Z:$Z,"-",0)</f>
        <v>Argentina</v>
      </c>
      <c r="I25" s="225">
        <v>2</v>
      </c>
      <c r="J25" s="226">
        <v>1</v>
      </c>
      <c r="K25" s="258" t="str">
        <f ca="1">+_xlfn.XLOOKUP(J24,'Groups Stage'!$Y:$Y,'Groups Stage'!$Z:$Z,"-",0)</f>
        <v>Uruguay</v>
      </c>
      <c r="L25" s="210"/>
      <c r="M25" s="211"/>
      <c r="N25" s="212"/>
      <c r="O25" s="213"/>
      <c r="P25" s="213"/>
      <c r="Q25" s="213"/>
      <c r="R25" s="213"/>
      <c r="S25" s="213"/>
      <c r="T25" s="213"/>
      <c r="U25" s="213"/>
      <c r="V25" s="213"/>
      <c r="W25" s="213"/>
      <c r="X25" s="213"/>
      <c r="Y25" s="213"/>
    </row>
    <row r="26" spans="1:25" ht="14.25" customHeight="1" x14ac:dyDescent="0.25">
      <c r="A26" s="249"/>
      <c r="B26" s="250" t="s">
        <v>217</v>
      </c>
      <c r="C26" s="251"/>
      <c r="D26" s="251"/>
      <c r="E26" s="252" t="str">
        <f>+IF(AND(ISNUMBER(C25),ISNUMBER(D25),C25=D25),"Y","N")</f>
        <v>N</v>
      </c>
      <c r="F26" s="218"/>
      <c r="G26" s="259"/>
      <c r="H26" s="260" t="s">
        <v>217</v>
      </c>
      <c r="I26" s="261"/>
      <c r="J26" s="261"/>
      <c r="K26" s="262" t="str">
        <f>+IF(AND(ISNUMBER(I25),ISNUMBER(J25),I25=J25),"Y","N")</f>
        <v>N</v>
      </c>
      <c r="L26" s="210"/>
      <c r="M26" s="211"/>
      <c r="N26" s="212"/>
      <c r="O26" s="213"/>
      <c r="P26" s="213"/>
      <c r="Q26" s="213"/>
      <c r="R26" s="213"/>
      <c r="S26" s="213"/>
      <c r="T26" s="213"/>
      <c r="U26" s="213"/>
      <c r="V26" s="213"/>
      <c r="W26" s="213"/>
      <c r="X26" s="213"/>
      <c r="Y26" s="213"/>
    </row>
    <row r="27" spans="1:25" ht="14.25" customHeight="1" x14ac:dyDescent="0.25">
      <c r="A27" s="210"/>
      <c r="B27" s="240" t="str">
        <f ca="1">+IF(AND(ISNUMBER(C25),ISNUMBER(D25)),IF((C25+C26)&gt;(D25+D26),B25,E25),"-")</f>
        <v>Noruega</v>
      </c>
      <c r="C27" s="240" t="str">
        <f>+E24</f>
        <v>W78</v>
      </c>
      <c r="D27" s="240"/>
      <c r="E27" s="240"/>
      <c r="F27" s="218"/>
      <c r="G27" s="210"/>
      <c r="H27" s="240" t="str">
        <f ca="1">+IF(AND(ISNUMBER(I25),ISNUMBER(J25)),IF((I25+I26)&gt;(J25+J26),H25,K25),"-")</f>
        <v>Argentina</v>
      </c>
      <c r="I27" s="240" t="str">
        <f>+K24</f>
        <v>W86</v>
      </c>
      <c r="J27" s="240"/>
      <c r="K27" s="240"/>
      <c r="L27" s="210"/>
      <c r="M27" s="211"/>
      <c r="N27" s="212"/>
      <c r="O27" s="213"/>
      <c r="P27" s="213"/>
      <c r="Q27" s="213"/>
      <c r="R27" s="213"/>
      <c r="S27" s="213"/>
      <c r="T27" s="213"/>
      <c r="U27" s="213"/>
      <c r="V27" s="213"/>
      <c r="W27" s="213"/>
      <c r="X27" s="213"/>
      <c r="Y27" s="213"/>
    </row>
    <row r="28" spans="1:25" ht="14.25" customHeight="1" x14ac:dyDescent="0.25">
      <c r="A28" s="243"/>
      <c r="B28" s="244"/>
      <c r="C28" s="245" t="s">
        <v>259</v>
      </c>
      <c r="D28" s="245" t="str">
        <f ca="1">+_xlfn.XLOOKUP(C28,'Mejores 3eros'!$AD$1:$AK$1,'Mejores 3eros'!$AD$3:$AK$3,"-",0)</f>
        <v>3H</v>
      </c>
      <c r="E28" s="246" t="s">
        <v>260</v>
      </c>
      <c r="F28" s="218"/>
      <c r="G28" s="253"/>
      <c r="H28" s="254"/>
      <c r="I28" s="255" t="s">
        <v>261</v>
      </c>
      <c r="J28" s="255" t="str">
        <f ca="1">+_xlfn.XLOOKUP(I28,'Mejores 3eros'!$AD$1:$AK$1,'Mejores 3eros'!$AD$3:$AK$3,"-",0)</f>
        <v>3L</v>
      </c>
      <c r="K28" s="256" t="s">
        <v>262</v>
      </c>
      <c r="L28" s="210"/>
      <c r="M28" s="211"/>
      <c r="N28" s="212"/>
      <c r="O28" s="243"/>
      <c r="P28" s="244"/>
      <c r="Q28" s="245" t="s">
        <v>260</v>
      </c>
      <c r="R28" s="245" t="s">
        <v>263</v>
      </c>
      <c r="S28" s="246" t="s">
        <v>264</v>
      </c>
      <c r="T28" s="213"/>
      <c r="U28" s="253"/>
      <c r="V28" s="254"/>
      <c r="W28" s="255" t="s">
        <v>243</v>
      </c>
      <c r="X28" s="255" t="s">
        <v>262</v>
      </c>
      <c r="Y28" s="256" t="s">
        <v>265</v>
      </c>
    </row>
    <row r="29" spans="1:25" ht="14.25" customHeight="1" x14ac:dyDescent="0.25">
      <c r="A29" s="247" t="s">
        <v>266</v>
      </c>
      <c r="B29" s="224" t="str">
        <f ca="1">+_xlfn.XLOOKUP(C28,'Groups Stage'!$Y:$Y,'Groups Stage'!$Z:$Z,"-",0)</f>
        <v>Mexico</v>
      </c>
      <c r="C29" s="225">
        <v>2</v>
      </c>
      <c r="D29" s="226">
        <v>1</v>
      </c>
      <c r="E29" s="248" t="str">
        <f ca="1">+_xlfn.XLOOKUP(D28,'Groups Stage'!$Y:$Y,'Groups Stage'!$Z:$Z,"-",0)</f>
        <v>Arabia Saudita</v>
      </c>
      <c r="F29" s="218"/>
      <c r="G29" s="257" t="s">
        <v>267</v>
      </c>
      <c r="H29" s="224" t="str">
        <f ca="1">+_xlfn.XLOOKUP(I28,'Groups Stage'!$Y:$Y,'Groups Stage'!$Z:$Z,"-",0)</f>
        <v>Portugal</v>
      </c>
      <c r="I29" s="225">
        <v>2</v>
      </c>
      <c r="J29" s="226">
        <v>1</v>
      </c>
      <c r="K29" s="258" t="str">
        <f ca="1">+_xlfn.XLOOKUP(J28,'Groups Stage'!$Y:$Y,'Groups Stage'!$Z:$Z,"-",0)</f>
        <v>Ghana</v>
      </c>
      <c r="L29" s="210"/>
      <c r="M29" s="211"/>
      <c r="N29" s="212"/>
      <c r="O29" s="247" t="s">
        <v>268</v>
      </c>
      <c r="P29" s="224" t="str">
        <f ca="1">+_xlfn.XLOOKUP(Q28,$C:$C,$B:$B,_xlfn.XLOOKUP(Q28,$I:$I,$H:$H,"-",0),0)</f>
        <v>Mexico</v>
      </c>
      <c r="Q29" s="225">
        <v>1</v>
      </c>
      <c r="R29" s="226">
        <v>2</v>
      </c>
      <c r="S29" s="248" t="str">
        <f ca="1">+_xlfn.XLOOKUP(R28,$C:$C,$B:$B,_xlfn.XLOOKUP(R28,$I:$I,$H:$H,"-",0),0)</f>
        <v>Inglaterra</v>
      </c>
      <c r="T29" s="213"/>
      <c r="U29" s="257" t="s">
        <v>269</v>
      </c>
      <c r="V29" s="224" t="str">
        <f ca="1">+_xlfn.XLOOKUP(W28,$C:$C,$B:$B,_xlfn.XLOOKUP(W28,$I:$I,$H:$H,"-",0),0)</f>
        <v>Suiza</v>
      </c>
      <c r="W29" s="225">
        <v>1</v>
      </c>
      <c r="X29" s="226">
        <v>2</v>
      </c>
      <c r="Y29" s="258" t="str">
        <f ca="1">+_xlfn.XLOOKUP(X28,$C:$C,$B:$B,_xlfn.XLOOKUP(X28,$I:$I,$H:$H,"-",0),0)</f>
        <v>Portugal</v>
      </c>
    </row>
    <row r="30" spans="1:25" ht="14.25" customHeight="1" x14ac:dyDescent="0.25">
      <c r="A30" s="249"/>
      <c r="B30" s="250" t="s">
        <v>217</v>
      </c>
      <c r="C30" s="251"/>
      <c r="D30" s="251"/>
      <c r="E30" s="252" t="str">
        <f>+IF(AND(ISNUMBER(C29),ISNUMBER(D29),C29=D29),"Y","N")</f>
        <v>N</v>
      </c>
      <c r="F30" s="218"/>
      <c r="G30" s="259"/>
      <c r="H30" s="260" t="s">
        <v>217</v>
      </c>
      <c r="I30" s="261"/>
      <c r="J30" s="261"/>
      <c r="K30" s="262" t="str">
        <f>+IF(AND(ISNUMBER(I29),ISNUMBER(J29),I29=J29),"Y","N")</f>
        <v>N</v>
      </c>
      <c r="L30" s="210"/>
      <c r="M30" s="211"/>
      <c r="N30" s="212"/>
      <c r="O30" s="249"/>
      <c r="P30" s="250" t="s">
        <v>217</v>
      </c>
      <c r="Q30" s="251"/>
      <c r="R30" s="251"/>
      <c r="S30" s="252" t="str">
        <f>+IF(AND(ISNUMBER(Q29),ISNUMBER(R29),Q29=R29),"Y","N")</f>
        <v>N</v>
      </c>
      <c r="T30" s="213"/>
      <c r="U30" s="259"/>
      <c r="V30" s="260" t="s">
        <v>217</v>
      </c>
      <c r="W30" s="261"/>
      <c r="X30" s="261"/>
      <c r="Y30" s="262" t="str">
        <f>+IF(AND(ISNUMBER(W29),ISNUMBER(X29),W29=X29),"Y","N")</f>
        <v>N</v>
      </c>
    </row>
    <row r="31" spans="1:25" ht="14.25" customHeight="1" x14ac:dyDescent="0.25">
      <c r="A31" s="210"/>
      <c r="B31" s="240" t="str">
        <f ca="1">+IF(AND(ISNUMBER(C29),ISNUMBER(D29)),IF((C29+C30)&gt;(D29+D30),B29,E29),"-")</f>
        <v>Mexico</v>
      </c>
      <c r="C31" s="240" t="str">
        <f>+E28</f>
        <v>W79</v>
      </c>
      <c r="D31" s="240"/>
      <c r="E31" s="240"/>
      <c r="F31" s="218"/>
      <c r="G31" s="210"/>
      <c r="H31" s="240" t="str">
        <f ca="1">+IF(AND(ISNUMBER(I29),ISNUMBER(J29)),IF((I29+I30)&gt;(J29+J30),H29,K29),"-")</f>
        <v>Portugal</v>
      </c>
      <c r="I31" s="240" t="str">
        <f>+K28</f>
        <v>W87</v>
      </c>
      <c r="J31" s="240"/>
      <c r="K31" s="240"/>
      <c r="L31" s="210"/>
      <c r="M31" s="211"/>
      <c r="N31" s="212"/>
      <c r="O31" s="213"/>
      <c r="P31" s="241" t="str">
        <f ca="1">+IF(AND(ISNUMBER(Q29),ISNUMBER(R29)),IF((Q29+Q30)&gt;(R29+R30),P29,S29),"-")</f>
        <v>Inglaterra</v>
      </c>
      <c r="Q31" s="241" t="str">
        <f>+S28</f>
        <v>W92</v>
      </c>
      <c r="R31" s="241"/>
      <c r="S31" s="241"/>
      <c r="T31" s="242"/>
      <c r="U31" s="242"/>
      <c r="V31" s="241" t="str">
        <f ca="1">+IF(AND(ISNUMBER(W29),ISNUMBER(X29)),IF((W29+W30)&gt;(X29+X30),V29,Y29),"-")</f>
        <v>Portugal</v>
      </c>
      <c r="W31" s="241" t="str">
        <f>+Y28</f>
        <v>W96</v>
      </c>
      <c r="X31" s="241"/>
      <c r="Y31" s="241"/>
    </row>
    <row r="32" spans="1:25" ht="14.25" customHeight="1" x14ac:dyDescent="0.25">
      <c r="A32" s="243"/>
      <c r="B32" s="244"/>
      <c r="C32" s="245" t="s">
        <v>270</v>
      </c>
      <c r="D32" s="245" t="str">
        <f ca="1">+_xlfn.XLOOKUP(C32,'Mejores 3eros'!$AD$1:$AK$1,'Mejores 3eros'!$AD$3:$AK$3,"-",0)</f>
        <v>3I</v>
      </c>
      <c r="E32" s="246" t="s">
        <v>263</v>
      </c>
      <c r="F32" s="218"/>
      <c r="G32" s="253"/>
      <c r="H32" s="254"/>
      <c r="I32" s="255" t="s">
        <v>271</v>
      </c>
      <c r="J32" s="255" t="s">
        <v>272</v>
      </c>
      <c r="K32" s="256" t="s">
        <v>247</v>
      </c>
      <c r="L32" s="210"/>
      <c r="M32" s="211"/>
      <c r="N32" s="212"/>
      <c r="O32" s="213"/>
      <c r="P32" s="213"/>
      <c r="Q32" s="213"/>
      <c r="R32" s="213"/>
      <c r="S32" s="213"/>
      <c r="T32" s="213"/>
      <c r="U32" s="213"/>
      <c r="V32" s="213"/>
      <c r="W32" s="213"/>
      <c r="X32" s="213"/>
      <c r="Y32" s="213"/>
    </row>
    <row r="33" spans="1:11" ht="14.25" customHeight="1" x14ac:dyDescent="0.25">
      <c r="A33" s="247" t="s">
        <v>273</v>
      </c>
      <c r="B33" s="224" t="str">
        <f ca="1">+_xlfn.XLOOKUP(C32,'Groups Stage'!$Y:$Y,'Groups Stage'!$Z:$Z,"-",0)</f>
        <v>Inglaterra</v>
      </c>
      <c r="C33" s="225">
        <v>3</v>
      </c>
      <c r="D33" s="226">
        <v>1</v>
      </c>
      <c r="E33" s="248" t="str">
        <f ca="1">+_xlfn.XLOOKUP(D32,'Groups Stage'!$Y:$Y,'Groups Stage'!$Z:$Z,"-",0)</f>
        <v>Senegal</v>
      </c>
      <c r="F33" s="218"/>
      <c r="G33" s="257" t="s">
        <v>274</v>
      </c>
      <c r="H33" s="224" t="str">
        <f ca="1">+_xlfn.XLOOKUP(I32,'Groups Stage'!$Y:$Y,'Groups Stage'!$Z:$Z,"-",0)</f>
        <v>Paraguay</v>
      </c>
      <c r="I33" s="225">
        <v>1</v>
      </c>
      <c r="J33" s="226">
        <v>2</v>
      </c>
      <c r="K33" s="258" t="str">
        <f ca="1">+_xlfn.XLOOKUP(J32,'Groups Stage'!$Y:$Y,'Groups Stage'!$Z:$Z,"-",0)</f>
        <v>Iran</v>
      </c>
    </row>
    <row r="34" spans="1:11" ht="14.25" customHeight="1" x14ac:dyDescent="0.25">
      <c r="A34" s="249"/>
      <c r="B34" s="250" t="s">
        <v>217</v>
      </c>
      <c r="C34" s="251"/>
      <c r="D34" s="251"/>
      <c r="E34" s="252" t="str">
        <f>+IF(AND(ISNUMBER(C33),ISNUMBER(D33),C33=D33),"Y","N")</f>
        <v>N</v>
      </c>
      <c r="F34" s="218"/>
      <c r="G34" s="259"/>
      <c r="H34" s="260" t="s">
        <v>217</v>
      </c>
      <c r="I34" s="261"/>
      <c r="J34" s="261"/>
      <c r="K34" s="262" t="str">
        <f>+IF(AND(ISNUMBER(I33),ISNUMBER(J33),I33=J33),"Y","N")</f>
        <v>N</v>
      </c>
    </row>
    <row r="35" spans="1:11" ht="14.25" customHeight="1" x14ac:dyDescent="0.25">
      <c r="A35" s="210"/>
      <c r="B35" s="240" t="str">
        <f ca="1">+IF(AND(ISNUMBER(C33),ISNUMBER(D33)),IF((C33+C34)&gt;(D33+D34),B33,E33),"-")</f>
        <v>Inglaterra</v>
      </c>
      <c r="C35" s="240" t="str">
        <f>+E32</f>
        <v>W80</v>
      </c>
      <c r="D35" s="240"/>
      <c r="E35" s="240"/>
      <c r="F35" s="210"/>
      <c r="G35" s="210"/>
      <c r="H35" s="240" t="str">
        <f ca="1">+IF(AND(ISNUMBER(I33),ISNUMBER(J33)),IF((I33+I34)&gt;(J33+J34),H33,K33),"-")</f>
        <v>Iran</v>
      </c>
      <c r="I35" s="240" t="str">
        <f>+K32</f>
        <v>W88</v>
      </c>
      <c r="J35" s="240"/>
      <c r="K35" s="240"/>
    </row>
  </sheetData>
  <conditionalFormatting sqref="B6">
    <cfRule type="expression" dxfId="76" priority="3">
      <formula>E6="Y"</formula>
    </cfRule>
  </conditionalFormatting>
  <conditionalFormatting sqref="B10">
    <cfRule type="expression" dxfId="75" priority="12">
      <formula>E10="Y"</formula>
    </cfRule>
  </conditionalFormatting>
  <conditionalFormatting sqref="B14 B18 B26 B30 B34">
    <cfRule type="expression" dxfId="74" priority="6">
      <formula>E14="Y"</formula>
    </cfRule>
  </conditionalFormatting>
  <conditionalFormatting sqref="B22">
    <cfRule type="expression" dxfId="73" priority="15">
      <formula>E22="Y"</formula>
    </cfRule>
  </conditionalFormatting>
  <conditionalFormatting sqref="C6">
    <cfRule type="expression" dxfId="72" priority="1">
      <formula>E6="Y"</formula>
    </cfRule>
  </conditionalFormatting>
  <conditionalFormatting sqref="C10">
    <cfRule type="expression" dxfId="71" priority="10">
      <formula>E10="Y"</formula>
    </cfRule>
  </conditionalFormatting>
  <conditionalFormatting sqref="C14 C18 C26 C30 C34">
    <cfRule type="expression" dxfId="70" priority="4">
      <formula>E14="Y"</formula>
    </cfRule>
  </conditionalFormatting>
  <conditionalFormatting sqref="C22">
    <cfRule type="expression" dxfId="69" priority="13">
      <formula>E22="Y"</formula>
    </cfRule>
  </conditionalFormatting>
  <conditionalFormatting sqref="D6">
    <cfRule type="expression" dxfId="68" priority="2">
      <formula>E6="Y"</formula>
    </cfRule>
  </conditionalFormatting>
  <conditionalFormatting sqref="D10">
    <cfRule type="expression" dxfId="67" priority="11">
      <formula>E10="Y"</formula>
    </cfRule>
  </conditionalFormatting>
  <conditionalFormatting sqref="D14 D18 D26 D30 D34">
    <cfRule type="expression" dxfId="66" priority="5">
      <formula>E14="Y"</formula>
    </cfRule>
  </conditionalFormatting>
  <conditionalFormatting sqref="D22">
    <cfRule type="expression" dxfId="65" priority="14">
      <formula>E22="Y"</formula>
    </cfRule>
  </conditionalFormatting>
  <conditionalFormatting sqref="H6">
    <cfRule type="expression" dxfId="64" priority="24">
      <formula>K6="Y"</formula>
    </cfRule>
  </conditionalFormatting>
  <conditionalFormatting sqref="H10">
    <cfRule type="expression" dxfId="63" priority="27">
      <formula>K10="Y"</formula>
    </cfRule>
  </conditionalFormatting>
  <conditionalFormatting sqref="H14 H18 H22 H26 H30 H34">
    <cfRule type="expression" dxfId="62" priority="9">
      <formula>K14="Y"</formula>
    </cfRule>
  </conditionalFormatting>
  <conditionalFormatting sqref="I6">
    <cfRule type="expression" dxfId="61" priority="22">
      <formula>K6="Y"</formula>
    </cfRule>
  </conditionalFormatting>
  <conditionalFormatting sqref="I10">
    <cfRule type="expression" dxfId="60" priority="25">
      <formula>K10="Y"</formula>
    </cfRule>
  </conditionalFormatting>
  <conditionalFormatting sqref="I14 I18 I22 I26 I30 I34">
    <cfRule type="expression" dxfId="59" priority="7">
      <formula>K14="Y"</formula>
    </cfRule>
  </conditionalFormatting>
  <conditionalFormatting sqref="J6">
    <cfRule type="expression" dxfId="58" priority="23">
      <formula>K6="Y"</formula>
    </cfRule>
  </conditionalFormatting>
  <conditionalFormatting sqref="J10">
    <cfRule type="expression" dxfId="57" priority="26">
      <formula>K10="Y"</formula>
    </cfRule>
  </conditionalFormatting>
  <conditionalFormatting sqref="J14 J18 J22 J26 J30 J34">
    <cfRule type="expression" dxfId="56" priority="8">
      <formula>K14="Y"</formula>
    </cfRule>
  </conditionalFormatting>
  <conditionalFormatting sqref="P6">
    <cfRule type="expression" dxfId="55" priority="18">
      <formula>S6="Y"</formula>
    </cfRule>
  </conditionalFormatting>
  <conditionalFormatting sqref="P14">
    <cfRule type="expression" dxfId="54" priority="21">
      <formula>S14="Y"</formula>
    </cfRule>
  </conditionalFormatting>
  <conditionalFormatting sqref="P22">
    <cfRule type="expression" dxfId="53" priority="36">
      <formula>S22="Y"</formula>
    </cfRule>
  </conditionalFormatting>
  <conditionalFormatting sqref="P30">
    <cfRule type="expression" dxfId="52" priority="39">
      <formula>S30="Y"</formula>
    </cfRule>
  </conditionalFormatting>
  <conditionalFormatting sqref="Q6">
    <cfRule type="expression" dxfId="51" priority="16">
      <formula>S6="Y"</formula>
    </cfRule>
  </conditionalFormatting>
  <conditionalFormatting sqref="Q14">
    <cfRule type="expression" dxfId="50" priority="19">
      <formula>S14="Y"</formula>
    </cfRule>
  </conditionalFormatting>
  <conditionalFormatting sqref="Q22">
    <cfRule type="expression" dxfId="49" priority="34">
      <formula>S22="Y"</formula>
    </cfRule>
  </conditionalFormatting>
  <conditionalFormatting sqref="Q30">
    <cfRule type="expression" dxfId="48" priority="37">
      <formula>S30="Y"</formula>
    </cfRule>
  </conditionalFormatting>
  <conditionalFormatting sqref="R6">
    <cfRule type="expression" dxfId="47" priority="17">
      <formula>S6="Y"</formula>
    </cfRule>
  </conditionalFormatting>
  <conditionalFormatting sqref="R14">
    <cfRule type="expression" dxfId="46" priority="20">
      <formula>S14="Y"</formula>
    </cfRule>
  </conditionalFormatting>
  <conditionalFormatting sqref="R22">
    <cfRule type="expression" dxfId="45" priority="35">
      <formula>S22="Y"</formula>
    </cfRule>
  </conditionalFormatting>
  <conditionalFormatting sqref="R30">
    <cfRule type="expression" dxfId="44" priority="38">
      <formula>S30="Y"</formula>
    </cfRule>
  </conditionalFormatting>
  <conditionalFormatting sqref="V6">
    <cfRule type="expression" dxfId="43" priority="30">
      <formula>Y6="Y"</formula>
    </cfRule>
  </conditionalFormatting>
  <conditionalFormatting sqref="V14">
    <cfRule type="expression" dxfId="42" priority="33">
      <formula>Y14="Y"</formula>
    </cfRule>
  </conditionalFormatting>
  <conditionalFormatting sqref="V22">
    <cfRule type="expression" dxfId="41" priority="42">
      <formula>Y22="Y"</formula>
    </cfRule>
  </conditionalFormatting>
  <conditionalFormatting sqref="V30">
    <cfRule type="expression" dxfId="40" priority="45">
      <formula>Y30="Y"</formula>
    </cfRule>
  </conditionalFormatting>
  <conditionalFormatting sqref="W6">
    <cfRule type="expression" dxfId="39" priority="28">
      <formula>Y6="Y"</formula>
    </cfRule>
  </conditionalFormatting>
  <conditionalFormatting sqref="W14">
    <cfRule type="expression" dxfId="38" priority="31">
      <formula>Y14="Y"</formula>
    </cfRule>
  </conditionalFormatting>
  <conditionalFormatting sqref="W22">
    <cfRule type="expression" dxfId="37" priority="40">
      <formula>Y22="Y"</formula>
    </cfRule>
  </conditionalFormatting>
  <conditionalFormatting sqref="W30">
    <cfRule type="expression" dxfId="36" priority="43">
      <formula>Y30="Y"</formula>
    </cfRule>
  </conditionalFormatting>
  <conditionalFormatting sqref="X6">
    <cfRule type="expression" dxfId="35" priority="29">
      <formula>Y6="Y"</formula>
    </cfRule>
  </conditionalFormatting>
  <conditionalFormatting sqref="X14">
    <cfRule type="expression" dxfId="34" priority="32">
      <formula>Y14="Y"</formula>
    </cfRule>
  </conditionalFormatting>
  <conditionalFormatting sqref="X22">
    <cfRule type="expression" dxfId="33" priority="41">
      <formula>Y22="Y"</formula>
    </cfRule>
  </conditionalFormatting>
  <conditionalFormatting sqref="X30">
    <cfRule type="expression" dxfId="32" priority="44">
      <formula>Y30="Y"</formula>
    </cfRule>
  </conditionalFormatting>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4:X32"/>
  <sheetViews>
    <sheetView workbookViewId="0">
      <selection activeCell="S20" sqref="S20"/>
    </sheetView>
  </sheetViews>
  <sheetFormatPr defaultColWidth="12.59765625" defaultRowHeight="15" customHeight="1" x14ac:dyDescent="0.25"/>
  <cols>
    <col min="1" max="1" width="5.69921875" customWidth="1"/>
    <col min="2" max="2" width="16.09765625" customWidth="1"/>
    <col min="3" max="4" width="3.19921875" customWidth="1"/>
    <col min="5" max="5" width="16.09765625" customWidth="1"/>
    <col min="6" max="6" width="1.69921875" customWidth="1"/>
    <col min="7" max="7" width="5.69921875" customWidth="1"/>
    <col min="8" max="8" width="16.09765625" customWidth="1"/>
    <col min="9" max="10" width="3.69921875" customWidth="1"/>
    <col min="11" max="11" width="16.09765625" customWidth="1"/>
    <col min="12" max="12" width="1.69921875" customWidth="1"/>
    <col min="13" max="13" width="1.8984375" customWidth="1"/>
    <col min="14" max="14" width="5.3984375" customWidth="1"/>
    <col min="15" max="15" width="5.69921875" customWidth="1"/>
    <col min="16" max="16" width="24.09765625" customWidth="1"/>
    <col min="17" max="18" width="4.5" customWidth="1"/>
    <col min="19" max="19" width="21.69921875" customWidth="1"/>
    <col min="20" max="21" width="1.8984375" customWidth="1"/>
    <col min="22" max="22" width="16.09765625" customWidth="1"/>
    <col min="23" max="24" width="3.69921875" customWidth="1"/>
    <col min="25" max="25" width="16.09765625" customWidth="1"/>
    <col min="26" max="26" width="8.69921875" customWidth="1"/>
  </cols>
  <sheetData>
    <row r="4" spans="1:19" ht="13.5" customHeight="1" x14ac:dyDescent="0.25">
      <c r="A4" s="265"/>
      <c r="B4" s="266"/>
      <c r="C4" s="267" t="s">
        <v>209</v>
      </c>
      <c r="D4" s="267" t="s">
        <v>228</v>
      </c>
      <c r="E4" s="268" t="s">
        <v>275</v>
      </c>
      <c r="F4" s="218"/>
      <c r="G4" s="265"/>
      <c r="H4" s="266"/>
      <c r="I4" s="267" t="s">
        <v>245</v>
      </c>
      <c r="J4" s="267" t="s">
        <v>264</v>
      </c>
      <c r="K4" s="268" t="s">
        <v>276</v>
      </c>
      <c r="L4" s="210"/>
      <c r="M4" s="211"/>
      <c r="N4" s="264"/>
      <c r="O4" s="269"/>
      <c r="P4" s="487" t="str">
        <f ca="1">+B21</f>
        <v>Francia</v>
      </c>
      <c r="Q4" s="490">
        <v>2</v>
      </c>
      <c r="R4" s="492">
        <v>3</v>
      </c>
      <c r="S4" s="495" t="str">
        <f ca="1">+H21</f>
        <v>Argentina</v>
      </c>
    </row>
    <row r="5" spans="1:19" ht="13.5" customHeight="1" x14ac:dyDescent="0.25">
      <c r="A5" s="270" t="s">
        <v>277</v>
      </c>
      <c r="B5" s="224" t="str">
        <f ca="1">+_xlfn.XLOOKUP(C4,'Round of 32 &amp; Round of 16'!$Q:$Q,'Round of 32 &amp; Round of 16'!$P:$P,_xlfn.XLOOKUP(C4,'Round of 32 &amp; Round of 16'!$W:$W,'Round of 32 &amp; Round of 16'!$V:$V,"-",0),0)</f>
        <v>Francia</v>
      </c>
      <c r="C5" s="225">
        <v>2</v>
      </c>
      <c r="D5" s="226">
        <v>1</v>
      </c>
      <c r="E5" s="271" t="str">
        <f ca="1">+_xlfn.XLOOKUP(D4,'Round of 32 &amp; Round of 16'!$Q:$Q,'Round of 32 &amp; Round of 16'!$P:$P,_xlfn.XLOOKUP(D4,'Round of 32 &amp; Round of 16'!$W:$W,'Round of 32 &amp; Round of 16'!$V:$V,"-",0),0)</f>
        <v>Paises Bajos</v>
      </c>
      <c r="F5" s="218"/>
      <c r="G5" s="270" t="s">
        <v>278</v>
      </c>
      <c r="H5" s="224" t="str">
        <f ca="1">+_xlfn.XLOOKUP(I4,'Round of 32 &amp; Round of 16'!$Q:$Q,'Round of 32 &amp; Round of 16'!$P:$P,_xlfn.XLOOKUP(I4,'Round of 32 &amp; Round of 16'!$W:$W,'Round of 32 &amp; Round of 16'!$V:$V,"-",0),0)</f>
        <v>Brasil</v>
      </c>
      <c r="I5" s="225">
        <v>2</v>
      </c>
      <c r="J5" s="226">
        <v>2</v>
      </c>
      <c r="K5" s="271" t="str">
        <f ca="1">+_xlfn.XLOOKUP(J4,'Round of 32 &amp; Round of 16'!$Q:$Q,'Round of 32 &amp; Round of 16'!$P:$P,_xlfn.XLOOKUP(J4,'Round of 32 &amp; Round of 16'!$W:$W,'Round of 32 &amp; Round of 16'!$V:$V,"-",0),0)</f>
        <v>Inglaterra</v>
      </c>
      <c r="L5" s="210"/>
      <c r="M5" s="211"/>
      <c r="N5" s="264"/>
      <c r="O5" s="272" t="s">
        <v>279</v>
      </c>
      <c r="P5" s="488"/>
      <c r="Q5" s="470"/>
      <c r="R5" s="493"/>
      <c r="S5" s="496"/>
    </row>
    <row r="6" spans="1:19" ht="14.25" customHeight="1" x14ac:dyDescent="0.25">
      <c r="A6" s="273"/>
      <c r="B6" s="274" t="s">
        <v>217</v>
      </c>
      <c r="C6" s="275"/>
      <c r="D6" s="275"/>
      <c r="E6" s="276" t="str">
        <f>+IF(AND(ISNUMBER(C5),ISNUMBER(D5),C5=D5),"Y","N")</f>
        <v>N</v>
      </c>
      <c r="F6" s="218"/>
      <c r="G6" s="273"/>
      <c r="H6" s="274" t="s">
        <v>217</v>
      </c>
      <c r="I6" s="277">
        <v>5</v>
      </c>
      <c r="J6" s="277">
        <v>4</v>
      </c>
      <c r="K6" s="276" t="str">
        <f>+IF(AND(ISNUMBER(I5),ISNUMBER(J5),I5=J5),"Y","N")</f>
        <v>Y</v>
      </c>
      <c r="L6" s="210"/>
      <c r="M6" s="211"/>
      <c r="N6" s="264"/>
      <c r="O6" s="278"/>
      <c r="P6" s="489"/>
      <c r="Q6" s="491"/>
      <c r="R6" s="494"/>
      <c r="S6" s="497"/>
    </row>
    <row r="7" spans="1:19" ht="14.25" customHeight="1" x14ac:dyDescent="0.25">
      <c r="A7" s="210"/>
      <c r="B7" s="240" t="str">
        <f ca="1">+IF(AND(ISNUMBER(C5),ISNUMBER(D5)),IF((C5+C6)&gt;(D5+D6),B5,E5),"-")</f>
        <v>Francia</v>
      </c>
      <c r="C7" s="240" t="str">
        <f>+E4</f>
        <v>W97</v>
      </c>
      <c r="D7" s="240"/>
      <c r="E7" s="240"/>
      <c r="F7" s="218"/>
      <c r="G7" s="210"/>
      <c r="H7" s="240" t="str">
        <f ca="1">+IF(AND(ISNUMBER(I5),ISNUMBER(J5)),IF((I5+I6)&gt;(J5+J6),H5,K5),"-")</f>
        <v>Brasil</v>
      </c>
      <c r="I7" s="240" t="str">
        <f>+K4</f>
        <v>W99</v>
      </c>
      <c r="J7" s="240"/>
      <c r="K7" s="240"/>
      <c r="L7" s="210"/>
      <c r="M7" s="211"/>
      <c r="N7" s="264"/>
      <c r="O7" s="263"/>
      <c r="P7" s="279" t="s">
        <v>217</v>
      </c>
      <c r="Q7" s="280"/>
      <c r="R7" s="280"/>
      <c r="S7" s="281" t="str">
        <f>+IF(AND(ISNUMBER(Q4),ISNUMBER(R4),Q4=R4),"Y","N")</f>
        <v>N</v>
      </c>
    </row>
    <row r="8" spans="1:19" ht="14.25" customHeight="1" x14ac:dyDescent="0.25">
      <c r="A8" s="265"/>
      <c r="B8" s="266"/>
      <c r="C8" s="267" t="s">
        <v>212</v>
      </c>
      <c r="D8" s="267" t="s">
        <v>229</v>
      </c>
      <c r="E8" s="268" t="s">
        <v>280</v>
      </c>
      <c r="F8" s="218"/>
      <c r="G8" s="265"/>
      <c r="H8" s="266"/>
      <c r="I8" s="267" t="s">
        <v>248</v>
      </c>
      <c r="J8" s="267" t="s">
        <v>265</v>
      </c>
      <c r="K8" s="268" t="s">
        <v>281</v>
      </c>
      <c r="L8" s="210"/>
      <c r="M8" s="211"/>
      <c r="N8" s="264"/>
      <c r="O8" s="263"/>
      <c r="P8" s="282" t="str">
        <f ca="1">+IF(AND(ISNUMBER(Q4),ISNUMBER(R4)),IF((Q4+Q7)&gt;(R4+R7),P4,S4),"-")</f>
        <v>Argentina</v>
      </c>
      <c r="Q8" s="282">
        <f>+S5</f>
        <v>0</v>
      </c>
      <c r="R8" s="282"/>
      <c r="S8" s="282" t="str">
        <f ca="1">+IF(AND(ISNUMBER(Q4),ISNUMBER(R4)),IF((Q4+Q7)&gt;(R4+R7),S4,P4),"-")</f>
        <v>Francia</v>
      </c>
    </row>
    <row r="9" spans="1:19" ht="14.25" customHeight="1" x14ac:dyDescent="0.25">
      <c r="A9" s="270" t="s">
        <v>282</v>
      </c>
      <c r="B9" s="224" t="str">
        <f ca="1">+_xlfn.XLOOKUP(C8,'Round of 32 &amp; Round of 16'!$Q:$Q,'Round of 32 &amp; Round of 16'!$P:$P,_xlfn.XLOOKUP(C8,'Round of 32 &amp; Round of 16'!$W:$W,'Round of 32 &amp; Round of 16'!$V:$V,"-",0),0)</f>
        <v>España</v>
      </c>
      <c r="C9" s="225">
        <v>2</v>
      </c>
      <c r="D9" s="226">
        <v>1</v>
      </c>
      <c r="E9" s="271" t="str">
        <f ca="1">+_xlfn.XLOOKUP(D8,'Round of 32 &amp; Round of 16'!$Q:$Q,'Round of 32 &amp; Round of 16'!$P:$P,_xlfn.XLOOKUP(D8,'Round of 32 &amp; Round of 16'!$W:$W,'Round of 32 &amp; Round of 16'!$V:$V,"-",0),0)</f>
        <v>Belgica</v>
      </c>
      <c r="F9" s="218"/>
      <c r="G9" s="270" t="s">
        <v>283</v>
      </c>
      <c r="H9" s="224" t="str">
        <f ca="1">+_xlfn.XLOOKUP(I8,'Round of 32 &amp; Round of 16'!$Q:$Q,'Round of 32 &amp; Round of 16'!$P:$P,_xlfn.XLOOKUP(I8,'Round of 32 &amp; Round of 16'!$W:$W,'Round of 32 &amp; Round of 16'!$V:$V,"-",0),0)</f>
        <v>Argentina</v>
      </c>
      <c r="I9" s="225">
        <v>3</v>
      </c>
      <c r="J9" s="226">
        <v>2</v>
      </c>
      <c r="K9" s="271" t="str">
        <f ca="1">+_xlfn.XLOOKUP(J8,'Round of 32 &amp; Round of 16'!$Q:$Q,'Round of 32 &amp; Round of 16'!$P:$P,_xlfn.XLOOKUP(J8,'Round of 32 &amp; Round of 16'!$W:$W,'Round of 32 &amp; Round of 16'!$V:$V,"-",0),0)</f>
        <v>Portugal</v>
      </c>
      <c r="L9" s="210"/>
      <c r="M9" s="211"/>
      <c r="N9" s="264"/>
      <c r="O9" s="263"/>
      <c r="P9" s="263"/>
      <c r="Q9" s="263"/>
      <c r="R9" s="263"/>
      <c r="S9" s="263"/>
    </row>
    <row r="10" spans="1:19" ht="14.25" customHeight="1" x14ac:dyDescent="0.25">
      <c r="A10" s="273"/>
      <c r="B10" s="274" t="s">
        <v>217</v>
      </c>
      <c r="C10" s="275"/>
      <c r="D10" s="275"/>
      <c r="E10" s="276" t="str">
        <f>+IF(AND(ISNUMBER(C9),ISNUMBER(D9),C9=D9),"Y","N")</f>
        <v>N</v>
      </c>
      <c r="F10" s="218"/>
      <c r="G10" s="273"/>
      <c r="H10" s="274" t="s">
        <v>217</v>
      </c>
      <c r="I10" s="275"/>
      <c r="J10" s="275"/>
      <c r="K10" s="276" t="str">
        <f>+IF(AND(ISNUMBER(I9),ISNUMBER(J9),I9=J9),"Y","N")</f>
        <v>N</v>
      </c>
      <c r="L10" s="210"/>
      <c r="M10" s="211"/>
      <c r="N10" s="264"/>
      <c r="O10" s="263"/>
      <c r="P10" s="263"/>
      <c r="Q10" s="263"/>
      <c r="R10" s="263"/>
      <c r="S10" s="263"/>
    </row>
    <row r="11" spans="1:19" ht="14.25" customHeight="1" x14ac:dyDescent="0.25">
      <c r="A11" s="210"/>
      <c r="B11" s="240" t="str">
        <f ca="1">+IF(AND(ISNUMBER(C9),ISNUMBER(D9)),IF((C9+C10)&gt;(D9+D10),B9,E9),"-")</f>
        <v>España</v>
      </c>
      <c r="C11" s="240" t="str">
        <f>+E8</f>
        <v>W98</v>
      </c>
      <c r="D11" s="240"/>
      <c r="E11" s="240"/>
      <c r="F11" s="218"/>
      <c r="G11" s="210"/>
      <c r="H11" s="240" t="str">
        <f ca="1">+IF(AND(ISNUMBER(I9),ISNUMBER(J9)),IF((I9+I10)&gt;(J9+J10),H9,K9),"-")</f>
        <v>Argentina</v>
      </c>
      <c r="I11" s="240" t="str">
        <f>+K8</f>
        <v>W100</v>
      </c>
      <c r="J11" s="240"/>
      <c r="K11" s="240"/>
      <c r="L11" s="210"/>
      <c r="M11" s="211"/>
      <c r="N11" s="264"/>
      <c r="O11" s="263"/>
      <c r="P11" s="263"/>
      <c r="Q11" s="263"/>
      <c r="R11" s="263"/>
      <c r="S11" s="263"/>
    </row>
    <row r="12" spans="1:19" ht="14.25" customHeight="1" x14ac:dyDescent="0.25">
      <c r="A12" s="210"/>
      <c r="B12" s="210"/>
      <c r="C12" s="210"/>
      <c r="D12" s="210"/>
      <c r="E12" s="210"/>
      <c r="F12" s="210"/>
      <c r="G12" s="210"/>
      <c r="H12" s="210"/>
      <c r="I12" s="210"/>
      <c r="J12" s="210"/>
      <c r="K12" s="210"/>
      <c r="L12" s="210"/>
      <c r="M12" s="211"/>
      <c r="N12" s="264"/>
      <c r="O12" s="283"/>
      <c r="P12" s="284"/>
      <c r="Q12" s="285" t="s">
        <v>284</v>
      </c>
      <c r="R12" s="285" t="s">
        <v>285</v>
      </c>
      <c r="S12" s="286"/>
    </row>
    <row r="13" spans="1:19" ht="14.25" customHeight="1" x14ac:dyDescent="0.25">
      <c r="A13" s="210"/>
      <c r="B13" s="210"/>
      <c r="C13" s="210"/>
      <c r="D13" s="210"/>
      <c r="E13" s="210"/>
      <c r="F13" s="210"/>
      <c r="G13" s="210"/>
      <c r="H13" s="210"/>
      <c r="I13" s="210"/>
      <c r="J13" s="210"/>
      <c r="K13" s="210"/>
      <c r="L13" s="210"/>
      <c r="M13" s="211"/>
      <c r="N13" s="264"/>
      <c r="O13" s="287" t="s">
        <v>286</v>
      </c>
      <c r="P13" s="288" t="str">
        <f ca="1">+E21</f>
        <v>España</v>
      </c>
      <c r="Q13" s="225">
        <v>2</v>
      </c>
      <c r="R13" s="226">
        <v>2</v>
      </c>
      <c r="S13" s="289" t="str">
        <f ca="1">+K21</f>
        <v>Brasil</v>
      </c>
    </row>
    <row r="14" spans="1:19" ht="14.25" customHeight="1" x14ac:dyDescent="0.25">
      <c r="A14" s="290"/>
      <c r="B14" s="290"/>
      <c r="C14" s="290"/>
      <c r="D14" s="290"/>
      <c r="E14" s="290"/>
      <c r="F14" s="290"/>
      <c r="G14" s="290"/>
      <c r="H14" s="290"/>
      <c r="I14" s="290"/>
      <c r="J14" s="290"/>
      <c r="K14" s="290"/>
      <c r="L14" s="290"/>
      <c r="M14" s="211"/>
      <c r="N14" s="264"/>
      <c r="O14" s="291"/>
      <c r="P14" s="292" t="s">
        <v>217</v>
      </c>
      <c r="Q14" s="293">
        <v>5</v>
      </c>
      <c r="R14" s="293">
        <v>4</v>
      </c>
      <c r="S14" s="294" t="str">
        <f>+IF(AND(ISNUMBER(Q13),ISNUMBER(R13),Q13=R13),"Y","N")</f>
        <v>Y</v>
      </c>
    </row>
    <row r="15" spans="1:19" ht="14.25" customHeight="1" x14ac:dyDescent="0.25">
      <c r="A15" s="213"/>
      <c r="B15" s="213"/>
      <c r="C15" s="213"/>
      <c r="D15" s="213"/>
      <c r="E15" s="213"/>
      <c r="F15" s="213"/>
      <c r="G15" s="213"/>
      <c r="H15" s="213"/>
      <c r="I15" s="213"/>
      <c r="J15" s="213"/>
      <c r="K15" s="213"/>
      <c r="L15" s="213"/>
      <c r="M15" s="211"/>
      <c r="N15" s="264"/>
      <c r="O15" s="263"/>
      <c r="P15" s="282" t="str">
        <f ca="1">+IF(AND(ISNUMBER(Q13),ISNUMBER(R13)),IF((Q13+Q14)&gt;(R13+R14),P13,S13),"-")</f>
        <v>España</v>
      </c>
      <c r="Q15" s="282">
        <f>+S12</f>
        <v>0</v>
      </c>
      <c r="R15" s="282"/>
      <c r="S15" s="282" t="str">
        <f ca="1">+IF(AND(ISNUMBER(Q13),ISNUMBER(R13)),IF((Q13+Q14)&gt;(R13+R14),S13,P13),"-")</f>
        <v>Brasil</v>
      </c>
    </row>
    <row r="18" spans="1:24" ht="14.25" customHeight="1" x14ac:dyDescent="0.25">
      <c r="A18" s="265"/>
      <c r="B18" s="266"/>
      <c r="C18" s="267" t="s">
        <v>275</v>
      </c>
      <c r="D18" s="267" t="s">
        <v>280</v>
      </c>
      <c r="E18" s="268" t="s">
        <v>284</v>
      </c>
      <c r="F18" s="295"/>
      <c r="G18" s="265"/>
      <c r="H18" s="266"/>
      <c r="I18" s="267" t="s">
        <v>276</v>
      </c>
      <c r="J18" s="267" t="s">
        <v>281</v>
      </c>
      <c r="K18" s="268" t="s">
        <v>285</v>
      </c>
      <c r="L18" s="213"/>
      <c r="M18" s="211"/>
      <c r="N18" s="264"/>
      <c r="O18" s="263"/>
      <c r="P18" s="296"/>
      <c r="Q18" s="297"/>
      <c r="R18" s="298" t="s">
        <v>23</v>
      </c>
      <c r="S18" s="299" t="s">
        <v>287</v>
      </c>
      <c r="T18" s="263"/>
      <c r="U18" s="263"/>
      <c r="V18" s="263"/>
      <c r="W18" s="263"/>
      <c r="X18" s="263"/>
    </row>
    <row r="19" spans="1:24" ht="14.25" customHeight="1" x14ac:dyDescent="0.25">
      <c r="A19" s="270" t="s">
        <v>288</v>
      </c>
      <c r="B19" s="224" t="str">
        <f ca="1">+B7</f>
        <v>Francia</v>
      </c>
      <c r="C19" s="225">
        <v>3</v>
      </c>
      <c r="D19" s="226">
        <v>2</v>
      </c>
      <c r="E19" s="271" t="str">
        <f ca="1">+B11</f>
        <v>España</v>
      </c>
      <c r="F19" s="295"/>
      <c r="G19" s="270" t="s">
        <v>289</v>
      </c>
      <c r="H19" s="224" t="str">
        <f ca="1">+H7</f>
        <v>Brasil</v>
      </c>
      <c r="I19" s="225">
        <v>2</v>
      </c>
      <c r="J19" s="226">
        <v>2</v>
      </c>
      <c r="K19" s="271" t="str">
        <f ca="1">+H11</f>
        <v>Argentina</v>
      </c>
      <c r="L19" s="213"/>
      <c r="M19" s="211"/>
      <c r="N19" s="264"/>
      <c r="O19" s="263"/>
      <c r="P19" s="296"/>
      <c r="Q19" s="297"/>
      <c r="R19" s="298" t="s">
        <v>25</v>
      </c>
      <c r="S19" s="299" t="s">
        <v>865</v>
      </c>
      <c r="T19" s="263"/>
      <c r="U19" s="263"/>
      <c r="V19" s="263"/>
      <c r="W19" s="263"/>
      <c r="X19" s="263"/>
    </row>
    <row r="20" spans="1:24" ht="14.25" customHeight="1" x14ac:dyDescent="0.25">
      <c r="A20" s="273"/>
      <c r="B20" s="274" t="s">
        <v>217</v>
      </c>
      <c r="C20" s="275"/>
      <c r="D20" s="275"/>
      <c r="E20" s="276" t="str">
        <f>+IF(AND(ISNUMBER(C19),ISNUMBER(D19),C19=D19),"Y","N")</f>
        <v>N</v>
      </c>
      <c r="F20" s="295"/>
      <c r="G20" s="273"/>
      <c r="H20" s="274" t="s">
        <v>217</v>
      </c>
      <c r="I20" s="277">
        <v>4</v>
      </c>
      <c r="J20" s="277">
        <v>5</v>
      </c>
      <c r="K20" s="276" t="str">
        <f>+IF(AND(ISNUMBER(I19),ISNUMBER(J19),I19=J19),"Y","N")</f>
        <v>Y</v>
      </c>
      <c r="L20" s="213"/>
      <c r="M20" s="211"/>
      <c r="N20" s="264"/>
      <c r="O20" s="263"/>
      <c r="P20" s="296"/>
      <c r="Q20" s="297"/>
      <c r="R20" s="298" t="s">
        <v>27</v>
      </c>
      <c r="S20" s="300" t="str">
        <f ca="1">IF(P8="-","-",Aux!BD7)</f>
        <v>Nueva Zelanda</v>
      </c>
      <c r="T20" s="263"/>
      <c r="U20" s="263"/>
      <c r="V20" s="263"/>
      <c r="W20" s="263"/>
      <c r="X20" s="263"/>
    </row>
    <row r="21" spans="1:24" ht="14.25" customHeight="1" x14ac:dyDescent="0.25">
      <c r="A21" s="213"/>
      <c r="B21" s="241" t="str">
        <f ca="1">+IF(AND(ISNUMBER(C19),ISNUMBER(D19)),IF((C19+C20)&gt;(D19+D20),B19,E19),"-")</f>
        <v>Francia</v>
      </c>
      <c r="C21" s="241" t="str">
        <f>+E18</f>
        <v>W101</v>
      </c>
      <c r="D21" s="241"/>
      <c r="E21" s="241" t="str">
        <f ca="1">+IF(AND(ISNUMBER(C19),ISNUMBER(D19)),IF((C19+C20)&gt;(D19+D20),E19,B19),"-")</f>
        <v>España</v>
      </c>
      <c r="F21" s="241"/>
      <c r="G21" s="241"/>
      <c r="H21" s="241" t="str">
        <f ca="1">+IF(AND(ISNUMBER(I19),ISNUMBER(J19)),IF((I19+I20)&gt;(J19+J20),H19,K19),"-")</f>
        <v>Argentina</v>
      </c>
      <c r="I21" s="241" t="str">
        <f>+K18</f>
        <v>W102</v>
      </c>
      <c r="J21" s="241"/>
      <c r="K21" s="241" t="str">
        <f ca="1">+IF(AND(ISNUMBER(I19),ISNUMBER(J19)),IF((I19+I20)&gt;(J19+J20),K19,H19),"-")</f>
        <v>Brasil</v>
      </c>
      <c r="L21" s="213"/>
      <c r="M21" s="211"/>
      <c r="N21" s="264"/>
      <c r="O21" s="263"/>
      <c r="P21" s="296"/>
      <c r="Q21" s="297"/>
      <c r="R21" s="298" t="s">
        <v>28</v>
      </c>
      <c r="S21" s="300" t="str">
        <f ca="1">IF(P8="-","-",Aux!AY17)</f>
        <v>Uruguay</v>
      </c>
      <c r="T21" s="263"/>
      <c r="U21" s="263"/>
      <c r="V21" s="263"/>
      <c r="W21" s="263"/>
      <c r="X21" s="263"/>
    </row>
    <row r="22" spans="1:24" ht="14.25" customHeight="1" x14ac:dyDescent="0.25">
      <c r="A22" s="213"/>
      <c r="B22" s="213"/>
      <c r="C22" s="213"/>
      <c r="D22" s="213"/>
      <c r="E22" s="213"/>
      <c r="F22" s="213"/>
      <c r="G22" s="213"/>
      <c r="H22" s="213"/>
      <c r="I22" s="213"/>
      <c r="J22" s="213"/>
      <c r="K22" s="213"/>
      <c r="L22" s="213"/>
      <c r="M22" s="211"/>
      <c r="N22" s="264"/>
      <c r="O22" s="263"/>
      <c r="P22" s="263"/>
      <c r="Q22" s="297"/>
      <c r="R22" s="298" t="s">
        <v>30</v>
      </c>
      <c r="S22" s="300" t="str">
        <f ca="1">IF(SUM('Groups Stage'!AA:AA)=3*4*12,Aux!BS4,"-")</f>
        <v>Alemania</v>
      </c>
      <c r="T22" s="263"/>
      <c r="U22" s="263"/>
      <c r="V22" s="263"/>
      <c r="W22" s="263"/>
      <c r="X22" s="263"/>
    </row>
    <row r="23" spans="1:24" ht="14.25" customHeight="1" x14ac:dyDescent="0.25">
      <c r="A23" s="213"/>
      <c r="B23" s="213"/>
      <c r="C23" s="213"/>
      <c r="D23" s="213"/>
      <c r="E23" s="213"/>
      <c r="F23" s="213"/>
      <c r="G23" s="213"/>
      <c r="H23" s="213"/>
      <c r="I23" s="213"/>
      <c r="J23" s="213"/>
      <c r="K23" s="213"/>
      <c r="L23" s="213"/>
      <c r="M23" s="211"/>
      <c r="N23" s="264"/>
      <c r="O23" s="263"/>
      <c r="P23" s="263"/>
      <c r="Q23" s="297"/>
      <c r="R23" s="298" t="s">
        <v>32</v>
      </c>
      <c r="S23" s="300" t="str">
        <f ca="1">IF(SUM('Groups Stage'!AA:AA)=3*4*12,Aux!AX22,"-")</f>
        <v>Irak</v>
      </c>
      <c r="T23" s="263"/>
      <c r="U23" s="263"/>
      <c r="V23" s="263"/>
      <c r="W23" s="263"/>
      <c r="X23" s="263"/>
    </row>
    <row r="24" spans="1:24" ht="14.25" customHeight="1" x14ac:dyDescent="0.25">
      <c r="A24" s="213"/>
      <c r="B24" s="213"/>
      <c r="C24" s="213"/>
      <c r="D24" s="213"/>
      <c r="E24" s="213"/>
      <c r="F24" s="213"/>
      <c r="G24" s="213"/>
      <c r="H24" s="213"/>
      <c r="I24" s="213"/>
      <c r="J24" s="213"/>
      <c r="K24" s="213"/>
      <c r="L24" s="213"/>
      <c r="M24" s="211"/>
      <c r="N24" s="264"/>
      <c r="O24" s="263"/>
      <c r="P24" s="263"/>
      <c r="Q24" s="263"/>
      <c r="R24" s="263"/>
      <c r="S24" s="263"/>
      <c r="T24" s="263"/>
      <c r="U24" s="263"/>
      <c r="V24" s="263"/>
      <c r="W24" s="263"/>
      <c r="X24" s="263"/>
    </row>
    <row r="25" spans="1:24" ht="14.25" customHeight="1" x14ac:dyDescent="0.25">
      <c r="A25" s="213"/>
      <c r="B25" s="213"/>
      <c r="C25" s="213"/>
      <c r="D25" s="213"/>
      <c r="E25" s="213"/>
      <c r="F25" s="213"/>
      <c r="G25" s="213"/>
      <c r="H25" s="213"/>
      <c r="I25" s="213"/>
      <c r="J25" s="213"/>
      <c r="K25" s="213"/>
      <c r="L25" s="213"/>
      <c r="M25" s="211"/>
      <c r="N25" s="264"/>
      <c r="O25" s="498" t="str">
        <f ca="1">+IF(AND(ISNUMBER(Q4),ISNUMBER(R4)),_xlfn.XLOOKUP('Total Results'!$D$2,Comentarios!$A:$A,Comentarios!$B:$B,Comentarios!$B$12,0),"")</f>
        <v>Usted es una persona de bien: ha elegido a Argentina como campeón. No le tiene miedo a apostar por un bi-campeonato, algo que estadisticamente es muy dificil. Pero sabe que la scaloneta y messi todo lo pueden. Este tipo de elecciones son las que lo definen a uno en la vida; y quédese tranquilo, usted va por el buen camino.</v>
      </c>
      <c r="P25" s="499"/>
      <c r="Q25" s="499"/>
      <c r="R25" s="499"/>
      <c r="S25" s="499"/>
      <c r="T25" s="499"/>
      <c r="U25" s="499"/>
      <c r="V25" s="499"/>
      <c r="W25" s="499"/>
      <c r="X25" s="500"/>
    </row>
    <row r="26" spans="1:24" ht="14.25" customHeight="1" x14ac:dyDescent="0.25">
      <c r="A26" s="213"/>
      <c r="B26" s="213"/>
      <c r="C26" s="213"/>
      <c r="D26" s="213"/>
      <c r="E26" s="213"/>
      <c r="F26" s="213"/>
      <c r="G26" s="213"/>
      <c r="H26" s="213"/>
      <c r="I26" s="213"/>
      <c r="J26" s="213"/>
      <c r="K26" s="213"/>
      <c r="L26" s="213"/>
      <c r="M26" s="211"/>
      <c r="N26" s="264"/>
      <c r="O26" s="501"/>
      <c r="P26" s="502"/>
      <c r="Q26" s="502"/>
      <c r="R26" s="502"/>
      <c r="S26" s="502"/>
      <c r="T26" s="502"/>
      <c r="U26" s="502"/>
      <c r="V26" s="502"/>
      <c r="W26" s="502"/>
      <c r="X26" s="503"/>
    </row>
    <row r="27" spans="1:24" ht="14.25" customHeight="1" x14ac:dyDescent="0.25">
      <c r="A27" s="213"/>
      <c r="B27" s="213"/>
      <c r="C27" s="213"/>
      <c r="D27" s="213"/>
      <c r="E27" s="213"/>
      <c r="F27" s="213"/>
      <c r="G27" s="213"/>
      <c r="H27" s="213"/>
      <c r="I27" s="213"/>
      <c r="J27" s="213"/>
      <c r="K27" s="213"/>
      <c r="L27" s="213"/>
      <c r="M27" s="211"/>
      <c r="N27" s="264"/>
      <c r="O27" s="501"/>
      <c r="P27" s="502"/>
      <c r="Q27" s="502"/>
      <c r="R27" s="502"/>
      <c r="S27" s="502"/>
      <c r="T27" s="502"/>
      <c r="U27" s="502"/>
      <c r="V27" s="502"/>
      <c r="W27" s="502"/>
      <c r="X27" s="503"/>
    </row>
    <row r="28" spans="1:24" ht="14.25" customHeight="1" x14ac:dyDescent="0.25">
      <c r="A28" s="213"/>
      <c r="B28" s="213"/>
      <c r="C28" s="213"/>
      <c r="D28" s="213"/>
      <c r="E28" s="213"/>
      <c r="F28" s="213"/>
      <c r="G28" s="213"/>
      <c r="H28" s="213"/>
      <c r="I28" s="213"/>
      <c r="J28" s="213"/>
      <c r="K28" s="213"/>
      <c r="L28" s="213"/>
      <c r="M28" s="211"/>
      <c r="N28" s="264"/>
      <c r="O28" s="501"/>
      <c r="P28" s="502"/>
      <c r="Q28" s="502"/>
      <c r="R28" s="502"/>
      <c r="S28" s="502"/>
      <c r="T28" s="502"/>
      <c r="U28" s="502"/>
      <c r="V28" s="502"/>
      <c r="W28" s="502"/>
      <c r="X28" s="503"/>
    </row>
    <row r="29" spans="1:24" ht="14.25" customHeight="1" x14ac:dyDescent="0.25">
      <c r="A29" s="213"/>
      <c r="B29" s="213"/>
      <c r="C29" s="213"/>
      <c r="D29" s="213"/>
      <c r="E29" s="213"/>
      <c r="F29" s="213"/>
      <c r="G29" s="213"/>
      <c r="H29" s="213"/>
      <c r="I29" s="213"/>
      <c r="J29" s="213"/>
      <c r="K29" s="213"/>
      <c r="L29" s="213"/>
      <c r="M29" s="211"/>
      <c r="N29" s="264"/>
      <c r="O29" s="501"/>
      <c r="P29" s="502"/>
      <c r="Q29" s="502"/>
      <c r="R29" s="502"/>
      <c r="S29" s="502"/>
      <c r="T29" s="502"/>
      <c r="U29" s="502"/>
      <c r="V29" s="502"/>
      <c r="W29" s="502"/>
      <c r="X29" s="503"/>
    </row>
    <row r="30" spans="1:24" ht="14.25" customHeight="1" x14ac:dyDescent="0.25">
      <c r="A30" s="213"/>
      <c r="B30" s="213"/>
      <c r="C30" s="213"/>
      <c r="D30" s="213"/>
      <c r="E30" s="213"/>
      <c r="F30" s="213"/>
      <c r="G30" s="213"/>
      <c r="H30" s="213"/>
      <c r="I30" s="213"/>
      <c r="J30" s="213"/>
      <c r="K30" s="213"/>
      <c r="L30" s="213"/>
      <c r="M30" s="211"/>
      <c r="N30" s="264"/>
      <c r="O30" s="501"/>
      <c r="P30" s="502"/>
      <c r="Q30" s="502"/>
      <c r="R30" s="502"/>
      <c r="S30" s="502"/>
      <c r="T30" s="502"/>
      <c r="U30" s="502"/>
      <c r="V30" s="502"/>
      <c r="W30" s="502"/>
      <c r="X30" s="503"/>
    </row>
    <row r="31" spans="1:24" ht="14.25" customHeight="1" x14ac:dyDescent="0.25">
      <c r="A31" s="213"/>
      <c r="B31" s="213"/>
      <c r="C31" s="213"/>
      <c r="D31" s="213"/>
      <c r="E31" s="213"/>
      <c r="F31" s="213"/>
      <c r="G31" s="213"/>
      <c r="H31" s="213"/>
      <c r="I31" s="213"/>
      <c r="J31" s="213"/>
      <c r="K31" s="213"/>
      <c r="L31" s="213"/>
      <c r="M31" s="211"/>
      <c r="N31" s="264"/>
      <c r="O31" s="501"/>
      <c r="P31" s="502"/>
      <c r="Q31" s="502"/>
      <c r="R31" s="502"/>
      <c r="S31" s="502"/>
      <c r="T31" s="502"/>
      <c r="U31" s="502"/>
      <c r="V31" s="502"/>
      <c r="W31" s="502"/>
      <c r="X31" s="503"/>
    </row>
    <row r="32" spans="1:24" ht="14.25" customHeight="1" x14ac:dyDescent="0.25">
      <c r="A32" s="213"/>
      <c r="B32" s="213"/>
      <c r="C32" s="213"/>
      <c r="D32" s="213"/>
      <c r="E32" s="213"/>
      <c r="F32" s="213"/>
      <c r="G32" s="213"/>
      <c r="H32" s="213"/>
      <c r="I32" s="213"/>
      <c r="J32" s="213"/>
      <c r="K32" s="213"/>
      <c r="L32" s="213"/>
      <c r="M32" s="211"/>
      <c r="N32" s="264"/>
      <c r="O32" s="504"/>
      <c r="P32" s="505"/>
      <c r="Q32" s="505"/>
      <c r="R32" s="505"/>
      <c r="S32" s="505"/>
      <c r="T32" s="505"/>
      <c r="U32" s="505"/>
      <c r="V32" s="505"/>
      <c r="W32" s="505"/>
      <c r="X32" s="506"/>
    </row>
  </sheetData>
  <mergeCells count="5">
    <mergeCell ref="P4:P6"/>
    <mergeCell ref="Q4:Q6"/>
    <mergeCell ref="R4:R6"/>
    <mergeCell ref="S4:S6"/>
    <mergeCell ref="O25:X32"/>
  </mergeCells>
  <conditionalFormatting sqref="B6">
    <cfRule type="expression" dxfId="31" priority="15">
      <formula>E6="Y"</formula>
    </cfRule>
  </conditionalFormatting>
  <conditionalFormatting sqref="B10">
    <cfRule type="expression" dxfId="30" priority="18">
      <formula>E10="Y"</formula>
    </cfRule>
  </conditionalFormatting>
  <conditionalFormatting sqref="B14 B22 B26 B30 B34">
    <cfRule type="expression" dxfId="29" priority="3">
      <formula>E14="Y"</formula>
    </cfRule>
  </conditionalFormatting>
  <conditionalFormatting sqref="B20">
    <cfRule type="expression" dxfId="28" priority="27">
      <formula>E20="Y"</formula>
    </cfRule>
  </conditionalFormatting>
  <conditionalFormatting sqref="C6">
    <cfRule type="expression" dxfId="27" priority="13">
      <formula>E6="Y"</formula>
    </cfRule>
  </conditionalFormatting>
  <conditionalFormatting sqref="C10">
    <cfRule type="expression" dxfId="26" priority="16">
      <formula>E10="Y"</formula>
    </cfRule>
  </conditionalFormatting>
  <conditionalFormatting sqref="C14 C22 C26 C30 C34">
    <cfRule type="expression" dxfId="25" priority="1">
      <formula>E14="Y"</formula>
    </cfRule>
  </conditionalFormatting>
  <conditionalFormatting sqref="C20">
    <cfRule type="expression" dxfId="24" priority="25">
      <formula>E20="Y"</formula>
    </cfRule>
  </conditionalFormatting>
  <conditionalFormatting sqref="D6">
    <cfRule type="expression" dxfId="23" priority="14">
      <formula>E6="Y"</formula>
    </cfRule>
  </conditionalFormatting>
  <conditionalFormatting sqref="D10">
    <cfRule type="expression" dxfId="22" priority="17">
      <formula>E10="Y"</formula>
    </cfRule>
  </conditionalFormatting>
  <conditionalFormatting sqref="D14 D22 D26 D30 D34">
    <cfRule type="expression" dxfId="21" priority="2">
      <formula>E14="Y"</formula>
    </cfRule>
  </conditionalFormatting>
  <conditionalFormatting sqref="D20">
    <cfRule type="expression" dxfId="20" priority="26">
      <formula>E20="Y"</formula>
    </cfRule>
  </conditionalFormatting>
  <conditionalFormatting sqref="H6">
    <cfRule type="expression" dxfId="19" priority="21">
      <formula>K6="Y"</formula>
    </cfRule>
  </conditionalFormatting>
  <conditionalFormatting sqref="H10">
    <cfRule type="expression" dxfId="18" priority="24">
      <formula>K10="Y"</formula>
    </cfRule>
  </conditionalFormatting>
  <conditionalFormatting sqref="H14 H22 H26 H30 H34">
    <cfRule type="expression" dxfId="17" priority="6">
      <formula>K14="Y"</formula>
    </cfRule>
  </conditionalFormatting>
  <conditionalFormatting sqref="H20">
    <cfRule type="expression" dxfId="16" priority="30">
      <formula>K20="Y"</formula>
    </cfRule>
  </conditionalFormatting>
  <conditionalFormatting sqref="I6">
    <cfRule type="expression" dxfId="15" priority="19">
      <formula>K6="Y"</formula>
    </cfRule>
  </conditionalFormatting>
  <conditionalFormatting sqref="I10">
    <cfRule type="expression" dxfId="14" priority="22">
      <formula>K10="Y"</formula>
    </cfRule>
  </conditionalFormatting>
  <conditionalFormatting sqref="I14 I22 I26 I30 I34">
    <cfRule type="expression" dxfId="13" priority="4">
      <formula>K14="Y"</formula>
    </cfRule>
  </conditionalFormatting>
  <conditionalFormatting sqref="I20">
    <cfRule type="expression" dxfId="12" priority="28">
      <formula>K20="Y"</formula>
    </cfRule>
  </conditionalFormatting>
  <conditionalFormatting sqref="J6">
    <cfRule type="expression" dxfId="11" priority="20">
      <formula>K6="Y"</formula>
    </cfRule>
  </conditionalFormatting>
  <conditionalFormatting sqref="J10">
    <cfRule type="expression" dxfId="10" priority="23">
      <formula>K10="Y"</formula>
    </cfRule>
  </conditionalFormatting>
  <conditionalFormatting sqref="J14 J22 J26 J30 J34">
    <cfRule type="expression" dxfId="9" priority="5">
      <formula>K14="Y"</formula>
    </cfRule>
  </conditionalFormatting>
  <conditionalFormatting sqref="J20">
    <cfRule type="expression" dxfId="8" priority="29">
      <formula>K20="Y"</formula>
    </cfRule>
  </conditionalFormatting>
  <conditionalFormatting sqref="P7">
    <cfRule type="expression" dxfId="7" priority="12">
      <formula>S7="Y"</formula>
    </cfRule>
  </conditionalFormatting>
  <conditionalFormatting sqref="P14">
    <cfRule type="expression" dxfId="6" priority="9">
      <formula>S14="Y"</formula>
    </cfRule>
  </conditionalFormatting>
  <conditionalFormatting sqref="Q7">
    <cfRule type="expression" dxfId="5" priority="10">
      <formula>S7="Y"</formula>
    </cfRule>
  </conditionalFormatting>
  <conditionalFormatting sqref="Q14">
    <cfRule type="expression" dxfId="4" priority="7">
      <formula>S14="Y"</formula>
    </cfRule>
  </conditionalFormatting>
  <conditionalFormatting sqref="R7">
    <cfRule type="expression" dxfId="3" priority="11">
      <formula>S7="Y"</formula>
    </cfRule>
  </conditionalFormatting>
  <conditionalFormatting sqref="R14">
    <cfRule type="expression" dxfId="2" priority="8">
      <formula>S14="Y"</formula>
    </cfRule>
  </conditionalFormatting>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16C"/>
  </sheetPr>
  <dimension ref="A1:K49"/>
  <sheetViews>
    <sheetView zoomScale="115" zoomScaleNormal="115" workbookViewId="0">
      <pane ySplit="1" topLeftCell="A2" activePane="bottomLeft" state="frozen"/>
      <selection pane="bottomLeft" activeCell="O6" sqref="O6"/>
    </sheetView>
  </sheetViews>
  <sheetFormatPr defaultColWidth="12.59765625" defaultRowHeight="15" customHeight="1" x14ac:dyDescent="0.25"/>
  <cols>
    <col min="1" max="1" width="2.59765625" customWidth="1"/>
    <col min="2" max="2" width="15.69921875" customWidth="1"/>
    <col min="3" max="3" width="5.59765625" hidden="1" customWidth="1"/>
    <col min="4" max="4" width="15.8984375" customWidth="1"/>
    <col min="5" max="11" width="11.59765625" customWidth="1"/>
    <col min="12" max="31" width="9" customWidth="1"/>
  </cols>
  <sheetData>
    <row r="1" spans="1:11" ht="22.8" x14ac:dyDescent="0.4">
      <c r="A1" s="301"/>
      <c r="B1" s="301" t="s">
        <v>290</v>
      </c>
      <c r="C1" s="302" t="s">
        <v>291</v>
      </c>
      <c r="D1" s="301" t="s">
        <v>45</v>
      </c>
      <c r="E1" s="303" t="s">
        <v>292</v>
      </c>
      <c r="F1" s="303" t="s">
        <v>104</v>
      </c>
      <c r="G1" s="303" t="s">
        <v>105</v>
      </c>
      <c r="H1" s="303" t="s">
        <v>106</v>
      </c>
      <c r="I1" s="303" t="s">
        <v>107</v>
      </c>
      <c r="J1" s="303" t="s">
        <v>108</v>
      </c>
      <c r="K1" s="304" t="s">
        <v>109</v>
      </c>
    </row>
    <row r="2" spans="1:11" ht="21" x14ac:dyDescent="0.4">
      <c r="A2" s="305">
        <v>1</v>
      </c>
      <c r="B2" s="306" t="s">
        <v>20</v>
      </c>
      <c r="C2" s="307">
        <f ca="1">+LARGE(Aux!$W$4:$W$51,A2)</f>
        <v>822.1019000033333</v>
      </c>
      <c r="D2" s="308" t="str">
        <f ca="1">+_xlfn.XLOOKUP($C2,Aux!$W:$W,Aux!H:H,"-",0)</f>
        <v>Argentina</v>
      </c>
      <c r="E2" s="309">
        <f t="shared" ref="E2" ca="1" si="0">+F2*3+G2</f>
        <v>22</v>
      </c>
      <c r="F2" s="309">
        <f ca="1">+_xlfn.XLOOKUP($C2,Aux!$W:$W,Aux!Q:Q,"-",0)</f>
        <v>7</v>
      </c>
      <c r="G2" s="309">
        <f ca="1">+_xlfn.XLOOKUP($C2,Aux!$W:$W,Aux!R:R,"-",0)</f>
        <v>1</v>
      </c>
      <c r="H2" s="309">
        <f ca="1">+_xlfn.XLOOKUP($C2,Aux!$W:$W,Aux!S:S,"-",0)</f>
        <v>0</v>
      </c>
      <c r="I2" s="309">
        <f ca="1">+_xlfn.XLOOKUP($C2,Aux!$W:$W,Aux!T:T,"-",0)</f>
        <v>10</v>
      </c>
      <c r="J2" s="309">
        <f ca="1">+_xlfn.XLOOKUP($C2,Aux!$W:$W,Aux!U:U,"-",0)</f>
        <v>19</v>
      </c>
      <c r="K2" s="310">
        <f ca="1">+_xlfn.XLOOKUP($C2,Aux!$W:$W,Aux!V:V,"-",0)</f>
        <v>9</v>
      </c>
    </row>
    <row r="3" spans="1:11" ht="17.399999999999999" x14ac:dyDescent="0.3">
      <c r="A3" s="311">
        <v>2</v>
      </c>
      <c r="B3" s="312" t="s">
        <v>293</v>
      </c>
      <c r="C3" s="313">
        <f ca="1">+LARGE(Aux!$W$4:$W$51,A3)</f>
        <v>621.12200000999997</v>
      </c>
      <c r="D3" s="314" t="str">
        <f ca="1">+_xlfn.XLOOKUP($C3,Aux!$W:$W,Aux!H:H,"-",0)</f>
        <v>Francia</v>
      </c>
      <c r="E3" s="315">
        <f t="shared" ref="E3:E49" ca="1" si="1">+F3*3+G3</f>
        <v>21</v>
      </c>
      <c r="F3" s="315">
        <f ca="1">+_xlfn.XLOOKUP($C3,Aux!$W:$W,Aux!Q:Q,"-",0)</f>
        <v>7</v>
      </c>
      <c r="G3" s="315">
        <f ca="1">+_xlfn.XLOOKUP($C3,Aux!$W:$W,Aux!R:R,"-",0)</f>
        <v>0</v>
      </c>
      <c r="H3" s="315">
        <f ca="1">+_xlfn.XLOOKUP($C3,Aux!$W:$W,Aux!S:S,"-",0)</f>
        <v>1</v>
      </c>
      <c r="I3" s="315">
        <f ca="1">+_xlfn.XLOOKUP($C3,Aux!$W:$W,Aux!T:T,"-",0)</f>
        <v>12</v>
      </c>
      <c r="J3" s="315">
        <f ca="1">+_xlfn.XLOOKUP($C3,Aux!$W:$W,Aux!U:U,"-",0)</f>
        <v>20</v>
      </c>
      <c r="K3" s="316">
        <f ca="1">+_xlfn.XLOOKUP($C3,Aux!$W:$W,Aux!V:V,"-",0)</f>
        <v>8</v>
      </c>
    </row>
    <row r="4" spans="1:11" ht="13.8" x14ac:dyDescent="0.25">
      <c r="A4" s="317">
        <v>3</v>
      </c>
      <c r="B4" s="318" t="s">
        <v>294</v>
      </c>
      <c r="C4" s="319">
        <f ca="1">+LARGE(Aux!$W$4:$W$51,A4)</f>
        <v>519.09180000499998</v>
      </c>
      <c r="D4" s="320" t="str">
        <f ca="1">+_xlfn.XLOOKUP($C4,Aux!$W:$W,Aux!H:H,"-",0)</f>
        <v>España</v>
      </c>
      <c r="E4" s="321">
        <f t="shared" ca="1" si="1"/>
        <v>19</v>
      </c>
      <c r="F4" s="321">
        <f ca="1">+_xlfn.XLOOKUP($C4,Aux!$W:$W,Aux!Q:Q,"-",0)</f>
        <v>6</v>
      </c>
      <c r="G4" s="321">
        <f ca="1">+_xlfn.XLOOKUP($C4,Aux!$W:$W,Aux!R:R,"-",0)</f>
        <v>1</v>
      </c>
      <c r="H4" s="321">
        <f ca="1">+_xlfn.XLOOKUP($C4,Aux!$W:$W,Aux!S:S,"-",0)</f>
        <v>1</v>
      </c>
      <c r="I4" s="321">
        <f ca="1">+_xlfn.XLOOKUP($C4,Aux!$W:$W,Aux!T:T,"-",0)</f>
        <v>9</v>
      </c>
      <c r="J4" s="321">
        <f ca="1">+_xlfn.XLOOKUP($C4,Aux!$W:$W,Aux!U:U,"-",0)</f>
        <v>18</v>
      </c>
      <c r="K4" s="322">
        <f ca="1">+_xlfn.XLOOKUP($C4,Aux!$W:$W,Aux!V:V,"-",0)</f>
        <v>9</v>
      </c>
    </row>
    <row r="5" spans="1:11" ht="13.8" x14ac:dyDescent="0.25">
      <c r="A5" s="323">
        <v>4</v>
      </c>
      <c r="B5" s="324" t="s">
        <v>295</v>
      </c>
      <c r="C5" s="325">
        <f ca="1">+LARGE(Aux!$W$4:$W$51,A5)</f>
        <v>418.08170000166666</v>
      </c>
      <c r="D5" s="326" t="str">
        <f ca="1">+_xlfn.XLOOKUP($C5,Aux!$W:$W,Aux!H:H,"-",0)</f>
        <v>Brasil</v>
      </c>
      <c r="E5" s="327">
        <f t="shared" ca="1" si="1"/>
        <v>18</v>
      </c>
      <c r="F5" s="327">
        <f ca="1">+_xlfn.XLOOKUP($C5,Aux!$W:$W,Aux!Q:Q,"-",0)</f>
        <v>5</v>
      </c>
      <c r="G5" s="327">
        <f ca="1">+_xlfn.XLOOKUP($C5,Aux!$W:$W,Aux!R:R,"-",0)</f>
        <v>3</v>
      </c>
      <c r="H5" s="327">
        <f ca="1">+_xlfn.XLOOKUP($C5,Aux!$W:$W,Aux!S:S,"-",0)</f>
        <v>0</v>
      </c>
      <c r="I5" s="327">
        <f ca="1">+_xlfn.XLOOKUP($C5,Aux!$W:$W,Aux!T:T,"-",0)</f>
        <v>8</v>
      </c>
      <c r="J5" s="327">
        <f ca="1">+_xlfn.XLOOKUP($C5,Aux!$W:$W,Aux!U:U,"-",0)</f>
        <v>17</v>
      </c>
      <c r="K5" s="328">
        <f ca="1">+_xlfn.XLOOKUP($C5,Aux!$W:$W,Aux!V:V,"-",0)</f>
        <v>9</v>
      </c>
    </row>
    <row r="6" spans="1:11" ht="13.8" x14ac:dyDescent="0.25">
      <c r="A6" s="329">
        <v>5</v>
      </c>
      <c r="B6" s="330" t="s">
        <v>296</v>
      </c>
      <c r="C6" s="331">
        <f ca="1">+LARGE(Aux!$W$4:$W$51,A6)</f>
        <v>316.08150000249998</v>
      </c>
      <c r="D6" s="332" t="str">
        <f ca="1">+_xlfn.XLOOKUP($C6,Aux!$W:$W,Aux!H:H,"-",0)</f>
        <v>Inglaterra</v>
      </c>
      <c r="E6" s="333">
        <f t="shared" ca="1" si="1"/>
        <v>16</v>
      </c>
      <c r="F6" s="333">
        <f ca="1">+_xlfn.XLOOKUP($C6,Aux!$W:$W,Aux!Q:Q,"-",0)</f>
        <v>5</v>
      </c>
      <c r="G6" s="333">
        <f ca="1">+_xlfn.XLOOKUP($C6,Aux!$W:$W,Aux!R:R,"-",0)</f>
        <v>1</v>
      </c>
      <c r="H6" s="333">
        <f ca="1">+_xlfn.XLOOKUP($C6,Aux!$W:$W,Aux!S:S,"-",0)</f>
        <v>0</v>
      </c>
      <c r="I6" s="333">
        <f ca="1">+_xlfn.XLOOKUP($C6,Aux!$W:$W,Aux!T:T,"-",0)</f>
        <v>8</v>
      </c>
      <c r="J6" s="333">
        <f ca="1">+_xlfn.XLOOKUP($C6,Aux!$W:$W,Aux!U:U,"-",0)</f>
        <v>15</v>
      </c>
      <c r="K6" s="334">
        <f ca="1">+_xlfn.XLOOKUP($C6,Aux!$W:$W,Aux!V:V,"-",0)</f>
        <v>7</v>
      </c>
    </row>
    <row r="7" spans="1:11" ht="13.8" x14ac:dyDescent="0.25">
      <c r="A7" s="329">
        <v>6</v>
      </c>
      <c r="B7" s="330" t="s">
        <v>296</v>
      </c>
      <c r="C7" s="331">
        <f ca="1">+LARGE(Aux!$W$4:$W$51,A7)</f>
        <v>315.08130000111112</v>
      </c>
      <c r="D7" s="332" t="str">
        <f ca="1">+_xlfn.XLOOKUP($C7,Aux!$W:$W,Aux!H:H,"-",0)</f>
        <v>Belgica</v>
      </c>
      <c r="E7" s="333">
        <f t="shared" ca="1" si="1"/>
        <v>15</v>
      </c>
      <c r="F7" s="333">
        <f ca="1">+_xlfn.XLOOKUP($C7,Aux!$W:$W,Aux!Q:Q,"-",0)</f>
        <v>5</v>
      </c>
      <c r="G7" s="333">
        <f ca="1">+_xlfn.XLOOKUP($C7,Aux!$W:$W,Aux!R:R,"-",0)</f>
        <v>0</v>
      </c>
      <c r="H7" s="333">
        <f ca="1">+_xlfn.XLOOKUP($C7,Aux!$W:$W,Aux!S:S,"-",0)</f>
        <v>1</v>
      </c>
      <c r="I7" s="333">
        <f ca="1">+_xlfn.XLOOKUP($C7,Aux!$W:$W,Aux!T:T,"-",0)</f>
        <v>8</v>
      </c>
      <c r="J7" s="333">
        <f ca="1">+_xlfn.XLOOKUP($C7,Aux!$W:$W,Aux!U:U,"-",0)</f>
        <v>13</v>
      </c>
      <c r="K7" s="334">
        <f ca="1">+_xlfn.XLOOKUP($C7,Aux!$W:$W,Aux!V:V,"-",0)</f>
        <v>5</v>
      </c>
    </row>
    <row r="8" spans="1:11" ht="13.8" x14ac:dyDescent="0.25">
      <c r="A8" s="329">
        <v>7</v>
      </c>
      <c r="B8" s="330" t="s">
        <v>296</v>
      </c>
      <c r="C8" s="331">
        <f ca="1">+LARGE(Aux!$W$4:$W$51,A8)</f>
        <v>313.061300002</v>
      </c>
      <c r="D8" s="332" t="str">
        <f ca="1">+_xlfn.XLOOKUP($C8,Aux!$W:$W,Aux!H:H,"-",0)</f>
        <v>Portugal</v>
      </c>
      <c r="E8" s="333">
        <f t="shared" ca="1" si="1"/>
        <v>13</v>
      </c>
      <c r="F8" s="333">
        <f ca="1">+_xlfn.XLOOKUP($C8,Aux!$W:$W,Aux!Q:Q,"-",0)</f>
        <v>4</v>
      </c>
      <c r="G8" s="333">
        <f ca="1">+_xlfn.XLOOKUP($C8,Aux!$W:$W,Aux!R:R,"-",0)</f>
        <v>1</v>
      </c>
      <c r="H8" s="333">
        <f ca="1">+_xlfn.XLOOKUP($C8,Aux!$W:$W,Aux!S:S,"-",0)</f>
        <v>1</v>
      </c>
      <c r="I8" s="333">
        <f ca="1">+_xlfn.XLOOKUP($C8,Aux!$W:$W,Aux!T:T,"-",0)</f>
        <v>6</v>
      </c>
      <c r="J8" s="333">
        <f ca="1">+_xlfn.XLOOKUP($C8,Aux!$W:$W,Aux!U:U,"-",0)</f>
        <v>13</v>
      </c>
      <c r="K8" s="334">
        <f ca="1">+_xlfn.XLOOKUP($C8,Aux!$W:$W,Aux!V:V,"-",0)</f>
        <v>7</v>
      </c>
    </row>
    <row r="9" spans="1:11" ht="13.8" x14ac:dyDescent="0.25">
      <c r="A9" s="335">
        <v>8</v>
      </c>
      <c r="B9" s="336" t="s">
        <v>296</v>
      </c>
      <c r="C9" s="337">
        <f ca="1">+LARGE(Aux!$W$4:$W$51,A9)</f>
        <v>313.0611000014286</v>
      </c>
      <c r="D9" s="338" t="str">
        <f ca="1">+_xlfn.XLOOKUP($C9,Aux!$W:$W,Aux!H:H,"-",0)</f>
        <v>Paises Bajos</v>
      </c>
      <c r="E9" s="339">
        <f t="shared" ca="1" si="1"/>
        <v>13</v>
      </c>
      <c r="F9" s="339">
        <f ca="1">+_xlfn.XLOOKUP($C9,Aux!$W:$W,Aux!Q:Q,"-",0)</f>
        <v>4</v>
      </c>
      <c r="G9" s="339">
        <f ca="1">+_xlfn.XLOOKUP($C9,Aux!$W:$W,Aux!R:R,"-",0)</f>
        <v>1</v>
      </c>
      <c r="H9" s="339">
        <f ca="1">+_xlfn.XLOOKUP($C9,Aux!$W:$W,Aux!S:S,"-",0)</f>
        <v>1</v>
      </c>
      <c r="I9" s="339">
        <f ca="1">+_xlfn.XLOOKUP($C9,Aux!$W:$W,Aux!T:T,"-",0)</f>
        <v>6</v>
      </c>
      <c r="J9" s="339">
        <f ca="1">+_xlfn.XLOOKUP($C9,Aux!$W:$W,Aux!U:U,"-",0)</f>
        <v>11</v>
      </c>
      <c r="K9" s="340">
        <f ca="1">+_xlfn.XLOOKUP($C9,Aux!$W:$W,Aux!V:V,"-",0)</f>
        <v>5</v>
      </c>
    </row>
    <row r="10" spans="1:11" ht="13.8" x14ac:dyDescent="0.25">
      <c r="A10" s="341">
        <v>9</v>
      </c>
      <c r="B10" s="342" t="s">
        <v>297</v>
      </c>
      <c r="C10" s="343">
        <f ca="1">+LARGE(Aux!$W$4:$W$51,A10)</f>
        <v>212.08120000100001</v>
      </c>
      <c r="D10" s="344" t="str">
        <f ca="1">+_xlfn.XLOOKUP($C10,Aux!$W:$W,Aux!H:H,"-",0)</f>
        <v>Alemania</v>
      </c>
      <c r="E10" s="345">
        <f t="shared" ca="1" si="1"/>
        <v>12</v>
      </c>
      <c r="F10" s="345">
        <f ca="1">+_xlfn.XLOOKUP($C10,Aux!$W:$W,Aux!Q:Q,"-",0)</f>
        <v>4</v>
      </c>
      <c r="G10" s="345">
        <f ca="1">+_xlfn.XLOOKUP($C10,Aux!$W:$W,Aux!R:R,"-",0)</f>
        <v>0</v>
      </c>
      <c r="H10" s="345">
        <f ca="1">+_xlfn.XLOOKUP($C10,Aux!$W:$W,Aux!S:S,"-",0)</f>
        <v>1</v>
      </c>
      <c r="I10" s="345">
        <f ca="1">+_xlfn.XLOOKUP($C10,Aux!$W:$W,Aux!T:T,"-",0)</f>
        <v>8</v>
      </c>
      <c r="J10" s="345">
        <f ca="1">+_xlfn.XLOOKUP($C10,Aux!$W:$W,Aux!U:U,"-",0)</f>
        <v>12</v>
      </c>
      <c r="K10" s="346">
        <f ca="1">+_xlfn.XLOOKUP($C10,Aux!$W:$W,Aux!V:V,"-",0)</f>
        <v>4</v>
      </c>
    </row>
    <row r="11" spans="1:11" ht="13.8" x14ac:dyDescent="0.25">
      <c r="A11" s="341">
        <v>10</v>
      </c>
      <c r="B11" s="342" t="s">
        <v>297</v>
      </c>
      <c r="C11" s="343">
        <f ca="1">+LARGE(Aux!$W$4:$W$51,A11)</f>
        <v>210.05080000052632</v>
      </c>
      <c r="D11" s="344" t="str">
        <f ca="1">+_xlfn.XLOOKUP($C11,Aux!$W:$W,Aux!H:H,"-",0)</f>
        <v>Suiza</v>
      </c>
      <c r="E11" s="345">
        <f t="shared" ca="1" si="1"/>
        <v>10</v>
      </c>
      <c r="F11" s="345">
        <f ca="1">+_xlfn.XLOOKUP($C11,Aux!$W:$W,Aux!Q:Q,"-",0)</f>
        <v>3</v>
      </c>
      <c r="G11" s="345">
        <f ca="1">+_xlfn.XLOOKUP($C11,Aux!$W:$W,Aux!R:R,"-",0)</f>
        <v>1</v>
      </c>
      <c r="H11" s="345">
        <f ca="1">+_xlfn.XLOOKUP($C11,Aux!$W:$W,Aux!S:S,"-",0)</f>
        <v>1</v>
      </c>
      <c r="I11" s="345">
        <f ca="1">+_xlfn.XLOOKUP($C11,Aux!$W:$W,Aux!T:T,"-",0)</f>
        <v>5</v>
      </c>
      <c r="J11" s="345">
        <f ca="1">+_xlfn.XLOOKUP($C11,Aux!$W:$W,Aux!U:U,"-",0)</f>
        <v>8</v>
      </c>
      <c r="K11" s="346">
        <f ca="1">+_xlfn.XLOOKUP($C11,Aux!$W:$W,Aux!V:V,"-",0)</f>
        <v>3</v>
      </c>
    </row>
    <row r="12" spans="1:11" ht="13.8" x14ac:dyDescent="0.25">
      <c r="A12" s="341">
        <v>11</v>
      </c>
      <c r="B12" s="342" t="s">
        <v>297</v>
      </c>
      <c r="C12" s="343">
        <f ca="1">+LARGE(Aux!$W$4:$W$51,A12)</f>
        <v>210.03090000045455</v>
      </c>
      <c r="D12" s="344" t="str">
        <f ca="1">+_xlfn.XLOOKUP($C12,Aux!$W:$W,Aux!H:H,"-",0)</f>
        <v>Turquia</v>
      </c>
      <c r="E12" s="345">
        <f t="shared" ca="1" si="1"/>
        <v>10</v>
      </c>
      <c r="F12" s="345">
        <f ca="1">+_xlfn.XLOOKUP($C12,Aux!$W:$W,Aux!Q:Q,"-",0)</f>
        <v>3</v>
      </c>
      <c r="G12" s="345">
        <f ca="1">+_xlfn.XLOOKUP($C12,Aux!$W:$W,Aux!R:R,"-",0)</f>
        <v>1</v>
      </c>
      <c r="H12" s="345">
        <f ca="1">+_xlfn.XLOOKUP($C12,Aux!$W:$W,Aux!S:S,"-",0)</f>
        <v>1</v>
      </c>
      <c r="I12" s="345">
        <f ca="1">+_xlfn.XLOOKUP($C12,Aux!$W:$W,Aux!T:T,"-",0)</f>
        <v>3</v>
      </c>
      <c r="J12" s="345">
        <f ca="1">+_xlfn.XLOOKUP($C12,Aux!$W:$W,Aux!U:U,"-",0)</f>
        <v>9</v>
      </c>
      <c r="K12" s="346">
        <f ca="1">+_xlfn.XLOOKUP($C12,Aux!$W:$W,Aux!V:V,"-",0)</f>
        <v>6</v>
      </c>
    </row>
    <row r="13" spans="1:11" ht="13.8" x14ac:dyDescent="0.25">
      <c r="A13" s="341">
        <v>12</v>
      </c>
      <c r="B13" s="342" t="s">
        <v>297</v>
      </c>
      <c r="C13" s="343">
        <f ca="1">+LARGE(Aux!$W$4:$W$51,A13)</f>
        <v>210.03080000066666</v>
      </c>
      <c r="D13" s="344" t="str">
        <f ca="1">+_xlfn.XLOOKUP($C13,Aux!$W:$W,Aux!H:H,"-",0)</f>
        <v>Mexico</v>
      </c>
      <c r="E13" s="345">
        <f t="shared" ca="1" si="1"/>
        <v>10</v>
      </c>
      <c r="F13" s="345">
        <f ca="1">+_xlfn.XLOOKUP($C13,Aux!$W:$W,Aux!Q:Q,"-",0)</f>
        <v>3</v>
      </c>
      <c r="G13" s="345">
        <f ca="1">+_xlfn.XLOOKUP($C13,Aux!$W:$W,Aux!R:R,"-",0)</f>
        <v>1</v>
      </c>
      <c r="H13" s="345">
        <f ca="1">+_xlfn.XLOOKUP($C13,Aux!$W:$W,Aux!S:S,"-",0)</f>
        <v>1</v>
      </c>
      <c r="I13" s="345">
        <f ca="1">+_xlfn.XLOOKUP($C13,Aux!$W:$W,Aux!T:T,"-",0)</f>
        <v>3</v>
      </c>
      <c r="J13" s="345">
        <f ca="1">+_xlfn.XLOOKUP($C13,Aux!$W:$W,Aux!U:U,"-",0)</f>
        <v>8</v>
      </c>
      <c r="K13" s="346">
        <f ca="1">+_xlfn.XLOOKUP($C13,Aux!$W:$W,Aux!V:V,"-",0)</f>
        <v>5</v>
      </c>
    </row>
    <row r="14" spans="1:11" ht="13.8" x14ac:dyDescent="0.25">
      <c r="A14" s="341">
        <v>13</v>
      </c>
      <c r="B14" s="342" t="s">
        <v>297</v>
      </c>
      <c r="C14" s="343">
        <f ca="1">+LARGE(Aux!$W$4:$W$51,A14)</f>
        <v>209.03080000032259</v>
      </c>
      <c r="D14" s="344" t="str">
        <f ca="1">+_xlfn.XLOOKUP($C14,Aux!$W:$W,Aux!H:H,"-",0)</f>
        <v>Noruega</v>
      </c>
      <c r="E14" s="345">
        <f t="shared" ca="1" si="1"/>
        <v>9</v>
      </c>
      <c r="F14" s="345">
        <f ca="1">+_xlfn.XLOOKUP($C14,Aux!$W:$W,Aux!Q:Q,"-",0)</f>
        <v>3</v>
      </c>
      <c r="G14" s="345">
        <f ca="1">+_xlfn.XLOOKUP($C14,Aux!$W:$W,Aux!R:R,"-",0)</f>
        <v>0</v>
      </c>
      <c r="H14" s="345">
        <f ca="1">+_xlfn.XLOOKUP($C14,Aux!$W:$W,Aux!S:S,"-",0)</f>
        <v>2</v>
      </c>
      <c r="I14" s="345">
        <f ca="1">+_xlfn.XLOOKUP($C14,Aux!$W:$W,Aux!T:T,"-",0)</f>
        <v>3</v>
      </c>
      <c r="J14" s="345">
        <f ca="1">+_xlfn.XLOOKUP($C14,Aux!$W:$W,Aux!U:U,"-",0)</f>
        <v>8</v>
      </c>
      <c r="K14" s="346">
        <f ca="1">+_xlfn.XLOOKUP($C14,Aux!$W:$W,Aux!V:V,"-",0)</f>
        <v>5</v>
      </c>
    </row>
    <row r="15" spans="1:11" ht="13.8" x14ac:dyDescent="0.25">
      <c r="A15" s="341">
        <v>14</v>
      </c>
      <c r="B15" s="342" t="s">
        <v>297</v>
      </c>
      <c r="C15" s="343">
        <f ca="1">+LARGE(Aux!$W$4:$W$51,A15)</f>
        <v>209.02100000090911</v>
      </c>
      <c r="D15" s="344" t="str">
        <f ca="1">+_xlfn.XLOOKUP($C15,Aux!$W:$W,Aux!H:H,"-",0)</f>
        <v>Croacia</v>
      </c>
      <c r="E15" s="345">
        <f t="shared" ca="1" si="1"/>
        <v>9</v>
      </c>
      <c r="F15" s="345">
        <f ca="1">+_xlfn.XLOOKUP($C15,Aux!$W:$W,Aux!Q:Q,"-",0)</f>
        <v>3</v>
      </c>
      <c r="G15" s="345">
        <f ca="1">+_xlfn.XLOOKUP($C15,Aux!$W:$W,Aux!R:R,"-",0)</f>
        <v>0</v>
      </c>
      <c r="H15" s="345">
        <f ca="1">+_xlfn.XLOOKUP($C15,Aux!$W:$W,Aux!S:S,"-",0)</f>
        <v>2</v>
      </c>
      <c r="I15" s="345">
        <f ca="1">+_xlfn.XLOOKUP($C15,Aux!$W:$W,Aux!T:T,"-",0)</f>
        <v>2</v>
      </c>
      <c r="J15" s="345">
        <f ca="1">+_xlfn.XLOOKUP($C15,Aux!$W:$W,Aux!U:U,"-",0)</f>
        <v>10</v>
      </c>
      <c r="K15" s="346">
        <f ca="1">+_xlfn.XLOOKUP($C15,Aux!$W:$W,Aux!V:V,"-",0)</f>
        <v>8</v>
      </c>
    </row>
    <row r="16" spans="1:11" ht="13.8" x14ac:dyDescent="0.25">
      <c r="A16" s="341">
        <v>15</v>
      </c>
      <c r="B16" s="342" t="s">
        <v>297</v>
      </c>
      <c r="C16" s="343">
        <f ca="1">+LARGE(Aux!$W$4:$W$51,A16)</f>
        <v>209.02070000047618</v>
      </c>
      <c r="D16" s="344" t="str">
        <f ca="1">+_xlfn.XLOOKUP($C16,Aux!$W:$W,Aux!H:H,"-",0)</f>
        <v>Iran</v>
      </c>
      <c r="E16" s="345">
        <f t="shared" ca="1" si="1"/>
        <v>9</v>
      </c>
      <c r="F16" s="345">
        <f ca="1">+_xlfn.XLOOKUP($C16,Aux!$W:$W,Aux!Q:Q,"-",0)</f>
        <v>3</v>
      </c>
      <c r="G16" s="345">
        <f ca="1">+_xlfn.XLOOKUP($C16,Aux!$W:$W,Aux!R:R,"-",0)</f>
        <v>0</v>
      </c>
      <c r="H16" s="345">
        <f ca="1">+_xlfn.XLOOKUP($C16,Aux!$W:$W,Aux!S:S,"-",0)</f>
        <v>2</v>
      </c>
      <c r="I16" s="345">
        <f ca="1">+_xlfn.XLOOKUP($C16,Aux!$W:$W,Aux!T:T,"-",0)</f>
        <v>2</v>
      </c>
      <c r="J16" s="345">
        <f ca="1">+_xlfn.XLOOKUP($C16,Aux!$W:$W,Aux!U:U,"-",0)</f>
        <v>7</v>
      </c>
      <c r="K16" s="346">
        <f ca="1">+_xlfn.XLOOKUP($C16,Aux!$W:$W,Aux!V:V,"-",0)</f>
        <v>5</v>
      </c>
    </row>
    <row r="17" spans="1:11" ht="13.8" x14ac:dyDescent="0.25">
      <c r="A17" s="347">
        <v>16</v>
      </c>
      <c r="B17" s="348" t="s">
        <v>297</v>
      </c>
      <c r="C17" s="349">
        <f ca="1">+LARGE(Aux!$W$4:$W$51,A17)</f>
        <v>206.99060000040001</v>
      </c>
      <c r="D17" s="350" t="str">
        <f ca="1">+_xlfn.XLOOKUP($C17,Aux!$W:$W,Aux!H:H,"-",0)</f>
        <v>Corea del Sur</v>
      </c>
      <c r="E17" s="351">
        <f t="shared" ca="1" si="1"/>
        <v>7</v>
      </c>
      <c r="F17" s="351">
        <f ca="1">+_xlfn.XLOOKUP($C17,Aux!$W:$W,Aux!Q:Q,"-",0)</f>
        <v>2</v>
      </c>
      <c r="G17" s="351">
        <f ca="1">+_xlfn.XLOOKUP($C17,Aux!$W:$W,Aux!R:R,"-",0)</f>
        <v>1</v>
      </c>
      <c r="H17" s="351">
        <f ca="1">+_xlfn.XLOOKUP($C17,Aux!$W:$W,Aux!S:S,"-",0)</f>
        <v>2</v>
      </c>
      <c r="I17" s="351">
        <f ca="1">+_xlfn.XLOOKUP($C17,Aux!$W:$W,Aux!T:T,"-",0)</f>
        <v>-1</v>
      </c>
      <c r="J17" s="351">
        <f ca="1">+_xlfn.XLOOKUP($C17,Aux!$W:$W,Aux!U:U,"-",0)</f>
        <v>6</v>
      </c>
      <c r="K17" s="352">
        <f ca="1">+_xlfn.XLOOKUP($C17,Aux!$W:$W,Aux!V:V,"-",0)</f>
        <v>7</v>
      </c>
    </row>
    <row r="18" spans="1:11" ht="14.25" customHeight="1" x14ac:dyDescent="0.25">
      <c r="A18" s="353">
        <v>17</v>
      </c>
      <c r="B18" s="354" t="s">
        <v>298</v>
      </c>
      <c r="C18" s="355">
        <f ca="1">+LARGE(Aux!$W$4:$W$51,A18)</f>
        <v>108.03060000015385</v>
      </c>
      <c r="D18" s="356" t="str">
        <f ca="1">+_xlfn.XLOOKUP($C18,Aux!$W:$W,Aux!H:H,"-",0)</f>
        <v>Bosnia</v>
      </c>
      <c r="E18" s="357">
        <f t="shared" ca="1" si="1"/>
        <v>8</v>
      </c>
      <c r="F18" s="357">
        <f ca="1">+_xlfn.XLOOKUP($C18,Aux!$W:$W,Aux!Q:Q,"-",0)</f>
        <v>2</v>
      </c>
      <c r="G18" s="357">
        <f ca="1">+_xlfn.XLOOKUP($C18,Aux!$W:$W,Aux!R:R,"-",0)</f>
        <v>2</v>
      </c>
      <c r="H18" s="357">
        <f ca="1">+_xlfn.XLOOKUP($C18,Aux!$W:$W,Aux!S:S,"-",0)</f>
        <v>0</v>
      </c>
      <c r="I18" s="357">
        <f ca="1">+_xlfn.XLOOKUP($C18,Aux!$W:$W,Aux!T:T,"-",0)</f>
        <v>3</v>
      </c>
      <c r="J18" s="357">
        <f ca="1">+_xlfn.XLOOKUP($C18,Aux!$W:$W,Aux!U:U,"-",0)</f>
        <v>6</v>
      </c>
      <c r="K18" s="358">
        <f ca="1">+_xlfn.XLOOKUP($C18,Aux!$W:$W,Aux!V:V,"-",0)</f>
        <v>3</v>
      </c>
    </row>
    <row r="19" spans="1:11" ht="14.25" customHeight="1" x14ac:dyDescent="0.25">
      <c r="A19" s="353">
        <v>18</v>
      </c>
      <c r="B19" s="354" t="s">
        <v>298</v>
      </c>
      <c r="C19" s="355">
        <f ca="1">+LARGE(Aux!$W$4:$W$51,A19)</f>
        <v>107.03070000076923</v>
      </c>
      <c r="D19" s="356" t="str">
        <f ca="1">+_xlfn.XLOOKUP($C19,Aux!$W:$W,Aux!H:H,"-",0)</f>
        <v>Colombia</v>
      </c>
      <c r="E19" s="357">
        <f t="shared" ca="1" si="1"/>
        <v>7</v>
      </c>
      <c r="F19" s="357">
        <f ca="1">+_xlfn.XLOOKUP($C19,Aux!$W:$W,Aux!Q:Q,"-",0)</f>
        <v>2</v>
      </c>
      <c r="G19" s="357">
        <f ca="1">+_xlfn.XLOOKUP($C19,Aux!$W:$W,Aux!R:R,"-",0)</f>
        <v>1</v>
      </c>
      <c r="H19" s="357">
        <f ca="1">+_xlfn.XLOOKUP($C19,Aux!$W:$W,Aux!S:S,"-",0)</f>
        <v>1</v>
      </c>
      <c r="I19" s="357">
        <f ca="1">+_xlfn.XLOOKUP($C19,Aux!$W:$W,Aux!T:T,"-",0)</f>
        <v>3</v>
      </c>
      <c r="J19" s="357">
        <f ca="1">+_xlfn.XLOOKUP($C19,Aux!$W:$W,Aux!U:U,"-",0)</f>
        <v>7</v>
      </c>
      <c r="K19" s="358">
        <f ca="1">+_xlfn.XLOOKUP($C19,Aux!$W:$W,Aux!V:V,"-",0)</f>
        <v>4</v>
      </c>
    </row>
    <row r="20" spans="1:11" ht="14.25" customHeight="1" x14ac:dyDescent="0.25">
      <c r="A20" s="353">
        <v>19</v>
      </c>
      <c r="B20" s="354" t="s">
        <v>298</v>
      </c>
      <c r="C20" s="355">
        <f ca="1">+LARGE(Aux!$W$4:$W$51,A20)</f>
        <v>107.02060000055556</v>
      </c>
      <c r="D20" s="356" t="str">
        <f ca="1">+_xlfn.XLOOKUP($C20,Aux!$W:$W,Aux!H:H,"-",0)</f>
        <v>Japon</v>
      </c>
      <c r="E20" s="357">
        <f t="shared" ca="1" si="1"/>
        <v>7</v>
      </c>
      <c r="F20" s="357">
        <f ca="1">+_xlfn.XLOOKUP($C20,Aux!$W:$W,Aux!Q:Q,"-",0)</f>
        <v>2</v>
      </c>
      <c r="G20" s="357">
        <f ca="1">+_xlfn.XLOOKUP($C20,Aux!$W:$W,Aux!R:R,"-",0)</f>
        <v>1</v>
      </c>
      <c r="H20" s="357">
        <f ca="1">+_xlfn.XLOOKUP($C20,Aux!$W:$W,Aux!S:S,"-",0)</f>
        <v>1</v>
      </c>
      <c r="I20" s="357">
        <f ca="1">+_xlfn.XLOOKUP($C20,Aux!$W:$W,Aux!T:T,"-",0)</f>
        <v>2</v>
      </c>
      <c r="J20" s="357">
        <f ca="1">+_xlfn.XLOOKUP($C20,Aux!$W:$W,Aux!U:U,"-",0)</f>
        <v>6</v>
      </c>
      <c r="K20" s="358">
        <f ca="1">+_xlfn.XLOOKUP($C20,Aux!$W:$W,Aux!V:V,"-",0)</f>
        <v>4</v>
      </c>
    </row>
    <row r="21" spans="1:11" ht="14.25" customHeight="1" x14ac:dyDescent="0.25">
      <c r="A21" s="353">
        <v>20</v>
      </c>
      <c r="B21" s="354" t="s">
        <v>298</v>
      </c>
      <c r="C21" s="355">
        <f ca="1">+LARGE(Aux!$W$4:$W$51,A21)</f>
        <v>106.01060000125001</v>
      </c>
      <c r="D21" s="356" t="str">
        <f ca="1">+_xlfn.XLOOKUP($C21,Aux!$W:$W,Aux!H:H,"-",0)</f>
        <v>Marruecos</v>
      </c>
      <c r="E21" s="357">
        <f t="shared" ca="1" si="1"/>
        <v>6</v>
      </c>
      <c r="F21" s="357">
        <f ca="1">+_xlfn.XLOOKUP($C21,Aux!$W:$W,Aux!Q:Q,"-",0)</f>
        <v>2</v>
      </c>
      <c r="G21" s="357">
        <f ca="1">+_xlfn.XLOOKUP($C21,Aux!$W:$W,Aux!R:R,"-",0)</f>
        <v>0</v>
      </c>
      <c r="H21" s="357">
        <f ca="1">+_xlfn.XLOOKUP($C21,Aux!$W:$W,Aux!S:S,"-",0)</f>
        <v>2</v>
      </c>
      <c r="I21" s="357">
        <f ca="1">+_xlfn.XLOOKUP($C21,Aux!$W:$W,Aux!T:T,"-",0)</f>
        <v>1</v>
      </c>
      <c r="J21" s="357">
        <f ca="1">+_xlfn.XLOOKUP($C21,Aux!$W:$W,Aux!U:U,"-",0)</f>
        <v>6</v>
      </c>
      <c r="K21" s="358">
        <f ca="1">+_xlfn.XLOOKUP($C21,Aux!$W:$W,Aux!V:V,"-",0)</f>
        <v>5</v>
      </c>
    </row>
    <row r="22" spans="1:11" ht="14.25" customHeight="1" x14ac:dyDescent="0.25">
      <c r="A22" s="353">
        <v>21</v>
      </c>
      <c r="B22" s="354" t="s">
        <v>298</v>
      </c>
      <c r="C22" s="355">
        <f ca="1">+LARGE(Aux!$W$4:$W$51,A22)</f>
        <v>106.01050000058824</v>
      </c>
      <c r="D22" s="356" t="str">
        <f ca="1">+_xlfn.XLOOKUP($C22,Aux!$W:$W,Aux!H:H,"-",0)</f>
        <v>Uruguay</v>
      </c>
      <c r="E22" s="357">
        <f t="shared" ca="1" si="1"/>
        <v>6</v>
      </c>
      <c r="F22" s="357">
        <f ca="1">+_xlfn.XLOOKUP($C22,Aux!$W:$W,Aux!Q:Q,"-",0)</f>
        <v>2</v>
      </c>
      <c r="G22" s="357">
        <f ca="1">+_xlfn.XLOOKUP($C22,Aux!$W:$W,Aux!R:R,"-",0)</f>
        <v>0</v>
      </c>
      <c r="H22" s="357">
        <f ca="1">+_xlfn.XLOOKUP($C22,Aux!$W:$W,Aux!S:S,"-",0)</f>
        <v>2</v>
      </c>
      <c r="I22" s="357">
        <f ca="1">+_xlfn.XLOOKUP($C22,Aux!$W:$W,Aux!T:T,"-",0)</f>
        <v>1</v>
      </c>
      <c r="J22" s="357">
        <f ca="1">+_xlfn.XLOOKUP($C22,Aux!$W:$W,Aux!U:U,"-",0)</f>
        <v>5</v>
      </c>
      <c r="K22" s="358">
        <f ca="1">+_xlfn.XLOOKUP($C22,Aux!$W:$W,Aux!V:V,"-",0)</f>
        <v>4</v>
      </c>
    </row>
    <row r="23" spans="1:11" ht="14.25" customHeight="1" x14ac:dyDescent="0.25">
      <c r="A23" s="353">
        <v>22</v>
      </c>
      <c r="B23" s="354" t="s">
        <v>298</v>
      </c>
      <c r="C23" s="355">
        <f ca="1">+LARGE(Aux!$W$4:$W$51,A23)</f>
        <v>106.01050000043479</v>
      </c>
      <c r="D23" s="356" t="str">
        <f ca="1">+_xlfn.XLOOKUP($C23,Aux!$W:$W,Aux!H:H,"-",0)</f>
        <v>Ecuador</v>
      </c>
      <c r="E23" s="357">
        <f t="shared" ca="1" si="1"/>
        <v>6</v>
      </c>
      <c r="F23" s="357">
        <f ca="1">+_xlfn.XLOOKUP($C23,Aux!$W:$W,Aux!Q:Q,"-",0)</f>
        <v>2</v>
      </c>
      <c r="G23" s="357">
        <f ca="1">+_xlfn.XLOOKUP($C23,Aux!$W:$W,Aux!R:R,"-",0)</f>
        <v>0</v>
      </c>
      <c r="H23" s="357">
        <f ca="1">+_xlfn.XLOOKUP($C23,Aux!$W:$W,Aux!S:S,"-",0)</f>
        <v>2</v>
      </c>
      <c r="I23" s="357">
        <f ca="1">+_xlfn.XLOOKUP($C23,Aux!$W:$W,Aux!T:T,"-",0)</f>
        <v>1</v>
      </c>
      <c r="J23" s="357">
        <f ca="1">+_xlfn.XLOOKUP($C23,Aux!$W:$W,Aux!U:U,"-",0)</f>
        <v>5</v>
      </c>
      <c r="K23" s="358">
        <f ca="1">+_xlfn.XLOOKUP($C23,Aux!$W:$W,Aux!V:V,"-",0)</f>
        <v>4</v>
      </c>
    </row>
    <row r="24" spans="1:11" ht="14.25" customHeight="1" x14ac:dyDescent="0.25">
      <c r="A24" s="353">
        <v>23</v>
      </c>
      <c r="B24" s="354" t="s">
        <v>298</v>
      </c>
      <c r="C24" s="355">
        <f ca="1">+LARGE(Aux!$W$4:$W$51,A24)</f>
        <v>106.00050000041666</v>
      </c>
      <c r="D24" s="356" t="str">
        <f ca="1">+_xlfn.XLOOKUP($C24,Aux!$W:$W,Aux!H:H,"-",0)</f>
        <v>Austria</v>
      </c>
      <c r="E24" s="357">
        <f t="shared" ca="1" si="1"/>
        <v>6</v>
      </c>
      <c r="F24" s="357">
        <f ca="1">+_xlfn.XLOOKUP($C24,Aux!$W:$W,Aux!Q:Q,"-",0)</f>
        <v>2</v>
      </c>
      <c r="G24" s="357">
        <f ca="1">+_xlfn.XLOOKUP($C24,Aux!$W:$W,Aux!R:R,"-",0)</f>
        <v>0</v>
      </c>
      <c r="H24" s="357">
        <f ca="1">+_xlfn.XLOOKUP($C24,Aux!$W:$W,Aux!S:S,"-",0)</f>
        <v>2</v>
      </c>
      <c r="I24" s="357">
        <f ca="1">+_xlfn.XLOOKUP($C24,Aux!$W:$W,Aux!T:T,"-",0)</f>
        <v>0</v>
      </c>
      <c r="J24" s="357">
        <f ca="1">+_xlfn.XLOOKUP($C24,Aux!$W:$W,Aux!U:U,"-",0)</f>
        <v>5</v>
      </c>
      <c r="K24" s="358">
        <f ca="1">+_xlfn.XLOOKUP($C24,Aux!$W:$W,Aux!V:V,"-",0)</f>
        <v>5</v>
      </c>
    </row>
    <row r="25" spans="1:11" ht="14.25" customHeight="1" x14ac:dyDescent="0.25">
      <c r="A25" s="353">
        <v>24</v>
      </c>
      <c r="B25" s="354" t="s">
        <v>298</v>
      </c>
      <c r="C25" s="355">
        <f ca="1">+LARGE(Aux!$W$4:$W$51,A25)</f>
        <v>104.00050000025</v>
      </c>
      <c r="D25" s="356" t="str">
        <f ca="1">+_xlfn.XLOOKUP($C25,Aux!$W:$W,Aux!H:H,"-",0)</f>
        <v>Paraguay</v>
      </c>
      <c r="E25" s="357">
        <f t="shared" ca="1" si="1"/>
        <v>4</v>
      </c>
      <c r="F25" s="357">
        <f ca="1">+_xlfn.XLOOKUP($C25,Aux!$W:$W,Aux!Q:Q,"-",0)</f>
        <v>1</v>
      </c>
      <c r="G25" s="357">
        <f ca="1">+_xlfn.XLOOKUP($C25,Aux!$W:$W,Aux!R:R,"-",0)</f>
        <v>1</v>
      </c>
      <c r="H25" s="357">
        <f ca="1">+_xlfn.XLOOKUP($C25,Aux!$W:$W,Aux!S:S,"-",0)</f>
        <v>2</v>
      </c>
      <c r="I25" s="357">
        <f ca="1">+_xlfn.XLOOKUP($C25,Aux!$W:$W,Aux!T:T,"-",0)</f>
        <v>0</v>
      </c>
      <c r="J25" s="357">
        <f ca="1">+_xlfn.XLOOKUP($C25,Aux!$W:$W,Aux!U:U,"-",0)</f>
        <v>5</v>
      </c>
      <c r="K25" s="358">
        <f ca="1">+_xlfn.XLOOKUP($C25,Aux!$W:$W,Aux!V:V,"-",0)</f>
        <v>5</v>
      </c>
    </row>
    <row r="26" spans="1:11" ht="14.25" customHeight="1" x14ac:dyDescent="0.25">
      <c r="A26" s="353">
        <v>25</v>
      </c>
      <c r="B26" s="354" t="s">
        <v>298</v>
      </c>
      <c r="C26" s="355">
        <f ca="1">+LARGE(Aux!$W$4:$W$51,A26)</f>
        <v>103.99050000026315</v>
      </c>
      <c r="D26" s="356" t="str">
        <f ca="1">+_xlfn.XLOOKUP($C26,Aux!$W:$W,Aux!H:H,"-",0)</f>
        <v>Suecia</v>
      </c>
      <c r="E26" s="357">
        <f t="shared" ca="1" si="1"/>
        <v>4</v>
      </c>
      <c r="F26" s="357">
        <f ca="1">+_xlfn.XLOOKUP($C26,Aux!$W:$W,Aux!Q:Q,"-",0)</f>
        <v>1</v>
      </c>
      <c r="G26" s="357">
        <f ca="1">+_xlfn.XLOOKUP($C26,Aux!$W:$W,Aux!R:R,"-",0)</f>
        <v>1</v>
      </c>
      <c r="H26" s="357">
        <f ca="1">+_xlfn.XLOOKUP($C26,Aux!$W:$W,Aux!S:S,"-",0)</f>
        <v>2</v>
      </c>
      <c r="I26" s="357">
        <f ca="1">+_xlfn.XLOOKUP($C26,Aux!$W:$W,Aux!T:T,"-",0)</f>
        <v>-1</v>
      </c>
      <c r="J26" s="357">
        <f ca="1">+_xlfn.XLOOKUP($C26,Aux!$W:$W,Aux!U:U,"-",0)</f>
        <v>5</v>
      </c>
      <c r="K26" s="358">
        <f ca="1">+_xlfn.XLOOKUP($C26,Aux!$W:$W,Aux!V:V,"-",0)</f>
        <v>6</v>
      </c>
    </row>
    <row r="27" spans="1:11" ht="14.25" customHeight="1" x14ac:dyDescent="0.25">
      <c r="A27" s="353">
        <v>26</v>
      </c>
      <c r="B27" s="354" t="s">
        <v>298</v>
      </c>
      <c r="C27" s="355">
        <f ca="1">+LARGE(Aux!$W$4:$W$51,A27)</f>
        <v>103.9804000002439</v>
      </c>
      <c r="D27" s="356" t="str">
        <f ca="1">+_xlfn.XLOOKUP($C27,Aux!$W:$W,Aux!H:H,"-",0)</f>
        <v>Repubilca Checa</v>
      </c>
      <c r="E27" s="357">
        <f t="shared" ca="1" si="1"/>
        <v>4</v>
      </c>
      <c r="F27" s="357">
        <f ca="1">+_xlfn.XLOOKUP($C27,Aux!$W:$W,Aux!Q:Q,"-",0)</f>
        <v>1</v>
      </c>
      <c r="G27" s="357">
        <f ca="1">+_xlfn.XLOOKUP($C27,Aux!$W:$W,Aux!R:R,"-",0)</f>
        <v>1</v>
      </c>
      <c r="H27" s="357">
        <f ca="1">+_xlfn.XLOOKUP($C27,Aux!$W:$W,Aux!S:S,"-",0)</f>
        <v>2</v>
      </c>
      <c r="I27" s="357">
        <f ca="1">+_xlfn.XLOOKUP($C27,Aux!$W:$W,Aux!T:T,"-",0)</f>
        <v>-2</v>
      </c>
      <c r="J27" s="357">
        <f ca="1">+_xlfn.XLOOKUP($C27,Aux!$W:$W,Aux!U:U,"-",0)</f>
        <v>4</v>
      </c>
      <c r="K27" s="358">
        <f ca="1">+_xlfn.XLOOKUP($C27,Aux!$W:$W,Aux!V:V,"-",0)</f>
        <v>6</v>
      </c>
    </row>
    <row r="28" spans="1:11" ht="14.25" customHeight="1" x14ac:dyDescent="0.25">
      <c r="A28" s="353">
        <v>27</v>
      </c>
      <c r="B28" s="354" t="s">
        <v>298</v>
      </c>
      <c r="C28" s="355">
        <f ca="1">+LARGE(Aux!$W$4:$W$51,A28)</f>
        <v>103.96020000062499</v>
      </c>
      <c r="D28" s="356" t="str">
        <f ca="1">+_xlfn.XLOOKUP($C28,Aux!$W:$W,Aux!H:H,"-",0)</f>
        <v>Estados Unidos</v>
      </c>
      <c r="E28" s="357">
        <f t="shared" ca="1" si="1"/>
        <v>4</v>
      </c>
      <c r="F28" s="357">
        <f ca="1">+_xlfn.XLOOKUP($C28,Aux!$W:$W,Aux!Q:Q,"-",0)</f>
        <v>1</v>
      </c>
      <c r="G28" s="357">
        <f ca="1">+_xlfn.XLOOKUP($C28,Aux!$W:$W,Aux!R:R,"-",0)</f>
        <v>1</v>
      </c>
      <c r="H28" s="357">
        <f ca="1">+_xlfn.XLOOKUP($C28,Aux!$W:$W,Aux!S:S,"-",0)</f>
        <v>2</v>
      </c>
      <c r="I28" s="357">
        <f ca="1">+_xlfn.XLOOKUP($C28,Aux!$W:$W,Aux!T:T,"-",0)</f>
        <v>-4</v>
      </c>
      <c r="J28" s="357">
        <f ca="1">+_xlfn.XLOOKUP($C28,Aux!$W:$W,Aux!U:U,"-",0)</f>
        <v>2</v>
      </c>
      <c r="K28" s="358">
        <f ca="1">+_xlfn.XLOOKUP($C28,Aux!$W:$W,Aux!V:V,"-",0)</f>
        <v>6</v>
      </c>
    </row>
    <row r="29" spans="1:11" ht="14.25" customHeight="1" x14ac:dyDescent="0.25">
      <c r="A29" s="353">
        <v>28</v>
      </c>
      <c r="B29" s="354" t="s">
        <v>298</v>
      </c>
      <c r="C29" s="355">
        <f ca="1">+LARGE(Aux!$W$4:$W$51,A29)</f>
        <v>102.97040000071428</v>
      </c>
      <c r="D29" s="356" t="str">
        <f ca="1">+_xlfn.XLOOKUP($C29,Aux!$W:$W,Aux!H:H,"-",0)</f>
        <v>Senegal</v>
      </c>
      <c r="E29" s="357">
        <f t="shared" ca="1" si="1"/>
        <v>3</v>
      </c>
      <c r="F29" s="357">
        <f ca="1">+_xlfn.XLOOKUP($C29,Aux!$W:$W,Aux!Q:Q,"-",0)</f>
        <v>1</v>
      </c>
      <c r="G29" s="357">
        <f ca="1">+_xlfn.XLOOKUP($C29,Aux!$W:$W,Aux!R:R,"-",0)</f>
        <v>0</v>
      </c>
      <c r="H29" s="357">
        <f ca="1">+_xlfn.XLOOKUP($C29,Aux!$W:$W,Aux!S:S,"-",0)</f>
        <v>3</v>
      </c>
      <c r="I29" s="357">
        <f ca="1">+_xlfn.XLOOKUP($C29,Aux!$W:$W,Aux!T:T,"-",0)</f>
        <v>-3</v>
      </c>
      <c r="J29" s="357">
        <f ca="1">+_xlfn.XLOOKUP($C29,Aux!$W:$W,Aux!U:U,"-",0)</f>
        <v>4</v>
      </c>
      <c r="K29" s="358">
        <f ca="1">+_xlfn.XLOOKUP($C29,Aux!$W:$W,Aux!V:V,"-",0)</f>
        <v>7</v>
      </c>
    </row>
    <row r="30" spans="1:11" ht="14.25" customHeight="1" x14ac:dyDescent="0.25">
      <c r="A30" s="353">
        <v>29</v>
      </c>
      <c r="B30" s="354" t="s">
        <v>298</v>
      </c>
      <c r="C30" s="355">
        <f ca="1">+LARGE(Aux!$W$4:$W$51,A30)</f>
        <v>102.97040000023256</v>
      </c>
      <c r="D30" s="356" t="str">
        <f ca="1">+_xlfn.XLOOKUP($C30,Aux!$W:$W,Aux!H:H,"-",0)</f>
        <v>Escocia</v>
      </c>
      <c r="E30" s="357">
        <f t="shared" ca="1" si="1"/>
        <v>3</v>
      </c>
      <c r="F30" s="357">
        <f ca="1">+_xlfn.XLOOKUP($C30,Aux!$W:$W,Aux!Q:Q,"-",0)</f>
        <v>1</v>
      </c>
      <c r="G30" s="357">
        <f ca="1">+_xlfn.XLOOKUP($C30,Aux!$W:$W,Aux!R:R,"-",0)</f>
        <v>0</v>
      </c>
      <c r="H30" s="357">
        <f ca="1">+_xlfn.XLOOKUP($C30,Aux!$W:$W,Aux!S:S,"-",0)</f>
        <v>3</v>
      </c>
      <c r="I30" s="357">
        <f ca="1">+_xlfn.XLOOKUP($C30,Aux!$W:$W,Aux!T:T,"-",0)</f>
        <v>-3</v>
      </c>
      <c r="J30" s="357">
        <f ca="1">+_xlfn.XLOOKUP($C30,Aux!$W:$W,Aux!U:U,"-",0)</f>
        <v>4</v>
      </c>
      <c r="K30" s="358">
        <f ca="1">+_xlfn.XLOOKUP($C30,Aux!$W:$W,Aux!V:V,"-",0)</f>
        <v>7</v>
      </c>
    </row>
    <row r="31" spans="1:11" ht="14.25" customHeight="1" x14ac:dyDescent="0.25">
      <c r="A31" s="353">
        <v>30</v>
      </c>
      <c r="B31" s="354" t="s">
        <v>298</v>
      </c>
      <c r="C31" s="355">
        <f ca="1">+LARGE(Aux!$W$4:$W$51,A31)</f>
        <v>102.97040000013513</v>
      </c>
      <c r="D31" s="356" t="str">
        <f ca="1">+_xlfn.XLOOKUP($C31,Aux!$W:$W,Aux!H:H,"-",0)</f>
        <v>Ghana</v>
      </c>
      <c r="E31" s="357">
        <f t="shared" ca="1" si="1"/>
        <v>3</v>
      </c>
      <c r="F31" s="357">
        <f ca="1">+_xlfn.XLOOKUP($C31,Aux!$W:$W,Aux!Q:Q,"-",0)</f>
        <v>1</v>
      </c>
      <c r="G31" s="357">
        <f ca="1">+_xlfn.XLOOKUP($C31,Aux!$W:$W,Aux!R:R,"-",0)</f>
        <v>0</v>
      </c>
      <c r="H31" s="357">
        <f ca="1">+_xlfn.XLOOKUP($C31,Aux!$W:$W,Aux!S:S,"-",0)</f>
        <v>3</v>
      </c>
      <c r="I31" s="357">
        <f ca="1">+_xlfn.XLOOKUP($C31,Aux!$W:$W,Aux!T:T,"-",0)</f>
        <v>-3</v>
      </c>
      <c r="J31" s="357">
        <f ca="1">+_xlfn.XLOOKUP($C31,Aux!$W:$W,Aux!U:U,"-",0)</f>
        <v>4</v>
      </c>
      <c r="K31" s="358">
        <f ca="1">+_xlfn.XLOOKUP($C31,Aux!$W:$W,Aux!V:V,"-",0)</f>
        <v>7</v>
      </c>
    </row>
    <row r="32" spans="1:11" ht="14.25" customHeight="1" x14ac:dyDescent="0.25">
      <c r="A32" s="353">
        <v>31</v>
      </c>
      <c r="B32" s="354" t="s">
        <v>298</v>
      </c>
      <c r="C32" s="355">
        <f ca="1">+LARGE(Aux!$W$4:$W$51,A32)</f>
        <v>102.97030000016393</v>
      </c>
      <c r="D32" s="356" t="str">
        <f ca="1">+_xlfn.XLOOKUP($C32,Aux!$W:$W,Aux!H:H,"-",0)</f>
        <v>Arabia Saudita</v>
      </c>
      <c r="E32" s="357">
        <f t="shared" ca="1" si="1"/>
        <v>3</v>
      </c>
      <c r="F32" s="357">
        <f ca="1">+_xlfn.XLOOKUP($C32,Aux!$W:$W,Aux!Q:Q,"-",0)</f>
        <v>1</v>
      </c>
      <c r="G32" s="357">
        <f ca="1">+_xlfn.XLOOKUP($C32,Aux!$W:$W,Aux!R:R,"-",0)</f>
        <v>0</v>
      </c>
      <c r="H32" s="357">
        <f ca="1">+_xlfn.XLOOKUP($C32,Aux!$W:$W,Aux!S:S,"-",0)</f>
        <v>3</v>
      </c>
      <c r="I32" s="357">
        <f ca="1">+_xlfn.XLOOKUP($C32,Aux!$W:$W,Aux!T:T,"-",0)</f>
        <v>-3</v>
      </c>
      <c r="J32" s="357">
        <f ca="1">+_xlfn.XLOOKUP($C32,Aux!$W:$W,Aux!U:U,"-",0)</f>
        <v>3</v>
      </c>
      <c r="K32" s="358">
        <f ca="1">+_xlfn.XLOOKUP($C32,Aux!$W:$W,Aux!V:V,"-",0)</f>
        <v>6</v>
      </c>
    </row>
    <row r="33" spans="1:11" ht="14.25" customHeight="1" x14ac:dyDescent="0.25">
      <c r="A33" s="359">
        <v>32</v>
      </c>
      <c r="B33" s="360" t="s">
        <v>298</v>
      </c>
      <c r="C33" s="361">
        <f ca="1">+LARGE(Aux!$W$4:$W$51,A33)</f>
        <v>102.96010000011765</v>
      </c>
      <c r="D33" s="362" t="str">
        <f ca="1">+_xlfn.XLOOKUP($C33,Aux!$W:$W,Aux!H:H,"-",0)</f>
        <v>Nueva Zelanda</v>
      </c>
      <c r="E33" s="363">
        <f t="shared" ca="1" si="1"/>
        <v>3</v>
      </c>
      <c r="F33" s="363">
        <f ca="1">+_xlfn.XLOOKUP($C33,Aux!$W:$W,Aux!Q:Q,"-",0)</f>
        <v>1</v>
      </c>
      <c r="G33" s="363">
        <f ca="1">+_xlfn.XLOOKUP($C33,Aux!$W:$W,Aux!R:R,"-",0)</f>
        <v>0</v>
      </c>
      <c r="H33" s="363">
        <f ca="1">+_xlfn.XLOOKUP($C33,Aux!$W:$W,Aux!S:S,"-",0)</f>
        <v>3</v>
      </c>
      <c r="I33" s="363">
        <f ca="1">+_xlfn.XLOOKUP($C33,Aux!$W:$W,Aux!T:T,"-",0)</f>
        <v>-4</v>
      </c>
      <c r="J33" s="363">
        <f ca="1">+_xlfn.XLOOKUP($C33,Aux!$W:$W,Aux!U:U,"-",0)</f>
        <v>1</v>
      </c>
      <c r="K33" s="364">
        <f ca="1">+_xlfn.XLOOKUP($C33,Aux!$W:$W,Aux!V:V,"-",0)</f>
        <v>5</v>
      </c>
    </row>
    <row r="34" spans="1:11" ht="14.25" customHeight="1" x14ac:dyDescent="0.25">
      <c r="A34" s="365">
        <v>33</v>
      </c>
      <c r="B34" s="366" t="s">
        <v>299</v>
      </c>
      <c r="C34" s="367">
        <f ca="1">+LARGE(Aux!$W$4:$W$51,A34)</f>
        <v>2.9701000003571432</v>
      </c>
      <c r="D34" s="368" t="str">
        <f ca="1">+_xlfn.XLOOKUP($C34,Aux!$W:$W,Aux!H:H,"-",0)</f>
        <v>Argelia</v>
      </c>
      <c r="E34" s="369">
        <f t="shared" ca="1" si="1"/>
        <v>3</v>
      </c>
      <c r="F34" s="369">
        <f ca="1">+_xlfn.XLOOKUP($C34,Aux!$W:$W,Aux!Q:Q,"-",0)</f>
        <v>1</v>
      </c>
      <c r="G34" s="369">
        <f ca="1">+_xlfn.XLOOKUP($C34,Aux!$W:$W,Aux!R:R,"-",0)</f>
        <v>0</v>
      </c>
      <c r="H34" s="369">
        <f ca="1">+_xlfn.XLOOKUP($C34,Aux!$W:$W,Aux!S:S,"-",0)</f>
        <v>2</v>
      </c>
      <c r="I34" s="369">
        <f ca="1">+_xlfn.XLOOKUP($C34,Aux!$W:$W,Aux!T:T,"-",0)</f>
        <v>-3</v>
      </c>
      <c r="J34" s="369">
        <f ca="1">+_xlfn.XLOOKUP($C34,Aux!$W:$W,Aux!U:U,"-",0)</f>
        <v>1</v>
      </c>
      <c r="K34" s="370">
        <f ca="1">+_xlfn.XLOOKUP($C34,Aux!$W:$W,Aux!V:V,"-",0)</f>
        <v>4</v>
      </c>
    </row>
    <row r="35" spans="1:11" ht="14.25" customHeight="1" x14ac:dyDescent="0.25">
      <c r="A35" s="365">
        <v>34</v>
      </c>
      <c r="B35" s="366" t="s">
        <v>299</v>
      </c>
      <c r="C35" s="367">
        <f ca="1">+LARGE(Aux!$W$4:$W$51,A35)</f>
        <v>2.970100000294118</v>
      </c>
      <c r="D35" s="368" t="str">
        <f ca="1">+_xlfn.XLOOKUP($C35,Aux!$W:$W,Aux!H:H,"-",0)</f>
        <v>Costa de Marfil</v>
      </c>
      <c r="E35" s="369">
        <f t="shared" ca="1" si="1"/>
        <v>3</v>
      </c>
      <c r="F35" s="369">
        <f ca="1">+_xlfn.XLOOKUP($C35,Aux!$W:$W,Aux!Q:Q,"-",0)</f>
        <v>1</v>
      </c>
      <c r="G35" s="369">
        <f ca="1">+_xlfn.XLOOKUP($C35,Aux!$W:$W,Aux!R:R,"-",0)</f>
        <v>0</v>
      </c>
      <c r="H35" s="369">
        <f ca="1">+_xlfn.XLOOKUP($C35,Aux!$W:$W,Aux!S:S,"-",0)</f>
        <v>2</v>
      </c>
      <c r="I35" s="369">
        <f ca="1">+_xlfn.XLOOKUP($C35,Aux!$W:$W,Aux!T:T,"-",0)</f>
        <v>-3</v>
      </c>
      <c r="J35" s="369">
        <f ca="1">+_xlfn.XLOOKUP($C35,Aux!$W:$W,Aux!U:U,"-",0)</f>
        <v>1</v>
      </c>
      <c r="K35" s="370">
        <f ca="1">+_xlfn.XLOOKUP($C35,Aux!$W:$W,Aux!V:V,"-",0)</f>
        <v>4</v>
      </c>
    </row>
    <row r="36" spans="1:11" ht="14.25" customHeight="1" x14ac:dyDescent="0.25">
      <c r="A36" s="365">
        <v>35</v>
      </c>
      <c r="B36" s="366" t="s">
        <v>299</v>
      </c>
      <c r="C36" s="367">
        <f ca="1">+LARGE(Aux!$W$4:$W$51,A36)</f>
        <v>2.9701000002000004</v>
      </c>
      <c r="D36" s="368" t="str">
        <f ca="1">+_xlfn.XLOOKUP($C36,Aux!$W:$W,Aux!H:H,"-",0)</f>
        <v>Uzbekistan</v>
      </c>
      <c r="E36" s="369">
        <f t="shared" ca="1" si="1"/>
        <v>3</v>
      </c>
      <c r="F36" s="369">
        <f ca="1">+_xlfn.XLOOKUP($C36,Aux!$W:$W,Aux!Q:Q,"-",0)</f>
        <v>1</v>
      </c>
      <c r="G36" s="369">
        <f ca="1">+_xlfn.XLOOKUP($C36,Aux!$W:$W,Aux!R:R,"-",0)</f>
        <v>0</v>
      </c>
      <c r="H36" s="369">
        <f ca="1">+_xlfn.XLOOKUP($C36,Aux!$W:$W,Aux!S:S,"-",0)</f>
        <v>2</v>
      </c>
      <c r="I36" s="369">
        <f ca="1">+_xlfn.XLOOKUP($C36,Aux!$W:$W,Aux!T:T,"-",0)</f>
        <v>-3</v>
      </c>
      <c r="J36" s="369">
        <f ca="1">+_xlfn.XLOOKUP($C36,Aux!$W:$W,Aux!U:U,"-",0)</f>
        <v>1</v>
      </c>
      <c r="K36" s="370">
        <f ca="1">+_xlfn.XLOOKUP($C36,Aux!$W:$W,Aux!V:V,"-",0)</f>
        <v>4</v>
      </c>
    </row>
    <row r="37" spans="1:11" ht="14.25" customHeight="1" x14ac:dyDescent="0.25">
      <c r="A37" s="365">
        <v>36</v>
      </c>
      <c r="B37" s="366" t="s">
        <v>299</v>
      </c>
      <c r="C37" s="367">
        <f ca="1">+LARGE(Aux!$W$4:$W$51,A37)</f>
        <v>0.97000000033333333</v>
      </c>
      <c r="D37" s="368" t="str">
        <f ca="1">+_xlfn.XLOOKUP($C37,Aux!$W:$W,Aux!H:H,"-",0)</f>
        <v>Canada</v>
      </c>
      <c r="E37" s="369">
        <f t="shared" ca="1" si="1"/>
        <v>1</v>
      </c>
      <c r="F37" s="369">
        <f ca="1">+_xlfn.XLOOKUP($C37,Aux!$W:$W,Aux!Q:Q,"-",0)</f>
        <v>0</v>
      </c>
      <c r="G37" s="369">
        <f ca="1">+_xlfn.XLOOKUP($C37,Aux!$W:$W,Aux!R:R,"-",0)</f>
        <v>1</v>
      </c>
      <c r="H37" s="369">
        <f ca="1">+_xlfn.XLOOKUP($C37,Aux!$W:$W,Aux!S:S,"-",0)</f>
        <v>2</v>
      </c>
      <c r="I37" s="369">
        <f ca="1">+_xlfn.XLOOKUP($C37,Aux!$W:$W,Aux!T:T,"-",0)</f>
        <v>-3</v>
      </c>
      <c r="J37" s="369">
        <f ca="1">+_xlfn.XLOOKUP($C37,Aux!$W:$W,Aux!U:U,"-",0)</f>
        <v>0</v>
      </c>
      <c r="K37" s="370">
        <f ca="1">+_xlfn.XLOOKUP($C37,Aux!$W:$W,Aux!V:V,"-",0)</f>
        <v>3</v>
      </c>
    </row>
    <row r="38" spans="1:11" ht="14.25" customHeight="1" x14ac:dyDescent="0.25">
      <c r="A38" s="365">
        <v>37</v>
      </c>
      <c r="B38" s="366" t="s">
        <v>299</v>
      </c>
      <c r="C38" s="367">
        <f ca="1">+LARGE(Aux!$W$4:$W$51,A38)</f>
        <v>0.96000000018181819</v>
      </c>
      <c r="D38" s="368" t="str">
        <f ca="1">+_xlfn.XLOOKUP($C38,Aux!$W:$W,Aux!H:H,"-",0)</f>
        <v>Qatar</v>
      </c>
      <c r="E38" s="369">
        <f t="shared" ca="1" si="1"/>
        <v>1</v>
      </c>
      <c r="F38" s="369">
        <f ca="1">+_xlfn.XLOOKUP($C38,Aux!$W:$W,Aux!Q:Q,"-",0)</f>
        <v>0</v>
      </c>
      <c r="G38" s="369">
        <f ca="1">+_xlfn.XLOOKUP($C38,Aux!$W:$W,Aux!R:R,"-",0)</f>
        <v>1</v>
      </c>
      <c r="H38" s="369">
        <f ca="1">+_xlfn.XLOOKUP($C38,Aux!$W:$W,Aux!S:S,"-",0)</f>
        <v>2</v>
      </c>
      <c r="I38" s="369">
        <f ca="1">+_xlfn.XLOOKUP($C38,Aux!$W:$W,Aux!T:T,"-",0)</f>
        <v>-4</v>
      </c>
      <c r="J38" s="369">
        <f ca="1">+_xlfn.XLOOKUP($C38,Aux!$W:$W,Aux!U:U,"-",0)</f>
        <v>0</v>
      </c>
      <c r="K38" s="370">
        <f ca="1">+_xlfn.XLOOKUP($C38,Aux!$W:$W,Aux!V:V,"-",0)</f>
        <v>4</v>
      </c>
    </row>
    <row r="39" spans="1:11" ht="14.25" customHeight="1" x14ac:dyDescent="0.25">
      <c r="A39" s="365">
        <v>38</v>
      </c>
      <c r="B39" s="366" t="s">
        <v>299</v>
      </c>
      <c r="C39" s="367">
        <f ca="1">+LARGE(Aux!$W$4:$W$51,A39)</f>
        <v>-3.9899999629629625E-2</v>
      </c>
      <c r="D39" s="368" t="str">
        <f ca="1">+_xlfn.XLOOKUP($C39,Aux!$W:$W,Aux!H:H,"-",0)</f>
        <v>Australia</v>
      </c>
      <c r="E39" s="369">
        <f t="shared" ca="1" si="1"/>
        <v>0</v>
      </c>
      <c r="F39" s="369">
        <f ca="1">+_xlfn.XLOOKUP($C39,Aux!$W:$W,Aux!Q:Q,"-",0)</f>
        <v>0</v>
      </c>
      <c r="G39" s="369">
        <f ca="1">+_xlfn.XLOOKUP($C39,Aux!$W:$W,Aux!R:R,"-",0)</f>
        <v>0</v>
      </c>
      <c r="H39" s="369">
        <f ca="1">+_xlfn.XLOOKUP($C39,Aux!$W:$W,Aux!S:S,"-",0)</f>
        <v>3</v>
      </c>
      <c r="I39" s="369">
        <f ca="1">+_xlfn.XLOOKUP($C39,Aux!$W:$W,Aux!T:T,"-",0)</f>
        <v>-4</v>
      </c>
      <c r="J39" s="369">
        <f ca="1">+_xlfn.XLOOKUP($C39,Aux!$W:$W,Aux!U:U,"-",0)</f>
        <v>1</v>
      </c>
      <c r="K39" s="370">
        <f ca="1">+_xlfn.XLOOKUP($C39,Aux!$W:$W,Aux!V:V,"-",0)</f>
        <v>5</v>
      </c>
    </row>
    <row r="40" spans="1:11" ht="14.25" customHeight="1" x14ac:dyDescent="0.25">
      <c r="A40" s="365">
        <v>39</v>
      </c>
      <c r="B40" s="366" t="s">
        <v>299</v>
      </c>
      <c r="C40" s="367">
        <f ca="1">+LARGE(Aux!$W$4:$W$51,A40)</f>
        <v>-3.9999999833333334E-2</v>
      </c>
      <c r="D40" s="368" t="str">
        <f ca="1">+_xlfn.XLOOKUP($C40,Aux!$W:$W,Aux!H:H,"-",0)</f>
        <v>Sudafrica</v>
      </c>
      <c r="E40" s="369">
        <f t="shared" ca="1" si="1"/>
        <v>0</v>
      </c>
      <c r="F40" s="369">
        <f ca="1">+_xlfn.XLOOKUP($C40,Aux!$W:$W,Aux!Q:Q,"-",0)</f>
        <v>0</v>
      </c>
      <c r="G40" s="369">
        <f ca="1">+_xlfn.XLOOKUP($C40,Aux!$W:$W,Aux!R:R,"-",0)</f>
        <v>0</v>
      </c>
      <c r="H40" s="369">
        <f ca="1">+_xlfn.XLOOKUP($C40,Aux!$W:$W,Aux!S:S,"-",0)</f>
        <v>3</v>
      </c>
      <c r="I40" s="369">
        <f ca="1">+_xlfn.XLOOKUP($C40,Aux!$W:$W,Aux!T:T,"-",0)</f>
        <v>-4</v>
      </c>
      <c r="J40" s="369">
        <f ca="1">+_xlfn.XLOOKUP($C40,Aux!$W:$W,Aux!U:U,"-",0)</f>
        <v>0</v>
      </c>
      <c r="K40" s="370">
        <f ca="1">+_xlfn.XLOOKUP($C40,Aux!$W:$W,Aux!V:V,"-",0)</f>
        <v>4</v>
      </c>
    </row>
    <row r="41" spans="1:11" ht="14.25" customHeight="1" x14ac:dyDescent="0.25">
      <c r="A41" s="365">
        <v>40</v>
      </c>
      <c r="B41" s="366" t="s">
        <v>299</v>
      </c>
      <c r="C41" s="367">
        <f ca="1">+LARGE(Aux!$W$4:$W$51,A41)</f>
        <v>-4.9999999696969701E-2</v>
      </c>
      <c r="D41" s="368" t="str">
        <f ca="1">+_xlfn.XLOOKUP($C41,Aux!$W:$W,Aux!H:H,"-",0)</f>
        <v>Panama</v>
      </c>
      <c r="E41" s="369">
        <f t="shared" ca="1" si="1"/>
        <v>0</v>
      </c>
      <c r="F41" s="369">
        <f ca="1">+_xlfn.XLOOKUP($C41,Aux!$W:$W,Aux!Q:Q,"-",0)</f>
        <v>0</v>
      </c>
      <c r="G41" s="369">
        <f ca="1">+_xlfn.XLOOKUP($C41,Aux!$W:$W,Aux!R:R,"-",0)</f>
        <v>0</v>
      </c>
      <c r="H41" s="369">
        <f ca="1">+_xlfn.XLOOKUP($C41,Aux!$W:$W,Aux!S:S,"-",0)</f>
        <v>3</v>
      </c>
      <c r="I41" s="369">
        <f ca="1">+_xlfn.XLOOKUP($C41,Aux!$W:$W,Aux!T:T,"-",0)</f>
        <v>-5</v>
      </c>
      <c r="J41" s="369">
        <f ca="1">+_xlfn.XLOOKUP($C41,Aux!$W:$W,Aux!U:U,"-",0)</f>
        <v>0</v>
      </c>
      <c r="K41" s="370">
        <f ca="1">+_xlfn.XLOOKUP($C41,Aux!$W:$W,Aux!V:V,"-",0)</f>
        <v>5</v>
      </c>
    </row>
    <row r="42" spans="1:11" ht="14.25" customHeight="1" x14ac:dyDescent="0.25">
      <c r="A42" s="365">
        <v>41</v>
      </c>
      <c r="B42" s="366" t="s">
        <v>299</v>
      </c>
      <c r="C42" s="367">
        <f ca="1">+LARGE(Aux!$W$4:$W$51,A42)</f>
        <v>-4.9999999841269842E-2</v>
      </c>
      <c r="D42" s="368" t="str">
        <f ca="1">+_xlfn.XLOOKUP($C42,Aux!$W:$W,Aux!H:H,"-",0)</f>
        <v>Jordania</v>
      </c>
      <c r="E42" s="369">
        <f t="shared" ca="1" si="1"/>
        <v>0</v>
      </c>
      <c r="F42" s="369">
        <f ca="1">+_xlfn.XLOOKUP($C42,Aux!$W:$W,Aux!Q:Q,"-",0)</f>
        <v>0</v>
      </c>
      <c r="G42" s="369">
        <f ca="1">+_xlfn.XLOOKUP($C42,Aux!$W:$W,Aux!R:R,"-",0)</f>
        <v>0</v>
      </c>
      <c r="H42" s="369">
        <f ca="1">+_xlfn.XLOOKUP($C42,Aux!$W:$W,Aux!S:S,"-",0)</f>
        <v>3</v>
      </c>
      <c r="I42" s="369">
        <f ca="1">+_xlfn.XLOOKUP($C42,Aux!$W:$W,Aux!T:T,"-",0)</f>
        <v>-5</v>
      </c>
      <c r="J42" s="369">
        <f ca="1">+_xlfn.XLOOKUP($C42,Aux!$W:$W,Aux!U:U,"-",0)</f>
        <v>0</v>
      </c>
      <c r="K42" s="370">
        <f ca="1">+_xlfn.XLOOKUP($C42,Aux!$W:$W,Aux!V:V,"-",0)</f>
        <v>5</v>
      </c>
    </row>
    <row r="43" spans="1:11" ht="14.25" customHeight="1" x14ac:dyDescent="0.25">
      <c r="A43" s="365">
        <v>42</v>
      </c>
      <c r="B43" s="366" t="s">
        <v>299</v>
      </c>
      <c r="C43" s="367">
        <f ca="1">+LARGE(Aux!$W$4:$W$51,A43)</f>
        <v>-5.9899999772727267E-2</v>
      </c>
      <c r="D43" s="368" t="str">
        <f ca="1">+_xlfn.XLOOKUP($C43,Aux!$W:$W,Aux!H:H,"-",0)</f>
        <v>Tunez</v>
      </c>
      <c r="E43" s="369">
        <f t="shared" ca="1" si="1"/>
        <v>0</v>
      </c>
      <c r="F43" s="369">
        <f ca="1">+_xlfn.XLOOKUP($C43,Aux!$W:$W,Aux!Q:Q,"-",0)</f>
        <v>0</v>
      </c>
      <c r="G43" s="369">
        <f ca="1">+_xlfn.XLOOKUP($C43,Aux!$W:$W,Aux!R:R,"-",0)</f>
        <v>0</v>
      </c>
      <c r="H43" s="369">
        <f ca="1">+_xlfn.XLOOKUP($C43,Aux!$W:$W,Aux!S:S,"-",0)</f>
        <v>3</v>
      </c>
      <c r="I43" s="369">
        <f ca="1">+_xlfn.XLOOKUP($C43,Aux!$W:$W,Aux!T:T,"-",0)</f>
        <v>-6</v>
      </c>
      <c r="J43" s="369">
        <f ca="1">+_xlfn.XLOOKUP($C43,Aux!$W:$W,Aux!U:U,"-",0)</f>
        <v>1</v>
      </c>
      <c r="K43" s="370">
        <f ca="1">+_xlfn.XLOOKUP($C43,Aux!$W:$W,Aux!V:V,"-",0)</f>
        <v>7</v>
      </c>
    </row>
    <row r="44" spans="1:11" ht="14.25" customHeight="1" x14ac:dyDescent="0.25">
      <c r="A44" s="365">
        <v>43</v>
      </c>
      <c r="B44" s="366" t="s">
        <v>299</v>
      </c>
      <c r="C44" s="367">
        <f ca="1">+LARGE(Aux!$W$4:$W$51,A44)</f>
        <v>-5.9999999655172415E-2</v>
      </c>
      <c r="D44" s="368" t="str">
        <f ca="1">+_xlfn.XLOOKUP($C44,Aux!$W:$W,Aux!H:H,"-",0)</f>
        <v>Egipto</v>
      </c>
      <c r="E44" s="369">
        <f t="shared" ca="1" si="1"/>
        <v>0</v>
      </c>
      <c r="F44" s="369">
        <f ca="1">+_xlfn.XLOOKUP($C44,Aux!$W:$W,Aux!Q:Q,"-",0)</f>
        <v>0</v>
      </c>
      <c r="G44" s="369">
        <f ca="1">+_xlfn.XLOOKUP($C44,Aux!$W:$W,Aux!R:R,"-",0)</f>
        <v>0</v>
      </c>
      <c r="H44" s="369">
        <f ca="1">+_xlfn.XLOOKUP($C44,Aux!$W:$W,Aux!S:S,"-",0)</f>
        <v>3</v>
      </c>
      <c r="I44" s="369">
        <f ca="1">+_xlfn.XLOOKUP($C44,Aux!$W:$W,Aux!T:T,"-",0)</f>
        <v>-6</v>
      </c>
      <c r="J44" s="369">
        <f ca="1">+_xlfn.XLOOKUP($C44,Aux!$W:$W,Aux!U:U,"-",0)</f>
        <v>0</v>
      </c>
      <c r="K44" s="370">
        <f ca="1">+_xlfn.XLOOKUP($C44,Aux!$W:$W,Aux!V:V,"-",0)</f>
        <v>6</v>
      </c>
    </row>
    <row r="45" spans="1:11" ht="14.25" customHeight="1" x14ac:dyDescent="0.25">
      <c r="A45" s="365">
        <v>44</v>
      </c>
      <c r="B45" s="366" t="s">
        <v>299</v>
      </c>
      <c r="C45" s="367">
        <f ca="1">+LARGE(Aux!$W$4:$W$51,A45)</f>
        <v>-5.9999999782608691E-2</v>
      </c>
      <c r="D45" s="368" t="str">
        <f ca="1">+_xlfn.XLOOKUP($C45,Aux!$W:$W,Aux!H:H,"-",0)</f>
        <v>Congo</v>
      </c>
      <c r="E45" s="369">
        <f t="shared" ca="1" si="1"/>
        <v>0</v>
      </c>
      <c r="F45" s="369">
        <f ca="1">+_xlfn.XLOOKUP($C45,Aux!$W:$W,Aux!Q:Q,"-",0)</f>
        <v>0</v>
      </c>
      <c r="G45" s="369">
        <f ca="1">+_xlfn.XLOOKUP($C45,Aux!$W:$W,Aux!R:R,"-",0)</f>
        <v>0</v>
      </c>
      <c r="H45" s="369">
        <f ca="1">+_xlfn.XLOOKUP($C45,Aux!$W:$W,Aux!S:S,"-",0)</f>
        <v>3</v>
      </c>
      <c r="I45" s="369">
        <f ca="1">+_xlfn.XLOOKUP($C45,Aux!$W:$W,Aux!T:T,"-",0)</f>
        <v>-6</v>
      </c>
      <c r="J45" s="369">
        <f ca="1">+_xlfn.XLOOKUP($C45,Aux!$W:$W,Aux!U:U,"-",0)</f>
        <v>0</v>
      </c>
      <c r="K45" s="370">
        <f ca="1">+_xlfn.XLOOKUP($C45,Aux!$W:$W,Aux!V:V,"-",0)</f>
        <v>6</v>
      </c>
    </row>
    <row r="46" spans="1:11" ht="14.25" customHeight="1" x14ac:dyDescent="0.25">
      <c r="A46" s="365">
        <v>45</v>
      </c>
      <c r="B46" s="366" t="s">
        <v>299</v>
      </c>
      <c r="C46" s="367">
        <f ca="1">+LARGE(Aux!$W$4:$W$51,A46)</f>
        <v>-5.9999999855072463E-2</v>
      </c>
      <c r="D46" s="368" t="str">
        <f ca="1">+_xlfn.XLOOKUP($C46,Aux!$W:$W,Aux!H:H,"-",0)</f>
        <v>Cabo Verde</v>
      </c>
      <c r="E46" s="369">
        <f t="shared" ca="1" si="1"/>
        <v>0</v>
      </c>
      <c r="F46" s="369">
        <f ca="1">+_xlfn.XLOOKUP($C46,Aux!$W:$W,Aux!Q:Q,"-",0)</f>
        <v>0</v>
      </c>
      <c r="G46" s="369">
        <f ca="1">+_xlfn.XLOOKUP($C46,Aux!$W:$W,Aux!R:R,"-",0)</f>
        <v>0</v>
      </c>
      <c r="H46" s="369">
        <f ca="1">+_xlfn.XLOOKUP($C46,Aux!$W:$W,Aux!S:S,"-",0)</f>
        <v>3</v>
      </c>
      <c r="I46" s="369">
        <f ca="1">+_xlfn.XLOOKUP($C46,Aux!$W:$W,Aux!T:T,"-",0)</f>
        <v>-6</v>
      </c>
      <c r="J46" s="369">
        <f ca="1">+_xlfn.XLOOKUP($C46,Aux!$W:$W,Aux!U:U,"-",0)</f>
        <v>0</v>
      </c>
      <c r="K46" s="370">
        <f ca="1">+_xlfn.XLOOKUP($C46,Aux!$W:$W,Aux!V:V,"-",0)</f>
        <v>6</v>
      </c>
    </row>
    <row r="47" spans="1:11" ht="14.25" customHeight="1" x14ac:dyDescent="0.25">
      <c r="A47" s="365">
        <v>46</v>
      </c>
      <c r="B47" s="366" t="s">
        <v>299</v>
      </c>
      <c r="C47" s="367">
        <f ca="1">+LARGE(Aux!$W$4:$W$51,A47)</f>
        <v>-5.9999999878048778E-2</v>
      </c>
      <c r="D47" s="368" t="str">
        <f ca="1">+_xlfn.XLOOKUP($C47,Aux!$W:$W,Aux!H:H,"-",0)</f>
        <v>Curazao</v>
      </c>
      <c r="E47" s="369">
        <f t="shared" ca="1" si="1"/>
        <v>0</v>
      </c>
      <c r="F47" s="369">
        <f ca="1">+_xlfn.XLOOKUP($C47,Aux!$W:$W,Aux!Q:Q,"-",0)</f>
        <v>0</v>
      </c>
      <c r="G47" s="369">
        <f ca="1">+_xlfn.XLOOKUP($C47,Aux!$W:$W,Aux!R:R,"-",0)</f>
        <v>0</v>
      </c>
      <c r="H47" s="369">
        <f ca="1">+_xlfn.XLOOKUP($C47,Aux!$W:$W,Aux!S:S,"-",0)</f>
        <v>3</v>
      </c>
      <c r="I47" s="369">
        <f ca="1">+_xlfn.XLOOKUP($C47,Aux!$W:$W,Aux!T:T,"-",0)</f>
        <v>-6</v>
      </c>
      <c r="J47" s="369">
        <f ca="1">+_xlfn.XLOOKUP($C47,Aux!$W:$W,Aux!U:U,"-",0)</f>
        <v>0</v>
      </c>
      <c r="K47" s="370">
        <f ca="1">+_xlfn.XLOOKUP($C47,Aux!$W:$W,Aux!V:V,"-",0)</f>
        <v>6</v>
      </c>
    </row>
    <row r="48" spans="1:11" ht="14.25" customHeight="1" x14ac:dyDescent="0.25">
      <c r="A48" s="365">
        <v>47</v>
      </c>
      <c r="B48" s="366" t="s">
        <v>299</v>
      </c>
      <c r="C48" s="367">
        <f ca="1">+LARGE(Aux!$W$4:$W$51,A48)</f>
        <v>-6.9999999879518077E-2</v>
      </c>
      <c r="D48" s="368" t="str">
        <f ca="1">+_xlfn.XLOOKUP($C48,Aux!$W:$W,Aux!H:H,"-",0)</f>
        <v>Haiti</v>
      </c>
      <c r="E48" s="369">
        <f t="shared" ca="1" si="1"/>
        <v>0</v>
      </c>
      <c r="F48" s="369">
        <f ca="1">+_xlfn.XLOOKUP($C48,Aux!$W:$W,Aux!Q:Q,"-",0)</f>
        <v>0</v>
      </c>
      <c r="G48" s="369">
        <f ca="1">+_xlfn.XLOOKUP($C48,Aux!$W:$W,Aux!R:R,"-",0)</f>
        <v>0</v>
      </c>
      <c r="H48" s="369">
        <f ca="1">+_xlfn.XLOOKUP($C48,Aux!$W:$W,Aux!S:S,"-",0)</f>
        <v>3</v>
      </c>
      <c r="I48" s="369">
        <f ca="1">+_xlfn.XLOOKUP($C48,Aux!$W:$W,Aux!T:T,"-",0)</f>
        <v>-7</v>
      </c>
      <c r="J48" s="369">
        <f ca="1">+_xlfn.XLOOKUP($C48,Aux!$W:$W,Aux!U:U,"-",0)</f>
        <v>0</v>
      </c>
      <c r="K48" s="370">
        <f ca="1">+_xlfn.XLOOKUP($C48,Aux!$W:$W,Aux!V:V,"-",0)</f>
        <v>7</v>
      </c>
    </row>
    <row r="49" spans="1:11" ht="14.25" customHeight="1" x14ac:dyDescent="0.25">
      <c r="A49" s="371">
        <v>48</v>
      </c>
      <c r="B49" s="372" t="s">
        <v>299</v>
      </c>
      <c r="C49" s="373">
        <f ca="1">+LARGE(Aux!$W$4:$W$51,A49)</f>
        <v>-8.9999999824561402E-2</v>
      </c>
      <c r="D49" s="374" t="str">
        <f ca="1">+_xlfn.XLOOKUP($C49,Aux!$W:$W,Aux!H:H,"-",0)</f>
        <v>Irak</v>
      </c>
      <c r="E49" s="375">
        <f t="shared" ca="1" si="1"/>
        <v>0</v>
      </c>
      <c r="F49" s="375">
        <f ca="1">+_xlfn.XLOOKUP($C49,Aux!$W:$W,Aux!Q:Q,"-",0)</f>
        <v>0</v>
      </c>
      <c r="G49" s="375">
        <f ca="1">+_xlfn.XLOOKUP($C49,Aux!$W:$W,Aux!R:R,"-",0)</f>
        <v>0</v>
      </c>
      <c r="H49" s="375">
        <f ca="1">+_xlfn.XLOOKUP($C49,Aux!$W:$W,Aux!S:S,"-",0)</f>
        <v>3</v>
      </c>
      <c r="I49" s="375">
        <f ca="1">+_xlfn.XLOOKUP($C49,Aux!$W:$W,Aux!T:T,"-",0)</f>
        <v>-9</v>
      </c>
      <c r="J49" s="375">
        <f ca="1">+_xlfn.XLOOKUP($C49,Aux!$W:$W,Aux!U:U,"-",0)</f>
        <v>0</v>
      </c>
      <c r="K49" s="376">
        <f ca="1">+_xlfn.XLOOKUP($C49,Aux!$W:$W,Aux!V:V,"-",0)</f>
        <v>9</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8"/>
  <sheetViews>
    <sheetView tabSelected="1" workbookViewId="0">
      <selection sqref="A1:L1048576"/>
    </sheetView>
  </sheetViews>
  <sheetFormatPr defaultColWidth="12.59765625" defaultRowHeight="15" customHeight="1" x14ac:dyDescent="0.25"/>
  <cols>
    <col min="1" max="1" width="8.59765625" customWidth="1"/>
    <col min="2" max="2" width="15.5" customWidth="1"/>
    <col min="3" max="4" width="5.69921875" customWidth="1"/>
    <col min="5" max="5" width="20.3984375" customWidth="1"/>
    <col min="6" max="6" width="14.09765625" customWidth="1"/>
    <col min="7" max="7" width="9.5" customWidth="1"/>
    <col min="8" max="8" width="2.59765625" customWidth="1"/>
    <col min="9" max="9" width="13.8984375" customWidth="1"/>
    <col min="10" max="10" width="13.09765625" customWidth="1"/>
    <col min="11" max="11" width="12.09765625" customWidth="1"/>
    <col min="12" max="12" width="13.8984375" customWidth="1"/>
    <col min="13" max="13" width="8.69921875" customWidth="1"/>
    <col min="14" max="26" width="8.59765625" customWidth="1"/>
  </cols>
  <sheetData>
    <row r="1" spans="1:12" ht="14.25" customHeight="1" x14ac:dyDescent="0.25">
      <c r="A1" s="379" t="s">
        <v>100</v>
      </c>
      <c r="B1" s="380" t="s">
        <v>300</v>
      </c>
      <c r="C1" s="380" t="s">
        <v>301</v>
      </c>
      <c r="D1" s="378" t="s">
        <v>302</v>
      </c>
      <c r="E1" s="378" t="s">
        <v>303</v>
      </c>
      <c r="F1" s="381" t="str">
        <f>+'Quarter, Semis &amp; Final'!R18</f>
        <v>Figura</v>
      </c>
      <c r="G1" s="382" t="str">
        <f>+'Quarter, Semis &amp; Final'!S18</f>
        <v>Messi</v>
      </c>
      <c r="H1" s="383"/>
      <c r="I1" s="384" t="s">
        <v>104</v>
      </c>
      <c r="J1" s="384" t="s">
        <v>105</v>
      </c>
      <c r="K1" s="384" t="s">
        <v>105</v>
      </c>
      <c r="L1" s="384" t="s">
        <v>106</v>
      </c>
    </row>
    <row r="2" spans="1:12" ht="14.25" customHeight="1" x14ac:dyDescent="0.25">
      <c r="A2" s="385" t="str">
        <f>+'Groups Stage'!A3</f>
        <v>GA1</v>
      </c>
      <c r="B2" s="386" t="str">
        <f>+'Groups Stage'!E3</f>
        <v>Mexico</v>
      </c>
      <c r="C2" s="385">
        <f>+'Groups Stage'!F3</f>
        <v>2</v>
      </c>
      <c r="D2" s="387">
        <f>+'Groups Stage'!G3</f>
        <v>0</v>
      </c>
      <c r="E2" s="387" t="str">
        <f>+'Groups Stage'!H3</f>
        <v>Sudafrica</v>
      </c>
      <c r="F2" s="381" t="str">
        <f>+'Quarter, Semis &amp; Final'!R19</f>
        <v>Goleador</v>
      </c>
      <c r="G2" s="382" t="str">
        <f>+'Quarter, Semis &amp; Final'!S19</f>
        <v>Kane</v>
      </c>
      <c r="H2" s="383"/>
      <c r="I2" s="388" t="str">
        <f t="shared" ref="I2:I138" si="0">IF(OR(ISBLANK(C2),ISBLANK(D2)),"",IF(C2&gt;D2,B2,IF(D2&gt;C2,E2,"")))</f>
        <v>Mexico</v>
      </c>
      <c r="J2" s="388" t="str">
        <f t="shared" ref="J2:J138" si="1">IF(OR(ISBLANK(C2),ISBLANK(D2)),"",IF(C2=D2,B2,""))</f>
        <v/>
      </c>
      <c r="K2" s="388" t="str">
        <f t="shared" ref="K2:K138" si="2">IF(OR(ISBLANK(C2),ISBLANK(D2)),"",IF(C2=D2,E2,""))</f>
        <v/>
      </c>
      <c r="L2" s="388" t="str">
        <f t="shared" ref="L2:L138" si="3">IF(OR(ISBLANK(C2),ISBLANK(D2)),"",IF(C2&lt;D2,B2,IF(D2&lt;C2,E2,"")))</f>
        <v>Sudafrica</v>
      </c>
    </row>
    <row r="3" spans="1:12" ht="14.25" customHeight="1" x14ac:dyDescent="0.25">
      <c r="A3" s="379" t="str">
        <f>+'Groups Stage'!A4</f>
        <v>GA2</v>
      </c>
      <c r="B3" s="380" t="str">
        <f>+'Groups Stage'!E4</f>
        <v>Corea del Sur</v>
      </c>
      <c r="C3" s="379">
        <f>+'Groups Stage'!F4</f>
        <v>2</v>
      </c>
      <c r="D3" s="378">
        <f>+'Groups Stage'!G4</f>
        <v>1</v>
      </c>
      <c r="E3" s="378" t="str">
        <f>+'Groups Stage'!H4</f>
        <v>Repubilca Checa</v>
      </c>
      <c r="F3" s="381" t="str">
        <f>+'Quarter, Semis &amp; Final'!R20</f>
        <v>Revelación</v>
      </c>
      <c r="G3" s="300" t="str">
        <f ca="1">+'Quarter, Semis &amp; Final'!S20</f>
        <v>Nueva Zelanda</v>
      </c>
      <c r="H3" s="383"/>
      <c r="I3" s="384" t="str">
        <f t="shared" si="0"/>
        <v>Corea del Sur</v>
      </c>
      <c r="J3" s="384" t="str">
        <f t="shared" si="1"/>
        <v/>
      </c>
      <c r="K3" s="384" t="str">
        <f t="shared" si="2"/>
        <v/>
      </c>
      <c r="L3" s="384" t="str">
        <f t="shared" si="3"/>
        <v>Repubilca Checa</v>
      </c>
    </row>
    <row r="4" spans="1:12" ht="14.25" customHeight="1" x14ac:dyDescent="0.25">
      <c r="A4" s="379" t="str">
        <f>+'Groups Stage'!A5</f>
        <v>GA3</v>
      </c>
      <c r="B4" s="380" t="str">
        <f>+'Groups Stage'!E5</f>
        <v>Repubilca Checa</v>
      </c>
      <c r="C4" s="379">
        <f>+'Groups Stage'!F5</f>
        <v>1</v>
      </c>
      <c r="D4" s="378">
        <f>+'Groups Stage'!G5</f>
        <v>0</v>
      </c>
      <c r="E4" s="378" t="str">
        <f>+'Groups Stage'!H5</f>
        <v>Sudafrica</v>
      </c>
      <c r="F4" s="381" t="str">
        <f>+'Quarter, Semis &amp; Final'!R21</f>
        <v>Decepción</v>
      </c>
      <c r="G4" s="300" t="str">
        <f ca="1">+'Quarter, Semis &amp; Final'!S21</f>
        <v>Uruguay</v>
      </c>
      <c r="H4" s="383"/>
      <c r="I4" s="384" t="str">
        <f t="shared" si="0"/>
        <v>Repubilca Checa</v>
      </c>
      <c r="J4" s="384" t="str">
        <f t="shared" si="1"/>
        <v/>
      </c>
      <c r="K4" s="384" t="str">
        <f t="shared" si="2"/>
        <v/>
      </c>
      <c r="L4" s="384" t="str">
        <f t="shared" si="3"/>
        <v>Sudafrica</v>
      </c>
    </row>
    <row r="5" spans="1:12" ht="14.25" customHeight="1" x14ac:dyDescent="0.25">
      <c r="A5" s="379" t="str">
        <f>+'Groups Stage'!A6</f>
        <v>GA4</v>
      </c>
      <c r="B5" s="380" t="str">
        <f>+'Groups Stage'!E6</f>
        <v>Mexico</v>
      </c>
      <c r="C5" s="379">
        <f>+'Groups Stage'!F6</f>
        <v>2</v>
      </c>
      <c r="D5" s="378">
        <f>+'Groups Stage'!G6</f>
        <v>1</v>
      </c>
      <c r="E5" s="378" t="str">
        <f>+'Groups Stage'!H6</f>
        <v>Corea del Sur</v>
      </c>
      <c r="F5" s="381" t="str">
        <f>+'Quarter, Semis &amp; Final'!R22</f>
        <v>Mejor 1era Fase</v>
      </c>
      <c r="G5" s="300" t="str">
        <f ca="1">+'Quarter, Semis &amp; Final'!S22</f>
        <v>Alemania</v>
      </c>
      <c r="H5" s="383"/>
      <c r="I5" s="384" t="str">
        <f t="shared" si="0"/>
        <v>Mexico</v>
      </c>
      <c r="J5" s="384" t="str">
        <f t="shared" si="1"/>
        <v/>
      </c>
      <c r="K5" s="384" t="str">
        <f t="shared" si="2"/>
        <v/>
      </c>
      <c r="L5" s="384" t="str">
        <f t="shared" si="3"/>
        <v>Corea del Sur</v>
      </c>
    </row>
    <row r="6" spans="1:12" ht="14.25" customHeight="1" x14ac:dyDescent="0.25">
      <c r="A6" s="379" t="str">
        <f>+'Groups Stage'!A7</f>
        <v>GA5</v>
      </c>
      <c r="B6" s="380" t="str">
        <f>+'Groups Stage'!E7</f>
        <v>Repubilca Checa</v>
      </c>
      <c r="C6" s="379">
        <f>+'Groups Stage'!F7</f>
        <v>1</v>
      </c>
      <c r="D6" s="378">
        <f>+'Groups Stage'!G7</f>
        <v>1</v>
      </c>
      <c r="E6" s="378" t="str">
        <f>+'Groups Stage'!H7</f>
        <v>Mexico</v>
      </c>
      <c r="F6" s="381" t="str">
        <f>+'Quarter, Semis &amp; Final'!R23</f>
        <v>Peor Equipo</v>
      </c>
      <c r="G6" s="300" t="str">
        <f ca="1">+'Quarter, Semis &amp; Final'!S23</f>
        <v>Irak</v>
      </c>
      <c r="H6" s="383"/>
      <c r="I6" s="384" t="str">
        <f t="shared" si="0"/>
        <v/>
      </c>
      <c r="J6" s="384" t="str">
        <f t="shared" si="1"/>
        <v>Repubilca Checa</v>
      </c>
      <c r="K6" s="384" t="str">
        <f t="shared" si="2"/>
        <v>Mexico</v>
      </c>
      <c r="L6" s="384" t="str">
        <f t="shared" si="3"/>
        <v/>
      </c>
    </row>
    <row r="7" spans="1:12" ht="14.25" customHeight="1" x14ac:dyDescent="0.25">
      <c r="A7" s="389" t="str">
        <f>+'Groups Stage'!A8</f>
        <v>GA6</v>
      </c>
      <c r="B7" s="390" t="str">
        <f>+'Groups Stage'!E8</f>
        <v>Sudafrica</v>
      </c>
      <c r="C7" s="389">
        <f>+'Groups Stage'!F8</f>
        <v>0</v>
      </c>
      <c r="D7" s="391">
        <f>+'Groups Stage'!G8</f>
        <v>1</v>
      </c>
      <c r="E7" s="391" t="str">
        <f>+'Groups Stage'!H8</f>
        <v>Corea del Sur</v>
      </c>
      <c r="F7" s="392" t="s">
        <v>18</v>
      </c>
      <c r="G7" s="379" t="str">
        <f ca="1">+'Total Results'!D4</f>
        <v>España</v>
      </c>
      <c r="H7" s="383"/>
      <c r="I7" s="393" t="str">
        <f t="shared" si="0"/>
        <v>Corea del Sur</v>
      </c>
      <c r="J7" s="393" t="str">
        <f t="shared" si="1"/>
        <v/>
      </c>
      <c r="K7" s="393" t="str">
        <f t="shared" si="2"/>
        <v/>
      </c>
      <c r="L7" s="393" t="str">
        <f t="shared" si="3"/>
        <v>Sudafrica</v>
      </c>
    </row>
    <row r="8" spans="1:12" ht="14.25" customHeight="1" x14ac:dyDescent="0.25">
      <c r="A8" s="394">
        <f>+'Groups Stage'!A9</f>
        <v>0</v>
      </c>
      <c r="B8" s="395">
        <f>+'Groups Stage'!E9</f>
        <v>0</v>
      </c>
      <c r="C8" s="394">
        <f>+'Groups Stage'!F9</f>
        <v>0</v>
      </c>
      <c r="D8" s="396">
        <f>+'Groups Stage'!G9</f>
        <v>0</v>
      </c>
      <c r="E8" s="396">
        <f>+'Groups Stage'!H9</f>
        <v>0</v>
      </c>
      <c r="F8" s="392" t="s">
        <v>304</v>
      </c>
      <c r="G8" s="379" t="str">
        <f ca="1">+'Total Results'!D2</f>
        <v>Argentina</v>
      </c>
      <c r="H8" s="383"/>
      <c r="I8" s="388" t="str">
        <f t="shared" si="0"/>
        <v/>
      </c>
      <c r="J8" s="388">
        <f t="shared" si="1"/>
        <v>0</v>
      </c>
      <c r="K8" s="388">
        <f t="shared" si="2"/>
        <v>0</v>
      </c>
      <c r="L8" s="388" t="str">
        <f t="shared" si="3"/>
        <v/>
      </c>
    </row>
    <row r="9" spans="1:12" ht="14.25" customHeight="1" x14ac:dyDescent="0.25">
      <c r="A9" s="397">
        <f>+'Groups Stage'!A10</f>
        <v>0</v>
      </c>
      <c r="B9" s="398">
        <f>+'Groups Stage'!E10</f>
        <v>0</v>
      </c>
      <c r="C9" s="397">
        <f>+'Groups Stage'!F10</f>
        <v>0</v>
      </c>
      <c r="D9" s="399">
        <f>+'Groups Stage'!G10</f>
        <v>0</v>
      </c>
      <c r="E9" s="399">
        <f>+'Groups Stage'!H10</f>
        <v>0</v>
      </c>
      <c r="F9" s="400" t="s">
        <v>305</v>
      </c>
      <c r="G9" s="377" t="str">
        <f ca="1">+'Total Results'!D3</f>
        <v>Francia</v>
      </c>
      <c r="H9" s="383"/>
      <c r="I9" s="393" t="str">
        <f t="shared" si="0"/>
        <v/>
      </c>
      <c r="J9" s="393">
        <f t="shared" si="1"/>
        <v>0</v>
      </c>
      <c r="K9" s="393">
        <f t="shared" si="2"/>
        <v>0</v>
      </c>
      <c r="L9" s="393" t="str">
        <f t="shared" si="3"/>
        <v/>
      </c>
    </row>
    <row r="10" spans="1:12" ht="14.25" customHeight="1" x14ac:dyDescent="0.25">
      <c r="A10" s="397" t="str">
        <f>+'Groups Stage'!A11</f>
        <v>Partido</v>
      </c>
      <c r="B10" s="398" t="str">
        <f>+'Groups Stage'!E11</f>
        <v>Grupo B</v>
      </c>
      <c r="C10" s="397">
        <f>+'Groups Stage'!F11</f>
        <v>0</v>
      </c>
      <c r="D10" s="399">
        <f>+'Groups Stage'!G11</f>
        <v>0</v>
      </c>
      <c r="E10" s="399">
        <f>+'Groups Stage'!H11</f>
        <v>0</v>
      </c>
      <c r="F10" s="400" t="s">
        <v>306</v>
      </c>
      <c r="G10" s="377" t="str">
        <f ca="1">+'Total Results'!D5</f>
        <v>Brasil</v>
      </c>
      <c r="H10" s="383"/>
      <c r="I10" s="393" t="str">
        <f t="shared" si="0"/>
        <v/>
      </c>
      <c r="J10" s="393" t="str">
        <f t="shared" si="1"/>
        <v>Grupo B</v>
      </c>
      <c r="K10" s="393">
        <f t="shared" si="2"/>
        <v>0</v>
      </c>
      <c r="L10" s="393" t="str">
        <f t="shared" si="3"/>
        <v/>
      </c>
    </row>
    <row r="11" spans="1:12" ht="14.25" customHeight="1" x14ac:dyDescent="0.25">
      <c r="A11" s="385" t="str">
        <f>+'Groups Stage'!A12</f>
        <v>GB1</v>
      </c>
      <c r="B11" s="386" t="str">
        <f>+'Groups Stage'!E12</f>
        <v>Canada</v>
      </c>
      <c r="C11" s="385">
        <f>+'Groups Stage'!F12</f>
        <v>0</v>
      </c>
      <c r="D11" s="387">
        <f>+'Groups Stage'!G12</f>
        <v>1</v>
      </c>
      <c r="E11" s="387" t="str">
        <f>+'Groups Stage'!H12</f>
        <v>Bosnia</v>
      </c>
      <c r="F11" s="392"/>
      <c r="H11" s="383"/>
      <c r="I11" s="388" t="str">
        <f t="shared" si="0"/>
        <v>Bosnia</v>
      </c>
      <c r="J11" s="388" t="str">
        <f t="shared" si="1"/>
        <v/>
      </c>
      <c r="K11" s="388" t="str">
        <f t="shared" si="2"/>
        <v/>
      </c>
      <c r="L11" s="388" t="str">
        <f t="shared" si="3"/>
        <v>Canada</v>
      </c>
    </row>
    <row r="12" spans="1:12" ht="14.25" customHeight="1" x14ac:dyDescent="0.25">
      <c r="A12" s="379" t="str">
        <f>+'Groups Stage'!A13</f>
        <v>GB2</v>
      </c>
      <c r="B12" s="380" t="str">
        <f>+'Groups Stage'!E13</f>
        <v>Qatar</v>
      </c>
      <c r="C12" s="379">
        <f>+'Groups Stage'!F13</f>
        <v>0</v>
      </c>
      <c r="D12" s="378">
        <f>+'Groups Stage'!G13</f>
        <v>2</v>
      </c>
      <c r="E12" s="378" t="str">
        <f>+'Groups Stage'!H13</f>
        <v>Suiza</v>
      </c>
      <c r="F12" s="392"/>
      <c r="H12" s="383"/>
      <c r="I12" s="384" t="str">
        <f t="shared" si="0"/>
        <v>Suiza</v>
      </c>
      <c r="J12" s="384" t="str">
        <f t="shared" si="1"/>
        <v/>
      </c>
      <c r="K12" s="384" t="str">
        <f t="shared" si="2"/>
        <v/>
      </c>
      <c r="L12" s="384" t="str">
        <f t="shared" si="3"/>
        <v>Qatar</v>
      </c>
    </row>
    <row r="13" spans="1:12" ht="14.25" customHeight="1" x14ac:dyDescent="0.25">
      <c r="A13" s="379" t="str">
        <f>+'Groups Stage'!A14</f>
        <v>GB3</v>
      </c>
      <c r="B13" s="380" t="str">
        <f>+'Groups Stage'!E14</f>
        <v>Suiza</v>
      </c>
      <c r="C13" s="379">
        <f>+'Groups Stage'!F14</f>
        <v>1</v>
      </c>
      <c r="D13" s="378">
        <f>+'Groups Stage'!G14</f>
        <v>1</v>
      </c>
      <c r="E13" s="378" t="str">
        <f>+'Groups Stage'!H14</f>
        <v>Bosnia</v>
      </c>
      <c r="F13" s="392"/>
      <c r="H13" s="383"/>
      <c r="I13" s="384" t="str">
        <f t="shared" si="0"/>
        <v/>
      </c>
      <c r="J13" s="384" t="str">
        <f t="shared" si="1"/>
        <v>Suiza</v>
      </c>
      <c r="K13" s="384" t="str">
        <f t="shared" si="2"/>
        <v>Bosnia</v>
      </c>
      <c r="L13" s="384" t="str">
        <f t="shared" si="3"/>
        <v/>
      </c>
    </row>
    <row r="14" spans="1:12" ht="14.25" customHeight="1" x14ac:dyDescent="0.25">
      <c r="A14" s="379" t="str">
        <f>+'Groups Stage'!A15</f>
        <v>GB4</v>
      </c>
      <c r="B14" s="380" t="str">
        <f>+'Groups Stage'!E15</f>
        <v>Canada</v>
      </c>
      <c r="C14" s="379">
        <f>+'Groups Stage'!F15</f>
        <v>0</v>
      </c>
      <c r="D14" s="378">
        <f>+'Groups Stage'!G15</f>
        <v>0</v>
      </c>
      <c r="E14" s="378" t="str">
        <f>+'Groups Stage'!H15</f>
        <v>Qatar</v>
      </c>
      <c r="F14" s="392"/>
      <c r="H14" s="383"/>
      <c r="I14" s="384" t="str">
        <f t="shared" si="0"/>
        <v/>
      </c>
      <c r="J14" s="384" t="str">
        <f t="shared" si="1"/>
        <v>Canada</v>
      </c>
      <c r="K14" s="384" t="str">
        <f t="shared" si="2"/>
        <v>Qatar</v>
      </c>
      <c r="L14" s="384" t="str">
        <f t="shared" si="3"/>
        <v/>
      </c>
    </row>
    <row r="15" spans="1:12" ht="14.25" customHeight="1" x14ac:dyDescent="0.25">
      <c r="A15" s="379" t="str">
        <f>+'Groups Stage'!A16</f>
        <v>GB5</v>
      </c>
      <c r="B15" s="380" t="str">
        <f>+'Groups Stage'!E16</f>
        <v>Suiza</v>
      </c>
      <c r="C15" s="379">
        <f>+'Groups Stage'!F16</f>
        <v>2</v>
      </c>
      <c r="D15" s="378">
        <f>+'Groups Stage'!G16</f>
        <v>0</v>
      </c>
      <c r="E15" s="378" t="str">
        <f>+'Groups Stage'!H16</f>
        <v>Canada</v>
      </c>
      <c r="F15" s="392"/>
      <c r="H15" s="383"/>
      <c r="I15" s="384" t="str">
        <f t="shared" si="0"/>
        <v>Suiza</v>
      </c>
      <c r="J15" s="384" t="str">
        <f t="shared" si="1"/>
        <v/>
      </c>
      <c r="K15" s="384" t="str">
        <f t="shared" si="2"/>
        <v/>
      </c>
      <c r="L15" s="384" t="str">
        <f t="shared" si="3"/>
        <v>Canada</v>
      </c>
    </row>
    <row r="16" spans="1:12" ht="14.25" customHeight="1" x14ac:dyDescent="0.25">
      <c r="A16" s="389" t="str">
        <f>+'Groups Stage'!A17</f>
        <v>GB6</v>
      </c>
      <c r="B16" s="390" t="str">
        <f>+'Groups Stage'!E17</f>
        <v>Bosnia</v>
      </c>
      <c r="C16" s="389">
        <f>+'Groups Stage'!F17</f>
        <v>2</v>
      </c>
      <c r="D16" s="391">
        <f>+'Groups Stage'!G17</f>
        <v>0</v>
      </c>
      <c r="E16" s="391" t="str">
        <f>+'Groups Stage'!H17</f>
        <v>Qatar</v>
      </c>
      <c r="F16" s="392"/>
      <c r="H16" s="383"/>
      <c r="I16" s="393" t="str">
        <f t="shared" si="0"/>
        <v>Bosnia</v>
      </c>
      <c r="J16" s="393" t="str">
        <f t="shared" si="1"/>
        <v/>
      </c>
      <c r="K16" s="393" t="str">
        <f t="shared" si="2"/>
        <v/>
      </c>
      <c r="L16" s="393" t="str">
        <f t="shared" si="3"/>
        <v>Qatar</v>
      </c>
    </row>
    <row r="17" spans="1:12" ht="14.25" customHeight="1" x14ac:dyDescent="0.25">
      <c r="A17" s="394">
        <f>+'Groups Stage'!A18</f>
        <v>0</v>
      </c>
      <c r="B17" s="395">
        <f>+'Groups Stage'!E18</f>
        <v>0</v>
      </c>
      <c r="C17" s="394">
        <f>+'Groups Stage'!F18</f>
        <v>0</v>
      </c>
      <c r="D17" s="396">
        <f>+'Groups Stage'!G18</f>
        <v>0</v>
      </c>
      <c r="E17" s="396">
        <f>+'Groups Stage'!H18</f>
        <v>0</v>
      </c>
      <c r="F17" s="392"/>
      <c r="H17" s="383"/>
      <c r="I17" s="388" t="str">
        <f t="shared" si="0"/>
        <v/>
      </c>
      <c r="J17" s="388">
        <f t="shared" si="1"/>
        <v>0</v>
      </c>
      <c r="K17" s="388">
        <f t="shared" si="2"/>
        <v>0</v>
      </c>
      <c r="L17" s="388" t="str">
        <f t="shared" si="3"/>
        <v/>
      </c>
    </row>
    <row r="18" spans="1:12" ht="14.25" customHeight="1" x14ac:dyDescent="0.25">
      <c r="A18" s="397">
        <f>+'Groups Stage'!A19</f>
        <v>0</v>
      </c>
      <c r="B18" s="398">
        <f>+'Groups Stage'!E19</f>
        <v>0</v>
      </c>
      <c r="C18" s="397">
        <f>+'Groups Stage'!F19</f>
        <v>0</v>
      </c>
      <c r="D18" s="399">
        <f>+'Groups Stage'!G19</f>
        <v>0</v>
      </c>
      <c r="E18" s="399">
        <f>+'Groups Stage'!H19</f>
        <v>0</v>
      </c>
      <c r="F18" s="392"/>
      <c r="H18" s="383"/>
      <c r="I18" s="393" t="str">
        <f t="shared" si="0"/>
        <v/>
      </c>
      <c r="J18" s="393">
        <f t="shared" si="1"/>
        <v>0</v>
      </c>
      <c r="K18" s="393">
        <f t="shared" si="2"/>
        <v>0</v>
      </c>
      <c r="L18" s="393" t="str">
        <f t="shared" si="3"/>
        <v/>
      </c>
    </row>
    <row r="19" spans="1:12" ht="14.25" customHeight="1" x14ac:dyDescent="0.25">
      <c r="A19" s="397" t="str">
        <f>+'Groups Stage'!A20</f>
        <v>Partido</v>
      </c>
      <c r="B19" s="398" t="str">
        <f>+'Groups Stage'!E20</f>
        <v>Grupo C</v>
      </c>
      <c r="C19" s="397">
        <f>+'Groups Stage'!F20</f>
        <v>0</v>
      </c>
      <c r="D19" s="399">
        <f>+'Groups Stage'!G20</f>
        <v>0</v>
      </c>
      <c r="E19" s="399">
        <f>+'Groups Stage'!H20</f>
        <v>0</v>
      </c>
      <c r="F19" s="392"/>
      <c r="H19" s="383"/>
      <c r="I19" s="393" t="str">
        <f t="shared" si="0"/>
        <v/>
      </c>
      <c r="J19" s="393" t="str">
        <f t="shared" si="1"/>
        <v>Grupo C</v>
      </c>
      <c r="K19" s="393">
        <f t="shared" si="2"/>
        <v>0</v>
      </c>
      <c r="L19" s="393" t="str">
        <f t="shared" si="3"/>
        <v/>
      </c>
    </row>
    <row r="20" spans="1:12" ht="14.25" customHeight="1" x14ac:dyDescent="0.25">
      <c r="A20" s="385" t="str">
        <f>+'Groups Stage'!A21</f>
        <v>GC1</v>
      </c>
      <c r="B20" s="386" t="str">
        <f>+'Groups Stage'!E21</f>
        <v>Brasil</v>
      </c>
      <c r="C20" s="385">
        <f>+'Groups Stage'!F21</f>
        <v>2</v>
      </c>
      <c r="D20" s="387">
        <f>+'Groups Stage'!G21</f>
        <v>1</v>
      </c>
      <c r="E20" s="387" t="str">
        <f>+'Groups Stage'!H21</f>
        <v>Marruecos</v>
      </c>
      <c r="F20" s="392"/>
      <c r="H20" s="383"/>
      <c r="I20" s="388" t="str">
        <f t="shared" si="0"/>
        <v>Brasil</v>
      </c>
      <c r="J20" s="388" t="str">
        <f t="shared" si="1"/>
        <v/>
      </c>
      <c r="K20" s="388" t="str">
        <f t="shared" si="2"/>
        <v/>
      </c>
      <c r="L20" s="388" t="str">
        <f t="shared" si="3"/>
        <v>Marruecos</v>
      </c>
    </row>
    <row r="21" spans="1:12" ht="14.25" customHeight="1" x14ac:dyDescent="0.25">
      <c r="A21" s="379" t="str">
        <f>+'Groups Stage'!A22</f>
        <v>GC2</v>
      </c>
      <c r="B21" s="380" t="str">
        <f>+'Groups Stage'!E22</f>
        <v>Haiti</v>
      </c>
      <c r="C21" s="379">
        <f>+'Groups Stage'!F22</f>
        <v>0</v>
      </c>
      <c r="D21" s="378">
        <f>+'Groups Stage'!G22</f>
        <v>2</v>
      </c>
      <c r="E21" s="378" t="str">
        <f>+'Groups Stage'!H22</f>
        <v>Escocia</v>
      </c>
      <c r="F21" s="392"/>
      <c r="H21" s="383"/>
      <c r="I21" s="384" t="str">
        <f t="shared" si="0"/>
        <v>Escocia</v>
      </c>
      <c r="J21" s="384" t="str">
        <f t="shared" si="1"/>
        <v/>
      </c>
      <c r="K21" s="384" t="str">
        <f t="shared" si="2"/>
        <v/>
      </c>
      <c r="L21" s="384" t="str">
        <f t="shared" si="3"/>
        <v>Haiti</v>
      </c>
    </row>
    <row r="22" spans="1:12" ht="14.25" customHeight="1" x14ac:dyDescent="0.25">
      <c r="A22" s="379" t="str">
        <f>+'Groups Stage'!A23</f>
        <v>GC3</v>
      </c>
      <c r="B22" s="380" t="str">
        <f>+'Groups Stage'!E23</f>
        <v>Brasil</v>
      </c>
      <c r="C22" s="379">
        <f>+'Groups Stage'!F23</f>
        <v>3</v>
      </c>
      <c r="D22" s="378">
        <f>+'Groups Stage'!G23</f>
        <v>0</v>
      </c>
      <c r="E22" s="378" t="str">
        <f>+'Groups Stage'!H23</f>
        <v>Haiti</v>
      </c>
      <c r="F22" s="392"/>
      <c r="H22" s="383"/>
      <c r="I22" s="384" t="str">
        <f t="shared" si="0"/>
        <v>Brasil</v>
      </c>
      <c r="J22" s="384" t="str">
        <f t="shared" si="1"/>
        <v/>
      </c>
      <c r="K22" s="384" t="str">
        <f t="shared" si="2"/>
        <v/>
      </c>
      <c r="L22" s="384" t="str">
        <f t="shared" si="3"/>
        <v>Haiti</v>
      </c>
    </row>
    <row r="23" spans="1:12" ht="14.25" customHeight="1" x14ac:dyDescent="0.25">
      <c r="A23" s="379" t="str">
        <f>+'Groups Stage'!A24</f>
        <v>GC4</v>
      </c>
      <c r="B23" s="380" t="str">
        <f>+'Groups Stage'!E24</f>
        <v>Escocia</v>
      </c>
      <c r="C23" s="379">
        <f>+'Groups Stage'!F24</f>
        <v>1</v>
      </c>
      <c r="D23" s="378">
        <f>+'Groups Stage'!G24</f>
        <v>2</v>
      </c>
      <c r="E23" s="378" t="str">
        <f>+'Groups Stage'!H24</f>
        <v>Marruecos</v>
      </c>
      <c r="F23" s="392"/>
      <c r="H23" s="383"/>
      <c r="I23" s="384" t="str">
        <f t="shared" si="0"/>
        <v>Marruecos</v>
      </c>
      <c r="J23" s="384" t="str">
        <f t="shared" si="1"/>
        <v/>
      </c>
      <c r="K23" s="384" t="str">
        <f t="shared" si="2"/>
        <v/>
      </c>
      <c r="L23" s="384" t="str">
        <f t="shared" si="3"/>
        <v>Escocia</v>
      </c>
    </row>
    <row r="24" spans="1:12" ht="14.25" customHeight="1" x14ac:dyDescent="0.25">
      <c r="A24" s="379" t="str">
        <f>+'Groups Stage'!A25</f>
        <v>GC5</v>
      </c>
      <c r="B24" s="380" t="str">
        <f>+'Groups Stage'!E25</f>
        <v>Escocia</v>
      </c>
      <c r="C24" s="379">
        <f>+'Groups Stage'!F25</f>
        <v>0</v>
      </c>
      <c r="D24" s="378">
        <f>+'Groups Stage'!G25</f>
        <v>2</v>
      </c>
      <c r="E24" s="378" t="str">
        <f>+'Groups Stage'!H25</f>
        <v>Brasil</v>
      </c>
      <c r="F24" s="392"/>
      <c r="H24" s="383"/>
      <c r="I24" s="384" t="str">
        <f t="shared" si="0"/>
        <v>Brasil</v>
      </c>
      <c r="J24" s="384" t="str">
        <f t="shared" si="1"/>
        <v/>
      </c>
      <c r="K24" s="384" t="str">
        <f t="shared" si="2"/>
        <v/>
      </c>
      <c r="L24" s="384" t="str">
        <f t="shared" si="3"/>
        <v>Escocia</v>
      </c>
    </row>
    <row r="25" spans="1:12" ht="14.25" customHeight="1" x14ac:dyDescent="0.25">
      <c r="A25" s="389" t="str">
        <f>+'Groups Stage'!A26</f>
        <v>GC6</v>
      </c>
      <c r="B25" s="390" t="str">
        <f>+'Groups Stage'!E26</f>
        <v>Marruecos</v>
      </c>
      <c r="C25" s="389">
        <f>+'Groups Stage'!F26</f>
        <v>2</v>
      </c>
      <c r="D25" s="391">
        <f>+'Groups Stage'!G26</f>
        <v>0</v>
      </c>
      <c r="E25" s="391" t="str">
        <f>+'Groups Stage'!H26</f>
        <v>Haiti</v>
      </c>
      <c r="F25" s="392"/>
      <c r="H25" s="383"/>
      <c r="I25" s="393" t="str">
        <f t="shared" si="0"/>
        <v>Marruecos</v>
      </c>
      <c r="J25" s="393" t="str">
        <f t="shared" si="1"/>
        <v/>
      </c>
      <c r="K25" s="393" t="str">
        <f t="shared" si="2"/>
        <v/>
      </c>
      <c r="L25" s="393" t="str">
        <f t="shared" si="3"/>
        <v>Haiti</v>
      </c>
    </row>
    <row r="26" spans="1:12" ht="14.25" customHeight="1" x14ac:dyDescent="0.25">
      <c r="A26" s="394">
        <f>+'Groups Stage'!A27</f>
        <v>0</v>
      </c>
      <c r="B26" s="395">
        <f>+'Groups Stage'!E27</f>
        <v>0</v>
      </c>
      <c r="C26" s="394">
        <f>+'Groups Stage'!F27</f>
        <v>0</v>
      </c>
      <c r="D26" s="396">
        <f>+'Groups Stage'!G27</f>
        <v>0</v>
      </c>
      <c r="E26" s="396">
        <f>+'Groups Stage'!H27</f>
        <v>0</v>
      </c>
      <c r="F26" s="392"/>
      <c r="H26" s="383"/>
      <c r="I26" s="388" t="str">
        <f t="shared" si="0"/>
        <v/>
      </c>
      <c r="J26" s="388">
        <f t="shared" si="1"/>
        <v>0</v>
      </c>
      <c r="K26" s="388">
        <f t="shared" si="2"/>
        <v>0</v>
      </c>
      <c r="L26" s="388" t="str">
        <f t="shared" si="3"/>
        <v/>
      </c>
    </row>
    <row r="27" spans="1:12" ht="14.25" customHeight="1" x14ac:dyDescent="0.25">
      <c r="A27" s="397">
        <f>+'Groups Stage'!A28</f>
        <v>0</v>
      </c>
      <c r="B27" s="398">
        <f>+'Groups Stage'!E28</f>
        <v>0</v>
      </c>
      <c r="C27" s="397">
        <f>+'Groups Stage'!F28</f>
        <v>0</v>
      </c>
      <c r="D27" s="399">
        <f>+'Groups Stage'!G28</f>
        <v>0</v>
      </c>
      <c r="E27" s="399">
        <f>+'Groups Stage'!H28</f>
        <v>0</v>
      </c>
      <c r="F27" s="392"/>
      <c r="H27" s="383"/>
      <c r="I27" s="393" t="str">
        <f t="shared" si="0"/>
        <v/>
      </c>
      <c r="J27" s="393">
        <f t="shared" si="1"/>
        <v>0</v>
      </c>
      <c r="K27" s="393">
        <f t="shared" si="2"/>
        <v>0</v>
      </c>
      <c r="L27" s="393" t="str">
        <f t="shared" si="3"/>
        <v/>
      </c>
    </row>
    <row r="28" spans="1:12" ht="14.25" customHeight="1" x14ac:dyDescent="0.25">
      <c r="A28" s="397" t="str">
        <f>+'Groups Stage'!A29</f>
        <v>Partido</v>
      </c>
      <c r="B28" s="398" t="str">
        <f>+'Groups Stage'!E29</f>
        <v>Grupo D</v>
      </c>
      <c r="C28" s="397">
        <f>+'Groups Stage'!F29</f>
        <v>0</v>
      </c>
      <c r="D28" s="399">
        <f>+'Groups Stage'!G29</f>
        <v>0</v>
      </c>
      <c r="E28" s="399">
        <f>+'Groups Stage'!H29</f>
        <v>0</v>
      </c>
      <c r="F28" s="392"/>
      <c r="H28" s="383"/>
      <c r="I28" s="393" t="str">
        <f t="shared" si="0"/>
        <v/>
      </c>
      <c r="J28" s="393" t="str">
        <f t="shared" si="1"/>
        <v>Grupo D</v>
      </c>
      <c r="K28" s="393">
        <f t="shared" si="2"/>
        <v>0</v>
      </c>
      <c r="L28" s="393" t="str">
        <f t="shared" si="3"/>
        <v/>
      </c>
    </row>
    <row r="29" spans="1:12" ht="14.25" customHeight="1" x14ac:dyDescent="0.25">
      <c r="A29" s="385" t="str">
        <f>+'Groups Stage'!A30</f>
        <v>GD1</v>
      </c>
      <c r="B29" s="386" t="str">
        <f>+'Groups Stage'!E30</f>
        <v>Estados Unidos</v>
      </c>
      <c r="C29" s="385">
        <f>+'Groups Stage'!F30</f>
        <v>1</v>
      </c>
      <c r="D29" s="387">
        <f>+'Groups Stage'!G30</f>
        <v>1</v>
      </c>
      <c r="E29" s="387" t="str">
        <f>+'Groups Stage'!H30</f>
        <v>Paraguay</v>
      </c>
      <c r="F29" s="392"/>
      <c r="H29" s="383"/>
      <c r="I29" s="388" t="str">
        <f t="shared" si="0"/>
        <v/>
      </c>
      <c r="J29" s="388" t="str">
        <f t="shared" si="1"/>
        <v>Estados Unidos</v>
      </c>
      <c r="K29" s="388" t="str">
        <f t="shared" si="2"/>
        <v>Paraguay</v>
      </c>
      <c r="L29" s="388" t="str">
        <f t="shared" si="3"/>
        <v/>
      </c>
    </row>
    <row r="30" spans="1:12" ht="14.25" customHeight="1" x14ac:dyDescent="0.25">
      <c r="A30" s="379" t="str">
        <f>+'Groups Stage'!A31</f>
        <v>GD2</v>
      </c>
      <c r="B30" s="380" t="str">
        <f>+'Groups Stage'!E31</f>
        <v>Australia</v>
      </c>
      <c r="C30" s="379">
        <f>+'Groups Stage'!F31</f>
        <v>1</v>
      </c>
      <c r="D30" s="378">
        <f>+'Groups Stage'!G31</f>
        <v>2</v>
      </c>
      <c r="E30" s="378" t="str">
        <f>+'Groups Stage'!H31</f>
        <v>Turquia</v>
      </c>
      <c r="F30" s="392"/>
      <c r="H30" s="383"/>
      <c r="I30" s="384" t="str">
        <f t="shared" si="0"/>
        <v>Turquia</v>
      </c>
      <c r="J30" s="384" t="str">
        <f t="shared" si="1"/>
        <v/>
      </c>
      <c r="K30" s="384" t="str">
        <f t="shared" si="2"/>
        <v/>
      </c>
      <c r="L30" s="384" t="str">
        <f t="shared" si="3"/>
        <v>Australia</v>
      </c>
    </row>
    <row r="31" spans="1:12" ht="14.25" customHeight="1" x14ac:dyDescent="0.25">
      <c r="A31" s="379" t="str">
        <f>+'Groups Stage'!A32</f>
        <v>GD3</v>
      </c>
      <c r="B31" s="380" t="str">
        <f>+'Groups Stage'!E32</f>
        <v>Turquia</v>
      </c>
      <c r="C31" s="379">
        <f>+'Groups Stage'!F32</f>
        <v>2</v>
      </c>
      <c r="D31" s="378">
        <f>+'Groups Stage'!G32</f>
        <v>1</v>
      </c>
      <c r="E31" s="378" t="str">
        <f>+'Groups Stage'!H32</f>
        <v>Paraguay</v>
      </c>
      <c r="F31" s="392"/>
      <c r="H31" s="383"/>
      <c r="I31" s="384" t="str">
        <f t="shared" si="0"/>
        <v>Turquia</v>
      </c>
      <c r="J31" s="384" t="str">
        <f t="shared" si="1"/>
        <v/>
      </c>
      <c r="K31" s="384" t="str">
        <f t="shared" si="2"/>
        <v/>
      </c>
      <c r="L31" s="384" t="str">
        <f t="shared" si="3"/>
        <v>Paraguay</v>
      </c>
    </row>
    <row r="32" spans="1:12" ht="14.25" customHeight="1" x14ac:dyDescent="0.25">
      <c r="A32" s="379" t="str">
        <f>+'Groups Stage'!A33</f>
        <v>GD4</v>
      </c>
      <c r="B32" s="380" t="str">
        <f>+'Groups Stage'!E33</f>
        <v>Estados Unidos</v>
      </c>
      <c r="C32" s="379">
        <f>+'Groups Stage'!F33</f>
        <v>1</v>
      </c>
      <c r="D32" s="378">
        <f>+'Groups Stage'!G33</f>
        <v>0</v>
      </c>
      <c r="E32" s="378" t="str">
        <f>+'Groups Stage'!H33</f>
        <v>Australia</v>
      </c>
      <c r="F32" s="392"/>
      <c r="H32" s="383"/>
      <c r="I32" s="384" t="str">
        <f t="shared" si="0"/>
        <v>Estados Unidos</v>
      </c>
      <c r="J32" s="384" t="str">
        <f t="shared" si="1"/>
        <v/>
      </c>
      <c r="K32" s="384" t="str">
        <f t="shared" si="2"/>
        <v/>
      </c>
      <c r="L32" s="384" t="str">
        <f t="shared" si="3"/>
        <v>Australia</v>
      </c>
    </row>
    <row r="33" spans="1:12" ht="14.25" customHeight="1" x14ac:dyDescent="0.25">
      <c r="A33" s="379" t="str">
        <f>+'Groups Stage'!A34</f>
        <v>GD5</v>
      </c>
      <c r="B33" s="380" t="str">
        <f>+'Groups Stage'!E34</f>
        <v>Turquia</v>
      </c>
      <c r="C33" s="379">
        <f>+'Groups Stage'!F34</f>
        <v>2</v>
      </c>
      <c r="D33" s="378">
        <f>+'Groups Stage'!G34</f>
        <v>0</v>
      </c>
      <c r="E33" s="378" t="str">
        <f>+'Groups Stage'!H34</f>
        <v>Estados Unidos</v>
      </c>
      <c r="F33" s="392"/>
      <c r="H33" s="383"/>
      <c r="I33" s="384" t="str">
        <f t="shared" si="0"/>
        <v>Turquia</v>
      </c>
      <c r="J33" s="384" t="str">
        <f t="shared" si="1"/>
        <v/>
      </c>
      <c r="K33" s="384" t="str">
        <f t="shared" si="2"/>
        <v/>
      </c>
      <c r="L33" s="384" t="str">
        <f t="shared" si="3"/>
        <v>Estados Unidos</v>
      </c>
    </row>
    <row r="34" spans="1:12" ht="14.25" customHeight="1" x14ac:dyDescent="0.25">
      <c r="A34" s="389" t="str">
        <f>+'Groups Stage'!A35</f>
        <v>GD6</v>
      </c>
      <c r="B34" s="390" t="str">
        <f>+'Groups Stage'!E35</f>
        <v>Paraguay</v>
      </c>
      <c r="C34" s="389">
        <f>+'Groups Stage'!F35</f>
        <v>2</v>
      </c>
      <c r="D34" s="391">
        <f>+'Groups Stage'!G35</f>
        <v>0</v>
      </c>
      <c r="E34" s="391" t="str">
        <f>+'Groups Stage'!H35</f>
        <v>Australia</v>
      </c>
      <c r="F34" s="392"/>
      <c r="H34" s="383"/>
      <c r="I34" s="393" t="str">
        <f t="shared" si="0"/>
        <v>Paraguay</v>
      </c>
      <c r="J34" s="393" t="str">
        <f t="shared" si="1"/>
        <v/>
      </c>
      <c r="K34" s="393" t="str">
        <f t="shared" si="2"/>
        <v/>
      </c>
      <c r="L34" s="393" t="str">
        <f t="shared" si="3"/>
        <v>Australia</v>
      </c>
    </row>
    <row r="35" spans="1:12" ht="14.25" customHeight="1" x14ac:dyDescent="0.25">
      <c r="A35" s="394">
        <f>+'Groups Stage'!A36</f>
        <v>0</v>
      </c>
      <c r="B35" s="395">
        <f>+'Groups Stage'!E36</f>
        <v>0</v>
      </c>
      <c r="C35" s="394">
        <f>+'Groups Stage'!F36</f>
        <v>0</v>
      </c>
      <c r="D35" s="396">
        <f>+'Groups Stage'!G36</f>
        <v>0</v>
      </c>
      <c r="E35" s="396">
        <f>+'Groups Stage'!H36</f>
        <v>0</v>
      </c>
      <c r="F35" s="392"/>
      <c r="H35" s="383"/>
      <c r="I35" s="388" t="str">
        <f t="shared" si="0"/>
        <v/>
      </c>
      <c r="J35" s="388">
        <f t="shared" si="1"/>
        <v>0</v>
      </c>
      <c r="K35" s="388">
        <f t="shared" si="2"/>
        <v>0</v>
      </c>
      <c r="L35" s="388" t="str">
        <f t="shared" si="3"/>
        <v/>
      </c>
    </row>
    <row r="36" spans="1:12" ht="14.25" customHeight="1" x14ac:dyDescent="0.25">
      <c r="A36" s="397">
        <f>+'Groups Stage'!A37</f>
        <v>0</v>
      </c>
      <c r="B36" s="398">
        <f>+'Groups Stage'!E37</f>
        <v>0</v>
      </c>
      <c r="C36" s="397">
        <f>+'Groups Stage'!F37</f>
        <v>0</v>
      </c>
      <c r="D36" s="399">
        <f>+'Groups Stage'!G37</f>
        <v>0</v>
      </c>
      <c r="E36" s="399">
        <f>+'Groups Stage'!H37</f>
        <v>0</v>
      </c>
      <c r="F36" s="392"/>
      <c r="H36" s="383"/>
      <c r="I36" s="393" t="str">
        <f t="shared" si="0"/>
        <v/>
      </c>
      <c r="J36" s="393">
        <f t="shared" si="1"/>
        <v>0</v>
      </c>
      <c r="K36" s="393">
        <f t="shared" si="2"/>
        <v>0</v>
      </c>
      <c r="L36" s="393" t="str">
        <f t="shared" si="3"/>
        <v/>
      </c>
    </row>
    <row r="37" spans="1:12" ht="14.25" customHeight="1" x14ac:dyDescent="0.25">
      <c r="A37" s="397" t="str">
        <f>+'Groups Stage'!A38</f>
        <v>Partido</v>
      </c>
      <c r="B37" s="398" t="str">
        <f>+'Groups Stage'!E38</f>
        <v>Grupo E</v>
      </c>
      <c r="C37" s="397">
        <f>+'Groups Stage'!F38</f>
        <v>0</v>
      </c>
      <c r="D37" s="399">
        <f>+'Groups Stage'!G38</f>
        <v>0</v>
      </c>
      <c r="E37" s="399">
        <f>+'Groups Stage'!H38</f>
        <v>0</v>
      </c>
      <c r="F37" s="392"/>
      <c r="H37" s="383"/>
      <c r="I37" s="393" t="str">
        <f t="shared" si="0"/>
        <v/>
      </c>
      <c r="J37" s="393" t="str">
        <f t="shared" si="1"/>
        <v>Grupo E</v>
      </c>
      <c r="K37" s="393">
        <f t="shared" si="2"/>
        <v>0</v>
      </c>
      <c r="L37" s="393" t="str">
        <f t="shared" si="3"/>
        <v/>
      </c>
    </row>
    <row r="38" spans="1:12" ht="14.25" customHeight="1" x14ac:dyDescent="0.25">
      <c r="A38" s="385" t="str">
        <f>+'Groups Stage'!A39</f>
        <v>GE1</v>
      </c>
      <c r="B38" s="386" t="str">
        <f>+'Groups Stage'!E39</f>
        <v>Alemania</v>
      </c>
      <c r="C38" s="385">
        <f>+'Groups Stage'!F39</f>
        <v>3</v>
      </c>
      <c r="D38" s="387">
        <f>+'Groups Stage'!G39</f>
        <v>0</v>
      </c>
      <c r="E38" s="387" t="str">
        <f>+'Groups Stage'!H39</f>
        <v>Curazao</v>
      </c>
      <c r="F38" s="392"/>
      <c r="H38" s="383"/>
      <c r="I38" s="388" t="str">
        <f t="shared" si="0"/>
        <v>Alemania</v>
      </c>
      <c r="J38" s="388" t="str">
        <f t="shared" si="1"/>
        <v/>
      </c>
      <c r="K38" s="388" t="str">
        <f t="shared" si="2"/>
        <v/>
      </c>
      <c r="L38" s="388" t="str">
        <f t="shared" si="3"/>
        <v>Curazao</v>
      </c>
    </row>
    <row r="39" spans="1:12" ht="14.25" customHeight="1" x14ac:dyDescent="0.25">
      <c r="A39" s="379" t="str">
        <f>+'Groups Stage'!A40</f>
        <v>GE2</v>
      </c>
      <c r="B39" s="380" t="str">
        <f>+'Groups Stage'!E40</f>
        <v>Costa de Marfil</v>
      </c>
      <c r="C39" s="379">
        <f>+'Groups Stage'!F40</f>
        <v>0</v>
      </c>
      <c r="D39" s="378">
        <f>+'Groups Stage'!G40</f>
        <v>2</v>
      </c>
      <c r="E39" s="378" t="str">
        <f>+'Groups Stage'!H40</f>
        <v>Ecuador</v>
      </c>
      <c r="F39" s="392"/>
      <c r="H39" s="383"/>
      <c r="I39" s="384" t="str">
        <f t="shared" si="0"/>
        <v>Ecuador</v>
      </c>
      <c r="J39" s="384" t="str">
        <f t="shared" si="1"/>
        <v/>
      </c>
      <c r="K39" s="384" t="str">
        <f t="shared" si="2"/>
        <v/>
      </c>
      <c r="L39" s="384" t="str">
        <f t="shared" si="3"/>
        <v>Costa de Marfil</v>
      </c>
    </row>
    <row r="40" spans="1:12" ht="14.25" customHeight="1" x14ac:dyDescent="0.25">
      <c r="A40" s="379" t="str">
        <f>+'Groups Stage'!A41</f>
        <v>GE3</v>
      </c>
      <c r="B40" s="380" t="str">
        <f>+'Groups Stage'!E41</f>
        <v>Alemania</v>
      </c>
      <c r="C40" s="379">
        <f>+'Groups Stage'!F41</f>
        <v>2</v>
      </c>
      <c r="D40" s="378">
        <f>+'Groups Stage'!G41</f>
        <v>0</v>
      </c>
      <c r="E40" s="378" t="str">
        <f>+'Groups Stage'!H41</f>
        <v>Costa de Marfil</v>
      </c>
      <c r="F40" s="392"/>
      <c r="H40" s="383"/>
      <c r="I40" s="384" t="str">
        <f t="shared" si="0"/>
        <v>Alemania</v>
      </c>
      <c r="J40" s="384" t="str">
        <f t="shared" si="1"/>
        <v/>
      </c>
      <c r="K40" s="384" t="str">
        <f t="shared" si="2"/>
        <v/>
      </c>
      <c r="L40" s="384" t="str">
        <f t="shared" si="3"/>
        <v>Costa de Marfil</v>
      </c>
    </row>
    <row r="41" spans="1:12" ht="14.25" customHeight="1" x14ac:dyDescent="0.25">
      <c r="A41" s="379" t="str">
        <f>+'Groups Stage'!A42</f>
        <v>GE4</v>
      </c>
      <c r="B41" s="380" t="str">
        <f>+'Groups Stage'!E42</f>
        <v>Ecuador</v>
      </c>
      <c r="C41" s="379">
        <f>+'Groups Stage'!F42</f>
        <v>2</v>
      </c>
      <c r="D41" s="378">
        <f>+'Groups Stage'!G42</f>
        <v>0</v>
      </c>
      <c r="E41" s="378" t="str">
        <f>+'Groups Stage'!H42</f>
        <v>Curazao</v>
      </c>
      <c r="F41" s="392"/>
      <c r="H41" s="383"/>
      <c r="I41" s="384" t="str">
        <f t="shared" si="0"/>
        <v>Ecuador</v>
      </c>
      <c r="J41" s="384" t="str">
        <f t="shared" si="1"/>
        <v/>
      </c>
      <c r="K41" s="384" t="str">
        <f t="shared" si="2"/>
        <v/>
      </c>
      <c r="L41" s="384" t="str">
        <f t="shared" si="3"/>
        <v>Curazao</v>
      </c>
    </row>
    <row r="42" spans="1:12" ht="14.25" customHeight="1" x14ac:dyDescent="0.25">
      <c r="A42" s="379" t="str">
        <f>+'Groups Stage'!A43</f>
        <v>GE5</v>
      </c>
      <c r="B42" s="380" t="str">
        <f>+'Groups Stage'!E43</f>
        <v>Ecuador</v>
      </c>
      <c r="C42" s="379">
        <f>+'Groups Stage'!F43</f>
        <v>0</v>
      </c>
      <c r="D42" s="378">
        <f>+'Groups Stage'!G43</f>
        <v>2</v>
      </c>
      <c r="E42" s="378" t="str">
        <f>+'Groups Stage'!H43</f>
        <v>Alemania</v>
      </c>
      <c r="F42" s="392"/>
      <c r="H42" s="383"/>
      <c r="I42" s="384" t="str">
        <f t="shared" si="0"/>
        <v>Alemania</v>
      </c>
      <c r="J42" s="384" t="str">
        <f t="shared" si="1"/>
        <v/>
      </c>
      <c r="K42" s="384" t="str">
        <f t="shared" si="2"/>
        <v/>
      </c>
      <c r="L42" s="384" t="str">
        <f t="shared" si="3"/>
        <v>Ecuador</v>
      </c>
    </row>
    <row r="43" spans="1:12" ht="14.25" customHeight="1" x14ac:dyDescent="0.25">
      <c r="A43" s="389" t="str">
        <f>+'Groups Stage'!A44</f>
        <v>GE6</v>
      </c>
      <c r="B43" s="390" t="str">
        <f>+'Groups Stage'!E44</f>
        <v>Curazao</v>
      </c>
      <c r="C43" s="389">
        <f>+'Groups Stage'!F44</f>
        <v>0</v>
      </c>
      <c r="D43" s="391">
        <f>+'Groups Stage'!G44</f>
        <v>1</v>
      </c>
      <c r="E43" s="391" t="str">
        <f>+'Groups Stage'!H44</f>
        <v>Costa de Marfil</v>
      </c>
      <c r="F43" s="392"/>
      <c r="H43" s="383"/>
      <c r="I43" s="393" t="str">
        <f t="shared" si="0"/>
        <v>Costa de Marfil</v>
      </c>
      <c r="J43" s="393" t="str">
        <f t="shared" si="1"/>
        <v/>
      </c>
      <c r="K43" s="393" t="str">
        <f t="shared" si="2"/>
        <v/>
      </c>
      <c r="L43" s="393" t="str">
        <f t="shared" si="3"/>
        <v>Curazao</v>
      </c>
    </row>
    <row r="44" spans="1:12" ht="14.25" customHeight="1" x14ac:dyDescent="0.25">
      <c r="A44" s="394">
        <f>+'Groups Stage'!A45</f>
        <v>0</v>
      </c>
      <c r="B44" s="395">
        <f>+'Groups Stage'!E45</f>
        <v>0</v>
      </c>
      <c r="C44" s="394">
        <f>+'Groups Stage'!F45</f>
        <v>0</v>
      </c>
      <c r="D44" s="396">
        <f>+'Groups Stage'!G45</f>
        <v>0</v>
      </c>
      <c r="E44" s="396">
        <f>+'Groups Stage'!H45</f>
        <v>0</v>
      </c>
      <c r="F44" s="392"/>
      <c r="H44" s="383"/>
      <c r="I44" s="388" t="str">
        <f t="shared" si="0"/>
        <v/>
      </c>
      <c r="J44" s="388">
        <f t="shared" si="1"/>
        <v>0</v>
      </c>
      <c r="K44" s="388">
        <f t="shared" si="2"/>
        <v>0</v>
      </c>
      <c r="L44" s="388" t="str">
        <f t="shared" si="3"/>
        <v/>
      </c>
    </row>
    <row r="45" spans="1:12" ht="14.25" customHeight="1" x14ac:dyDescent="0.25">
      <c r="A45" s="397">
        <f>+'Groups Stage'!A46</f>
        <v>0</v>
      </c>
      <c r="B45" s="398">
        <f>+'Groups Stage'!E46</f>
        <v>0</v>
      </c>
      <c r="C45" s="397">
        <f>+'Groups Stage'!F46</f>
        <v>0</v>
      </c>
      <c r="D45" s="399">
        <f>+'Groups Stage'!G46</f>
        <v>0</v>
      </c>
      <c r="E45" s="399">
        <f>+'Groups Stage'!H46</f>
        <v>0</v>
      </c>
      <c r="F45" s="392"/>
      <c r="H45" s="383"/>
      <c r="I45" s="393" t="str">
        <f t="shared" si="0"/>
        <v/>
      </c>
      <c r="J45" s="393">
        <f t="shared" si="1"/>
        <v>0</v>
      </c>
      <c r="K45" s="393">
        <f t="shared" si="2"/>
        <v>0</v>
      </c>
      <c r="L45" s="393" t="str">
        <f t="shared" si="3"/>
        <v/>
      </c>
    </row>
    <row r="46" spans="1:12" ht="14.25" customHeight="1" x14ac:dyDescent="0.25">
      <c r="A46" s="397" t="str">
        <f>+'Groups Stage'!A47</f>
        <v>Partido</v>
      </c>
      <c r="B46" s="398" t="str">
        <f>+'Groups Stage'!E47</f>
        <v>Grupo F</v>
      </c>
      <c r="C46" s="397">
        <f>+'Groups Stage'!F47</f>
        <v>0</v>
      </c>
      <c r="D46" s="399">
        <f>+'Groups Stage'!G47</f>
        <v>0</v>
      </c>
      <c r="E46" s="399">
        <f>+'Groups Stage'!H47</f>
        <v>0</v>
      </c>
      <c r="F46" s="392"/>
      <c r="H46" s="383"/>
      <c r="I46" s="393" t="str">
        <f t="shared" si="0"/>
        <v/>
      </c>
      <c r="J46" s="393" t="str">
        <f t="shared" si="1"/>
        <v>Grupo F</v>
      </c>
      <c r="K46" s="393">
        <f t="shared" si="2"/>
        <v>0</v>
      </c>
      <c r="L46" s="393" t="str">
        <f t="shared" si="3"/>
        <v/>
      </c>
    </row>
    <row r="47" spans="1:12" ht="14.25" customHeight="1" x14ac:dyDescent="0.25">
      <c r="A47" s="385" t="str">
        <f>+'Groups Stage'!A48</f>
        <v>GF1</v>
      </c>
      <c r="B47" s="386" t="str">
        <f>+'Groups Stage'!E48</f>
        <v>Paises Bajos</v>
      </c>
      <c r="C47" s="385">
        <f>+'Groups Stage'!F48</f>
        <v>2</v>
      </c>
      <c r="D47" s="387">
        <f>+'Groups Stage'!G48</f>
        <v>2</v>
      </c>
      <c r="E47" s="387" t="str">
        <f>+'Groups Stage'!H48</f>
        <v>Japon</v>
      </c>
      <c r="F47" s="392"/>
      <c r="H47" s="383"/>
      <c r="I47" s="388" t="str">
        <f t="shared" si="0"/>
        <v/>
      </c>
      <c r="J47" s="388" t="str">
        <f t="shared" si="1"/>
        <v>Paises Bajos</v>
      </c>
      <c r="K47" s="388" t="str">
        <f t="shared" si="2"/>
        <v>Japon</v>
      </c>
      <c r="L47" s="388" t="str">
        <f t="shared" si="3"/>
        <v/>
      </c>
    </row>
    <row r="48" spans="1:12" ht="14.25" customHeight="1" x14ac:dyDescent="0.25">
      <c r="A48" s="379" t="str">
        <f>+'Groups Stage'!A49</f>
        <v>GF2</v>
      </c>
      <c r="B48" s="380" t="str">
        <f>+'Groups Stage'!E49</f>
        <v>Suecia</v>
      </c>
      <c r="C48" s="379">
        <f>+'Groups Stage'!F49</f>
        <v>3</v>
      </c>
      <c r="D48" s="378">
        <f>+'Groups Stage'!G49</f>
        <v>1</v>
      </c>
      <c r="E48" s="378" t="str">
        <f>+'Groups Stage'!H49</f>
        <v>Tunez</v>
      </c>
      <c r="F48" s="392"/>
      <c r="H48" s="383"/>
      <c r="I48" s="384" t="str">
        <f t="shared" si="0"/>
        <v>Suecia</v>
      </c>
      <c r="J48" s="384" t="str">
        <f t="shared" si="1"/>
        <v/>
      </c>
      <c r="K48" s="384" t="str">
        <f t="shared" si="2"/>
        <v/>
      </c>
      <c r="L48" s="384" t="str">
        <f t="shared" si="3"/>
        <v>Tunez</v>
      </c>
    </row>
    <row r="49" spans="1:12" ht="14.25" customHeight="1" x14ac:dyDescent="0.25">
      <c r="A49" s="379" t="str">
        <f>+'Groups Stage'!A50</f>
        <v>GF3</v>
      </c>
      <c r="B49" s="380" t="str">
        <f>+'Groups Stage'!E50</f>
        <v>Paises Bajos</v>
      </c>
      <c r="C49" s="379">
        <f>+'Groups Stage'!F50</f>
        <v>2</v>
      </c>
      <c r="D49" s="378">
        <f>+'Groups Stage'!G50</f>
        <v>0</v>
      </c>
      <c r="E49" s="378" t="str">
        <f>+'Groups Stage'!H50</f>
        <v>Suecia</v>
      </c>
      <c r="F49" s="392"/>
      <c r="H49" s="383"/>
      <c r="I49" s="384" t="str">
        <f t="shared" si="0"/>
        <v>Paises Bajos</v>
      </c>
      <c r="J49" s="384" t="str">
        <f t="shared" si="1"/>
        <v/>
      </c>
      <c r="K49" s="384" t="str">
        <f t="shared" si="2"/>
        <v/>
      </c>
      <c r="L49" s="384" t="str">
        <f t="shared" si="3"/>
        <v>Suecia</v>
      </c>
    </row>
    <row r="50" spans="1:12" ht="14.25" customHeight="1" x14ac:dyDescent="0.25">
      <c r="A50" s="379" t="str">
        <f>+'Groups Stage'!A51</f>
        <v>GF4</v>
      </c>
      <c r="B50" s="380" t="str">
        <f>+'Groups Stage'!E51</f>
        <v>Tunez</v>
      </c>
      <c r="C50" s="379">
        <f>+'Groups Stage'!F51</f>
        <v>0</v>
      </c>
      <c r="D50" s="378">
        <f>+'Groups Stage'!G51</f>
        <v>2</v>
      </c>
      <c r="E50" s="378" t="str">
        <f>+'Groups Stage'!H51</f>
        <v>Japon</v>
      </c>
      <c r="F50" s="392"/>
      <c r="H50" s="383"/>
      <c r="I50" s="384" t="str">
        <f t="shared" si="0"/>
        <v>Japon</v>
      </c>
      <c r="J50" s="384" t="str">
        <f t="shared" si="1"/>
        <v/>
      </c>
      <c r="K50" s="384" t="str">
        <f t="shared" si="2"/>
        <v/>
      </c>
      <c r="L50" s="384" t="str">
        <f t="shared" si="3"/>
        <v>Tunez</v>
      </c>
    </row>
    <row r="51" spans="1:12" ht="14.25" customHeight="1" x14ac:dyDescent="0.25">
      <c r="A51" s="379" t="str">
        <f>+'Groups Stage'!A52</f>
        <v>GF5</v>
      </c>
      <c r="B51" s="380" t="str">
        <f>+'Groups Stage'!E52</f>
        <v>Japon</v>
      </c>
      <c r="C51" s="379">
        <f>+'Groups Stage'!F52</f>
        <v>1</v>
      </c>
      <c r="D51" s="378">
        <f>+'Groups Stage'!G52</f>
        <v>0</v>
      </c>
      <c r="E51" s="378" t="str">
        <f>+'Groups Stage'!H52</f>
        <v>Suecia</v>
      </c>
      <c r="F51" s="392"/>
      <c r="H51" s="383"/>
      <c r="I51" s="384" t="str">
        <f t="shared" si="0"/>
        <v>Japon</v>
      </c>
      <c r="J51" s="384" t="str">
        <f t="shared" si="1"/>
        <v/>
      </c>
      <c r="K51" s="384" t="str">
        <f t="shared" si="2"/>
        <v/>
      </c>
      <c r="L51" s="384" t="str">
        <f t="shared" si="3"/>
        <v>Suecia</v>
      </c>
    </row>
    <row r="52" spans="1:12" ht="14.25" customHeight="1" x14ac:dyDescent="0.25">
      <c r="A52" s="389" t="str">
        <f>+'Groups Stage'!A53</f>
        <v>GF6</v>
      </c>
      <c r="B52" s="390" t="str">
        <f>+'Groups Stage'!E53</f>
        <v>Tunez</v>
      </c>
      <c r="C52" s="389">
        <f>+'Groups Stage'!F53</f>
        <v>0</v>
      </c>
      <c r="D52" s="391">
        <f>+'Groups Stage'!G53</f>
        <v>2</v>
      </c>
      <c r="E52" s="391" t="str">
        <f>+'Groups Stage'!H53</f>
        <v>Paises Bajos</v>
      </c>
      <c r="F52" s="392"/>
      <c r="H52" s="383"/>
      <c r="I52" s="393" t="str">
        <f t="shared" si="0"/>
        <v>Paises Bajos</v>
      </c>
      <c r="J52" s="393" t="str">
        <f t="shared" si="1"/>
        <v/>
      </c>
      <c r="K52" s="393" t="str">
        <f t="shared" si="2"/>
        <v/>
      </c>
      <c r="L52" s="393" t="str">
        <f t="shared" si="3"/>
        <v>Tunez</v>
      </c>
    </row>
    <row r="53" spans="1:12" ht="14.25" customHeight="1" x14ac:dyDescent="0.25">
      <c r="A53" s="394">
        <f>+'Groups Stage'!A54</f>
        <v>0</v>
      </c>
      <c r="B53" s="395">
        <f>+'Groups Stage'!E54</f>
        <v>0</v>
      </c>
      <c r="C53" s="394">
        <f>+'Groups Stage'!F54</f>
        <v>0</v>
      </c>
      <c r="D53" s="396">
        <f>+'Groups Stage'!G54</f>
        <v>0</v>
      </c>
      <c r="E53" s="396">
        <f>+'Groups Stage'!H54</f>
        <v>0</v>
      </c>
      <c r="F53" s="392"/>
      <c r="H53" s="383"/>
      <c r="I53" s="388" t="str">
        <f t="shared" si="0"/>
        <v/>
      </c>
      <c r="J53" s="388">
        <f t="shared" si="1"/>
        <v>0</v>
      </c>
      <c r="K53" s="388">
        <f t="shared" si="2"/>
        <v>0</v>
      </c>
      <c r="L53" s="388" t="str">
        <f t="shared" si="3"/>
        <v/>
      </c>
    </row>
    <row r="54" spans="1:12" ht="14.25" customHeight="1" x14ac:dyDescent="0.25">
      <c r="A54" s="397">
        <f>+'Groups Stage'!A55</f>
        <v>0</v>
      </c>
      <c r="B54" s="398">
        <f>+'Groups Stage'!E55</f>
        <v>0</v>
      </c>
      <c r="C54" s="397">
        <f>+'Groups Stage'!F55</f>
        <v>0</v>
      </c>
      <c r="D54" s="399">
        <f>+'Groups Stage'!G55</f>
        <v>0</v>
      </c>
      <c r="E54" s="399">
        <f>+'Groups Stage'!H55</f>
        <v>0</v>
      </c>
      <c r="F54" s="392"/>
      <c r="H54" s="383"/>
      <c r="I54" s="393" t="str">
        <f t="shared" si="0"/>
        <v/>
      </c>
      <c r="J54" s="393">
        <f t="shared" si="1"/>
        <v>0</v>
      </c>
      <c r="K54" s="393">
        <f t="shared" si="2"/>
        <v>0</v>
      </c>
      <c r="L54" s="393" t="str">
        <f t="shared" si="3"/>
        <v/>
      </c>
    </row>
    <row r="55" spans="1:12" ht="14.25" customHeight="1" x14ac:dyDescent="0.25">
      <c r="A55" s="397" t="str">
        <f>+'Groups Stage'!A56</f>
        <v>Partido</v>
      </c>
      <c r="B55" s="398" t="str">
        <f>+'Groups Stage'!E56</f>
        <v>Grupo G</v>
      </c>
      <c r="C55" s="397">
        <f>+'Groups Stage'!F56</f>
        <v>0</v>
      </c>
      <c r="D55" s="399">
        <f>+'Groups Stage'!G56</f>
        <v>0</v>
      </c>
      <c r="E55" s="399">
        <f>+'Groups Stage'!H56</f>
        <v>0</v>
      </c>
      <c r="F55" s="392"/>
      <c r="H55" s="383"/>
      <c r="I55" s="393" t="str">
        <f t="shared" si="0"/>
        <v/>
      </c>
      <c r="J55" s="393" t="str">
        <f t="shared" si="1"/>
        <v>Grupo G</v>
      </c>
      <c r="K55" s="393">
        <f t="shared" si="2"/>
        <v>0</v>
      </c>
      <c r="L55" s="393" t="str">
        <f t="shared" si="3"/>
        <v/>
      </c>
    </row>
    <row r="56" spans="1:12" ht="14.25" customHeight="1" x14ac:dyDescent="0.25">
      <c r="A56" s="385" t="str">
        <f>+'Groups Stage'!A57</f>
        <v>GG1</v>
      </c>
      <c r="B56" s="386" t="str">
        <f>+'Groups Stage'!E57</f>
        <v>Iran</v>
      </c>
      <c r="C56" s="385">
        <f>+'Groups Stage'!F57</f>
        <v>1</v>
      </c>
      <c r="D56" s="387">
        <f>+'Groups Stage'!G57</f>
        <v>0</v>
      </c>
      <c r="E56" s="387" t="str">
        <f>+'Groups Stage'!H57</f>
        <v>Nueva Zelanda</v>
      </c>
      <c r="F56" s="392"/>
      <c r="H56" s="383"/>
      <c r="I56" s="388" t="str">
        <f t="shared" si="0"/>
        <v>Iran</v>
      </c>
      <c r="J56" s="388" t="str">
        <f t="shared" si="1"/>
        <v/>
      </c>
      <c r="K56" s="388" t="str">
        <f t="shared" si="2"/>
        <v/>
      </c>
      <c r="L56" s="388" t="str">
        <f t="shared" si="3"/>
        <v>Nueva Zelanda</v>
      </c>
    </row>
    <row r="57" spans="1:12" ht="14.25" customHeight="1" x14ac:dyDescent="0.25">
      <c r="A57" s="379" t="str">
        <f>+'Groups Stage'!A58</f>
        <v>GG2</v>
      </c>
      <c r="B57" s="380" t="str">
        <f>+'Groups Stage'!E58</f>
        <v>Belgica</v>
      </c>
      <c r="C57" s="379">
        <f>+'Groups Stage'!F58</f>
        <v>3</v>
      </c>
      <c r="D57" s="378">
        <f>+'Groups Stage'!G58</f>
        <v>0</v>
      </c>
      <c r="E57" s="378" t="str">
        <f>+'Groups Stage'!H58</f>
        <v>Egipto</v>
      </c>
      <c r="F57" s="392"/>
      <c r="H57" s="383"/>
      <c r="I57" s="384" t="str">
        <f t="shared" si="0"/>
        <v>Belgica</v>
      </c>
      <c r="J57" s="384" t="str">
        <f t="shared" si="1"/>
        <v/>
      </c>
      <c r="K57" s="384" t="str">
        <f t="shared" si="2"/>
        <v/>
      </c>
      <c r="L57" s="384" t="str">
        <f t="shared" si="3"/>
        <v>Egipto</v>
      </c>
    </row>
    <row r="58" spans="1:12" ht="14.25" customHeight="1" x14ac:dyDescent="0.25">
      <c r="A58" s="379" t="str">
        <f>+'Groups Stage'!A59</f>
        <v>GG3</v>
      </c>
      <c r="B58" s="380" t="str">
        <f>+'Groups Stage'!E59</f>
        <v>Belgica</v>
      </c>
      <c r="C58" s="379">
        <f>+'Groups Stage'!F59</f>
        <v>2</v>
      </c>
      <c r="D58" s="378">
        <f>+'Groups Stage'!G59</f>
        <v>1</v>
      </c>
      <c r="E58" s="378" t="str">
        <f>+'Groups Stage'!H59</f>
        <v>Iran</v>
      </c>
      <c r="F58" s="392"/>
      <c r="H58" s="383"/>
      <c r="I58" s="384" t="str">
        <f t="shared" si="0"/>
        <v>Belgica</v>
      </c>
      <c r="J58" s="384" t="str">
        <f t="shared" si="1"/>
        <v/>
      </c>
      <c r="K58" s="384" t="str">
        <f t="shared" si="2"/>
        <v/>
      </c>
      <c r="L58" s="384" t="str">
        <f t="shared" si="3"/>
        <v>Iran</v>
      </c>
    </row>
    <row r="59" spans="1:12" ht="14.25" customHeight="1" x14ac:dyDescent="0.25">
      <c r="A59" s="379" t="str">
        <f>+'Groups Stage'!A60</f>
        <v>GG4</v>
      </c>
      <c r="B59" s="380" t="str">
        <f>+'Groups Stage'!E60</f>
        <v>Nueva Zelanda</v>
      </c>
      <c r="C59" s="379">
        <f>+'Groups Stage'!F60</f>
        <v>1</v>
      </c>
      <c r="D59" s="378">
        <f>+'Groups Stage'!G60</f>
        <v>0</v>
      </c>
      <c r="E59" s="378" t="str">
        <f>+'Groups Stage'!H60</f>
        <v>Egipto</v>
      </c>
      <c r="F59" s="392"/>
      <c r="H59" s="383"/>
      <c r="I59" s="384" t="str">
        <f t="shared" si="0"/>
        <v>Nueva Zelanda</v>
      </c>
      <c r="J59" s="384" t="str">
        <f t="shared" si="1"/>
        <v/>
      </c>
      <c r="K59" s="384" t="str">
        <f t="shared" si="2"/>
        <v/>
      </c>
      <c r="L59" s="384" t="str">
        <f t="shared" si="3"/>
        <v>Egipto</v>
      </c>
    </row>
    <row r="60" spans="1:12" ht="14.25" customHeight="1" x14ac:dyDescent="0.25">
      <c r="A60" s="379" t="str">
        <f>+'Groups Stage'!A61</f>
        <v>GG5</v>
      </c>
      <c r="B60" s="380" t="str">
        <f>+'Groups Stage'!E61</f>
        <v>Nueva Zelanda</v>
      </c>
      <c r="C60" s="379">
        <f>+'Groups Stage'!F61</f>
        <v>0</v>
      </c>
      <c r="D60" s="378">
        <f>+'Groups Stage'!G61</f>
        <v>2</v>
      </c>
      <c r="E60" s="378" t="str">
        <f>+'Groups Stage'!H61</f>
        <v>Belgica</v>
      </c>
      <c r="F60" s="392"/>
      <c r="H60" s="383"/>
      <c r="I60" s="384" t="str">
        <f t="shared" si="0"/>
        <v>Belgica</v>
      </c>
      <c r="J60" s="384" t="str">
        <f t="shared" si="1"/>
        <v/>
      </c>
      <c r="K60" s="384" t="str">
        <f t="shared" si="2"/>
        <v/>
      </c>
      <c r="L60" s="384" t="str">
        <f t="shared" si="3"/>
        <v>Nueva Zelanda</v>
      </c>
    </row>
    <row r="61" spans="1:12" ht="14.25" customHeight="1" x14ac:dyDescent="0.25">
      <c r="A61" s="389" t="str">
        <f>+'Groups Stage'!A62</f>
        <v>GG6</v>
      </c>
      <c r="B61" s="390" t="str">
        <f>+'Groups Stage'!E62</f>
        <v>Egipto</v>
      </c>
      <c r="C61" s="389">
        <f>+'Groups Stage'!F62</f>
        <v>0</v>
      </c>
      <c r="D61" s="391">
        <f>+'Groups Stage'!G62</f>
        <v>2</v>
      </c>
      <c r="E61" s="391" t="str">
        <f>+'Groups Stage'!H62</f>
        <v>Iran</v>
      </c>
      <c r="F61" s="392"/>
      <c r="H61" s="383"/>
      <c r="I61" s="393" t="str">
        <f t="shared" si="0"/>
        <v>Iran</v>
      </c>
      <c r="J61" s="393" t="str">
        <f t="shared" si="1"/>
        <v/>
      </c>
      <c r="K61" s="393" t="str">
        <f t="shared" si="2"/>
        <v/>
      </c>
      <c r="L61" s="393" t="str">
        <f t="shared" si="3"/>
        <v>Egipto</v>
      </c>
    </row>
    <row r="62" spans="1:12" ht="14.25" customHeight="1" x14ac:dyDescent="0.25">
      <c r="A62" s="394">
        <f>+'Groups Stage'!A63</f>
        <v>0</v>
      </c>
      <c r="B62" s="395">
        <f>+'Groups Stage'!E63</f>
        <v>0</v>
      </c>
      <c r="C62" s="394">
        <f>+'Groups Stage'!F63</f>
        <v>0</v>
      </c>
      <c r="D62" s="396">
        <f>+'Groups Stage'!G63</f>
        <v>0</v>
      </c>
      <c r="E62" s="396">
        <f>+'Groups Stage'!H63</f>
        <v>0</v>
      </c>
      <c r="F62" s="392"/>
      <c r="H62" s="383"/>
      <c r="I62" s="388" t="str">
        <f t="shared" si="0"/>
        <v/>
      </c>
      <c r="J62" s="388">
        <f t="shared" si="1"/>
        <v>0</v>
      </c>
      <c r="K62" s="388">
        <f t="shared" si="2"/>
        <v>0</v>
      </c>
      <c r="L62" s="388" t="str">
        <f t="shared" si="3"/>
        <v/>
      </c>
    </row>
    <row r="63" spans="1:12" ht="14.25" customHeight="1" x14ac:dyDescent="0.25">
      <c r="A63" s="397">
        <f>+'Groups Stage'!A64</f>
        <v>0</v>
      </c>
      <c r="B63" s="398">
        <f>+'Groups Stage'!E64</f>
        <v>0</v>
      </c>
      <c r="C63" s="397">
        <f>+'Groups Stage'!F64</f>
        <v>0</v>
      </c>
      <c r="D63" s="399">
        <f>+'Groups Stage'!G64</f>
        <v>0</v>
      </c>
      <c r="E63" s="399">
        <f>+'Groups Stage'!H64</f>
        <v>0</v>
      </c>
      <c r="F63" s="392"/>
      <c r="H63" s="383"/>
      <c r="I63" s="393" t="str">
        <f t="shared" si="0"/>
        <v/>
      </c>
      <c r="J63" s="393">
        <f t="shared" si="1"/>
        <v>0</v>
      </c>
      <c r="K63" s="393">
        <f t="shared" si="2"/>
        <v>0</v>
      </c>
      <c r="L63" s="393" t="str">
        <f t="shared" si="3"/>
        <v/>
      </c>
    </row>
    <row r="64" spans="1:12" ht="14.25" customHeight="1" x14ac:dyDescent="0.25">
      <c r="A64" s="397" t="str">
        <f>+'Groups Stage'!A65</f>
        <v>Partido</v>
      </c>
      <c r="B64" s="398" t="str">
        <f>+'Groups Stage'!E65</f>
        <v>Grupo H</v>
      </c>
      <c r="C64" s="397">
        <f>+'Groups Stage'!F65</f>
        <v>0</v>
      </c>
      <c r="D64" s="399">
        <f>+'Groups Stage'!G65</f>
        <v>0</v>
      </c>
      <c r="E64" s="399">
        <f>+'Groups Stage'!H65</f>
        <v>0</v>
      </c>
      <c r="F64" s="392"/>
      <c r="H64" s="383"/>
      <c r="I64" s="393" t="str">
        <f t="shared" si="0"/>
        <v/>
      </c>
      <c r="J64" s="393" t="str">
        <f t="shared" si="1"/>
        <v>Grupo H</v>
      </c>
      <c r="K64" s="393">
        <f t="shared" si="2"/>
        <v>0</v>
      </c>
      <c r="L64" s="393" t="str">
        <f t="shared" si="3"/>
        <v/>
      </c>
    </row>
    <row r="65" spans="1:12" ht="14.25" customHeight="1" x14ac:dyDescent="0.25">
      <c r="A65" s="385" t="str">
        <f>+'Groups Stage'!A66</f>
        <v>GH1</v>
      </c>
      <c r="B65" s="386" t="str">
        <f>+'Groups Stage'!E66</f>
        <v>España</v>
      </c>
      <c r="C65" s="385">
        <f>+'Groups Stage'!F66</f>
        <v>3</v>
      </c>
      <c r="D65" s="387">
        <f>+'Groups Stage'!G66</f>
        <v>0</v>
      </c>
      <c r="E65" s="387" t="str">
        <f>+'Groups Stage'!H66</f>
        <v>Cabo Verde</v>
      </c>
      <c r="F65" s="392"/>
      <c r="H65" s="383"/>
      <c r="I65" s="388" t="str">
        <f t="shared" si="0"/>
        <v>España</v>
      </c>
      <c r="J65" s="388" t="str">
        <f t="shared" si="1"/>
        <v/>
      </c>
      <c r="K65" s="388" t="str">
        <f t="shared" si="2"/>
        <v/>
      </c>
      <c r="L65" s="388" t="str">
        <f t="shared" si="3"/>
        <v>Cabo Verde</v>
      </c>
    </row>
    <row r="66" spans="1:12" ht="14.25" customHeight="1" x14ac:dyDescent="0.25">
      <c r="A66" s="379" t="str">
        <f>+'Groups Stage'!A67</f>
        <v>GH2</v>
      </c>
      <c r="B66" s="380" t="str">
        <f>+'Groups Stage'!E67</f>
        <v>Arabia Saudita</v>
      </c>
      <c r="C66" s="379">
        <f>+'Groups Stage'!F67</f>
        <v>1</v>
      </c>
      <c r="D66" s="378">
        <f>+'Groups Stage'!G67</f>
        <v>2</v>
      </c>
      <c r="E66" s="378" t="str">
        <f>+'Groups Stage'!H67</f>
        <v>Uruguay</v>
      </c>
      <c r="F66" s="392"/>
      <c r="H66" s="383"/>
      <c r="I66" s="384" t="str">
        <f t="shared" si="0"/>
        <v>Uruguay</v>
      </c>
      <c r="J66" s="384" t="str">
        <f t="shared" si="1"/>
        <v/>
      </c>
      <c r="K66" s="384" t="str">
        <f t="shared" si="2"/>
        <v/>
      </c>
      <c r="L66" s="384" t="str">
        <f t="shared" si="3"/>
        <v>Arabia Saudita</v>
      </c>
    </row>
    <row r="67" spans="1:12" ht="14.25" customHeight="1" x14ac:dyDescent="0.25">
      <c r="A67" s="379" t="str">
        <f>+'Groups Stage'!A68</f>
        <v>GH3</v>
      </c>
      <c r="B67" s="380" t="str">
        <f>+'Groups Stage'!E68</f>
        <v>España</v>
      </c>
      <c r="C67" s="379">
        <f>+'Groups Stage'!F68</f>
        <v>2</v>
      </c>
      <c r="D67" s="378">
        <f>+'Groups Stage'!G68</f>
        <v>0</v>
      </c>
      <c r="E67" s="378" t="str">
        <f>+'Groups Stage'!H68</f>
        <v>Arabia Saudita</v>
      </c>
      <c r="F67" s="392"/>
      <c r="H67" s="383"/>
      <c r="I67" s="384" t="str">
        <f t="shared" si="0"/>
        <v>España</v>
      </c>
      <c r="J67" s="384" t="str">
        <f t="shared" si="1"/>
        <v/>
      </c>
      <c r="K67" s="384" t="str">
        <f t="shared" si="2"/>
        <v/>
      </c>
      <c r="L67" s="384" t="str">
        <f t="shared" si="3"/>
        <v>Arabia Saudita</v>
      </c>
    </row>
    <row r="68" spans="1:12" ht="14.25" customHeight="1" x14ac:dyDescent="0.25">
      <c r="A68" s="379" t="str">
        <f>+'Groups Stage'!A69</f>
        <v>GH4</v>
      </c>
      <c r="B68" s="380" t="str">
        <f>+'Groups Stage'!E69</f>
        <v>Uruguay</v>
      </c>
      <c r="C68" s="379">
        <f>+'Groups Stage'!F69</f>
        <v>2</v>
      </c>
      <c r="D68" s="378">
        <f>+'Groups Stage'!G69</f>
        <v>0</v>
      </c>
      <c r="E68" s="378" t="str">
        <f>+'Groups Stage'!H69</f>
        <v>Cabo Verde</v>
      </c>
      <c r="F68" s="392"/>
      <c r="H68" s="383"/>
      <c r="I68" s="384" t="str">
        <f t="shared" si="0"/>
        <v>Uruguay</v>
      </c>
      <c r="J68" s="384" t="str">
        <f t="shared" si="1"/>
        <v/>
      </c>
      <c r="K68" s="384" t="str">
        <f t="shared" si="2"/>
        <v/>
      </c>
      <c r="L68" s="384" t="str">
        <f t="shared" si="3"/>
        <v>Cabo Verde</v>
      </c>
    </row>
    <row r="69" spans="1:12" ht="14.25" customHeight="1" x14ac:dyDescent="0.25">
      <c r="A69" s="379" t="str">
        <f>+'Groups Stage'!A70</f>
        <v>GH5</v>
      </c>
      <c r="B69" s="380" t="str">
        <f>+'Groups Stage'!E70</f>
        <v>Uruguay</v>
      </c>
      <c r="C69" s="379">
        <f>+'Groups Stage'!F70</f>
        <v>0</v>
      </c>
      <c r="D69" s="378">
        <f>+'Groups Stage'!G70</f>
        <v>1</v>
      </c>
      <c r="E69" s="378" t="str">
        <f>+'Groups Stage'!H70</f>
        <v>España</v>
      </c>
      <c r="F69" s="392"/>
      <c r="H69" s="383"/>
      <c r="I69" s="384" t="str">
        <f t="shared" si="0"/>
        <v>España</v>
      </c>
      <c r="J69" s="384" t="str">
        <f t="shared" si="1"/>
        <v/>
      </c>
      <c r="K69" s="384" t="str">
        <f t="shared" si="2"/>
        <v/>
      </c>
      <c r="L69" s="384" t="str">
        <f t="shared" si="3"/>
        <v>Uruguay</v>
      </c>
    </row>
    <row r="70" spans="1:12" ht="14.25" customHeight="1" x14ac:dyDescent="0.25">
      <c r="A70" s="389" t="str">
        <f>+'Groups Stage'!A71</f>
        <v>GH6</v>
      </c>
      <c r="B70" s="390" t="str">
        <f>+'Groups Stage'!E71</f>
        <v>Cabo Verde</v>
      </c>
      <c r="C70" s="389">
        <f>+'Groups Stage'!F71</f>
        <v>0</v>
      </c>
      <c r="D70" s="391">
        <f>+'Groups Stage'!G71</f>
        <v>1</v>
      </c>
      <c r="E70" s="391" t="str">
        <f>+'Groups Stage'!H71</f>
        <v>Arabia Saudita</v>
      </c>
      <c r="F70" s="392"/>
      <c r="H70" s="383"/>
      <c r="I70" s="393" t="str">
        <f t="shared" si="0"/>
        <v>Arabia Saudita</v>
      </c>
      <c r="J70" s="393" t="str">
        <f t="shared" si="1"/>
        <v/>
      </c>
      <c r="K70" s="393" t="str">
        <f t="shared" si="2"/>
        <v/>
      </c>
      <c r="L70" s="393" t="str">
        <f t="shared" si="3"/>
        <v>Cabo Verde</v>
      </c>
    </row>
    <row r="71" spans="1:12" ht="14.25" customHeight="1" x14ac:dyDescent="0.25">
      <c r="A71" s="394">
        <f>+'Groups Stage'!A72</f>
        <v>0</v>
      </c>
      <c r="B71" s="395">
        <f>+'Groups Stage'!E72</f>
        <v>0</v>
      </c>
      <c r="C71" s="394">
        <f>+'Groups Stage'!F72</f>
        <v>0</v>
      </c>
      <c r="D71" s="396">
        <f>+'Groups Stage'!G72</f>
        <v>0</v>
      </c>
      <c r="E71" s="396">
        <f>+'Groups Stage'!H72</f>
        <v>0</v>
      </c>
      <c r="F71" s="392"/>
      <c r="H71" s="383"/>
      <c r="I71" s="388" t="str">
        <f t="shared" si="0"/>
        <v/>
      </c>
      <c r="J71" s="388">
        <f t="shared" si="1"/>
        <v>0</v>
      </c>
      <c r="K71" s="388">
        <f t="shared" si="2"/>
        <v>0</v>
      </c>
      <c r="L71" s="388" t="str">
        <f t="shared" si="3"/>
        <v/>
      </c>
    </row>
    <row r="72" spans="1:12" ht="14.25" customHeight="1" x14ac:dyDescent="0.25">
      <c r="A72" s="397">
        <f>+'Groups Stage'!A73</f>
        <v>0</v>
      </c>
      <c r="B72" s="398">
        <f>+'Groups Stage'!E73</f>
        <v>0</v>
      </c>
      <c r="C72" s="397">
        <f>+'Groups Stage'!F73</f>
        <v>0</v>
      </c>
      <c r="D72" s="399">
        <f>+'Groups Stage'!G73</f>
        <v>0</v>
      </c>
      <c r="E72" s="399">
        <f>+'Groups Stage'!H73</f>
        <v>0</v>
      </c>
      <c r="F72" s="392"/>
      <c r="H72" s="383"/>
      <c r="I72" s="393" t="str">
        <f t="shared" si="0"/>
        <v/>
      </c>
      <c r="J72" s="393">
        <f t="shared" si="1"/>
        <v>0</v>
      </c>
      <c r="K72" s="393">
        <f t="shared" si="2"/>
        <v>0</v>
      </c>
      <c r="L72" s="393" t="str">
        <f t="shared" si="3"/>
        <v/>
      </c>
    </row>
    <row r="73" spans="1:12" ht="14.25" customHeight="1" x14ac:dyDescent="0.25">
      <c r="A73" s="397" t="str">
        <f>+'Groups Stage'!A74</f>
        <v>Partido</v>
      </c>
      <c r="B73" s="398" t="str">
        <f>+'Groups Stage'!E74</f>
        <v>Grupo I</v>
      </c>
      <c r="C73" s="397">
        <f>+'Groups Stage'!F74</f>
        <v>0</v>
      </c>
      <c r="D73" s="399">
        <f>+'Groups Stage'!G74</f>
        <v>0</v>
      </c>
      <c r="E73" s="399">
        <f>+'Groups Stage'!H74</f>
        <v>0</v>
      </c>
      <c r="F73" s="392"/>
      <c r="H73" s="383"/>
      <c r="I73" s="393" t="str">
        <f t="shared" si="0"/>
        <v/>
      </c>
      <c r="J73" s="393" t="str">
        <f t="shared" si="1"/>
        <v>Grupo I</v>
      </c>
      <c r="K73" s="393">
        <f t="shared" si="2"/>
        <v>0</v>
      </c>
      <c r="L73" s="393" t="str">
        <f t="shared" si="3"/>
        <v/>
      </c>
    </row>
    <row r="74" spans="1:12" ht="14.25" customHeight="1" x14ac:dyDescent="0.25">
      <c r="A74" s="385" t="str">
        <f>+'Groups Stage'!A75</f>
        <v>GI1</v>
      </c>
      <c r="B74" s="386" t="str">
        <f>+'Groups Stage'!E75</f>
        <v>Francia</v>
      </c>
      <c r="C74" s="385">
        <f>+'Groups Stage'!F75</f>
        <v>2</v>
      </c>
      <c r="D74" s="387">
        <f>+'Groups Stage'!G75</f>
        <v>0</v>
      </c>
      <c r="E74" s="387" t="str">
        <f>+'Groups Stage'!H75</f>
        <v>Senegal</v>
      </c>
      <c r="F74" s="392"/>
      <c r="H74" s="383"/>
      <c r="I74" s="388" t="str">
        <f t="shared" si="0"/>
        <v>Francia</v>
      </c>
      <c r="J74" s="388" t="str">
        <f t="shared" si="1"/>
        <v/>
      </c>
      <c r="K74" s="388" t="str">
        <f t="shared" si="2"/>
        <v/>
      </c>
      <c r="L74" s="388" t="str">
        <f t="shared" si="3"/>
        <v>Senegal</v>
      </c>
    </row>
    <row r="75" spans="1:12" ht="14.25" customHeight="1" x14ac:dyDescent="0.25">
      <c r="A75" s="379" t="str">
        <f>+'Groups Stage'!A76</f>
        <v>GI2</v>
      </c>
      <c r="B75" s="380" t="str">
        <f>+'Groups Stage'!E76</f>
        <v>Irak</v>
      </c>
      <c r="C75" s="379">
        <f>+'Groups Stage'!F76</f>
        <v>0</v>
      </c>
      <c r="D75" s="378">
        <f>+'Groups Stage'!G76</f>
        <v>3</v>
      </c>
      <c r="E75" s="378" t="str">
        <f>+'Groups Stage'!H76</f>
        <v>Noruega</v>
      </c>
      <c r="F75" s="392"/>
      <c r="H75" s="383"/>
      <c r="I75" s="384" t="str">
        <f t="shared" si="0"/>
        <v>Noruega</v>
      </c>
      <c r="J75" s="384" t="str">
        <f t="shared" si="1"/>
        <v/>
      </c>
      <c r="K75" s="384" t="str">
        <f t="shared" si="2"/>
        <v/>
      </c>
      <c r="L75" s="384" t="str">
        <f t="shared" si="3"/>
        <v>Irak</v>
      </c>
    </row>
    <row r="76" spans="1:12" ht="14.25" customHeight="1" x14ac:dyDescent="0.25">
      <c r="A76" s="379" t="str">
        <f>+'Groups Stage'!A77</f>
        <v>GI3</v>
      </c>
      <c r="B76" s="380" t="str">
        <f>+'Groups Stage'!E77</f>
        <v>Francia</v>
      </c>
      <c r="C76" s="379">
        <f>+'Groups Stage'!F77</f>
        <v>4</v>
      </c>
      <c r="D76" s="378">
        <f>+'Groups Stage'!G77</f>
        <v>0</v>
      </c>
      <c r="E76" s="378" t="str">
        <f>+'Groups Stage'!H77</f>
        <v>Irak</v>
      </c>
      <c r="F76" s="392"/>
      <c r="H76" s="383"/>
      <c r="I76" s="384" t="str">
        <f t="shared" si="0"/>
        <v>Francia</v>
      </c>
      <c r="J76" s="384" t="str">
        <f t="shared" si="1"/>
        <v/>
      </c>
      <c r="K76" s="384" t="str">
        <f t="shared" si="2"/>
        <v/>
      </c>
      <c r="L76" s="384" t="str">
        <f t="shared" si="3"/>
        <v>Irak</v>
      </c>
    </row>
    <row r="77" spans="1:12" ht="14.25" customHeight="1" x14ac:dyDescent="0.25">
      <c r="A77" s="379" t="str">
        <f>+'Groups Stage'!A78</f>
        <v>GI4</v>
      </c>
      <c r="B77" s="380" t="str">
        <f>+'Groups Stage'!E78</f>
        <v>Noruega</v>
      </c>
      <c r="C77" s="379">
        <f>+'Groups Stage'!F78</f>
        <v>2</v>
      </c>
      <c r="D77" s="378">
        <f>+'Groups Stage'!G78</f>
        <v>1</v>
      </c>
      <c r="E77" s="378" t="str">
        <f>+'Groups Stage'!H78</f>
        <v>Senegal</v>
      </c>
      <c r="F77" s="392"/>
      <c r="H77" s="383"/>
      <c r="I77" s="384" t="str">
        <f t="shared" si="0"/>
        <v>Noruega</v>
      </c>
      <c r="J77" s="384" t="str">
        <f t="shared" si="1"/>
        <v/>
      </c>
      <c r="K77" s="384" t="str">
        <f t="shared" si="2"/>
        <v/>
      </c>
      <c r="L77" s="384" t="str">
        <f t="shared" si="3"/>
        <v>Senegal</v>
      </c>
    </row>
    <row r="78" spans="1:12" ht="14.25" customHeight="1" x14ac:dyDescent="0.25">
      <c r="A78" s="379" t="str">
        <f>+'Groups Stage'!A79</f>
        <v>GI5</v>
      </c>
      <c r="B78" s="380" t="str">
        <f>+'Groups Stage'!E79</f>
        <v>Noruega</v>
      </c>
      <c r="C78" s="379">
        <f>+'Groups Stage'!F79</f>
        <v>0</v>
      </c>
      <c r="D78" s="378">
        <f>+'Groups Stage'!G79</f>
        <v>1</v>
      </c>
      <c r="E78" s="378" t="str">
        <f>+'Groups Stage'!H79</f>
        <v>Francia</v>
      </c>
      <c r="F78" s="392"/>
      <c r="H78" s="383"/>
      <c r="I78" s="384" t="str">
        <f t="shared" si="0"/>
        <v>Francia</v>
      </c>
      <c r="J78" s="384" t="str">
        <f t="shared" si="1"/>
        <v/>
      </c>
      <c r="K78" s="384" t="str">
        <f t="shared" si="2"/>
        <v/>
      </c>
      <c r="L78" s="384" t="str">
        <f t="shared" si="3"/>
        <v>Noruega</v>
      </c>
    </row>
    <row r="79" spans="1:12" ht="14.25" customHeight="1" x14ac:dyDescent="0.25">
      <c r="A79" s="389" t="str">
        <f>+'Groups Stage'!A80</f>
        <v>GI6</v>
      </c>
      <c r="B79" s="390" t="str">
        <f>+'Groups Stage'!E80</f>
        <v>Senegal</v>
      </c>
      <c r="C79" s="389">
        <f>+'Groups Stage'!F80</f>
        <v>2</v>
      </c>
      <c r="D79" s="391">
        <f>+'Groups Stage'!G80</f>
        <v>0</v>
      </c>
      <c r="E79" s="391" t="str">
        <f>+'Groups Stage'!H80</f>
        <v>Irak</v>
      </c>
      <c r="F79" s="392"/>
      <c r="H79" s="383"/>
      <c r="I79" s="393" t="str">
        <f t="shared" si="0"/>
        <v>Senegal</v>
      </c>
      <c r="J79" s="393" t="str">
        <f t="shared" si="1"/>
        <v/>
      </c>
      <c r="K79" s="393" t="str">
        <f t="shared" si="2"/>
        <v/>
      </c>
      <c r="L79" s="393" t="str">
        <f t="shared" si="3"/>
        <v>Irak</v>
      </c>
    </row>
    <row r="80" spans="1:12" ht="14.25" customHeight="1" x14ac:dyDescent="0.25">
      <c r="A80" s="394">
        <f>+'Groups Stage'!A81</f>
        <v>0</v>
      </c>
      <c r="B80" s="395">
        <f>+'Groups Stage'!E81</f>
        <v>0</v>
      </c>
      <c r="C80" s="394">
        <f>+'Groups Stage'!F81</f>
        <v>0</v>
      </c>
      <c r="D80" s="396">
        <f>+'Groups Stage'!G81</f>
        <v>0</v>
      </c>
      <c r="E80" s="396">
        <f>+'Groups Stage'!H81</f>
        <v>0</v>
      </c>
      <c r="F80" s="392"/>
      <c r="H80" s="383"/>
      <c r="I80" s="388" t="str">
        <f t="shared" si="0"/>
        <v/>
      </c>
      <c r="J80" s="388">
        <f t="shared" si="1"/>
        <v>0</v>
      </c>
      <c r="K80" s="388">
        <f t="shared" si="2"/>
        <v>0</v>
      </c>
      <c r="L80" s="388" t="str">
        <f t="shared" si="3"/>
        <v/>
      </c>
    </row>
    <row r="81" spans="1:12" ht="14.25" customHeight="1" x14ac:dyDescent="0.25">
      <c r="A81" s="397">
        <f>+'Groups Stage'!A82</f>
        <v>0</v>
      </c>
      <c r="B81" s="398">
        <f>+'Groups Stage'!E82</f>
        <v>0</v>
      </c>
      <c r="C81" s="397">
        <f>+'Groups Stage'!F82</f>
        <v>0</v>
      </c>
      <c r="D81" s="399">
        <f>+'Groups Stage'!G82</f>
        <v>0</v>
      </c>
      <c r="E81" s="399">
        <f>+'Groups Stage'!H82</f>
        <v>0</v>
      </c>
      <c r="F81" s="392"/>
      <c r="H81" s="383"/>
      <c r="I81" s="393" t="str">
        <f t="shared" si="0"/>
        <v/>
      </c>
      <c r="J81" s="393">
        <f t="shared" si="1"/>
        <v>0</v>
      </c>
      <c r="K81" s="393">
        <f t="shared" si="2"/>
        <v>0</v>
      </c>
      <c r="L81" s="393" t="str">
        <f t="shared" si="3"/>
        <v/>
      </c>
    </row>
    <row r="82" spans="1:12" ht="14.25" customHeight="1" x14ac:dyDescent="0.25">
      <c r="A82" s="397" t="str">
        <f>+'Groups Stage'!A83</f>
        <v>Partido</v>
      </c>
      <c r="B82" s="398" t="str">
        <f>+'Groups Stage'!E83</f>
        <v>Grupo J</v>
      </c>
      <c r="C82" s="397">
        <f>+'Groups Stage'!F83</f>
        <v>0</v>
      </c>
      <c r="D82" s="399">
        <f>+'Groups Stage'!G83</f>
        <v>0</v>
      </c>
      <c r="E82" s="399">
        <f>+'Groups Stage'!H83</f>
        <v>0</v>
      </c>
      <c r="F82" s="392"/>
      <c r="H82" s="383"/>
      <c r="I82" s="393" t="str">
        <f t="shared" si="0"/>
        <v/>
      </c>
      <c r="J82" s="393" t="str">
        <f t="shared" si="1"/>
        <v>Grupo J</v>
      </c>
      <c r="K82" s="393">
        <f t="shared" si="2"/>
        <v>0</v>
      </c>
      <c r="L82" s="393" t="str">
        <f t="shared" si="3"/>
        <v/>
      </c>
    </row>
    <row r="83" spans="1:12" ht="14.25" customHeight="1" x14ac:dyDescent="0.25">
      <c r="A83" s="385" t="str">
        <f>+'Groups Stage'!A84</f>
        <v>GJ1</v>
      </c>
      <c r="B83" s="386" t="str">
        <f>+'Groups Stage'!E84</f>
        <v>Argentina</v>
      </c>
      <c r="C83" s="385">
        <f>+'Groups Stage'!F84</f>
        <v>3</v>
      </c>
      <c r="D83" s="387">
        <f>+'Groups Stage'!G84</f>
        <v>0</v>
      </c>
      <c r="E83" s="387" t="str">
        <f>+'Groups Stage'!H84</f>
        <v>Argelia</v>
      </c>
      <c r="F83" s="392"/>
      <c r="H83" s="383"/>
      <c r="I83" s="388" t="str">
        <f t="shared" si="0"/>
        <v>Argentina</v>
      </c>
      <c r="J83" s="388" t="str">
        <f t="shared" si="1"/>
        <v/>
      </c>
      <c r="K83" s="388" t="str">
        <f t="shared" si="2"/>
        <v/>
      </c>
      <c r="L83" s="388" t="str">
        <f t="shared" si="3"/>
        <v>Argelia</v>
      </c>
    </row>
    <row r="84" spans="1:12" ht="14.25" customHeight="1" x14ac:dyDescent="0.25">
      <c r="A84" s="379" t="str">
        <f>+'Groups Stage'!A85</f>
        <v>GJ2</v>
      </c>
      <c r="B84" s="380" t="str">
        <f>+'Groups Stage'!E85</f>
        <v>Austria</v>
      </c>
      <c r="C84" s="379">
        <f>+'Groups Stage'!F85</f>
        <v>2</v>
      </c>
      <c r="D84" s="378">
        <f>+'Groups Stage'!G85</f>
        <v>0</v>
      </c>
      <c r="E84" s="378" t="str">
        <f>+'Groups Stage'!H85</f>
        <v>Jordania</v>
      </c>
      <c r="F84" s="392"/>
      <c r="H84" s="383"/>
      <c r="I84" s="384" t="str">
        <f t="shared" si="0"/>
        <v>Austria</v>
      </c>
      <c r="J84" s="384" t="str">
        <f t="shared" si="1"/>
        <v/>
      </c>
      <c r="K84" s="384" t="str">
        <f t="shared" si="2"/>
        <v/>
      </c>
      <c r="L84" s="384" t="str">
        <f t="shared" si="3"/>
        <v>Jordania</v>
      </c>
    </row>
    <row r="85" spans="1:12" ht="14.25" customHeight="1" x14ac:dyDescent="0.25">
      <c r="A85" s="379" t="str">
        <f>+'Groups Stage'!A86</f>
        <v>GJ3</v>
      </c>
      <c r="B85" s="380" t="str">
        <f>+'Groups Stage'!E86</f>
        <v>Argentina</v>
      </c>
      <c r="C85" s="379">
        <f>+'Groups Stage'!F86</f>
        <v>2</v>
      </c>
      <c r="D85" s="378">
        <f>+'Groups Stage'!G86</f>
        <v>1</v>
      </c>
      <c r="E85" s="378" t="str">
        <f>+'Groups Stage'!H86</f>
        <v>Austria</v>
      </c>
      <c r="F85" s="392"/>
      <c r="H85" s="383"/>
      <c r="I85" s="384" t="str">
        <f t="shared" si="0"/>
        <v>Argentina</v>
      </c>
      <c r="J85" s="384" t="str">
        <f t="shared" si="1"/>
        <v/>
      </c>
      <c r="K85" s="384" t="str">
        <f t="shared" si="2"/>
        <v/>
      </c>
      <c r="L85" s="384" t="str">
        <f t="shared" si="3"/>
        <v>Austria</v>
      </c>
    </row>
    <row r="86" spans="1:12" ht="14.25" customHeight="1" x14ac:dyDescent="0.25">
      <c r="A86" s="379" t="str">
        <f>+'Groups Stage'!A87</f>
        <v>GJ4</v>
      </c>
      <c r="B86" s="380" t="str">
        <f>+'Groups Stage'!E87</f>
        <v>Jordania</v>
      </c>
      <c r="C86" s="379">
        <f>+'Groups Stage'!F87</f>
        <v>0</v>
      </c>
      <c r="D86" s="378">
        <f>+'Groups Stage'!G87</f>
        <v>1</v>
      </c>
      <c r="E86" s="378" t="str">
        <f>+'Groups Stage'!H87</f>
        <v>Argelia</v>
      </c>
      <c r="F86" s="392"/>
      <c r="H86" s="383"/>
      <c r="I86" s="384" t="str">
        <f t="shared" si="0"/>
        <v>Argelia</v>
      </c>
      <c r="J86" s="384" t="str">
        <f t="shared" si="1"/>
        <v/>
      </c>
      <c r="K86" s="384" t="str">
        <f t="shared" si="2"/>
        <v/>
      </c>
      <c r="L86" s="384" t="str">
        <f t="shared" si="3"/>
        <v>Jordania</v>
      </c>
    </row>
    <row r="87" spans="1:12" ht="14.25" customHeight="1" x14ac:dyDescent="0.25">
      <c r="A87" s="379" t="str">
        <f>+'Groups Stage'!A88</f>
        <v>GJ5</v>
      </c>
      <c r="B87" s="380" t="str">
        <f>+'Groups Stage'!E88</f>
        <v>Jordania</v>
      </c>
      <c r="C87" s="379">
        <f>+'Groups Stage'!F88</f>
        <v>0</v>
      </c>
      <c r="D87" s="378">
        <f>+'Groups Stage'!G88</f>
        <v>2</v>
      </c>
      <c r="E87" s="378" t="str">
        <f>+'Groups Stage'!H88</f>
        <v>Argentina</v>
      </c>
      <c r="F87" s="392"/>
      <c r="H87" s="383"/>
      <c r="I87" s="384" t="str">
        <f t="shared" si="0"/>
        <v>Argentina</v>
      </c>
      <c r="J87" s="384" t="str">
        <f t="shared" si="1"/>
        <v/>
      </c>
      <c r="K87" s="384" t="str">
        <f t="shared" si="2"/>
        <v/>
      </c>
      <c r="L87" s="384" t="str">
        <f t="shared" si="3"/>
        <v>Jordania</v>
      </c>
    </row>
    <row r="88" spans="1:12" ht="14.25" customHeight="1" x14ac:dyDescent="0.25">
      <c r="A88" s="389" t="str">
        <f>+'Groups Stage'!A89</f>
        <v>GJ6</v>
      </c>
      <c r="B88" s="390" t="str">
        <f>+'Groups Stage'!E89</f>
        <v>Argelia</v>
      </c>
      <c r="C88" s="389">
        <f>+'Groups Stage'!F89</f>
        <v>0</v>
      </c>
      <c r="D88" s="391">
        <f>+'Groups Stage'!G89</f>
        <v>1</v>
      </c>
      <c r="E88" s="391" t="str">
        <f>+'Groups Stage'!H89</f>
        <v>Austria</v>
      </c>
      <c r="F88" s="392"/>
      <c r="H88" s="383"/>
      <c r="I88" s="393" t="str">
        <f t="shared" si="0"/>
        <v>Austria</v>
      </c>
      <c r="J88" s="393" t="str">
        <f t="shared" si="1"/>
        <v/>
      </c>
      <c r="K88" s="393" t="str">
        <f t="shared" si="2"/>
        <v/>
      </c>
      <c r="L88" s="393" t="str">
        <f t="shared" si="3"/>
        <v>Argelia</v>
      </c>
    </row>
    <row r="89" spans="1:12" ht="14.25" customHeight="1" x14ac:dyDescent="0.25">
      <c r="A89" s="394">
        <f>+'Groups Stage'!A90</f>
        <v>0</v>
      </c>
      <c r="B89" s="395">
        <f>+'Groups Stage'!E90</f>
        <v>0</v>
      </c>
      <c r="C89" s="394">
        <f>+'Groups Stage'!F90</f>
        <v>0</v>
      </c>
      <c r="D89" s="396">
        <f>+'Groups Stage'!G90</f>
        <v>0</v>
      </c>
      <c r="E89" s="396">
        <f>+'Groups Stage'!H90</f>
        <v>0</v>
      </c>
      <c r="F89" s="392"/>
      <c r="H89" s="383"/>
      <c r="I89" s="388" t="str">
        <f t="shared" si="0"/>
        <v/>
      </c>
      <c r="J89" s="388">
        <f t="shared" si="1"/>
        <v>0</v>
      </c>
      <c r="K89" s="388">
        <f t="shared" si="2"/>
        <v>0</v>
      </c>
      <c r="L89" s="388" t="str">
        <f t="shared" si="3"/>
        <v/>
      </c>
    </row>
    <row r="90" spans="1:12" ht="14.25" customHeight="1" x14ac:dyDescent="0.25">
      <c r="A90" s="397">
        <f>+'Groups Stage'!A91</f>
        <v>0</v>
      </c>
      <c r="B90" s="398">
        <f>+'Groups Stage'!E91</f>
        <v>0</v>
      </c>
      <c r="C90" s="397">
        <f>+'Groups Stage'!F91</f>
        <v>0</v>
      </c>
      <c r="D90" s="399">
        <f>+'Groups Stage'!G91</f>
        <v>0</v>
      </c>
      <c r="E90" s="399">
        <f>+'Groups Stage'!H91</f>
        <v>0</v>
      </c>
      <c r="F90" s="392"/>
      <c r="H90" s="383"/>
      <c r="I90" s="393" t="str">
        <f t="shared" si="0"/>
        <v/>
      </c>
      <c r="J90" s="393">
        <f t="shared" si="1"/>
        <v>0</v>
      </c>
      <c r="K90" s="393">
        <f t="shared" si="2"/>
        <v>0</v>
      </c>
      <c r="L90" s="393" t="str">
        <f t="shared" si="3"/>
        <v/>
      </c>
    </row>
    <row r="91" spans="1:12" ht="14.25" customHeight="1" x14ac:dyDescent="0.25">
      <c r="A91" s="397" t="str">
        <f>+'Groups Stage'!A92</f>
        <v>Partido</v>
      </c>
      <c r="B91" s="398" t="str">
        <f>+'Groups Stage'!E92</f>
        <v>Grupo K</v>
      </c>
      <c r="C91" s="397">
        <f>+'Groups Stage'!F92</f>
        <v>0</v>
      </c>
      <c r="D91" s="399">
        <f>+'Groups Stage'!G92</f>
        <v>0</v>
      </c>
      <c r="E91" s="399">
        <f>+'Groups Stage'!H92</f>
        <v>0</v>
      </c>
      <c r="F91" s="392"/>
      <c r="H91" s="383"/>
      <c r="I91" s="393" t="str">
        <f t="shared" si="0"/>
        <v/>
      </c>
      <c r="J91" s="393" t="str">
        <f t="shared" si="1"/>
        <v>Grupo K</v>
      </c>
      <c r="K91" s="393">
        <f t="shared" si="2"/>
        <v>0</v>
      </c>
      <c r="L91" s="393" t="str">
        <f t="shared" si="3"/>
        <v/>
      </c>
    </row>
    <row r="92" spans="1:12" ht="14.25" customHeight="1" x14ac:dyDescent="0.25">
      <c r="A92" s="385" t="str">
        <f>+'Groups Stage'!A93</f>
        <v>GK1</v>
      </c>
      <c r="B92" s="386" t="str">
        <f>+'Groups Stage'!E93</f>
        <v>Portugal</v>
      </c>
      <c r="C92" s="385">
        <f>+'Groups Stage'!F93</f>
        <v>3</v>
      </c>
      <c r="D92" s="387">
        <f>+'Groups Stage'!G93</f>
        <v>0</v>
      </c>
      <c r="E92" s="387" t="str">
        <f>+'Groups Stage'!H93</f>
        <v>Congo</v>
      </c>
      <c r="F92" s="392"/>
      <c r="H92" s="383"/>
      <c r="I92" s="388" t="str">
        <f t="shared" si="0"/>
        <v>Portugal</v>
      </c>
      <c r="J92" s="388" t="str">
        <f t="shared" si="1"/>
        <v/>
      </c>
      <c r="K92" s="388" t="str">
        <f t="shared" si="2"/>
        <v/>
      </c>
      <c r="L92" s="388" t="str">
        <f t="shared" si="3"/>
        <v>Congo</v>
      </c>
    </row>
    <row r="93" spans="1:12" ht="14.25" customHeight="1" x14ac:dyDescent="0.25">
      <c r="A93" s="379" t="str">
        <f>+'Groups Stage'!A94</f>
        <v>GK2</v>
      </c>
      <c r="B93" s="380" t="str">
        <f>+'Groups Stage'!E94</f>
        <v>Uzbekistan</v>
      </c>
      <c r="C93" s="379">
        <f>+'Groups Stage'!F94</f>
        <v>0</v>
      </c>
      <c r="D93" s="378">
        <f>+'Groups Stage'!G94</f>
        <v>2</v>
      </c>
      <c r="E93" s="378" t="str">
        <f>+'Groups Stage'!H94</f>
        <v>Colombia</v>
      </c>
      <c r="F93" s="392"/>
      <c r="H93" s="383"/>
      <c r="I93" s="384" t="str">
        <f t="shared" si="0"/>
        <v>Colombia</v>
      </c>
      <c r="J93" s="384" t="str">
        <f t="shared" si="1"/>
        <v/>
      </c>
      <c r="K93" s="384" t="str">
        <f t="shared" si="2"/>
        <v/>
      </c>
      <c r="L93" s="384" t="str">
        <f t="shared" si="3"/>
        <v>Uzbekistan</v>
      </c>
    </row>
    <row r="94" spans="1:12" ht="14.25" customHeight="1" x14ac:dyDescent="0.25">
      <c r="A94" s="379" t="str">
        <f>+'Groups Stage'!A95</f>
        <v>GK3</v>
      </c>
      <c r="B94" s="380" t="str">
        <f>+'Groups Stage'!E95</f>
        <v>Portugal</v>
      </c>
      <c r="C94" s="379">
        <f>+'Groups Stage'!F95</f>
        <v>2</v>
      </c>
      <c r="D94" s="378">
        <f>+'Groups Stage'!G95</f>
        <v>0</v>
      </c>
      <c r="E94" s="378" t="str">
        <f>+'Groups Stage'!H95</f>
        <v>Uzbekistan</v>
      </c>
      <c r="F94" s="392"/>
      <c r="H94" s="383"/>
      <c r="I94" s="384" t="str">
        <f t="shared" si="0"/>
        <v>Portugal</v>
      </c>
      <c r="J94" s="384" t="str">
        <f t="shared" si="1"/>
        <v/>
      </c>
      <c r="K94" s="384" t="str">
        <f t="shared" si="2"/>
        <v/>
      </c>
      <c r="L94" s="384" t="str">
        <f t="shared" si="3"/>
        <v>Uzbekistan</v>
      </c>
    </row>
    <row r="95" spans="1:12" ht="14.25" customHeight="1" x14ac:dyDescent="0.25">
      <c r="A95" s="379" t="str">
        <f>+'Groups Stage'!A96</f>
        <v>GK4</v>
      </c>
      <c r="B95" s="380" t="str">
        <f>+'Groups Stage'!E96</f>
        <v>Colombia</v>
      </c>
      <c r="C95" s="379">
        <f>+'Groups Stage'!F96</f>
        <v>2</v>
      </c>
      <c r="D95" s="378">
        <f>+'Groups Stage'!G96</f>
        <v>0</v>
      </c>
      <c r="E95" s="378" t="str">
        <f>+'Groups Stage'!H96</f>
        <v>Congo</v>
      </c>
      <c r="F95" s="392"/>
      <c r="H95" s="383"/>
      <c r="I95" s="384" t="str">
        <f t="shared" si="0"/>
        <v>Colombia</v>
      </c>
      <c r="J95" s="384" t="str">
        <f t="shared" si="1"/>
        <v/>
      </c>
      <c r="K95" s="384" t="str">
        <f t="shared" si="2"/>
        <v/>
      </c>
      <c r="L95" s="384" t="str">
        <f t="shared" si="3"/>
        <v>Congo</v>
      </c>
    </row>
    <row r="96" spans="1:12" ht="14.25" customHeight="1" x14ac:dyDescent="0.25">
      <c r="A96" s="379" t="str">
        <f>+'Groups Stage'!A97</f>
        <v>GK5</v>
      </c>
      <c r="B96" s="380" t="str">
        <f>+'Groups Stage'!E97</f>
        <v>Colombia</v>
      </c>
      <c r="C96" s="379">
        <f>+'Groups Stage'!F97</f>
        <v>2</v>
      </c>
      <c r="D96" s="378">
        <f>+'Groups Stage'!G97</f>
        <v>2</v>
      </c>
      <c r="E96" s="378" t="str">
        <f>+'Groups Stage'!H97</f>
        <v>Portugal</v>
      </c>
      <c r="F96" s="392"/>
      <c r="H96" s="383"/>
      <c r="I96" s="384" t="str">
        <f t="shared" si="0"/>
        <v/>
      </c>
      <c r="J96" s="384" t="str">
        <f t="shared" si="1"/>
        <v>Colombia</v>
      </c>
      <c r="K96" s="384" t="str">
        <f t="shared" si="2"/>
        <v>Portugal</v>
      </c>
      <c r="L96" s="384" t="str">
        <f t="shared" si="3"/>
        <v/>
      </c>
    </row>
    <row r="97" spans="1:12" ht="14.25" customHeight="1" x14ac:dyDescent="0.25">
      <c r="A97" s="389" t="str">
        <f>+'Groups Stage'!A98</f>
        <v>GK6</v>
      </c>
      <c r="B97" s="390" t="str">
        <f>+'Groups Stage'!E98</f>
        <v>Congo</v>
      </c>
      <c r="C97" s="389">
        <f>+'Groups Stage'!F98</f>
        <v>0</v>
      </c>
      <c r="D97" s="391">
        <f>+'Groups Stage'!G98</f>
        <v>1</v>
      </c>
      <c r="E97" s="391" t="str">
        <f>+'Groups Stage'!H98</f>
        <v>Uzbekistan</v>
      </c>
      <c r="F97" s="392"/>
      <c r="H97" s="383"/>
      <c r="I97" s="393" t="str">
        <f t="shared" si="0"/>
        <v>Uzbekistan</v>
      </c>
      <c r="J97" s="393" t="str">
        <f t="shared" si="1"/>
        <v/>
      </c>
      <c r="K97" s="393" t="str">
        <f t="shared" si="2"/>
        <v/>
      </c>
      <c r="L97" s="393" t="str">
        <f t="shared" si="3"/>
        <v>Congo</v>
      </c>
    </row>
    <row r="98" spans="1:12" ht="14.25" customHeight="1" x14ac:dyDescent="0.25">
      <c r="A98" s="394">
        <f>+'Groups Stage'!A99</f>
        <v>0</v>
      </c>
      <c r="B98" s="395">
        <f>+'Groups Stage'!E99</f>
        <v>0</v>
      </c>
      <c r="C98" s="394">
        <f>+'Groups Stage'!F99</f>
        <v>0</v>
      </c>
      <c r="D98" s="396">
        <f>+'Groups Stage'!G99</f>
        <v>0</v>
      </c>
      <c r="E98" s="396">
        <f>+'Groups Stage'!H99</f>
        <v>0</v>
      </c>
      <c r="F98" s="392"/>
      <c r="H98" s="383"/>
      <c r="I98" s="388" t="str">
        <f t="shared" si="0"/>
        <v/>
      </c>
      <c r="J98" s="388">
        <f t="shared" si="1"/>
        <v>0</v>
      </c>
      <c r="K98" s="388">
        <f t="shared" si="2"/>
        <v>0</v>
      </c>
      <c r="L98" s="388" t="str">
        <f t="shared" si="3"/>
        <v/>
      </c>
    </row>
    <row r="99" spans="1:12" ht="14.25" customHeight="1" x14ac:dyDescent="0.25">
      <c r="A99" s="397">
        <f>+'Groups Stage'!A100</f>
        <v>0</v>
      </c>
      <c r="B99" s="398">
        <f>+'Groups Stage'!E100</f>
        <v>0</v>
      </c>
      <c r="C99" s="397">
        <f>+'Groups Stage'!F100</f>
        <v>0</v>
      </c>
      <c r="D99" s="399">
        <f>+'Groups Stage'!G100</f>
        <v>0</v>
      </c>
      <c r="E99" s="399">
        <f>+'Groups Stage'!H100</f>
        <v>0</v>
      </c>
      <c r="F99" s="392"/>
      <c r="H99" s="383"/>
      <c r="I99" s="393" t="str">
        <f t="shared" si="0"/>
        <v/>
      </c>
      <c r="J99" s="393">
        <f t="shared" si="1"/>
        <v>0</v>
      </c>
      <c r="K99" s="393">
        <f t="shared" si="2"/>
        <v>0</v>
      </c>
      <c r="L99" s="393" t="str">
        <f t="shared" si="3"/>
        <v/>
      </c>
    </row>
    <row r="100" spans="1:12" ht="14.25" customHeight="1" x14ac:dyDescent="0.25">
      <c r="A100" s="397" t="str">
        <f>+'Groups Stage'!A101</f>
        <v>Partido</v>
      </c>
      <c r="B100" s="398" t="str">
        <f>+'Groups Stage'!E101</f>
        <v>Grupo L</v>
      </c>
      <c r="C100" s="397">
        <f>+'Groups Stage'!F101</f>
        <v>0</v>
      </c>
      <c r="D100" s="399">
        <f>+'Groups Stage'!G101</f>
        <v>0</v>
      </c>
      <c r="E100" s="399">
        <f>+'Groups Stage'!H101</f>
        <v>0</v>
      </c>
      <c r="F100" s="392"/>
      <c r="H100" s="383"/>
      <c r="I100" s="393" t="str">
        <f t="shared" si="0"/>
        <v/>
      </c>
      <c r="J100" s="393" t="str">
        <f t="shared" si="1"/>
        <v>Grupo L</v>
      </c>
      <c r="K100" s="393">
        <f t="shared" si="2"/>
        <v>0</v>
      </c>
      <c r="L100" s="393" t="str">
        <f t="shared" si="3"/>
        <v/>
      </c>
    </row>
    <row r="101" spans="1:12" ht="14.25" customHeight="1" x14ac:dyDescent="0.25">
      <c r="A101" s="379" t="str">
        <f>+'Groups Stage'!A102</f>
        <v>GL1</v>
      </c>
      <c r="B101" s="380" t="str">
        <f>+'Groups Stage'!E102</f>
        <v>Inglaterra</v>
      </c>
      <c r="C101" s="379">
        <f>+'Groups Stage'!F102</f>
        <v>3</v>
      </c>
      <c r="D101" s="378">
        <f>+'Groups Stage'!G102</f>
        <v>2</v>
      </c>
      <c r="E101" s="378" t="str">
        <f>+'Groups Stage'!H102</f>
        <v>Croacia</v>
      </c>
      <c r="F101" s="392"/>
      <c r="H101" s="383"/>
      <c r="I101" s="384" t="str">
        <f t="shared" si="0"/>
        <v>Inglaterra</v>
      </c>
      <c r="J101" s="384" t="str">
        <f t="shared" si="1"/>
        <v/>
      </c>
      <c r="K101" s="384" t="str">
        <f t="shared" si="2"/>
        <v/>
      </c>
      <c r="L101" s="384" t="str">
        <f t="shared" si="3"/>
        <v>Croacia</v>
      </c>
    </row>
    <row r="102" spans="1:12" ht="14.25" customHeight="1" x14ac:dyDescent="0.25">
      <c r="A102" s="379" t="str">
        <f>+'Groups Stage'!A103</f>
        <v>GL2</v>
      </c>
      <c r="B102" s="380" t="str">
        <f>+'Groups Stage'!E103</f>
        <v>Ghana</v>
      </c>
      <c r="C102" s="379">
        <f>+'Groups Stage'!F103</f>
        <v>1</v>
      </c>
      <c r="D102" s="378">
        <f>+'Groups Stage'!G103</f>
        <v>0</v>
      </c>
      <c r="E102" s="378" t="str">
        <f>+'Groups Stage'!H103</f>
        <v>Panama</v>
      </c>
      <c r="F102" s="392"/>
      <c r="H102" s="383"/>
      <c r="I102" s="384" t="str">
        <f t="shared" si="0"/>
        <v>Ghana</v>
      </c>
      <c r="J102" s="384" t="str">
        <f t="shared" si="1"/>
        <v/>
      </c>
      <c r="K102" s="384" t="str">
        <f t="shared" si="2"/>
        <v/>
      </c>
      <c r="L102" s="384" t="str">
        <f t="shared" si="3"/>
        <v>Panama</v>
      </c>
    </row>
    <row r="103" spans="1:12" ht="14.25" customHeight="1" x14ac:dyDescent="0.25">
      <c r="A103" s="379" t="str">
        <f>+'Groups Stage'!A104</f>
        <v>GL3</v>
      </c>
      <c r="B103" s="380" t="str">
        <f>+'Groups Stage'!E104</f>
        <v>Inglaterra</v>
      </c>
      <c r="C103" s="379">
        <f>+'Groups Stage'!F104</f>
        <v>3</v>
      </c>
      <c r="D103" s="378">
        <f>+'Groups Stage'!G104</f>
        <v>1</v>
      </c>
      <c r="E103" s="378" t="str">
        <f>+'Groups Stage'!H104</f>
        <v>Ghana</v>
      </c>
      <c r="F103" s="392"/>
      <c r="H103" s="383"/>
      <c r="I103" s="384" t="str">
        <f t="shared" si="0"/>
        <v>Inglaterra</v>
      </c>
      <c r="J103" s="384" t="str">
        <f t="shared" si="1"/>
        <v/>
      </c>
      <c r="K103" s="384" t="str">
        <f t="shared" si="2"/>
        <v/>
      </c>
      <c r="L103" s="384" t="str">
        <f t="shared" si="3"/>
        <v>Ghana</v>
      </c>
    </row>
    <row r="104" spans="1:12" ht="14.25" customHeight="1" x14ac:dyDescent="0.25">
      <c r="A104" s="379" t="str">
        <f>+'Groups Stage'!A105</f>
        <v>GL4</v>
      </c>
      <c r="B104" s="380" t="str">
        <f>+'Groups Stage'!E105</f>
        <v>Panama</v>
      </c>
      <c r="C104" s="379">
        <f>+'Groups Stage'!F105</f>
        <v>0</v>
      </c>
      <c r="D104" s="378">
        <f>+'Groups Stage'!G105</f>
        <v>2</v>
      </c>
      <c r="E104" s="378" t="str">
        <f>+'Groups Stage'!H105</f>
        <v>Croacia</v>
      </c>
      <c r="F104" s="392"/>
      <c r="H104" s="383"/>
      <c r="I104" s="384" t="str">
        <f t="shared" si="0"/>
        <v>Croacia</v>
      </c>
      <c r="J104" s="384" t="str">
        <f t="shared" si="1"/>
        <v/>
      </c>
      <c r="K104" s="384" t="str">
        <f t="shared" si="2"/>
        <v/>
      </c>
      <c r="L104" s="384" t="str">
        <f t="shared" si="3"/>
        <v>Panama</v>
      </c>
    </row>
    <row r="105" spans="1:12" ht="14.25" customHeight="1" x14ac:dyDescent="0.25">
      <c r="A105" s="379" t="str">
        <f>+'Groups Stage'!A106</f>
        <v>GL5</v>
      </c>
      <c r="B105" s="380" t="str">
        <f>+'Groups Stage'!E106</f>
        <v>Panama</v>
      </c>
      <c r="C105" s="379">
        <f>+'Groups Stage'!F106</f>
        <v>0</v>
      </c>
      <c r="D105" s="378">
        <f>+'Groups Stage'!G106</f>
        <v>2</v>
      </c>
      <c r="E105" s="378" t="str">
        <f>+'Groups Stage'!H106</f>
        <v>Inglaterra</v>
      </c>
      <c r="F105" s="392"/>
      <c r="H105" s="383"/>
      <c r="I105" s="384" t="str">
        <f t="shared" si="0"/>
        <v>Inglaterra</v>
      </c>
      <c r="J105" s="384" t="str">
        <f t="shared" si="1"/>
        <v/>
      </c>
      <c r="K105" s="384" t="str">
        <f t="shared" si="2"/>
        <v/>
      </c>
      <c r="L105" s="384" t="str">
        <f t="shared" si="3"/>
        <v>Panama</v>
      </c>
    </row>
    <row r="106" spans="1:12" ht="14.25" customHeight="1" x14ac:dyDescent="0.25">
      <c r="A106" s="379" t="str">
        <f>+'Groups Stage'!A107</f>
        <v>GL6</v>
      </c>
      <c r="B106" s="380" t="str">
        <f>+'Groups Stage'!E107</f>
        <v>Croacia</v>
      </c>
      <c r="C106" s="379">
        <f>+'Groups Stage'!F107</f>
        <v>2</v>
      </c>
      <c r="D106" s="378">
        <f>+'Groups Stage'!G107</f>
        <v>1</v>
      </c>
      <c r="E106" s="378" t="str">
        <f>+'Groups Stage'!H107</f>
        <v>Ghana</v>
      </c>
      <c r="F106" s="392"/>
      <c r="H106" s="383"/>
      <c r="I106" s="393" t="str">
        <f t="shared" si="0"/>
        <v>Croacia</v>
      </c>
      <c r="J106" s="393" t="str">
        <f t="shared" si="1"/>
        <v/>
      </c>
      <c r="K106" s="393" t="str">
        <f t="shared" si="2"/>
        <v/>
      </c>
      <c r="L106" s="393" t="str">
        <f t="shared" si="3"/>
        <v>Ghana</v>
      </c>
    </row>
    <row r="107" spans="1:12" ht="14.25" customHeight="1" x14ac:dyDescent="0.25">
      <c r="A107" s="401" t="s">
        <v>213</v>
      </c>
      <c r="B107" s="402" t="str">
        <f ca="1">+_xlfn.XLOOKUP($A107,'Round of 32 &amp; Round of 16'!$A:$A,'Round of 32 &amp; Round of 16'!B:B,"-",0)</f>
        <v>Corea del Sur</v>
      </c>
      <c r="C107" s="401">
        <f>+_xlfn.XLOOKUP($A107,'Round of 32 &amp; Round of 16'!$A:$A,'Round of 32 &amp; Round of 16'!C:C,"-",0)</f>
        <v>2</v>
      </c>
      <c r="D107" s="403">
        <f>+_xlfn.XLOOKUP($A107,'Round of 32 &amp; Round of 16'!$A:$A,'Round of 32 &amp; Round of 16'!D:D,"-",0)</f>
        <v>2</v>
      </c>
      <c r="E107" s="403" t="str">
        <f ca="1">+_xlfn.XLOOKUP($A107,'Round of 32 &amp; Round of 16'!$A:$A,'Round of 32 &amp; Round of 16'!E:E,"-",0)</f>
        <v>Bosnia</v>
      </c>
      <c r="F107" s="392"/>
      <c r="H107" s="383"/>
      <c r="I107" s="404" t="str">
        <f t="shared" si="0"/>
        <v/>
      </c>
      <c r="J107" s="404" t="str">
        <f t="shared" ca="1" si="1"/>
        <v>Corea del Sur</v>
      </c>
      <c r="K107" s="404" t="str">
        <f t="shared" ca="1" si="2"/>
        <v>Bosnia</v>
      </c>
      <c r="L107" s="404" t="str">
        <f t="shared" si="3"/>
        <v/>
      </c>
    </row>
    <row r="108" spans="1:12" ht="14.25" customHeight="1" x14ac:dyDescent="0.25">
      <c r="A108" s="405" t="s">
        <v>221</v>
      </c>
      <c r="B108" s="406" t="str">
        <f ca="1">+_xlfn.XLOOKUP($A108,'Round of 32 &amp; Round of 16'!$A:$A,'Round of 32 &amp; Round of 16'!B:B,"-",0)</f>
        <v>Alemania</v>
      </c>
      <c r="C108" s="405">
        <f>+_xlfn.XLOOKUP($A108,'Round of 32 &amp; Round of 16'!$A:$A,'Round of 32 &amp; Round of 16'!C:C,"-",0)</f>
        <v>3</v>
      </c>
      <c r="D108" s="407">
        <f>+_xlfn.XLOOKUP($A108,'Round of 32 &amp; Round of 16'!$A:$A,'Round of 32 &amp; Round of 16'!D:D,"-",0)</f>
        <v>1</v>
      </c>
      <c r="E108" s="407" t="str">
        <f ca="1">+_xlfn.XLOOKUP($A108,'Round of 32 &amp; Round of 16'!$A:$A,'Round of 32 &amp; Round of 16'!E:E,"-",0)</f>
        <v>Escocia</v>
      </c>
      <c r="F108" s="392"/>
      <c r="H108" s="383"/>
      <c r="I108" s="408" t="str">
        <f t="shared" ca="1" si="0"/>
        <v>Alemania</v>
      </c>
      <c r="J108" s="408" t="str">
        <f t="shared" si="1"/>
        <v/>
      </c>
      <c r="K108" s="408" t="str">
        <f t="shared" si="2"/>
        <v/>
      </c>
      <c r="L108" s="408" t="str">
        <f t="shared" ca="1" si="3"/>
        <v>Escocia</v>
      </c>
    </row>
    <row r="109" spans="1:12" ht="14.25" customHeight="1" x14ac:dyDescent="0.25">
      <c r="A109" s="405" t="s">
        <v>230</v>
      </c>
      <c r="B109" s="406" t="str">
        <f ca="1">+_xlfn.XLOOKUP($A109,'Round of 32 &amp; Round of 16'!$A:$A,'Round of 32 &amp; Round of 16'!B:B,"-",0)</f>
        <v>Paises Bajos</v>
      </c>
      <c r="C109" s="405">
        <f>+_xlfn.XLOOKUP($A109,'Round of 32 &amp; Round of 16'!$A:$A,'Round of 32 &amp; Round of 16'!C:C,"-",0)</f>
        <v>2</v>
      </c>
      <c r="D109" s="407">
        <f>+_xlfn.XLOOKUP($A109,'Round of 32 &amp; Round of 16'!$A:$A,'Round of 32 &amp; Round of 16'!D:D,"-",0)</f>
        <v>1</v>
      </c>
      <c r="E109" s="407" t="str">
        <f ca="1">+_xlfn.XLOOKUP($A109,'Round of 32 &amp; Round of 16'!$A:$A,'Round of 32 &amp; Round of 16'!E:E,"-",0)</f>
        <v>Marruecos</v>
      </c>
      <c r="F109" s="392"/>
      <c r="H109" s="383"/>
      <c r="I109" s="408" t="str">
        <f t="shared" ca="1" si="0"/>
        <v>Paises Bajos</v>
      </c>
      <c r="J109" s="408" t="str">
        <f t="shared" si="1"/>
        <v/>
      </c>
      <c r="K109" s="408" t="str">
        <f t="shared" si="2"/>
        <v/>
      </c>
      <c r="L109" s="408" t="str">
        <f t="shared" ca="1" si="3"/>
        <v>Marruecos</v>
      </c>
    </row>
    <row r="110" spans="1:12" ht="14.25" customHeight="1" x14ac:dyDescent="0.25">
      <c r="A110" s="405" t="s">
        <v>239</v>
      </c>
      <c r="B110" s="406" t="str">
        <f ca="1">+_xlfn.XLOOKUP($A110,'Round of 32 &amp; Round of 16'!$A:$A,'Round of 32 &amp; Round of 16'!B:B,"-",0)</f>
        <v>Brasil</v>
      </c>
      <c r="C110" s="405">
        <f>+_xlfn.XLOOKUP($A110,'Round of 32 &amp; Round of 16'!$A:$A,'Round of 32 &amp; Round of 16'!C:C,"-",0)</f>
        <v>2</v>
      </c>
      <c r="D110" s="407">
        <f>+_xlfn.XLOOKUP($A110,'Round of 32 &amp; Round of 16'!$A:$A,'Round of 32 &amp; Round of 16'!D:D,"-",0)</f>
        <v>1</v>
      </c>
      <c r="E110" s="407" t="str">
        <f ca="1">+_xlfn.XLOOKUP($A110,'Round of 32 &amp; Round of 16'!$A:$A,'Round of 32 &amp; Round of 16'!E:E,"-",0)</f>
        <v>Japon</v>
      </c>
      <c r="F110" s="392"/>
      <c r="H110" s="383"/>
      <c r="I110" s="408" t="str">
        <f t="shared" ca="1" si="0"/>
        <v>Brasil</v>
      </c>
      <c r="J110" s="408" t="str">
        <f t="shared" si="1"/>
        <v/>
      </c>
      <c r="K110" s="408" t="str">
        <f t="shared" si="2"/>
        <v/>
      </c>
      <c r="L110" s="408" t="str">
        <f t="shared" ca="1" si="3"/>
        <v>Japon</v>
      </c>
    </row>
    <row r="111" spans="1:12" ht="14.25" customHeight="1" x14ac:dyDescent="0.25">
      <c r="A111" s="405" t="s">
        <v>249</v>
      </c>
      <c r="B111" s="406" t="str">
        <f ca="1">+_xlfn.XLOOKUP($A111,'Round of 32 &amp; Round of 16'!$A:$A,'Round of 32 &amp; Round of 16'!B:B,"-",0)</f>
        <v>Francia</v>
      </c>
      <c r="C111" s="405">
        <f>+_xlfn.XLOOKUP($A111,'Round of 32 &amp; Round of 16'!$A:$A,'Round of 32 &amp; Round of 16'!C:C,"-",0)</f>
        <v>3</v>
      </c>
      <c r="D111" s="407">
        <f>+_xlfn.XLOOKUP($A111,'Round of 32 &amp; Round of 16'!$A:$A,'Round of 32 &amp; Round of 16'!D:D,"-",0)</f>
        <v>0</v>
      </c>
      <c r="E111" s="407" t="str">
        <f ca="1">+_xlfn.XLOOKUP($A111,'Round of 32 &amp; Round of 16'!$A:$A,'Round of 32 &amp; Round of 16'!E:E,"-",0)</f>
        <v>Estados Unidos</v>
      </c>
      <c r="F111" s="392"/>
      <c r="H111" s="383"/>
      <c r="I111" s="408" t="str">
        <f t="shared" ca="1" si="0"/>
        <v>Francia</v>
      </c>
      <c r="J111" s="408" t="str">
        <f t="shared" si="1"/>
        <v/>
      </c>
      <c r="K111" s="408" t="str">
        <f t="shared" si="2"/>
        <v/>
      </c>
      <c r="L111" s="408" t="str">
        <f t="shared" ca="1" si="3"/>
        <v>Estados Unidos</v>
      </c>
    </row>
    <row r="112" spans="1:12" ht="14.25" customHeight="1" x14ac:dyDescent="0.25">
      <c r="A112" s="405" t="s">
        <v>257</v>
      </c>
      <c r="B112" s="406" t="str">
        <f ca="1">+_xlfn.XLOOKUP($A112,'Round of 32 &amp; Round of 16'!$A:$A,'Round of 32 &amp; Round of 16'!B:B,"-",0)</f>
        <v>Ecuador</v>
      </c>
      <c r="C112" s="405">
        <f>+_xlfn.XLOOKUP($A112,'Round of 32 &amp; Round of 16'!$A:$A,'Round of 32 &amp; Round of 16'!C:C,"-",0)</f>
        <v>1</v>
      </c>
      <c r="D112" s="407">
        <f>+_xlfn.XLOOKUP($A112,'Round of 32 &amp; Round of 16'!$A:$A,'Round of 32 &amp; Round of 16'!D:D,"-",0)</f>
        <v>2</v>
      </c>
      <c r="E112" s="407" t="str">
        <f ca="1">+_xlfn.XLOOKUP($A112,'Round of 32 &amp; Round of 16'!$A:$A,'Round of 32 &amp; Round of 16'!E:E,"-",0)</f>
        <v>Noruega</v>
      </c>
      <c r="F112" s="392"/>
      <c r="H112" s="383"/>
      <c r="I112" s="408" t="str">
        <f t="shared" ca="1" si="0"/>
        <v>Noruega</v>
      </c>
      <c r="J112" s="408" t="str">
        <f t="shared" si="1"/>
        <v/>
      </c>
      <c r="K112" s="408" t="str">
        <f t="shared" si="2"/>
        <v/>
      </c>
      <c r="L112" s="408" t="str">
        <f t="shared" ca="1" si="3"/>
        <v>Ecuador</v>
      </c>
    </row>
    <row r="113" spans="1:12" ht="14.25" customHeight="1" x14ac:dyDescent="0.25">
      <c r="A113" s="405" t="s">
        <v>266</v>
      </c>
      <c r="B113" s="406" t="str">
        <f ca="1">+_xlfn.XLOOKUP($A113,'Round of 32 &amp; Round of 16'!$A:$A,'Round of 32 &amp; Round of 16'!B:B,"-",0)</f>
        <v>Mexico</v>
      </c>
      <c r="C113" s="405">
        <f>+_xlfn.XLOOKUP($A113,'Round of 32 &amp; Round of 16'!$A:$A,'Round of 32 &amp; Round of 16'!C:C,"-",0)</f>
        <v>2</v>
      </c>
      <c r="D113" s="407">
        <f>+_xlfn.XLOOKUP($A113,'Round of 32 &amp; Round of 16'!$A:$A,'Round of 32 &amp; Round of 16'!D:D,"-",0)</f>
        <v>1</v>
      </c>
      <c r="E113" s="407" t="str">
        <f ca="1">+_xlfn.XLOOKUP($A113,'Round of 32 &amp; Round of 16'!$A:$A,'Round of 32 &amp; Round of 16'!E:E,"-",0)</f>
        <v>Arabia Saudita</v>
      </c>
      <c r="F113" s="392"/>
      <c r="H113" s="383"/>
      <c r="I113" s="408" t="str">
        <f t="shared" ca="1" si="0"/>
        <v>Mexico</v>
      </c>
      <c r="J113" s="408" t="str">
        <f t="shared" si="1"/>
        <v/>
      </c>
      <c r="K113" s="408" t="str">
        <f t="shared" si="2"/>
        <v/>
      </c>
      <c r="L113" s="408" t="str">
        <f t="shared" ca="1" si="3"/>
        <v>Arabia Saudita</v>
      </c>
    </row>
    <row r="114" spans="1:12" ht="14.25" customHeight="1" x14ac:dyDescent="0.25">
      <c r="A114" s="409" t="s">
        <v>273</v>
      </c>
      <c r="B114" s="410" t="str">
        <f ca="1">+_xlfn.XLOOKUP($A114,'Round of 32 &amp; Round of 16'!$A:$A,'Round of 32 &amp; Round of 16'!B:B,"-",0)</f>
        <v>Inglaterra</v>
      </c>
      <c r="C114" s="409">
        <f>+_xlfn.XLOOKUP($A114,'Round of 32 &amp; Round of 16'!$A:$A,'Round of 32 &amp; Round of 16'!C:C,"-",0)</f>
        <v>3</v>
      </c>
      <c r="D114" s="411">
        <f>+_xlfn.XLOOKUP($A114,'Round of 32 &amp; Round of 16'!$A:$A,'Round of 32 &amp; Round of 16'!D:D,"-",0)</f>
        <v>1</v>
      </c>
      <c r="E114" s="411" t="str">
        <f ca="1">+_xlfn.XLOOKUP($A114,'Round of 32 &amp; Round of 16'!$A:$A,'Round of 32 &amp; Round of 16'!E:E,"-",0)</f>
        <v>Senegal</v>
      </c>
      <c r="F114" s="392"/>
      <c r="H114" s="383"/>
      <c r="I114" s="412" t="str">
        <f t="shared" ca="1" si="0"/>
        <v>Inglaterra</v>
      </c>
      <c r="J114" s="412" t="str">
        <f t="shared" si="1"/>
        <v/>
      </c>
      <c r="K114" s="412" t="str">
        <f t="shared" si="2"/>
        <v/>
      </c>
      <c r="L114" s="412" t="str">
        <f t="shared" ca="1" si="3"/>
        <v>Senegal</v>
      </c>
    </row>
    <row r="115" spans="1:12" ht="14.25" customHeight="1" x14ac:dyDescent="0.25">
      <c r="A115" s="405" t="s">
        <v>214</v>
      </c>
      <c r="B115" s="406" t="str">
        <f ca="1">+_xlfn.XLOOKUP($A115,'Round of 32 &amp; Round of 16'!$G:$G,'Round of 32 &amp; Round of 16'!H:H,"-",0)</f>
        <v>Turquia</v>
      </c>
      <c r="C115" s="405">
        <f>+_xlfn.XLOOKUP($A115,'Round of 32 &amp; Round of 16'!$G:$G,'Round of 32 &amp; Round of 16'!I:I,"-",0)</f>
        <v>2</v>
      </c>
      <c r="D115" s="407">
        <f>+_xlfn.XLOOKUP($A115,'Round of 32 &amp; Round of 16'!$G:$G,'Round of 32 &amp; Round of 16'!J:J,"-",0)</f>
        <v>2</v>
      </c>
      <c r="E115" s="407" t="str">
        <f ca="1">+_xlfn.XLOOKUP($A115,'Round of 32 &amp; Round of 16'!$G:$G,'Round of 32 &amp; Round of 16'!K:K,"-",0)</f>
        <v>Suecia</v>
      </c>
      <c r="F115" s="392"/>
      <c r="H115" s="383"/>
      <c r="I115" s="408" t="str">
        <f t="shared" si="0"/>
        <v/>
      </c>
      <c r="J115" s="408" t="str">
        <f t="shared" ca="1" si="1"/>
        <v>Turquia</v>
      </c>
      <c r="K115" s="408" t="str">
        <f t="shared" ca="1" si="2"/>
        <v>Suecia</v>
      </c>
      <c r="L115" s="408" t="str">
        <f t="shared" si="3"/>
        <v/>
      </c>
    </row>
    <row r="116" spans="1:12" ht="14.25" customHeight="1" x14ac:dyDescent="0.25">
      <c r="A116" s="405" t="s">
        <v>222</v>
      </c>
      <c r="B116" s="406" t="str">
        <f ca="1">+_xlfn.XLOOKUP($A116,'Round of 32 &amp; Round of 16'!$G:$G,'Round of 32 &amp; Round of 16'!H:H,"-",0)</f>
        <v>Belgica</v>
      </c>
      <c r="C116" s="405">
        <f>+_xlfn.XLOOKUP($A116,'Round of 32 &amp; Round of 16'!$G:$G,'Round of 32 &amp; Round of 16'!I:I,"-",0)</f>
        <v>3</v>
      </c>
      <c r="D116" s="407">
        <f>+_xlfn.XLOOKUP($A116,'Round of 32 &amp; Round of 16'!$G:$G,'Round of 32 &amp; Round of 16'!J:J,"-",0)</f>
        <v>1</v>
      </c>
      <c r="E116" s="407" t="str">
        <f ca="1">+_xlfn.XLOOKUP($A116,'Round of 32 &amp; Round of 16'!$G:$G,'Round of 32 &amp; Round of 16'!K:K,"-",0)</f>
        <v>Repubilca Checa</v>
      </c>
      <c r="F116" s="392"/>
      <c r="H116" s="383"/>
      <c r="I116" s="408" t="str">
        <f t="shared" ca="1" si="0"/>
        <v>Belgica</v>
      </c>
      <c r="J116" s="408" t="str">
        <f t="shared" si="1"/>
        <v/>
      </c>
      <c r="K116" s="408" t="str">
        <f t="shared" si="2"/>
        <v/>
      </c>
      <c r="L116" s="408" t="str">
        <f t="shared" ca="1" si="3"/>
        <v>Repubilca Checa</v>
      </c>
    </row>
    <row r="117" spans="1:12" ht="14.25" customHeight="1" x14ac:dyDescent="0.25">
      <c r="A117" s="405" t="s">
        <v>231</v>
      </c>
      <c r="B117" s="406" t="str">
        <f ca="1">+_xlfn.XLOOKUP($A117,'Round of 32 &amp; Round of 16'!$G:$G,'Round of 32 &amp; Round of 16'!H:H,"-",0)</f>
        <v>Colombia</v>
      </c>
      <c r="C117" s="405">
        <f>+_xlfn.XLOOKUP($A117,'Round of 32 &amp; Round of 16'!$G:$G,'Round of 32 &amp; Round of 16'!I:I,"-",0)</f>
        <v>1</v>
      </c>
      <c r="D117" s="407">
        <f>+_xlfn.XLOOKUP($A117,'Round of 32 &amp; Round of 16'!$G:$G,'Round of 32 &amp; Round of 16'!J:J,"-",0)</f>
        <v>2</v>
      </c>
      <c r="E117" s="407" t="str">
        <f ca="1">+_xlfn.XLOOKUP($A117,'Round of 32 &amp; Round of 16'!$G:$G,'Round of 32 &amp; Round of 16'!K:K,"-",0)</f>
        <v>Croacia</v>
      </c>
      <c r="F117" s="392"/>
      <c r="H117" s="383"/>
      <c r="I117" s="408" t="str">
        <f t="shared" ca="1" si="0"/>
        <v>Croacia</v>
      </c>
      <c r="J117" s="408" t="str">
        <f t="shared" si="1"/>
        <v/>
      </c>
      <c r="K117" s="408" t="str">
        <f t="shared" si="2"/>
        <v/>
      </c>
      <c r="L117" s="408" t="str">
        <f t="shared" ca="1" si="3"/>
        <v>Colombia</v>
      </c>
    </row>
    <row r="118" spans="1:12" ht="14.25" customHeight="1" x14ac:dyDescent="0.25">
      <c r="A118" s="405" t="s">
        <v>240</v>
      </c>
      <c r="B118" s="406" t="str">
        <f ca="1">+_xlfn.XLOOKUP($A118,'Round of 32 &amp; Round of 16'!$G:$G,'Round of 32 &amp; Round of 16'!H:H,"-",0)</f>
        <v>España</v>
      </c>
      <c r="C118" s="405">
        <f>+_xlfn.XLOOKUP($A118,'Round of 32 &amp; Round of 16'!$G:$G,'Round of 32 &amp; Round of 16'!I:I,"-",0)</f>
        <v>3</v>
      </c>
      <c r="D118" s="407">
        <f>+_xlfn.XLOOKUP($A118,'Round of 32 &amp; Round of 16'!$G:$G,'Round of 32 &amp; Round of 16'!J:J,"-",0)</f>
        <v>1</v>
      </c>
      <c r="E118" s="407" t="str">
        <f ca="1">+_xlfn.XLOOKUP($A118,'Round of 32 &amp; Round of 16'!$G:$G,'Round of 32 &amp; Round of 16'!K:K,"-",0)</f>
        <v>Austria</v>
      </c>
      <c r="F118" s="392"/>
      <c r="H118" s="383"/>
      <c r="I118" s="408" t="str">
        <f t="shared" ca="1" si="0"/>
        <v>España</v>
      </c>
      <c r="J118" s="408" t="str">
        <f t="shared" si="1"/>
        <v/>
      </c>
      <c r="K118" s="408" t="str">
        <f t="shared" si="2"/>
        <v/>
      </c>
      <c r="L118" s="408" t="str">
        <f t="shared" ca="1" si="3"/>
        <v>Austria</v>
      </c>
    </row>
    <row r="119" spans="1:12" ht="14.25" customHeight="1" x14ac:dyDescent="0.25">
      <c r="A119" s="405" t="s">
        <v>250</v>
      </c>
      <c r="B119" s="406" t="str">
        <f ca="1">+_xlfn.XLOOKUP($A119,'Round of 32 &amp; Round of 16'!$G:$G,'Round of 32 &amp; Round of 16'!H:H,"-",0)</f>
        <v>Suiza</v>
      </c>
      <c r="C119" s="405">
        <f>+_xlfn.XLOOKUP($A119,'Round of 32 &amp; Round of 16'!$G:$G,'Round of 32 &amp; Round of 16'!I:I,"-",0)</f>
        <v>2</v>
      </c>
      <c r="D119" s="407">
        <f>+_xlfn.XLOOKUP($A119,'Round of 32 &amp; Round of 16'!$G:$G,'Round of 32 &amp; Round of 16'!J:J,"-",0)</f>
        <v>0</v>
      </c>
      <c r="E119" s="407" t="str">
        <f ca="1">+_xlfn.XLOOKUP($A119,'Round of 32 &amp; Round of 16'!$G:$G,'Round of 32 &amp; Round of 16'!K:K,"-",0)</f>
        <v>Nueva Zelanda</v>
      </c>
      <c r="F119" s="392"/>
      <c r="H119" s="383"/>
      <c r="I119" s="408" t="str">
        <f t="shared" ca="1" si="0"/>
        <v>Suiza</v>
      </c>
      <c r="J119" s="408" t="str">
        <f t="shared" si="1"/>
        <v/>
      </c>
      <c r="K119" s="408" t="str">
        <f t="shared" si="2"/>
        <v/>
      </c>
      <c r="L119" s="408" t="str">
        <f t="shared" ca="1" si="3"/>
        <v>Nueva Zelanda</v>
      </c>
    </row>
    <row r="120" spans="1:12" ht="14.25" customHeight="1" x14ac:dyDescent="0.25">
      <c r="A120" s="405" t="s">
        <v>258</v>
      </c>
      <c r="B120" s="406" t="str">
        <f ca="1">+_xlfn.XLOOKUP($A120,'Round of 32 &amp; Round of 16'!$G:$G,'Round of 32 &amp; Round of 16'!H:H,"-",0)</f>
        <v>Argentina</v>
      </c>
      <c r="C120" s="405">
        <f>+_xlfn.XLOOKUP($A120,'Round of 32 &amp; Round of 16'!$G:$G,'Round of 32 &amp; Round of 16'!I:I,"-",0)</f>
        <v>2</v>
      </c>
      <c r="D120" s="407">
        <f>+_xlfn.XLOOKUP($A120,'Round of 32 &amp; Round of 16'!$G:$G,'Round of 32 &amp; Round of 16'!J:J,"-",0)</f>
        <v>1</v>
      </c>
      <c r="E120" s="407" t="str">
        <f ca="1">+_xlfn.XLOOKUP($A120,'Round of 32 &amp; Round of 16'!$G:$G,'Round of 32 &amp; Round of 16'!K:K,"-",0)</f>
        <v>Uruguay</v>
      </c>
      <c r="F120" s="392"/>
      <c r="H120" s="383"/>
      <c r="I120" s="408" t="str">
        <f t="shared" ca="1" si="0"/>
        <v>Argentina</v>
      </c>
      <c r="J120" s="408" t="str">
        <f t="shared" si="1"/>
        <v/>
      </c>
      <c r="K120" s="408" t="str">
        <f t="shared" si="2"/>
        <v/>
      </c>
      <c r="L120" s="408" t="str">
        <f t="shared" ca="1" si="3"/>
        <v>Uruguay</v>
      </c>
    </row>
    <row r="121" spans="1:12" ht="14.25" customHeight="1" x14ac:dyDescent="0.25">
      <c r="A121" s="405" t="s">
        <v>267</v>
      </c>
      <c r="B121" s="406" t="str">
        <f ca="1">+_xlfn.XLOOKUP($A121,'Round of 32 &amp; Round of 16'!$G:$G,'Round of 32 &amp; Round of 16'!H:H,"-",0)</f>
        <v>Portugal</v>
      </c>
      <c r="C121" s="405">
        <f>+_xlfn.XLOOKUP($A121,'Round of 32 &amp; Round of 16'!$G:$G,'Round of 32 &amp; Round of 16'!I:I,"-",0)</f>
        <v>2</v>
      </c>
      <c r="D121" s="407">
        <f>+_xlfn.XLOOKUP($A121,'Round of 32 &amp; Round of 16'!$G:$G,'Round of 32 &amp; Round of 16'!J:J,"-",0)</f>
        <v>1</v>
      </c>
      <c r="E121" s="407" t="str">
        <f ca="1">+_xlfn.XLOOKUP($A121,'Round of 32 &amp; Round of 16'!$G:$G,'Round of 32 &amp; Round of 16'!K:K,"-",0)</f>
        <v>Ghana</v>
      </c>
      <c r="F121" s="392"/>
      <c r="H121" s="383"/>
      <c r="I121" s="408" t="str">
        <f t="shared" ca="1" si="0"/>
        <v>Portugal</v>
      </c>
      <c r="J121" s="408" t="str">
        <f t="shared" si="1"/>
        <v/>
      </c>
      <c r="K121" s="408" t="str">
        <f t="shared" si="2"/>
        <v/>
      </c>
      <c r="L121" s="408" t="str">
        <f t="shared" ca="1" si="3"/>
        <v>Ghana</v>
      </c>
    </row>
    <row r="122" spans="1:12" ht="14.25" customHeight="1" x14ac:dyDescent="0.25">
      <c r="A122" s="409" t="s">
        <v>274</v>
      </c>
      <c r="B122" s="410" t="str">
        <f ca="1">+_xlfn.XLOOKUP($A122,'Round of 32 &amp; Round of 16'!$G:$G,'Round of 32 &amp; Round of 16'!H:H,"-",0)</f>
        <v>Paraguay</v>
      </c>
      <c r="C122" s="409">
        <f>+_xlfn.XLOOKUP($A122,'Round of 32 &amp; Round of 16'!$G:$G,'Round of 32 &amp; Round of 16'!I:I,"-",0)</f>
        <v>1</v>
      </c>
      <c r="D122" s="411">
        <f>+_xlfn.XLOOKUP($A122,'Round of 32 &amp; Round of 16'!$G:$G,'Round of 32 &amp; Round of 16'!J:J,"-",0)</f>
        <v>2</v>
      </c>
      <c r="E122" s="411" t="str">
        <f ca="1">+_xlfn.XLOOKUP($A122,'Round of 32 &amp; Round of 16'!$G:$G,'Round of 32 &amp; Round of 16'!K:K,"-",0)</f>
        <v>Iran</v>
      </c>
      <c r="F122" s="392"/>
      <c r="H122" s="383"/>
      <c r="I122" s="412" t="str">
        <f t="shared" ca="1" si="0"/>
        <v>Iran</v>
      </c>
      <c r="J122" s="412" t="str">
        <f t="shared" si="1"/>
        <v/>
      </c>
      <c r="K122" s="412" t="str">
        <f t="shared" si="2"/>
        <v/>
      </c>
      <c r="L122" s="412" t="str">
        <f t="shared" ca="1" si="3"/>
        <v>Paraguay</v>
      </c>
    </row>
    <row r="123" spans="1:12" ht="14.25" customHeight="1" x14ac:dyDescent="0.25">
      <c r="A123" s="413" t="s">
        <v>215</v>
      </c>
      <c r="B123" s="414" t="str">
        <f ca="1">+_xlfn.XLOOKUP($A123,'Round of 32 &amp; Round of 16'!$O:$O,'Round of 32 &amp; Round of 16'!P:P,"-",0)</f>
        <v>Alemania</v>
      </c>
      <c r="C123" s="413">
        <f>+_xlfn.XLOOKUP($A123,'Round of 32 &amp; Round of 16'!$O:$O,'Round of 32 &amp; Round of 16'!Q:Q,"-",0)</f>
        <v>2</v>
      </c>
      <c r="D123" s="415">
        <f>+_xlfn.XLOOKUP($A123,'Round of 32 &amp; Round of 16'!$O:$O,'Round of 32 &amp; Round of 16'!R:R,"-",0)</f>
        <v>3</v>
      </c>
      <c r="E123" s="415" t="str">
        <f ca="1">+_xlfn.XLOOKUP($A123,'Round of 32 &amp; Round of 16'!$O:$O,'Round of 32 &amp; Round of 16'!S:S,"-",0)</f>
        <v>Francia</v>
      </c>
      <c r="F123" s="392"/>
      <c r="H123" s="383"/>
      <c r="I123" s="404" t="str">
        <f t="shared" ca="1" si="0"/>
        <v>Francia</v>
      </c>
      <c r="J123" s="404" t="str">
        <f t="shared" si="1"/>
        <v/>
      </c>
      <c r="K123" s="404" t="str">
        <f t="shared" si="2"/>
        <v/>
      </c>
      <c r="L123" s="404" t="str">
        <f t="shared" ca="1" si="3"/>
        <v>Alemania</v>
      </c>
    </row>
    <row r="124" spans="1:12" ht="14.25" customHeight="1" x14ac:dyDescent="0.25">
      <c r="A124" s="416" t="s">
        <v>232</v>
      </c>
      <c r="B124" s="417" t="str">
        <f ca="1">+_xlfn.XLOOKUP($A124,'Round of 32 &amp; Round of 16'!$O:$O,'Round of 32 &amp; Round of 16'!P:P,"-",0)</f>
        <v>Corea del Sur</v>
      </c>
      <c r="C124" s="416">
        <f>+_xlfn.XLOOKUP($A124,'Round of 32 &amp; Round of 16'!$O:$O,'Round of 32 &amp; Round of 16'!Q:Q,"-",0)</f>
        <v>0</v>
      </c>
      <c r="D124" s="418">
        <f>+_xlfn.XLOOKUP($A124,'Round of 32 &amp; Round of 16'!$O:$O,'Round of 32 &amp; Round of 16'!R:R,"-",0)</f>
        <v>2</v>
      </c>
      <c r="E124" s="418" t="str">
        <f ca="1">+_xlfn.XLOOKUP($A124,'Round of 32 &amp; Round of 16'!$O:$O,'Round of 32 &amp; Round of 16'!S:S,"-",0)</f>
        <v>Paises Bajos</v>
      </c>
      <c r="F124" s="392"/>
      <c r="H124" s="383"/>
      <c r="I124" s="408" t="str">
        <f t="shared" ca="1" si="0"/>
        <v>Paises Bajos</v>
      </c>
      <c r="J124" s="408" t="str">
        <f t="shared" si="1"/>
        <v/>
      </c>
      <c r="K124" s="408" t="str">
        <f t="shared" si="2"/>
        <v/>
      </c>
      <c r="L124" s="408" t="str">
        <f t="shared" ca="1" si="3"/>
        <v>Corea del Sur</v>
      </c>
    </row>
    <row r="125" spans="1:12" ht="14.25" customHeight="1" x14ac:dyDescent="0.25">
      <c r="A125" s="416" t="s">
        <v>251</v>
      </c>
      <c r="B125" s="417" t="str">
        <f ca="1">+_xlfn.XLOOKUP($A125,'Round of 32 &amp; Round of 16'!$O:$O,'Round of 32 &amp; Round of 16'!P:P,"-",0)</f>
        <v>Brasil</v>
      </c>
      <c r="C125" s="416">
        <f>+_xlfn.XLOOKUP($A125,'Round of 32 &amp; Round of 16'!$O:$O,'Round of 32 &amp; Round of 16'!Q:Q,"-",0)</f>
        <v>2</v>
      </c>
      <c r="D125" s="418">
        <f>+_xlfn.XLOOKUP($A125,'Round of 32 &amp; Round of 16'!$O:$O,'Round of 32 &amp; Round of 16'!R:R,"-",0)</f>
        <v>1</v>
      </c>
      <c r="E125" s="418" t="str">
        <f ca="1">+_xlfn.XLOOKUP($A125,'Round of 32 &amp; Round of 16'!$O:$O,'Round of 32 &amp; Round of 16'!S:S,"-",0)</f>
        <v>Noruega</v>
      </c>
      <c r="F125" s="392"/>
      <c r="H125" s="383"/>
      <c r="I125" s="408" t="str">
        <f t="shared" ca="1" si="0"/>
        <v>Brasil</v>
      </c>
      <c r="J125" s="408" t="str">
        <f t="shared" si="1"/>
        <v/>
      </c>
      <c r="K125" s="408" t="str">
        <f t="shared" si="2"/>
        <v/>
      </c>
      <c r="L125" s="408" t="str">
        <f t="shared" ca="1" si="3"/>
        <v>Noruega</v>
      </c>
    </row>
    <row r="126" spans="1:12" ht="14.25" customHeight="1" x14ac:dyDescent="0.25">
      <c r="A126" s="419" t="s">
        <v>268</v>
      </c>
      <c r="B126" s="420" t="str">
        <f ca="1">+_xlfn.XLOOKUP($A126,'Round of 32 &amp; Round of 16'!$O:$O,'Round of 32 &amp; Round of 16'!P:P,"-",0)</f>
        <v>Mexico</v>
      </c>
      <c r="C126" s="419">
        <f>+_xlfn.XLOOKUP($A126,'Round of 32 &amp; Round of 16'!$O:$O,'Round of 32 &amp; Round of 16'!Q:Q,"-",0)</f>
        <v>1</v>
      </c>
      <c r="D126" s="421">
        <f>+_xlfn.XLOOKUP($A126,'Round of 32 &amp; Round of 16'!$O:$O,'Round of 32 &amp; Round of 16'!R:R,"-",0)</f>
        <v>2</v>
      </c>
      <c r="E126" s="421" t="str">
        <f ca="1">+_xlfn.XLOOKUP($A126,'Round of 32 &amp; Round of 16'!$O:$O,'Round of 32 &amp; Round of 16'!S:S,"-",0)</f>
        <v>Inglaterra</v>
      </c>
      <c r="F126" s="392"/>
      <c r="H126" s="383"/>
      <c r="I126" s="412" t="str">
        <f t="shared" ca="1" si="0"/>
        <v>Inglaterra</v>
      </c>
      <c r="J126" s="412" t="str">
        <f t="shared" si="1"/>
        <v/>
      </c>
      <c r="K126" s="412" t="str">
        <f t="shared" si="2"/>
        <v/>
      </c>
      <c r="L126" s="412" t="str">
        <f t="shared" ca="1" si="3"/>
        <v>Mexico</v>
      </c>
    </row>
    <row r="127" spans="1:12" ht="14.25" customHeight="1" x14ac:dyDescent="0.25">
      <c r="A127" s="413" t="s">
        <v>216</v>
      </c>
      <c r="B127" s="414" t="str">
        <f ca="1">+_xlfn.XLOOKUP($A127,'Round of 32 &amp; Round of 16'!$U:$U,'Round of 32 &amp; Round of 16'!V:V,"-",0)</f>
        <v>Croacia</v>
      </c>
      <c r="C127" s="413">
        <f>+_xlfn.XLOOKUP($A127,'Round of 32 &amp; Round of 16'!$U:$U,'Round of 32 &amp; Round of 16'!W:W,"-",0)</f>
        <v>2</v>
      </c>
      <c r="D127" s="415">
        <f>+_xlfn.XLOOKUP($A127,'Round of 32 &amp; Round of 16'!$U:$U,'Round of 32 &amp; Round of 16'!X:X,"-",0)</f>
        <v>3</v>
      </c>
      <c r="E127" s="415" t="str">
        <f ca="1">+_xlfn.XLOOKUP($A127,'Round of 32 &amp; Round of 16'!$U:$U,'Round of 32 &amp; Round of 16'!Y:Y,"-",0)</f>
        <v>España</v>
      </c>
      <c r="F127" s="392"/>
      <c r="H127" s="383"/>
      <c r="I127" s="404" t="str">
        <f t="shared" ca="1" si="0"/>
        <v>España</v>
      </c>
      <c r="J127" s="404" t="str">
        <f t="shared" si="1"/>
        <v/>
      </c>
      <c r="K127" s="404" t="str">
        <f t="shared" si="2"/>
        <v/>
      </c>
      <c r="L127" s="404" t="str">
        <f t="shared" ca="1" si="3"/>
        <v>Croacia</v>
      </c>
    </row>
    <row r="128" spans="1:12" ht="14.25" customHeight="1" x14ac:dyDescent="0.25">
      <c r="A128" s="416" t="s">
        <v>233</v>
      </c>
      <c r="B128" s="417" t="str">
        <f ca="1">+_xlfn.XLOOKUP($A128,'Round of 32 &amp; Round of 16'!$U:$U,'Round of 32 &amp; Round of 16'!V:V,"-",0)</f>
        <v>Turquia</v>
      </c>
      <c r="C128" s="416">
        <f>+_xlfn.XLOOKUP($A128,'Round of 32 &amp; Round of 16'!$U:$U,'Round of 32 &amp; Round of 16'!W:W,"-",0)</f>
        <v>1</v>
      </c>
      <c r="D128" s="418">
        <f>+_xlfn.XLOOKUP($A128,'Round of 32 &amp; Round of 16'!$U:$U,'Round of 32 &amp; Round of 16'!X:X,"-",0)</f>
        <v>2</v>
      </c>
      <c r="E128" s="418" t="str">
        <f ca="1">+_xlfn.XLOOKUP($A128,'Round of 32 &amp; Round of 16'!$U:$U,'Round of 32 &amp; Round of 16'!Y:Y,"-",0)</f>
        <v>Belgica</v>
      </c>
      <c r="F128" s="392"/>
      <c r="H128" s="383"/>
      <c r="I128" s="408" t="str">
        <f t="shared" ca="1" si="0"/>
        <v>Belgica</v>
      </c>
      <c r="J128" s="408" t="str">
        <f t="shared" si="1"/>
        <v/>
      </c>
      <c r="K128" s="408" t="str">
        <f t="shared" si="2"/>
        <v/>
      </c>
      <c r="L128" s="408" t="str">
        <f t="shared" ca="1" si="3"/>
        <v>Turquia</v>
      </c>
    </row>
    <row r="129" spans="1:17" ht="14.25" customHeight="1" x14ac:dyDescent="0.25">
      <c r="A129" s="416" t="s">
        <v>252</v>
      </c>
      <c r="B129" s="417" t="str">
        <f ca="1">+_xlfn.XLOOKUP($A129,'Round of 32 &amp; Round of 16'!$U:$U,'Round of 32 &amp; Round of 16'!V:V,"-",0)</f>
        <v>Argentina</v>
      </c>
      <c r="C129" s="416">
        <f>+_xlfn.XLOOKUP($A129,'Round of 32 &amp; Round of 16'!$U:$U,'Round of 32 &amp; Round of 16'!W:W,"-",0)</f>
        <v>2</v>
      </c>
      <c r="D129" s="418">
        <f>+_xlfn.XLOOKUP($A129,'Round of 32 &amp; Round of 16'!$U:$U,'Round of 32 &amp; Round of 16'!X:X,"-",0)</f>
        <v>1</v>
      </c>
      <c r="E129" s="418" t="str">
        <f ca="1">+_xlfn.XLOOKUP($A129,'Round of 32 &amp; Round of 16'!$U:$U,'Round of 32 &amp; Round of 16'!Y:Y,"-",0)</f>
        <v>Iran</v>
      </c>
      <c r="F129" s="392"/>
      <c r="H129" s="383"/>
      <c r="I129" s="408" t="str">
        <f t="shared" ca="1" si="0"/>
        <v>Argentina</v>
      </c>
      <c r="J129" s="408" t="str">
        <f t="shared" si="1"/>
        <v/>
      </c>
      <c r="K129" s="408" t="str">
        <f t="shared" si="2"/>
        <v/>
      </c>
      <c r="L129" s="408" t="str">
        <f t="shared" ca="1" si="3"/>
        <v>Iran</v>
      </c>
    </row>
    <row r="130" spans="1:17" ht="14.25" customHeight="1" x14ac:dyDescent="0.25">
      <c r="A130" s="419" t="s">
        <v>269</v>
      </c>
      <c r="B130" s="420" t="str">
        <f ca="1">+_xlfn.XLOOKUP($A130,'Round of 32 &amp; Round of 16'!$U:$U,'Round of 32 &amp; Round of 16'!V:V,"-",0)</f>
        <v>Suiza</v>
      </c>
      <c r="C130" s="419">
        <f>+_xlfn.XLOOKUP($A130,'Round of 32 &amp; Round of 16'!$U:$U,'Round of 32 &amp; Round of 16'!W:W,"-",0)</f>
        <v>1</v>
      </c>
      <c r="D130" s="421">
        <f>+_xlfn.XLOOKUP($A130,'Round of 32 &amp; Round of 16'!$U:$U,'Round of 32 &amp; Round of 16'!X:X,"-",0)</f>
        <v>2</v>
      </c>
      <c r="E130" s="421" t="str">
        <f ca="1">+_xlfn.XLOOKUP($A130,'Round of 32 &amp; Round of 16'!$U:$U,'Round of 32 &amp; Round of 16'!Y:Y,"-",0)</f>
        <v>Portugal</v>
      </c>
      <c r="F130" s="392"/>
      <c r="H130" s="383"/>
      <c r="I130" s="412" t="str">
        <f t="shared" ca="1" si="0"/>
        <v>Portugal</v>
      </c>
      <c r="J130" s="412" t="str">
        <f t="shared" si="1"/>
        <v/>
      </c>
      <c r="K130" s="412" t="str">
        <f t="shared" si="2"/>
        <v/>
      </c>
      <c r="L130" s="412" t="str">
        <f t="shared" ca="1" si="3"/>
        <v>Suiza</v>
      </c>
    </row>
    <row r="131" spans="1:17" ht="14.25" customHeight="1" x14ac:dyDescent="0.25">
      <c r="A131" s="422" t="s">
        <v>277</v>
      </c>
      <c r="B131" s="507" t="str" cm="1">
        <f t="array" aca="1" ref="B131:E131" ca="1">+_xlfn.XLOOKUP($A131,'Quarter, Semis &amp; Final'!$A:$A,'Quarter, Semis &amp; Final'!B:E,"-",0)</f>
        <v>Francia</v>
      </c>
      <c r="C131" s="508">
        <f ca="1"/>
        <v>2</v>
      </c>
      <c r="D131" s="509">
        <f ca="1"/>
        <v>1</v>
      </c>
      <c r="E131" s="509" t="str">
        <f ca="1"/>
        <v>Paises Bajos</v>
      </c>
      <c r="F131" s="392"/>
      <c r="H131" s="383"/>
      <c r="I131" s="408" t="str">
        <f t="shared" ca="1" si="0"/>
        <v>Francia</v>
      </c>
      <c r="J131" s="404" t="str">
        <f t="shared" ca="1" si="1"/>
        <v/>
      </c>
      <c r="K131" s="408" t="str">
        <f t="shared" ca="1" si="2"/>
        <v/>
      </c>
      <c r="L131" s="408" t="str">
        <f t="shared" ca="1" si="3"/>
        <v>Paises Bajos</v>
      </c>
      <c r="N131" s="468"/>
      <c r="O131" s="468"/>
      <c r="P131" s="468"/>
      <c r="Q131" s="468"/>
    </row>
    <row r="132" spans="1:17" ht="14.25" customHeight="1" x14ac:dyDescent="0.25">
      <c r="A132" s="422" t="s">
        <v>282</v>
      </c>
      <c r="B132" s="510" t="str" cm="1">
        <f t="array" aca="1" ref="B132:E132" ca="1">+_xlfn.XLOOKUP($A132,'Quarter, Semis &amp; Final'!$A:$A,'Quarter, Semis &amp; Final'!B:E,"-",0)</f>
        <v>España</v>
      </c>
      <c r="C132" s="508">
        <f ca="1"/>
        <v>2</v>
      </c>
      <c r="D132" s="509">
        <f ca="1"/>
        <v>1</v>
      </c>
      <c r="E132" s="509" t="str">
        <f ca="1"/>
        <v>Belgica</v>
      </c>
      <c r="F132" s="392"/>
      <c r="H132" s="383"/>
      <c r="I132" s="408" t="str">
        <f t="shared" ca="1" si="0"/>
        <v>España</v>
      </c>
      <c r="J132" s="408" t="str">
        <f t="shared" ca="1" si="1"/>
        <v/>
      </c>
      <c r="K132" s="408" t="str">
        <f t="shared" ca="1" si="2"/>
        <v/>
      </c>
      <c r="L132" s="408" t="str">
        <f t="shared" ca="1" si="3"/>
        <v>Belgica</v>
      </c>
      <c r="N132" s="468"/>
      <c r="O132" s="468"/>
      <c r="P132" s="468"/>
      <c r="Q132" s="468"/>
    </row>
    <row r="133" spans="1:17" ht="14.25" customHeight="1" x14ac:dyDescent="0.25">
      <c r="A133" s="422" t="s">
        <v>278</v>
      </c>
      <c r="B133" s="510" t="str" cm="1">
        <f t="array" aca="1" ref="B133:E133" ca="1">+_xlfn.XLOOKUP($A133,'Quarter, Semis &amp; Final'!$G:$G,'Quarter, Semis &amp; Final'!H:K,"-",0)</f>
        <v>Brasil</v>
      </c>
      <c r="C133" s="508">
        <f ca="1"/>
        <v>2</v>
      </c>
      <c r="D133" s="509">
        <f ca="1"/>
        <v>2</v>
      </c>
      <c r="E133" s="509" t="str">
        <f ca="1"/>
        <v>Inglaterra</v>
      </c>
      <c r="F133" s="392"/>
      <c r="H133" s="383"/>
      <c r="I133" s="408" t="str">
        <f t="shared" ca="1" si="0"/>
        <v/>
      </c>
      <c r="J133" s="408" t="str">
        <f t="shared" ca="1" si="1"/>
        <v>Brasil</v>
      </c>
      <c r="K133" s="408" t="str">
        <f t="shared" ca="1" si="2"/>
        <v>Inglaterra</v>
      </c>
      <c r="L133" s="408" t="str">
        <f t="shared" ca="1" si="3"/>
        <v/>
      </c>
    </row>
    <row r="134" spans="1:17" ht="14.25" customHeight="1" x14ac:dyDescent="0.25">
      <c r="A134" s="422" t="s">
        <v>283</v>
      </c>
      <c r="B134" s="510" t="str" cm="1">
        <f t="array" aca="1" ref="B134:E134" ca="1">+_xlfn.XLOOKUP($A134,'Quarter, Semis &amp; Final'!$G:$G,'Quarter, Semis &amp; Final'!H:K,"-",0)</f>
        <v>Argentina</v>
      </c>
      <c r="C134" s="508">
        <f ca="1"/>
        <v>3</v>
      </c>
      <c r="D134" s="509">
        <f ca="1"/>
        <v>2</v>
      </c>
      <c r="E134" s="509" t="str">
        <f ca="1"/>
        <v>Portugal</v>
      </c>
      <c r="F134" s="392"/>
      <c r="H134" s="383"/>
      <c r="I134" s="408" t="str">
        <f t="shared" ca="1" si="0"/>
        <v>Argentina</v>
      </c>
      <c r="J134" s="408" t="str">
        <f t="shared" ca="1" si="1"/>
        <v/>
      </c>
      <c r="K134" s="408" t="str">
        <f t="shared" ca="1" si="2"/>
        <v/>
      </c>
      <c r="L134" s="408" t="str">
        <f t="shared" ca="1" si="3"/>
        <v>Portugal</v>
      </c>
    </row>
    <row r="135" spans="1:17" ht="14.25" customHeight="1" x14ac:dyDescent="0.25">
      <c r="A135" s="423" t="s">
        <v>288</v>
      </c>
      <c r="B135" s="511" t="str" cm="1">
        <f t="array" aca="1" ref="B135:E135" ca="1">+_xlfn.XLOOKUP($A135,'Quarter, Semis &amp; Final'!$A:$A,'Quarter, Semis &amp; Final'!B:E,"-",0)</f>
        <v>Francia</v>
      </c>
      <c r="C135" s="512">
        <f ca="1"/>
        <v>3</v>
      </c>
      <c r="D135" s="513">
        <f ca="1"/>
        <v>2</v>
      </c>
      <c r="E135" s="513" t="str">
        <f ca="1"/>
        <v>España</v>
      </c>
      <c r="F135" s="392"/>
      <c r="H135" s="383"/>
      <c r="I135" s="408" t="str">
        <f t="shared" ca="1" si="0"/>
        <v>Francia</v>
      </c>
      <c r="J135" s="408" t="str">
        <f t="shared" ca="1" si="1"/>
        <v/>
      </c>
      <c r="K135" s="408" t="str">
        <f t="shared" ca="1" si="2"/>
        <v/>
      </c>
      <c r="L135" s="408" t="str">
        <f t="shared" ca="1" si="3"/>
        <v>España</v>
      </c>
    </row>
    <row r="136" spans="1:17" ht="14.25" customHeight="1" x14ac:dyDescent="0.25">
      <c r="A136" s="423" t="s">
        <v>289</v>
      </c>
      <c r="B136" s="511" t="str" cm="1">
        <f t="array" aca="1" ref="B136:E136" ca="1">+_xlfn.XLOOKUP($A136,'Quarter, Semis &amp; Final'!$G:$G,'Quarter, Semis &amp; Final'!H:K,"-",0)</f>
        <v>Brasil</v>
      </c>
      <c r="C136" s="512">
        <f ca="1"/>
        <v>2</v>
      </c>
      <c r="D136" s="513">
        <f ca="1"/>
        <v>2</v>
      </c>
      <c r="E136" s="513" t="str">
        <f ca="1"/>
        <v>Argentina</v>
      </c>
      <c r="F136" s="392"/>
      <c r="H136" s="383"/>
      <c r="I136" s="408" t="str">
        <f t="shared" ca="1" si="0"/>
        <v/>
      </c>
      <c r="J136" s="408" t="str">
        <f t="shared" ca="1" si="1"/>
        <v>Brasil</v>
      </c>
      <c r="K136" s="408" t="str">
        <f t="shared" ca="1" si="2"/>
        <v>Argentina</v>
      </c>
      <c r="L136" s="408" t="str">
        <f t="shared" ca="1" si="3"/>
        <v/>
      </c>
    </row>
    <row r="137" spans="1:17" ht="14.25" customHeight="1" x14ac:dyDescent="0.25">
      <c r="A137" s="424" t="s">
        <v>286</v>
      </c>
      <c r="B137" s="425" t="str">
        <f ca="1">+'Quarter, Semis &amp; Final'!P13</f>
        <v>España</v>
      </c>
      <c r="C137" s="424">
        <f>+'Quarter, Semis &amp; Final'!Q13</f>
        <v>2</v>
      </c>
      <c r="D137" s="426">
        <f>+'Quarter, Semis &amp; Final'!R13</f>
        <v>2</v>
      </c>
      <c r="E137" s="426" t="str">
        <f ca="1">+'Quarter, Semis &amp; Final'!S13</f>
        <v>Brasil</v>
      </c>
      <c r="F137" s="392"/>
      <c r="H137" s="383"/>
      <c r="I137" s="408" t="str">
        <f t="shared" si="0"/>
        <v/>
      </c>
      <c r="J137" s="408" t="str">
        <f t="shared" ca="1" si="1"/>
        <v>España</v>
      </c>
      <c r="K137" s="408" t="str">
        <f t="shared" ca="1" si="2"/>
        <v>Brasil</v>
      </c>
      <c r="L137" s="408" t="str">
        <f t="shared" si="3"/>
        <v/>
      </c>
    </row>
    <row r="138" spans="1:17" ht="14.25" customHeight="1" x14ac:dyDescent="0.25">
      <c r="A138" s="427" t="s">
        <v>279</v>
      </c>
      <c r="B138" s="428" t="str">
        <f ca="1">+'Quarter, Semis &amp; Final'!P4</f>
        <v>Francia</v>
      </c>
      <c r="C138" s="428">
        <f>+'Quarter, Semis &amp; Final'!Q4</f>
        <v>2</v>
      </c>
      <c r="D138" s="429">
        <f>+'Quarter, Semis &amp; Final'!R4</f>
        <v>3</v>
      </c>
      <c r="E138" s="429" t="str">
        <f ca="1">+'Quarter, Semis &amp; Final'!S4</f>
        <v>Argentina</v>
      </c>
      <c r="F138" s="392"/>
      <c r="H138" s="383"/>
      <c r="I138" s="412" t="str">
        <f t="shared" ca="1" si="0"/>
        <v>Argentina</v>
      </c>
      <c r="J138" s="412" t="str">
        <f t="shared" si="1"/>
        <v/>
      </c>
      <c r="K138" s="412" t="str">
        <f t="shared" si="2"/>
        <v/>
      </c>
      <c r="L138" s="412" t="str">
        <f t="shared" ca="1" si="3"/>
        <v>Francia</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7"/>
  <sheetViews>
    <sheetView workbookViewId="0"/>
  </sheetViews>
  <sheetFormatPr defaultColWidth="12.59765625" defaultRowHeight="15" customHeight="1" x14ac:dyDescent="0.25"/>
  <cols>
    <col min="1" max="1" width="11.3984375" customWidth="1"/>
    <col min="2" max="4" width="6.19921875" customWidth="1"/>
    <col min="5" max="19" width="8.59765625" customWidth="1"/>
    <col min="20" max="20" width="9.3984375" customWidth="1"/>
    <col min="21" max="21" width="8.69921875" customWidth="1"/>
    <col min="22" max="40" width="8.59765625" customWidth="1"/>
  </cols>
  <sheetData>
    <row r="1" spans="1:21" ht="14.25" customHeight="1" x14ac:dyDescent="0.3">
      <c r="A1" s="430" t="s">
        <v>307</v>
      </c>
      <c r="B1" s="430"/>
      <c r="C1" s="430"/>
      <c r="D1" s="430" t="s">
        <v>308</v>
      </c>
      <c r="E1" s="430"/>
      <c r="I1" s="430" t="s">
        <v>309</v>
      </c>
      <c r="J1" s="430"/>
      <c r="K1" s="430"/>
      <c r="L1" s="430" t="s">
        <v>308</v>
      </c>
      <c r="M1" s="430"/>
      <c r="N1" s="430"/>
      <c r="O1" s="430"/>
      <c r="P1" s="430"/>
      <c r="Q1" s="430" t="s">
        <v>310</v>
      </c>
      <c r="R1" s="430"/>
      <c r="S1" s="430"/>
      <c r="T1" s="431" t="s">
        <v>308</v>
      </c>
      <c r="U1" s="431" t="s">
        <v>311</v>
      </c>
    </row>
    <row r="2" spans="1:21" ht="14.25" customHeight="1" x14ac:dyDescent="0.3">
      <c r="A2" s="432" t="s">
        <v>213</v>
      </c>
      <c r="B2" s="433" t="s">
        <v>202</v>
      </c>
      <c r="C2" s="433" t="s">
        <v>203</v>
      </c>
      <c r="D2" s="434" t="s">
        <v>204</v>
      </c>
      <c r="E2" s="430"/>
      <c r="I2" s="432" t="s">
        <v>215</v>
      </c>
      <c r="J2" s="433" t="str">
        <f>+D3</f>
        <v>W74</v>
      </c>
      <c r="K2" s="433" t="str">
        <f>+D6</f>
        <v>W77</v>
      </c>
      <c r="L2" s="434" t="s">
        <v>209</v>
      </c>
      <c r="M2" s="430"/>
      <c r="N2" s="430"/>
      <c r="O2" s="430"/>
      <c r="P2" s="430"/>
      <c r="Q2" s="432" t="s">
        <v>288</v>
      </c>
      <c r="R2" s="433" t="str">
        <f>+L12</f>
        <v>W97</v>
      </c>
      <c r="S2" s="433" t="str">
        <f>+L13</f>
        <v>W98</v>
      </c>
      <c r="T2" s="434" t="s">
        <v>284</v>
      </c>
      <c r="U2" s="435" t="s">
        <v>312</v>
      </c>
    </row>
    <row r="3" spans="1:21" ht="14.25" customHeight="1" x14ac:dyDescent="0.3">
      <c r="A3" s="432" t="s">
        <v>221</v>
      </c>
      <c r="B3" s="433" t="s">
        <v>218</v>
      </c>
      <c r="C3" s="433" t="str">
        <f ca="1">+'Mejores 3eros'!AG3</f>
        <v>3C</v>
      </c>
      <c r="D3" s="434" t="s">
        <v>207</v>
      </c>
      <c r="E3" s="430"/>
      <c r="I3" s="432" t="s">
        <v>232</v>
      </c>
      <c r="J3" s="433" t="str">
        <f>+D2</f>
        <v>W73</v>
      </c>
      <c r="K3" s="433" t="str">
        <f>+D4</f>
        <v>W75</v>
      </c>
      <c r="L3" s="434" t="s">
        <v>228</v>
      </c>
      <c r="M3" s="430"/>
      <c r="N3" s="430"/>
      <c r="O3" s="430"/>
      <c r="P3" s="430"/>
      <c r="Q3" s="432" t="s">
        <v>289</v>
      </c>
      <c r="R3" s="433" t="str">
        <f>+L14</f>
        <v>W99</v>
      </c>
      <c r="S3" s="433" t="str">
        <f>+L15</f>
        <v>W100</v>
      </c>
      <c r="T3" s="434" t="s">
        <v>285</v>
      </c>
      <c r="U3" s="435" t="s">
        <v>313</v>
      </c>
    </row>
    <row r="4" spans="1:21" ht="14.25" customHeight="1" x14ac:dyDescent="0.3">
      <c r="A4" s="432" t="s">
        <v>230</v>
      </c>
      <c r="B4" s="433" t="s">
        <v>223</v>
      </c>
      <c r="C4" s="433" t="s">
        <v>224</v>
      </c>
      <c r="D4" s="434" t="s">
        <v>225</v>
      </c>
      <c r="E4" s="430"/>
      <c r="I4" s="432" t="s">
        <v>251</v>
      </c>
      <c r="J4" s="433" t="str">
        <f>+D5</f>
        <v>W76</v>
      </c>
      <c r="K4" s="433" t="str">
        <f>+D7</f>
        <v>W78</v>
      </c>
      <c r="L4" s="434" t="s">
        <v>245</v>
      </c>
      <c r="M4" s="430"/>
      <c r="N4" s="430"/>
      <c r="O4" s="430"/>
      <c r="P4" s="430"/>
      <c r="Q4" s="432"/>
      <c r="R4" s="433"/>
      <c r="S4" s="433"/>
      <c r="T4" s="434"/>
      <c r="U4" s="431"/>
    </row>
    <row r="5" spans="1:21" ht="14.25" customHeight="1" x14ac:dyDescent="0.3">
      <c r="A5" s="432" t="s">
        <v>239</v>
      </c>
      <c r="B5" s="433" t="s">
        <v>234</v>
      </c>
      <c r="C5" s="433" t="s">
        <v>235</v>
      </c>
      <c r="D5" s="434" t="s">
        <v>236</v>
      </c>
      <c r="E5" s="430"/>
      <c r="I5" s="432" t="s">
        <v>268</v>
      </c>
      <c r="J5" s="433" t="str">
        <f>+D8</f>
        <v>W79</v>
      </c>
      <c r="K5" s="433" t="str">
        <f>+D9</f>
        <v>W80</v>
      </c>
      <c r="L5" s="434" t="s">
        <v>264</v>
      </c>
      <c r="M5" s="430"/>
      <c r="N5" s="430"/>
      <c r="O5" s="430"/>
      <c r="P5" s="430"/>
      <c r="Q5" s="432"/>
      <c r="R5" s="433"/>
      <c r="S5" s="433"/>
      <c r="T5" s="434"/>
      <c r="U5" s="431"/>
    </row>
    <row r="6" spans="1:21" ht="14.25" customHeight="1" x14ac:dyDescent="0.3">
      <c r="A6" s="432" t="s">
        <v>249</v>
      </c>
      <c r="B6" s="433" t="s">
        <v>241</v>
      </c>
      <c r="C6" s="433" t="str">
        <f ca="1">+'Mejores 3eros'!AI3</f>
        <v>3D</v>
      </c>
      <c r="D6" s="434" t="s">
        <v>208</v>
      </c>
      <c r="E6" s="430"/>
      <c r="I6" s="432" t="s">
        <v>216</v>
      </c>
      <c r="J6" s="433" t="str">
        <f>+D12</f>
        <v>W83</v>
      </c>
      <c r="K6" s="433" t="str">
        <f>+D13</f>
        <v>W84</v>
      </c>
      <c r="L6" s="434" t="s">
        <v>212</v>
      </c>
      <c r="M6" s="430"/>
      <c r="N6" s="430"/>
      <c r="O6" s="430"/>
      <c r="P6" s="430"/>
      <c r="Q6" s="430" t="s">
        <v>314</v>
      </c>
      <c r="R6" s="430"/>
      <c r="S6" s="430"/>
      <c r="T6" s="431" t="s">
        <v>315</v>
      </c>
      <c r="U6" s="431" t="s">
        <v>316</v>
      </c>
    </row>
    <row r="7" spans="1:21" ht="14.25" customHeight="1" x14ac:dyDescent="0.3">
      <c r="A7" s="432" t="s">
        <v>257</v>
      </c>
      <c r="B7" s="433" t="s">
        <v>253</v>
      </c>
      <c r="C7" s="433" t="s">
        <v>254</v>
      </c>
      <c r="D7" s="434" t="s">
        <v>244</v>
      </c>
      <c r="E7" s="430"/>
      <c r="I7" s="432" t="s">
        <v>233</v>
      </c>
      <c r="J7" s="433" t="str">
        <f>+D10</f>
        <v>W81</v>
      </c>
      <c r="K7" s="433" t="str">
        <f>+D11</f>
        <v>W82</v>
      </c>
      <c r="L7" s="434" t="s">
        <v>229</v>
      </c>
      <c r="M7" s="430"/>
      <c r="N7" s="430"/>
      <c r="O7" s="430"/>
      <c r="P7" s="430"/>
      <c r="Q7" s="432" t="s">
        <v>286</v>
      </c>
      <c r="R7" s="435" t="str">
        <f>+U2</f>
        <v>L101</v>
      </c>
      <c r="S7" s="435" t="str">
        <f>+U3</f>
        <v>L102</v>
      </c>
      <c r="T7" s="434"/>
      <c r="U7" s="431"/>
    </row>
    <row r="8" spans="1:21" ht="14.25" customHeight="1" x14ac:dyDescent="0.3">
      <c r="A8" s="432" t="s">
        <v>266</v>
      </c>
      <c r="B8" s="433" t="s">
        <v>259</v>
      </c>
      <c r="C8" s="433" t="str">
        <f ca="1">+'Mejores 3eros'!AD3</f>
        <v>3H</v>
      </c>
      <c r="D8" s="434" t="s">
        <v>260</v>
      </c>
      <c r="E8" s="430"/>
      <c r="I8" s="432" t="s">
        <v>252</v>
      </c>
      <c r="J8" s="433" t="str">
        <f>+D15</f>
        <v>W86</v>
      </c>
      <c r="K8" s="433" t="str">
        <f>+D17</f>
        <v>W88</v>
      </c>
      <c r="L8" s="434" t="s">
        <v>248</v>
      </c>
      <c r="M8" s="430"/>
      <c r="N8" s="430"/>
      <c r="O8" s="430"/>
      <c r="P8" s="430"/>
      <c r="Q8" s="432"/>
      <c r="R8" s="433"/>
      <c r="S8" s="433"/>
      <c r="T8" s="434"/>
      <c r="U8" s="431"/>
    </row>
    <row r="9" spans="1:21" ht="14.25" customHeight="1" x14ac:dyDescent="0.3">
      <c r="A9" s="432" t="s">
        <v>273</v>
      </c>
      <c r="B9" s="433" t="s">
        <v>270</v>
      </c>
      <c r="C9" s="433" t="str">
        <f ca="1">+'Mejores 3eros'!AK3</f>
        <v>3I</v>
      </c>
      <c r="D9" s="434" t="s">
        <v>263</v>
      </c>
      <c r="E9" s="430"/>
      <c r="I9" s="432" t="s">
        <v>269</v>
      </c>
      <c r="J9" s="433" t="str">
        <f>+D14</f>
        <v>W85</v>
      </c>
      <c r="K9" s="433" t="str">
        <f>+D16</f>
        <v>W87</v>
      </c>
      <c r="L9" s="434" t="s">
        <v>265</v>
      </c>
      <c r="M9" s="430"/>
      <c r="N9" s="430"/>
      <c r="O9" s="430"/>
      <c r="P9" s="430"/>
      <c r="Q9" s="430"/>
      <c r="R9" s="430"/>
      <c r="S9" s="430"/>
      <c r="T9" s="431"/>
      <c r="U9" s="431"/>
    </row>
    <row r="10" spans="1:21" ht="14.25" customHeight="1" x14ac:dyDescent="0.3">
      <c r="A10" s="432" t="s">
        <v>214</v>
      </c>
      <c r="B10" s="433" t="s">
        <v>205</v>
      </c>
      <c r="C10" s="433" t="str">
        <f ca="1">+'Mejores 3eros'!AF3</f>
        <v>3F</v>
      </c>
      <c r="D10" s="434" t="s">
        <v>206</v>
      </c>
      <c r="E10" s="430"/>
      <c r="I10" s="430"/>
      <c r="J10" s="431"/>
      <c r="K10" s="431"/>
      <c r="L10" s="430"/>
      <c r="M10" s="430"/>
      <c r="N10" s="430"/>
      <c r="O10" s="430"/>
      <c r="P10" s="430"/>
      <c r="Q10" s="430" t="s">
        <v>16</v>
      </c>
      <c r="R10" s="430"/>
      <c r="S10" s="430"/>
      <c r="T10" s="431" t="s">
        <v>20</v>
      </c>
      <c r="U10" s="431" t="s">
        <v>317</v>
      </c>
    </row>
    <row r="11" spans="1:21" ht="14.25" customHeight="1" x14ac:dyDescent="0.3">
      <c r="A11" s="432" t="s">
        <v>222</v>
      </c>
      <c r="B11" s="433" t="s">
        <v>219</v>
      </c>
      <c r="C11" s="433" t="str">
        <f ca="1">+'Mejores 3eros'!AH3</f>
        <v>3A</v>
      </c>
      <c r="D11" s="434" t="s">
        <v>220</v>
      </c>
      <c r="E11" s="430"/>
      <c r="I11" s="430" t="s">
        <v>318</v>
      </c>
      <c r="J11" s="430"/>
      <c r="K11" s="430"/>
      <c r="L11" s="430" t="s">
        <v>308</v>
      </c>
      <c r="M11" s="430"/>
      <c r="N11" s="430"/>
      <c r="O11" s="430"/>
      <c r="P11" s="430"/>
      <c r="Q11" s="432" t="s">
        <v>279</v>
      </c>
      <c r="R11" s="433" t="str">
        <f>+T2</f>
        <v>W101</v>
      </c>
      <c r="S11" s="433" t="str">
        <f>+T3</f>
        <v>W102</v>
      </c>
      <c r="T11" s="434"/>
      <c r="U11" s="431"/>
    </row>
    <row r="12" spans="1:21" ht="14.25" customHeight="1" x14ac:dyDescent="0.3">
      <c r="A12" s="432" t="s">
        <v>231</v>
      </c>
      <c r="B12" s="433" t="s">
        <v>226</v>
      </c>
      <c r="C12" s="433" t="s">
        <v>227</v>
      </c>
      <c r="D12" s="434" t="s">
        <v>210</v>
      </c>
      <c r="E12" s="430"/>
      <c r="I12" s="432" t="s">
        <v>277</v>
      </c>
      <c r="J12" s="433" t="str">
        <f>+L2</f>
        <v>W89</v>
      </c>
      <c r="K12" s="433" t="str">
        <f>+L3</f>
        <v>W90</v>
      </c>
      <c r="L12" s="434" t="s">
        <v>275</v>
      </c>
      <c r="M12" s="430"/>
      <c r="N12" s="430"/>
      <c r="O12" s="430"/>
      <c r="P12" s="430"/>
      <c r="Q12" s="430"/>
      <c r="R12" s="430"/>
      <c r="S12" s="430"/>
      <c r="T12" s="431"/>
      <c r="U12" s="431"/>
    </row>
    <row r="13" spans="1:21" ht="14.25" customHeight="1" x14ac:dyDescent="0.3">
      <c r="A13" s="432" t="s">
        <v>240</v>
      </c>
      <c r="B13" s="433" t="s">
        <v>237</v>
      </c>
      <c r="C13" s="433" t="s">
        <v>238</v>
      </c>
      <c r="D13" s="434" t="s">
        <v>211</v>
      </c>
      <c r="E13" s="430"/>
      <c r="I13" s="432" t="s">
        <v>282</v>
      </c>
      <c r="J13" s="433" t="str">
        <f>+L6</f>
        <v>W93</v>
      </c>
      <c r="K13" s="433" t="str">
        <f>+L7</f>
        <v>W94</v>
      </c>
      <c r="L13" s="434" t="s">
        <v>280</v>
      </c>
      <c r="M13" s="430"/>
      <c r="N13" s="430"/>
      <c r="O13" s="430"/>
      <c r="P13" s="430"/>
      <c r="Q13" s="430"/>
      <c r="R13" s="430"/>
      <c r="S13" s="430"/>
      <c r="T13" s="431"/>
      <c r="U13" s="431"/>
    </row>
    <row r="14" spans="1:21" ht="14.25" customHeight="1" x14ac:dyDescent="0.3">
      <c r="A14" s="432" t="s">
        <v>250</v>
      </c>
      <c r="B14" s="433" t="s">
        <v>242</v>
      </c>
      <c r="C14" s="433" t="str">
        <f ca="1">+'Mejores 3eros'!AE3</f>
        <v>3G</v>
      </c>
      <c r="D14" s="434" t="s">
        <v>243</v>
      </c>
      <c r="E14" s="430"/>
      <c r="I14" s="432" t="s">
        <v>278</v>
      </c>
      <c r="J14" s="433" t="str">
        <f>+L4</f>
        <v>W91</v>
      </c>
      <c r="K14" s="433" t="str">
        <f>+L5</f>
        <v>W92</v>
      </c>
      <c r="L14" s="434" t="s">
        <v>276</v>
      </c>
      <c r="M14" s="430"/>
      <c r="N14" s="430"/>
      <c r="O14" s="430"/>
      <c r="P14" s="430"/>
      <c r="Q14" s="430"/>
      <c r="R14" s="430"/>
      <c r="S14" s="430"/>
      <c r="T14" s="431"/>
      <c r="U14" s="431"/>
    </row>
    <row r="15" spans="1:21" ht="14.25" customHeight="1" x14ac:dyDescent="0.3">
      <c r="A15" s="432" t="s">
        <v>258</v>
      </c>
      <c r="B15" s="433" t="s">
        <v>255</v>
      </c>
      <c r="C15" s="433" t="s">
        <v>256</v>
      </c>
      <c r="D15" s="434" t="s">
        <v>246</v>
      </c>
      <c r="E15" s="430"/>
      <c r="I15" s="432" t="s">
        <v>283</v>
      </c>
      <c r="J15" s="433" t="str">
        <f>+L8</f>
        <v>W95</v>
      </c>
      <c r="K15" s="433" t="str">
        <f>+L9</f>
        <v>W96</v>
      </c>
      <c r="L15" s="434" t="s">
        <v>281</v>
      </c>
      <c r="M15" s="430"/>
      <c r="N15" s="430"/>
      <c r="O15" s="430"/>
      <c r="P15" s="430"/>
      <c r="Q15" s="430"/>
      <c r="R15" s="430"/>
      <c r="S15" s="430"/>
      <c r="T15" s="431"/>
      <c r="U15" s="431"/>
    </row>
    <row r="16" spans="1:21" ht="14.25" customHeight="1" x14ac:dyDescent="0.3">
      <c r="A16" s="432" t="s">
        <v>267</v>
      </c>
      <c r="B16" s="433" t="s">
        <v>261</v>
      </c>
      <c r="C16" s="433" t="str">
        <f ca="1">+'Mejores 3eros'!AJ3</f>
        <v>3L</v>
      </c>
      <c r="D16" s="434" t="s">
        <v>262</v>
      </c>
      <c r="E16" s="430"/>
      <c r="I16" s="430"/>
      <c r="J16" s="431"/>
      <c r="K16" s="431"/>
      <c r="L16" s="431"/>
      <c r="M16" s="430"/>
      <c r="N16" s="430"/>
      <c r="O16" s="430"/>
      <c r="P16" s="430"/>
      <c r="Q16" s="430"/>
      <c r="R16" s="430"/>
      <c r="S16" s="430"/>
      <c r="T16" s="431"/>
      <c r="U16" s="431"/>
    </row>
    <row r="17" spans="1:4" ht="14.25" customHeight="1" x14ac:dyDescent="0.3">
      <c r="A17" s="432" t="s">
        <v>274</v>
      </c>
      <c r="B17" s="433" t="s">
        <v>271</v>
      </c>
      <c r="C17" s="433" t="s">
        <v>272</v>
      </c>
      <c r="D17" s="434" t="s">
        <v>247</v>
      </c>
    </row>
  </sheetData>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96"/>
  <sheetViews>
    <sheetView topLeftCell="AI1" workbookViewId="0">
      <pane ySplit="1" topLeftCell="A2" activePane="bottomLeft" state="frozen"/>
      <selection pane="bottomLeft" activeCell="AQ2" sqref="AQ2:AY13"/>
    </sheetView>
  </sheetViews>
  <sheetFormatPr defaultColWidth="12.59765625" defaultRowHeight="15" customHeight="1" x14ac:dyDescent="0.25"/>
  <cols>
    <col min="1" max="16" width="8.59765625" customWidth="1"/>
    <col min="17" max="24" width="8.69921875" customWidth="1"/>
    <col min="25" max="26" width="8.59765625" customWidth="1"/>
    <col min="27" max="27" width="12.19921875" customWidth="1"/>
    <col min="28" max="41" width="8.59765625" customWidth="1"/>
    <col min="42" max="42" width="13.19921875" customWidth="1"/>
    <col min="43" max="55" width="8.59765625" customWidth="1"/>
    <col min="56" max="56" width="13.19921875" customWidth="1"/>
    <col min="57" max="58" width="8.59765625" customWidth="1"/>
    <col min="59" max="59" width="14.5" customWidth="1"/>
    <col min="60" max="64" width="8.59765625" customWidth="1"/>
  </cols>
  <sheetData>
    <row r="1" spans="1:64" ht="14.25" customHeight="1" x14ac:dyDescent="0.25">
      <c r="A1" s="379" t="s">
        <v>319</v>
      </c>
      <c r="G1" s="379" t="s">
        <v>259</v>
      </c>
      <c r="H1" s="379" t="s">
        <v>242</v>
      </c>
      <c r="I1" s="379" t="s">
        <v>205</v>
      </c>
      <c r="J1" s="379" t="s">
        <v>218</v>
      </c>
      <c r="K1" s="379" t="s">
        <v>219</v>
      </c>
      <c r="L1" s="379" t="s">
        <v>241</v>
      </c>
      <c r="M1" s="379" t="s">
        <v>261</v>
      </c>
      <c r="N1" s="379" t="s">
        <v>270</v>
      </c>
      <c r="P1" s="437"/>
      <c r="Q1" s="438" t="str">
        <f t="shared" ref="Q1:X1" si="0">+RIGHT(G1,1)</f>
        <v>A</v>
      </c>
      <c r="R1" s="439" t="str">
        <f t="shared" si="0"/>
        <v>B</v>
      </c>
      <c r="S1" s="439" t="str">
        <f t="shared" si="0"/>
        <v>D</v>
      </c>
      <c r="T1" s="439" t="str">
        <f t="shared" si="0"/>
        <v>E</v>
      </c>
      <c r="U1" s="439" t="str">
        <f t="shared" si="0"/>
        <v>G</v>
      </c>
      <c r="V1" s="439" t="str">
        <f t="shared" si="0"/>
        <v>I</v>
      </c>
      <c r="W1" s="439" t="str">
        <f t="shared" si="0"/>
        <v>K</v>
      </c>
      <c r="X1" s="439" t="str">
        <f t="shared" si="0"/>
        <v>L</v>
      </c>
      <c r="AA1" s="389" t="s">
        <v>320</v>
      </c>
      <c r="AC1" s="440" t="s">
        <v>321</v>
      </c>
      <c r="AD1" s="438" t="str">
        <f t="shared" ref="AD1:AK1" si="1">+"1"&amp;Q1</f>
        <v>1A</v>
      </c>
      <c r="AE1" s="438" t="str">
        <f t="shared" si="1"/>
        <v>1B</v>
      </c>
      <c r="AF1" s="438" t="str">
        <f t="shared" si="1"/>
        <v>1D</v>
      </c>
      <c r="AG1" s="438" t="str">
        <f t="shared" si="1"/>
        <v>1E</v>
      </c>
      <c r="AH1" s="438" t="str">
        <f t="shared" si="1"/>
        <v>1G</v>
      </c>
      <c r="AI1" s="438" t="str">
        <f t="shared" si="1"/>
        <v>1I</v>
      </c>
      <c r="AJ1" s="438" t="str">
        <f t="shared" si="1"/>
        <v>1K</v>
      </c>
      <c r="AK1" s="438" t="str">
        <f t="shared" si="1"/>
        <v>1L</v>
      </c>
      <c r="AO1" s="379" t="s">
        <v>322</v>
      </c>
      <c r="AQ1" s="441" t="s">
        <v>110</v>
      </c>
      <c r="AR1" s="442" t="s">
        <v>104</v>
      </c>
      <c r="AS1" s="442" t="s">
        <v>105</v>
      </c>
      <c r="AT1" s="442" t="s">
        <v>106</v>
      </c>
      <c r="AU1" s="442" t="s">
        <v>107</v>
      </c>
      <c r="AV1" s="442" t="s">
        <v>108</v>
      </c>
      <c r="AW1" s="442" t="s">
        <v>109</v>
      </c>
      <c r="AX1" s="443" t="s">
        <v>0</v>
      </c>
      <c r="AY1" s="443" t="s">
        <v>291</v>
      </c>
      <c r="AZ1" s="444" t="s">
        <v>99</v>
      </c>
      <c r="BA1" s="443" t="s">
        <v>323</v>
      </c>
      <c r="BB1" s="377"/>
      <c r="BC1" s="377"/>
      <c r="BD1" s="377"/>
    </row>
    <row r="2" spans="1:64" ht="14.25" customHeight="1" x14ac:dyDescent="0.25">
      <c r="A2" s="379" t="s">
        <v>324</v>
      </c>
      <c r="F2" s="379">
        <v>1</v>
      </c>
      <c r="G2" s="379" t="s">
        <v>325</v>
      </c>
      <c r="H2" s="379" t="s">
        <v>326</v>
      </c>
      <c r="I2" s="379" t="s">
        <v>327</v>
      </c>
      <c r="J2" s="379" t="s">
        <v>328</v>
      </c>
      <c r="K2" s="379" t="s">
        <v>329</v>
      </c>
      <c r="L2" s="379" t="s">
        <v>330</v>
      </c>
      <c r="M2" s="379" t="s">
        <v>331</v>
      </c>
      <c r="N2" s="379" t="s">
        <v>332</v>
      </c>
      <c r="P2" s="379">
        <f t="shared" ref="P2:P256" si="2">+F2</f>
        <v>1</v>
      </c>
      <c r="Q2" s="445" t="str">
        <f t="shared" ref="Q2:X2" si="3">+RIGHT(G2,1)</f>
        <v>E</v>
      </c>
      <c r="R2" s="436" t="str">
        <f t="shared" si="3"/>
        <v>J</v>
      </c>
      <c r="S2" s="436" t="str">
        <f t="shared" si="3"/>
        <v>I</v>
      </c>
      <c r="T2" s="436" t="str">
        <f t="shared" si="3"/>
        <v>F</v>
      </c>
      <c r="U2" s="436" t="str">
        <f t="shared" si="3"/>
        <v>H</v>
      </c>
      <c r="V2" s="436" t="str">
        <f t="shared" si="3"/>
        <v>G</v>
      </c>
      <c r="W2" s="436" t="str">
        <f t="shared" si="3"/>
        <v>L</v>
      </c>
      <c r="X2" s="436" t="str">
        <f t="shared" si="3"/>
        <v>K</v>
      </c>
      <c r="Y2" s="446">
        <f t="shared" ref="Y2:Y256" ca="1" si="4">+COUNTIF($AA$2:$AA$9,Q2)+COUNTIF($AA$2:$AA$9,R2)+COUNTIF($AA$2:$AA$9,S2)+COUNTIF($AA$2:$AA$9,T2)+COUNTIF($AA$2:$AA$9,U2)+COUNTIF($AA$2:$AA$9,V2)+COUNTIF($AA$2:$AA$9,W2)+COUNTIF($AA$2:$AA$9,X2)</f>
        <v>5</v>
      </c>
      <c r="AA2" s="447" t="str">
        <f t="shared" ref="AA2:AA9" ca="1" si="5">+BL2</f>
        <v>a</v>
      </c>
      <c r="AC2" s="436" t="s">
        <v>333</v>
      </c>
      <c r="AD2" s="436" t="str">
        <f t="shared" ref="AD2:AK2" ca="1" si="6">+_xlfn.XLOOKUP(8,$Y:$Y,Q:Q,"Error",0)</f>
        <v>H</v>
      </c>
      <c r="AE2" s="436" t="str">
        <f t="shared" ca="1" si="6"/>
        <v>G</v>
      </c>
      <c r="AF2" s="436" t="str">
        <f t="shared" ca="1" si="6"/>
        <v>F</v>
      </c>
      <c r="AG2" s="436" t="str">
        <f t="shared" ca="1" si="6"/>
        <v>C</v>
      </c>
      <c r="AH2" s="436" t="str">
        <f t="shared" ca="1" si="6"/>
        <v>A</v>
      </c>
      <c r="AI2" s="436" t="str">
        <f t="shared" ca="1" si="6"/>
        <v>D</v>
      </c>
      <c r="AJ2" s="436" t="str">
        <f t="shared" ca="1" si="6"/>
        <v>L</v>
      </c>
      <c r="AK2" s="436" t="str">
        <f t="shared" ca="1" si="6"/>
        <v>I</v>
      </c>
      <c r="AO2" s="379" t="s">
        <v>334</v>
      </c>
      <c r="AP2" s="379" t="str">
        <f ca="1">+_xlfn.XLOOKUP($AO2,'Groups Stage'!$Y:$Y,'Groups Stage'!Z:Z,"-",0)</f>
        <v>Repubilca Checa</v>
      </c>
      <c r="AQ2" s="436">
        <f ca="1">+_xlfn.XLOOKUP($AO2,'Groups Stage'!$Y:$Y,'Groups Stage'!AA:AA,"-",0)</f>
        <v>3</v>
      </c>
      <c r="AR2" s="436">
        <f ca="1">+_xlfn.XLOOKUP($AO2,'Groups Stage'!$Y:$Y,'Groups Stage'!AB:AB,"-",0)</f>
        <v>1</v>
      </c>
      <c r="AS2" s="436">
        <f ca="1">+_xlfn.XLOOKUP($AO2,'Groups Stage'!$Y:$Y,'Groups Stage'!AC:AC,"-",0)</f>
        <v>1</v>
      </c>
      <c r="AT2" s="436">
        <f ca="1">+_xlfn.XLOOKUP($AO2,'Groups Stage'!$Y:$Y,'Groups Stage'!AD:AD,"-",0)</f>
        <v>1</v>
      </c>
      <c r="AU2" s="436">
        <f ca="1">+_xlfn.XLOOKUP($AO2,'Groups Stage'!$Y:$Y,'Groups Stage'!AE:AE,"-",0)</f>
        <v>0</v>
      </c>
      <c r="AV2" s="436">
        <f ca="1">+_xlfn.XLOOKUP($AO2,'Groups Stage'!$Y:$Y,'Groups Stage'!AF:AF,"-",0)</f>
        <v>3</v>
      </c>
      <c r="AW2" s="436">
        <f ca="1">+_xlfn.XLOOKUP($AO2,'Groups Stage'!$Y:$Y,'Groups Stage'!AG:AG,"-",0)</f>
        <v>3</v>
      </c>
      <c r="AX2" s="436">
        <f t="shared" ref="AX2" ca="1" si="7">+AR2*3+AS2+AU2/100+AV2/10000</f>
        <v>4.0003000000000002</v>
      </c>
      <c r="AY2" s="377">
        <f t="shared" ref="AY2" ca="1" si="8">+AX2+ROW()/10000000000</f>
        <v>4.0003000002000002</v>
      </c>
      <c r="AZ2" s="448" t="str">
        <f>+'Groups Stage'!CX2</f>
        <v xml:space="preserve"> - </v>
      </c>
      <c r="BA2" s="377">
        <f t="shared" ref="BA2:BA13" ca="1" si="9">+AY2+IF(AZ2="IN",1/100000000,0)</f>
        <v>4.0003000002000002</v>
      </c>
      <c r="BB2" s="377"/>
      <c r="BC2" s="377">
        <f t="shared" ref="BC2:BC13" ca="1" si="10">+LARGE($AY$2:$AY$13,ROW()-1)</f>
        <v>4.0003000002000002</v>
      </c>
      <c r="BD2" s="449" t="str">
        <f t="shared" ref="BD2:BD13" ca="1" si="11">IF($AQ$15="DONE",_xlfn.XLOOKUP(BC2,$AY$2:$AY$13,$AP$2:$AP$13,"-",0),"--")</f>
        <v>Repubilca Checa</v>
      </c>
      <c r="BE2" s="379">
        <f t="shared" ref="BE2:BE13" ca="1" si="12">+_xlfn.XLOOKUP(BD2,$AP$2:$AP$13,$AX$2:$AX$13,"-",0)</f>
        <v>4.0003000000000002</v>
      </c>
      <c r="BF2" s="436" t="str">
        <f t="shared" ref="BF2:BF9" ca="1" si="13">+IF(COUNTIF($BE$10:$BE$13,BE2)=0,"-","x")</f>
        <v>-</v>
      </c>
      <c r="BG2" s="379" t="str">
        <f t="shared" ref="BG2:BG9" ca="1" si="14">+IF(BF2="x","Draw - Select","IN")</f>
        <v>IN</v>
      </c>
      <c r="BI2" s="377">
        <f t="shared" ref="BI2:BI9" ca="1" si="15">+LARGE($BA$2:$BA$13,ROW()-1)</f>
        <v>4.0003000002000002</v>
      </c>
      <c r="BJ2" s="449" t="str">
        <f t="shared" ref="BJ2:BJ9" ca="1" si="16">IF($AQ$15="DONE",_xlfn.XLOOKUP(BI2,$BA$2:$BA$13,$AP$2:$AP$13,"-",0),"--")</f>
        <v>Repubilca Checa</v>
      </c>
      <c r="BK2" s="449" t="str">
        <f t="shared" ref="BK2:BK9" ca="1" si="17">IF($AQ$15="DONE",_xlfn.XLOOKUP(BI2,$BA$2:$BA$13,$AO$2:$AO$13,"-",0),"--")</f>
        <v>3A</v>
      </c>
      <c r="BL2" s="379" t="str">
        <f t="shared" ref="BL2:BL9" ca="1" si="18">+LOWER(RIGHT(BK2,1))</f>
        <v>a</v>
      </c>
    </row>
    <row r="3" spans="1:64" ht="14.25" customHeight="1" x14ac:dyDescent="0.25">
      <c r="A3" s="379" t="s">
        <v>335</v>
      </c>
      <c r="F3" s="379">
        <v>2</v>
      </c>
      <c r="G3" s="379" t="s">
        <v>329</v>
      </c>
      <c r="H3" s="379" t="s">
        <v>330</v>
      </c>
      <c r="I3" s="379" t="s">
        <v>327</v>
      </c>
      <c r="J3" s="379" t="s">
        <v>336</v>
      </c>
      <c r="K3" s="379" t="s">
        <v>326</v>
      </c>
      <c r="L3" s="379" t="s">
        <v>328</v>
      </c>
      <c r="M3" s="379" t="s">
        <v>331</v>
      </c>
      <c r="N3" s="379" t="s">
        <v>332</v>
      </c>
      <c r="P3" s="379">
        <f t="shared" si="2"/>
        <v>2</v>
      </c>
      <c r="Q3" s="445" t="str">
        <f t="shared" ref="Q3:X3" si="19">+RIGHT(G3,1)</f>
        <v>H</v>
      </c>
      <c r="R3" s="436" t="str">
        <f t="shared" si="19"/>
        <v>G</v>
      </c>
      <c r="S3" s="436" t="str">
        <f t="shared" si="19"/>
        <v>I</v>
      </c>
      <c r="T3" s="436" t="str">
        <f t="shared" si="19"/>
        <v>D</v>
      </c>
      <c r="U3" s="436" t="str">
        <f t="shared" si="19"/>
        <v>J</v>
      </c>
      <c r="V3" s="436" t="str">
        <f t="shared" si="19"/>
        <v>F</v>
      </c>
      <c r="W3" s="436" t="str">
        <f t="shared" si="19"/>
        <v>L</v>
      </c>
      <c r="X3" s="436" t="str">
        <f t="shared" si="19"/>
        <v>K</v>
      </c>
      <c r="Y3" s="446">
        <f t="shared" ca="1" si="4"/>
        <v>6</v>
      </c>
      <c r="AA3" s="447" t="str">
        <f t="shared" ca="1" si="5"/>
        <v>d</v>
      </c>
      <c r="AC3" s="436"/>
      <c r="AD3" s="436" t="str">
        <f t="shared" ref="AD3:AK3" ca="1" si="20">+"3"&amp;AD2</f>
        <v>3H</v>
      </c>
      <c r="AE3" s="436" t="str">
        <f t="shared" ca="1" si="20"/>
        <v>3G</v>
      </c>
      <c r="AF3" s="436" t="str">
        <f t="shared" ca="1" si="20"/>
        <v>3F</v>
      </c>
      <c r="AG3" s="436" t="str">
        <f t="shared" ca="1" si="20"/>
        <v>3C</v>
      </c>
      <c r="AH3" s="436" t="str">
        <f t="shared" ca="1" si="20"/>
        <v>3A</v>
      </c>
      <c r="AI3" s="436" t="str">
        <f t="shared" ca="1" si="20"/>
        <v>3D</v>
      </c>
      <c r="AJ3" s="436" t="str">
        <f t="shared" ca="1" si="20"/>
        <v>3L</v>
      </c>
      <c r="AK3" s="436" t="str">
        <f t="shared" ca="1" si="20"/>
        <v>3I</v>
      </c>
      <c r="AO3" s="379" t="s">
        <v>337</v>
      </c>
      <c r="AP3" s="379" t="str">
        <f ca="1">+_xlfn.XLOOKUP($AO3,'Groups Stage'!$Y:$Y,'Groups Stage'!Z:Z,"-",0)</f>
        <v>Canada</v>
      </c>
      <c r="AQ3" s="436">
        <f ca="1">+_xlfn.XLOOKUP($AO3,'Groups Stage'!$Y:$Y,'Groups Stage'!AA:AA,"-",0)</f>
        <v>3</v>
      </c>
      <c r="AR3" s="436">
        <f ca="1">+_xlfn.XLOOKUP($AO3,'Groups Stage'!$Y:$Y,'Groups Stage'!AB:AB,"-",0)</f>
        <v>0</v>
      </c>
      <c r="AS3" s="436">
        <f ca="1">+_xlfn.XLOOKUP($AO3,'Groups Stage'!$Y:$Y,'Groups Stage'!AC:AC,"-",0)</f>
        <v>1</v>
      </c>
      <c r="AT3" s="436">
        <f ca="1">+_xlfn.XLOOKUP($AO3,'Groups Stage'!$Y:$Y,'Groups Stage'!AD:AD,"-",0)</f>
        <v>2</v>
      </c>
      <c r="AU3" s="436">
        <f ca="1">+_xlfn.XLOOKUP($AO3,'Groups Stage'!$Y:$Y,'Groups Stage'!AE:AE,"-",0)</f>
        <v>-3</v>
      </c>
      <c r="AV3" s="436">
        <f ca="1">+_xlfn.XLOOKUP($AO3,'Groups Stage'!$Y:$Y,'Groups Stage'!AF:AF,"-",0)</f>
        <v>0</v>
      </c>
      <c r="AW3" s="436">
        <f ca="1">+_xlfn.XLOOKUP($AO3,'Groups Stage'!$Y:$Y,'Groups Stage'!AG:AG,"-",0)</f>
        <v>3</v>
      </c>
      <c r="AX3" s="436">
        <f t="shared" ref="AX3:AX13" ca="1" si="21">+AR3*3+AS3+AU3/100+AV3/10000</f>
        <v>0.97</v>
      </c>
      <c r="AY3" s="377">
        <f t="shared" ref="AY3:AY13" ca="1" si="22">+AX3+ROW()/10000000000</f>
        <v>0.9700000003</v>
      </c>
      <c r="AZ3" s="448" t="str">
        <f>+'Groups Stage'!CX3</f>
        <v xml:space="preserve"> - </v>
      </c>
      <c r="BA3" s="377">
        <f t="shared" ca="1" si="9"/>
        <v>0.9700000003</v>
      </c>
      <c r="BB3" s="377"/>
      <c r="BC3" s="377">
        <f t="shared" ca="1" si="10"/>
        <v>3.9902000005000002</v>
      </c>
      <c r="BD3" s="449" t="str">
        <f t="shared" ca="1" si="11"/>
        <v>Estados Unidos</v>
      </c>
      <c r="BE3" s="379">
        <f t="shared" ca="1" si="12"/>
        <v>3.9902000000000002</v>
      </c>
      <c r="BF3" s="436" t="str">
        <f t="shared" ca="1" si="13"/>
        <v>-</v>
      </c>
      <c r="BG3" s="379" t="str">
        <f t="shared" ca="1" si="14"/>
        <v>IN</v>
      </c>
      <c r="BI3" s="377">
        <f t="shared" ca="1" si="15"/>
        <v>3.9902000005000002</v>
      </c>
      <c r="BJ3" s="449" t="str">
        <f t="shared" ca="1" si="16"/>
        <v>Estados Unidos</v>
      </c>
      <c r="BK3" s="449" t="str">
        <f t="shared" ca="1" si="17"/>
        <v>3D</v>
      </c>
      <c r="BL3" s="379" t="str">
        <f t="shared" ca="1" si="18"/>
        <v>d</v>
      </c>
    </row>
    <row r="4" spans="1:64" ht="14.25" customHeight="1" x14ac:dyDescent="0.25">
      <c r="A4" s="379" t="s">
        <v>338</v>
      </c>
      <c r="F4" s="379">
        <v>3</v>
      </c>
      <c r="G4" s="379" t="s">
        <v>325</v>
      </c>
      <c r="H4" s="379" t="s">
        <v>326</v>
      </c>
      <c r="I4" s="379" t="s">
        <v>327</v>
      </c>
      <c r="J4" s="379" t="s">
        <v>336</v>
      </c>
      <c r="K4" s="379" t="s">
        <v>329</v>
      </c>
      <c r="L4" s="379" t="s">
        <v>330</v>
      </c>
      <c r="M4" s="379" t="s">
        <v>331</v>
      </c>
      <c r="N4" s="379" t="s">
        <v>332</v>
      </c>
      <c r="P4" s="379">
        <f t="shared" si="2"/>
        <v>3</v>
      </c>
      <c r="Q4" s="445" t="str">
        <f t="shared" ref="Q4:X4" si="23">+RIGHT(G4,1)</f>
        <v>E</v>
      </c>
      <c r="R4" s="436" t="str">
        <f t="shared" si="23"/>
        <v>J</v>
      </c>
      <c r="S4" s="436" t="str">
        <f t="shared" si="23"/>
        <v>I</v>
      </c>
      <c r="T4" s="436" t="str">
        <f t="shared" si="23"/>
        <v>D</v>
      </c>
      <c r="U4" s="436" t="str">
        <f t="shared" si="23"/>
        <v>H</v>
      </c>
      <c r="V4" s="436" t="str">
        <f t="shared" si="23"/>
        <v>G</v>
      </c>
      <c r="W4" s="436" t="str">
        <f t="shared" si="23"/>
        <v>L</v>
      </c>
      <c r="X4" s="436" t="str">
        <f t="shared" si="23"/>
        <v>K</v>
      </c>
      <c r="Y4" s="446">
        <f t="shared" ca="1" si="4"/>
        <v>5</v>
      </c>
      <c r="AA4" s="447" t="str">
        <f t="shared" ca="1" si="5"/>
        <v>i</v>
      </c>
      <c r="AC4" s="436"/>
      <c r="AO4" s="379" t="s">
        <v>339</v>
      </c>
      <c r="AP4" s="379" t="str">
        <f ca="1">+_xlfn.XLOOKUP($AO4,'Groups Stage'!$Y:$Y,'Groups Stage'!Z:Z,"-",0)</f>
        <v>Escocia</v>
      </c>
      <c r="AQ4" s="436">
        <f ca="1">+_xlfn.XLOOKUP($AO4,'Groups Stage'!$Y:$Y,'Groups Stage'!AA:AA,"-",0)</f>
        <v>3</v>
      </c>
      <c r="AR4" s="436">
        <f ca="1">+_xlfn.XLOOKUP($AO4,'Groups Stage'!$Y:$Y,'Groups Stage'!AB:AB,"-",0)</f>
        <v>1</v>
      </c>
      <c r="AS4" s="436">
        <f ca="1">+_xlfn.XLOOKUP($AO4,'Groups Stage'!$Y:$Y,'Groups Stage'!AC:AC,"-",0)</f>
        <v>0</v>
      </c>
      <c r="AT4" s="436">
        <f ca="1">+_xlfn.XLOOKUP($AO4,'Groups Stage'!$Y:$Y,'Groups Stage'!AD:AD,"-",0)</f>
        <v>2</v>
      </c>
      <c r="AU4" s="436">
        <f ca="1">+_xlfn.XLOOKUP($AO4,'Groups Stage'!$Y:$Y,'Groups Stage'!AE:AE,"-",0)</f>
        <v>-1</v>
      </c>
      <c r="AV4" s="436">
        <f ca="1">+_xlfn.XLOOKUP($AO4,'Groups Stage'!$Y:$Y,'Groups Stage'!AF:AF,"-",0)</f>
        <v>3</v>
      </c>
      <c r="AW4" s="436">
        <f ca="1">+_xlfn.XLOOKUP($AO4,'Groups Stage'!$Y:$Y,'Groups Stage'!AG:AG,"-",0)</f>
        <v>4</v>
      </c>
      <c r="AX4" s="436">
        <f t="shared" ca="1" si="21"/>
        <v>2.9903000000000004</v>
      </c>
      <c r="AY4" s="377">
        <f t="shared" ca="1" si="22"/>
        <v>2.9903000004000004</v>
      </c>
      <c r="AZ4" s="448">
        <f>+'Groups Stage'!CX4</f>
        <v>0</v>
      </c>
      <c r="BA4" s="377">
        <f t="shared" ca="1" si="9"/>
        <v>2.9903000004000004</v>
      </c>
      <c r="BB4" s="377"/>
      <c r="BC4" s="377">
        <f t="shared" ca="1" si="10"/>
        <v>2.9903000010000005</v>
      </c>
      <c r="BD4" s="449" t="str">
        <f t="shared" ca="1" si="11"/>
        <v>Senegal</v>
      </c>
      <c r="BE4" s="379">
        <f t="shared" ca="1" si="12"/>
        <v>2.9903000000000004</v>
      </c>
      <c r="BF4" s="436" t="str">
        <f t="shared" ca="1" si="13"/>
        <v>-</v>
      </c>
      <c r="BG4" s="379" t="str">
        <f t="shared" ca="1" si="14"/>
        <v>IN</v>
      </c>
      <c r="BI4" s="377">
        <f t="shared" ca="1" si="15"/>
        <v>2.9903000010000005</v>
      </c>
      <c r="BJ4" s="449" t="str">
        <f t="shared" ca="1" si="16"/>
        <v>Senegal</v>
      </c>
      <c r="BK4" s="449" t="str">
        <f t="shared" ca="1" si="17"/>
        <v>3I</v>
      </c>
      <c r="BL4" s="379" t="str">
        <f t="shared" ca="1" si="18"/>
        <v>i</v>
      </c>
    </row>
    <row r="5" spans="1:64" ht="14.25" customHeight="1" x14ac:dyDescent="0.25">
      <c r="A5" s="379" t="s">
        <v>340</v>
      </c>
      <c r="F5" s="379">
        <v>4</v>
      </c>
      <c r="G5" s="379" t="s">
        <v>325</v>
      </c>
      <c r="H5" s="379" t="s">
        <v>326</v>
      </c>
      <c r="I5" s="379" t="s">
        <v>327</v>
      </c>
      <c r="J5" s="379" t="s">
        <v>336</v>
      </c>
      <c r="K5" s="379" t="s">
        <v>329</v>
      </c>
      <c r="L5" s="379" t="s">
        <v>328</v>
      </c>
      <c r="M5" s="379" t="s">
        <v>331</v>
      </c>
      <c r="N5" s="379" t="s">
        <v>332</v>
      </c>
      <c r="P5" s="379">
        <f t="shared" si="2"/>
        <v>4</v>
      </c>
      <c r="Q5" s="445" t="str">
        <f t="shared" ref="Q5:X5" si="24">+RIGHT(G5,1)</f>
        <v>E</v>
      </c>
      <c r="R5" s="436" t="str">
        <f t="shared" si="24"/>
        <v>J</v>
      </c>
      <c r="S5" s="436" t="str">
        <f t="shared" si="24"/>
        <v>I</v>
      </c>
      <c r="T5" s="436" t="str">
        <f t="shared" si="24"/>
        <v>D</v>
      </c>
      <c r="U5" s="436" t="str">
        <f t="shared" si="24"/>
        <v>H</v>
      </c>
      <c r="V5" s="436" t="str">
        <f t="shared" si="24"/>
        <v>F</v>
      </c>
      <c r="W5" s="436" t="str">
        <f t="shared" si="24"/>
        <v>L</v>
      </c>
      <c r="X5" s="436" t="str">
        <f t="shared" si="24"/>
        <v>K</v>
      </c>
      <c r="Y5" s="446">
        <f t="shared" ca="1" si="4"/>
        <v>5</v>
      </c>
      <c r="AA5" s="447" t="str">
        <f t="shared" ca="1" si="5"/>
        <v>f</v>
      </c>
      <c r="AC5" s="436"/>
      <c r="AO5" s="379" t="s">
        <v>336</v>
      </c>
      <c r="AP5" s="379" t="str">
        <f ca="1">+_xlfn.XLOOKUP($AO5,'Groups Stage'!$Y:$Y,'Groups Stage'!Z:Z,"-",0)</f>
        <v>Estados Unidos</v>
      </c>
      <c r="AQ5" s="436">
        <f ca="1">+_xlfn.XLOOKUP($AO5,'Groups Stage'!$Y:$Y,'Groups Stage'!AA:AA,"-",0)</f>
        <v>3</v>
      </c>
      <c r="AR5" s="436">
        <f ca="1">+_xlfn.XLOOKUP($AO5,'Groups Stage'!$Y:$Y,'Groups Stage'!AB:AB,"-",0)</f>
        <v>1</v>
      </c>
      <c r="AS5" s="436">
        <f ca="1">+_xlfn.XLOOKUP($AO5,'Groups Stage'!$Y:$Y,'Groups Stage'!AC:AC,"-",0)</f>
        <v>1</v>
      </c>
      <c r="AT5" s="436">
        <f ca="1">+_xlfn.XLOOKUP($AO5,'Groups Stage'!$Y:$Y,'Groups Stage'!AD:AD,"-",0)</f>
        <v>1</v>
      </c>
      <c r="AU5" s="436">
        <f ca="1">+_xlfn.XLOOKUP($AO5,'Groups Stage'!$Y:$Y,'Groups Stage'!AE:AE,"-",0)</f>
        <v>-1</v>
      </c>
      <c r="AV5" s="436">
        <f ca="1">+_xlfn.XLOOKUP($AO5,'Groups Stage'!$Y:$Y,'Groups Stage'!AF:AF,"-",0)</f>
        <v>2</v>
      </c>
      <c r="AW5" s="436">
        <f ca="1">+_xlfn.XLOOKUP($AO5,'Groups Stage'!$Y:$Y,'Groups Stage'!AG:AG,"-",0)</f>
        <v>3</v>
      </c>
      <c r="AX5" s="436">
        <f t="shared" ca="1" si="21"/>
        <v>3.9902000000000002</v>
      </c>
      <c r="AY5" s="377">
        <f t="shared" ca="1" si="22"/>
        <v>3.9902000005000002</v>
      </c>
      <c r="AZ5" s="448" t="str">
        <f>+'Groups Stage'!CX5</f>
        <v xml:space="preserve"> - </v>
      </c>
      <c r="BA5" s="377">
        <f t="shared" ca="1" si="9"/>
        <v>3.9902000005000002</v>
      </c>
      <c r="BB5" s="377"/>
      <c r="BC5" s="377">
        <f t="shared" ca="1" si="10"/>
        <v>2.9903000007000005</v>
      </c>
      <c r="BD5" s="449" t="str">
        <f t="shared" ca="1" si="11"/>
        <v>Suecia</v>
      </c>
      <c r="BE5" s="379">
        <f t="shared" ca="1" si="12"/>
        <v>2.9903000000000004</v>
      </c>
      <c r="BF5" s="436" t="str">
        <f t="shared" ca="1" si="13"/>
        <v>-</v>
      </c>
      <c r="BG5" s="379" t="str">
        <f t="shared" ca="1" si="14"/>
        <v>IN</v>
      </c>
      <c r="BI5" s="377">
        <f t="shared" ca="1" si="15"/>
        <v>2.9903000007000005</v>
      </c>
      <c r="BJ5" s="449" t="str">
        <f t="shared" ca="1" si="16"/>
        <v>Suecia</v>
      </c>
      <c r="BK5" s="449" t="str">
        <f t="shared" ca="1" si="17"/>
        <v>3F</v>
      </c>
      <c r="BL5" s="379" t="str">
        <f t="shared" ca="1" si="18"/>
        <v>f</v>
      </c>
    </row>
    <row r="6" spans="1:64" ht="14.25" customHeight="1" x14ac:dyDescent="0.25">
      <c r="A6" s="379" t="s">
        <v>341</v>
      </c>
      <c r="F6" s="379">
        <v>5</v>
      </c>
      <c r="G6" s="379" t="s">
        <v>325</v>
      </c>
      <c r="H6" s="379" t="s">
        <v>330</v>
      </c>
      <c r="I6" s="379" t="s">
        <v>327</v>
      </c>
      <c r="J6" s="379" t="s">
        <v>336</v>
      </c>
      <c r="K6" s="379" t="s">
        <v>326</v>
      </c>
      <c r="L6" s="379" t="s">
        <v>328</v>
      </c>
      <c r="M6" s="379" t="s">
        <v>331</v>
      </c>
      <c r="N6" s="379" t="s">
        <v>332</v>
      </c>
      <c r="P6" s="379">
        <f t="shared" si="2"/>
        <v>5</v>
      </c>
      <c r="Q6" s="445" t="str">
        <f t="shared" ref="Q6:X6" si="25">+RIGHT(G6,1)</f>
        <v>E</v>
      </c>
      <c r="R6" s="436" t="str">
        <f t="shared" si="25"/>
        <v>G</v>
      </c>
      <c r="S6" s="436" t="str">
        <f t="shared" si="25"/>
        <v>I</v>
      </c>
      <c r="T6" s="436" t="str">
        <f t="shared" si="25"/>
        <v>D</v>
      </c>
      <c r="U6" s="436" t="str">
        <f t="shared" si="25"/>
        <v>J</v>
      </c>
      <c r="V6" s="436" t="str">
        <f t="shared" si="25"/>
        <v>F</v>
      </c>
      <c r="W6" s="436" t="str">
        <f t="shared" si="25"/>
        <v>L</v>
      </c>
      <c r="X6" s="436" t="str">
        <f t="shared" si="25"/>
        <v>K</v>
      </c>
      <c r="Y6" s="446">
        <f t="shared" ca="1" si="4"/>
        <v>5</v>
      </c>
      <c r="AA6" s="447" t="str">
        <f t="shared" ca="1" si="5"/>
        <v>c</v>
      </c>
      <c r="AC6" s="436"/>
      <c r="AO6" s="379" t="s">
        <v>325</v>
      </c>
      <c r="AP6" s="379" t="str">
        <f ca="1">+_xlfn.XLOOKUP($AO6,'Groups Stage'!$Y:$Y,'Groups Stage'!Z:Z,"-",0)</f>
        <v>Costa de Marfil</v>
      </c>
      <c r="AQ6" s="436">
        <f ca="1">+_xlfn.XLOOKUP($AO6,'Groups Stage'!$Y:$Y,'Groups Stage'!AA:AA,"-",0)</f>
        <v>3</v>
      </c>
      <c r="AR6" s="436">
        <f ca="1">+_xlfn.XLOOKUP($AO6,'Groups Stage'!$Y:$Y,'Groups Stage'!AB:AB,"-",0)</f>
        <v>1</v>
      </c>
      <c r="AS6" s="436">
        <f ca="1">+_xlfn.XLOOKUP($AO6,'Groups Stage'!$Y:$Y,'Groups Stage'!AC:AC,"-",0)</f>
        <v>0</v>
      </c>
      <c r="AT6" s="436">
        <f ca="1">+_xlfn.XLOOKUP($AO6,'Groups Stage'!$Y:$Y,'Groups Stage'!AD:AD,"-",0)</f>
        <v>2</v>
      </c>
      <c r="AU6" s="436">
        <f ca="1">+_xlfn.XLOOKUP($AO6,'Groups Stage'!$Y:$Y,'Groups Stage'!AE:AE,"-",0)</f>
        <v>-3</v>
      </c>
      <c r="AV6" s="436">
        <f ca="1">+_xlfn.XLOOKUP($AO6,'Groups Stage'!$Y:$Y,'Groups Stage'!AF:AF,"-",0)</f>
        <v>1</v>
      </c>
      <c r="AW6" s="436">
        <f ca="1">+_xlfn.XLOOKUP($AO6,'Groups Stage'!$Y:$Y,'Groups Stage'!AG:AG,"-",0)</f>
        <v>4</v>
      </c>
      <c r="AX6" s="436">
        <f t="shared" ca="1" si="21"/>
        <v>2.9701000000000004</v>
      </c>
      <c r="AY6" s="377">
        <f t="shared" ca="1" si="22"/>
        <v>2.9701000006000005</v>
      </c>
      <c r="AZ6" s="448" t="str">
        <f>+'Groups Stage'!CX6</f>
        <v xml:space="preserve"> - </v>
      </c>
      <c r="BA6" s="377">
        <f t="shared" ca="1" si="9"/>
        <v>2.9701000006000005</v>
      </c>
      <c r="BB6" s="377"/>
      <c r="BC6" s="377">
        <f t="shared" ca="1" si="10"/>
        <v>2.9903000004000004</v>
      </c>
      <c r="BD6" s="449" t="str">
        <f t="shared" ca="1" si="11"/>
        <v>Escocia</v>
      </c>
      <c r="BE6" s="379">
        <f t="shared" ca="1" si="12"/>
        <v>2.9903000000000004</v>
      </c>
      <c r="BF6" s="436" t="str">
        <f t="shared" ca="1" si="13"/>
        <v>-</v>
      </c>
      <c r="BG6" s="379" t="str">
        <f t="shared" ca="1" si="14"/>
        <v>IN</v>
      </c>
      <c r="BI6" s="377">
        <f t="shared" ca="1" si="15"/>
        <v>2.9903000004000004</v>
      </c>
      <c r="BJ6" s="449" t="str">
        <f t="shared" ca="1" si="16"/>
        <v>Escocia</v>
      </c>
      <c r="BK6" s="449" t="str">
        <f t="shared" ca="1" si="17"/>
        <v>3C</v>
      </c>
      <c r="BL6" s="379" t="str">
        <f t="shared" ca="1" si="18"/>
        <v>c</v>
      </c>
    </row>
    <row r="7" spans="1:64" ht="14.25" customHeight="1" x14ac:dyDescent="0.25">
      <c r="A7" s="379" t="s">
        <v>342</v>
      </c>
      <c r="F7" s="379">
        <v>6</v>
      </c>
      <c r="G7" s="379" t="s">
        <v>325</v>
      </c>
      <c r="H7" s="379" t="s">
        <v>330</v>
      </c>
      <c r="I7" s="379" t="s">
        <v>326</v>
      </c>
      <c r="J7" s="379" t="s">
        <v>336</v>
      </c>
      <c r="K7" s="379" t="s">
        <v>329</v>
      </c>
      <c r="L7" s="379" t="s">
        <v>328</v>
      </c>
      <c r="M7" s="379" t="s">
        <v>331</v>
      </c>
      <c r="N7" s="379" t="s">
        <v>332</v>
      </c>
      <c r="P7" s="379">
        <f t="shared" si="2"/>
        <v>6</v>
      </c>
      <c r="Q7" s="445" t="str">
        <f t="shared" ref="Q7:X7" si="26">+RIGHT(G7,1)</f>
        <v>E</v>
      </c>
      <c r="R7" s="436" t="str">
        <f t="shared" si="26"/>
        <v>G</v>
      </c>
      <c r="S7" s="436" t="str">
        <f t="shared" si="26"/>
        <v>J</v>
      </c>
      <c r="T7" s="436" t="str">
        <f t="shared" si="26"/>
        <v>D</v>
      </c>
      <c r="U7" s="436" t="str">
        <f t="shared" si="26"/>
        <v>H</v>
      </c>
      <c r="V7" s="436" t="str">
        <f t="shared" si="26"/>
        <v>F</v>
      </c>
      <c r="W7" s="436" t="str">
        <f t="shared" si="26"/>
        <v>L</v>
      </c>
      <c r="X7" s="436" t="str">
        <f t="shared" si="26"/>
        <v>K</v>
      </c>
      <c r="Y7" s="446">
        <f t="shared" ca="1" si="4"/>
        <v>5</v>
      </c>
      <c r="AA7" s="447" t="str">
        <f t="shared" ca="1" si="5"/>
        <v>l</v>
      </c>
      <c r="AC7" s="436"/>
      <c r="AO7" s="379" t="s">
        <v>328</v>
      </c>
      <c r="AP7" s="379" t="str">
        <f ca="1">+_xlfn.XLOOKUP($AO7,'Groups Stage'!$Y:$Y,'Groups Stage'!Z:Z,"-",0)</f>
        <v>Suecia</v>
      </c>
      <c r="AQ7" s="436">
        <f ca="1">+_xlfn.XLOOKUP($AO7,'Groups Stage'!$Y:$Y,'Groups Stage'!AA:AA,"-",0)</f>
        <v>3</v>
      </c>
      <c r="AR7" s="436">
        <f ca="1">+_xlfn.XLOOKUP($AO7,'Groups Stage'!$Y:$Y,'Groups Stage'!AB:AB,"-",0)</f>
        <v>1</v>
      </c>
      <c r="AS7" s="436">
        <f ca="1">+_xlfn.XLOOKUP($AO7,'Groups Stage'!$Y:$Y,'Groups Stage'!AC:AC,"-",0)</f>
        <v>0</v>
      </c>
      <c r="AT7" s="436">
        <f ca="1">+_xlfn.XLOOKUP($AO7,'Groups Stage'!$Y:$Y,'Groups Stage'!AD:AD,"-",0)</f>
        <v>2</v>
      </c>
      <c r="AU7" s="436">
        <f ca="1">+_xlfn.XLOOKUP($AO7,'Groups Stage'!$Y:$Y,'Groups Stage'!AE:AE,"-",0)</f>
        <v>-1</v>
      </c>
      <c r="AV7" s="436">
        <f ca="1">+_xlfn.XLOOKUP($AO7,'Groups Stage'!$Y:$Y,'Groups Stage'!AF:AF,"-",0)</f>
        <v>3</v>
      </c>
      <c r="AW7" s="436">
        <f ca="1">+_xlfn.XLOOKUP($AO7,'Groups Stage'!$Y:$Y,'Groups Stage'!AG:AG,"-",0)</f>
        <v>4</v>
      </c>
      <c r="AX7" s="436">
        <f t="shared" ca="1" si="21"/>
        <v>2.9903000000000004</v>
      </c>
      <c r="AY7" s="377">
        <f t="shared" ca="1" si="22"/>
        <v>2.9903000007000005</v>
      </c>
      <c r="AZ7" s="448" t="str">
        <f>+'Groups Stage'!CX7</f>
        <v xml:space="preserve"> - </v>
      </c>
      <c r="BA7" s="377">
        <f t="shared" ca="1" si="9"/>
        <v>2.9903000007000005</v>
      </c>
      <c r="BB7" s="377"/>
      <c r="BC7" s="377">
        <f t="shared" ca="1" si="10"/>
        <v>2.9803000013000003</v>
      </c>
      <c r="BD7" s="449" t="str">
        <f t="shared" ca="1" si="11"/>
        <v>Ghana</v>
      </c>
      <c r="BE7" s="379">
        <f t="shared" ca="1" si="12"/>
        <v>2.9803000000000002</v>
      </c>
      <c r="BF7" s="436" t="str">
        <f t="shared" ca="1" si="13"/>
        <v>-</v>
      </c>
      <c r="BG7" s="379" t="str">
        <f t="shared" ca="1" si="14"/>
        <v>IN</v>
      </c>
      <c r="BI7" s="377">
        <f t="shared" ca="1" si="15"/>
        <v>2.9803000013000003</v>
      </c>
      <c r="BJ7" s="449" t="str">
        <f t="shared" ca="1" si="16"/>
        <v>Ghana</v>
      </c>
      <c r="BK7" s="449" t="str">
        <f t="shared" ca="1" si="17"/>
        <v>3L</v>
      </c>
      <c r="BL7" s="379" t="str">
        <f t="shared" ca="1" si="18"/>
        <v>l</v>
      </c>
    </row>
    <row r="8" spans="1:64" ht="14.25" customHeight="1" x14ac:dyDescent="0.25">
      <c r="A8" s="379" t="s">
        <v>343</v>
      </c>
      <c r="F8" s="379">
        <v>7</v>
      </c>
      <c r="G8" s="379" t="s">
        <v>325</v>
      </c>
      <c r="H8" s="379" t="s">
        <v>330</v>
      </c>
      <c r="I8" s="379" t="s">
        <v>327</v>
      </c>
      <c r="J8" s="379" t="s">
        <v>336</v>
      </c>
      <c r="K8" s="379" t="s">
        <v>329</v>
      </c>
      <c r="L8" s="379" t="s">
        <v>328</v>
      </c>
      <c r="M8" s="379" t="s">
        <v>331</v>
      </c>
      <c r="N8" s="379" t="s">
        <v>332</v>
      </c>
      <c r="P8" s="379">
        <f t="shared" si="2"/>
        <v>7</v>
      </c>
      <c r="Q8" s="445" t="str">
        <f t="shared" ref="Q8:X8" si="27">+RIGHT(G8,1)</f>
        <v>E</v>
      </c>
      <c r="R8" s="436" t="str">
        <f t="shared" si="27"/>
        <v>G</v>
      </c>
      <c r="S8" s="436" t="str">
        <f t="shared" si="27"/>
        <v>I</v>
      </c>
      <c r="T8" s="436" t="str">
        <f t="shared" si="27"/>
        <v>D</v>
      </c>
      <c r="U8" s="436" t="str">
        <f t="shared" si="27"/>
        <v>H</v>
      </c>
      <c r="V8" s="436" t="str">
        <f t="shared" si="27"/>
        <v>F</v>
      </c>
      <c r="W8" s="436" t="str">
        <f t="shared" si="27"/>
        <v>L</v>
      </c>
      <c r="X8" s="436" t="str">
        <f t="shared" si="27"/>
        <v>K</v>
      </c>
      <c r="Y8" s="446">
        <f t="shared" ca="1" si="4"/>
        <v>6</v>
      </c>
      <c r="AA8" s="447" t="str">
        <f t="shared" ca="1" si="5"/>
        <v>h</v>
      </c>
      <c r="AC8" s="436"/>
      <c r="AO8" s="379" t="s">
        <v>330</v>
      </c>
      <c r="AP8" s="379" t="str">
        <f ca="1">+_xlfn.XLOOKUP($AO8,'Groups Stage'!$Y:$Y,'Groups Stage'!Z:Z,"-",0)</f>
        <v>Nueva Zelanda</v>
      </c>
      <c r="AQ8" s="436">
        <f ca="1">+_xlfn.XLOOKUP($AO8,'Groups Stage'!$Y:$Y,'Groups Stage'!AA:AA,"-",0)</f>
        <v>3</v>
      </c>
      <c r="AR8" s="436">
        <f ca="1">+_xlfn.XLOOKUP($AO8,'Groups Stage'!$Y:$Y,'Groups Stage'!AB:AB,"-",0)</f>
        <v>1</v>
      </c>
      <c r="AS8" s="436">
        <f ca="1">+_xlfn.XLOOKUP($AO8,'Groups Stage'!$Y:$Y,'Groups Stage'!AC:AC,"-",0)</f>
        <v>0</v>
      </c>
      <c r="AT8" s="436">
        <f ca="1">+_xlfn.XLOOKUP($AO8,'Groups Stage'!$Y:$Y,'Groups Stage'!AD:AD,"-",0)</f>
        <v>2</v>
      </c>
      <c r="AU8" s="436">
        <f ca="1">+_xlfn.XLOOKUP($AO8,'Groups Stage'!$Y:$Y,'Groups Stage'!AE:AE,"-",0)</f>
        <v>-2</v>
      </c>
      <c r="AV8" s="436">
        <f ca="1">+_xlfn.XLOOKUP($AO8,'Groups Stage'!$Y:$Y,'Groups Stage'!AF:AF,"-",0)</f>
        <v>1</v>
      </c>
      <c r="AW8" s="436">
        <f ca="1">+_xlfn.XLOOKUP($AO8,'Groups Stage'!$Y:$Y,'Groups Stage'!AG:AG,"-",0)</f>
        <v>3</v>
      </c>
      <c r="AX8" s="436">
        <f t="shared" ca="1" si="21"/>
        <v>2.9801000000000002</v>
      </c>
      <c r="AY8" s="377">
        <f t="shared" ca="1" si="22"/>
        <v>2.9801000008000003</v>
      </c>
      <c r="AZ8" s="448" t="str">
        <f>+'Groups Stage'!CX8</f>
        <v xml:space="preserve"> - </v>
      </c>
      <c r="BA8" s="377">
        <f t="shared" ca="1" si="9"/>
        <v>2.9801000008000003</v>
      </c>
      <c r="BB8" s="377"/>
      <c r="BC8" s="377">
        <f t="shared" ca="1" si="10"/>
        <v>2.9802000009</v>
      </c>
      <c r="BD8" s="449" t="str">
        <f t="shared" ca="1" si="11"/>
        <v>Arabia Saudita</v>
      </c>
      <c r="BE8" s="379">
        <f t="shared" ca="1" si="12"/>
        <v>2.9802</v>
      </c>
      <c r="BF8" s="436" t="str">
        <f t="shared" ca="1" si="13"/>
        <v>-</v>
      </c>
      <c r="BG8" s="379" t="str">
        <f t="shared" ca="1" si="14"/>
        <v>IN</v>
      </c>
      <c r="BI8" s="377">
        <f t="shared" ca="1" si="15"/>
        <v>2.9802000009</v>
      </c>
      <c r="BJ8" s="449" t="str">
        <f t="shared" ca="1" si="16"/>
        <v>Arabia Saudita</v>
      </c>
      <c r="BK8" s="449" t="str">
        <f t="shared" ca="1" si="17"/>
        <v>3H</v>
      </c>
      <c r="BL8" s="379" t="str">
        <f t="shared" ca="1" si="18"/>
        <v>h</v>
      </c>
    </row>
    <row r="9" spans="1:64" ht="14.25" customHeight="1" x14ac:dyDescent="0.25">
      <c r="A9" s="379" t="s">
        <v>344</v>
      </c>
      <c r="F9" s="379">
        <v>8</v>
      </c>
      <c r="G9" s="379" t="s">
        <v>325</v>
      </c>
      <c r="H9" s="379" t="s">
        <v>330</v>
      </c>
      <c r="I9" s="379" t="s">
        <v>326</v>
      </c>
      <c r="J9" s="379" t="s">
        <v>336</v>
      </c>
      <c r="K9" s="379" t="s">
        <v>329</v>
      </c>
      <c r="L9" s="379" t="s">
        <v>328</v>
      </c>
      <c r="M9" s="379" t="s">
        <v>331</v>
      </c>
      <c r="N9" s="379" t="s">
        <v>327</v>
      </c>
      <c r="P9" s="379">
        <f t="shared" si="2"/>
        <v>8</v>
      </c>
      <c r="Q9" s="445" t="str">
        <f t="shared" ref="Q9:X9" si="28">+RIGHT(G9,1)</f>
        <v>E</v>
      </c>
      <c r="R9" s="436" t="str">
        <f t="shared" si="28"/>
        <v>G</v>
      </c>
      <c r="S9" s="436" t="str">
        <f t="shared" si="28"/>
        <v>J</v>
      </c>
      <c r="T9" s="436" t="str">
        <f t="shared" si="28"/>
        <v>D</v>
      </c>
      <c r="U9" s="436" t="str">
        <f t="shared" si="28"/>
        <v>H</v>
      </c>
      <c r="V9" s="436" t="str">
        <f t="shared" si="28"/>
        <v>F</v>
      </c>
      <c r="W9" s="436" t="str">
        <f t="shared" si="28"/>
        <v>L</v>
      </c>
      <c r="X9" s="436" t="str">
        <f t="shared" si="28"/>
        <v>I</v>
      </c>
      <c r="Y9" s="446">
        <f t="shared" ca="1" si="4"/>
        <v>6</v>
      </c>
      <c r="AA9" s="447" t="str">
        <f t="shared" ca="1" si="5"/>
        <v>g</v>
      </c>
      <c r="AC9" s="436"/>
      <c r="AO9" s="379" t="s">
        <v>329</v>
      </c>
      <c r="AP9" s="379" t="str">
        <f ca="1">+_xlfn.XLOOKUP($AO9,'Groups Stage'!$Y:$Y,'Groups Stage'!Z:Z,"-",0)</f>
        <v>Arabia Saudita</v>
      </c>
      <c r="AQ9" s="436">
        <f ca="1">+_xlfn.XLOOKUP($AO9,'Groups Stage'!$Y:$Y,'Groups Stage'!AA:AA,"-",0)</f>
        <v>3</v>
      </c>
      <c r="AR9" s="436">
        <f ca="1">+_xlfn.XLOOKUP($AO9,'Groups Stage'!$Y:$Y,'Groups Stage'!AB:AB,"-",0)</f>
        <v>1</v>
      </c>
      <c r="AS9" s="436">
        <f ca="1">+_xlfn.XLOOKUP($AO9,'Groups Stage'!$Y:$Y,'Groups Stage'!AC:AC,"-",0)</f>
        <v>0</v>
      </c>
      <c r="AT9" s="436">
        <f ca="1">+_xlfn.XLOOKUP($AO9,'Groups Stage'!$Y:$Y,'Groups Stage'!AD:AD,"-",0)</f>
        <v>2</v>
      </c>
      <c r="AU9" s="436">
        <f ca="1">+_xlfn.XLOOKUP($AO9,'Groups Stage'!$Y:$Y,'Groups Stage'!AE:AE,"-",0)</f>
        <v>-2</v>
      </c>
      <c r="AV9" s="436">
        <f ca="1">+_xlfn.XLOOKUP($AO9,'Groups Stage'!$Y:$Y,'Groups Stage'!AF:AF,"-",0)</f>
        <v>2</v>
      </c>
      <c r="AW9" s="436">
        <f ca="1">+_xlfn.XLOOKUP($AO9,'Groups Stage'!$Y:$Y,'Groups Stage'!AG:AG,"-",0)</f>
        <v>4</v>
      </c>
      <c r="AX9" s="436">
        <f t="shared" ca="1" si="21"/>
        <v>2.9802</v>
      </c>
      <c r="AY9" s="377">
        <f t="shared" ca="1" si="22"/>
        <v>2.9802000009</v>
      </c>
      <c r="AZ9" s="448" t="str">
        <f>+'Groups Stage'!CX9</f>
        <v xml:space="preserve"> - </v>
      </c>
      <c r="BA9" s="377">
        <f t="shared" ca="1" si="9"/>
        <v>2.9802000009</v>
      </c>
      <c r="BB9" s="377"/>
      <c r="BC9" s="377">
        <f t="shared" ca="1" si="10"/>
        <v>2.9801000008000003</v>
      </c>
      <c r="BD9" s="449" t="str">
        <f t="shared" ca="1" si="11"/>
        <v>Nueva Zelanda</v>
      </c>
      <c r="BE9" s="379">
        <f t="shared" ca="1" si="12"/>
        <v>2.9801000000000002</v>
      </c>
      <c r="BF9" s="436" t="str">
        <f t="shared" ca="1" si="13"/>
        <v>-</v>
      </c>
      <c r="BG9" s="379" t="str">
        <f t="shared" ca="1" si="14"/>
        <v>IN</v>
      </c>
      <c r="BI9" s="377">
        <f t="shared" ca="1" si="15"/>
        <v>2.9801000008000003</v>
      </c>
      <c r="BJ9" s="449" t="str">
        <f t="shared" ca="1" si="16"/>
        <v>Nueva Zelanda</v>
      </c>
      <c r="BK9" s="449" t="str">
        <f t="shared" ca="1" si="17"/>
        <v>3G</v>
      </c>
      <c r="BL9" s="379" t="str">
        <f t="shared" ca="1" si="18"/>
        <v>g</v>
      </c>
    </row>
    <row r="10" spans="1:64" ht="14.25" customHeight="1" x14ac:dyDescent="0.25">
      <c r="A10" s="379" t="s">
        <v>345</v>
      </c>
      <c r="F10" s="379">
        <v>9</v>
      </c>
      <c r="G10" s="379" t="s">
        <v>325</v>
      </c>
      <c r="H10" s="379" t="s">
        <v>330</v>
      </c>
      <c r="I10" s="379" t="s">
        <v>326</v>
      </c>
      <c r="J10" s="379" t="s">
        <v>336</v>
      </c>
      <c r="K10" s="379" t="s">
        <v>329</v>
      </c>
      <c r="L10" s="379" t="s">
        <v>328</v>
      </c>
      <c r="M10" s="379" t="s">
        <v>327</v>
      </c>
      <c r="N10" s="379" t="s">
        <v>332</v>
      </c>
      <c r="P10" s="379">
        <f t="shared" si="2"/>
        <v>9</v>
      </c>
      <c r="Q10" s="445" t="str">
        <f t="shared" ref="Q10:X10" si="29">+RIGHT(G10,1)</f>
        <v>E</v>
      </c>
      <c r="R10" s="436" t="str">
        <f t="shared" si="29"/>
        <v>G</v>
      </c>
      <c r="S10" s="436" t="str">
        <f t="shared" si="29"/>
        <v>J</v>
      </c>
      <c r="T10" s="436" t="str">
        <f t="shared" si="29"/>
        <v>D</v>
      </c>
      <c r="U10" s="436" t="str">
        <f t="shared" si="29"/>
        <v>H</v>
      </c>
      <c r="V10" s="436" t="str">
        <f t="shared" si="29"/>
        <v>F</v>
      </c>
      <c r="W10" s="436" t="str">
        <f t="shared" si="29"/>
        <v>I</v>
      </c>
      <c r="X10" s="436" t="str">
        <f t="shared" si="29"/>
        <v>K</v>
      </c>
      <c r="Y10" s="446">
        <f t="shared" ca="1" si="4"/>
        <v>5</v>
      </c>
      <c r="AO10" s="379" t="s">
        <v>327</v>
      </c>
      <c r="AP10" s="379" t="str">
        <f ca="1">+_xlfn.XLOOKUP($AO10,'Groups Stage'!$Y:$Y,'Groups Stage'!Z:Z,"-",0)</f>
        <v>Senegal</v>
      </c>
      <c r="AQ10" s="436">
        <f ca="1">+_xlfn.XLOOKUP($AO10,'Groups Stage'!$Y:$Y,'Groups Stage'!AA:AA,"-",0)</f>
        <v>3</v>
      </c>
      <c r="AR10" s="436">
        <f ca="1">+_xlfn.XLOOKUP($AO10,'Groups Stage'!$Y:$Y,'Groups Stage'!AB:AB,"-",0)</f>
        <v>1</v>
      </c>
      <c r="AS10" s="436">
        <f ca="1">+_xlfn.XLOOKUP($AO10,'Groups Stage'!$Y:$Y,'Groups Stage'!AC:AC,"-",0)</f>
        <v>0</v>
      </c>
      <c r="AT10" s="436">
        <f ca="1">+_xlfn.XLOOKUP($AO10,'Groups Stage'!$Y:$Y,'Groups Stage'!AD:AD,"-",0)</f>
        <v>2</v>
      </c>
      <c r="AU10" s="436">
        <f ca="1">+_xlfn.XLOOKUP($AO10,'Groups Stage'!$Y:$Y,'Groups Stage'!AE:AE,"-",0)</f>
        <v>-1</v>
      </c>
      <c r="AV10" s="436">
        <f ca="1">+_xlfn.XLOOKUP($AO10,'Groups Stage'!$Y:$Y,'Groups Stage'!AF:AF,"-",0)</f>
        <v>3</v>
      </c>
      <c r="AW10" s="436">
        <f ca="1">+_xlfn.XLOOKUP($AO10,'Groups Stage'!$Y:$Y,'Groups Stage'!AG:AG,"-",0)</f>
        <v>4</v>
      </c>
      <c r="AX10" s="436">
        <f t="shared" ca="1" si="21"/>
        <v>2.9903000000000004</v>
      </c>
      <c r="AY10" s="377">
        <f t="shared" ca="1" si="22"/>
        <v>2.9903000010000005</v>
      </c>
      <c r="AZ10" s="448">
        <f>+'Groups Stage'!CX10</f>
        <v>0</v>
      </c>
      <c r="BA10" s="377">
        <f t="shared" ca="1" si="9"/>
        <v>2.9903000010000005</v>
      </c>
      <c r="BB10" s="377"/>
      <c r="BC10" s="377">
        <f t="shared" ca="1" si="10"/>
        <v>2.9701000012000005</v>
      </c>
      <c r="BD10" s="449" t="str">
        <f t="shared" ca="1" si="11"/>
        <v>Uzbekistan</v>
      </c>
      <c r="BE10" s="379">
        <f t="shared" ca="1" si="12"/>
        <v>2.9701000000000004</v>
      </c>
      <c r="BF10" s="436" t="str">
        <f t="shared" ref="BF10:BF13" ca="1" si="30">+IF(COUNTIF($BE$2:$BE$9,BE10)=0,"-","x")</f>
        <v>-</v>
      </c>
      <c r="BG10" s="379" t="str">
        <f t="shared" ref="BG10:BG13" ca="1" si="31">+IF(BF10="x","Draw - Select","OUT")</f>
        <v>OUT</v>
      </c>
      <c r="BI10" s="377"/>
      <c r="BJ10" s="449"/>
      <c r="BK10" s="449"/>
    </row>
    <row r="11" spans="1:64" ht="14.25" customHeight="1" x14ac:dyDescent="0.25">
      <c r="A11" s="379" t="s">
        <v>346</v>
      </c>
      <c r="F11" s="379">
        <v>10</v>
      </c>
      <c r="G11" s="379" t="s">
        <v>329</v>
      </c>
      <c r="H11" s="379" t="s">
        <v>330</v>
      </c>
      <c r="I11" s="379" t="s">
        <v>327</v>
      </c>
      <c r="J11" s="379" t="s">
        <v>339</v>
      </c>
      <c r="K11" s="379" t="s">
        <v>326</v>
      </c>
      <c r="L11" s="379" t="s">
        <v>328</v>
      </c>
      <c r="M11" s="379" t="s">
        <v>331</v>
      </c>
      <c r="N11" s="379" t="s">
        <v>332</v>
      </c>
      <c r="P11" s="379">
        <f t="shared" si="2"/>
        <v>10</v>
      </c>
      <c r="Q11" s="445" t="str">
        <f t="shared" ref="Q11:X11" si="32">+RIGHT(G11,1)</f>
        <v>H</v>
      </c>
      <c r="R11" s="436" t="str">
        <f t="shared" si="32"/>
        <v>G</v>
      </c>
      <c r="S11" s="436" t="str">
        <f t="shared" si="32"/>
        <v>I</v>
      </c>
      <c r="T11" s="436" t="str">
        <f t="shared" si="32"/>
        <v>C</v>
      </c>
      <c r="U11" s="436" t="str">
        <f t="shared" si="32"/>
        <v>J</v>
      </c>
      <c r="V11" s="436" t="str">
        <f t="shared" si="32"/>
        <v>F</v>
      </c>
      <c r="W11" s="436" t="str">
        <f t="shared" si="32"/>
        <v>L</v>
      </c>
      <c r="X11" s="436" t="str">
        <f t="shared" si="32"/>
        <v>K</v>
      </c>
      <c r="Y11" s="446">
        <f t="shared" ca="1" si="4"/>
        <v>6</v>
      </c>
      <c r="AO11" s="379" t="s">
        <v>326</v>
      </c>
      <c r="AP11" s="379" t="str">
        <f ca="1">+_xlfn.XLOOKUP($AO11,'Groups Stage'!$Y:$Y,'Groups Stage'!Z:Z,"-",0)</f>
        <v>Argelia</v>
      </c>
      <c r="AQ11" s="436">
        <f ca="1">+_xlfn.XLOOKUP($AO11,'Groups Stage'!$Y:$Y,'Groups Stage'!AA:AA,"-",0)</f>
        <v>3</v>
      </c>
      <c r="AR11" s="436">
        <f ca="1">+_xlfn.XLOOKUP($AO11,'Groups Stage'!$Y:$Y,'Groups Stage'!AB:AB,"-",0)</f>
        <v>1</v>
      </c>
      <c r="AS11" s="436">
        <f ca="1">+_xlfn.XLOOKUP($AO11,'Groups Stage'!$Y:$Y,'Groups Stage'!AC:AC,"-",0)</f>
        <v>0</v>
      </c>
      <c r="AT11" s="436">
        <f ca="1">+_xlfn.XLOOKUP($AO11,'Groups Stage'!$Y:$Y,'Groups Stage'!AD:AD,"-",0)</f>
        <v>2</v>
      </c>
      <c r="AU11" s="436">
        <f ca="1">+_xlfn.XLOOKUP($AO11,'Groups Stage'!$Y:$Y,'Groups Stage'!AE:AE,"-",0)</f>
        <v>-3</v>
      </c>
      <c r="AV11" s="436">
        <f ca="1">+_xlfn.XLOOKUP($AO11,'Groups Stage'!$Y:$Y,'Groups Stage'!AF:AF,"-",0)</f>
        <v>1</v>
      </c>
      <c r="AW11" s="436">
        <f ca="1">+_xlfn.XLOOKUP($AO11,'Groups Stage'!$Y:$Y,'Groups Stage'!AG:AG,"-",0)</f>
        <v>4</v>
      </c>
      <c r="AX11" s="436">
        <f t="shared" ca="1" si="21"/>
        <v>2.9701000000000004</v>
      </c>
      <c r="AY11" s="377">
        <f t="shared" ca="1" si="22"/>
        <v>2.9701000011000005</v>
      </c>
      <c r="AZ11" s="448" t="str">
        <f>+'Groups Stage'!CX11</f>
        <v xml:space="preserve"> - </v>
      </c>
      <c r="BA11" s="377">
        <f t="shared" ca="1" si="9"/>
        <v>2.9701000011000005</v>
      </c>
      <c r="BB11" s="377"/>
      <c r="BC11" s="377">
        <f t="shared" ca="1" si="10"/>
        <v>2.9701000011000005</v>
      </c>
      <c r="BD11" s="449" t="str">
        <f t="shared" ca="1" si="11"/>
        <v>Argelia</v>
      </c>
      <c r="BE11" s="379">
        <f t="shared" ca="1" si="12"/>
        <v>2.9701000000000004</v>
      </c>
      <c r="BF11" s="436" t="str">
        <f t="shared" ca="1" si="30"/>
        <v>-</v>
      </c>
      <c r="BG11" s="379" t="str">
        <f t="shared" ca="1" si="31"/>
        <v>OUT</v>
      </c>
      <c r="BI11" s="377"/>
      <c r="BJ11" s="449"/>
      <c r="BK11" s="449"/>
    </row>
    <row r="12" spans="1:64" ht="14.25" customHeight="1" x14ac:dyDescent="0.25">
      <c r="A12" s="379" t="s">
        <v>347</v>
      </c>
      <c r="F12" s="379">
        <v>11</v>
      </c>
      <c r="G12" s="379" t="s">
        <v>325</v>
      </c>
      <c r="H12" s="379" t="s">
        <v>326</v>
      </c>
      <c r="I12" s="379" t="s">
        <v>327</v>
      </c>
      <c r="J12" s="379" t="s">
        <v>339</v>
      </c>
      <c r="K12" s="379" t="s">
        <v>329</v>
      </c>
      <c r="L12" s="379" t="s">
        <v>330</v>
      </c>
      <c r="M12" s="379" t="s">
        <v>331</v>
      </c>
      <c r="N12" s="379" t="s">
        <v>332</v>
      </c>
      <c r="P12" s="379">
        <f t="shared" si="2"/>
        <v>11</v>
      </c>
      <c r="Q12" s="445" t="str">
        <f t="shared" ref="Q12:X12" si="33">+RIGHT(G12,1)</f>
        <v>E</v>
      </c>
      <c r="R12" s="436" t="str">
        <f t="shared" si="33"/>
        <v>J</v>
      </c>
      <c r="S12" s="436" t="str">
        <f t="shared" si="33"/>
        <v>I</v>
      </c>
      <c r="T12" s="436" t="str">
        <f t="shared" si="33"/>
        <v>C</v>
      </c>
      <c r="U12" s="436" t="str">
        <f t="shared" si="33"/>
        <v>H</v>
      </c>
      <c r="V12" s="436" t="str">
        <f t="shared" si="33"/>
        <v>G</v>
      </c>
      <c r="W12" s="436" t="str">
        <f t="shared" si="33"/>
        <v>L</v>
      </c>
      <c r="X12" s="436" t="str">
        <f t="shared" si="33"/>
        <v>K</v>
      </c>
      <c r="Y12" s="446">
        <f t="shared" ca="1" si="4"/>
        <v>5</v>
      </c>
      <c r="AO12" s="379" t="s">
        <v>332</v>
      </c>
      <c r="AP12" s="379" t="str">
        <f ca="1">+_xlfn.XLOOKUP($AO12,'Groups Stage'!$Y:$Y,'Groups Stage'!Z:Z,"-",0)</f>
        <v>Uzbekistan</v>
      </c>
      <c r="AQ12" s="436">
        <f ca="1">+_xlfn.XLOOKUP($AO12,'Groups Stage'!$Y:$Y,'Groups Stage'!AA:AA,"-",0)</f>
        <v>3</v>
      </c>
      <c r="AR12" s="436">
        <f ca="1">+_xlfn.XLOOKUP($AO12,'Groups Stage'!$Y:$Y,'Groups Stage'!AB:AB,"-",0)</f>
        <v>1</v>
      </c>
      <c r="AS12" s="436">
        <f ca="1">+_xlfn.XLOOKUP($AO12,'Groups Stage'!$Y:$Y,'Groups Stage'!AC:AC,"-",0)</f>
        <v>0</v>
      </c>
      <c r="AT12" s="436">
        <f ca="1">+_xlfn.XLOOKUP($AO12,'Groups Stage'!$Y:$Y,'Groups Stage'!AD:AD,"-",0)</f>
        <v>2</v>
      </c>
      <c r="AU12" s="436">
        <f ca="1">+_xlfn.XLOOKUP($AO12,'Groups Stage'!$Y:$Y,'Groups Stage'!AE:AE,"-",0)</f>
        <v>-3</v>
      </c>
      <c r="AV12" s="436">
        <f ca="1">+_xlfn.XLOOKUP($AO12,'Groups Stage'!$Y:$Y,'Groups Stage'!AF:AF,"-",0)</f>
        <v>1</v>
      </c>
      <c r="AW12" s="436">
        <f ca="1">+_xlfn.XLOOKUP($AO12,'Groups Stage'!$Y:$Y,'Groups Stage'!AG:AG,"-",0)</f>
        <v>4</v>
      </c>
      <c r="AX12" s="436">
        <f t="shared" ca="1" si="21"/>
        <v>2.9701000000000004</v>
      </c>
      <c r="AY12" s="377">
        <f t="shared" ca="1" si="22"/>
        <v>2.9701000012000005</v>
      </c>
      <c r="AZ12" s="448" t="str">
        <f>+'Groups Stage'!CX12</f>
        <v xml:space="preserve"> - </v>
      </c>
      <c r="BA12" s="377">
        <f t="shared" ca="1" si="9"/>
        <v>2.9701000012000005</v>
      </c>
      <c r="BB12" s="377"/>
      <c r="BC12" s="377">
        <f t="shared" ca="1" si="10"/>
        <v>2.9701000006000005</v>
      </c>
      <c r="BD12" s="449" t="str">
        <f t="shared" ca="1" si="11"/>
        <v>Costa de Marfil</v>
      </c>
      <c r="BE12" s="379">
        <f t="shared" ca="1" si="12"/>
        <v>2.9701000000000004</v>
      </c>
      <c r="BF12" s="436" t="str">
        <f t="shared" ca="1" si="30"/>
        <v>-</v>
      </c>
      <c r="BG12" s="379" t="str">
        <f t="shared" ca="1" si="31"/>
        <v>OUT</v>
      </c>
      <c r="BI12" s="377"/>
      <c r="BJ12" s="449"/>
      <c r="BK12" s="449"/>
    </row>
    <row r="13" spans="1:64" ht="14.25" customHeight="1" x14ac:dyDescent="0.25">
      <c r="A13" s="379" t="s">
        <v>348</v>
      </c>
      <c r="F13" s="379">
        <v>12</v>
      </c>
      <c r="G13" s="379" t="s">
        <v>325</v>
      </c>
      <c r="H13" s="379" t="s">
        <v>326</v>
      </c>
      <c r="I13" s="379" t="s">
        <v>327</v>
      </c>
      <c r="J13" s="379" t="s">
        <v>339</v>
      </c>
      <c r="K13" s="379" t="s">
        <v>329</v>
      </c>
      <c r="L13" s="379" t="s">
        <v>328</v>
      </c>
      <c r="M13" s="379" t="s">
        <v>331</v>
      </c>
      <c r="N13" s="379" t="s">
        <v>332</v>
      </c>
      <c r="P13" s="379">
        <f t="shared" si="2"/>
        <v>12</v>
      </c>
      <c r="Q13" s="445" t="str">
        <f t="shared" ref="Q13:X13" si="34">+RIGHT(G13,1)</f>
        <v>E</v>
      </c>
      <c r="R13" s="436" t="str">
        <f t="shared" si="34"/>
        <v>J</v>
      </c>
      <c r="S13" s="436" t="str">
        <f t="shared" si="34"/>
        <v>I</v>
      </c>
      <c r="T13" s="436" t="str">
        <f t="shared" si="34"/>
        <v>C</v>
      </c>
      <c r="U13" s="436" t="str">
        <f t="shared" si="34"/>
        <v>H</v>
      </c>
      <c r="V13" s="436" t="str">
        <f t="shared" si="34"/>
        <v>F</v>
      </c>
      <c r="W13" s="436" t="str">
        <f t="shared" si="34"/>
        <v>L</v>
      </c>
      <c r="X13" s="436" t="str">
        <f t="shared" si="34"/>
        <v>K</v>
      </c>
      <c r="Y13" s="446">
        <f t="shared" ca="1" si="4"/>
        <v>5</v>
      </c>
      <c r="AO13" s="379" t="s">
        <v>331</v>
      </c>
      <c r="AP13" s="379" t="str">
        <f ca="1">+_xlfn.XLOOKUP($AO13,'Groups Stage'!$Y:$Y,'Groups Stage'!Z:Z,"-",0)</f>
        <v>Ghana</v>
      </c>
      <c r="AQ13" s="436">
        <f ca="1">+_xlfn.XLOOKUP($AO13,'Groups Stage'!$Y:$Y,'Groups Stage'!AA:AA,"-",0)</f>
        <v>3</v>
      </c>
      <c r="AR13" s="436">
        <f ca="1">+_xlfn.XLOOKUP($AO13,'Groups Stage'!$Y:$Y,'Groups Stage'!AB:AB,"-",0)</f>
        <v>1</v>
      </c>
      <c r="AS13" s="436">
        <f ca="1">+_xlfn.XLOOKUP($AO13,'Groups Stage'!$Y:$Y,'Groups Stage'!AC:AC,"-",0)</f>
        <v>0</v>
      </c>
      <c r="AT13" s="436">
        <f ca="1">+_xlfn.XLOOKUP($AO13,'Groups Stage'!$Y:$Y,'Groups Stage'!AD:AD,"-",0)</f>
        <v>2</v>
      </c>
      <c r="AU13" s="436">
        <f ca="1">+_xlfn.XLOOKUP($AO13,'Groups Stage'!$Y:$Y,'Groups Stage'!AE:AE,"-",0)</f>
        <v>-2</v>
      </c>
      <c r="AV13" s="436">
        <f ca="1">+_xlfn.XLOOKUP($AO13,'Groups Stage'!$Y:$Y,'Groups Stage'!AF:AF,"-",0)</f>
        <v>3</v>
      </c>
      <c r="AW13" s="436">
        <f ca="1">+_xlfn.XLOOKUP($AO13,'Groups Stage'!$Y:$Y,'Groups Stage'!AG:AG,"-",0)</f>
        <v>5</v>
      </c>
      <c r="AX13" s="436">
        <f t="shared" ca="1" si="21"/>
        <v>2.9803000000000002</v>
      </c>
      <c r="AY13" s="377">
        <f t="shared" ca="1" si="22"/>
        <v>2.9803000013000003</v>
      </c>
      <c r="AZ13" s="448" t="str">
        <f>+'Groups Stage'!CX13</f>
        <v xml:space="preserve"> - </v>
      </c>
      <c r="BA13" s="377">
        <f t="shared" ca="1" si="9"/>
        <v>2.9803000013000003</v>
      </c>
      <c r="BB13" s="377"/>
      <c r="BC13" s="377">
        <f t="shared" ca="1" si="10"/>
        <v>0.9700000003</v>
      </c>
      <c r="BD13" s="449" t="str">
        <f t="shared" ca="1" si="11"/>
        <v>Canada</v>
      </c>
      <c r="BE13" s="379">
        <f t="shared" ca="1" si="12"/>
        <v>0.97</v>
      </c>
      <c r="BF13" s="436" t="str">
        <f t="shared" ca="1" si="30"/>
        <v>-</v>
      </c>
      <c r="BG13" s="379" t="str">
        <f t="shared" ca="1" si="31"/>
        <v>OUT</v>
      </c>
      <c r="BI13" s="377"/>
      <c r="BJ13" s="449"/>
      <c r="BK13" s="449"/>
    </row>
    <row r="14" spans="1:64" ht="14.25" customHeight="1" x14ac:dyDescent="0.25">
      <c r="A14" s="379" t="s">
        <v>349</v>
      </c>
      <c r="F14" s="379">
        <v>13</v>
      </c>
      <c r="G14" s="379" t="s">
        <v>325</v>
      </c>
      <c r="H14" s="379" t="s">
        <v>330</v>
      </c>
      <c r="I14" s="379" t="s">
        <v>327</v>
      </c>
      <c r="J14" s="379" t="s">
        <v>339</v>
      </c>
      <c r="K14" s="379" t="s">
        <v>326</v>
      </c>
      <c r="L14" s="379" t="s">
        <v>328</v>
      </c>
      <c r="M14" s="379" t="s">
        <v>331</v>
      </c>
      <c r="N14" s="379" t="s">
        <v>332</v>
      </c>
      <c r="P14" s="379">
        <f t="shared" si="2"/>
        <v>13</v>
      </c>
      <c r="Q14" s="445" t="str">
        <f t="shared" ref="Q14:X14" si="35">+RIGHT(G14,1)</f>
        <v>E</v>
      </c>
      <c r="R14" s="436" t="str">
        <f t="shared" si="35"/>
        <v>G</v>
      </c>
      <c r="S14" s="436" t="str">
        <f t="shared" si="35"/>
        <v>I</v>
      </c>
      <c r="T14" s="436" t="str">
        <f t="shared" si="35"/>
        <v>C</v>
      </c>
      <c r="U14" s="436" t="str">
        <f t="shared" si="35"/>
        <v>J</v>
      </c>
      <c r="V14" s="436" t="str">
        <f t="shared" si="35"/>
        <v>F</v>
      </c>
      <c r="W14" s="436" t="str">
        <f t="shared" si="35"/>
        <v>L</v>
      </c>
      <c r="X14" s="436" t="str">
        <f t="shared" si="35"/>
        <v>K</v>
      </c>
      <c r="Y14" s="446">
        <f t="shared" ca="1" si="4"/>
        <v>5</v>
      </c>
    </row>
    <row r="15" spans="1:64" ht="14.25" customHeight="1" x14ac:dyDescent="0.25">
      <c r="A15" s="379" t="s">
        <v>350</v>
      </c>
      <c r="F15" s="379">
        <v>14</v>
      </c>
      <c r="G15" s="379" t="s">
        <v>325</v>
      </c>
      <c r="H15" s="379" t="s">
        <v>330</v>
      </c>
      <c r="I15" s="379" t="s">
        <v>326</v>
      </c>
      <c r="J15" s="379" t="s">
        <v>339</v>
      </c>
      <c r="K15" s="379" t="s">
        <v>329</v>
      </c>
      <c r="L15" s="379" t="s">
        <v>328</v>
      </c>
      <c r="M15" s="379" t="s">
        <v>331</v>
      </c>
      <c r="N15" s="379" t="s">
        <v>332</v>
      </c>
      <c r="P15" s="379">
        <f t="shared" si="2"/>
        <v>14</v>
      </c>
      <c r="Q15" s="445" t="str">
        <f t="shared" ref="Q15:X15" si="36">+RIGHT(G15,1)</f>
        <v>E</v>
      </c>
      <c r="R15" s="436" t="str">
        <f t="shared" si="36"/>
        <v>G</v>
      </c>
      <c r="S15" s="436" t="str">
        <f t="shared" si="36"/>
        <v>J</v>
      </c>
      <c r="T15" s="436" t="str">
        <f t="shared" si="36"/>
        <v>C</v>
      </c>
      <c r="U15" s="436" t="str">
        <f t="shared" si="36"/>
        <v>H</v>
      </c>
      <c r="V15" s="436" t="str">
        <f t="shared" si="36"/>
        <v>F</v>
      </c>
      <c r="W15" s="436" t="str">
        <f t="shared" si="36"/>
        <v>L</v>
      </c>
      <c r="X15" s="436" t="str">
        <f t="shared" si="36"/>
        <v>K</v>
      </c>
      <c r="Y15" s="446">
        <f t="shared" ca="1" si="4"/>
        <v>5</v>
      </c>
      <c r="AQ15" s="436" t="str">
        <f ca="1">+IF(SUM(AQ2:AQ13)=3*12,"DONE","-")</f>
        <v>DONE</v>
      </c>
    </row>
    <row r="16" spans="1:64" ht="14.25" customHeight="1" x14ac:dyDescent="0.25">
      <c r="A16" s="379" t="s">
        <v>351</v>
      </c>
      <c r="F16" s="379">
        <v>15</v>
      </c>
      <c r="G16" s="379" t="s">
        <v>325</v>
      </c>
      <c r="H16" s="379" t="s">
        <v>330</v>
      </c>
      <c r="I16" s="379" t="s">
        <v>327</v>
      </c>
      <c r="J16" s="379" t="s">
        <v>339</v>
      </c>
      <c r="K16" s="379" t="s">
        <v>329</v>
      </c>
      <c r="L16" s="379" t="s">
        <v>328</v>
      </c>
      <c r="M16" s="379" t="s">
        <v>331</v>
      </c>
      <c r="N16" s="379" t="s">
        <v>332</v>
      </c>
      <c r="P16" s="379">
        <f t="shared" si="2"/>
        <v>15</v>
      </c>
      <c r="Q16" s="445" t="str">
        <f t="shared" ref="Q16:X16" si="37">+RIGHT(G16,1)</f>
        <v>E</v>
      </c>
      <c r="R16" s="436" t="str">
        <f t="shared" si="37"/>
        <v>G</v>
      </c>
      <c r="S16" s="436" t="str">
        <f t="shared" si="37"/>
        <v>I</v>
      </c>
      <c r="T16" s="436" t="str">
        <f t="shared" si="37"/>
        <v>C</v>
      </c>
      <c r="U16" s="436" t="str">
        <f t="shared" si="37"/>
        <v>H</v>
      </c>
      <c r="V16" s="436" t="str">
        <f t="shared" si="37"/>
        <v>F</v>
      </c>
      <c r="W16" s="436" t="str">
        <f t="shared" si="37"/>
        <v>L</v>
      </c>
      <c r="X16" s="436" t="str">
        <f t="shared" si="37"/>
        <v>K</v>
      </c>
      <c r="Y16" s="446">
        <f t="shared" ca="1" si="4"/>
        <v>6</v>
      </c>
    </row>
    <row r="17" spans="1:25" ht="14.25" customHeight="1" x14ac:dyDescent="0.25">
      <c r="A17" s="379" t="s">
        <v>352</v>
      </c>
      <c r="F17" s="379">
        <v>16</v>
      </c>
      <c r="G17" s="379" t="s">
        <v>325</v>
      </c>
      <c r="H17" s="379" t="s">
        <v>330</v>
      </c>
      <c r="I17" s="379" t="s">
        <v>326</v>
      </c>
      <c r="J17" s="379" t="s">
        <v>339</v>
      </c>
      <c r="K17" s="379" t="s">
        <v>329</v>
      </c>
      <c r="L17" s="379" t="s">
        <v>328</v>
      </c>
      <c r="M17" s="379" t="s">
        <v>331</v>
      </c>
      <c r="N17" s="379" t="s">
        <v>327</v>
      </c>
      <c r="P17" s="379">
        <f t="shared" si="2"/>
        <v>16</v>
      </c>
      <c r="Q17" s="445" t="str">
        <f t="shared" ref="Q17:X17" si="38">+RIGHT(G17,1)</f>
        <v>E</v>
      </c>
      <c r="R17" s="436" t="str">
        <f t="shared" si="38"/>
        <v>G</v>
      </c>
      <c r="S17" s="436" t="str">
        <f t="shared" si="38"/>
        <v>J</v>
      </c>
      <c r="T17" s="436" t="str">
        <f t="shared" si="38"/>
        <v>C</v>
      </c>
      <c r="U17" s="436" t="str">
        <f t="shared" si="38"/>
        <v>H</v>
      </c>
      <c r="V17" s="436" t="str">
        <f t="shared" si="38"/>
        <v>F</v>
      </c>
      <c r="W17" s="436" t="str">
        <f t="shared" si="38"/>
        <v>L</v>
      </c>
      <c r="X17" s="436" t="str">
        <f t="shared" si="38"/>
        <v>I</v>
      </c>
      <c r="Y17" s="446">
        <f t="shared" ca="1" si="4"/>
        <v>6</v>
      </c>
    </row>
    <row r="18" spans="1:25" ht="14.25" customHeight="1" x14ac:dyDescent="0.25">
      <c r="A18" s="379" t="s">
        <v>353</v>
      </c>
      <c r="F18" s="379">
        <v>17</v>
      </c>
      <c r="G18" s="379" t="s">
        <v>325</v>
      </c>
      <c r="H18" s="379" t="s">
        <v>330</v>
      </c>
      <c r="I18" s="379" t="s">
        <v>326</v>
      </c>
      <c r="J18" s="379" t="s">
        <v>339</v>
      </c>
      <c r="K18" s="379" t="s">
        <v>329</v>
      </c>
      <c r="L18" s="379" t="s">
        <v>328</v>
      </c>
      <c r="M18" s="379" t="s">
        <v>327</v>
      </c>
      <c r="N18" s="379" t="s">
        <v>332</v>
      </c>
      <c r="P18" s="379">
        <f t="shared" si="2"/>
        <v>17</v>
      </c>
      <c r="Q18" s="445" t="str">
        <f t="shared" ref="Q18:X18" si="39">+RIGHT(G18,1)</f>
        <v>E</v>
      </c>
      <c r="R18" s="436" t="str">
        <f t="shared" si="39"/>
        <v>G</v>
      </c>
      <c r="S18" s="436" t="str">
        <f t="shared" si="39"/>
        <v>J</v>
      </c>
      <c r="T18" s="436" t="str">
        <f t="shared" si="39"/>
        <v>C</v>
      </c>
      <c r="U18" s="436" t="str">
        <f t="shared" si="39"/>
        <v>H</v>
      </c>
      <c r="V18" s="436" t="str">
        <f t="shared" si="39"/>
        <v>F</v>
      </c>
      <c r="W18" s="436" t="str">
        <f t="shared" si="39"/>
        <v>I</v>
      </c>
      <c r="X18" s="436" t="str">
        <f t="shared" si="39"/>
        <v>K</v>
      </c>
      <c r="Y18" s="446">
        <f t="shared" ca="1" si="4"/>
        <v>5</v>
      </c>
    </row>
    <row r="19" spans="1:25" ht="14.25" customHeight="1" x14ac:dyDescent="0.25">
      <c r="A19" s="379" t="s">
        <v>354</v>
      </c>
      <c r="F19" s="379">
        <v>18</v>
      </c>
      <c r="G19" s="379" t="s">
        <v>329</v>
      </c>
      <c r="H19" s="379" t="s">
        <v>330</v>
      </c>
      <c r="I19" s="379" t="s">
        <v>327</v>
      </c>
      <c r="J19" s="379" t="s">
        <v>339</v>
      </c>
      <c r="K19" s="379" t="s">
        <v>326</v>
      </c>
      <c r="L19" s="379" t="s">
        <v>336</v>
      </c>
      <c r="M19" s="379" t="s">
        <v>331</v>
      </c>
      <c r="N19" s="379" t="s">
        <v>332</v>
      </c>
      <c r="P19" s="379">
        <f t="shared" si="2"/>
        <v>18</v>
      </c>
      <c r="Q19" s="445" t="str">
        <f t="shared" ref="Q19:X19" si="40">+RIGHT(G19,1)</f>
        <v>H</v>
      </c>
      <c r="R19" s="436" t="str">
        <f t="shared" si="40"/>
        <v>G</v>
      </c>
      <c r="S19" s="436" t="str">
        <f t="shared" si="40"/>
        <v>I</v>
      </c>
      <c r="T19" s="436" t="str">
        <f t="shared" si="40"/>
        <v>C</v>
      </c>
      <c r="U19" s="436" t="str">
        <f t="shared" si="40"/>
        <v>J</v>
      </c>
      <c r="V19" s="436" t="str">
        <f t="shared" si="40"/>
        <v>D</v>
      </c>
      <c r="W19" s="436" t="str">
        <f t="shared" si="40"/>
        <v>L</v>
      </c>
      <c r="X19" s="436" t="str">
        <f t="shared" si="40"/>
        <v>K</v>
      </c>
      <c r="Y19" s="446">
        <f t="shared" ca="1" si="4"/>
        <v>6</v>
      </c>
    </row>
    <row r="20" spans="1:25" ht="14.25" customHeight="1" x14ac:dyDescent="0.25">
      <c r="A20" s="379" t="s">
        <v>355</v>
      </c>
      <c r="F20" s="379">
        <v>19</v>
      </c>
      <c r="G20" s="379" t="s">
        <v>339</v>
      </c>
      <c r="H20" s="379" t="s">
        <v>326</v>
      </c>
      <c r="I20" s="379" t="s">
        <v>327</v>
      </c>
      <c r="J20" s="379" t="s">
        <v>336</v>
      </c>
      <c r="K20" s="379" t="s">
        <v>329</v>
      </c>
      <c r="L20" s="379" t="s">
        <v>328</v>
      </c>
      <c r="M20" s="379" t="s">
        <v>331</v>
      </c>
      <c r="N20" s="379" t="s">
        <v>332</v>
      </c>
      <c r="P20" s="379">
        <f t="shared" si="2"/>
        <v>19</v>
      </c>
      <c r="Q20" s="445" t="str">
        <f t="shared" ref="Q20:X20" si="41">+RIGHT(G20,1)</f>
        <v>C</v>
      </c>
      <c r="R20" s="436" t="str">
        <f t="shared" si="41"/>
        <v>J</v>
      </c>
      <c r="S20" s="436" t="str">
        <f t="shared" si="41"/>
        <v>I</v>
      </c>
      <c r="T20" s="436" t="str">
        <f t="shared" si="41"/>
        <v>D</v>
      </c>
      <c r="U20" s="436" t="str">
        <f t="shared" si="41"/>
        <v>H</v>
      </c>
      <c r="V20" s="436" t="str">
        <f t="shared" si="41"/>
        <v>F</v>
      </c>
      <c r="W20" s="436" t="str">
        <f t="shared" si="41"/>
        <v>L</v>
      </c>
      <c r="X20" s="436" t="str">
        <f t="shared" si="41"/>
        <v>K</v>
      </c>
      <c r="Y20" s="446">
        <f t="shared" ca="1" si="4"/>
        <v>6</v>
      </c>
    </row>
    <row r="21" spans="1:25" ht="14.25" customHeight="1" x14ac:dyDescent="0.25">
      <c r="A21" s="379" t="s">
        <v>356</v>
      </c>
      <c r="F21" s="379">
        <v>20</v>
      </c>
      <c r="G21" s="379" t="s">
        <v>339</v>
      </c>
      <c r="H21" s="379" t="s">
        <v>330</v>
      </c>
      <c r="I21" s="379" t="s">
        <v>327</v>
      </c>
      <c r="J21" s="379" t="s">
        <v>336</v>
      </c>
      <c r="K21" s="379" t="s">
        <v>326</v>
      </c>
      <c r="L21" s="379" t="s">
        <v>328</v>
      </c>
      <c r="M21" s="379" t="s">
        <v>331</v>
      </c>
      <c r="N21" s="379" t="s">
        <v>332</v>
      </c>
      <c r="P21" s="379">
        <f t="shared" si="2"/>
        <v>20</v>
      </c>
      <c r="Q21" s="445" t="str">
        <f t="shared" ref="Q21:X21" si="42">+RIGHT(G21,1)</f>
        <v>C</v>
      </c>
      <c r="R21" s="436" t="str">
        <f t="shared" si="42"/>
        <v>G</v>
      </c>
      <c r="S21" s="436" t="str">
        <f t="shared" si="42"/>
        <v>I</v>
      </c>
      <c r="T21" s="436" t="str">
        <f t="shared" si="42"/>
        <v>D</v>
      </c>
      <c r="U21" s="436" t="str">
        <f t="shared" si="42"/>
        <v>J</v>
      </c>
      <c r="V21" s="436" t="str">
        <f t="shared" si="42"/>
        <v>F</v>
      </c>
      <c r="W21" s="436" t="str">
        <f t="shared" si="42"/>
        <v>L</v>
      </c>
      <c r="X21" s="436" t="str">
        <f t="shared" si="42"/>
        <v>K</v>
      </c>
      <c r="Y21" s="446">
        <f t="shared" ca="1" si="4"/>
        <v>6</v>
      </c>
    </row>
    <row r="22" spans="1:25" ht="14.25" customHeight="1" x14ac:dyDescent="0.25">
      <c r="A22" s="379" t="s">
        <v>357</v>
      </c>
      <c r="F22" s="379">
        <v>21</v>
      </c>
      <c r="G22" s="379" t="s">
        <v>339</v>
      </c>
      <c r="H22" s="379" t="s">
        <v>330</v>
      </c>
      <c r="I22" s="379" t="s">
        <v>326</v>
      </c>
      <c r="J22" s="379" t="s">
        <v>336</v>
      </c>
      <c r="K22" s="379" t="s">
        <v>329</v>
      </c>
      <c r="L22" s="379" t="s">
        <v>328</v>
      </c>
      <c r="M22" s="379" t="s">
        <v>331</v>
      </c>
      <c r="N22" s="379" t="s">
        <v>332</v>
      </c>
      <c r="P22" s="379">
        <f t="shared" si="2"/>
        <v>21</v>
      </c>
      <c r="Q22" s="445" t="str">
        <f t="shared" ref="Q22:X22" si="43">+RIGHT(G22,1)</f>
        <v>C</v>
      </c>
      <c r="R22" s="436" t="str">
        <f t="shared" si="43"/>
        <v>G</v>
      </c>
      <c r="S22" s="436" t="str">
        <f t="shared" si="43"/>
        <v>J</v>
      </c>
      <c r="T22" s="436" t="str">
        <f t="shared" si="43"/>
        <v>D</v>
      </c>
      <c r="U22" s="436" t="str">
        <f t="shared" si="43"/>
        <v>H</v>
      </c>
      <c r="V22" s="436" t="str">
        <f t="shared" si="43"/>
        <v>F</v>
      </c>
      <c r="W22" s="436" t="str">
        <f t="shared" si="43"/>
        <v>L</v>
      </c>
      <c r="X22" s="436" t="str">
        <f t="shared" si="43"/>
        <v>K</v>
      </c>
      <c r="Y22" s="446">
        <f t="shared" ca="1" si="4"/>
        <v>6</v>
      </c>
    </row>
    <row r="23" spans="1:25" ht="14.25" customHeight="1" x14ac:dyDescent="0.25">
      <c r="A23" s="379" t="s">
        <v>358</v>
      </c>
      <c r="F23" s="379">
        <v>22</v>
      </c>
      <c r="G23" s="379" t="s">
        <v>339</v>
      </c>
      <c r="H23" s="379" t="s">
        <v>330</v>
      </c>
      <c r="I23" s="379" t="s">
        <v>327</v>
      </c>
      <c r="J23" s="379" t="s">
        <v>336</v>
      </c>
      <c r="K23" s="379" t="s">
        <v>329</v>
      </c>
      <c r="L23" s="379" t="s">
        <v>328</v>
      </c>
      <c r="M23" s="379" t="s">
        <v>331</v>
      </c>
      <c r="N23" s="379" t="s">
        <v>332</v>
      </c>
      <c r="P23" s="379">
        <f t="shared" si="2"/>
        <v>22</v>
      </c>
      <c r="Q23" s="445" t="str">
        <f t="shared" ref="Q23:X23" si="44">+RIGHT(G23,1)</f>
        <v>C</v>
      </c>
      <c r="R23" s="436" t="str">
        <f t="shared" si="44"/>
        <v>G</v>
      </c>
      <c r="S23" s="436" t="str">
        <f t="shared" si="44"/>
        <v>I</v>
      </c>
      <c r="T23" s="436" t="str">
        <f t="shared" si="44"/>
        <v>D</v>
      </c>
      <c r="U23" s="436" t="str">
        <f t="shared" si="44"/>
        <v>H</v>
      </c>
      <c r="V23" s="436" t="str">
        <f t="shared" si="44"/>
        <v>F</v>
      </c>
      <c r="W23" s="436" t="str">
        <f t="shared" si="44"/>
        <v>L</v>
      </c>
      <c r="X23" s="436" t="str">
        <f t="shared" si="44"/>
        <v>K</v>
      </c>
      <c r="Y23" s="446">
        <f t="shared" ca="1" si="4"/>
        <v>7</v>
      </c>
    </row>
    <row r="24" spans="1:25" ht="14.25" customHeight="1" x14ac:dyDescent="0.25">
      <c r="A24" s="379" t="s">
        <v>359</v>
      </c>
      <c r="F24" s="379">
        <v>23</v>
      </c>
      <c r="G24" s="379" t="s">
        <v>339</v>
      </c>
      <c r="H24" s="379" t="s">
        <v>330</v>
      </c>
      <c r="I24" s="379" t="s">
        <v>326</v>
      </c>
      <c r="J24" s="379" t="s">
        <v>336</v>
      </c>
      <c r="K24" s="379" t="s">
        <v>329</v>
      </c>
      <c r="L24" s="379" t="s">
        <v>328</v>
      </c>
      <c r="M24" s="379" t="s">
        <v>331</v>
      </c>
      <c r="N24" s="379" t="s">
        <v>327</v>
      </c>
      <c r="P24" s="379">
        <f t="shared" si="2"/>
        <v>23</v>
      </c>
      <c r="Q24" s="445" t="str">
        <f t="shared" ref="Q24:X24" si="45">+RIGHT(G24,1)</f>
        <v>C</v>
      </c>
      <c r="R24" s="436" t="str">
        <f t="shared" si="45"/>
        <v>G</v>
      </c>
      <c r="S24" s="436" t="str">
        <f t="shared" si="45"/>
        <v>J</v>
      </c>
      <c r="T24" s="436" t="str">
        <f t="shared" si="45"/>
        <v>D</v>
      </c>
      <c r="U24" s="436" t="str">
        <f t="shared" si="45"/>
        <v>H</v>
      </c>
      <c r="V24" s="436" t="str">
        <f t="shared" si="45"/>
        <v>F</v>
      </c>
      <c r="W24" s="436" t="str">
        <f t="shared" si="45"/>
        <v>L</v>
      </c>
      <c r="X24" s="436" t="str">
        <f t="shared" si="45"/>
        <v>I</v>
      </c>
      <c r="Y24" s="446">
        <f t="shared" ca="1" si="4"/>
        <v>7</v>
      </c>
    </row>
    <row r="25" spans="1:25" ht="14.25" customHeight="1" x14ac:dyDescent="0.25">
      <c r="A25" s="379" t="s">
        <v>360</v>
      </c>
      <c r="F25" s="379">
        <v>24</v>
      </c>
      <c r="G25" s="379" t="s">
        <v>339</v>
      </c>
      <c r="H25" s="379" t="s">
        <v>330</v>
      </c>
      <c r="I25" s="379" t="s">
        <v>326</v>
      </c>
      <c r="J25" s="379" t="s">
        <v>336</v>
      </c>
      <c r="K25" s="379" t="s">
        <v>329</v>
      </c>
      <c r="L25" s="379" t="s">
        <v>328</v>
      </c>
      <c r="M25" s="379" t="s">
        <v>327</v>
      </c>
      <c r="N25" s="379" t="s">
        <v>332</v>
      </c>
      <c r="P25" s="379">
        <f t="shared" si="2"/>
        <v>24</v>
      </c>
      <c r="Q25" s="445" t="str">
        <f t="shared" ref="Q25:X25" si="46">+RIGHT(G25,1)</f>
        <v>C</v>
      </c>
      <c r="R25" s="436" t="str">
        <f t="shared" si="46"/>
        <v>G</v>
      </c>
      <c r="S25" s="436" t="str">
        <f t="shared" si="46"/>
        <v>J</v>
      </c>
      <c r="T25" s="436" t="str">
        <f t="shared" si="46"/>
        <v>D</v>
      </c>
      <c r="U25" s="436" t="str">
        <f t="shared" si="46"/>
        <v>H</v>
      </c>
      <c r="V25" s="436" t="str">
        <f t="shared" si="46"/>
        <v>F</v>
      </c>
      <c r="W25" s="436" t="str">
        <f t="shared" si="46"/>
        <v>I</v>
      </c>
      <c r="X25" s="436" t="str">
        <f t="shared" si="46"/>
        <v>K</v>
      </c>
      <c r="Y25" s="446">
        <f t="shared" ca="1" si="4"/>
        <v>6</v>
      </c>
    </row>
    <row r="26" spans="1:25" ht="14.25" customHeight="1" x14ac:dyDescent="0.25">
      <c r="A26" s="379" t="s">
        <v>361</v>
      </c>
      <c r="F26" s="379">
        <v>25</v>
      </c>
      <c r="G26" s="379" t="s">
        <v>325</v>
      </c>
      <c r="H26" s="379" t="s">
        <v>326</v>
      </c>
      <c r="I26" s="379" t="s">
        <v>327</v>
      </c>
      <c r="J26" s="379" t="s">
        <v>339</v>
      </c>
      <c r="K26" s="379" t="s">
        <v>329</v>
      </c>
      <c r="L26" s="379" t="s">
        <v>336</v>
      </c>
      <c r="M26" s="379" t="s">
        <v>331</v>
      </c>
      <c r="N26" s="379" t="s">
        <v>332</v>
      </c>
      <c r="P26" s="379">
        <f t="shared" si="2"/>
        <v>25</v>
      </c>
      <c r="Q26" s="445" t="str">
        <f t="shared" ref="Q26:X26" si="47">+RIGHT(G26,1)</f>
        <v>E</v>
      </c>
      <c r="R26" s="436" t="str">
        <f t="shared" si="47"/>
        <v>J</v>
      </c>
      <c r="S26" s="436" t="str">
        <f t="shared" si="47"/>
        <v>I</v>
      </c>
      <c r="T26" s="436" t="str">
        <f t="shared" si="47"/>
        <v>C</v>
      </c>
      <c r="U26" s="436" t="str">
        <f t="shared" si="47"/>
        <v>H</v>
      </c>
      <c r="V26" s="436" t="str">
        <f t="shared" si="47"/>
        <v>D</v>
      </c>
      <c r="W26" s="436" t="str">
        <f t="shared" si="47"/>
        <v>L</v>
      </c>
      <c r="X26" s="436" t="str">
        <f t="shared" si="47"/>
        <v>K</v>
      </c>
      <c r="Y26" s="446">
        <f t="shared" ca="1" si="4"/>
        <v>5</v>
      </c>
    </row>
    <row r="27" spans="1:25" ht="14.25" customHeight="1" x14ac:dyDescent="0.25">
      <c r="A27" s="379" t="s">
        <v>362</v>
      </c>
      <c r="F27" s="379">
        <v>26</v>
      </c>
      <c r="G27" s="379" t="s">
        <v>325</v>
      </c>
      <c r="H27" s="379" t="s">
        <v>330</v>
      </c>
      <c r="I27" s="379" t="s">
        <v>327</v>
      </c>
      <c r="J27" s="379" t="s">
        <v>339</v>
      </c>
      <c r="K27" s="379" t="s">
        <v>326</v>
      </c>
      <c r="L27" s="379" t="s">
        <v>336</v>
      </c>
      <c r="M27" s="379" t="s">
        <v>331</v>
      </c>
      <c r="N27" s="379" t="s">
        <v>332</v>
      </c>
      <c r="P27" s="379">
        <f t="shared" si="2"/>
        <v>26</v>
      </c>
      <c r="Q27" s="445" t="str">
        <f t="shared" ref="Q27:X27" si="48">+RIGHT(G27,1)</f>
        <v>E</v>
      </c>
      <c r="R27" s="436" t="str">
        <f t="shared" si="48"/>
        <v>G</v>
      </c>
      <c r="S27" s="436" t="str">
        <f t="shared" si="48"/>
        <v>I</v>
      </c>
      <c r="T27" s="436" t="str">
        <f t="shared" si="48"/>
        <v>C</v>
      </c>
      <c r="U27" s="436" t="str">
        <f t="shared" si="48"/>
        <v>J</v>
      </c>
      <c r="V27" s="436" t="str">
        <f t="shared" si="48"/>
        <v>D</v>
      </c>
      <c r="W27" s="436" t="str">
        <f t="shared" si="48"/>
        <v>L</v>
      </c>
      <c r="X27" s="436" t="str">
        <f t="shared" si="48"/>
        <v>K</v>
      </c>
      <c r="Y27" s="446">
        <f t="shared" ca="1" si="4"/>
        <v>5</v>
      </c>
    </row>
    <row r="28" spans="1:25" ht="14.25" customHeight="1" x14ac:dyDescent="0.25">
      <c r="A28" s="379" t="s">
        <v>363</v>
      </c>
      <c r="F28" s="379">
        <v>27</v>
      </c>
      <c r="G28" s="379" t="s">
        <v>325</v>
      </c>
      <c r="H28" s="379" t="s">
        <v>330</v>
      </c>
      <c r="I28" s="379" t="s">
        <v>326</v>
      </c>
      <c r="J28" s="379" t="s">
        <v>339</v>
      </c>
      <c r="K28" s="379" t="s">
        <v>329</v>
      </c>
      <c r="L28" s="379" t="s">
        <v>336</v>
      </c>
      <c r="M28" s="379" t="s">
        <v>331</v>
      </c>
      <c r="N28" s="379" t="s">
        <v>332</v>
      </c>
      <c r="P28" s="379">
        <f t="shared" si="2"/>
        <v>27</v>
      </c>
      <c r="Q28" s="445" t="str">
        <f t="shared" ref="Q28:X28" si="49">+RIGHT(G28,1)</f>
        <v>E</v>
      </c>
      <c r="R28" s="436" t="str">
        <f t="shared" si="49"/>
        <v>G</v>
      </c>
      <c r="S28" s="436" t="str">
        <f t="shared" si="49"/>
        <v>J</v>
      </c>
      <c r="T28" s="436" t="str">
        <f t="shared" si="49"/>
        <v>C</v>
      </c>
      <c r="U28" s="436" t="str">
        <f t="shared" si="49"/>
        <v>H</v>
      </c>
      <c r="V28" s="436" t="str">
        <f t="shared" si="49"/>
        <v>D</v>
      </c>
      <c r="W28" s="436" t="str">
        <f t="shared" si="49"/>
        <v>L</v>
      </c>
      <c r="X28" s="436" t="str">
        <f t="shared" si="49"/>
        <v>K</v>
      </c>
      <c r="Y28" s="446">
        <f t="shared" ca="1" si="4"/>
        <v>5</v>
      </c>
    </row>
    <row r="29" spans="1:25" ht="14.25" customHeight="1" x14ac:dyDescent="0.25">
      <c r="A29" s="379" t="s">
        <v>364</v>
      </c>
      <c r="F29" s="379">
        <v>28</v>
      </c>
      <c r="G29" s="379" t="s">
        <v>325</v>
      </c>
      <c r="H29" s="379" t="s">
        <v>330</v>
      </c>
      <c r="I29" s="379" t="s">
        <v>327</v>
      </c>
      <c r="J29" s="379" t="s">
        <v>339</v>
      </c>
      <c r="K29" s="379" t="s">
        <v>329</v>
      </c>
      <c r="L29" s="379" t="s">
        <v>336</v>
      </c>
      <c r="M29" s="379" t="s">
        <v>331</v>
      </c>
      <c r="N29" s="379" t="s">
        <v>332</v>
      </c>
      <c r="P29" s="379">
        <f t="shared" si="2"/>
        <v>28</v>
      </c>
      <c r="Q29" s="445" t="str">
        <f t="shared" ref="Q29:X29" si="50">+RIGHT(G29,1)</f>
        <v>E</v>
      </c>
      <c r="R29" s="436" t="str">
        <f t="shared" si="50"/>
        <v>G</v>
      </c>
      <c r="S29" s="436" t="str">
        <f t="shared" si="50"/>
        <v>I</v>
      </c>
      <c r="T29" s="436" t="str">
        <f t="shared" si="50"/>
        <v>C</v>
      </c>
      <c r="U29" s="436" t="str">
        <f t="shared" si="50"/>
        <v>H</v>
      </c>
      <c r="V29" s="436" t="str">
        <f t="shared" si="50"/>
        <v>D</v>
      </c>
      <c r="W29" s="436" t="str">
        <f t="shared" si="50"/>
        <v>L</v>
      </c>
      <c r="X29" s="436" t="str">
        <f t="shared" si="50"/>
        <v>K</v>
      </c>
      <c r="Y29" s="446">
        <f t="shared" ca="1" si="4"/>
        <v>6</v>
      </c>
    </row>
    <row r="30" spans="1:25" ht="14.25" customHeight="1" x14ac:dyDescent="0.25">
      <c r="A30" s="379" t="s">
        <v>365</v>
      </c>
      <c r="F30" s="379">
        <v>29</v>
      </c>
      <c r="G30" s="379" t="s">
        <v>325</v>
      </c>
      <c r="H30" s="379" t="s">
        <v>330</v>
      </c>
      <c r="I30" s="379" t="s">
        <v>326</v>
      </c>
      <c r="J30" s="379" t="s">
        <v>339</v>
      </c>
      <c r="K30" s="379" t="s">
        <v>329</v>
      </c>
      <c r="L30" s="379" t="s">
        <v>336</v>
      </c>
      <c r="M30" s="379" t="s">
        <v>331</v>
      </c>
      <c r="N30" s="379" t="s">
        <v>327</v>
      </c>
      <c r="P30" s="379">
        <f t="shared" si="2"/>
        <v>29</v>
      </c>
      <c r="Q30" s="445" t="str">
        <f t="shared" ref="Q30:X30" si="51">+RIGHT(G30,1)</f>
        <v>E</v>
      </c>
      <c r="R30" s="436" t="str">
        <f t="shared" si="51"/>
        <v>G</v>
      </c>
      <c r="S30" s="436" t="str">
        <f t="shared" si="51"/>
        <v>J</v>
      </c>
      <c r="T30" s="436" t="str">
        <f t="shared" si="51"/>
        <v>C</v>
      </c>
      <c r="U30" s="436" t="str">
        <f t="shared" si="51"/>
        <v>H</v>
      </c>
      <c r="V30" s="436" t="str">
        <f t="shared" si="51"/>
        <v>D</v>
      </c>
      <c r="W30" s="436" t="str">
        <f t="shared" si="51"/>
        <v>L</v>
      </c>
      <c r="X30" s="436" t="str">
        <f t="shared" si="51"/>
        <v>I</v>
      </c>
      <c r="Y30" s="446">
        <f t="shared" ca="1" si="4"/>
        <v>6</v>
      </c>
    </row>
    <row r="31" spans="1:25" ht="14.25" customHeight="1" x14ac:dyDescent="0.25">
      <c r="A31" s="379" t="s">
        <v>366</v>
      </c>
      <c r="F31" s="379">
        <v>30</v>
      </c>
      <c r="G31" s="379" t="s">
        <v>325</v>
      </c>
      <c r="H31" s="379" t="s">
        <v>330</v>
      </c>
      <c r="I31" s="379" t="s">
        <v>326</v>
      </c>
      <c r="J31" s="379" t="s">
        <v>339</v>
      </c>
      <c r="K31" s="379" t="s">
        <v>329</v>
      </c>
      <c r="L31" s="379" t="s">
        <v>336</v>
      </c>
      <c r="M31" s="379" t="s">
        <v>327</v>
      </c>
      <c r="N31" s="379" t="s">
        <v>332</v>
      </c>
      <c r="P31" s="379">
        <f t="shared" si="2"/>
        <v>30</v>
      </c>
      <c r="Q31" s="445" t="str">
        <f t="shared" ref="Q31:X31" si="52">+RIGHT(G31,1)</f>
        <v>E</v>
      </c>
      <c r="R31" s="436" t="str">
        <f t="shared" si="52"/>
        <v>G</v>
      </c>
      <c r="S31" s="436" t="str">
        <f t="shared" si="52"/>
        <v>J</v>
      </c>
      <c r="T31" s="436" t="str">
        <f t="shared" si="52"/>
        <v>C</v>
      </c>
      <c r="U31" s="436" t="str">
        <f t="shared" si="52"/>
        <v>H</v>
      </c>
      <c r="V31" s="436" t="str">
        <f t="shared" si="52"/>
        <v>D</v>
      </c>
      <c r="W31" s="436" t="str">
        <f t="shared" si="52"/>
        <v>I</v>
      </c>
      <c r="X31" s="436" t="str">
        <f t="shared" si="52"/>
        <v>K</v>
      </c>
      <c r="Y31" s="446">
        <f t="shared" ca="1" si="4"/>
        <v>5</v>
      </c>
    </row>
    <row r="32" spans="1:25" ht="14.25" customHeight="1" x14ac:dyDescent="0.25">
      <c r="A32" s="379" t="s">
        <v>367</v>
      </c>
      <c r="F32" s="379">
        <v>31</v>
      </c>
      <c r="G32" s="379" t="s">
        <v>339</v>
      </c>
      <c r="H32" s="379" t="s">
        <v>326</v>
      </c>
      <c r="I32" s="379" t="s">
        <v>325</v>
      </c>
      <c r="J32" s="379" t="s">
        <v>336</v>
      </c>
      <c r="K32" s="379" t="s">
        <v>327</v>
      </c>
      <c r="L32" s="379" t="s">
        <v>328</v>
      </c>
      <c r="M32" s="379" t="s">
        <v>331</v>
      </c>
      <c r="N32" s="379" t="s">
        <v>332</v>
      </c>
      <c r="P32" s="379">
        <f t="shared" si="2"/>
        <v>31</v>
      </c>
      <c r="Q32" s="445" t="str">
        <f t="shared" ref="Q32:X32" si="53">+RIGHT(G32,1)</f>
        <v>C</v>
      </c>
      <c r="R32" s="436" t="str">
        <f t="shared" si="53"/>
        <v>J</v>
      </c>
      <c r="S32" s="436" t="str">
        <f t="shared" si="53"/>
        <v>E</v>
      </c>
      <c r="T32" s="436" t="str">
        <f t="shared" si="53"/>
        <v>D</v>
      </c>
      <c r="U32" s="436" t="str">
        <f t="shared" si="53"/>
        <v>I</v>
      </c>
      <c r="V32" s="436" t="str">
        <f t="shared" si="53"/>
        <v>F</v>
      </c>
      <c r="W32" s="436" t="str">
        <f t="shared" si="53"/>
        <v>L</v>
      </c>
      <c r="X32" s="436" t="str">
        <f t="shared" si="53"/>
        <v>K</v>
      </c>
      <c r="Y32" s="446">
        <f t="shared" ca="1" si="4"/>
        <v>5</v>
      </c>
    </row>
    <row r="33" spans="1:25" ht="14.25" customHeight="1" x14ac:dyDescent="0.25">
      <c r="A33" s="379" t="s">
        <v>368</v>
      </c>
      <c r="F33" s="379">
        <v>32</v>
      </c>
      <c r="G33" s="379" t="s">
        <v>339</v>
      </c>
      <c r="H33" s="379" t="s">
        <v>326</v>
      </c>
      <c r="I33" s="379" t="s">
        <v>325</v>
      </c>
      <c r="J33" s="379" t="s">
        <v>336</v>
      </c>
      <c r="K33" s="379" t="s">
        <v>329</v>
      </c>
      <c r="L33" s="379" t="s">
        <v>328</v>
      </c>
      <c r="M33" s="379" t="s">
        <v>331</v>
      </c>
      <c r="N33" s="379" t="s">
        <v>332</v>
      </c>
      <c r="P33" s="379">
        <f t="shared" si="2"/>
        <v>32</v>
      </c>
      <c r="Q33" s="445" t="str">
        <f t="shared" ref="Q33:X33" si="54">+RIGHT(G33,1)</f>
        <v>C</v>
      </c>
      <c r="R33" s="436" t="str">
        <f t="shared" si="54"/>
        <v>J</v>
      </c>
      <c r="S33" s="436" t="str">
        <f t="shared" si="54"/>
        <v>E</v>
      </c>
      <c r="T33" s="436" t="str">
        <f t="shared" si="54"/>
        <v>D</v>
      </c>
      <c r="U33" s="436" t="str">
        <f t="shared" si="54"/>
        <v>H</v>
      </c>
      <c r="V33" s="436" t="str">
        <f t="shared" si="54"/>
        <v>F</v>
      </c>
      <c r="W33" s="436" t="str">
        <f t="shared" si="54"/>
        <v>L</v>
      </c>
      <c r="X33" s="436" t="str">
        <f t="shared" si="54"/>
        <v>K</v>
      </c>
      <c r="Y33" s="446">
        <f t="shared" ca="1" si="4"/>
        <v>5</v>
      </c>
    </row>
    <row r="34" spans="1:25" ht="14.25" customHeight="1" x14ac:dyDescent="0.25">
      <c r="A34" s="379" t="s">
        <v>369</v>
      </c>
      <c r="F34" s="379">
        <v>33</v>
      </c>
      <c r="G34" s="379" t="s">
        <v>339</v>
      </c>
      <c r="H34" s="379" t="s">
        <v>325</v>
      </c>
      <c r="I34" s="379" t="s">
        <v>327</v>
      </c>
      <c r="J34" s="379" t="s">
        <v>336</v>
      </c>
      <c r="K34" s="379" t="s">
        <v>329</v>
      </c>
      <c r="L34" s="379" t="s">
        <v>328</v>
      </c>
      <c r="M34" s="379" t="s">
        <v>331</v>
      </c>
      <c r="N34" s="379" t="s">
        <v>332</v>
      </c>
      <c r="P34" s="379">
        <f t="shared" si="2"/>
        <v>33</v>
      </c>
      <c r="Q34" s="445" t="str">
        <f t="shared" ref="Q34:X34" si="55">+RIGHT(G34,1)</f>
        <v>C</v>
      </c>
      <c r="R34" s="436" t="str">
        <f t="shared" si="55"/>
        <v>E</v>
      </c>
      <c r="S34" s="436" t="str">
        <f t="shared" si="55"/>
        <v>I</v>
      </c>
      <c r="T34" s="436" t="str">
        <f t="shared" si="55"/>
        <v>D</v>
      </c>
      <c r="U34" s="436" t="str">
        <f t="shared" si="55"/>
        <v>H</v>
      </c>
      <c r="V34" s="436" t="str">
        <f t="shared" si="55"/>
        <v>F</v>
      </c>
      <c r="W34" s="436" t="str">
        <f t="shared" si="55"/>
        <v>L</v>
      </c>
      <c r="X34" s="436" t="str">
        <f t="shared" si="55"/>
        <v>K</v>
      </c>
      <c r="Y34" s="446">
        <f t="shared" ca="1" si="4"/>
        <v>6</v>
      </c>
    </row>
    <row r="35" spans="1:25" ht="14.25" customHeight="1" x14ac:dyDescent="0.25">
      <c r="A35" s="379" t="s">
        <v>370</v>
      </c>
      <c r="F35" s="379">
        <v>34</v>
      </c>
      <c r="G35" s="379" t="s">
        <v>339</v>
      </c>
      <c r="H35" s="379" t="s">
        <v>326</v>
      </c>
      <c r="I35" s="379" t="s">
        <v>325</v>
      </c>
      <c r="J35" s="379" t="s">
        <v>336</v>
      </c>
      <c r="K35" s="379" t="s">
        <v>329</v>
      </c>
      <c r="L35" s="379" t="s">
        <v>328</v>
      </c>
      <c r="M35" s="379" t="s">
        <v>331</v>
      </c>
      <c r="N35" s="379" t="s">
        <v>327</v>
      </c>
      <c r="P35" s="379">
        <f t="shared" si="2"/>
        <v>34</v>
      </c>
      <c r="Q35" s="445" t="str">
        <f t="shared" ref="Q35:X35" si="56">+RIGHT(G35,1)</f>
        <v>C</v>
      </c>
      <c r="R35" s="436" t="str">
        <f t="shared" si="56"/>
        <v>J</v>
      </c>
      <c r="S35" s="436" t="str">
        <f t="shared" si="56"/>
        <v>E</v>
      </c>
      <c r="T35" s="436" t="str">
        <f t="shared" si="56"/>
        <v>D</v>
      </c>
      <c r="U35" s="436" t="str">
        <f t="shared" si="56"/>
        <v>H</v>
      </c>
      <c r="V35" s="436" t="str">
        <f t="shared" si="56"/>
        <v>F</v>
      </c>
      <c r="W35" s="436" t="str">
        <f t="shared" si="56"/>
        <v>L</v>
      </c>
      <c r="X35" s="436" t="str">
        <f t="shared" si="56"/>
        <v>I</v>
      </c>
      <c r="Y35" s="446">
        <f t="shared" ca="1" si="4"/>
        <v>6</v>
      </c>
    </row>
    <row r="36" spans="1:25" ht="14.25" customHeight="1" x14ac:dyDescent="0.25">
      <c r="A36" s="379" t="s">
        <v>371</v>
      </c>
      <c r="F36" s="379">
        <v>35</v>
      </c>
      <c r="G36" s="379" t="s">
        <v>339</v>
      </c>
      <c r="H36" s="379" t="s">
        <v>326</v>
      </c>
      <c r="I36" s="379" t="s">
        <v>325</v>
      </c>
      <c r="J36" s="379" t="s">
        <v>336</v>
      </c>
      <c r="K36" s="379" t="s">
        <v>329</v>
      </c>
      <c r="L36" s="379" t="s">
        <v>328</v>
      </c>
      <c r="M36" s="379" t="s">
        <v>327</v>
      </c>
      <c r="N36" s="379" t="s">
        <v>332</v>
      </c>
      <c r="P36" s="379">
        <f t="shared" si="2"/>
        <v>35</v>
      </c>
      <c r="Q36" s="445" t="str">
        <f t="shared" ref="Q36:X36" si="57">+RIGHT(G36,1)</f>
        <v>C</v>
      </c>
      <c r="R36" s="436" t="str">
        <f t="shared" si="57"/>
        <v>J</v>
      </c>
      <c r="S36" s="436" t="str">
        <f t="shared" si="57"/>
        <v>E</v>
      </c>
      <c r="T36" s="436" t="str">
        <f t="shared" si="57"/>
        <v>D</v>
      </c>
      <c r="U36" s="436" t="str">
        <f t="shared" si="57"/>
        <v>H</v>
      </c>
      <c r="V36" s="436" t="str">
        <f t="shared" si="57"/>
        <v>F</v>
      </c>
      <c r="W36" s="436" t="str">
        <f t="shared" si="57"/>
        <v>I</v>
      </c>
      <c r="X36" s="436" t="str">
        <f t="shared" si="57"/>
        <v>K</v>
      </c>
      <c r="Y36" s="446">
        <f t="shared" ca="1" si="4"/>
        <v>5</v>
      </c>
    </row>
    <row r="37" spans="1:25" ht="14.25" customHeight="1" x14ac:dyDescent="0.25">
      <c r="A37" s="379" t="s">
        <v>372</v>
      </c>
      <c r="F37" s="379">
        <v>36</v>
      </c>
      <c r="G37" s="379" t="s">
        <v>339</v>
      </c>
      <c r="H37" s="379" t="s">
        <v>330</v>
      </c>
      <c r="I37" s="379" t="s">
        <v>325</v>
      </c>
      <c r="J37" s="379" t="s">
        <v>336</v>
      </c>
      <c r="K37" s="379" t="s">
        <v>326</v>
      </c>
      <c r="L37" s="379" t="s">
        <v>328</v>
      </c>
      <c r="M37" s="379" t="s">
        <v>331</v>
      </c>
      <c r="N37" s="379" t="s">
        <v>332</v>
      </c>
      <c r="P37" s="379">
        <f t="shared" si="2"/>
        <v>36</v>
      </c>
      <c r="Q37" s="445" t="str">
        <f t="shared" ref="Q37:X37" si="58">+RIGHT(G37,1)</f>
        <v>C</v>
      </c>
      <c r="R37" s="436" t="str">
        <f t="shared" si="58"/>
        <v>G</v>
      </c>
      <c r="S37" s="436" t="str">
        <f t="shared" si="58"/>
        <v>E</v>
      </c>
      <c r="T37" s="436" t="str">
        <f t="shared" si="58"/>
        <v>D</v>
      </c>
      <c r="U37" s="436" t="str">
        <f t="shared" si="58"/>
        <v>J</v>
      </c>
      <c r="V37" s="436" t="str">
        <f t="shared" si="58"/>
        <v>F</v>
      </c>
      <c r="W37" s="436" t="str">
        <f t="shared" si="58"/>
        <v>L</v>
      </c>
      <c r="X37" s="436" t="str">
        <f t="shared" si="58"/>
        <v>K</v>
      </c>
      <c r="Y37" s="446">
        <f t="shared" ca="1" si="4"/>
        <v>5</v>
      </c>
    </row>
    <row r="38" spans="1:25" ht="14.25" customHeight="1" x14ac:dyDescent="0.25">
      <c r="A38" s="379" t="s">
        <v>373</v>
      </c>
      <c r="F38" s="379">
        <v>37</v>
      </c>
      <c r="G38" s="379" t="s">
        <v>339</v>
      </c>
      <c r="H38" s="379" t="s">
        <v>330</v>
      </c>
      <c r="I38" s="379" t="s">
        <v>325</v>
      </c>
      <c r="J38" s="379" t="s">
        <v>336</v>
      </c>
      <c r="K38" s="379" t="s">
        <v>327</v>
      </c>
      <c r="L38" s="379" t="s">
        <v>328</v>
      </c>
      <c r="M38" s="379" t="s">
        <v>331</v>
      </c>
      <c r="N38" s="379" t="s">
        <v>332</v>
      </c>
      <c r="P38" s="379">
        <f t="shared" si="2"/>
        <v>37</v>
      </c>
      <c r="Q38" s="445" t="str">
        <f t="shared" ref="Q38:X38" si="59">+RIGHT(G38,1)</f>
        <v>C</v>
      </c>
      <c r="R38" s="436" t="str">
        <f t="shared" si="59"/>
        <v>G</v>
      </c>
      <c r="S38" s="436" t="str">
        <f t="shared" si="59"/>
        <v>E</v>
      </c>
      <c r="T38" s="436" t="str">
        <f t="shared" si="59"/>
        <v>D</v>
      </c>
      <c r="U38" s="436" t="str">
        <f t="shared" si="59"/>
        <v>I</v>
      </c>
      <c r="V38" s="436" t="str">
        <f t="shared" si="59"/>
        <v>F</v>
      </c>
      <c r="W38" s="436" t="str">
        <f t="shared" si="59"/>
        <v>L</v>
      </c>
      <c r="X38" s="436" t="str">
        <f t="shared" si="59"/>
        <v>K</v>
      </c>
      <c r="Y38" s="446">
        <f t="shared" ca="1" si="4"/>
        <v>6</v>
      </c>
    </row>
    <row r="39" spans="1:25" ht="14.25" customHeight="1" x14ac:dyDescent="0.25">
      <c r="A39" s="379" t="s">
        <v>374</v>
      </c>
      <c r="F39" s="379">
        <v>38</v>
      </c>
      <c r="G39" s="379" t="s">
        <v>339</v>
      </c>
      <c r="H39" s="379" t="s">
        <v>330</v>
      </c>
      <c r="I39" s="379" t="s">
        <v>325</v>
      </c>
      <c r="J39" s="379" t="s">
        <v>336</v>
      </c>
      <c r="K39" s="379" t="s">
        <v>326</v>
      </c>
      <c r="L39" s="379" t="s">
        <v>328</v>
      </c>
      <c r="M39" s="379" t="s">
        <v>331</v>
      </c>
      <c r="N39" s="379" t="s">
        <v>327</v>
      </c>
      <c r="P39" s="379">
        <f t="shared" si="2"/>
        <v>38</v>
      </c>
      <c r="Q39" s="445" t="str">
        <f t="shared" ref="Q39:X39" si="60">+RIGHT(G39,1)</f>
        <v>C</v>
      </c>
      <c r="R39" s="436" t="str">
        <f t="shared" si="60"/>
        <v>G</v>
      </c>
      <c r="S39" s="436" t="str">
        <f t="shared" si="60"/>
        <v>E</v>
      </c>
      <c r="T39" s="436" t="str">
        <f t="shared" si="60"/>
        <v>D</v>
      </c>
      <c r="U39" s="436" t="str">
        <f t="shared" si="60"/>
        <v>J</v>
      </c>
      <c r="V39" s="436" t="str">
        <f t="shared" si="60"/>
        <v>F</v>
      </c>
      <c r="W39" s="436" t="str">
        <f t="shared" si="60"/>
        <v>L</v>
      </c>
      <c r="X39" s="436" t="str">
        <f t="shared" si="60"/>
        <v>I</v>
      </c>
      <c r="Y39" s="446">
        <f t="shared" ca="1" si="4"/>
        <v>6</v>
      </c>
    </row>
    <row r="40" spans="1:25" ht="14.25" customHeight="1" x14ac:dyDescent="0.25">
      <c r="A40" s="379" t="s">
        <v>375</v>
      </c>
      <c r="F40" s="379">
        <v>39</v>
      </c>
      <c r="G40" s="379" t="s">
        <v>339</v>
      </c>
      <c r="H40" s="379" t="s">
        <v>330</v>
      </c>
      <c r="I40" s="379" t="s">
        <v>325</v>
      </c>
      <c r="J40" s="379" t="s">
        <v>336</v>
      </c>
      <c r="K40" s="379" t="s">
        <v>326</v>
      </c>
      <c r="L40" s="379" t="s">
        <v>328</v>
      </c>
      <c r="M40" s="379" t="s">
        <v>327</v>
      </c>
      <c r="N40" s="379" t="s">
        <v>332</v>
      </c>
      <c r="P40" s="379">
        <f t="shared" si="2"/>
        <v>39</v>
      </c>
      <c r="Q40" s="445" t="str">
        <f t="shared" ref="Q40:X40" si="61">+RIGHT(G40,1)</f>
        <v>C</v>
      </c>
      <c r="R40" s="436" t="str">
        <f t="shared" si="61"/>
        <v>G</v>
      </c>
      <c r="S40" s="436" t="str">
        <f t="shared" si="61"/>
        <v>E</v>
      </c>
      <c r="T40" s="436" t="str">
        <f t="shared" si="61"/>
        <v>D</v>
      </c>
      <c r="U40" s="436" t="str">
        <f t="shared" si="61"/>
        <v>J</v>
      </c>
      <c r="V40" s="436" t="str">
        <f t="shared" si="61"/>
        <v>F</v>
      </c>
      <c r="W40" s="436" t="str">
        <f t="shared" si="61"/>
        <v>I</v>
      </c>
      <c r="X40" s="436" t="str">
        <f t="shared" si="61"/>
        <v>K</v>
      </c>
      <c r="Y40" s="446">
        <f t="shared" ca="1" si="4"/>
        <v>5</v>
      </c>
    </row>
    <row r="41" spans="1:25" ht="14.25" customHeight="1" x14ac:dyDescent="0.25">
      <c r="A41" s="379" t="s">
        <v>376</v>
      </c>
      <c r="F41" s="379">
        <v>40</v>
      </c>
      <c r="G41" s="379" t="s">
        <v>339</v>
      </c>
      <c r="H41" s="379" t="s">
        <v>330</v>
      </c>
      <c r="I41" s="379" t="s">
        <v>325</v>
      </c>
      <c r="J41" s="379" t="s">
        <v>336</v>
      </c>
      <c r="K41" s="379" t="s">
        <v>329</v>
      </c>
      <c r="L41" s="379" t="s">
        <v>328</v>
      </c>
      <c r="M41" s="379" t="s">
        <v>331</v>
      </c>
      <c r="N41" s="379" t="s">
        <v>332</v>
      </c>
      <c r="P41" s="379">
        <f t="shared" si="2"/>
        <v>40</v>
      </c>
      <c r="Q41" s="445" t="str">
        <f t="shared" ref="Q41:X41" si="62">+RIGHT(G41,1)</f>
        <v>C</v>
      </c>
      <c r="R41" s="436" t="str">
        <f t="shared" si="62"/>
        <v>G</v>
      </c>
      <c r="S41" s="436" t="str">
        <f t="shared" si="62"/>
        <v>E</v>
      </c>
      <c r="T41" s="436" t="str">
        <f t="shared" si="62"/>
        <v>D</v>
      </c>
      <c r="U41" s="436" t="str">
        <f t="shared" si="62"/>
        <v>H</v>
      </c>
      <c r="V41" s="436" t="str">
        <f t="shared" si="62"/>
        <v>F</v>
      </c>
      <c r="W41" s="436" t="str">
        <f t="shared" si="62"/>
        <v>L</v>
      </c>
      <c r="X41" s="436" t="str">
        <f t="shared" si="62"/>
        <v>K</v>
      </c>
      <c r="Y41" s="446">
        <f t="shared" ca="1" si="4"/>
        <v>6</v>
      </c>
    </row>
    <row r="42" spans="1:25" ht="14.25" customHeight="1" x14ac:dyDescent="0.25">
      <c r="A42" s="379" t="s">
        <v>377</v>
      </c>
      <c r="F42" s="379">
        <v>41</v>
      </c>
      <c r="G42" s="379" t="s">
        <v>339</v>
      </c>
      <c r="H42" s="379" t="s">
        <v>330</v>
      </c>
      <c r="I42" s="379" t="s">
        <v>326</v>
      </c>
      <c r="J42" s="379" t="s">
        <v>336</v>
      </c>
      <c r="K42" s="379" t="s">
        <v>329</v>
      </c>
      <c r="L42" s="379" t="s">
        <v>328</v>
      </c>
      <c r="M42" s="379" t="s">
        <v>331</v>
      </c>
      <c r="N42" s="379" t="s">
        <v>325</v>
      </c>
      <c r="P42" s="379">
        <f t="shared" si="2"/>
        <v>41</v>
      </c>
      <c r="Q42" s="445" t="str">
        <f t="shared" ref="Q42:X42" si="63">+RIGHT(G42,1)</f>
        <v>C</v>
      </c>
      <c r="R42" s="436" t="str">
        <f t="shared" si="63"/>
        <v>G</v>
      </c>
      <c r="S42" s="436" t="str">
        <f t="shared" si="63"/>
        <v>J</v>
      </c>
      <c r="T42" s="436" t="str">
        <f t="shared" si="63"/>
        <v>D</v>
      </c>
      <c r="U42" s="436" t="str">
        <f t="shared" si="63"/>
        <v>H</v>
      </c>
      <c r="V42" s="436" t="str">
        <f t="shared" si="63"/>
        <v>F</v>
      </c>
      <c r="W42" s="436" t="str">
        <f t="shared" si="63"/>
        <v>L</v>
      </c>
      <c r="X42" s="436" t="str">
        <f t="shared" si="63"/>
        <v>E</v>
      </c>
      <c r="Y42" s="446">
        <f t="shared" ca="1" si="4"/>
        <v>6</v>
      </c>
    </row>
    <row r="43" spans="1:25" ht="14.25" customHeight="1" x14ac:dyDescent="0.25">
      <c r="A43" s="379" t="s">
        <v>378</v>
      </c>
      <c r="F43" s="379">
        <v>42</v>
      </c>
      <c r="G43" s="379" t="s">
        <v>339</v>
      </c>
      <c r="H43" s="379" t="s">
        <v>330</v>
      </c>
      <c r="I43" s="379" t="s">
        <v>326</v>
      </c>
      <c r="J43" s="379" t="s">
        <v>336</v>
      </c>
      <c r="K43" s="379" t="s">
        <v>329</v>
      </c>
      <c r="L43" s="379" t="s">
        <v>328</v>
      </c>
      <c r="M43" s="379" t="s">
        <v>325</v>
      </c>
      <c r="N43" s="379" t="s">
        <v>332</v>
      </c>
      <c r="P43" s="379">
        <f t="shared" si="2"/>
        <v>42</v>
      </c>
      <c r="Q43" s="445" t="str">
        <f t="shared" ref="Q43:X43" si="64">+RIGHT(G43,1)</f>
        <v>C</v>
      </c>
      <c r="R43" s="436" t="str">
        <f t="shared" si="64"/>
        <v>G</v>
      </c>
      <c r="S43" s="436" t="str">
        <f t="shared" si="64"/>
        <v>J</v>
      </c>
      <c r="T43" s="436" t="str">
        <f t="shared" si="64"/>
        <v>D</v>
      </c>
      <c r="U43" s="436" t="str">
        <f t="shared" si="64"/>
        <v>H</v>
      </c>
      <c r="V43" s="436" t="str">
        <f t="shared" si="64"/>
        <v>F</v>
      </c>
      <c r="W43" s="436" t="str">
        <f t="shared" si="64"/>
        <v>E</v>
      </c>
      <c r="X43" s="436" t="str">
        <f t="shared" si="64"/>
        <v>K</v>
      </c>
      <c r="Y43" s="446">
        <f t="shared" ca="1" si="4"/>
        <v>5</v>
      </c>
    </row>
    <row r="44" spans="1:25" ht="14.25" customHeight="1" x14ac:dyDescent="0.25">
      <c r="A44" s="379" t="s">
        <v>379</v>
      </c>
      <c r="F44" s="379">
        <v>43</v>
      </c>
      <c r="G44" s="379" t="s">
        <v>339</v>
      </c>
      <c r="H44" s="379" t="s">
        <v>330</v>
      </c>
      <c r="I44" s="379" t="s">
        <v>325</v>
      </c>
      <c r="J44" s="379" t="s">
        <v>336</v>
      </c>
      <c r="K44" s="379" t="s">
        <v>329</v>
      </c>
      <c r="L44" s="379" t="s">
        <v>328</v>
      </c>
      <c r="M44" s="379" t="s">
        <v>331</v>
      </c>
      <c r="N44" s="379" t="s">
        <v>327</v>
      </c>
      <c r="P44" s="379">
        <f t="shared" si="2"/>
        <v>43</v>
      </c>
      <c r="Q44" s="445" t="str">
        <f t="shared" ref="Q44:X44" si="65">+RIGHT(G44,1)</f>
        <v>C</v>
      </c>
      <c r="R44" s="436" t="str">
        <f t="shared" si="65"/>
        <v>G</v>
      </c>
      <c r="S44" s="436" t="str">
        <f t="shared" si="65"/>
        <v>E</v>
      </c>
      <c r="T44" s="436" t="str">
        <f t="shared" si="65"/>
        <v>D</v>
      </c>
      <c r="U44" s="436" t="str">
        <f t="shared" si="65"/>
        <v>H</v>
      </c>
      <c r="V44" s="436" t="str">
        <f t="shared" si="65"/>
        <v>F</v>
      </c>
      <c r="W44" s="436" t="str">
        <f t="shared" si="65"/>
        <v>L</v>
      </c>
      <c r="X44" s="436" t="str">
        <f t="shared" si="65"/>
        <v>I</v>
      </c>
      <c r="Y44" s="446">
        <f t="shared" ca="1" si="4"/>
        <v>7</v>
      </c>
    </row>
    <row r="45" spans="1:25" ht="14.25" customHeight="1" x14ac:dyDescent="0.25">
      <c r="A45" s="379" t="s">
        <v>380</v>
      </c>
      <c r="F45" s="379">
        <v>44</v>
      </c>
      <c r="G45" s="379" t="s">
        <v>339</v>
      </c>
      <c r="H45" s="379" t="s">
        <v>330</v>
      </c>
      <c r="I45" s="379" t="s">
        <v>325</v>
      </c>
      <c r="J45" s="379" t="s">
        <v>336</v>
      </c>
      <c r="K45" s="379" t="s">
        <v>329</v>
      </c>
      <c r="L45" s="379" t="s">
        <v>328</v>
      </c>
      <c r="M45" s="379" t="s">
        <v>327</v>
      </c>
      <c r="N45" s="379" t="s">
        <v>332</v>
      </c>
      <c r="P45" s="379">
        <f t="shared" si="2"/>
        <v>44</v>
      </c>
      <c r="Q45" s="445" t="str">
        <f t="shared" ref="Q45:X45" si="66">+RIGHT(G45,1)</f>
        <v>C</v>
      </c>
      <c r="R45" s="436" t="str">
        <f t="shared" si="66"/>
        <v>G</v>
      </c>
      <c r="S45" s="436" t="str">
        <f t="shared" si="66"/>
        <v>E</v>
      </c>
      <c r="T45" s="436" t="str">
        <f t="shared" si="66"/>
        <v>D</v>
      </c>
      <c r="U45" s="436" t="str">
        <f t="shared" si="66"/>
        <v>H</v>
      </c>
      <c r="V45" s="436" t="str">
        <f t="shared" si="66"/>
        <v>F</v>
      </c>
      <c r="W45" s="436" t="str">
        <f t="shared" si="66"/>
        <v>I</v>
      </c>
      <c r="X45" s="436" t="str">
        <f t="shared" si="66"/>
        <v>K</v>
      </c>
      <c r="Y45" s="446">
        <f t="shared" ca="1" si="4"/>
        <v>6</v>
      </c>
    </row>
    <row r="46" spans="1:25" ht="14.25" customHeight="1" x14ac:dyDescent="0.25">
      <c r="A46" s="379" t="s">
        <v>381</v>
      </c>
      <c r="F46" s="379">
        <v>45</v>
      </c>
      <c r="G46" s="379" t="s">
        <v>339</v>
      </c>
      <c r="H46" s="379" t="s">
        <v>330</v>
      </c>
      <c r="I46" s="379" t="s">
        <v>326</v>
      </c>
      <c r="J46" s="379" t="s">
        <v>336</v>
      </c>
      <c r="K46" s="379" t="s">
        <v>329</v>
      </c>
      <c r="L46" s="379" t="s">
        <v>328</v>
      </c>
      <c r="M46" s="379" t="s">
        <v>325</v>
      </c>
      <c r="N46" s="379" t="s">
        <v>327</v>
      </c>
      <c r="P46" s="379">
        <f t="shared" si="2"/>
        <v>45</v>
      </c>
      <c r="Q46" s="445" t="str">
        <f t="shared" ref="Q46:X46" si="67">+RIGHT(G46,1)</f>
        <v>C</v>
      </c>
      <c r="R46" s="436" t="str">
        <f t="shared" si="67"/>
        <v>G</v>
      </c>
      <c r="S46" s="436" t="str">
        <f t="shared" si="67"/>
        <v>J</v>
      </c>
      <c r="T46" s="436" t="str">
        <f t="shared" si="67"/>
        <v>D</v>
      </c>
      <c r="U46" s="436" t="str">
        <f t="shared" si="67"/>
        <v>H</v>
      </c>
      <c r="V46" s="436" t="str">
        <f t="shared" si="67"/>
        <v>F</v>
      </c>
      <c r="W46" s="436" t="str">
        <f t="shared" si="67"/>
        <v>E</v>
      </c>
      <c r="X46" s="436" t="str">
        <f t="shared" si="67"/>
        <v>I</v>
      </c>
      <c r="Y46" s="446">
        <f t="shared" ca="1" si="4"/>
        <v>6</v>
      </c>
    </row>
    <row r="47" spans="1:25" ht="14.25" customHeight="1" x14ac:dyDescent="0.25">
      <c r="A47" s="379" t="s">
        <v>382</v>
      </c>
      <c r="F47" s="379">
        <v>46</v>
      </c>
      <c r="G47" s="379" t="s">
        <v>329</v>
      </c>
      <c r="H47" s="379" t="s">
        <v>326</v>
      </c>
      <c r="I47" s="379" t="s">
        <v>337</v>
      </c>
      <c r="J47" s="379" t="s">
        <v>328</v>
      </c>
      <c r="K47" s="379" t="s">
        <v>327</v>
      </c>
      <c r="L47" s="379" t="s">
        <v>330</v>
      </c>
      <c r="M47" s="379" t="s">
        <v>331</v>
      </c>
      <c r="N47" s="379" t="s">
        <v>332</v>
      </c>
      <c r="P47" s="379">
        <f t="shared" si="2"/>
        <v>46</v>
      </c>
      <c r="Q47" s="445" t="str">
        <f t="shared" ref="Q47:X47" si="68">+RIGHT(G47,1)</f>
        <v>H</v>
      </c>
      <c r="R47" s="436" t="str">
        <f t="shared" si="68"/>
        <v>J</v>
      </c>
      <c r="S47" s="436" t="str">
        <f t="shared" si="68"/>
        <v>B</v>
      </c>
      <c r="T47" s="436" t="str">
        <f t="shared" si="68"/>
        <v>F</v>
      </c>
      <c r="U47" s="436" t="str">
        <f t="shared" si="68"/>
        <v>I</v>
      </c>
      <c r="V47" s="436" t="str">
        <f t="shared" si="68"/>
        <v>G</v>
      </c>
      <c r="W47" s="436" t="str">
        <f t="shared" si="68"/>
        <v>L</v>
      </c>
      <c r="X47" s="436" t="str">
        <f t="shared" si="68"/>
        <v>K</v>
      </c>
      <c r="Y47" s="446">
        <f t="shared" ca="1" si="4"/>
        <v>5</v>
      </c>
    </row>
    <row r="48" spans="1:25" ht="14.25" customHeight="1" x14ac:dyDescent="0.25">
      <c r="A48" s="379" t="s">
        <v>383</v>
      </c>
      <c r="F48" s="379">
        <v>47</v>
      </c>
      <c r="G48" s="379" t="s">
        <v>325</v>
      </c>
      <c r="H48" s="379" t="s">
        <v>326</v>
      </c>
      <c r="I48" s="379" t="s">
        <v>327</v>
      </c>
      <c r="J48" s="379" t="s">
        <v>337</v>
      </c>
      <c r="K48" s="379" t="s">
        <v>329</v>
      </c>
      <c r="L48" s="379" t="s">
        <v>330</v>
      </c>
      <c r="M48" s="379" t="s">
        <v>331</v>
      </c>
      <c r="N48" s="379" t="s">
        <v>332</v>
      </c>
      <c r="P48" s="379">
        <f t="shared" si="2"/>
        <v>47</v>
      </c>
      <c r="Q48" s="445" t="str">
        <f t="shared" ref="Q48:X48" si="69">+RIGHT(G48,1)</f>
        <v>E</v>
      </c>
      <c r="R48" s="436" t="str">
        <f t="shared" si="69"/>
        <v>J</v>
      </c>
      <c r="S48" s="436" t="str">
        <f t="shared" si="69"/>
        <v>I</v>
      </c>
      <c r="T48" s="436" t="str">
        <f t="shared" si="69"/>
        <v>B</v>
      </c>
      <c r="U48" s="436" t="str">
        <f t="shared" si="69"/>
        <v>H</v>
      </c>
      <c r="V48" s="436" t="str">
        <f t="shared" si="69"/>
        <v>G</v>
      </c>
      <c r="W48" s="436" t="str">
        <f t="shared" si="69"/>
        <v>L</v>
      </c>
      <c r="X48" s="436" t="str">
        <f t="shared" si="69"/>
        <v>K</v>
      </c>
      <c r="Y48" s="446">
        <f t="shared" ca="1" si="4"/>
        <v>4</v>
      </c>
    </row>
    <row r="49" spans="1:25" ht="14.25" customHeight="1" x14ac:dyDescent="0.25">
      <c r="A49" s="379" t="s">
        <v>384</v>
      </c>
      <c r="F49" s="379">
        <v>48</v>
      </c>
      <c r="G49" s="379" t="s">
        <v>325</v>
      </c>
      <c r="H49" s="379" t="s">
        <v>326</v>
      </c>
      <c r="I49" s="379" t="s">
        <v>337</v>
      </c>
      <c r="J49" s="379" t="s">
        <v>328</v>
      </c>
      <c r="K49" s="379" t="s">
        <v>327</v>
      </c>
      <c r="L49" s="379" t="s">
        <v>329</v>
      </c>
      <c r="M49" s="379" t="s">
        <v>331</v>
      </c>
      <c r="N49" s="379" t="s">
        <v>332</v>
      </c>
      <c r="P49" s="379">
        <f t="shared" si="2"/>
        <v>48</v>
      </c>
      <c r="Q49" s="445" t="str">
        <f t="shared" ref="Q49:X49" si="70">+RIGHT(G49,1)</f>
        <v>E</v>
      </c>
      <c r="R49" s="436" t="str">
        <f t="shared" si="70"/>
        <v>J</v>
      </c>
      <c r="S49" s="436" t="str">
        <f t="shared" si="70"/>
        <v>B</v>
      </c>
      <c r="T49" s="436" t="str">
        <f t="shared" si="70"/>
        <v>F</v>
      </c>
      <c r="U49" s="436" t="str">
        <f t="shared" si="70"/>
        <v>I</v>
      </c>
      <c r="V49" s="436" t="str">
        <f t="shared" si="70"/>
        <v>H</v>
      </c>
      <c r="W49" s="436" t="str">
        <f t="shared" si="70"/>
        <v>L</v>
      </c>
      <c r="X49" s="436" t="str">
        <f t="shared" si="70"/>
        <v>K</v>
      </c>
      <c r="Y49" s="446">
        <f t="shared" ca="1" si="4"/>
        <v>4</v>
      </c>
    </row>
    <row r="50" spans="1:25" ht="14.25" customHeight="1" x14ac:dyDescent="0.25">
      <c r="A50" s="379" t="s">
        <v>385</v>
      </c>
      <c r="F50" s="379">
        <v>49</v>
      </c>
      <c r="G50" s="379" t="s">
        <v>325</v>
      </c>
      <c r="H50" s="379" t="s">
        <v>326</v>
      </c>
      <c r="I50" s="379" t="s">
        <v>337</v>
      </c>
      <c r="J50" s="379" t="s">
        <v>328</v>
      </c>
      <c r="K50" s="379" t="s">
        <v>327</v>
      </c>
      <c r="L50" s="379" t="s">
        <v>330</v>
      </c>
      <c r="M50" s="379" t="s">
        <v>331</v>
      </c>
      <c r="N50" s="379" t="s">
        <v>332</v>
      </c>
      <c r="P50" s="379">
        <f t="shared" si="2"/>
        <v>49</v>
      </c>
      <c r="Q50" s="445" t="str">
        <f t="shared" ref="Q50:X50" si="71">+RIGHT(G50,1)</f>
        <v>E</v>
      </c>
      <c r="R50" s="436" t="str">
        <f t="shared" si="71"/>
        <v>J</v>
      </c>
      <c r="S50" s="436" t="str">
        <f t="shared" si="71"/>
        <v>B</v>
      </c>
      <c r="T50" s="436" t="str">
        <f t="shared" si="71"/>
        <v>F</v>
      </c>
      <c r="U50" s="436" t="str">
        <f t="shared" si="71"/>
        <v>I</v>
      </c>
      <c r="V50" s="436" t="str">
        <f t="shared" si="71"/>
        <v>G</v>
      </c>
      <c r="W50" s="436" t="str">
        <f t="shared" si="71"/>
        <v>L</v>
      </c>
      <c r="X50" s="436" t="str">
        <f t="shared" si="71"/>
        <v>K</v>
      </c>
      <c r="Y50" s="446">
        <f t="shared" ca="1" si="4"/>
        <v>4</v>
      </c>
    </row>
    <row r="51" spans="1:25" ht="14.25" customHeight="1" x14ac:dyDescent="0.25">
      <c r="A51" s="379" t="s">
        <v>386</v>
      </c>
      <c r="F51" s="379">
        <v>50</v>
      </c>
      <c r="G51" s="379" t="s">
        <v>325</v>
      </c>
      <c r="H51" s="379" t="s">
        <v>326</v>
      </c>
      <c r="I51" s="379" t="s">
        <v>337</v>
      </c>
      <c r="J51" s="379" t="s">
        <v>328</v>
      </c>
      <c r="K51" s="379" t="s">
        <v>329</v>
      </c>
      <c r="L51" s="379" t="s">
        <v>330</v>
      </c>
      <c r="M51" s="379" t="s">
        <v>331</v>
      </c>
      <c r="N51" s="379" t="s">
        <v>332</v>
      </c>
      <c r="P51" s="379">
        <f t="shared" si="2"/>
        <v>50</v>
      </c>
      <c r="Q51" s="445" t="str">
        <f t="shared" ref="Q51:X51" si="72">+RIGHT(G51,1)</f>
        <v>E</v>
      </c>
      <c r="R51" s="436" t="str">
        <f t="shared" si="72"/>
        <v>J</v>
      </c>
      <c r="S51" s="436" t="str">
        <f t="shared" si="72"/>
        <v>B</v>
      </c>
      <c r="T51" s="436" t="str">
        <f t="shared" si="72"/>
        <v>F</v>
      </c>
      <c r="U51" s="436" t="str">
        <f t="shared" si="72"/>
        <v>H</v>
      </c>
      <c r="V51" s="436" t="str">
        <f t="shared" si="72"/>
        <v>G</v>
      </c>
      <c r="W51" s="436" t="str">
        <f t="shared" si="72"/>
        <v>L</v>
      </c>
      <c r="X51" s="436" t="str">
        <f t="shared" si="72"/>
        <v>K</v>
      </c>
      <c r="Y51" s="446">
        <f t="shared" ca="1" si="4"/>
        <v>4</v>
      </c>
    </row>
    <row r="52" spans="1:25" ht="14.25" customHeight="1" x14ac:dyDescent="0.25">
      <c r="A52" s="379" t="s">
        <v>387</v>
      </c>
      <c r="F52" s="379">
        <v>51</v>
      </c>
      <c r="G52" s="379" t="s">
        <v>325</v>
      </c>
      <c r="H52" s="379" t="s">
        <v>330</v>
      </c>
      <c r="I52" s="379" t="s">
        <v>337</v>
      </c>
      <c r="J52" s="379" t="s">
        <v>328</v>
      </c>
      <c r="K52" s="379" t="s">
        <v>327</v>
      </c>
      <c r="L52" s="379" t="s">
        <v>329</v>
      </c>
      <c r="M52" s="379" t="s">
        <v>331</v>
      </c>
      <c r="N52" s="379" t="s">
        <v>332</v>
      </c>
      <c r="P52" s="379">
        <f t="shared" si="2"/>
        <v>51</v>
      </c>
      <c r="Q52" s="445" t="str">
        <f t="shared" ref="Q52:X52" si="73">+RIGHT(G52,1)</f>
        <v>E</v>
      </c>
      <c r="R52" s="436" t="str">
        <f t="shared" si="73"/>
        <v>G</v>
      </c>
      <c r="S52" s="436" t="str">
        <f t="shared" si="73"/>
        <v>B</v>
      </c>
      <c r="T52" s="436" t="str">
        <f t="shared" si="73"/>
        <v>F</v>
      </c>
      <c r="U52" s="436" t="str">
        <f t="shared" si="73"/>
        <v>I</v>
      </c>
      <c r="V52" s="436" t="str">
        <f t="shared" si="73"/>
        <v>H</v>
      </c>
      <c r="W52" s="436" t="str">
        <f t="shared" si="73"/>
        <v>L</v>
      </c>
      <c r="X52" s="436" t="str">
        <f t="shared" si="73"/>
        <v>K</v>
      </c>
      <c r="Y52" s="446">
        <f t="shared" ca="1" si="4"/>
        <v>5</v>
      </c>
    </row>
    <row r="53" spans="1:25" ht="14.25" customHeight="1" x14ac:dyDescent="0.25">
      <c r="A53" s="379" t="s">
        <v>388</v>
      </c>
      <c r="F53" s="379">
        <v>52</v>
      </c>
      <c r="G53" s="379" t="s">
        <v>325</v>
      </c>
      <c r="H53" s="379" t="s">
        <v>326</v>
      </c>
      <c r="I53" s="379" t="s">
        <v>337</v>
      </c>
      <c r="J53" s="379" t="s">
        <v>328</v>
      </c>
      <c r="K53" s="379" t="s">
        <v>329</v>
      </c>
      <c r="L53" s="379" t="s">
        <v>330</v>
      </c>
      <c r="M53" s="379" t="s">
        <v>331</v>
      </c>
      <c r="N53" s="379" t="s">
        <v>327</v>
      </c>
      <c r="P53" s="379">
        <f t="shared" si="2"/>
        <v>52</v>
      </c>
      <c r="Q53" s="445" t="str">
        <f t="shared" ref="Q53:X53" si="74">+RIGHT(G53,1)</f>
        <v>E</v>
      </c>
      <c r="R53" s="436" t="str">
        <f t="shared" si="74"/>
        <v>J</v>
      </c>
      <c r="S53" s="436" t="str">
        <f t="shared" si="74"/>
        <v>B</v>
      </c>
      <c r="T53" s="436" t="str">
        <f t="shared" si="74"/>
        <v>F</v>
      </c>
      <c r="U53" s="436" t="str">
        <f t="shared" si="74"/>
        <v>H</v>
      </c>
      <c r="V53" s="436" t="str">
        <f t="shared" si="74"/>
        <v>G</v>
      </c>
      <c r="W53" s="436" t="str">
        <f t="shared" si="74"/>
        <v>L</v>
      </c>
      <c r="X53" s="436" t="str">
        <f t="shared" si="74"/>
        <v>I</v>
      </c>
      <c r="Y53" s="446">
        <f t="shared" ca="1" si="4"/>
        <v>5</v>
      </c>
    </row>
    <row r="54" spans="1:25" ht="14.25" customHeight="1" x14ac:dyDescent="0.25">
      <c r="A54" s="379" t="s">
        <v>389</v>
      </c>
      <c r="F54" s="379">
        <v>53</v>
      </c>
      <c r="G54" s="379" t="s">
        <v>325</v>
      </c>
      <c r="H54" s="379" t="s">
        <v>326</v>
      </c>
      <c r="I54" s="379" t="s">
        <v>337</v>
      </c>
      <c r="J54" s="379" t="s">
        <v>328</v>
      </c>
      <c r="K54" s="379" t="s">
        <v>329</v>
      </c>
      <c r="L54" s="379" t="s">
        <v>330</v>
      </c>
      <c r="M54" s="379" t="s">
        <v>327</v>
      </c>
      <c r="N54" s="379" t="s">
        <v>332</v>
      </c>
      <c r="P54" s="379">
        <f t="shared" si="2"/>
        <v>53</v>
      </c>
      <c r="Q54" s="445" t="str">
        <f t="shared" ref="Q54:X54" si="75">+RIGHT(G54,1)</f>
        <v>E</v>
      </c>
      <c r="R54" s="436" t="str">
        <f t="shared" si="75"/>
        <v>J</v>
      </c>
      <c r="S54" s="436" t="str">
        <f t="shared" si="75"/>
        <v>B</v>
      </c>
      <c r="T54" s="436" t="str">
        <f t="shared" si="75"/>
        <v>F</v>
      </c>
      <c r="U54" s="436" t="str">
        <f t="shared" si="75"/>
        <v>H</v>
      </c>
      <c r="V54" s="436" t="str">
        <f t="shared" si="75"/>
        <v>G</v>
      </c>
      <c r="W54" s="436" t="str">
        <f t="shared" si="75"/>
        <v>I</v>
      </c>
      <c r="X54" s="436" t="str">
        <f t="shared" si="75"/>
        <v>K</v>
      </c>
      <c r="Y54" s="446">
        <f t="shared" ca="1" si="4"/>
        <v>4</v>
      </c>
    </row>
    <row r="55" spans="1:25" ht="14.25" customHeight="1" x14ac:dyDescent="0.25">
      <c r="A55" s="379" t="s">
        <v>390</v>
      </c>
      <c r="F55" s="379">
        <v>54</v>
      </c>
      <c r="G55" s="379" t="s">
        <v>329</v>
      </c>
      <c r="H55" s="379" t="s">
        <v>326</v>
      </c>
      <c r="I55" s="379" t="s">
        <v>337</v>
      </c>
      <c r="J55" s="379" t="s">
        <v>336</v>
      </c>
      <c r="K55" s="379" t="s">
        <v>327</v>
      </c>
      <c r="L55" s="379" t="s">
        <v>330</v>
      </c>
      <c r="M55" s="379" t="s">
        <v>331</v>
      </c>
      <c r="N55" s="379" t="s">
        <v>332</v>
      </c>
      <c r="P55" s="379">
        <f t="shared" si="2"/>
        <v>54</v>
      </c>
      <c r="Q55" s="445" t="str">
        <f t="shared" ref="Q55:X55" si="76">+RIGHT(G55,1)</f>
        <v>H</v>
      </c>
      <c r="R55" s="436" t="str">
        <f t="shared" si="76"/>
        <v>J</v>
      </c>
      <c r="S55" s="436" t="str">
        <f t="shared" si="76"/>
        <v>B</v>
      </c>
      <c r="T55" s="436" t="str">
        <f t="shared" si="76"/>
        <v>D</v>
      </c>
      <c r="U55" s="436" t="str">
        <f t="shared" si="76"/>
        <v>I</v>
      </c>
      <c r="V55" s="436" t="str">
        <f t="shared" si="76"/>
        <v>G</v>
      </c>
      <c r="W55" s="436" t="str">
        <f t="shared" si="76"/>
        <v>L</v>
      </c>
      <c r="X55" s="436" t="str">
        <f t="shared" si="76"/>
        <v>K</v>
      </c>
      <c r="Y55" s="446">
        <f t="shared" ca="1" si="4"/>
        <v>5</v>
      </c>
    </row>
    <row r="56" spans="1:25" ht="14.25" customHeight="1" x14ac:dyDescent="0.25">
      <c r="A56" s="379" t="s">
        <v>391</v>
      </c>
      <c r="F56" s="379">
        <v>55</v>
      </c>
      <c r="G56" s="379" t="s">
        <v>329</v>
      </c>
      <c r="H56" s="379" t="s">
        <v>326</v>
      </c>
      <c r="I56" s="379" t="s">
        <v>337</v>
      </c>
      <c r="J56" s="379" t="s">
        <v>336</v>
      </c>
      <c r="K56" s="379" t="s">
        <v>327</v>
      </c>
      <c r="L56" s="379" t="s">
        <v>328</v>
      </c>
      <c r="M56" s="379" t="s">
        <v>331</v>
      </c>
      <c r="N56" s="379" t="s">
        <v>332</v>
      </c>
      <c r="P56" s="379">
        <f t="shared" si="2"/>
        <v>55</v>
      </c>
      <c r="Q56" s="445" t="str">
        <f t="shared" ref="Q56:X56" si="77">+RIGHT(G56,1)</f>
        <v>H</v>
      </c>
      <c r="R56" s="436" t="str">
        <f t="shared" si="77"/>
        <v>J</v>
      </c>
      <c r="S56" s="436" t="str">
        <f t="shared" si="77"/>
        <v>B</v>
      </c>
      <c r="T56" s="436" t="str">
        <f t="shared" si="77"/>
        <v>D</v>
      </c>
      <c r="U56" s="436" t="str">
        <f t="shared" si="77"/>
        <v>I</v>
      </c>
      <c r="V56" s="436" t="str">
        <f t="shared" si="77"/>
        <v>F</v>
      </c>
      <c r="W56" s="436" t="str">
        <f t="shared" si="77"/>
        <v>L</v>
      </c>
      <c r="X56" s="436" t="str">
        <f t="shared" si="77"/>
        <v>K</v>
      </c>
      <c r="Y56" s="446">
        <f t="shared" ca="1" si="4"/>
        <v>5</v>
      </c>
    </row>
    <row r="57" spans="1:25" ht="14.25" customHeight="1" x14ac:dyDescent="0.25">
      <c r="A57" s="379" t="s">
        <v>392</v>
      </c>
      <c r="F57" s="379">
        <v>56</v>
      </c>
      <c r="G57" s="379" t="s">
        <v>327</v>
      </c>
      <c r="H57" s="379" t="s">
        <v>330</v>
      </c>
      <c r="I57" s="379" t="s">
        <v>337</v>
      </c>
      <c r="J57" s="379" t="s">
        <v>336</v>
      </c>
      <c r="K57" s="379" t="s">
        <v>326</v>
      </c>
      <c r="L57" s="379" t="s">
        <v>328</v>
      </c>
      <c r="M57" s="379" t="s">
        <v>331</v>
      </c>
      <c r="N57" s="379" t="s">
        <v>332</v>
      </c>
      <c r="P57" s="379">
        <f t="shared" si="2"/>
        <v>56</v>
      </c>
      <c r="Q57" s="445" t="str">
        <f t="shared" ref="Q57:X57" si="78">+RIGHT(G57,1)</f>
        <v>I</v>
      </c>
      <c r="R57" s="436" t="str">
        <f t="shared" si="78"/>
        <v>G</v>
      </c>
      <c r="S57" s="436" t="str">
        <f t="shared" si="78"/>
        <v>B</v>
      </c>
      <c r="T57" s="436" t="str">
        <f t="shared" si="78"/>
        <v>D</v>
      </c>
      <c r="U57" s="436" t="str">
        <f t="shared" si="78"/>
        <v>J</v>
      </c>
      <c r="V57" s="436" t="str">
        <f t="shared" si="78"/>
        <v>F</v>
      </c>
      <c r="W57" s="436" t="str">
        <f t="shared" si="78"/>
        <v>L</v>
      </c>
      <c r="X57" s="436" t="str">
        <f t="shared" si="78"/>
        <v>K</v>
      </c>
      <c r="Y57" s="446">
        <f t="shared" ca="1" si="4"/>
        <v>5</v>
      </c>
    </row>
    <row r="58" spans="1:25" ht="14.25" customHeight="1" x14ac:dyDescent="0.25">
      <c r="A58" s="379" t="s">
        <v>393</v>
      </c>
      <c r="F58" s="379">
        <v>57</v>
      </c>
      <c r="G58" s="379" t="s">
        <v>329</v>
      </c>
      <c r="H58" s="379" t="s">
        <v>330</v>
      </c>
      <c r="I58" s="379" t="s">
        <v>337</v>
      </c>
      <c r="J58" s="379" t="s">
        <v>336</v>
      </c>
      <c r="K58" s="379" t="s">
        <v>326</v>
      </c>
      <c r="L58" s="379" t="s">
        <v>328</v>
      </c>
      <c r="M58" s="379" t="s">
        <v>331</v>
      </c>
      <c r="N58" s="379" t="s">
        <v>332</v>
      </c>
      <c r="P58" s="379">
        <f t="shared" si="2"/>
        <v>57</v>
      </c>
      <c r="Q58" s="445" t="str">
        <f t="shared" ref="Q58:X58" si="79">+RIGHT(G58,1)</f>
        <v>H</v>
      </c>
      <c r="R58" s="436" t="str">
        <f t="shared" si="79"/>
        <v>G</v>
      </c>
      <c r="S58" s="436" t="str">
        <f t="shared" si="79"/>
        <v>B</v>
      </c>
      <c r="T58" s="436" t="str">
        <f t="shared" si="79"/>
        <v>D</v>
      </c>
      <c r="U58" s="436" t="str">
        <f t="shared" si="79"/>
        <v>J</v>
      </c>
      <c r="V58" s="436" t="str">
        <f t="shared" si="79"/>
        <v>F</v>
      </c>
      <c r="W58" s="436" t="str">
        <f t="shared" si="79"/>
        <v>L</v>
      </c>
      <c r="X58" s="436" t="str">
        <f t="shared" si="79"/>
        <v>K</v>
      </c>
      <c r="Y58" s="446">
        <f t="shared" ca="1" si="4"/>
        <v>5</v>
      </c>
    </row>
    <row r="59" spans="1:25" ht="14.25" customHeight="1" x14ac:dyDescent="0.25">
      <c r="A59" s="379" t="s">
        <v>394</v>
      </c>
      <c r="F59" s="379">
        <v>58</v>
      </c>
      <c r="G59" s="379" t="s">
        <v>329</v>
      </c>
      <c r="H59" s="379" t="s">
        <v>330</v>
      </c>
      <c r="I59" s="379" t="s">
        <v>337</v>
      </c>
      <c r="J59" s="379" t="s">
        <v>336</v>
      </c>
      <c r="K59" s="379" t="s">
        <v>327</v>
      </c>
      <c r="L59" s="379" t="s">
        <v>328</v>
      </c>
      <c r="M59" s="379" t="s">
        <v>331</v>
      </c>
      <c r="N59" s="379" t="s">
        <v>332</v>
      </c>
      <c r="P59" s="379">
        <f t="shared" si="2"/>
        <v>58</v>
      </c>
      <c r="Q59" s="445" t="str">
        <f t="shared" ref="Q59:X59" si="80">+RIGHT(G59,1)</f>
        <v>H</v>
      </c>
      <c r="R59" s="436" t="str">
        <f t="shared" si="80"/>
        <v>G</v>
      </c>
      <c r="S59" s="436" t="str">
        <f t="shared" si="80"/>
        <v>B</v>
      </c>
      <c r="T59" s="436" t="str">
        <f t="shared" si="80"/>
        <v>D</v>
      </c>
      <c r="U59" s="436" t="str">
        <f t="shared" si="80"/>
        <v>I</v>
      </c>
      <c r="V59" s="436" t="str">
        <f t="shared" si="80"/>
        <v>F</v>
      </c>
      <c r="W59" s="436" t="str">
        <f t="shared" si="80"/>
        <v>L</v>
      </c>
      <c r="X59" s="436" t="str">
        <f t="shared" si="80"/>
        <v>K</v>
      </c>
      <c r="Y59" s="446">
        <f t="shared" ca="1" si="4"/>
        <v>6</v>
      </c>
    </row>
    <row r="60" spans="1:25" ht="14.25" customHeight="1" x14ac:dyDescent="0.25">
      <c r="A60" s="379" t="s">
        <v>395</v>
      </c>
      <c r="F60" s="379">
        <v>59</v>
      </c>
      <c r="G60" s="379" t="s">
        <v>329</v>
      </c>
      <c r="H60" s="379" t="s">
        <v>330</v>
      </c>
      <c r="I60" s="379" t="s">
        <v>337</v>
      </c>
      <c r="J60" s="379" t="s">
        <v>336</v>
      </c>
      <c r="K60" s="379" t="s">
        <v>326</v>
      </c>
      <c r="L60" s="379" t="s">
        <v>328</v>
      </c>
      <c r="M60" s="379" t="s">
        <v>331</v>
      </c>
      <c r="N60" s="379" t="s">
        <v>327</v>
      </c>
      <c r="P60" s="379">
        <f t="shared" si="2"/>
        <v>59</v>
      </c>
      <c r="Q60" s="445" t="str">
        <f t="shared" ref="Q60:X60" si="81">+RIGHT(G60,1)</f>
        <v>H</v>
      </c>
      <c r="R60" s="436" t="str">
        <f t="shared" si="81"/>
        <v>G</v>
      </c>
      <c r="S60" s="436" t="str">
        <f t="shared" si="81"/>
        <v>B</v>
      </c>
      <c r="T60" s="436" t="str">
        <f t="shared" si="81"/>
        <v>D</v>
      </c>
      <c r="U60" s="436" t="str">
        <f t="shared" si="81"/>
        <v>J</v>
      </c>
      <c r="V60" s="436" t="str">
        <f t="shared" si="81"/>
        <v>F</v>
      </c>
      <c r="W60" s="436" t="str">
        <f t="shared" si="81"/>
        <v>L</v>
      </c>
      <c r="X60" s="436" t="str">
        <f t="shared" si="81"/>
        <v>I</v>
      </c>
      <c r="Y60" s="446">
        <f t="shared" ca="1" si="4"/>
        <v>6</v>
      </c>
    </row>
    <row r="61" spans="1:25" ht="14.25" customHeight="1" x14ac:dyDescent="0.25">
      <c r="A61" s="379" t="s">
        <v>396</v>
      </c>
      <c r="F61" s="379">
        <v>60</v>
      </c>
      <c r="G61" s="379" t="s">
        <v>329</v>
      </c>
      <c r="H61" s="379" t="s">
        <v>330</v>
      </c>
      <c r="I61" s="379" t="s">
        <v>337</v>
      </c>
      <c r="J61" s="379" t="s">
        <v>336</v>
      </c>
      <c r="K61" s="379" t="s">
        <v>326</v>
      </c>
      <c r="L61" s="379" t="s">
        <v>328</v>
      </c>
      <c r="M61" s="379" t="s">
        <v>327</v>
      </c>
      <c r="N61" s="379" t="s">
        <v>332</v>
      </c>
      <c r="P61" s="379">
        <f t="shared" si="2"/>
        <v>60</v>
      </c>
      <c r="Q61" s="445" t="str">
        <f t="shared" ref="Q61:X61" si="82">+RIGHT(G61,1)</f>
        <v>H</v>
      </c>
      <c r="R61" s="436" t="str">
        <f t="shared" si="82"/>
        <v>G</v>
      </c>
      <c r="S61" s="436" t="str">
        <f t="shared" si="82"/>
        <v>B</v>
      </c>
      <c r="T61" s="436" t="str">
        <f t="shared" si="82"/>
        <v>D</v>
      </c>
      <c r="U61" s="436" t="str">
        <f t="shared" si="82"/>
        <v>J</v>
      </c>
      <c r="V61" s="436" t="str">
        <f t="shared" si="82"/>
        <v>F</v>
      </c>
      <c r="W61" s="436" t="str">
        <f t="shared" si="82"/>
        <v>I</v>
      </c>
      <c r="X61" s="436" t="str">
        <f t="shared" si="82"/>
        <v>K</v>
      </c>
      <c r="Y61" s="446">
        <f t="shared" ca="1" si="4"/>
        <v>5</v>
      </c>
    </row>
    <row r="62" spans="1:25" ht="14.25" customHeight="1" x14ac:dyDescent="0.25">
      <c r="A62" s="379" t="s">
        <v>397</v>
      </c>
      <c r="F62" s="379">
        <v>61</v>
      </c>
      <c r="G62" s="379" t="s">
        <v>325</v>
      </c>
      <c r="H62" s="379" t="s">
        <v>326</v>
      </c>
      <c r="I62" s="379" t="s">
        <v>337</v>
      </c>
      <c r="J62" s="379" t="s">
        <v>336</v>
      </c>
      <c r="K62" s="379" t="s">
        <v>327</v>
      </c>
      <c r="L62" s="379" t="s">
        <v>329</v>
      </c>
      <c r="M62" s="379" t="s">
        <v>331</v>
      </c>
      <c r="N62" s="379" t="s">
        <v>332</v>
      </c>
      <c r="P62" s="379">
        <f t="shared" si="2"/>
        <v>61</v>
      </c>
      <c r="Q62" s="445" t="str">
        <f t="shared" ref="Q62:X62" si="83">+RIGHT(G62,1)</f>
        <v>E</v>
      </c>
      <c r="R62" s="436" t="str">
        <f t="shared" si="83"/>
        <v>J</v>
      </c>
      <c r="S62" s="436" t="str">
        <f t="shared" si="83"/>
        <v>B</v>
      </c>
      <c r="T62" s="436" t="str">
        <f t="shared" si="83"/>
        <v>D</v>
      </c>
      <c r="U62" s="436" t="str">
        <f t="shared" si="83"/>
        <v>I</v>
      </c>
      <c r="V62" s="436" t="str">
        <f t="shared" si="83"/>
        <v>H</v>
      </c>
      <c r="W62" s="436" t="str">
        <f t="shared" si="83"/>
        <v>L</v>
      </c>
      <c r="X62" s="436" t="str">
        <f t="shared" si="83"/>
        <v>K</v>
      </c>
      <c r="Y62" s="446">
        <f t="shared" ca="1" si="4"/>
        <v>4</v>
      </c>
    </row>
    <row r="63" spans="1:25" ht="14.25" customHeight="1" x14ac:dyDescent="0.25">
      <c r="A63" s="379" t="s">
        <v>398</v>
      </c>
      <c r="F63" s="379">
        <v>62</v>
      </c>
      <c r="G63" s="379" t="s">
        <v>325</v>
      </c>
      <c r="H63" s="379" t="s">
        <v>326</v>
      </c>
      <c r="I63" s="379" t="s">
        <v>337</v>
      </c>
      <c r="J63" s="379" t="s">
        <v>336</v>
      </c>
      <c r="K63" s="379" t="s">
        <v>327</v>
      </c>
      <c r="L63" s="379" t="s">
        <v>330</v>
      </c>
      <c r="M63" s="379" t="s">
        <v>331</v>
      </c>
      <c r="N63" s="379" t="s">
        <v>332</v>
      </c>
      <c r="P63" s="379">
        <f t="shared" si="2"/>
        <v>62</v>
      </c>
      <c r="Q63" s="445" t="str">
        <f t="shared" ref="Q63:X63" si="84">+RIGHT(G63,1)</f>
        <v>E</v>
      </c>
      <c r="R63" s="436" t="str">
        <f t="shared" si="84"/>
        <v>J</v>
      </c>
      <c r="S63" s="436" t="str">
        <f t="shared" si="84"/>
        <v>B</v>
      </c>
      <c r="T63" s="436" t="str">
        <f t="shared" si="84"/>
        <v>D</v>
      </c>
      <c r="U63" s="436" t="str">
        <f t="shared" si="84"/>
        <v>I</v>
      </c>
      <c r="V63" s="436" t="str">
        <f t="shared" si="84"/>
        <v>G</v>
      </c>
      <c r="W63" s="436" t="str">
        <f t="shared" si="84"/>
        <v>L</v>
      </c>
      <c r="X63" s="436" t="str">
        <f t="shared" si="84"/>
        <v>K</v>
      </c>
      <c r="Y63" s="446">
        <f t="shared" ca="1" si="4"/>
        <v>4</v>
      </c>
    </row>
    <row r="64" spans="1:25" ht="14.25" customHeight="1" x14ac:dyDescent="0.25">
      <c r="A64" s="379" t="s">
        <v>399</v>
      </c>
      <c r="F64" s="379">
        <v>63</v>
      </c>
      <c r="G64" s="379" t="s">
        <v>325</v>
      </c>
      <c r="H64" s="379" t="s">
        <v>326</v>
      </c>
      <c r="I64" s="379" t="s">
        <v>337</v>
      </c>
      <c r="J64" s="379" t="s">
        <v>336</v>
      </c>
      <c r="K64" s="379" t="s">
        <v>329</v>
      </c>
      <c r="L64" s="379" t="s">
        <v>330</v>
      </c>
      <c r="M64" s="379" t="s">
        <v>331</v>
      </c>
      <c r="N64" s="379" t="s">
        <v>332</v>
      </c>
      <c r="P64" s="379">
        <f t="shared" si="2"/>
        <v>63</v>
      </c>
      <c r="Q64" s="445" t="str">
        <f t="shared" ref="Q64:X64" si="85">+RIGHT(G64,1)</f>
        <v>E</v>
      </c>
      <c r="R64" s="436" t="str">
        <f t="shared" si="85"/>
        <v>J</v>
      </c>
      <c r="S64" s="436" t="str">
        <f t="shared" si="85"/>
        <v>B</v>
      </c>
      <c r="T64" s="436" t="str">
        <f t="shared" si="85"/>
        <v>D</v>
      </c>
      <c r="U64" s="436" t="str">
        <f t="shared" si="85"/>
        <v>H</v>
      </c>
      <c r="V64" s="436" t="str">
        <f t="shared" si="85"/>
        <v>G</v>
      </c>
      <c r="W64" s="436" t="str">
        <f t="shared" si="85"/>
        <v>L</v>
      </c>
      <c r="X64" s="436" t="str">
        <f t="shared" si="85"/>
        <v>K</v>
      </c>
      <c r="Y64" s="446">
        <f t="shared" ca="1" si="4"/>
        <v>4</v>
      </c>
    </row>
    <row r="65" spans="1:25" ht="14.25" customHeight="1" x14ac:dyDescent="0.25">
      <c r="A65" s="379" t="s">
        <v>400</v>
      </c>
      <c r="F65" s="379">
        <v>64</v>
      </c>
      <c r="G65" s="379" t="s">
        <v>325</v>
      </c>
      <c r="H65" s="379" t="s">
        <v>330</v>
      </c>
      <c r="I65" s="379" t="s">
        <v>337</v>
      </c>
      <c r="J65" s="379" t="s">
        <v>336</v>
      </c>
      <c r="K65" s="379" t="s">
        <v>327</v>
      </c>
      <c r="L65" s="379" t="s">
        <v>329</v>
      </c>
      <c r="M65" s="379" t="s">
        <v>331</v>
      </c>
      <c r="N65" s="379" t="s">
        <v>332</v>
      </c>
      <c r="P65" s="379">
        <f t="shared" si="2"/>
        <v>64</v>
      </c>
      <c r="Q65" s="445" t="str">
        <f t="shared" ref="Q65:X65" si="86">+RIGHT(G65,1)</f>
        <v>E</v>
      </c>
      <c r="R65" s="436" t="str">
        <f t="shared" si="86"/>
        <v>G</v>
      </c>
      <c r="S65" s="436" t="str">
        <f t="shared" si="86"/>
        <v>B</v>
      </c>
      <c r="T65" s="436" t="str">
        <f t="shared" si="86"/>
        <v>D</v>
      </c>
      <c r="U65" s="436" t="str">
        <f t="shared" si="86"/>
        <v>I</v>
      </c>
      <c r="V65" s="436" t="str">
        <f t="shared" si="86"/>
        <v>H</v>
      </c>
      <c r="W65" s="436" t="str">
        <f t="shared" si="86"/>
        <v>L</v>
      </c>
      <c r="X65" s="436" t="str">
        <f t="shared" si="86"/>
        <v>K</v>
      </c>
      <c r="Y65" s="446">
        <f t="shared" ca="1" si="4"/>
        <v>5</v>
      </c>
    </row>
    <row r="66" spans="1:25" ht="14.25" customHeight="1" x14ac:dyDescent="0.25">
      <c r="A66" s="379" t="s">
        <v>401</v>
      </c>
      <c r="F66" s="379">
        <v>65</v>
      </c>
      <c r="G66" s="379" t="s">
        <v>325</v>
      </c>
      <c r="H66" s="379" t="s">
        <v>326</v>
      </c>
      <c r="I66" s="379" t="s">
        <v>337</v>
      </c>
      <c r="J66" s="379" t="s">
        <v>336</v>
      </c>
      <c r="K66" s="379" t="s">
        <v>329</v>
      </c>
      <c r="L66" s="379" t="s">
        <v>330</v>
      </c>
      <c r="M66" s="379" t="s">
        <v>331</v>
      </c>
      <c r="N66" s="379" t="s">
        <v>327</v>
      </c>
      <c r="P66" s="379">
        <f t="shared" si="2"/>
        <v>65</v>
      </c>
      <c r="Q66" s="445" t="str">
        <f t="shared" ref="Q66:X66" si="87">+RIGHT(G66,1)</f>
        <v>E</v>
      </c>
      <c r="R66" s="436" t="str">
        <f t="shared" si="87"/>
        <v>J</v>
      </c>
      <c r="S66" s="436" t="str">
        <f t="shared" si="87"/>
        <v>B</v>
      </c>
      <c r="T66" s="436" t="str">
        <f t="shared" si="87"/>
        <v>D</v>
      </c>
      <c r="U66" s="436" t="str">
        <f t="shared" si="87"/>
        <v>H</v>
      </c>
      <c r="V66" s="436" t="str">
        <f t="shared" si="87"/>
        <v>G</v>
      </c>
      <c r="W66" s="436" t="str">
        <f t="shared" si="87"/>
        <v>L</v>
      </c>
      <c r="X66" s="436" t="str">
        <f t="shared" si="87"/>
        <v>I</v>
      </c>
      <c r="Y66" s="446">
        <f t="shared" ca="1" si="4"/>
        <v>5</v>
      </c>
    </row>
    <row r="67" spans="1:25" ht="14.25" customHeight="1" x14ac:dyDescent="0.25">
      <c r="A67" s="379" t="s">
        <v>402</v>
      </c>
      <c r="F67" s="379">
        <v>66</v>
      </c>
      <c r="G67" s="379" t="s">
        <v>325</v>
      </c>
      <c r="H67" s="379" t="s">
        <v>326</v>
      </c>
      <c r="I67" s="379" t="s">
        <v>337</v>
      </c>
      <c r="J67" s="379" t="s">
        <v>336</v>
      </c>
      <c r="K67" s="379" t="s">
        <v>329</v>
      </c>
      <c r="L67" s="379" t="s">
        <v>330</v>
      </c>
      <c r="M67" s="379" t="s">
        <v>327</v>
      </c>
      <c r="N67" s="379" t="s">
        <v>332</v>
      </c>
      <c r="P67" s="379">
        <f t="shared" si="2"/>
        <v>66</v>
      </c>
      <c r="Q67" s="445" t="str">
        <f t="shared" ref="Q67:X67" si="88">+RIGHT(G67,1)</f>
        <v>E</v>
      </c>
      <c r="R67" s="436" t="str">
        <f t="shared" si="88"/>
        <v>J</v>
      </c>
      <c r="S67" s="436" t="str">
        <f t="shared" si="88"/>
        <v>B</v>
      </c>
      <c r="T67" s="436" t="str">
        <f t="shared" si="88"/>
        <v>D</v>
      </c>
      <c r="U67" s="436" t="str">
        <f t="shared" si="88"/>
        <v>H</v>
      </c>
      <c r="V67" s="436" t="str">
        <f t="shared" si="88"/>
        <v>G</v>
      </c>
      <c r="W67" s="436" t="str">
        <f t="shared" si="88"/>
        <v>I</v>
      </c>
      <c r="X67" s="436" t="str">
        <f t="shared" si="88"/>
        <v>K</v>
      </c>
      <c r="Y67" s="446">
        <f t="shared" ca="1" si="4"/>
        <v>4</v>
      </c>
    </row>
    <row r="68" spans="1:25" ht="14.25" customHeight="1" x14ac:dyDescent="0.25">
      <c r="A68" s="379" t="s">
        <v>403</v>
      </c>
      <c r="F68" s="379">
        <v>67</v>
      </c>
      <c r="G68" s="379" t="s">
        <v>325</v>
      </c>
      <c r="H68" s="379" t="s">
        <v>326</v>
      </c>
      <c r="I68" s="379" t="s">
        <v>337</v>
      </c>
      <c r="J68" s="379" t="s">
        <v>336</v>
      </c>
      <c r="K68" s="379" t="s">
        <v>327</v>
      </c>
      <c r="L68" s="379" t="s">
        <v>328</v>
      </c>
      <c r="M68" s="379" t="s">
        <v>331</v>
      </c>
      <c r="N68" s="379" t="s">
        <v>332</v>
      </c>
      <c r="P68" s="379">
        <f t="shared" si="2"/>
        <v>67</v>
      </c>
      <c r="Q68" s="445" t="str">
        <f t="shared" ref="Q68:X68" si="89">+RIGHT(G68,1)</f>
        <v>E</v>
      </c>
      <c r="R68" s="436" t="str">
        <f t="shared" si="89"/>
        <v>J</v>
      </c>
      <c r="S68" s="436" t="str">
        <f t="shared" si="89"/>
        <v>B</v>
      </c>
      <c r="T68" s="436" t="str">
        <f t="shared" si="89"/>
        <v>D</v>
      </c>
      <c r="U68" s="436" t="str">
        <f t="shared" si="89"/>
        <v>I</v>
      </c>
      <c r="V68" s="436" t="str">
        <f t="shared" si="89"/>
        <v>F</v>
      </c>
      <c r="W68" s="436" t="str">
        <f t="shared" si="89"/>
        <v>L</v>
      </c>
      <c r="X68" s="436" t="str">
        <f t="shared" si="89"/>
        <v>K</v>
      </c>
      <c r="Y68" s="446">
        <f t="shared" ca="1" si="4"/>
        <v>4</v>
      </c>
    </row>
    <row r="69" spans="1:25" ht="14.25" customHeight="1" x14ac:dyDescent="0.25">
      <c r="A69" s="379" t="s">
        <v>404</v>
      </c>
      <c r="F69" s="379">
        <v>68</v>
      </c>
      <c r="G69" s="379" t="s">
        <v>325</v>
      </c>
      <c r="H69" s="379" t="s">
        <v>326</v>
      </c>
      <c r="I69" s="379" t="s">
        <v>337</v>
      </c>
      <c r="J69" s="379" t="s">
        <v>336</v>
      </c>
      <c r="K69" s="379" t="s">
        <v>329</v>
      </c>
      <c r="L69" s="379" t="s">
        <v>328</v>
      </c>
      <c r="M69" s="379" t="s">
        <v>331</v>
      </c>
      <c r="N69" s="379" t="s">
        <v>332</v>
      </c>
      <c r="P69" s="379">
        <f t="shared" si="2"/>
        <v>68</v>
      </c>
      <c r="Q69" s="445" t="str">
        <f t="shared" ref="Q69:X69" si="90">+RIGHT(G69,1)</f>
        <v>E</v>
      </c>
      <c r="R69" s="436" t="str">
        <f t="shared" si="90"/>
        <v>J</v>
      </c>
      <c r="S69" s="436" t="str">
        <f t="shared" si="90"/>
        <v>B</v>
      </c>
      <c r="T69" s="436" t="str">
        <f t="shared" si="90"/>
        <v>D</v>
      </c>
      <c r="U69" s="436" t="str">
        <f t="shared" si="90"/>
        <v>H</v>
      </c>
      <c r="V69" s="436" t="str">
        <f t="shared" si="90"/>
        <v>F</v>
      </c>
      <c r="W69" s="436" t="str">
        <f t="shared" si="90"/>
        <v>L</v>
      </c>
      <c r="X69" s="436" t="str">
        <f t="shared" si="90"/>
        <v>K</v>
      </c>
      <c r="Y69" s="446">
        <f t="shared" ca="1" si="4"/>
        <v>4</v>
      </c>
    </row>
    <row r="70" spans="1:25" ht="14.25" customHeight="1" x14ac:dyDescent="0.25">
      <c r="A70" s="379" t="s">
        <v>405</v>
      </c>
      <c r="F70" s="379">
        <v>69</v>
      </c>
      <c r="G70" s="379" t="s">
        <v>325</v>
      </c>
      <c r="H70" s="379" t="s">
        <v>327</v>
      </c>
      <c r="I70" s="379" t="s">
        <v>337</v>
      </c>
      <c r="J70" s="379" t="s">
        <v>336</v>
      </c>
      <c r="K70" s="379" t="s">
        <v>329</v>
      </c>
      <c r="L70" s="379" t="s">
        <v>328</v>
      </c>
      <c r="M70" s="379" t="s">
        <v>331</v>
      </c>
      <c r="N70" s="379" t="s">
        <v>332</v>
      </c>
      <c r="P70" s="379">
        <f t="shared" si="2"/>
        <v>69</v>
      </c>
      <c r="Q70" s="445" t="str">
        <f t="shared" ref="Q70:X70" si="91">+RIGHT(G70,1)</f>
        <v>E</v>
      </c>
      <c r="R70" s="436" t="str">
        <f t="shared" si="91"/>
        <v>I</v>
      </c>
      <c r="S70" s="436" t="str">
        <f t="shared" si="91"/>
        <v>B</v>
      </c>
      <c r="T70" s="436" t="str">
        <f t="shared" si="91"/>
        <v>D</v>
      </c>
      <c r="U70" s="436" t="str">
        <f t="shared" si="91"/>
        <v>H</v>
      </c>
      <c r="V70" s="436" t="str">
        <f t="shared" si="91"/>
        <v>F</v>
      </c>
      <c r="W70" s="436" t="str">
        <f t="shared" si="91"/>
        <v>L</v>
      </c>
      <c r="X70" s="436" t="str">
        <f t="shared" si="91"/>
        <v>K</v>
      </c>
      <c r="Y70" s="446">
        <f t="shared" ca="1" si="4"/>
        <v>5</v>
      </c>
    </row>
    <row r="71" spans="1:25" ht="14.25" customHeight="1" x14ac:dyDescent="0.25">
      <c r="A71" s="379" t="s">
        <v>406</v>
      </c>
      <c r="F71" s="379">
        <v>70</v>
      </c>
      <c r="G71" s="379" t="s">
        <v>325</v>
      </c>
      <c r="H71" s="379" t="s">
        <v>326</v>
      </c>
      <c r="I71" s="379" t="s">
        <v>337</v>
      </c>
      <c r="J71" s="379" t="s">
        <v>336</v>
      </c>
      <c r="K71" s="379" t="s">
        <v>329</v>
      </c>
      <c r="L71" s="379" t="s">
        <v>328</v>
      </c>
      <c r="M71" s="379" t="s">
        <v>331</v>
      </c>
      <c r="N71" s="379" t="s">
        <v>327</v>
      </c>
      <c r="P71" s="379">
        <f t="shared" si="2"/>
        <v>70</v>
      </c>
      <c r="Q71" s="445" t="str">
        <f t="shared" ref="Q71:X71" si="92">+RIGHT(G71,1)</f>
        <v>E</v>
      </c>
      <c r="R71" s="436" t="str">
        <f t="shared" si="92"/>
        <v>J</v>
      </c>
      <c r="S71" s="436" t="str">
        <f t="shared" si="92"/>
        <v>B</v>
      </c>
      <c r="T71" s="436" t="str">
        <f t="shared" si="92"/>
        <v>D</v>
      </c>
      <c r="U71" s="436" t="str">
        <f t="shared" si="92"/>
        <v>H</v>
      </c>
      <c r="V71" s="436" t="str">
        <f t="shared" si="92"/>
        <v>F</v>
      </c>
      <c r="W71" s="436" t="str">
        <f t="shared" si="92"/>
        <v>L</v>
      </c>
      <c r="X71" s="436" t="str">
        <f t="shared" si="92"/>
        <v>I</v>
      </c>
      <c r="Y71" s="446">
        <f t="shared" ca="1" si="4"/>
        <v>5</v>
      </c>
    </row>
    <row r="72" spans="1:25" ht="14.25" customHeight="1" x14ac:dyDescent="0.25">
      <c r="A72" s="379" t="s">
        <v>407</v>
      </c>
      <c r="F72" s="379">
        <v>71</v>
      </c>
      <c r="G72" s="379" t="s">
        <v>325</v>
      </c>
      <c r="H72" s="379" t="s">
        <v>326</v>
      </c>
      <c r="I72" s="379" t="s">
        <v>337</v>
      </c>
      <c r="J72" s="379" t="s">
        <v>336</v>
      </c>
      <c r="K72" s="379" t="s">
        <v>329</v>
      </c>
      <c r="L72" s="379" t="s">
        <v>328</v>
      </c>
      <c r="M72" s="379" t="s">
        <v>327</v>
      </c>
      <c r="N72" s="379" t="s">
        <v>332</v>
      </c>
      <c r="P72" s="379">
        <f t="shared" si="2"/>
        <v>71</v>
      </c>
      <c r="Q72" s="445" t="str">
        <f t="shared" ref="Q72:X72" si="93">+RIGHT(G72,1)</f>
        <v>E</v>
      </c>
      <c r="R72" s="436" t="str">
        <f t="shared" si="93"/>
        <v>J</v>
      </c>
      <c r="S72" s="436" t="str">
        <f t="shared" si="93"/>
        <v>B</v>
      </c>
      <c r="T72" s="436" t="str">
        <f t="shared" si="93"/>
        <v>D</v>
      </c>
      <c r="U72" s="436" t="str">
        <f t="shared" si="93"/>
        <v>H</v>
      </c>
      <c r="V72" s="436" t="str">
        <f t="shared" si="93"/>
        <v>F</v>
      </c>
      <c r="W72" s="436" t="str">
        <f t="shared" si="93"/>
        <v>I</v>
      </c>
      <c r="X72" s="436" t="str">
        <f t="shared" si="93"/>
        <v>K</v>
      </c>
      <c r="Y72" s="446">
        <f t="shared" ca="1" si="4"/>
        <v>4</v>
      </c>
    </row>
    <row r="73" spans="1:25" ht="14.25" customHeight="1" x14ac:dyDescent="0.25">
      <c r="A73" s="379" t="s">
        <v>408</v>
      </c>
      <c r="F73" s="379">
        <v>72</v>
      </c>
      <c r="G73" s="379" t="s">
        <v>325</v>
      </c>
      <c r="H73" s="379" t="s">
        <v>330</v>
      </c>
      <c r="I73" s="379" t="s">
        <v>337</v>
      </c>
      <c r="J73" s="379" t="s">
        <v>336</v>
      </c>
      <c r="K73" s="379" t="s">
        <v>326</v>
      </c>
      <c r="L73" s="379" t="s">
        <v>328</v>
      </c>
      <c r="M73" s="379" t="s">
        <v>331</v>
      </c>
      <c r="N73" s="379" t="s">
        <v>332</v>
      </c>
      <c r="P73" s="379">
        <f t="shared" si="2"/>
        <v>72</v>
      </c>
      <c r="Q73" s="445" t="str">
        <f t="shared" ref="Q73:X73" si="94">+RIGHT(G73,1)</f>
        <v>E</v>
      </c>
      <c r="R73" s="436" t="str">
        <f t="shared" si="94"/>
        <v>G</v>
      </c>
      <c r="S73" s="436" t="str">
        <f t="shared" si="94"/>
        <v>B</v>
      </c>
      <c r="T73" s="436" t="str">
        <f t="shared" si="94"/>
        <v>D</v>
      </c>
      <c r="U73" s="436" t="str">
        <f t="shared" si="94"/>
        <v>J</v>
      </c>
      <c r="V73" s="436" t="str">
        <f t="shared" si="94"/>
        <v>F</v>
      </c>
      <c r="W73" s="436" t="str">
        <f t="shared" si="94"/>
        <v>L</v>
      </c>
      <c r="X73" s="436" t="str">
        <f t="shared" si="94"/>
        <v>K</v>
      </c>
      <c r="Y73" s="446">
        <f t="shared" ca="1" si="4"/>
        <v>4</v>
      </c>
    </row>
    <row r="74" spans="1:25" ht="14.25" customHeight="1" x14ac:dyDescent="0.25">
      <c r="A74" s="379" t="s">
        <v>409</v>
      </c>
      <c r="F74" s="379">
        <v>73</v>
      </c>
      <c r="G74" s="379" t="s">
        <v>325</v>
      </c>
      <c r="H74" s="379" t="s">
        <v>330</v>
      </c>
      <c r="I74" s="379" t="s">
        <v>337</v>
      </c>
      <c r="J74" s="379" t="s">
        <v>336</v>
      </c>
      <c r="K74" s="379" t="s">
        <v>327</v>
      </c>
      <c r="L74" s="379" t="s">
        <v>328</v>
      </c>
      <c r="M74" s="379" t="s">
        <v>331</v>
      </c>
      <c r="N74" s="379" t="s">
        <v>332</v>
      </c>
      <c r="P74" s="379">
        <f t="shared" si="2"/>
        <v>73</v>
      </c>
      <c r="Q74" s="445" t="str">
        <f t="shared" ref="Q74:X74" si="95">+RIGHT(G74,1)</f>
        <v>E</v>
      </c>
      <c r="R74" s="436" t="str">
        <f t="shared" si="95"/>
        <v>G</v>
      </c>
      <c r="S74" s="436" t="str">
        <f t="shared" si="95"/>
        <v>B</v>
      </c>
      <c r="T74" s="436" t="str">
        <f t="shared" si="95"/>
        <v>D</v>
      </c>
      <c r="U74" s="436" t="str">
        <f t="shared" si="95"/>
        <v>I</v>
      </c>
      <c r="V74" s="436" t="str">
        <f t="shared" si="95"/>
        <v>F</v>
      </c>
      <c r="W74" s="436" t="str">
        <f t="shared" si="95"/>
        <v>L</v>
      </c>
      <c r="X74" s="436" t="str">
        <f t="shared" si="95"/>
        <v>K</v>
      </c>
      <c r="Y74" s="446">
        <f t="shared" ca="1" si="4"/>
        <v>5</v>
      </c>
    </row>
    <row r="75" spans="1:25" ht="14.25" customHeight="1" x14ac:dyDescent="0.25">
      <c r="A75" s="379" t="s">
        <v>410</v>
      </c>
      <c r="F75" s="379">
        <v>74</v>
      </c>
      <c r="G75" s="379" t="s">
        <v>325</v>
      </c>
      <c r="H75" s="379" t="s">
        <v>330</v>
      </c>
      <c r="I75" s="379" t="s">
        <v>337</v>
      </c>
      <c r="J75" s="379" t="s">
        <v>336</v>
      </c>
      <c r="K75" s="379" t="s">
        <v>326</v>
      </c>
      <c r="L75" s="379" t="s">
        <v>328</v>
      </c>
      <c r="M75" s="379" t="s">
        <v>331</v>
      </c>
      <c r="N75" s="379" t="s">
        <v>327</v>
      </c>
      <c r="P75" s="379">
        <f t="shared" si="2"/>
        <v>74</v>
      </c>
      <c r="Q75" s="445" t="str">
        <f t="shared" ref="Q75:X75" si="96">+RIGHT(G75,1)</f>
        <v>E</v>
      </c>
      <c r="R75" s="436" t="str">
        <f t="shared" si="96"/>
        <v>G</v>
      </c>
      <c r="S75" s="436" t="str">
        <f t="shared" si="96"/>
        <v>B</v>
      </c>
      <c r="T75" s="436" t="str">
        <f t="shared" si="96"/>
        <v>D</v>
      </c>
      <c r="U75" s="436" t="str">
        <f t="shared" si="96"/>
        <v>J</v>
      </c>
      <c r="V75" s="436" t="str">
        <f t="shared" si="96"/>
        <v>F</v>
      </c>
      <c r="W75" s="436" t="str">
        <f t="shared" si="96"/>
        <v>L</v>
      </c>
      <c r="X75" s="436" t="str">
        <f t="shared" si="96"/>
        <v>I</v>
      </c>
      <c r="Y75" s="446">
        <f t="shared" ca="1" si="4"/>
        <v>5</v>
      </c>
    </row>
    <row r="76" spans="1:25" ht="14.25" customHeight="1" x14ac:dyDescent="0.25">
      <c r="A76" s="379" t="s">
        <v>411</v>
      </c>
      <c r="F76" s="379">
        <v>75</v>
      </c>
      <c r="G76" s="379" t="s">
        <v>325</v>
      </c>
      <c r="H76" s="379" t="s">
        <v>330</v>
      </c>
      <c r="I76" s="379" t="s">
        <v>337</v>
      </c>
      <c r="J76" s="379" t="s">
        <v>336</v>
      </c>
      <c r="K76" s="379" t="s">
        <v>326</v>
      </c>
      <c r="L76" s="379" t="s">
        <v>328</v>
      </c>
      <c r="M76" s="379" t="s">
        <v>327</v>
      </c>
      <c r="N76" s="379" t="s">
        <v>332</v>
      </c>
      <c r="P76" s="379">
        <f t="shared" si="2"/>
        <v>75</v>
      </c>
      <c r="Q76" s="445" t="str">
        <f t="shared" ref="Q76:X76" si="97">+RIGHT(G76,1)</f>
        <v>E</v>
      </c>
      <c r="R76" s="436" t="str">
        <f t="shared" si="97"/>
        <v>G</v>
      </c>
      <c r="S76" s="436" t="str">
        <f t="shared" si="97"/>
        <v>B</v>
      </c>
      <c r="T76" s="436" t="str">
        <f t="shared" si="97"/>
        <v>D</v>
      </c>
      <c r="U76" s="436" t="str">
        <f t="shared" si="97"/>
        <v>J</v>
      </c>
      <c r="V76" s="436" t="str">
        <f t="shared" si="97"/>
        <v>F</v>
      </c>
      <c r="W76" s="436" t="str">
        <f t="shared" si="97"/>
        <v>I</v>
      </c>
      <c r="X76" s="436" t="str">
        <f t="shared" si="97"/>
        <v>K</v>
      </c>
      <c r="Y76" s="446">
        <f t="shared" ca="1" si="4"/>
        <v>4</v>
      </c>
    </row>
    <row r="77" spans="1:25" ht="14.25" customHeight="1" x14ac:dyDescent="0.25">
      <c r="A77" s="379" t="s">
        <v>412</v>
      </c>
      <c r="F77" s="379">
        <v>76</v>
      </c>
      <c r="G77" s="379" t="s">
        <v>325</v>
      </c>
      <c r="H77" s="379" t="s">
        <v>330</v>
      </c>
      <c r="I77" s="379" t="s">
        <v>337</v>
      </c>
      <c r="J77" s="379" t="s">
        <v>336</v>
      </c>
      <c r="K77" s="379" t="s">
        <v>329</v>
      </c>
      <c r="L77" s="379" t="s">
        <v>328</v>
      </c>
      <c r="M77" s="379" t="s">
        <v>331</v>
      </c>
      <c r="N77" s="379" t="s">
        <v>332</v>
      </c>
      <c r="P77" s="379">
        <f t="shared" si="2"/>
        <v>76</v>
      </c>
      <c r="Q77" s="445" t="str">
        <f t="shared" ref="Q77:X77" si="98">+RIGHT(G77,1)</f>
        <v>E</v>
      </c>
      <c r="R77" s="436" t="str">
        <f t="shared" si="98"/>
        <v>G</v>
      </c>
      <c r="S77" s="436" t="str">
        <f t="shared" si="98"/>
        <v>B</v>
      </c>
      <c r="T77" s="436" t="str">
        <f t="shared" si="98"/>
        <v>D</v>
      </c>
      <c r="U77" s="436" t="str">
        <f t="shared" si="98"/>
        <v>H</v>
      </c>
      <c r="V77" s="436" t="str">
        <f t="shared" si="98"/>
        <v>F</v>
      </c>
      <c r="W77" s="436" t="str">
        <f t="shared" si="98"/>
        <v>L</v>
      </c>
      <c r="X77" s="436" t="str">
        <f t="shared" si="98"/>
        <v>K</v>
      </c>
      <c r="Y77" s="446">
        <f t="shared" ca="1" si="4"/>
        <v>5</v>
      </c>
    </row>
    <row r="78" spans="1:25" ht="14.25" customHeight="1" x14ac:dyDescent="0.25">
      <c r="A78" s="379" t="s">
        <v>413</v>
      </c>
      <c r="F78" s="379">
        <v>77</v>
      </c>
      <c r="G78" s="379" t="s">
        <v>329</v>
      </c>
      <c r="H78" s="379" t="s">
        <v>330</v>
      </c>
      <c r="I78" s="379" t="s">
        <v>337</v>
      </c>
      <c r="J78" s="379" t="s">
        <v>336</v>
      </c>
      <c r="K78" s="379" t="s">
        <v>326</v>
      </c>
      <c r="L78" s="379" t="s">
        <v>328</v>
      </c>
      <c r="M78" s="379" t="s">
        <v>331</v>
      </c>
      <c r="N78" s="379" t="s">
        <v>325</v>
      </c>
      <c r="P78" s="379">
        <f t="shared" si="2"/>
        <v>77</v>
      </c>
      <c r="Q78" s="445" t="str">
        <f t="shared" ref="Q78:X78" si="99">+RIGHT(G78,1)</f>
        <v>H</v>
      </c>
      <c r="R78" s="436" t="str">
        <f t="shared" si="99"/>
        <v>G</v>
      </c>
      <c r="S78" s="436" t="str">
        <f t="shared" si="99"/>
        <v>B</v>
      </c>
      <c r="T78" s="436" t="str">
        <f t="shared" si="99"/>
        <v>D</v>
      </c>
      <c r="U78" s="436" t="str">
        <f t="shared" si="99"/>
        <v>J</v>
      </c>
      <c r="V78" s="436" t="str">
        <f t="shared" si="99"/>
        <v>F</v>
      </c>
      <c r="W78" s="436" t="str">
        <f t="shared" si="99"/>
        <v>L</v>
      </c>
      <c r="X78" s="436" t="str">
        <f t="shared" si="99"/>
        <v>E</v>
      </c>
      <c r="Y78" s="446">
        <f t="shared" ca="1" si="4"/>
        <v>5</v>
      </c>
    </row>
    <row r="79" spans="1:25" ht="14.25" customHeight="1" x14ac:dyDescent="0.25">
      <c r="A79" s="379" t="s">
        <v>414</v>
      </c>
      <c r="F79" s="379">
        <v>78</v>
      </c>
      <c r="G79" s="379" t="s">
        <v>329</v>
      </c>
      <c r="H79" s="379" t="s">
        <v>330</v>
      </c>
      <c r="I79" s="379" t="s">
        <v>337</v>
      </c>
      <c r="J79" s="379" t="s">
        <v>336</v>
      </c>
      <c r="K79" s="379" t="s">
        <v>326</v>
      </c>
      <c r="L79" s="379" t="s">
        <v>328</v>
      </c>
      <c r="M79" s="379" t="s">
        <v>325</v>
      </c>
      <c r="N79" s="379" t="s">
        <v>332</v>
      </c>
      <c r="P79" s="379">
        <f t="shared" si="2"/>
        <v>78</v>
      </c>
      <c r="Q79" s="445" t="str">
        <f t="shared" ref="Q79:X79" si="100">+RIGHT(G79,1)</f>
        <v>H</v>
      </c>
      <c r="R79" s="436" t="str">
        <f t="shared" si="100"/>
        <v>G</v>
      </c>
      <c r="S79" s="436" t="str">
        <f t="shared" si="100"/>
        <v>B</v>
      </c>
      <c r="T79" s="436" t="str">
        <f t="shared" si="100"/>
        <v>D</v>
      </c>
      <c r="U79" s="436" t="str">
        <f t="shared" si="100"/>
        <v>J</v>
      </c>
      <c r="V79" s="436" t="str">
        <f t="shared" si="100"/>
        <v>F</v>
      </c>
      <c r="W79" s="436" t="str">
        <f t="shared" si="100"/>
        <v>E</v>
      </c>
      <c r="X79" s="436" t="str">
        <f t="shared" si="100"/>
        <v>K</v>
      </c>
      <c r="Y79" s="446">
        <f t="shared" ca="1" si="4"/>
        <v>4</v>
      </c>
    </row>
    <row r="80" spans="1:25" ht="14.25" customHeight="1" x14ac:dyDescent="0.25">
      <c r="A80" s="379" t="s">
        <v>415</v>
      </c>
      <c r="F80" s="379">
        <v>79</v>
      </c>
      <c r="G80" s="379" t="s">
        <v>325</v>
      </c>
      <c r="H80" s="379" t="s">
        <v>330</v>
      </c>
      <c r="I80" s="379" t="s">
        <v>337</v>
      </c>
      <c r="J80" s="379" t="s">
        <v>336</v>
      </c>
      <c r="K80" s="379" t="s">
        <v>329</v>
      </c>
      <c r="L80" s="379" t="s">
        <v>328</v>
      </c>
      <c r="M80" s="379" t="s">
        <v>331</v>
      </c>
      <c r="N80" s="379" t="s">
        <v>327</v>
      </c>
      <c r="P80" s="379">
        <f t="shared" si="2"/>
        <v>79</v>
      </c>
      <c r="Q80" s="445" t="str">
        <f t="shared" ref="Q80:X80" si="101">+RIGHT(G80,1)</f>
        <v>E</v>
      </c>
      <c r="R80" s="436" t="str">
        <f t="shared" si="101"/>
        <v>G</v>
      </c>
      <c r="S80" s="436" t="str">
        <f t="shared" si="101"/>
        <v>B</v>
      </c>
      <c r="T80" s="436" t="str">
        <f t="shared" si="101"/>
        <v>D</v>
      </c>
      <c r="U80" s="436" t="str">
        <f t="shared" si="101"/>
        <v>H</v>
      </c>
      <c r="V80" s="436" t="str">
        <f t="shared" si="101"/>
        <v>F</v>
      </c>
      <c r="W80" s="436" t="str">
        <f t="shared" si="101"/>
        <v>L</v>
      </c>
      <c r="X80" s="436" t="str">
        <f t="shared" si="101"/>
        <v>I</v>
      </c>
      <c r="Y80" s="446">
        <f t="shared" ca="1" si="4"/>
        <v>6</v>
      </c>
    </row>
    <row r="81" spans="1:25" ht="14.25" customHeight="1" x14ac:dyDescent="0.25">
      <c r="A81" s="379" t="s">
        <v>416</v>
      </c>
      <c r="F81" s="379">
        <v>80</v>
      </c>
      <c r="G81" s="379" t="s">
        <v>325</v>
      </c>
      <c r="H81" s="379" t="s">
        <v>330</v>
      </c>
      <c r="I81" s="379" t="s">
        <v>337</v>
      </c>
      <c r="J81" s="379" t="s">
        <v>336</v>
      </c>
      <c r="K81" s="379" t="s">
        <v>329</v>
      </c>
      <c r="L81" s="379" t="s">
        <v>328</v>
      </c>
      <c r="M81" s="379" t="s">
        <v>327</v>
      </c>
      <c r="N81" s="379" t="s">
        <v>332</v>
      </c>
      <c r="P81" s="379">
        <f t="shared" si="2"/>
        <v>80</v>
      </c>
      <c r="Q81" s="445" t="str">
        <f t="shared" ref="Q81:X81" si="102">+RIGHT(G81,1)</f>
        <v>E</v>
      </c>
      <c r="R81" s="436" t="str">
        <f t="shared" si="102"/>
        <v>G</v>
      </c>
      <c r="S81" s="436" t="str">
        <f t="shared" si="102"/>
        <v>B</v>
      </c>
      <c r="T81" s="436" t="str">
        <f t="shared" si="102"/>
        <v>D</v>
      </c>
      <c r="U81" s="436" t="str">
        <f t="shared" si="102"/>
        <v>H</v>
      </c>
      <c r="V81" s="436" t="str">
        <f t="shared" si="102"/>
        <v>F</v>
      </c>
      <c r="W81" s="436" t="str">
        <f t="shared" si="102"/>
        <v>I</v>
      </c>
      <c r="X81" s="436" t="str">
        <f t="shared" si="102"/>
        <v>K</v>
      </c>
      <c r="Y81" s="446">
        <f t="shared" ca="1" si="4"/>
        <v>5</v>
      </c>
    </row>
    <row r="82" spans="1:25" ht="14.25" customHeight="1" x14ac:dyDescent="0.25">
      <c r="A82" s="379" t="s">
        <v>417</v>
      </c>
      <c r="F82" s="379">
        <v>81</v>
      </c>
      <c r="G82" s="379" t="s">
        <v>329</v>
      </c>
      <c r="H82" s="379" t="s">
        <v>330</v>
      </c>
      <c r="I82" s="379" t="s">
        <v>337</v>
      </c>
      <c r="J82" s="379" t="s">
        <v>336</v>
      </c>
      <c r="K82" s="379" t="s">
        <v>326</v>
      </c>
      <c r="L82" s="379" t="s">
        <v>328</v>
      </c>
      <c r="M82" s="379" t="s">
        <v>325</v>
      </c>
      <c r="N82" s="379" t="s">
        <v>327</v>
      </c>
      <c r="P82" s="379">
        <f t="shared" si="2"/>
        <v>81</v>
      </c>
      <c r="Q82" s="445" t="str">
        <f t="shared" ref="Q82:X82" si="103">+RIGHT(G82,1)</f>
        <v>H</v>
      </c>
      <c r="R82" s="436" t="str">
        <f t="shared" si="103"/>
        <v>G</v>
      </c>
      <c r="S82" s="436" t="str">
        <f t="shared" si="103"/>
        <v>B</v>
      </c>
      <c r="T82" s="436" t="str">
        <f t="shared" si="103"/>
        <v>D</v>
      </c>
      <c r="U82" s="436" t="str">
        <f t="shared" si="103"/>
        <v>J</v>
      </c>
      <c r="V82" s="436" t="str">
        <f t="shared" si="103"/>
        <v>F</v>
      </c>
      <c r="W82" s="436" t="str">
        <f t="shared" si="103"/>
        <v>E</v>
      </c>
      <c r="X82" s="436" t="str">
        <f t="shared" si="103"/>
        <v>I</v>
      </c>
      <c r="Y82" s="446">
        <f t="shared" ca="1" si="4"/>
        <v>5</v>
      </c>
    </row>
    <row r="83" spans="1:25" ht="14.25" customHeight="1" x14ac:dyDescent="0.25">
      <c r="A83" s="379" t="s">
        <v>418</v>
      </c>
      <c r="F83" s="379">
        <v>82</v>
      </c>
      <c r="G83" s="379" t="s">
        <v>329</v>
      </c>
      <c r="H83" s="379" t="s">
        <v>326</v>
      </c>
      <c r="I83" s="379" t="s">
        <v>337</v>
      </c>
      <c r="J83" s="379" t="s">
        <v>339</v>
      </c>
      <c r="K83" s="379" t="s">
        <v>327</v>
      </c>
      <c r="L83" s="379" t="s">
        <v>330</v>
      </c>
      <c r="M83" s="379" t="s">
        <v>331</v>
      </c>
      <c r="N83" s="379" t="s">
        <v>332</v>
      </c>
      <c r="P83" s="379">
        <f t="shared" si="2"/>
        <v>82</v>
      </c>
      <c r="Q83" s="445" t="str">
        <f t="shared" ref="Q83:X83" si="104">+RIGHT(G83,1)</f>
        <v>H</v>
      </c>
      <c r="R83" s="436" t="str">
        <f t="shared" si="104"/>
        <v>J</v>
      </c>
      <c r="S83" s="436" t="str">
        <f t="shared" si="104"/>
        <v>B</v>
      </c>
      <c r="T83" s="436" t="str">
        <f t="shared" si="104"/>
        <v>C</v>
      </c>
      <c r="U83" s="436" t="str">
        <f t="shared" si="104"/>
        <v>I</v>
      </c>
      <c r="V83" s="436" t="str">
        <f t="shared" si="104"/>
        <v>G</v>
      </c>
      <c r="W83" s="436" t="str">
        <f t="shared" si="104"/>
        <v>L</v>
      </c>
      <c r="X83" s="436" t="str">
        <f t="shared" si="104"/>
        <v>K</v>
      </c>
      <c r="Y83" s="446">
        <f t="shared" ca="1" si="4"/>
        <v>5</v>
      </c>
    </row>
    <row r="84" spans="1:25" ht="14.25" customHeight="1" x14ac:dyDescent="0.25">
      <c r="A84" s="379" t="s">
        <v>419</v>
      </c>
      <c r="F84" s="379">
        <v>83</v>
      </c>
      <c r="G84" s="379" t="s">
        <v>329</v>
      </c>
      <c r="H84" s="379" t="s">
        <v>326</v>
      </c>
      <c r="I84" s="379" t="s">
        <v>337</v>
      </c>
      <c r="J84" s="379" t="s">
        <v>339</v>
      </c>
      <c r="K84" s="379" t="s">
        <v>327</v>
      </c>
      <c r="L84" s="379" t="s">
        <v>328</v>
      </c>
      <c r="M84" s="379" t="s">
        <v>331</v>
      </c>
      <c r="N84" s="379" t="s">
        <v>332</v>
      </c>
      <c r="P84" s="379">
        <f t="shared" si="2"/>
        <v>83</v>
      </c>
      <c r="Q84" s="445" t="str">
        <f t="shared" ref="Q84:X84" si="105">+RIGHT(G84,1)</f>
        <v>H</v>
      </c>
      <c r="R84" s="436" t="str">
        <f t="shared" si="105"/>
        <v>J</v>
      </c>
      <c r="S84" s="436" t="str">
        <f t="shared" si="105"/>
        <v>B</v>
      </c>
      <c r="T84" s="436" t="str">
        <f t="shared" si="105"/>
        <v>C</v>
      </c>
      <c r="U84" s="436" t="str">
        <f t="shared" si="105"/>
        <v>I</v>
      </c>
      <c r="V84" s="436" t="str">
        <f t="shared" si="105"/>
        <v>F</v>
      </c>
      <c r="W84" s="436" t="str">
        <f t="shared" si="105"/>
        <v>L</v>
      </c>
      <c r="X84" s="436" t="str">
        <f t="shared" si="105"/>
        <v>K</v>
      </c>
      <c r="Y84" s="446">
        <f t="shared" ca="1" si="4"/>
        <v>5</v>
      </c>
    </row>
    <row r="85" spans="1:25" ht="14.25" customHeight="1" x14ac:dyDescent="0.25">
      <c r="A85" s="379" t="s">
        <v>420</v>
      </c>
      <c r="F85" s="379">
        <v>84</v>
      </c>
      <c r="G85" s="379" t="s">
        <v>327</v>
      </c>
      <c r="H85" s="379" t="s">
        <v>330</v>
      </c>
      <c r="I85" s="379" t="s">
        <v>337</v>
      </c>
      <c r="J85" s="379" t="s">
        <v>339</v>
      </c>
      <c r="K85" s="379" t="s">
        <v>326</v>
      </c>
      <c r="L85" s="379" t="s">
        <v>328</v>
      </c>
      <c r="M85" s="379" t="s">
        <v>331</v>
      </c>
      <c r="N85" s="379" t="s">
        <v>332</v>
      </c>
      <c r="P85" s="379">
        <f t="shared" si="2"/>
        <v>84</v>
      </c>
      <c r="Q85" s="445" t="str">
        <f t="shared" ref="Q85:X85" si="106">+RIGHT(G85,1)</f>
        <v>I</v>
      </c>
      <c r="R85" s="436" t="str">
        <f t="shared" si="106"/>
        <v>G</v>
      </c>
      <c r="S85" s="436" t="str">
        <f t="shared" si="106"/>
        <v>B</v>
      </c>
      <c r="T85" s="436" t="str">
        <f t="shared" si="106"/>
        <v>C</v>
      </c>
      <c r="U85" s="436" t="str">
        <f t="shared" si="106"/>
        <v>J</v>
      </c>
      <c r="V85" s="436" t="str">
        <f t="shared" si="106"/>
        <v>F</v>
      </c>
      <c r="W85" s="436" t="str">
        <f t="shared" si="106"/>
        <v>L</v>
      </c>
      <c r="X85" s="436" t="str">
        <f t="shared" si="106"/>
        <v>K</v>
      </c>
      <c r="Y85" s="446">
        <f t="shared" ca="1" si="4"/>
        <v>5</v>
      </c>
    </row>
    <row r="86" spans="1:25" ht="14.25" customHeight="1" x14ac:dyDescent="0.25">
      <c r="A86" s="379" t="s">
        <v>421</v>
      </c>
      <c r="F86" s="379">
        <v>85</v>
      </c>
      <c r="G86" s="379" t="s">
        <v>329</v>
      </c>
      <c r="H86" s="379" t="s">
        <v>330</v>
      </c>
      <c r="I86" s="379" t="s">
        <v>337</v>
      </c>
      <c r="J86" s="379" t="s">
        <v>339</v>
      </c>
      <c r="K86" s="379" t="s">
        <v>326</v>
      </c>
      <c r="L86" s="379" t="s">
        <v>328</v>
      </c>
      <c r="M86" s="379" t="s">
        <v>331</v>
      </c>
      <c r="N86" s="379" t="s">
        <v>332</v>
      </c>
      <c r="P86" s="379">
        <f t="shared" si="2"/>
        <v>85</v>
      </c>
      <c r="Q86" s="445" t="str">
        <f t="shared" ref="Q86:X86" si="107">+RIGHT(G86,1)</f>
        <v>H</v>
      </c>
      <c r="R86" s="436" t="str">
        <f t="shared" si="107"/>
        <v>G</v>
      </c>
      <c r="S86" s="436" t="str">
        <f t="shared" si="107"/>
        <v>B</v>
      </c>
      <c r="T86" s="436" t="str">
        <f t="shared" si="107"/>
        <v>C</v>
      </c>
      <c r="U86" s="436" t="str">
        <f t="shared" si="107"/>
        <v>J</v>
      </c>
      <c r="V86" s="436" t="str">
        <f t="shared" si="107"/>
        <v>F</v>
      </c>
      <c r="W86" s="436" t="str">
        <f t="shared" si="107"/>
        <v>L</v>
      </c>
      <c r="X86" s="436" t="str">
        <f t="shared" si="107"/>
        <v>K</v>
      </c>
      <c r="Y86" s="446">
        <f t="shared" ca="1" si="4"/>
        <v>5</v>
      </c>
    </row>
    <row r="87" spans="1:25" ht="14.25" customHeight="1" x14ac:dyDescent="0.25">
      <c r="A87" s="379" t="s">
        <v>422</v>
      </c>
      <c r="F87" s="379">
        <v>86</v>
      </c>
      <c r="G87" s="379" t="s">
        <v>329</v>
      </c>
      <c r="H87" s="379" t="s">
        <v>330</v>
      </c>
      <c r="I87" s="379" t="s">
        <v>337</v>
      </c>
      <c r="J87" s="379" t="s">
        <v>339</v>
      </c>
      <c r="K87" s="379" t="s">
        <v>327</v>
      </c>
      <c r="L87" s="379" t="s">
        <v>328</v>
      </c>
      <c r="M87" s="379" t="s">
        <v>331</v>
      </c>
      <c r="N87" s="379" t="s">
        <v>332</v>
      </c>
      <c r="P87" s="379">
        <f t="shared" si="2"/>
        <v>86</v>
      </c>
      <c r="Q87" s="445" t="str">
        <f t="shared" ref="Q87:X87" si="108">+RIGHT(G87,1)</f>
        <v>H</v>
      </c>
      <c r="R87" s="436" t="str">
        <f t="shared" si="108"/>
        <v>G</v>
      </c>
      <c r="S87" s="436" t="str">
        <f t="shared" si="108"/>
        <v>B</v>
      </c>
      <c r="T87" s="436" t="str">
        <f t="shared" si="108"/>
        <v>C</v>
      </c>
      <c r="U87" s="436" t="str">
        <f t="shared" si="108"/>
        <v>I</v>
      </c>
      <c r="V87" s="436" t="str">
        <f t="shared" si="108"/>
        <v>F</v>
      </c>
      <c r="W87" s="436" t="str">
        <f t="shared" si="108"/>
        <v>L</v>
      </c>
      <c r="X87" s="436" t="str">
        <f t="shared" si="108"/>
        <v>K</v>
      </c>
      <c r="Y87" s="446">
        <f t="shared" ca="1" si="4"/>
        <v>6</v>
      </c>
    </row>
    <row r="88" spans="1:25" ht="14.25" customHeight="1" x14ac:dyDescent="0.25">
      <c r="A88" s="379" t="s">
        <v>423</v>
      </c>
      <c r="F88" s="379">
        <v>87</v>
      </c>
      <c r="G88" s="379" t="s">
        <v>329</v>
      </c>
      <c r="H88" s="379" t="s">
        <v>330</v>
      </c>
      <c r="I88" s="379" t="s">
        <v>337</v>
      </c>
      <c r="J88" s="379" t="s">
        <v>339</v>
      </c>
      <c r="K88" s="379" t="s">
        <v>326</v>
      </c>
      <c r="L88" s="379" t="s">
        <v>328</v>
      </c>
      <c r="M88" s="379" t="s">
        <v>331</v>
      </c>
      <c r="N88" s="379" t="s">
        <v>327</v>
      </c>
      <c r="P88" s="379">
        <f t="shared" si="2"/>
        <v>87</v>
      </c>
      <c r="Q88" s="445" t="str">
        <f t="shared" ref="Q88:X88" si="109">+RIGHT(G88,1)</f>
        <v>H</v>
      </c>
      <c r="R88" s="436" t="str">
        <f t="shared" si="109"/>
        <v>G</v>
      </c>
      <c r="S88" s="436" t="str">
        <f t="shared" si="109"/>
        <v>B</v>
      </c>
      <c r="T88" s="436" t="str">
        <f t="shared" si="109"/>
        <v>C</v>
      </c>
      <c r="U88" s="436" t="str">
        <f t="shared" si="109"/>
        <v>J</v>
      </c>
      <c r="V88" s="436" t="str">
        <f t="shared" si="109"/>
        <v>F</v>
      </c>
      <c r="W88" s="436" t="str">
        <f t="shared" si="109"/>
        <v>L</v>
      </c>
      <c r="X88" s="436" t="str">
        <f t="shared" si="109"/>
        <v>I</v>
      </c>
      <c r="Y88" s="446">
        <f t="shared" ca="1" si="4"/>
        <v>6</v>
      </c>
    </row>
    <row r="89" spans="1:25" ht="14.25" customHeight="1" x14ac:dyDescent="0.25">
      <c r="A89" s="379" t="s">
        <v>424</v>
      </c>
      <c r="F89" s="379">
        <v>88</v>
      </c>
      <c r="G89" s="379" t="s">
        <v>329</v>
      </c>
      <c r="H89" s="379" t="s">
        <v>330</v>
      </c>
      <c r="I89" s="379" t="s">
        <v>337</v>
      </c>
      <c r="J89" s="379" t="s">
        <v>339</v>
      </c>
      <c r="K89" s="379" t="s">
        <v>326</v>
      </c>
      <c r="L89" s="379" t="s">
        <v>328</v>
      </c>
      <c r="M89" s="379" t="s">
        <v>327</v>
      </c>
      <c r="N89" s="379" t="s">
        <v>332</v>
      </c>
      <c r="P89" s="379">
        <f t="shared" si="2"/>
        <v>88</v>
      </c>
      <c r="Q89" s="445" t="str">
        <f t="shared" ref="Q89:X89" si="110">+RIGHT(G89,1)</f>
        <v>H</v>
      </c>
      <c r="R89" s="436" t="str">
        <f t="shared" si="110"/>
        <v>G</v>
      </c>
      <c r="S89" s="436" t="str">
        <f t="shared" si="110"/>
        <v>B</v>
      </c>
      <c r="T89" s="436" t="str">
        <f t="shared" si="110"/>
        <v>C</v>
      </c>
      <c r="U89" s="436" t="str">
        <f t="shared" si="110"/>
        <v>J</v>
      </c>
      <c r="V89" s="436" t="str">
        <f t="shared" si="110"/>
        <v>F</v>
      </c>
      <c r="W89" s="436" t="str">
        <f t="shared" si="110"/>
        <v>I</v>
      </c>
      <c r="X89" s="436" t="str">
        <f t="shared" si="110"/>
        <v>K</v>
      </c>
      <c r="Y89" s="446">
        <f t="shared" ca="1" si="4"/>
        <v>5</v>
      </c>
    </row>
    <row r="90" spans="1:25" ht="14.25" customHeight="1" x14ac:dyDescent="0.25">
      <c r="A90" s="379" t="s">
        <v>425</v>
      </c>
      <c r="F90" s="379">
        <v>89</v>
      </c>
      <c r="G90" s="379" t="s">
        <v>325</v>
      </c>
      <c r="H90" s="379" t="s">
        <v>326</v>
      </c>
      <c r="I90" s="379" t="s">
        <v>337</v>
      </c>
      <c r="J90" s="379" t="s">
        <v>339</v>
      </c>
      <c r="K90" s="379" t="s">
        <v>327</v>
      </c>
      <c r="L90" s="379" t="s">
        <v>329</v>
      </c>
      <c r="M90" s="379" t="s">
        <v>331</v>
      </c>
      <c r="N90" s="379" t="s">
        <v>332</v>
      </c>
      <c r="P90" s="379">
        <f t="shared" si="2"/>
        <v>89</v>
      </c>
      <c r="Q90" s="445" t="str">
        <f t="shared" ref="Q90:X90" si="111">+RIGHT(G90,1)</f>
        <v>E</v>
      </c>
      <c r="R90" s="436" t="str">
        <f t="shared" si="111"/>
        <v>J</v>
      </c>
      <c r="S90" s="436" t="str">
        <f t="shared" si="111"/>
        <v>B</v>
      </c>
      <c r="T90" s="436" t="str">
        <f t="shared" si="111"/>
        <v>C</v>
      </c>
      <c r="U90" s="436" t="str">
        <f t="shared" si="111"/>
        <v>I</v>
      </c>
      <c r="V90" s="436" t="str">
        <f t="shared" si="111"/>
        <v>H</v>
      </c>
      <c r="W90" s="436" t="str">
        <f t="shared" si="111"/>
        <v>L</v>
      </c>
      <c r="X90" s="436" t="str">
        <f t="shared" si="111"/>
        <v>K</v>
      </c>
      <c r="Y90" s="446">
        <f t="shared" ca="1" si="4"/>
        <v>4</v>
      </c>
    </row>
    <row r="91" spans="1:25" ht="14.25" customHeight="1" x14ac:dyDescent="0.25">
      <c r="A91" s="379" t="s">
        <v>426</v>
      </c>
      <c r="F91" s="379">
        <v>90</v>
      </c>
      <c r="G91" s="379" t="s">
        <v>325</v>
      </c>
      <c r="H91" s="379" t="s">
        <v>326</v>
      </c>
      <c r="I91" s="379" t="s">
        <v>337</v>
      </c>
      <c r="J91" s="379" t="s">
        <v>339</v>
      </c>
      <c r="K91" s="379" t="s">
        <v>327</v>
      </c>
      <c r="L91" s="379" t="s">
        <v>330</v>
      </c>
      <c r="M91" s="379" t="s">
        <v>331</v>
      </c>
      <c r="N91" s="379" t="s">
        <v>332</v>
      </c>
      <c r="P91" s="379">
        <f t="shared" si="2"/>
        <v>90</v>
      </c>
      <c r="Q91" s="445" t="str">
        <f t="shared" ref="Q91:X91" si="112">+RIGHT(G91,1)</f>
        <v>E</v>
      </c>
      <c r="R91" s="436" t="str">
        <f t="shared" si="112"/>
        <v>J</v>
      </c>
      <c r="S91" s="436" t="str">
        <f t="shared" si="112"/>
        <v>B</v>
      </c>
      <c r="T91" s="436" t="str">
        <f t="shared" si="112"/>
        <v>C</v>
      </c>
      <c r="U91" s="436" t="str">
        <f t="shared" si="112"/>
        <v>I</v>
      </c>
      <c r="V91" s="436" t="str">
        <f t="shared" si="112"/>
        <v>G</v>
      </c>
      <c r="W91" s="436" t="str">
        <f t="shared" si="112"/>
        <v>L</v>
      </c>
      <c r="X91" s="436" t="str">
        <f t="shared" si="112"/>
        <v>K</v>
      </c>
      <c r="Y91" s="446">
        <f t="shared" ca="1" si="4"/>
        <v>4</v>
      </c>
    </row>
    <row r="92" spans="1:25" ht="14.25" customHeight="1" x14ac:dyDescent="0.25">
      <c r="A92" s="379" t="s">
        <v>427</v>
      </c>
      <c r="F92" s="379">
        <v>91</v>
      </c>
      <c r="G92" s="379" t="s">
        <v>325</v>
      </c>
      <c r="H92" s="379" t="s">
        <v>326</v>
      </c>
      <c r="I92" s="379" t="s">
        <v>337</v>
      </c>
      <c r="J92" s="379" t="s">
        <v>339</v>
      </c>
      <c r="K92" s="379" t="s">
        <v>329</v>
      </c>
      <c r="L92" s="379" t="s">
        <v>330</v>
      </c>
      <c r="M92" s="379" t="s">
        <v>331</v>
      </c>
      <c r="N92" s="379" t="s">
        <v>332</v>
      </c>
      <c r="P92" s="379">
        <f t="shared" si="2"/>
        <v>91</v>
      </c>
      <c r="Q92" s="445" t="str">
        <f t="shared" ref="Q92:X92" si="113">+RIGHT(G92,1)</f>
        <v>E</v>
      </c>
      <c r="R92" s="436" t="str">
        <f t="shared" si="113"/>
        <v>J</v>
      </c>
      <c r="S92" s="436" t="str">
        <f t="shared" si="113"/>
        <v>B</v>
      </c>
      <c r="T92" s="436" t="str">
        <f t="shared" si="113"/>
        <v>C</v>
      </c>
      <c r="U92" s="436" t="str">
        <f t="shared" si="113"/>
        <v>H</v>
      </c>
      <c r="V92" s="436" t="str">
        <f t="shared" si="113"/>
        <v>G</v>
      </c>
      <c r="W92" s="436" t="str">
        <f t="shared" si="113"/>
        <v>L</v>
      </c>
      <c r="X92" s="436" t="str">
        <f t="shared" si="113"/>
        <v>K</v>
      </c>
      <c r="Y92" s="446">
        <f t="shared" ca="1" si="4"/>
        <v>4</v>
      </c>
    </row>
    <row r="93" spans="1:25" ht="14.25" customHeight="1" x14ac:dyDescent="0.25">
      <c r="A93" s="379" t="s">
        <v>428</v>
      </c>
      <c r="F93" s="379">
        <v>92</v>
      </c>
      <c r="G93" s="379" t="s">
        <v>325</v>
      </c>
      <c r="H93" s="379" t="s">
        <v>330</v>
      </c>
      <c r="I93" s="379" t="s">
        <v>337</v>
      </c>
      <c r="J93" s="379" t="s">
        <v>339</v>
      </c>
      <c r="K93" s="379" t="s">
        <v>327</v>
      </c>
      <c r="L93" s="379" t="s">
        <v>329</v>
      </c>
      <c r="M93" s="379" t="s">
        <v>331</v>
      </c>
      <c r="N93" s="379" t="s">
        <v>332</v>
      </c>
      <c r="P93" s="379">
        <f t="shared" si="2"/>
        <v>92</v>
      </c>
      <c r="Q93" s="445" t="str">
        <f t="shared" ref="Q93:X93" si="114">+RIGHT(G93,1)</f>
        <v>E</v>
      </c>
      <c r="R93" s="436" t="str">
        <f t="shared" si="114"/>
        <v>G</v>
      </c>
      <c r="S93" s="436" t="str">
        <f t="shared" si="114"/>
        <v>B</v>
      </c>
      <c r="T93" s="436" t="str">
        <f t="shared" si="114"/>
        <v>C</v>
      </c>
      <c r="U93" s="436" t="str">
        <f t="shared" si="114"/>
        <v>I</v>
      </c>
      <c r="V93" s="436" t="str">
        <f t="shared" si="114"/>
        <v>H</v>
      </c>
      <c r="W93" s="436" t="str">
        <f t="shared" si="114"/>
        <v>L</v>
      </c>
      <c r="X93" s="436" t="str">
        <f t="shared" si="114"/>
        <v>K</v>
      </c>
      <c r="Y93" s="446">
        <f t="shared" ca="1" si="4"/>
        <v>5</v>
      </c>
    </row>
    <row r="94" spans="1:25" ht="14.25" customHeight="1" x14ac:dyDescent="0.25">
      <c r="A94" s="379" t="s">
        <v>429</v>
      </c>
      <c r="F94" s="379">
        <v>93</v>
      </c>
      <c r="G94" s="379" t="s">
        <v>325</v>
      </c>
      <c r="H94" s="379" t="s">
        <v>326</v>
      </c>
      <c r="I94" s="379" t="s">
        <v>337</v>
      </c>
      <c r="J94" s="379" t="s">
        <v>339</v>
      </c>
      <c r="K94" s="379" t="s">
        <v>329</v>
      </c>
      <c r="L94" s="379" t="s">
        <v>330</v>
      </c>
      <c r="M94" s="379" t="s">
        <v>331</v>
      </c>
      <c r="N94" s="379" t="s">
        <v>327</v>
      </c>
      <c r="P94" s="379">
        <f t="shared" si="2"/>
        <v>93</v>
      </c>
      <c r="Q94" s="445" t="str">
        <f t="shared" ref="Q94:X94" si="115">+RIGHT(G94,1)</f>
        <v>E</v>
      </c>
      <c r="R94" s="436" t="str">
        <f t="shared" si="115"/>
        <v>J</v>
      </c>
      <c r="S94" s="436" t="str">
        <f t="shared" si="115"/>
        <v>B</v>
      </c>
      <c r="T94" s="436" t="str">
        <f t="shared" si="115"/>
        <v>C</v>
      </c>
      <c r="U94" s="436" t="str">
        <f t="shared" si="115"/>
        <v>H</v>
      </c>
      <c r="V94" s="436" t="str">
        <f t="shared" si="115"/>
        <v>G</v>
      </c>
      <c r="W94" s="436" t="str">
        <f t="shared" si="115"/>
        <v>L</v>
      </c>
      <c r="X94" s="436" t="str">
        <f t="shared" si="115"/>
        <v>I</v>
      </c>
      <c r="Y94" s="446">
        <f t="shared" ca="1" si="4"/>
        <v>5</v>
      </c>
    </row>
    <row r="95" spans="1:25" ht="14.25" customHeight="1" x14ac:dyDescent="0.25">
      <c r="A95" s="379" t="s">
        <v>430</v>
      </c>
      <c r="F95" s="379">
        <v>94</v>
      </c>
      <c r="G95" s="379" t="s">
        <v>325</v>
      </c>
      <c r="H95" s="379" t="s">
        <v>326</v>
      </c>
      <c r="I95" s="379" t="s">
        <v>337</v>
      </c>
      <c r="J95" s="379" t="s">
        <v>339</v>
      </c>
      <c r="K95" s="379" t="s">
        <v>329</v>
      </c>
      <c r="L95" s="379" t="s">
        <v>330</v>
      </c>
      <c r="M95" s="379" t="s">
        <v>327</v>
      </c>
      <c r="N95" s="379" t="s">
        <v>332</v>
      </c>
      <c r="P95" s="379">
        <f t="shared" si="2"/>
        <v>94</v>
      </c>
      <c r="Q95" s="445" t="str">
        <f t="shared" ref="Q95:X95" si="116">+RIGHT(G95,1)</f>
        <v>E</v>
      </c>
      <c r="R95" s="436" t="str">
        <f t="shared" si="116"/>
        <v>J</v>
      </c>
      <c r="S95" s="436" t="str">
        <f t="shared" si="116"/>
        <v>B</v>
      </c>
      <c r="T95" s="436" t="str">
        <f t="shared" si="116"/>
        <v>C</v>
      </c>
      <c r="U95" s="436" t="str">
        <f t="shared" si="116"/>
        <v>H</v>
      </c>
      <c r="V95" s="436" t="str">
        <f t="shared" si="116"/>
        <v>G</v>
      </c>
      <c r="W95" s="436" t="str">
        <f t="shared" si="116"/>
        <v>I</v>
      </c>
      <c r="X95" s="436" t="str">
        <f t="shared" si="116"/>
        <v>K</v>
      </c>
      <c r="Y95" s="446">
        <f t="shared" ca="1" si="4"/>
        <v>4</v>
      </c>
    </row>
    <row r="96" spans="1:25" ht="14.25" customHeight="1" x14ac:dyDescent="0.25">
      <c r="A96" s="379" t="s">
        <v>431</v>
      </c>
      <c r="F96" s="379">
        <v>95</v>
      </c>
      <c r="G96" s="379" t="s">
        <v>325</v>
      </c>
      <c r="H96" s="379" t="s">
        <v>326</v>
      </c>
      <c r="I96" s="379" t="s">
        <v>337</v>
      </c>
      <c r="J96" s="379" t="s">
        <v>339</v>
      </c>
      <c r="K96" s="379" t="s">
        <v>327</v>
      </c>
      <c r="L96" s="379" t="s">
        <v>328</v>
      </c>
      <c r="M96" s="379" t="s">
        <v>331</v>
      </c>
      <c r="N96" s="379" t="s">
        <v>332</v>
      </c>
      <c r="P96" s="379">
        <f t="shared" si="2"/>
        <v>95</v>
      </c>
      <c r="Q96" s="445" t="str">
        <f t="shared" ref="Q96:X96" si="117">+RIGHT(G96,1)</f>
        <v>E</v>
      </c>
      <c r="R96" s="436" t="str">
        <f t="shared" si="117"/>
        <v>J</v>
      </c>
      <c r="S96" s="436" t="str">
        <f t="shared" si="117"/>
        <v>B</v>
      </c>
      <c r="T96" s="436" t="str">
        <f t="shared" si="117"/>
        <v>C</v>
      </c>
      <c r="U96" s="436" t="str">
        <f t="shared" si="117"/>
        <v>I</v>
      </c>
      <c r="V96" s="436" t="str">
        <f t="shared" si="117"/>
        <v>F</v>
      </c>
      <c r="W96" s="436" t="str">
        <f t="shared" si="117"/>
        <v>L</v>
      </c>
      <c r="X96" s="436" t="str">
        <f t="shared" si="117"/>
        <v>K</v>
      </c>
      <c r="Y96" s="446">
        <f t="shared" ca="1" si="4"/>
        <v>4</v>
      </c>
    </row>
    <row r="97" spans="1:25" ht="14.25" customHeight="1" x14ac:dyDescent="0.25">
      <c r="A97" s="379" t="s">
        <v>432</v>
      </c>
      <c r="F97" s="379">
        <v>96</v>
      </c>
      <c r="G97" s="379" t="s">
        <v>325</v>
      </c>
      <c r="H97" s="379" t="s">
        <v>326</v>
      </c>
      <c r="I97" s="379" t="s">
        <v>337</v>
      </c>
      <c r="J97" s="379" t="s">
        <v>339</v>
      </c>
      <c r="K97" s="379" t="s">
        <v>329</v>
      </c>
      <c r="L97" s="379" t="s">
        <v>328</v>
      </c>
      <c r="M97" s="379" t="s">
        <v>331</v>
      </c>
      <c r="N97" s="379" t="s">
        <v>332</v>
      </c>
      <c r="P97" s="379">
        <f t="shared" si="2"/>
        <v>96</v>
      </c>
      <c r="Q97" s="445" t="str">
        <f t="shared" ref="Q97:X97" si="118">+RIGHT(G97,1)</f>
        <v>E</v>
      </c>
      <c r="R97" s="436" t="str">
        <f t="shared" si="118"/>
        <v>J</v>
      </c>
      <c r="S97" s="436" t="str">
        <f t="shared" si="118"/>
        <v>B</v>
      </c>
      <c r="T97" s="436" t="str">
        <f t="shared" si="118"/>
        <v>C</v>
      </c>
      <c r="U97" s="436" t="str">
        <f t="shared" si="118"/>
        <v>H</v>
      </c>
      <c r="V97" s="436" t="str">
        <f t="shared" si="118"/>
        <v>F</v>
      </c>
      <c r="W97" s="436" t="str">
        <f t="shared" si="118"/>
        <v>L</v>
      </c>
      <c r="X97" s="436" t="str">
        <f t="shared" si="118"/>
        <v>K</v>
      </c>
      <c r="Y97" s="446">
        <f t="shared" ca="1" si="4"/>
        <v>4</v>
      </c>
    </row>
    <row r="98" spans="1:25" ht="14.25" customHeight="1" x14ac:dyDescent="0.25">
      <c r="A98" s="379" t="s">
        <v>433</v>
      </c>
      <c r="F98" s="379">
        <v>97</v>
      </c>
      <c r="G98" s="379" t="s">
        <v>325</v>
      </c>
      <c r="H98" s="379" t="s">
        <v>327</v>
      </c>
      <c r="I98" s="379" t="s">
        <v>337</v>
      </c>
      <c r="J98" s="379" t="s">
        <v>339</v>
      </c>
      <c r="K98" s="379" t="s">
        <v>329</v>
      </c>
      <c r="L98" s="379" t="s">
        <v>328</v>
      </c>
      <c r="M98" s="379" t="s">
        <v>331</v>
      </c>
      <c r="N98" s="379" t="s">
        <v>332</v>
      </c>
      <c r="P98" s="379">
        <f t="shared" si="2"/>
        <v>97</v>
      </c>
      <c r="Q98" s="445" t="str">
        <f t="shared" ref="Q98:X98" si="119">+RIGHT(G98,1)</f>
        <v>E</v>
      </c>
      <c r="R98" s="436" t="str">
        <f t="shared" si="119"/>
        <v>I</v>
      </c>
      <c r="S98" s="436" t="str">
        <f t="shared" si="119"/>
        <v>B</v>
      </c>
      <c r="T98" s="436" t="str">
        <f t="shared" si="119"/>
        <v>C</v>
      </c>
      <c r="U98" s="436" t="str">
        <f t="shared" si="119"/>
        <v>H</v>
      </c>
      <c r="V98" s="436" t="str">
        <f t="shared" si="119"/>
        <v>F</v>
      </c>
      <c r="W98" s="436" t="str">
        <f t="shared" si="119"/>
        <v>L</v>
      </c>
      <c r="X98" s="436" t="str">
        <f t="shared" si="119"/>
        <v>K</v>
      </c>
      <c r="Y98" s="446">
        <f t="shared" ca="1" si="4"/>
        <v>5</v>
      </c>
    </row>
    <row r="99" spans="1:25" ht="14.25" customHeight="1" x14ac:dyDescent="0.25">
      <c r="A99" s="379" t="s">
        <v>434</v>
      </c>
      <c r="F99" s="379">
        <v>98</v>
      </c>
      <c r="G99" s="379" t="s">
        <v>325</v>
      </c>
      <c r="H99" s="379" t="s">
        <v>326</v>
      </c>
      <c r="I99" s="379" t="s">
        <v>337</v>
      </c>
      <c r="J99" s="379" t="s">
        <v>339</v>
      </c>
      <c r="K99" s="379" t="s">
        <v>329</v>
      </c>
      <c r="L99" s="379" t="s">
        <v>328</v>
      </c>
      <c r="M99" s="379" t="s">
        <v>331</v>
      </c>
      <c r="N99" s="379" t="s">
        <v>327</v>
      </c>
      <c r="P99" s="379">
        <f t="shared" si="2"/>
        <v>98</v>
      </c>
      <c r="Q99" s="445" t="str">
        <f t="shared" ref="Q99:X99" si="120">+RIGHT(G99,1)</f>
        <v>E</v>
      </c>
      <c r="R99" s="436" t="str">
        <f t="shared" si="120"/>
        <v>J</v>
      </c>
      <c r="S99" s="436" t="str">
        <f t="shared" si="120"/>
        <v>B</v>
      </c>
      <c r="T99" s="436" t="str">
        <f t="shared" si="120"/>
        <v>C</v>
      </c>
      <c r="U99" s="436" t="str">
        <f t="shared" si="120"/>
        <v>H</v>
      </c>
      <c r="V99" s="436" t="str">
        <f t="shared" si="120"/>
        <v>F</v>
      </c>
      <c r="W99" s="436" t="str">
        <f t="shared" si="120"/>
        <v>L</v>
      </c>
      <c r="X99" s="436" t="str">
        <f t="shared" si="120"/>
        <v>I</v>
      </c>
      <c r="Y99" s="446">
        <f t="shared" ca="1" si="4"/>
        <v>5</v>
      </c>
    </row>
    <row r="100" spans="1:25" ht="14.25" customHeight="1" x14ac:dyDescent="0.25">
      <c r="A100" s="379" t="s">
        <v>435</v>
      </c>
      <c r="F100" s="379">
        <v>99</v>
      </c>
      <c r="G100" s="379" t="s">
        <v>325</v>
      </c>
      <c r="H100" s="379" t="s">
        <v>326</v>
      </c>
      <c r="I100" s="379" t="s">
        <v>337</v>
      </c>
      <c r="J100" s="379" t="s">
        <v>339</v>
      </c>
      <c r="K100" s="379" t="s">
        <v>329</v>
      </c>
      <c r="L100" s="379" t="s">
        <v>328</v>
      </c>
      <c r="M100" s="379" t="s">
        <v>327</v>
      </c>
      <c r="N100" s="379" t="s">
        <v>332</v>
      </c>
      <c r="P100" s="379">
        <f t="shared" si="2"/>
        <v>99</v>
      </c>
      <c r="Q100" s="445" t="str">
        <f t="shared" ref="Q100:X100" si="121">+RIGHT(G100,1)</f>
        <v>E</v>
      </c>
      <c r="R100" s="436" t="str">
        <f t="shared" si="121"/>
        <v>J</v>
      </c>
      <c r="S100" s="436" t="str">
        <f t="shared" si="121"/>
        <v>B</v>
      </c>
      <c r="T100" s="436" t="str">
        <f t="shared" si="121"/>
        <v>C</v>
      </c>
      <c r="U100" s="436" t="str">
        <f t="shared" si="121"/>
        <v>H</v>
      </c>
      <c r="V100" s="436" t="str">
        <f t="shared" si="121"/>
        <v>F</v>
      </c>
      <c r="W100" s="436" t="str">
        <f t="shared" si="121"/>
        <v>I</v>
      </c>
      <c r="X100" s="436" t="str">
        <f t="shared" si="121"/>
        <v>K</v>
      </c>
      <c r="Y100" s="446">
        <f t="shared" ca="1" si="4"/>
        <v>4</v>
      </c>
    </row>
    <row r="101" spans="1:25" ht="14.25" customHeight="1" x14ac:dyDescent="0.25">
      <c r="A101" s="379" t="s">
        <v>436</v>
      </c>
      <c r="F101" s="379">
        <v>100</v>
      </c>
      <c r="G101" s="379" t="s">
        <v>325</v>
      </c>
      <c r="H101" s="379" t="s">
        <v>330</v>
      </c>
      <c r="I101" s="379" t="s">
        <v>337</v>
      </c>
      <c r="J101" s="379" t="s">
        <v>339</v>
      </c>
      <c r="K101" s="379" t="s">
        <v>326</v>
      </c>
      <c r="L101" s="379" t="s">
        <v>328</v>
      </c>
      <c r="M101" s="379" t="s">
        <v>331</v>
      </c>
      <c r="N101" s="379" t="s">
        <v>332</v>
      </c>
      <c r="P101" s="379">
        <f t="shared" si="2"/>
        <v>100</v>
      </c>
      <c r="Q101" s="445" t="str">
        <f t="shared" ref="Q101:X101" si="122">+RIGHT(G101,1)</f>
        <v>E</v>
      </c>
      <c r="R101" s="436" t="str">
        <f t="shared" si="122"/>
        <v>G</v>
      </c>
      <c r="S101" s="436" t="str">
        <f t="shared" si="122"/>
        <v>B</v>
      </c>
      <c r="T101" s="436" t="str">
        <f t="shared" si="122"/>
        <v>C</v>
      </c>
      <c r="U101" s="436" t="str">
        <f t="shared" si="122"/>
        <v>J</v>
      </c>
      <c r="V101" s="436" t="str">
        <f t="shared" si="122"/>
        <v>F</v>
      </c>
      <c r="W101" s="436" t="str">
        <f t="shared" si="122"/>
        <v>L</v>
      </c>
      <c r="X101" s="436" t="str">
        <f t="shared" si="122"/>
        <v>K</v>
      </c>
      <c r="Y101" s="446">
        <f t="shared" ca="1" si="4"/>
        <v>4</v>
      </c>
    </row>
    <row r="102" spans="1:25" ht="14.25" customHeight="1" x14ac:dyDescent="0.25">
      <c r="A102" s="379" t="s">
        <v>437</v>
      </c>
      <c r="F102" s="379">
        <v>101</v>
      </c>
      <c r="G102" s="379" t="s">
        <v>325</v>
      </c>
      <c r="H102" s="379" t="s">
        <v>330</v>
      </c>
      <c r="I102" s="379" t="s">
        <v>337</v>
      </c>
      <c r="J102" s="379" t="s">
        <v>339</v>
      </c>
      <c r="K102" s="379" t="s">
        <v>327</v>
      </c>
      <c r="L102" s="379" t="s">
        <v>328</v>
      </c>
      <c r="M102" s="379" t="s">
        <v>331</v>
      </c>
      <c r="N102" s="379" t="s">
        <v>332</v>
      </c>
      <c r="P102" s="379">
        <f t="shared" si="2"/>
        <v>101</v>
      </c>
      <c r="Q102" s="445" t="str">
        <f t="shared" ref="Q102:X102" si="123">+RIGHT(G102,1)</f>
        <v>E</v>
      </c>
      <c r="R102" s="436" t="str">
        <f t="shared" si="123"/>
        <v>G</v>
      </c>
      <c r="S102" s="436" t="str">
        <f t="shared" si="123"/>
        <v>B</v>
      </c>
      <c r="T102" s="436" t="str">
        <f t="shared" si="123"/>
        <v>C</v>
      </c>
      <c r="U102" s="436" t="str">
        <f t="shared" si="123"/>
        <v>I</v>
      </c>
      <c r="V102" s="436" t="str">
        <f t="shared" si="123"/>
        <v>F</v>
      </c>
      <c r="W102" s="436" t="str">
        <f t="shared" si="123"/>
        <v>L</v>
      </c>
      <c r="X102" s="436" t="str">
        <f t="shared" si="123"/>
        <v>K</v>
      </c>
      <c r="Y102" s="446">
        <f t="shared" ca="1" si="4"/>
        <v>5</v>
      </c>
    </row>
    <row r="103" spans="1:25" ht="14.25" customHeight="1" x14ac:dyDescent="0.25">
      <c r="A103" s="379" t="s">
        <v>438</v>
      </c>
      <c r="F103" s="379">
        <v>102</v>
      </c>
      <c r="G103" s="379" t="s">
        <v>325</v>
      </c>
      <c r="H103" s="379" t="s">
        <v>330</v>
      </c>
      <c r="I103" s="379" t="s">
        <v>337</v>
      </c>
      <c r="J103" s="379" t="s">
        <v>339</v>
      </c>
      <c r="K103" s="379" t="s">
        <v>326</v>
      </c>
      <c r="L103" s="379" t="s">
        <v>328</v>
      </c>
      <c r="M103" s="379" t="s">
        <v>331</v>
      </c>
      <c r="N103" s="379" t="s">
        <v>327</v>
      </c>
      <c r="P103" s="379">
        <f t="shared" si="2"/>
        <v>102</v>
      </c>
      <c r="Q103" s="445" t="str">
        <f t="shared" ref="Q103:X103" si="124">+RIGHT(G103,1)</f>
        <v>E</v>
      </c>
      <c r="R103" s="436" t="str">
        <f t="shared" si="124"/>
        <v>G</v>
      </c>
      <c r="S103" s="436" t="str">
        <f t="shared" si="124"/>
        <v>B</v>
      </c>
      <c r="T103" s="436" t="str">
        <f t="shared" si="124"/>
        <v>C</v>
      </c>
      <c r="U103" s="436" t="str">
        <f t="shared" si="124"/>
        <v>J</v>
      </c>
      <c r="V103" s="436" t="str">
        <f t="shared" si="124"/>
        <v>F</v>
      </c>
      <c r="W103" s="436" t="str">
        <f t="shared" si="124"/>
        <v>L</v>
      </c>
      <c r="X103" s="436" t="str">
        <f t="shared" si="124"/>
        <v>I</v>
      </c>
      <c r="Y103" s="446">
        <f t="shared" ca="1" si="4"/>
        <v>5</v>
      </c>
    </row>
    <row r="104" spans="1:25" ht="14.25" customHeight="1" x14ac:dyDescent="0.25">
      <c r="A104" s="379" t="s">
        <v>439</v>
      </c>
      <c r="F104" s="379">
        <v>103</v>
      </c>
      <c r="G104" s="379" t="s">
        <v>325</v>
      </c>
      <c r="H104" s="379" t="s">
        <v>330</v>
      </c>
      <c r="I104" s="379" t="s">
        <v>337</v>
      </c>
      <c r="J104" s="379" t="s">
        <v>339</v>
      </c>
      <c r="K104" s="379" t="s">
        <v>326</v>
      </c>
      <c r="L104" s="379" t="s">
        <v>328</v>
      </c>
      <c r="M104" s="379" t="s">
        <v>327</v>
      </c>
      <c r="N104" s="379" t="s">
        <v>332</v>
      </c>
      <c r="P104" s="379">
        <f t="shared" si="2"/>
        <v>103</v>
      </c>
      <c r="Q104" s="445" t="str">
        <f t="shared" ref="Q104:X104" si="125">+RIGHT(G104,1)</f>
        <v>E</v>
      </c>
      <c r="R104" s="436" t="str">
        <f t="shared" si="125"/>
        <v>G</v>
      </c>
      <c r="S104" s="436" t="str">
        <f t="shared" si="125"/>
        <v>B</v>
      </c>
      <c r="T104" s="436" t="str">
        <f t="shared" si="125"/>
        <v>C</v>
      </c>
      <c r="U104" s="436" t="str">
        <f t="shared" si="125"/>
        <v>J</v>
      </c>
      <c r="V104" s="436" t="str">
        <f t="shared" si="125"/>
        <v>F</v>
      </c>
      <c r="W104" s="436" t="str">
        <f t="shared" si="125"/>
        <v>I</v>
      </c>
      <c r="X104" s="436" t="str">
        <f t="shared" si="125"/>
        <v>K</v>
      </c>
      <c r="Y104" s="446">
        <f t="shared" ca="1" si="4"/>
        <v>4</v>
      </c>
    </row>
    <row r="105" spans="1:25" ht="14.25" customHeight="1" x14ac:dyDescent="0.25">
      <c r="A105" s="379" t="s">
        <v>440</v>
      </c>
      <c r="F105" s="379">
        <v>104</v>
      </c>
      <c r="G105" s="379" t="s">
        <v>325</v>
      </c>
      <c r="H105" s="379" t="s">
        <v>330</v>
      </c>
      <c r="I105" s="379" t="s">
        <v>337</v>
      </c>
      <c r="J105" s="379" t="s">
        <v>339</v>
      </c>
      <c r="K105" s="379" t="s">
        <v>329</v>
      </c>
      <c r="L105" s="379" t="s">
        <v>328</v>
      </c>
      <c r="M105" s="379" t="s">
        <v>331</v>
      </c>
      <c r="N105" s="379" t="s">
        <v>332</v>
      </c>
      <c r="P105" s="379">
        <f t="shared" si="2"/>
        <v>104</v>
      </c>
      <c r="Q105" s="445" t="str">
        <f t="shared" ref="Q105:X105" si="126">+RIGHT(G105,1)</f>
        <v>E</v>
      </c>
      <c r="R105" s="436" t="str">
        <f t="shared" si="126"/>
        <v>G</v>
      </c>
      <c r="S105" s="436" t="str">
        <f t="shared" si="126"/>
        <v>B</v>
      </c>
      <c r="T105" s="436" t="str">
        <f t="shared" si="126"/>
        <v>C</v>
      </c>
      <c r="U105" s="436" t="str">
        <f t="shared" si="126"/>
        <v>H</v>
      </c>
      <c r="V105" s="436" t="str">
        <f t="shared" si="126"/>
        <v>F</v>
      </c>
      <c r="W105" s="436" t="str">
        <f t="shared" si="126"/>
        <v>L</v>
      </c>
      <c r="X105" s="436" t="str">
        <f t="shared" si="126"/>
        <v>K</v>
      </c>
      <c r="Y105" s="446">
        <f t="shared" ca="1" si="4"/>
        <v>5</v>
      </c>
    </row>
    <row r="106" spans="1:25" ht="14.25" customHeight="1" x14ac:dyDescent="0.25">
      <c r="A106" s="379" t="s">
        <v>441</v>
      </c>
      <c r="F106" s="379">
        <v>105</v>
      </c>
      <c r="G106" s="379" t="s">
        <v>329</v>
      </c>
      <c r="H106" s="379" t="s">
        <v>330</v>
      </c>
      <c r="I106" s="379" t="s">
        <v>337</v>
      </c>
      <c r="J106" s="379" t="s">
        <v>339</v>
      </c>
      <c r="K106" s="379" t="s">
        <v>326</v>
      </c>
      <c r="L106" s="379" t="s">
        <v>328</v>
      </c>
      <c r="M106" s="379" t="s">
        <v>331</v>
      </c>
      <c r="N106" s="379" t="s">
        <v>325</v>
      </c>
      <c r="P106" s="379">
        <f t="shared" si="2"/>
        <v>105</v>
      </c>
      <c r="Q106" s="445" t="str">
        <f t="shared" ref="Q106:X106" si="127">+RIGHT(G106,1)</f>
        <v>H</v>
      </c>
      <c r="R106" s="436" t="str">
        <f t="shared" si="127"/>
        <v>G</v>
      </c>
      <c r="S106" s="436" t="str">
        <f t="shared" si="127"/>
        <v>B</v>
      </c>
      <c r="T106" s="436" t="str">
        <f t="shared" si="127"/>
        <v>C</v>
      </c>
      <c r="U106" s="436" t="str">
        <f t="shared" si="127"/>
        <v>J</v>
      </c>
      <c r="V106" s="436" t="str">
        <f t="shared" si="127"/>
        <v>F</v>
      </c>
      <c r="W106" s="436" t="str">
        <f t="shared" si="127"/>
        <v>L</v>
      </c>
      <c r="X106" s="436" t="str">
        <f t="shared" si="127"/>
        <v>E</v>
      </c>
      <c r="Y106" s="446">
        <f t="shared" ca="1" si="4"/>
        <v>5</v>
      </c>
    </row>
    <row r="107" spans="1:25" ht="14.25" customHeight="1" x14ac:dyDescent="0.25">
      <c r="A107" s="379" t="s">
        <v>442</v>
      </c>
      <c r="F107" s="379">
        <v>106</v>
      </c>
      <c r="G107" s="379" t="s">
        <v>329</v>
      </c>
      <c r="H107" s="379" t="s">
        <v>330</v>
      </c>
      <c r="I107" s="379" t="s">
        <v>337</v>
      </c>
      <c r="J107" s="379" t="s">
        <v>339</v>
      </c>
      <c r="K107" s="379" t="s">
        <v>326</v>
      </c>
      <c r="L107" s="379" t="s">
        <v>328</v>
      </c>
      <c r="M107" s="379" t="s">
        <v>325</v>
      </c>
      <c r="N107" s="379" t="s">
        <v>332</v>
      </c>
      <c r="P107" s="379">
        <f t="shared" si="2"/>
        <v>106</v>
      </c>
      <c r="Q107" s="445" t="str">
        <f t="shared" ref="Q107:X107" si="128">+RIGHT(G107,1)</f>
        <v>H</v>
      </c>
      <c r="R107" s="436" t="str">
        <f t="shared" si="128"/>
        <v>G</v>
      </c>
      <c r="S107" s="436" t="str">
        <f t="shared" si="128"/>
        <v>B</v>
      </c>
      <c r="T107" s="436" t="str">
        <f t="shared" si="128"/>
        <v>C</v>
      </c>
      <c r="U107" s="436" t="str">
        <f t="shared" si="128"/>
        <v>J</v>
      </c>
      <c r="V107" s="436" t="str">
        <f t="shared" si="128"/>
        <v>F</v>
      </c>
      <c r="W107" s="436" t="str">
        <f t="shared" si="128"/>
        <v>E</v>
      </c>
      <c r="X107" s="436" t="str">
        <f t="shared" si="128"/>
        <v>K</v>
      </c>
      <c r="Y107" s="446">
        <f t="shared" ca="1" si="4"/>
        <v>4</v>
      </c>
    </row>
    <row r="108" spans="1:25" ht="14.25" customHeight="1" x14ac:dyDescent="0.25">
      <c r="A108" s="379" t="s">
        <v>443</v>
      </c>
      <c r="F108" s="379">
        <v>107</v>
      </c>
      <c r="G108" s="379" t="s">
        <v>325</v>
      </c>
      <c r="H108" s="379" t="s">
        <v>330</v>
      </c>
      <c r="I108" s="379" t="s">
        <v>337</v>
      </c>
      <c r="J108" s="379" t="s">
        <v>339</v>
      </c>
      <c r="K108" s="379" t="s">
        <v>329</v>
      </c>
      <c r="L108" s="379" t="s">
        <v>328</v>
      </c>
      <c r="M108" s="379" t="s">
        <v>331</v>
      </c>
      <c r="N108" s="379" t="s">
        <v>327</v>
      </c>
      <c r="P108" s="379">
        <f t="shared" si="2"/>
        <v>107</v>
      </c>
      <c r="Q108" s="445" t="str">
        <f t="shared" ref="Q108:X108" si="129">+RIGHT(G108,1)</f>
        <v>E</v>
      </c>
      <c r="R108" s="436" t="str">
        <f t="shared" si="129"/>
        <v>G</v>
      </c>
      <c r="S108" s="436" t="str">
        <f t="shared" si="129"/>
        <v>B</v>
      </c>
      <c r="T108" s="436" t="str">
        <f t="shared" si="129"/>
        <v>C</v>
      </c>
      <c r="U108" s="436" t="str">
        <f t="shared" si="129"/>
        <v>H</v>
      </c>
      <c r="V108" s="436" t="str">
        <f t="shared" si="129"/>
        <v>F</v>
      </c>
      <c r="W108" s="436" t="str">
        <f t="shared" si="129"/>
        <v>L</v>
      </c>
      <c r="X108" s="436" t="str">
        <f t="shared" si="129"/>
        <v>I</v>
      </c>
      <c r="Y108" s="446">
        <f t="shared" ca="1" si="4"/>
        <v>6</v>
      </c>
    </row>
    <row r="109" spans="1:25" ht="14.25" customHeight="1" x14ac:dyDescent="0.25">
      <c r="A109" s="379" t="s">
        <v>444</v>
      </c>
      <c r="F109" s="379">
        <v>108</v>
      </c>
      <c r="G109" s="379" t="s">
        <v>325</v>
      </c>
      <c r="H109" s="379" t="s">
        <v>330</v>
      </c>
      <c r="I109" s="379" t="s">
        <v>337</v>
      </c>
      <c r="J109" s="379" t="s">
        <v>339</v>
      </c>
      <c r="K109" s="379" t="s">
        <v>329</v>
      </c>
      <c r="L109" s="379" t="s">
        <v>328</v>
      </c>
      <c r="M109" s="379" t="s">
        <v>327</v>
      </c>
      <c r="N109" s="379" t="s">
        <v>332</v>
      </c>
      <c r="P109" s="379">
        <f t="shared" si="2"/>
        <v>108</v>
      </c>
      <c r="Q109" s="445" t="str">
        <f t="shared" ref="Q109:X109" si="130">+RIGHT(G109,1)</f>
        <v>E</v>
      </c>
      <c r="R109" s="436" t="str">
        <f t="shared" si="130"/>
        <v>G</v>
      </c>
      <c r="S109" s="436" t="str">
        <f t="shared" si="130"/>
        <v>B</v>
      </c>
      <c r="T109" s="436" t="str">
        <f t="shared" si="130"/>
        <v>C</v>
      </c>
      <c r="U109" s="436" t="str">
        <f t="shared" si="130"/>
        <v>H</v>
      </c>
      <c r="V109" s="436" t="str">
        <f t="shared" si="130"/>
        <v>F</v>
      </c>
      <c r="W109" s="436" t="str">
        <f t="shared" si="130"/>
        <v>I</v>
      </c>
      <c r="X109" s="436" t="str">
        <f t="shared" si="130"/>
        <v>K</v>
      </c>
      <c r="Y109" s="446">
        <f t="shared" ca="1" si="4"/>
        <v>5</v>
      </c>
    </row>
    <row r="110" spans="1:25" ht="14.25" customHeight="1" x14ac:dyDescent="0.25">
      <c r="A110" s="379" t="s">
        <v>445</v>
      </c>
      <c r="F110" s="379">
        <v>109</v>
      </c>
      <c r="G110" s="379" t="s">
        <v>329</v>
      </c>
      <c r="H110" s="379" t="s">
        <v>330</v>
      </c>
      <c r="I110" s="379" t="s">
        <v>337</v>
      </c>
      <c r="J110" s="379" t="s">
        <v>339</v>
      </c>
      <c r="K110" s="379" t="s">
        <v>326</v>
      </c>
      <c r="L110" s="379" t="s">
        <v>328</v>
      </c>
      <c r="M110" s="379" t="s">
        <v>325</v>
      </c>
      <c r="N110" s="379" t="s">
        <v>327</v>
      </c>
      <c r="P110" s="379">
        <f t="shared" si="2"/>
        <v>109</v>
      </c>
      <c r="Q110" s="445" t="str">
        <f t="shared" ref="Q110:X110" si="131">+RIGHT(G110,1)</f>
        <v>H</v>
      </c>
      <c r="R110" s="436" t="str">
        <f t="shared" si="131"/>
        <v>G</v>
      </c>
      <c r="S110" s="436" t="str">
        <f t="shared" si="131"/>
        <v>B</v>
      </c>
      <c r="T110" s="436" t="str">
        <f t="shared" si="131"/>
        <v>C</v>
      </c>
      <c r="U110" s="436" t="str">
        <f t="shared" si="131"/>
        <v>J</v>
      </c>
      <c r="V110" s="436" t="str">
        <f t="shared" si="131"/>
        <v>F</v>
      </c>
      <c r="W110" s="436" t="str">
        <f t="shared" si="131"/>
        <v>E</v>
      </c>
      <c r="X110" s="436" t="str">
        <f t="shared" si="131"/>
        <v>I</v>
      </c>
      <c r="Y110" s="446">
        <f t="shared" ca="1" si="4"/>
        <v>5</v>
      </c>
    </row>
    <row r="111" spans="1:25" ht="14.25" customHeight="1" x14ac:dyDescent="0.25">
      <c r="A111" s="379" t="s">
        <v>446</v>
      </c>
      <c r="F111" s="379">
        <v>110</v>
      </c>
      <c r="G111" s="379" t="s">
        <v>329</v>
      </c>
      <c r="H111" s="379" t="s">
        <v>326</v>
      </c>
      <c r="I111" s="379" t="s">
        <v>337</v>
      </c>
      <c r="J111" s="379" t="s">
        <v>339</v>
      </c>
      <c r="K111" s="379" t="s">
        <v>327</v>
      </c>
      <c r="L111" s="379" t="s">
        <v>336</v>
      </c>
      <c r="M111" s="379" t="s">
        <v>331</v>
      </c>
      <c r="N111" s="379" t="s">
        <v>332</v>
      </c>
      <c r="P111" s="379">
        <f t="shared" si="2"/>
        <v>110</v>
      </c>
      <c r="Q111" s="445" t="str">
        <f t="shared" ref="Q111:X111" si="132">+RIGHT(G111,1)</f>
        <v>H</v>
      </c>
      <c r="R111" s="436" t="str">
        <f t="shared" si="132"/>
        <v>J</v>
      </c>
      <c r="S111" s="436" t="str">
        <f t="shared" si="132"/>
        <v>B</v>
      </c>
      <c r="T111" s="436" t="str">
        <f t="shared" si="132"/>
        <v>C</v>
      </c>
      <c r="U111" s="436" t="str">
        <f t="shared" si="132"/>
        <v>I</v>
      </c>
      <c r="V111" s="436" t="str">
        <f t="shared" si="132"/>
        <v>D</v>
      </c>
      <c r="W111" s="436" t="str">
        <f t="shared" si="132"/>
        <v>L</v>
      </c>
      <c r="X111" s="436" t="str">
        <f t="shared" si="132"/>
        <v>K</v>
      </c>
      <c r="Y111" s="446">
        <f t="shared" ca="1" si="4"/>
        <v>5</v>
      </c>
    </row>
    <row r="112" spans="1:25" ht="14.25" customHeight="1" x14ac:dyDescent="0.25">
      <c r="A112" s="379" t="s">
        <v>447</v>
      </c>
      <c r="F112" s="379">
        <v>111</v>
      </c>
      <c r="G112" s="379" t="s">
        <v>327</v>
      </c>
      <c r="H112" s="379" t="s">
        <v>330</v>
      </c>
      <c r="I112" s="379" t="s">
        <v>337</v>
      </c>
      <c r="J112" s="379" t="s">
        <v>339</v>
      </c>
      <c r="K112" s="379" t="s">
        <v>326</v>
      </c>
      <c r="L112" s="379" t="s">
        <v>336</v>
      </c>
      <c r="M112" s="379" t="s">
        <v>331</v>
      </c>
      <c r="N112" s="379" t="s">
        <v>332</v>
      </c>
      <c r="P112" s="379">
        <f t="shared" si="2"/>
        <v>111</v>
      </c>
      <c r="Q112" s="445" t="str">
        <f t="shared" ref="Q112:X112" si="133">+RIGHT(G112,1)</f>
        <v>I</v>
      </c>
      <c r="R112" s="436" t="str">
        <f t="shared" si="133"/>
        <v>G</v>
      </c>
      <c r="S112" s="436" t="str">
        <f t="shared" si="133"/>
        <v>B</v>
      </c>
      <c r="T112" s="436" t="str">
        <f t="shared" si="133"/>
        <v>C</v>
      </c>
      <c r="U112" s="436" t="str">
        <f t="shared" si="133"/>
        <v>J</v>
      </c>
      <c r="V112" s="436" t="str">
        <f t="shared" si="133"/>
        <v>D</v>
      </c>
      <c r="W112" s="436" t="str">
        <f t="shared" si="133"/>
        <v>L</v>
      </c>
      <c r="X112" s="436" t="str">
        <f t="shared" si="133"/>
        <v>K</v>
      </c>
      <c r="Y112" s="446">
        <f t="shared" ca="1" si="4"/>
        <v>5</v>
      </c>
    </row>
    <row r="113" spans="1:25" ht="14.25" customHeight="1" x14ac:dyDescent="0.25">
      <c r="A113" s="379" t="s">
        <v>448</v>
      </c>
      <c r="F113" s="379">
        <v>112</v>
      </c>
      <c r="G113" s="379" t="s">
        <v>329</v>
      </c>
      <c r="H113" s="379" t="s">
        <v>330</v>
      </c>
      <c r="I113" s="379" t="s">
        <v>337</v>
      </c>
      <c r="J113" s="379" t="s">
        <v>339</v>
      </c>
      <c r="K113" s="379" t="s">
        <v>326</v>
      </c>
      <c r="L113" s="379" t="s">
        <v>336</v>
      </c>
      <c r="M113" s="379" t="s">
        <v>331</v>
      </c>
      <c r="N113" s="379" t="s">
        <v>332</v>
      </c>
      <c r="P113" s="379">
        <f t="shared" si="2"/>
        <v>112</v>
      </c>
      <c r="Q113" s="445" t="str">
        <f t="shared" ref="Q113:X113" si="134">+RIGHT(G113,1)</f>
        <v>H</v>
      </c>
      <c r="R113" s="436" t="str">
        <f t="shared" si="134"/>
        <v>G</v>
      </c>
      <c r="S113" s="436" t="str">
        <f t="shared" si="134"/>
        <v>B</v>
      </c>
      <c r="T113" s="436" t="str">
        <f t="shared" si="134"/>
        <v>C</v>
      </c>
      <c r="U113" s="436" t="str">
        <f t="shared" si="134"/>
        <v>J</v>
      </c>
      <c r="V113" s="436" t="str">
        <f t="shared" si="134"/>
        <v>D</v>
      </c>
      <c r="W113" s="436" t="str">
        <f t="shared" si="134"/>
        <v>L</v>
      </c>
      <c r="X113" s="436" t="str">
        <f t="shared" si="134"/>
        <v>K</v>
      </c>
      <c r="Y113" s="446">
        <f t="shared" ca="1" si="4"/>
        <v>5</v>
      </c>
    </row>
    <row r="114" spans="1:25" ht="14.25" customHeight="1" x14ac:dyDescent="0.25">
      <c r="A114" s="379" t="s">
        <v>449</v>
      </c>
      <c r="F114" s="379">
        <v>113</v>
      </c>
      <c r="G114" s="379" t="s">
        <v>329</v>
      </c>
      <c r="H114" s="379" t="s">
        <v>330</v>
      </c>
      <c r="I114" s="379" t="s">
        <v>337</v>
      </c>
      <c r="J114" s="379" t="s">
        <v>339</v>
      </c>
      <c r="K114" s="379" t="s">
        <v>327</v>
      </c>
      <c r="L114" s="379" t="s">
        <v>336</v>
      </c>
      <c r="M114" s="379" t="s">
        <v>331</v>
      </c>
      <c r="N114" s="379" t="s">
        <v>332</v>
      </c>
      <c r="P114" s="379">
        <f t="shared" si="2"/>
        <v>113</v>
      </c>
      <c r="Q114" s="445" t="str">
        <f t="shared" ref="Q114:X114" si="135">+RIGHT(G114,1)</f>
        <v>H</v>
      </c>
      <c r="R114" s="436" t="str">
        <f t="shared" si="135"/>
        <v>G</v>
      </c>
      <c r="S114" s="436" t="str">
        <f t="shared" si="135"/>
        <v>B</v>
      </c>
      <c r="T114" s="436" t="str">
        <f t="shared" si="135"/>
        <v>C</v>
      </c>
      <c r="U114" s="436" t="str">
        <f t="shared" si="135"/>
        <v>I</v>
      </c>
      <c r="V114" s="436" t="str">
        <f t="shared" si="135"/>
        <v>D</v>
      </c>
      <c r="W114" s="436" t="str">
        <f t="shared" si="135"/>
        <v>L</v>
      </c>
      <c r="X114" s="436" t="str">
        <f t="shared" si="135"/>
        <v>K</v>
      </c>
      <c r="Y114" s="446">
        <f t="shared" ca="1" si="4"/>
        <v>6</v>
      </c>
    </row>
    <row r="115" spans="1:25" ht="14.25" customHeight="1" x14ac:dyDescent="0.25">
      <c r="A115" s="379" t="s">
        <v>450</v>
      </c>
      <c r="F115" s="379">
        <v>114</v>
      </c>
      <c r="G115" s="379" t="s">
        <v>329</v>
      </c>
      <c r="H115" s="379" t="s">
        <v>330</v>
      </c>
      <c r="I115" s="379" t="s">
        <v>337</v>
      </c>
      <c r="J115" s="379" t="s">
        <v>339</v>
      </c>
      <c r="K115" s="379" t="s">
        <v>326</v>
      </c>
      <c r="L115" s="379" t="s">
        <v>336</v>
      </c>
      <c r="M115" s="379" t="s">
        <v>331</v>
      </c>
      <c r="N115" s="379" t="s">
        <v>327</v>
      </c>
      <c r="P115" s="379">
        <f t="shared" si="2"/>
        <v>114</v>
      </c>
      <c r="Q115" s="445" t="str">
        <f t="shared" ref="Q115:X115" si="136">+RIGHT(G115,1)</f>
        <v>H</v>
      </c>
      <c r="R115" s="436" t="str">
        <f t="shared" si="136"/>
        <v>G</v>
      </c>
      <c r="S115" s="436" t="str">
        <f t="shared" si="136"/>
        <v>B</v>
      </c>
      <c r="T115" s="436" t="str">
        <f t="shared" si="136"/>
        <v>C</v>
      </c>
      <c r="U115" s="436" t="str">
        <f t="shared" si="136"/>
        <v>J</v>
      </c>
      <c r="V115" s="436" t="str">
        <f t="shared" si="136"/>
        <v>D</v>
      </c>
      <c r="W115" s="436" t="str">
        <f t="shared" si="136"/>
        <v>L</v>
      </c>
      <c r="X115" s="436" t="str">
        <f t="shared" si="136"/>
        <v>I</v>
      </c>
      <c r="Y115" s="446">
        <f t="shared" ca="1" si="4"/>
        <v>6</v>
      </c>
    </row>
    <row r="116" spans="1:25" ht="14.25" customHeight="1" x14ac:dyDescent="0.25">
      <c r="A116" s="379" t="s">
        <v>451</v>
      </c>
      <c r="F116" s="379">
        <v>115</v>
      </c>
      <c r="G116" s="379" t="s">
        <v>329</v>
      </c>
      <c r="H116" s="379" t="s">
        <v>330</v>
      </c>
      <c r="I116" s="379" t="s">
        <v>337</v>
      </c>
      <c r="J116" s="379" t="s">
        <v>339</v>
      </c>
      <c r="K116" s="379" t="s">
        <v>326</v>
      </c>
      <c r="L116" s="379" t="s">
        <v>336</v>
      </c>
      <c r="M116" s="379" t="s">
        <v>327</v>
      </c>
      <c r="N116" s="379" t="s">
        <v>332</v>
      </c>
      <c r="P116" s="379">
        <f t="shared" si="2"/>
        <v>115</v>
      </c>
      <c r="Q116" s="445" t="str">
        <f t="shared" ref="Q116:X116" si="137">+RIGHT(G116,1)</f>
        <v>H</v>
      </c>
      <c r="R116" s="436" t="str">
        <f t="shared" si="137"/>
        <v>G</v>
      </c>
      <c r="S116" s="436" t="str">
        <f t="shared" si="137"/>
        <v>B</v>
      </c>
      <c r="T116" s="436" t="str">
        <f t="shared" si="137"/>
        <v>C</v>
      </c>
      <c r="U116" s="436" t="str">
        <f t="shared" si="137"/>
        <v>J</v>
      </c>
      <c r="V116" s="436" t="str">
        <f t="shared" si="137"/>
        <v>D</v>
      </c>
      <c r="W116" s="436" t="str">
        <f t="shared" si="137"/>
        <v>I</v>
      </c>
      <c r="X116" s="436" t="str">
        <f t="shared" si="137"/>
        <v>K</v>
      </c>
      <c r="Y116" s="446">
        <f t="shared" ca="1" si="4"/>
        <v>5</v>
      </c>
    </row>
    <row r="117" spans="1:25" ht="14.25" customHeight="1" x14ac:dyDescent="0.25">
      <c r="A117" s="379" t="s">
        <v>452</v>
      </c>
      <c r="F117" s="379">
        <v>116</v>
      </c>
      <c r="G117" s="379" t="s">
        <v>339</v>
      </c>
      <c r="H117" s="379" t="s">
        <v>326</v>
      </c>
      <c r="I117" s="379" t="s">
        <v>337</v>
      </c>
      <c r="J117" s="379" t="s">
        <v>336</v>
      </c>
      <c r="K117" s="379" t="s">
        <v>327</v>
      </c>
      <c r="L117" s="379" t="s">
        <v>328</v>
      </c>
      <c r="M117" s="379" t="s">
        <v>331</v>
      </c>
      <c r="N117" s="379" t="s">
        <v>332</v>
      </c>
      <c r="P117" s="379">
        <f t="shared" si="2"/>
        <v>116</v>
      </c>
      <c r="Q117" s="445" t="str">
        <f t="shared" ref="Q117:X117" si="138">+RIGHT(G117,1)</f>
        <v>C</v>
      </c>
      <c r="R117" s="436" t="str">
        <f t="shared" si="138"/>
        <v>J</v>
      </c>
      <c r="S117" s="436" t="str">
        <f t="shared" si="138"/>
        <v>B</v>
      </c>
      <c r="T117" s="436" t="str">
        <f t="shared" si="138"/>
        <v>D</v>
      </c>
      <c r="U117" s="436" t="str">
        <f t="shared" si="138"/>
        <v>I</v>
      </c>
      <c r="V117" s="436" t="str">
        <f t="shared" si="138"/>
        <v>F</v>
      </c>
      <c r="W117" s="436" t="str">
        <f t="shared" si="138"/>
        <v>L</v>
      </c>
      <c r="X117" s="436" t="str">
        <f t="shared" si="138"/>
        <v>K</v>
      </c>
      <c r="Y117" s="446">
        <f t="shared" ca="1" si="4"/>
        <v>5</v>
      </c>
    </row>
    <row r="118" spans="1:25" ht="14.25" customHeight="1" x14ac:dyDescent="0.25">
      <c r="A118" s="379" t="s">
        <v>453</v>
      </c>
      <c r="F118" s="379">
        <v>117</v>
      </c>
      <c r="G118" s="379" t="s">
        <v>339</v>
      </c>
      <c r="H118" s="379" t="s">
        <v>326</v>
      </c>
      <c r="I118" s="379" t="s">
        <v>337</v>
      </c>
      <c r="J118" s="379" t="s">
        <v>336</v>
      </c>
      <c r="K118" s="379" t="s">
        <v>329</v>
      </c>
      <c r="L118" s="379" t="s">
        <v>328</v>
      </c>
      <c r="M118" s="379" t="s">
        <v>331</v>
      </c>
      <c r="N118" s="379" t="s">
        <v>332</v>
      </c>
      <c r="P118" s="379">
        <f t="shared" si="2"/>
        <v>117</v>
      </c>
      <c r="Q118" s="445" t="str">
        <f t="shared" ref="Q118:X118" si="139">+RIGHT(G118,1)</f>
        <v>C</v>
      </c>
      <c r="R118" s="436" t="str">
        <f t="shared" si="139"/>
        <v>J</v>
      </c>
      <c r="S118" s="436" t="str">
        <f t="shared" si="139"/>
        <v>B</v>
      </c>
      <c r="T118" s="436" t="str">
        <f t="shared" si="139"/>
        <v>D</v>
      </c>
      <c r="U118" s="436" t="str">
        <f t="shared" si="139"/>
        <v>H</v>
      </c>
      <c r="V118" s="436" t="str">
        <f t="shared" si="139"/>
        <v>F</v>
      </c>
      <c r="W118" s="436" t="str">
        <f t="shared" si="139"/>
        <v>L</v>
      </c>
      <c r="X118" s="436" t="str">
        <f t="shared" si="139"/>
        <v>K</v>
      </c>
      <c r="Y118" s="446">
        <f t="shared" ca="1" si="4"/>
        <v>5</v>
      </c>
    </row>
    <row r="119" spans="1:25" ht="14.25" customHeight="1" x14ac:dyDescent="0.25">
      <c r="A119" s="379" t="s">
        <v>454</v>
      </c>
      <c r="F119" s="379">
        <v>118</v>
      </c>
      <c r="G119" s="379" t="s">
        <v>339</v>
      </c>
      <c r="H119" s="379" t="s">
        <v>327</v>
      </c>
      <c r="I119" s="379" t="s">
        <v>337</v>
      </c>
      <c r="J119" s="379" t="s">
        <v>336</v>
      </c>
      <c r="K119" s="379" t="s">
        <v>329</v>
      </c>
      <c r="L119" s="379" t="s">
        <v>328</v>
      </c>
      <c r="M119" s="379" t="s">
        <v>331</v>
      </c>
      <c r="N119" s="379" t="s">
        <v>332</v>
      </c>
      <c r="P119" s="379">
        <f t="shared" si="2"/>
        <v>118</v>
      </c>
      <c r="Q119" s="445" t="str">
        <f t="shared" ref="Q119:X119" si="140">+RIGHT(G119,1)</f>
        <v>C</v>
      </c>
      <c r="R119" s="436" t="str">
        <f t="shared" si="140"/>
        <v>I</v>
      </c>
      <c r="S119" s="436" t="str">
        <f t="shared" si="140"/>
        <v>B</v>
      </c>
      <c r="T119" s="436" t="str">
        <f t="shared" si="140"/>
        <v>D</v>
      </c>
      <c r="U119" s="436" t="str">
        <f t="shared" si="140"/>
        <v>H</v>
      </c>
      <c r="V119" s="436" t="str">
        <f t="shared" si="140"/>
        <v>F</v>
      </c>
      <c r="W119" s="436" t="str">
        <f t="shared" si="140"/>
        <v>L</v>
      </c>
      <c r="X119" s="436" t="str">
        <f t="shared" si="140"/>
        <v>K</v>
      </c>
      <c r="Y119" s="446">
        <f t="shared" ca="1" si="4"/>
        <v>6</v>
      </c>
    </row>
    <row r="120" spans="1:25" ht="14.25" customHeight="1" x14ac:dyDescent="0.25">
      <c r="A120" s="379" t="s">
        <v>455</v>
      </c>
      <c r="F120" s="379">
        <v>119</v>
      </c>
      <c r="G120" s="379" t="s">
        <v>339</v>
      </c>
      <c r="H120" s="379" t="s">
        <v>326</v>
      </c>
      <c r="I120" s="379" t="s">
        <v>337</v>
      </c>
      <c r="J120" s="379" t="s">
        <v>336</v>
      </c>
      <c r="K120" s="379" t="s">
        <v>329</v>
      </c>
      <c r="L120" s="379" t="s">
        <v>328</v>
      </c>
      <c r="M120" s="379" t="s">
        <v>331</v>
      </c>
      <c r="N120" s="379" t="s">
        <v>327</v>
      </c>
      <c r="P120" s="379">
        <f t="shared" si="2"/>
        <v>119</v>
      </c>
      <c r="Q120" s="445" t="str">
        <f t="shared" ref="Q120:X120" si="141">+RIGHT(G120,1)</f>
        <v>C</v>
      </c>
      <c r="R120" s="436" t="str">
        <f t="shared" si="141"/>
        <v>J</v>
      </c>
      <c r="S120" s="436" t="str">
        <f t="shared" si="141"/>
        <v>B</v>
      </c>
      <c r="T120" s="436" t="str">
        <f t="shared" si="141"/>
        <v>D</v>
      </c>
      <c r="U120" s="436" t="str">
        <f t="shared" si="141"/>
        <v>H</v>
      </c>
      <c r="V120" s="436" t="str">
        <f t="shared" si="141"/>
        <v>F</v>
      </c>
      <c r="W120" s="436" t="str">
        <f t="shared" si="141"/>
        <v>L</v>
      </c>
      <c r="X120" s="436" t="str">
        <f t="shared" si="141"/>
        <v>I</v>
      </c>
      <c r="Y120" s="446">
        <f t="shared" ca="1" si="4"/>
        <v>6</v>
      </c>
    </row>
    <row r="121" spans="1:25" ht="14.25" customHeight="1" x14ac:dyDescent="0.25">
      <c r="A121" s="379" t="s">
        <v>456</v>
      </c>
      <c r="F121" s="379">
        <v>120</v>
      </c>
      <c r="G121" s="379" t="s">
        <v>339</v>
      </c>
      <c r="H121" s="379" t="s">
        <v>326</v>
      </c>
      <c r="I121" s="379" t="s">
        <v>337</v>
      </c>
      <c r="J121" s="379" t="s">
        <v>336</v>
      </c>
      <c r="K121" s="379" t="s">
        <v>329</v>
      </c>
      <c r="L121" s="379" t="s">
        <v>328</v>
      </c>
      <c r="M121" s="379" t="s">
        <v>327</v>
      </c>
      <c r="N121" s="379" t="s">
        <v>332</v>
      </c>
      <c r="P121" s="379">
        <f t="shared" si="2"/>
        <v>120</v>
      </c>
      <c r="Q121" s="445" t="str">
        <f t="shared" ref="Q121:X121" si="142">+RIGHT(G121,1)</f>
        <v>C</v>
      </c>
      <c r="R121" s="436" t="str">
        <f t="shared" si="142"/>
        <v>J</v>
      </c>
      <c r="S121" s="436" t="str">
        <f t="shared" si="142"/>
        <v>B</v>
      </c>
      <c r="T121" s="436" t="str">
        <f t="shared" si="142"/>
        <v>D</v>
      </c>
      <c r="U121" s="436" t="str">
        <f t="shared" si="142"/>
        <v>H</v>
      </c>
      <c r="V121" s="436" t="str">
        <f t="shared" si="142"/>
        <v>F</v>
      </c>
      <c r="W121" s="436" t="str">
        <f t="shared" si="142"/>
        <v>I</v>
      </c>
      <c r="X121" s="436" t="str">
        <f t="shared" si="142"/>
        <v>K</v>
      </c>
      <c r="Y121" s="446">
        <f t="shared" ca="1" si="4"/>
        <v>5</v>
      </c>
    </row>
    <row r="122" spans="1:25" ht="14.25" customHeight="1" x14ac:dyDescent="0.25">
      <c r="A122" s="379" t="s">
        <v>457</v>
      </c>
      <c r="F122" s="379">
        <v>121</v>
      </c>
      <c r="G122" s="379" t="s">
        <v>339</v>
      </c>
      <c r="H122" s="379" t="s">
        <v>330</v>
      </c>
      <c r="I122" s="379" t="s">
        <v>337</v>
      </c>
      <c r="J122" s="379" t="s">
        <v>336</v>
      </c>
      <c r="K122" s="379" t="s">
        <v>326</v>
      </c>
      <c r="L122" s="379" t="s">
        <v>328</v>
      </c>
      <c r="M122" s="379" t="s">
        <v>331</v>
      </c>
      <c r="N122" s="379" t="s">
        <v>332</v>
      </c>
      <c r="P122" s="379">
        <f t="shared" si="2"/>
        <v>121</v>
      </c>
      <c r="Q122" s="445" t="str">
        <f t="shared" ref="Q122:X122" si="143">+RIGHT(G122,1)</f>
        <v>C</v>
      </c>
      <c r="R122" s="436" t="str">
        <f t="shared" si="143"/>
        <v>G</v>
      </c>
      <c r="S122" s="436" t="str">
        <f t="shared" si="143"/>
        <v>B</v>
      </c>
      <c r="T122" s="436" t="str">
        <f t="shared" si="143"/>
        <v>D</v>
      </c>
      <c r="U122" s="436" t="str">
        <f t="shared" si="143"/>
        <v>J</v>
      </c>
      <c r="V122" s="436" t="str">
        <f t="shared" si="143"/>
        <v>F</v>
      </c>
      <c r="W122" s="436" t="str">
        <f t="shared" si="143"/>
        <v>L</v>
      </c>
      <c r="X122" s="436" t="str">
        <f t="shared" si="143"/>
        <v>K</v>
      </c>
      <c r="Y122" s="446">
        <f t="shared" ca="1" si="4"/>
        <v>5</v>
      </c>
    </row>
    <row r="123" spans="1:25" ht="14.25" customHeight="1" x14ac:dyDescent="0.25">
      <c r="A123" s="379" t="s">
        <v>458</v>
      </c>
      <c r="F123" s="379">
        <v>122</v>
      </c>
      <c r="G123" s="379" t="s">
        <v>339</v>
      </c>
      <c r="H123" s="379" t="s">
        <v>330</v>
      </c>
      <c r="I123" s="379" t="s">
        <v>337</v>
      </c>
      <c r="J123" s="379" t="s">
        <v>336</v>
      </c>
      <c r="K123" s="379" t="s">
        <v>327</v>
      </c>
      <c r="L123" s="379" t="s">
        <v>328</v>
      </c>
      <c r="M123" s="379" t="s">
        <v>331</v>
      </c>
      <c r="N123" s="379" t="s">
        <v>332</v>
      </c>
      <c r="P123" s="379">
        <f t="shared" si="2"/>
        <v>122</v>
      </c>
      <c r="Q123" s="445" t="str">
        <f t="shared" ref="Q123:X123" si="144">+RIGHT(G123,1)</f>
        <v>C</v>
      </c>
      <c r="R123" s="436" t="str">
        <f t="shared" si="144"/>
        <v>G</v>
      </c>
      <c r="S123" s="436" t="str">
        <f t="shared" si="144"/>
        <v>B</v>
      </c>
      <c r="T123" s="436" t="str">
        <f t="shared" si="144"/>
        <v>D</v>
      </c>
      <c r="U123" s="436" t="str">
        <f t="shared" si="144"/>
        <v>I</v>
      </c>
      <c r="V123" s="436" t="str">
        <f t="shared" si="144"/>
        <v>F</v>
      </c>
      <c r="W123" s="436" t="str">
        <f t="shared" si="144"/>
        <v>L</v>
      </c>
      <c r="X123" s="436" t="str">
        <f t="shared" si="144"/>
        <v>K</v>
      </c>
      <c r="Y123" s="446">
        <f t="shared" ca="1" si="4"/>
        <v>6</v>
      </c>
    </row>
    <row r="124" spans="1:25" ht="14.25" customHeight="1" x14ac:dyDescent="0.25">
      <c r="A124" s="379" t="s">
        <v>459</v>
      </c>
      <c r="F124" s="379">
        <v>123</v>
      </c>
      <c r="G124" s="379" t="s">
        <v>339</v>
      </c>
      <c r="H124" s="379" t="s">
        <v>330</v>
      </c>
      <c r="I124" s="379" t="s">
        <v>337</v>
      </c>
      <c r="J124" s="379" t="s">
        <v>336</v>
      </c>
      <c r="K124" s="379" t="s">
        <v>326</v>
      </c>
      <c r="L124" s="379" t="s">
        <v>328</v>
      </c>
      <c r="M124" s="379" t="s">
        <v>331</v>
      </c>
      <c r="N124" s="379" t="s">
        <v>327</v>
      </c>
      <c r="P124" s="379">
        <f t="shared" si="2"/>
        <v>123</v>
      </c>
      <c r="Q124" s="445" t="str">
        <f t="shared" ref="Q124:X124" si="145">+RIGHT(G124,1)</f>
        <v>C</v>
      </c>
      <c r="R124" s="436" t="str">
        <f t="shared" si="145"/>
        <v>G</v>
      </c>
      <c r="S124" s="436" t="str">
        <f t="shared" si="145"/>
        <v>B</v>
      </c>
      <c r="T124" s="436" t="str">
        <f t="shared" si="145"/>
        <v>D</v>
      </c>
      <c r="U124" s="436" t="str">
        <f t="shared" si="145"/>
        <v>J</v>
      </c>
      <c r="V124" s="436" t="str">
        <f t="shared" si="145"/>
        <v>F</v>
      </c>
      <c r="W124" s="436" t="str">
        <f t="shared" si="145"/>
        <v>L</v>
      </c>
      <c r="X124" s="436" t="str">
        <f t="shared" si="145"/>
        <v>I</v>
      </c>
      <c r="Y124" s="446">
        <f t="shared" ca="1" si="4"/>
        <v>6</v>
      </c>
    </row>
    <row r="125" spans="1:25" ht="14.25" customHeight="1" x14ac:dyDescent="0.25">
      <c r="A125" s="379" t="s">
        <v>460</v>
      </c>
      <c r="F125" s="379">
        <v>124</v>
      </c>
      <c r="G125" s="379" t="s">
        <v>339</v>
      </c>
      <c r="H125" s="379" t="s">
        <v>330</v>
      </c>
      <c r="I125" s="379" t="s">
        <v>337</v>
      </c>
      <c r="J125" s="379" t="s">
        <v>336</v>
      </c>
      <c r="K125" s="379" t="s">
        <v>326</v>
      </c>
      <c r="L125" s="379" t="s">
        <v>328</v>
      </c>
      <c r="M125" s="379" t="s">
        <v>327</v>
      </c>
      <c r="N125" s="379" t="s">
        <v>332</v>
      </c>
      <c r="P125" s="379">
        <f t="shared" si="2"/>
        <v>124</v>
      </c>
      <c r="Q125" s="445" t="str">
        <f t="shared" ref="Q125:X125" si="146">+RIGHT(G125,1)</f>
        <v>C</v>
      </c>
      <c r="R125" s="436" t="str">
        <f t="shared" si="146"/>
        <v>G</v>
      </c>
      <c r="S125" s="436" t="str">
        <f t="shared" si="146"/>
        <v>B</v>
      </c>
      <c r="T125" s="436" t="str">
        <f t="shared" si="146"/>
        <v>D</v>
      </c>
      <c r="U125" s="436" t="str">
        <f t="shared" si="146"/>
        <v>J</v>
      </c>
      <c r="V125" s="436" t="str">
        <f t="shared" si="146"/>
        <v>F</v>
      </c>
      <c r="W125" s="436" t="str">
        <f t="shared" si="146"/>
        <v>I</v>
      </c>
      <c r="X125" s="436" t="str">
        <f t="shared" si="146"/>
        <v>K</v>
      </c>
      <c r="Y125" s="446">
        <f t="shared" ca="1" si="4"/>
        <v>5</v>
      </c>
    </row>
    <row r="126" spans="1:25" ht="14.25" customHeight="1" x14ac:dyDescent="0.25">
      <c r="A126" s="379" t="s">
        <v>461</v>
      </c>
      <c r="F126" s="379">
        <v>125</v>
      </c>
      <c r="G126" s="379" t="s">
        <v>339</v>
      </c>
      <c r="H126" s="379" t="s">
        <v>330</v>
      </c>
      <c r="I126" s="379" t="s">
        <v>337</v>
      </c>
      <c r="J126" s="379" t="s">
        <v>336</v>
      </c>
      <c r="K126" s="379" t="s">
        <v>329</v>
      </c>
      <c r="L126" s="379" t="s">
        <v>328</v>
      </c>
      <c r="M126" s="379" t="s">
        <v>331</v>
      </c>
      <c r="N126" s="379" t="s">
        <v>332</v>
      </c>
      <c r="P126" s="379">
        <f t="shared" si="2"/>
        <v>125</v>
      </c>
      <c r="Q126" s="445" t="str">
        <f t="shared" ref="Q126:X126" si="147">+RIGHT(G126,1)</f>
        <v>C</v>
      </c>
      <c r="R126" s="436" t="str">
        <f t="shared" si="147"/>
        <v>G</v>
      </c>
      <c r="S126" s="436" t="str">
        <f t="shared" si="147"/>
        <v>B</v>
      </c>
      <c r="T126" s="436" t="str">
        <f t="shared" si="147"/>
        <v>D</v>
      </c>
      <c r="U126" s="436" t="str">
        <f t="shared" si="147"/>
        <v>H</v>
      </c>
      <c r="V126" s="436" t="str">
        <f t="shared" si="147"/>
        <v>F</v>
      </c>
      <c r="W126" s="436" t="str">
        <f t="shared" si="147"/>
        <v>L</v>
      </c>
      <c r="X126" s="436" t="str">
        <f t="shared" si="147"/>
        <v>K</v>
      </c>
      <c r="Y126" s="446">
        <f t="shared" ca="1" si="4"/>
        <v>6</v>
      </c>
    </row>
    <row r="127" spans="1:25" ht="14.25" customHeight="1" x14ac:dyDescent="0.25">
      <c r="A127" s="379" t="s">
        <v>462</v>
      </c>
      <c r="F127" s="379">
        <v>126</v>
      </c>
      <c r="G127" s="379" t="s">
        <v>339</v>
      </c>
      <c r="H127" s="379" t="s">
        <v>330</v>
      </c>
      <c r="I127" s="379" t="s">
        <v>337</v>
      </c>
      <c r="J127" s="379" t="s">
        <v>336</v>
      </c>
      <c r="K127" s="379" t="s">
        <v>329</v>
      </c>
      <c r="L127" s="379" t="s">
        <v>328</v>
      </c>
      <c r="M127" s="379" t="s">
        <v>331</v>
      </c>
      <c r="N127" s="379" t="s">
        <v>326</v>
      </c>
      <c r="P127" s="379">
        <f t="shared" si="2"/>
        <v>126</v>
      </c>
      <c r="Q127" s="445" t="str">
        <f t="shared" ref="Q127:X127" si="148">+RIGHT(G127,1)</f>
        <v>C</v>
      </c>
      <c r="R127" s="436" t="str">
        <f t="shared" si="148"/>
        <v>G</v>
      </c>
      <c r="S127" s="436" t="str">
        <f t="shared" si="148"/>
        <v>B</v>
      </c>
      <c r="T127" s="436" t="str">
        <f t="shared" si="148"/>
        <v>D</v>
      </c>
      <c r="U127" s="436" t="str">
        <f t="shared" si="148"/>
        <v>H</v>
      </c>
      <c r="V127" s="436" t="str">
        <f t="shared" si="148"/>
        <v>F</v>
      </c>
      <c r="W127" s="436" t="str">
        <f t="shared" si="148"/>
        <v>L</v>
      </c>
      <c r="X127" s="436" t="str">
        <f t="shared" si="148"/>
        <v>J</v>
      </c>
      <c r="Y127" s="446">
        <f t="shared" ca="1" si="4"/>
        <v>6</v>
      </c>
    </row>
    <row r="128" spans="1:25" ht="14.25" customHeight="1" x14ac:dyDescent="0.25">
      <c r="A128" s="379" t="s">
        <v>463</v>
      </c>
      <c r="F128" s="379">
        <v>127</v>
      </c>
      <c r="G128" s="379" t="s">
        <v>329</v>
      </c>
      <c r="H128" s="379" t="s">
        <v>330</v>
      </c>
      <c r="I128" s="379" t="s">
        <v>337</v>
      </c>
      <c r="J128" s="379" t="s">
        <v>339</v>
      </c>
      <c r="K128" s="379" t="s">
        <v>326</v>
      </c>
      <c r="L128" s="379" t="s">
        <v>328</v>
      </c>
      <c r="M128" s="379" t="s">
        <v>336</v>
      </c>
      <c r="N128" s="379" t="s">
        <v>332</v>
      </c>
      <c r="P128" s="379">
        <f t="shared" si="2"/>
        <v>127</v>
      </c>
      <c r="Q128" s="445" t="str">
        <f t="shared" ref="Q128:X128" si="149">+RIGHT(G128,1)</f>
        <v>H</v>
      </c>
      <c r="R128" s="436" t="str">
        <f t="shared" si="149"/>
        <v>G</v>
      </c>
      <c r="S128" s="436" t="str">
        <f t="shared" si="149"/>
        <v>B</v>
      </c>
      <c r="T128" s="436" t="str">
        <f t="shared" si="149"/>
        <v>C</v>
      </c>
      <c r="U128" s="436" t="str">
        <f t="shared" si="149"/>
        <v>J</v>
      </c>
      <c r="V128" s="436" t="str">
        <f t="shared" si="149"/>
        <v>F</v>
      </c>
      <c r="W128" s="436" t="str">
        <f t="shared" si="149"/>
        <v>D</v>
      </c>
      <c r="X128" s="436" t="str">
        <f t="shared" si="149"/>
        <v>K</v>
      </c>
      <c r="Y128" s="446">
        <f t="shared" ca="1" si="4"/>
        <v>5</v>
      </c>
    </row>
    <row r="129" spans="1:25" ht="14.25" customHeight="1" x14ac:dyDescent="0.25">
      <c r="A129" s="379" t="s">
        <v>464</v>
      </c>
      <c r="F129" s="379">
        <v>128</v>
      </c>
      <c r="G129" s="379" t="s">
        <v>339</v>
      </c>
      <c r="H129" s="379" t="s">
        <v>330</v>
      </c>
      <c r="I129" s="379" t="s">
        <v>337</v>
      </c>
      <c r="J129" s="379" t="s">
        <v>336</v>
      </c>
      <c r="K129" s="379" t="s">
        <v>329</v>
      </c>
      <c r="L129" s="379" t="s">
        <v>328</v>
      </c>
      <c r="M129" s="379" t="s">
        <v>331</v>
      </c>
      <c r="N129" s="379" t="s">
        <v>327</v>
      </c>
      <c r="P129" s="379">
        <f t="shared" si="2"/>
        <v>128</v>
      </c>
      <c r="Q129" s="445" t="str">
        <f t="shared" ref="Q129:X129" si="150">+RIGHT(G129,1)</f>
        <v>C</v>
      </c>
      <c r="R129" s="436" t="str">
        <f t="shared" si="150"/>
        <v>G</v>
      </c>
      <c r="S129" s="436" t="str">
        <f t="shared" si="150"/>
        <v>B</v>
      </c>
      <c r="T129" s="436" t="str">
        <f t="shared" si="150"/>
        <v>D</v>
      </c>
      <c r="U129" s="436" t="str">
        <f t="shared" si="150"/>
        <v>H</v>
      </c>
      <c r="V129" s="436" t="str">
        <f t="shared" si="150"/>
        <v>F</v>
      </c>
      <c r="W129" s="436" t="str">
        <f t="shared" si="150"/>
        <v>L</v>
      </c>
      <c r="X129" s="436" t="str">
        <f t="shared" si="150"/>
        <v>I</v>
      </c>
      <c r="Y129" s="446">
        <f t="shared" ca="1" si="4"/>
        <v>7</v>
      </c>
    </row>
    <row r="130" spans="1:25" ht="14.25" customHeight="1" x14ac:dyDescent="0.25">
      <c r="A130" s="379" t="s">
        <v>465</v>
      </c>
      <c r="F130" s="379">
        <v>129</v>
      </c>
      <c r="G130" s="379" t="s">
        <v>339</v>
      </c>
      <c r="H130" s="379" t="s">
        <v>330</v>
      </c>
      <c r="I130" s="379" t="s">
        <v>337</v>
      </c>
      <c r="J130" s="379" t="s">
        <v>336</v>
      </c>
      <c r="K130" s="379" t="s">
        <v>329</v>
      </c>
      <c r="L130" s="379" t="s">
        <v>328</v>
      </c>
      <c r="M130" s="379" t="s">
        <v>327</v>
      </c>
      <c r="N130" s="379" t="s">
        <v>332</v>
      </c>
      <c r="P130" s="379">
        <f t="shared" si="2"/>
        <v>129</v>
      </c>
      <c r="Q130" s="445" t="str">
        <f t="shared" ref="Q130:X130" si="151">+RIGHT(G130,1)</f>
        <v>C</v>
      </c>
      <c r="R130" s="436" t="str">
        <f t="shared" si="151"/>
        <v>G</v>
      </c>
      <c r="S130" s="436" t="str">
        <f t="shared" si="151"/>
        <v>B</v>
      </c>
      <c r="T130" s="436" t="str">
        <f t="shared" si="151"/>
        <v>D</v>
      </c>
      <c r="U130" s="436" t="str">
        <f t="shared" si="151"/>
        <v>H</v>
      </c>
      <c r="V130" s="436" t="str">
        <f t="shared" si="151"/>
        <v>F</v>
      </c>
      <c r="W130" s="436" t="str">
        <f t="shared" si="151"/>
        <v>I</v>
      </c>
      <c r="X130" s="436" t="str">
        <f t="shared" si="151"/>
        <v>K</v>
      </c>
      <c r="Y130" s="446">
        <f t="shared" ca="1" si="4"/>
        <v>6</v>
      </c>
    </row>
    <row r="131" spans="1:25" ht="14.25" customHeight="1" x14ac:dyDescent="0.25">
      <c r="A131" s="379" t="s">
        <v>466</v>
      </c>
      <c r="F131" s="379">
        <v>130</v>
      </c>
      <c r="G131" s="379" t="s">
        <v>329</v>
      </c>
      <c r="H131" s="379" t="s">
        <v>330</v>
      </c>
      <c r="I131" s="379" t="s">
        <v>337</v>
      </c>
      <c r="J131" s="379" t="s">
        <v>339</v>
      </c>
      <c r="K131" s="379" t="s">
        <v>326</v>
      </c>
      <c r="L131" s="379" t="s">
        <v>328</v>
      </c>
      <c r="M131" s="379" t="s">
        <v>336</v>
      </c>
      <c r="N131" s="379" t="s">
        <v>327</v>
      </c>
      <c r="P131" s="379">
        <f t="shared" si="2"/>
        <v>130</v>
      </c>
      <c r="Q131" s="445" t="str">
        <f t="shared" ref="Q131:X131" si="152">+RIGHT(G131,1)</f>
        <v>H</v>
      </c>
      <c r="R131" s="436" t="str">
        <f t="shared" si="152"/>
        <v>G</v>
      </c>
      <c r="S131" s="436" t="str">
        <f t="shared" si="152"/>
        <v>B</v>
      </c>
      <c r="T131" s="436" t="str">
        <f t="shared" si="152"/>
        <v>C</v>
      </c>
      <c r="U131" s="436" t="str">
        <f t="shared" si="152"/>
        <v>J</v>
      </c>
      <c r="V131" s="436" t="str">
        <f t="shared" si="152"/>
        <v>F</v>
      </c>
      <c r="W131" s="436" t="str">
        <f t="shared" si="152"/>
        <v>D</v>
      </c>
      <c r="X131" s="436" t="str">
        <f t="shared" si="152"/>
        <v>I</v>
      </c>
      <c r="Y131" s="446">
        <f t="shared" ca="1" si="4"/>
        <v>6</v>
      </c>
    </row>
    <row r="132" spans="1:25" ht="14.25" customHeight="1" x14ac:dyDescent="0.25">
      <c r="A132" s="379" t="s">
        <v>467</v>
      </c>
      <c r="F132" s="379">
        <v>131</v>
      </c>
      <c r="G132" s="379" t="s">
        <v>325</v>
      </c>
      <c r="H132" s="379" t="s">
        <v>326</v>
      </c>
      <c r="I132" s="379" t="s">
        <v>337</v>
      </c>
      <c r="J132" s="379" t="s">
        <v>339</v>
      </c>
      <c r="K132" s="379" t="s">
        <v>327</v>
      </c>
      <c r="L132" s="379" t="s">
        <v>336</v>
      </c>
      <c r="M132" s="379" t="s">
        <v>331</v>
      </c>
      <c r="N132" s="379" t="s">
        <v>332</v>
      </c>
      <c r="P132" s="379">
        <f t="shared" si="2"/>
        <v>131</v>
      </c>
      <c r="Q132" s="445" t="str">
        <f t="shared" ref="Q132:X132" si="153">+RIGHT(G132,1)</f>
        <v>E</v>
      </c>
      <c r="R132" s="436" t="str">
        <f t="shared" si="153"/>
        <v>J</v>
      </c>
      <c r="S132" s="436" t="str">
        <f t="shared" si="153"/>
        <v>B</v>
      </c>
      <c r="T132" s="436" t="str">
        <f t="shared" si="153"/>
        <v>C</v>
      </c>
      <c r="U132" s="436" t="str">
        <f t="shared" si="153"/>
        <v>I</v>
      </c>
      <c r="V132" s="436" t="str">
        <f t="shared" si="153"/>
        <v>D</v>
      </c>
      <c r="W132" s="436" t="str">
        <f t="shared" si="153"/>
        <v>L</v>
      </c>
      <c r="X132" s="436" t="str">
        <f t="shared" si="153"/>
        <v>K</v>
      </c>
      <c r="Y132" s="446">
        <f t="shared" ca="1" si="4"/>
        <v>4</v>
      </c>
    </row>
    <row r="133" spans="1:25" ht="14.25" customHeight="1" x14ac:dyDescent="0.25">
      <c r="A133" s="379" t="s">
        <v>468</v>
      </c>
      <c r="F133" s="379">
        <v>132</v>
      </c>
      <c r="G133" s="379" t="s">
        <v>325</v>
      </c>
      <c r="H133" s="379" t="s">
        <v>326</v>
      </c>
      <c r="I133" s="379" t="s">
        <v>337</v>
      </c>
      <c r="J133" s="379" t="s">
        <v>339</v>
      </c>
      <c r="K133" s="379" t="s">
        <v>329</v>
      </c>
      <c r="L133" s="379" t="s">
        <v>336</v>
      </c>
      <c r="M133" s="379" t="s">
        <v>331</v>
      </c>
      <c r="N133" s="379" t="s">
        <v>332</v>
      </c>
      <c r="P133" s="379">
        <f t="shared" si="2"/>
        <v>132</v>
      </c>
      <c r="Q133" s="445" t="str">
        <f t="shared" ref="Q133:X133" si="154">+RIGHT(G133,1)</f>
        <v>E</v>
      </c>
      <c r="R133" s="436" t="str">
        <f t="shared" si="154"/>
        <v>J</v>
      </c>
      <c r="S133" s="436" t="str">
        <f t="shared" si="154"/>
        <v>B</v>
      </c>
      <c r="T133" s="436" t="str">
        <f t="shared" si="154"/>
        <v>C</v>
      </c>
      <c r="U133" s="436" t="str">
        <f t="shared" si="154"/>
        <v>H</v>
      </c>
      <c r="V133" s="436" t="str">
        <f t="shared" si="154"/>
        <v>D</v>
      </c>
      <c r="W133" s="436" t="str">
        <f t="shared" si="154"/>
        <v>L</v>
      </c>
      <c r="X133" s="436" t="str">
        <f t="shared" si="154"/>
        <v>K</v>
      </c>
      <c r="Y133" s="446">
        <f t="shared" ca="1" si="4"/>
        <v>4</v>
      </c>
    </row>
    <row r="134" spans="1:25" ht="14.25" customHeight="1" x14ac:dyDescent="0.25">
      <c r="A134" s="379" t="s">
        <v>469</v>
      </c>
      <c r="F134" s="379">
        <v>133</v>
      </c>
      <c r="G134" s="379" t="s">
        <v>325</v>
      </c>
      <c r="H134" s="379" t="s">
        <v>327</v>
      </c>
      <c r="I134" s="379" t="s">
        <v>337</v>
      </c>
      <c r="J134" s="379" t="s">
        <v>339</v>
      </c>
      <c r="K134" s="379" t="s">
        <v>329</v>
      </c>
      <c r="L134" s="379" t="s">
        <v>336</v>
      </c>
      <c r="M134" s="379" t="s">
        <v>331</v>
      </c>
      <c r="N134" s="379" t="s">
        <v>332</v>
      </c>
      <c r="P134" s="379">
        <f t="shared" si="2"/>
        <v>133</v>
      </c>
      <c r="Q134" s="445" t="str">
        <f t="shared" ref="Q134:X134" si="155">+RIGHT(G134,1)</f>
        <v>E</v>
      </c>
      <c r="R134" s="436" t="str">
        <f t="shared" si="155"/>
        <v>I</v>
      </c>
      <c r="S134" s="436" t="str">
        <f t="shared" si="155"/>
        <v>B</v>
      </c>
      <c r="T134" s="436" t="str">
        <f t="shared" si="155"/>
        <v>C</v>
      </c>
      <c r="U134" s="436" t="str">
        <f t="shared" si="155"/>
        <v>H</v>
      </c>
      <c r="V134" s="436" t="str">
        <f t="shared" si="155"/>
        <v>D</v>
      </c>
      <c r="W134" s="436" t="str">
        <f t="shared" si="155"/>
        <v>L</v>
      </c>
      <c r="X134" s="436" t="str">
        <f t="shared" si="155"/>
        <v>K</v>
      </c>
      <c r="Y134" s="446">
        <f t="shared" ca="1" si="4"/>
        <v>5</v>
      </c>
    </row>
    <row r="135" spans="1:25" ht="14.25" customHeight="1" x14ac:dyDescent="0.25">
      <c r="A135" s="379" t="s">
        <v>470</v>
      </c>
      <c r="F135" s="379">
        <v>134</v>
      </c>
      <c r="G135" s="379" t="s">
        <v>325</v>
      </c>
      <c r="H135" s="379" t="s">
        <v>326</v>
      </c>
      <c r="I135" s="379" t="s">
        <v>337</v>
      </c>
      <c r="J135" s="379" t="s">
        <v>339</v>
      </c>
      <c r="K135" s="379" t="s">
        <v>329</v>
      </c>
      <c r="L135" s="379" t="s">
        <v>336</v>
      </c>
      <c r="M135" s="379" t="s">
        <v>331</v>
      </c>
      <c r="N135" s="379" t="s">
        <v>327</v>
      </c>
      <c r="P135" s="379">
        <f t="shared" si="2"/>
        <v>134</v>
      </c>
      <c r="Q135" s="445" t="str">
        <f t="shared" ref="Q135:X135" si="156">+RIGHT(G135,1)</f>
        <v>E</v>
      </c>
      <c r="R135" s="436" t="str">
        <f t="shared" si="156"/>
        <v>J</v>
      </c>
      <c r="S135" s="436" t="str">
        <f t="shared" si="156"/>
        <v>B</v>
      </c>
      <c r="T135" s="436" t="str">
        <f t="shared" si="156"/>
        <v>C</v>
      </c>
      <c r="U135" s="436" t="str">
        <f t="shared" si="156"/>
        <v>H</v>
      </c>
      <c r="V135" s="436" t="str">
        <f t="shared" si="156"/>
        <v>D</v>
      </c>
      <c r="W135" s="436" t="str">
        <f t="shared" si="156"/>
        <v>L</v>
      </c>
      <c r="X135" s="436" t="str">
        <f t="shared" si="156"/>
        <v>I</v>
      </c>
      <c r="Y135" s="446">
        <f t="shared" ca="1" si="4"/>
        <v>5</v>
      </c>
    </row>
    <row r="136" spans="1:25" ht="14.25" customHeight="1" x14ac:dyDescent="0.25">
      <c r="A136" s="379" t="s">
        <v>471</v>
      </c>
      <c r="F136" s="379">
        <v>135</v>
      </c>
      <c r="G136" s="379" t="s">
        <v>325</v>
      </c>
      <c r="H136" s="379" t="s">
        <v>326</v>
      </c>
      <c r="I136" s="379" t="s">
        <v>337</v>
      </c>
      <c r="J136" s="379" t="s">
        <v>339</v>
      </c>
      <c r="K136" s="379" t="s">
        <v>329</v>
      </c>
      <c r="L136" s="379" t="s">
        <v>336</v>
      </c>
      <c r="M136" s="379" t="s">
        <v>327</v>
      </c>
      <c r="N136" s="379" t="s">
        <v>332</v>
      </c>
      <c r="P136" s="379">
        <f t="shared" si="2"/>
        <v>135</v>
      </c>
      <c r="Q136" s="445" t="str">
        <f t="shared" ref="Q136:X136" si="157">+RIGHT(G136,1)</f>
        <v>E</v>
      </c>
      <c r="R136" s="436" t="str">
        <f t="shared" si="157"/>
        <v>J</v>
      </c>
      <c r="S136" s="436" t="str">
        <f t="shared" si="157"/>
        <v>B</v>
      </c>
      <c r="T136" s="436" t="str">
        <f t="shared" si="157"/>
        <v>C</v>
      </c>
      <c r="U136" s="436" t="str">
        <f t="shared" si="157"/>
        <v>H</v>
      </c>
      <c r="V136" s="436" t="str">
        <f t="shared" si="157"/>
        <v>D</v>
      </c>
      <c r="W136" s="436" t="str">
        <f t="shared" si="157"/>
        <v>I</v>
      </c>
      <c r="X136" s="436" t="str">
        <f t="shared" si="157"/>
        <v>K</v>
      </c>
      <c r="Y136" s="446">
        <f t="shared" ca="1" si="4"/>
        <v>4</v>
      </c>
    </row>
    <row r="137" spans="1:25" ht="14.25" customHeight="1" x14ac:dyDescent="0.25">
      <c r="A137" s="379" t="s">
        <v>472</v>
      </c>
      <c r="F137" s="379">
        <v>136</v>
      </c>
      <c r="G137" s="379" t="s">
        <v>325</v>
      </c>
      <c r="H137" s="379" t="s">
        <v>330</v>
      </c>
      <c r="I137" s="379" t="s">
        <v>337</v>
      </c>
      <c r="J137" s="379" t="s">
        <v>339</v>
      </c>
      <c r="K137" s="379" t="s">
        <v>326</v>
      </c>
      <c r="L137" s="379" t="s">
        <v>336</v>
      </c>
      <c r="M137" s="379" t="s">
        <v>331</v>
      </c>
      <c r="N137" s="379" t="s">
        <v>332</v>
      </c>
      <c r="P137" s="379">
        <f t="shared" si="2"/>
        <v>136</v>
      </c>
      <c r="Q137" s="445" t="str">
        <f t="shared" ref="Q137:X137" si="158">+RIGHT(G137,1)</f>
        <v>E</v>
      </c>
      <c r="R137" s="436" t="str">
        <f t="shared" si="158"/>
        <v>G</v>
      </c>
      <c r="S137" s="436" t="str">
        <f t="shared" si="158"/>
        <v>B</v>
      </c>
      <c r="T137" s="436" t="str">
        <f t="shared" si="158"/>
        <v>C</v>
      </c>
      <c r="U137" s="436" t="str">
        <f t="shared" si="158"/>
        <v>J</v>
      </c>
      <c r="V137" s="436" t="str">
        <f t="shared" si="158"/>
        <v>D</v>
      </c>
      <c r="W137" s="436" t="str">
        <f t="shared" si="158"/>
        <v>L</v>
      </c>
      <c r="X137" s="436" t="str">
        <f t="shared" si="158"/>
        <v>K</v>
      </c>
      <c r="Y137" s="446">
        <f t="shared" ca="1" si="4"/>
        <v>4</v>
      </c>
    </row>
    <row r="138" spans="1:25" ht="14.25" customHeight="1" x14ac:dyDescent="0.25">
      <c r="A138" s="379" t="s">
        <v>473</v>
      </c>
      <c r="F138" s="379">
        <v>137</v>
      </c>
      <c r="G138" s="379" t="s">
        <v>325</v>
      </c>
      <c r="H138" s="379" t="s">
        <v>330</v>
      </c>
      <c r="I138" s="379" t="s">
        <v>337</v>
      </c>
      <c r="J138" s="379" t="s">
        <v>339</v>
      </c>
      <c r="K138" s="379" t="s">
        <v>327</v>
      </c>
      <c r="L138" s="379" t="s">
        <v>336</v>
      </c>
      <c r="M138" s="379" t="s">
        <v>331</v>
      </c>
      <c r="N138" s="379" t="s">
        <v>332</v>
      </c>
      <c r="P138" s="379">
        <f t="shared" si="2"/>
        <v>137</v>
      </c>
      <c r="Q138" s="445" t="str">
        <f t="shared" ref="Q138:X138" si="159">+RIGHT(G138,1)</f>
        <v>E</v>
      </c>
      <c r="R138" s="436" t="str">
        <f t="shared" si="159"/>
        <v>G</v>
      </c>
      <c r="S138" s="436" t="str">
        <f t="shared" si="159"/>
        <v>B</v>
      </c>
      <c r="T138" s="436" t="str">
        <f t="shared" si="159"/>
        <v>C</v>
      </c>
      <c r="U138" s="436" t="str">
        <f t="shared" si="159"/>
        <v>I</v>
      </c>
      <c r="V138" s="436" t="str">
        <f t="shared" si="159"/>
        <v>D</v>
      </c>
      <c r="W138" s="436" t="str">
        <f t="shared" si="159"/>
        <v>L</v>
      </c>
      <c r="X138" s="436" t="str">
        <f t="shared" si="159"/>
        <v>K</v>
      </c>
      <c r="Y138" s="446">
        <f t="shared" ca="1" si="4"/>
        <v>5</v>
      </c>
    </row>
    <row r="139" spans="1:25" ht="14.25" customHeight="1" x14ac:dyDescent="0.25">
      <c r="A139" s="379" t="s">
        <v>474</v>
      </c>
      <c r="F139" s="379">
        <v>138</v>
      </c>
      <c r="G139" s="379" t="s">
        <v>325</v>
      </c>
      <c r="H139" s="379" t="s">
        <v>330</v>
      </c>
      <c r="I139" s="379" t="s">
        <v>337</v>
      </c>
      <c r="J139" s="379" t="s">
        <v>339</v>
      </c>
      <c r="K139" s="379" t="s">
        <v>326</v>
      </c>
      <c r="L139" s="379" t="s">
        <v>336</v>
      </c>
      <c r="M139" s="379" t="s">
        <v>331</v>
      </c>
      <c r="N139" s="379" t="s">
        <v>327</v>
      </c>
      <c r="P139" s="379">
        <f t="shared" si="2"/>
        <v>138</v>
      </c>
      <c r="Q139" s="445" t="str">
        <f t="shared" ref="Q139:X139" si="160">+RIGHT(G139,1)</f>
        <v>E</v>
      </c>
      <c r="R139" s="436" t="str">
        <f t="shared" si="160"/>
        <v>G</v>
      </c>
      <c r="S139" s="436" t="str">
        <f t="shared" si="160"/>
        <v>B</v>
      </c>
      <c r="T139" s="436" t="str">
        <f t="shared" si="160"/>
        <v>C</v>
      </c>
      <c r="U139" s="436" t="str">
        <f t="shared" si="160"/>
        <v>J</v>
      </c>
      <c r="V139" s="436" t="str">
        <f t="shared" si="160"/>
        <v>D</v>
      </c>
      <c r="W139" s="436" t="str">
        <f t="shared" si="160"/>
        <v>L</v>
      </c>
      <c r="X139" s="436" t="str">
        <f t="shared" si="160"/>
        <v>I</v>
      </c>
      <c r="Y139" s="446">
        <f t="shared" ca="1" si="4"/>
        <v>5</v>
      </c>
    </row>
    <row r="140" spans="1:25" ht="14.25" customHeight="1" x14ac:dyDescent="0.25">
      <c r="A140" s="379" t="s">
        <v>475</v>
      </c>
      <c r="F140" s="379">
        <v>139</v>
      </c>
      <c r="G140" s="379" t="s">
        <v>325</v>
      </c>
      <c r="H140" s="379" t="s">
        <v>330</v>
      </c>
      <c r="I140" s="379" t="s">
        <v>337</v>
      </c>
      <c r="J140" s="379" t="s">
        <v>339</v>
      </c>
      <c r="K140" s="379" t="s">
        <v>326</v>
      </c>
      <c r="L140" s="379" t="s">
        <v>336</v>
      </c>
      <c r="M140" s="379" t="s">
        <v>327</v>
      </c>
      <c r="N140" s="379" t="s">
        <v>332</v>
      </c>
      <c r="P140" s="379">
        <f t="shared" si="2"/>
        <v>139</v>
      </c>
      <c r="Q140" s="445" t="str">
        <f t="shared" ref="Q140:X140" si="161">+RIGHT(G140,1)</f>
        <v>E</v>
      </c>
      <c r="R140" s="436" t="str">
        <f t="shared" si="161"/>
        <v>G</v>
      </c>
      <c r="S140" s="436" t="str">
        <f t="shared" si="161"/>
        <v>B</v>
      </c>
      <c r="T140" s="436" t="str">
        <f t="shared" si="161"/>
        <v>C</v>
      </c>
      <c r="U140" s="436" t="str">
        <f t="shared" si="161"/>
        <v>J</v>
      </c>
      <c r="V140" s="436" t="str">
        <f t="shared" si="161"/>
        <v>D</v>
      </c>
      <c r="W140" s="436" t="str">
        <f t="shared" si="161"/>
        <v>I</v>
      </c>
      <c r="X140" s="436" t="str">
        <f t="shared" si="161"/>
        <v>K</v>
      </c>
      <c r="Y140" s="446">
        <f t="shared" ca="1" si="4"/>
        <v>4</v>
      </c>
    </row>
    <row r="141" spans="1:25" ht="14.25" customHeight="1" x14ac:dyDescent="0.25">
      <c r="A141" s="379" t="s">
        <v>476</v>
      </c>
      <c r="F141" s="379">
        <v>140</v>
      </c>
      <c r="G141" s="379" t="s">
        <v>325</v>
      </c>
      <c r="H141" s="379" t="s">
        <v>330</v>
      </c>
      <c r="I141" s="379" t="s">
        <v>337</v>
      </c>
      <c r="J141" s="379" t="s">
        <v>339</v>
      </c>
      <c r="K141" s="379" t="s">
        <v>329</v>
      </c>
      <c r="L141" s="379" t="s">
        <v>336</v>
      </c>
      <c r="M141" s="379" t="s">
        <v>331</v>
      </c>
      <c r="N141" s="379" t="s">
        <v>332</v>
      </c>
      <c r="P141" s="379">
        <f t="shared" si="2"/>
        <v>140</v>
      </c>
      <c r="Q141" s="445" t="str">
        <f t="shared" ref="Q141:X141" si="162">+RIGHT(G141,1)</f>
        <v>E</v>
      </c>
      <c r="R141" s="436" t="str">
        <f t="shared" si="162"/>
        <v>G</v>
      </c>
      <c r="S141" s="436" t="str">
        <f t="shared" si="162"/>
        <v>B</v>
      </c>
      <c r="T141" s="436" t="str">
        <f t="shared" si="162"/>
        <v>C</v>
      </c>
      <c r="U141" s="436" t="str">
        <f t="shared" si="162"/>
        <v>H</v>
      </c>
      <c r="V141" s="436" t="str">
        <f t="shared" si="162"/>
        <v>D</v>
      </c>
      <c r="W141" s="436" t="str">
        <f t="shared" si="162"/>
        <v>L</v>
      </c>
      <c r="X141" s="436" t="str">
        <f t="shared" si="162"/>
        <v>K</v>
      </c>
      <c r="Y141" s="446">
        <f t="shared" ca="1" si="4"/>
        <v>5</v>
      </c>
    </row>
    <row r="142" spans="1:25" ht="14.25" customHeight="1" x14ac:dyDescent="0.25">
      <c r="A142" s="379" t="s">
        <v>477</v>
      </c>
      <c r="F142" s="379">
        <v>141</v>
      </c>
      <c r="G142" s="379" t="s">
        <v>329</v>
      </c>
      <c r="H142" s="379" t="s">
        <v>330</v>
      </c>
      <c r="I142" s="379" t="s">
        <v>337</v>
      </c>
      <c r="J142" s="379" t="s">
        <v>339</v>
      </c>
      <c r="K142" s="379" t="s">
        <v>326</v>
      </c>
      <c r="L142" s="379" t="s">
        <v>336</v>
      </c>
      <c r="M142" s="379" t="s">
        <v>331</v>
      </c>
      <c r="N142" s="379" t="s">
        <v>325</v>
      </c>
      <c r="P142" s="379">
        <f t="shared" si="2"/>
        <v>141</v>
      </c>
      <c r="Q142" s="445" t="str">
        <f t="shared" ref="Q142:X142" si="163">+RIGHT(G142,1)</f>
        <v>H</v>
      </c>
      <c r="R142" s="436" t="str">
        <f t="shared" si="163"/>
        <v>G</v>
      </c>
      <c r="S142" s="436" t="str">
        <f t="shared" si="163"/>
        <v>B</v>
      </c>
      <c r="T142" s="436" t="str">
        <f t="shared" si="163"/>
        <v>C</v>
      </c>
      <c r="U142" s="436" t="str">
        <f t="shared" si="163"/>
        <v>J</v>
      </c>
      <c r="V142" s="436" t="str">
        <f t="shared" si="163"/>
        <v>D</v>
      </c>
      <c r="W142" s="436" t="str">
        <f t="shared" si="163"/>
        <v>L</v>
      </c>
      <c r="X142" s="436" t="str">
        <f t="shared" si="163"/>
        <v>E</v>
      </c>
      <c r="Y142" s="446">
        <f t="shared" ca="1" si="4"/>
        <v>5</v>
      </c>
    </row>
    <row r="143" spans="1:25" ht="14.25" customHeight="1" x14ac:dyDescent="0.25">
      <c r="A143" s="379" t="s">
        <v>478</v>
      </c>
      <c r="F143" s="379">
        <v>142</v>
      </c>
      <c r="G143" s="379" t="s">
        <v>329</v>
      </c>
      <c r="H143" s="379" t="s">
        <v>330</v>
      </c>
      <c r="I143" s="379" t="s">
        <v>337</v>
      </c>
      <c r="J143" s="379" t="s">
        <v>339</v>
      </c>
      <c r="K143" s="379" t="s">
        <v>326</v>
      </c>
      <c r="L143" s="379" t="s">
        <v>336</v>
      </c>
      <c r="M143" s="379" t="s">
        <v>325</v>
      </c>
      <c r="N143" s="379" t="s">
        <v>332</v>
      </c>
      <c r="P143" s="379">
        <f t="shared" si="2"/>
        <v>142</v>
      </c>
      <c r="Q143" s="445" t="str">
        <f t="shared" ref="Q143:X143" si="164">+RIGHT(G143,1)</f>
        <v>H</v>
      </c>
      <c r="R143" s="436" t="str">
        <f t="shared" si="164"/>
        <v>G</v>
      </c>
      <c r="S143" s="436" t="str">
        <f t="shared" si="164"/>
        <v>B</v>
      </c>
      <c r="T143" s="436" t="str">
        <f t="shared" si="164"/>
        <v>C</v>
      </c>
      <c r="U143" s="436" t="str">
        <f t="shared" si="164"/>
        <v>J</v>
      </c>
      <c r="V143" s="436" t="str">
        <f t="shared" si="164"/>
        <v>D</v>
      </c>
      <c r="W143" s="436" t="str">
        <f t="shared" si="164"/>
        <v>E</v>
      </c>
      <c r="X143" s="436" t="str">
        <f t="shared" si="164"/>
        <v>K</v>
      </c>
      <c r="Y143" s="446">
        <f t="shared" ca="1" si="4"/>
        <v>4</v>
      </c>
    </row>
    <row r="144" spans="1:25" ht="14.25" customHeight="1" x14ac:dyDescent="0.25">
      <c r="A144" s="379" t="s">
        <v>479</v>
      </c>
      <c r="F144" s="379">
        <v>143</v>
      </c>
      <c r="G144" s="379" t="s">
        <v>325</v>
      </c>
      <c r="H144" s="379" t="s">
        <v>330</v>
      </c>
      <c r="I144" s="379" t="s">
        <v>337</v>
      </c>
      <c r="J144" s="379" t="s">
        <v>339</v>
      </c>
      <c r="K144" s="379" t="s">
        <v>329</v>
      </c>
      <c r="L144" s="379" t="s">
        <v>336</v>
      </c>
      <c r="M144" s="379" t="s">
        <v>331</v>
      </c>
      <c r="N144" s="379" t="s">
        <v>327</v>
      </c>
      <c r="P144" s="379">
        <f t="shared" si="2"/>
        <v>143</v>
      </c>
      <c r="Q144" s="445" t="str">
        <f t="shared" ref="Q144:X144" si="165">+RIGHT(G144,1)</f>
        <v>E</v>
      </c>
      <c r="R144" s="436" t="str">
        <f t="shared" si="165"/>
        <v>G</v>
      </c>
      <c r="S144" s="436" t="str">
        <f t="shared" si="165"/>
        <v>B</v>
      </c>
      <c r="T144" s="436" t="str">
        <f t="shared" si="165"/>
        <v>C</v>
      </c>
      <c r="U144" s="436" t="str">
        <f t="shared" si="165"/>
        <v>H</v>
      </c>
      <c r="V144" s="436" t="str">
        <f t="shared" si="165"/>
        <v>D</v>
      </c>
      <c r="W144" s="436" t="str">
        <f t="shared" si="165"/>
        <v>L</v>
      </c>
      <c r="X144" s="436" t="str">
        <f t="shared" si="165"/>
        <v>I</v>
      </c>
      <c r="Y144" s="446">
        <f t="shared" ca="1" si="4"/>
        <v>6</v>
      </c>
    </row>
    <row r="145" spans="1:25" ht="14.25" customHeight="1" x14ac:dyDescent="0.25">
      <c r="A145" s="379" t="s">
        <v>480</v>
      </c>
      <c r="F145" s="379">
        <v>144</v>
      </c>
      <c r="G145" s="379" t="s">
        <v>325</v>
      </c>
      <c r="H145" s="379" t="s">
        <v>330</v>
      </c>
      <c r="I145" s="379" t="s">
        <v>337</v>
      </c>
      <c r="J145" s="379" t="s">
        <v>339</v>
      </c>
      <c r="K145" s="379" t="s">
        <v>329</v>
      </c>
      <c r="L145" s="379" t="s">
        <v>336</v>
      </c>
      <c r="M145" s="379" t="s">
        <v>327</v>
      </c>
      <c r="N145" s="379" t="s">
        <v>332</v>
      </c>
      <c r="P145" s="379">
        <f t="shared" si="2"/>
        <v>144</v>
      </c>
      <c r="Q145" s="445" t="str">
        <f t="shared" ref="Q145:X145" si="166">+RIGHT(G145,1)</f>
        <v>E</v>
      </c>
      <c r="R145" s="436" t="str">
        <f t="shared" si="166"/>
        <v>G</v>
      </c>
      <c r="S145" s="436" t="str">
        <f t="shared" si="166"/>
        <v>B</v>
      </c>
      <c r="T145" s="436" t="str">
        <f t="shared" si="166"/>
        <v>C</v>
      </c>
      <c r="U145" s="436" t="str">
        <f t="shared" si="166"/>
        <v>H</v>
      </c>
      <c r="V145" s="436" t="str">
        <f t="shared" si="166"/>
        <v>D</v>
      </c>
      <c r="W145" s="436" t="str">
        <f t="shared" si="166"/>
        <v>I</v>
      </c>
      <c r="X145" s="436" t="str">
        <f t="shared" si="166"/>
        <v>K</v>
      </c>
      <c r="Y145" s="446">
        <f t="shared" ca="1" si="4"/>
        <v>5</v>
      </c>
    </row>
    <row r="146" spans="1:25" ht="14.25" customHeight="1" x14ac:dyDescent="0.25">
      <c r="A146" s="379" t="s">
        <v>481</v>
      </c>
      <c r="F146" s="379">
        <v>145</v>
      </c>
      <c r="G146" s="379" t="s">
        <v>329</v>
      </c>
      <c r="H146" s="379" t="s">
        <v>330</v>
      </c>
      <c r="I146" s="379" t="s">
        <v>337</v>
      </c>
      <c r="J146" s="379" t="s">
        <v>339</v>
      </c>
      <c r="K146" s="379" t="s">
        <v>326</v>
      </c>
      <c r="L146" s="379" t="s">
        <v>336</v>
      </c>
      <c r="M146" s="379" t="s">
        <v>325</v>
      </c>
      <c r="N146" s="379" t="s">
        <v>327</v>
      </c>
      <c r="P146" s="379">
        <f t="shared" si="2"/>
        <v>145</v>
      </c>
      <c r="Q146" s="445" t="str">
        <f t="shared" ref="Q146:X146" si="167">+RIGHT(G146,1)</f>
        <v>H</v>
      </c>
      <c r="R146" s="436" t="str">
        <f t="shared" si="167"/>
        <v>G</v>
      </c>
      <c r="S146" s="436" t="str">
        <f t="shared" si="167"/>
        <v>B</v>
      </c>
      <c r="T146" s="436" t="str">
        <f t="shared" si="167"/>
        <v>C</v>
      </c>
      <c r="U146" s="436" t="str">
        <f t="shared" si="167"/>
        <v>J</v>
      </c>
      <c r="V146" s="436" t="str">
        <f t="shared" si="167"/>
        <v>D</v>
      </c>
      <c r="W146" s="436" t="str">
        <f t="shared" si="167"/>
        <v>E</v>
      </c>
      <c r="X146" s="436" t="str">
        <f t="shared" si="167"/>
        <v>I</v>
      </c>
      <c r="Y146" s="446">
        <f t="shared" ca="1" si="4"/>
        <v>5</v>
      </c>
    </row>
    <row r="147" spans="1:25" ht="14.25" customHeight="1" x14ac:dyDescent="0.25">
      <c r="A147" s="379" t="s">
        <v>482</v>
      </c>
      <c r="F147" s="379">
        <v>146</v>
      </c>
      <c r="G147" s="379" t="s">
        <v>339</v>
      </c>
      <c r="H147" s="379" t="s">
        <v>326</v>
      </c>
      <c r="I147" s="379" t="s">
        <v>337</v>
      </c>
      <c r="J147" s="379" t="s">
        <v>336</v>
      </c>
      <c r="K147" s="379" t="s">
        <v>325</v>
      </c>
      <c r="L147" s="379" t="s">
        <v>328</v>
      </c>
      <c r="M147" s="379" t="s">
        <v>331</v>
      </c>
      <c r="N147" s="379" t="s">
        <v>332</v>
      </c>
      <c r="P147" s="379">
        <f t="shared" si="2"/>
        <v>146</v>
      </c>
      <c r="Q147" s="445" t="str">
        <f t="shared" ref="Q147:X147" si="168">+RIGHT(G147,1)</f>
        <v>C</v>
      </c>
      <c r="R147" s="436" t="str">
        <f t="shared" si="168"/>
        <v>J</v>
      </c>
      <c r="S147" s="436" t="str">
        <f t="shared" si="168"/>
        <v>B</v>
      </c>
      <c r="T147" s="436" t="str">
        <f t="shared" si="168"/>
        <v>D</v>
      </c>
      <c r="U147" s="436" t="str">
        <f t="shared" si="168"/>
        <v>E</v>
      </c>
      <c r="V147" s="436" t="str">
        <f t="shared" si="168"/>
        <v>F</v>
      </c>
      <c r="W147" s="436" t="str">
        <f t="shared" si="168"/>
        <v>L</v>
      </c>
      <c r="X147" s="436" t="str">
        <f t="shared" si="168"/>
        <v>K</v>
      </c>
      <c r="Y147" s="446">
        <f t="shared" ca="1" si="4"/>
        <v>4</v>
      </c>
    </row>
    <row r="148" spans="1:25" ht="14.25" customHeight="1" x14ac:dyDescent="0.25">
      <c r="A148" s="379" t="s">
        <v>483</v>
      </c>
      <c r="F148" s="379">
        <v>147</v>
      </c>
      <c r="G148" s="379" t="s">
        <v>339</v>
      </c>
      <c r="H148" s="379" t="s">
        <v>325</v>
      </c>
      <c r="I148" s="379" t="s">
        <v>337</v>
      </c>
      <c r="J148" s="379" t="s">
        <v>336</v>
      </c>
      <c r="K148" s="379" t="s">
        <v>327</v>
      </c>
      <c r="L148" s="379" t="s">
        <v>328</v>
      </c>
      <c r="M148" s="379" t="s">
        <v>331</v>
      </c>
      <c r="N148" s="379" t="s">
        <v>332</v>
      </c>
      <c r="P148" s="379">
        <f t="shared" si="2"/>
        <v>147</v>
      </c>
      <c r="Q148" s="445" t="str">
        <f t="shared" ref="Q148:X148" si="169">+RIGHT(G148,1)</f>
        <v>C</v>
      </c>
      <c r="R148" s="436" t="str">
        <f t="shared" si="169"/>
        <v>E</v>
      </c>
      <c r="S148" s="436" t="str">
        <f t="shared" si="169"/>
        <v>B</v>
      </c>
      <c r="T148" s="436" t="str">
        <f t="shared" si="169"/>
        <v>D</v>
      </c>
      <c r="U148" s="436" t="str">
        <f t="shared" si="169"/>
        <v>I</v>
      </c>
      <c r="V148" s="436" t="str">
        <f t="shared" si="169"/>
        <v>F</v>
      </c>
      <c r="W148" s="436" t="str">
        <f t="shared" si="169"/>
        <v>L</v>
      </c>
      <c r="X148" s="436" t="str">
        <f t="shared" si="169"/>
        <v>K</v>
      </c>
      <c r="Y148" s="446">
        <f t="shared" ca="1" si="4"/>
        <v>5</v>
      </c>
    </row>
    <row r="149" spans="1:25" ht="14.25" customHeight="1" x14ac:dyDescent="0.25">
      <c r="A149" s="379" t="s">
        <v>484</v>
      </c>
      <c r="F149" s="379">
        <v>148</v>
      </c>
      <c r="G149" s="379" t="s">
        <v>339</v>
      </c>
      <c r="H149" s="379" t="s">
        <v>326</v>
      </c>
      <c r="I149" s="379" t="s">
        <v>337</v>
      </c>
      <c r="J149" s="379" t="s">
        <v>336</v>
      </c>
      <c r="K149" s="379" t="s">
        <v>325</v>
      </c>
      <c r="L149" s="379" t="s">
        <v>328</v>
      </c>
      <c r="M149" s="379" t="s">
        <v>331</v>
      </c>
      <c r="N149" s="379" t="s">
        <v>327</v>
      </c>
      <c r="P149" s="379">
        <f t="shared" si="2"/>
        <v>148</v>
      </c>
      <c r="Q149" s="445" t="str">
        <f t="shared" ref="Q149:X149" si="170">+RIGHT(G149,1)</f>
        <v>C</v>
      </c>
      <c r="R149" s="436" t="str">
        <f t="shared" si="170"/>
        <v>J</v>
      </c>
      <c r="S149" s="436" t="str">
        <f t="shared" si="170"/>
        <v>B</v>
      </c>
      <c r="T149" s="436" t="str">
        <f t="shared" si="170"/>
        <v>D</v>
      </c>
      <c r="U149" s="436" t="str">
        <f t="shared" si="170"/>
        <v>E</v>
      </c>
      <c r="V149" s="436" t="str">
        <f t="shared" si="170"/>
        <v>F</v>
      </c>
      <c r="W149" s="436" t="str">
        <f t="shared" si="170"/>
        <v>L</v>
      </c>
      <c r="X149" s="436" t="str">
        <f t="shared" si="170"/>
        <v>I</v>
      </c>
      <c r="Y149" s="446">
        <f t="shared" ca="1" si="4"/>
        <v>5</v>
      </c>
    </row>
    <row r="150" spans="1:25" ht="14.25" customHeight="1" x14ac:dyDescent="0.25">
      <c r="A150" s="379" t="s">
        <v>485</v>
      </c>
      <c r="F150" s="379">
        <v>149</v>
      </c>
      <c r="G150" s="379" t="s">
        <v>339</v>
      </c>
      <c r="H150" s="379" t="s">
        <v>326</v>
      </c>
      <c r="I150" s="379" t="s">
        <v>337</v>
      </c>
      <c r="J150" s="379" t="s">
        <v>336</v>
      </c>
      <c r="K150" s="379" t="s">
        <v>325</v>
      </c>
      <c r="L150" s="379" t="s">
        <v>328</v>
      </c>
      <c r="M150" s="379" t="s">
        <v>327</v>
      </c>
      <c r="N150" s="379" t="s">
        <v>332</v>
      </c>
      <c r="P150" s="379">
        <f t="shared" si="2"/>
        <v>149</v>
      </c>
      <c r="Q150" s="445" t="str">
        <f t="shared" ref="Q150:X150" si="171">+RIGHT(G150,1)</f>
        <v>C</v>
      </c>
      <c r="R150" s="436" t="str">
        <f t="shared" si="171"/>
        <v>J</v>
      </c>
      <c r="S150" s="436" t="str">
        <f t="shared" si="171"/>
        <v>B</v>
      </c>
      <c r="T150" s="436" t="str">
        <f t="shared" si="171"/>
        <v>D</v>
      </c>
      <c r="U150" s="436" t="str">
        <f t="shared" si="171"/>
        <v>E</v>
      </c>
      <c r="V150" s="436" t="str">
        <f t="shared" si="171"/>
        <v>F</v>
      </c>
      <c r="W150" s="436" t="str">
        <f t="shared" si="171"/>
        <v>I</v>
      </c>
      <c r="X150" s="436" t="str">
        <f t="shared" si="171"/>
        <v>K</v>
      </c>
      <c r="Y150" s="446">
        <f t="shared" ca="1" si="4"/>
        <v>4</v>
      </c>
    </row>
    <row r="151" spans="1:25" ht="14.25" customHeight="1" x14ac:dyDescent="0.25">
      <c r="A151" s="379" t="s">
        <v>486</v>
      </c>
      <c r="F151" s="379">
        <v>150</v>
      </c>
      <c r="G151" s="379" t="s">
        <v>339</v>
      </c>
      <c r="H151" s="379" t="s">
        <v>325</v>
      </c>
      <c r="I151" s="379" t="s">
        <v>337</v>
      </c>
      <c r="J151" s="379" t="s">
        <v>336</v>
      </c>
      <c r="K151" s="379" t="s">
        <v>329</v>
      </c>
      <c r="L151" s="379" t="s">
        <v>328</v>
      </c>
      <c r="M151" s="379" t="s">
        <v>331</v>
      </c>
      <c r="N151" s="379" t="s">
        <v>332</v>
      </c>
      <c r="P151" s="379">
        <f t="shared" si="2"/>
        <v>150</v>
      </c>
      <c r="Q151" s="445" t="str">
        <f t="shared" ref="Q151:X151" si="172">+RIGHT(G151,1)</f>
        <v>C</v>
      </c>
      <c r="R151" s="436" t="str">
        <f t="shared" si="172"/>
        <v>E</v>
      </c>
      <c r="S151" s="436" t="str">
        <f t="shared" si="172"/>
        <v>B</v>
      </c>
      <c r="T151" s="436" t="str">
        <f t="shared" si="172"/>
        <v>D</v>
      </c>
      <c r="U151" s="436" t="str">
        <f t="shared" si="172"/>
        <v>H</v>
      </c>
      <c r="V151" s="436" t="str">
        <f t="shared" si="172"/>
        <v>F</v>
      </c>
      <c r="W151" s="436" t="str">
        <f t="shared" si="172"/>
        <v>L</v>
      </c>
      <c r="X151" s="436" t="str">
        <f t="shared" si="172"/>
        <v>K</v>
      </c>
      <c r="Y151" s="446">
        <f t="shared" ca="1" si="4"/>
        <v>5</v>
      </c>
    </row>
    <row r="152" spans="1:25" ht="14.25" customHeight="1" x14ac:dyDescent="0.25">
      <c r="A152" s="379" t="s">
        <v>487</v>
      </c>
      <c r="F152" s="379">
        <v>151</v>
      </c>
      <c r="G152" s="379" t="s">
        <v>339</v>
      </c>
      <c r="H152" s="379" t="s">
        <v>326</v>
      </c>
      <c r="I152" s="379" t="s">
        <v>337</v>
      </c>
      <c r="J152" s="379" t="s">
        <v>336</v>
      </c>
      <c r="K152" s="379" t="s">
        <v>329</v>
      </c>
      <c r="L152" s="379" t="s">
        <v>328</v>
      </c>
      <c r="M152" s="379" t="s">
        <v>331</v>
      </c>
      <c r="N152" s="379" t="s">
        <v>325</v>
      </c>
      <c r="P152" s="379">
        <f t="shared" si="2"/>
        <v>151</v>
      </c>
      <c r="Q152" s="445" t="str">
        <f t="shared" ref="Q152:X152" si="173">+RIGHT(G152,1)</f>
        <v>C</v>
      </c>
      <c r="R152" s="436" t="str">
        <f t="shared" si="173"/>
        <v>J</v>
      </c>
      <c r="S152" s="436" t="str">
        <f t="shared" si="173"/>
        <v>B</v>
      </c>
      <c r="T152" s="436" t="str">
        <f t="shared" si="173"/>
        <v>D</v>
      </c>
      <c r="U152" s="436" t="str">
        <f t="shared" si="173"/>
        <v>H</v>
      </c>
      <c r="V152" s="436" t="str">
        <f t="shared" si="173"/>
        <v>F</v>
      </c>
      <c r="W152" s="436" t="str">
        <f t="shared" si="173"/>
        <v>L</v>
      </c>
      <c r="X152" s="436" t="str">
        <f t="shared" si="173"/>
        <v>E</v>
      </c>
      <c r="Y152" s="446">
        <f t="shared" ca="1" si="4"/>
        <v>5</v>
      </c>
    </row>
    <row r="153" spans="1:25" ht="14.25" customHeight="1" x14ac:dyDescent="0.25">
      <c r="A153" s="379" t="s">
        <v>488</v>
      </c>
      <c r="F153" s="379">
        <v>152</v>
      </c>
      <c r="G153" s="379" t="s">
        <v>339</v>
      </c>
      <c r="H153" s="379" t="s">
        <v>326</v>
      </c>
      <c r="I153" s="379" t="s">
        <v>337</v>
      </c>
      <c r="J153" s="379" t="s">
        <v>336</v>
      </c>
      <c r="K153" s="379" t="s">
        <v>329</v>
      </c>
      <c r="L153" s="379" t="s">
        <v>328</v>
      </c>
      <c r="M153" s="379" t="s">
        <v>325</v>
      </c>
      <c r="N153" s="379" t="s">
        <v>332</v>
      </c>
      <c r="P153" s="379">
        <f t="shared" si="2"/>
        <v>152</v>
      </c>
      <c r="Q153" s="445" t="str">
        <f t="shared" ref="Q153:X153" si="174">+RIGHT(G153,1)</f>
        <v>C</v>
      </c>
      <c r="R153" s="436" t="str">
        <f t="shared" si="174"/>
        <v>J</v>
      </c>
      <c r="S153" s="436" t="str">
        <f t="shared" si="174"/>
        <v>B</v>
      </c>
      <c r="T153" s="436" t="str">
        <f t="shared" si="174"/>
        <v>D</v>
      </c>
      <c r="U153" s="436" t="str">
        <f t="shared" si="174"/>
        <v>H</v>
      </c>
      <c r="V153" s="436" t="str">
        <f t="shared" si="174"/>
        <v>F</v>
      </c>
      <c r="W153" s="436" t="str">
        <f t="shared" si="174"/>
        <v>E</v>
      </c>
      <c r="X153" s="436" t="str">
        <f t="shared" si="174"/>
        <v>K</v>
      </c>
      <c r="Y153" s="446">
        <f t="shared" ca="1" si="4"/>
        <v>4</v>
      </c>
    </row>
    <row r="154" spans="1:25" ht="14.25" customHeight="1" x14ac:dyDescent="0.25">
      <c r="A154" s="379" t="s">
        <v>489</v>
      </c>
      <c r="F154" s="379">
        <v>153</v>
      </c>
      <c r="G154" s="379" t="s">
        <v>339</v>
      </c>
      <c r="H154" s="379" t="s">
        <v>325</v>
      </c>
      <c r="I154" s="379" t="s">
        <v>337</v>
      </c>
      <c r="J154" s="379" t="s">
        <v>336</v>
      </c>
      <c r="K154" s="379" t="s">
        <v>329</v>
      </c>
      <c r="L154" s="379" t="s">
        <v>328</v>
      </c>
      <c r="M154" s="379" t="s">
        <v>331</v>
      </c>
      <c r="N154" s="379" t="s">
        <v>327</v>
      </c>
      <c r="P154" s="379">
        <f t="shared" si="2"/>
        <v>153</v>
      </c>
      <c r="Q154" s="445" t="str">
        <f t="shared" ref="Q154:X154" si="175">+RIGHT(G154,1)</f>
        <v>C</v>
      </c>
      <c r="R154" s="436" t="str">
        <f t="shared" si="175"/>
        <v>E</v>
      </c>
      <c r="S154" s="436" t="str">
        <f t="shared" si="175"/>
        <v>B</v>
      </c>
      <c r="T154" s="436" t="str">
        <f t="shared" si="175"/>
        <v>D</v>
      </c>
      <c r="U154" s="436" t="str">
        <f t="shared" si="175"/>
        <v>H</v>
      </c>
      <c r="V154" s="436" t="str">
        <f t="shared" si="175"/>
        <v>F</v>
      </c>
      <c r="W154" s="436" t="str">
        <f t="shared" si="175"/>
        <v>L</v>
      </c>
      <c r="X154" s="436" t="str">
        <f t="shared" si="175"/>
        <v>I</v>
      </c>
      <c r="Y154" s="446">
        <f t="shared" ca="1" si="4"/>
        <v>6</v>
      </c>
    </row>
    <row r="155" spans="1:25" ht="14.25" customHeight="1" x14ac:dyDescent="0.25">
      <c r="A155" s="379" t="s">
        <v>490</v>
      </c>
      <c r="F155" s="379">
        <v>154</v>
      </c>
      <c r="G155" s="379" t="s">
        <v>339</v>
      </c>
      <c r="H155" s="379" t="s">
        <v>325</v>
      </c>
      <c r="I155" s="379" t="s">
        <v>337</v>
      </c>
      <c r="J155" s="379" t="s">
        <v>336</v>
      </c>
      <c r="K155" s="379" t="s">
        <v>329</v>
      </c>
      <c r="L155" s="379" t="s">
        <v>328</v>
      </c>
      <c r="M155" s="379" t="s">
        <v>327</v>
      </c>
      <c r="N155" s="379" t="s">
        <v>332</v>
      </c>
      <c r="P155" s="379">
        <f t="shared" si="2"/>
        <v>154</v>
      </c>
      <c r="Q155" s="445" t="str">
        <f t="shared" ref="Q155:X155" si="176">+RIGHT(G155,1)</f>
        <v>C</v>
      </c>
      <c r="R155" s="436" t="str">
        <f t="shared" si="176"/>
        <v>E</v>
      </c>
      <c r="S155" s="436" t="str">
        <f t="shared" si="176"/>
        <v>B</v>
      </c>
      <c r="T155" s="436" t="str">
        <f t="shared" si="176"/>
        <v>D</v>
      </c>
      <c r="U155" s="436" t="str">
        <f t="shared" si="176"/>
        <v>H</v>
      </c>
      <c r="V155" s="436" t="str">
        <f t="shared" si="176"/>
        <v>F</v>
      </c>
      <c r="W155" s="436" t="str">
        <f t="shared" si="176"/>
        <v>I</v>
      </c>
      <c r="X155" s="436" t="str">
        <f t="shared" si="176"/>
        <v>K</v>
      </c>
      <c r="Y155" s="446">
        <f t="shared" ca="1" si="4"/>
        <v>5</v>
      </c>
    </row>
    <row r="156" spans="1:25" ht="14.25" customHeight="1" x14ac:dyDescent="0.25">
      <c r="A156" s="379" t="s">
        <v>491</v>
      </c>
      <c r="F156" s="379">
        <v>155</v>
      </c>
      <c r="G156" s="379" t="s">
        <v>339</v>
      </c>
      <c r="H156" s="379" t="s">
        <v>326</v>
      </c>
      <c r="I156" s="379" t="s">
        <v>337</v>
      </c>
      <c r="J156" s="379" t="s">
        <v>336</v>
      </c>
      <c r="K156" s="379" t="s">
        <v>329</v>
      </c>
      <c r="L156" s="379" t="s">
        <v>328</v>
      </c>
      <c r="M156" s="379" t="s">
        <v>325</v>
      </c>
      <c r="N156" s="379" t="s">
        <v>327</v>
      </c>
      <c r="P156" s="379">
        <f t="shared" si="2"/>
        <v>155</v>
      </c>
      <c r="Q156" s="445" t="str">
        <f t="shared" ref="Q156:X156" si="177">+RIGHT(G156,1)</f>
        <v>C</v>
      </c>
      <c r="R156" s="436" t="str">
        <f t="shared" si="177"/>
        <v>J</v>
      </c>
      <c r="S156" s="436" t="str">
        <f t="shared" si="177"/>
        <v>B</v>
      </c>
      <c r="T156" s="436" t="str">
        <f t="shared" si="177"/>
        <v>D</v>
      </c>
      <c r="U156" s="436" t="str">
        <f t="shared" si="177"/>
        <v>H</v>
      </c>
      <c r="V156" s="436" t="str">
        <f t="shared" si="177"/>
        <v>F</v>
      </c>
      <c r="W156" s="436" t="str">
        <f t="shared" si="177"/>
        <v>E</v>
      </c>
      <c r="X156" s="436" t="str">
        <f t="shared" si="177"/>
        <v>I</v>
      </c>
      <c r="Y156" s="446">
        <f t="shared" ca="1" si="4"/>
        <v>5</v>
      </c>
    </row>
    <row r="157" spans="1:25" ht="14.25" customHeight="1" x14ac:dyDescent="0.25">
      <c r="A157" s="379" t="s">
        <v>492</v>
      </c>
      <c r="F157" s="379">
        <v>156</v>
      </c>
      <c r="G157" s="379" t="s">
        <v>339</v>
      </c>
      <c r="H157" s="379" t="s">
        <v>330</v>
      </c>
      <c r="I157" s="379" t="s">
        <v>337</v>
      </c>
      <c r="J157" s="379" t="s">
        <v>336</v>
      </c>
      <c r="K157" s="379" t="s">
        <v>325</v>
      </c>
      <c r="L157" s="379" t="s">
        <v>328</v>
      </c>
      <c r="M157" s="379" t="s">
        <v>331</v>
      </c>
      <c r="N157" s="379" t="s">
        <v>332</v>
      </c>
      <c r="P157" s="379">
        <f t="shared" si="2"/>
        <v>156</v>
      </c>
      <c r="Q157" s="445" t="str">
        <f t="shared" ref="Q157:X157" si="178">+RIGHT(G157,1)</f>
        <v>C</v>
      </c>
      <c r="R157" s="436" t="str">
        <f t="shared" si="178"/>
        <v>G</v>
      </c>
      <c r="S157" s="436" t="str">
        <f t="shared" si="178"/>
        <v>B</v>
      </c>
      <c r="T157" s="436" t="str">
        <f t="shared" si="178"/>
        <v>D</v>
      </c>
      <c r="U157" s="436" t="str">
        <f t="shared" si="178"/>
        <v>E</v>
      </c>
      <c r="V157" s="436" t="str">
        <f t="shared" si="178"/>
        <v>F</v>
      </c>
      <c r="W157" s="436" t="str">
        <f t="shared" si="178"/>
        <v>L</v>
      </c>
      <c r="X157" s="436" t="str">
        <f t="shared" si="178"/>
        <v>K</v>
      </c>
      <c r="Y157" s="446">
        <f t="shared" ca="1" si="4"/>
        <v>5</v>
      </c>
    </row>
    <row r="158" spans="1:25" ht="14.25" customHeight="1" x14ac:dyDescent="0.25">
      <c r="A158" s="379" t="s">
        <v>493</v>
      </c>
      <c r="F158" s="379">
        <v>157</v>
      </c>
      <c r="G158" s="379" t="s">
        <v>339</v>
      </c>
      <c r="H158" s="379" t="s">
        <v>330</v>
      </c>
      <c r="I158" s="379" t="s">
        <v>337</v>
      </c>
      <c r="J158" s="379" t="s">
        <v>336</v>
      </c>
      <c r="K158" s="379" t="s">
        <v>326</v>
      </c>
      <c r="L158" s="379" t="s">
        <v>328</v>
      </c>
      <c r="M158" s="379" t="s">
        <v>331</v>
      </c>
      <c r="N158" s="379" t="s">
        <v>325</v>
      </c>
      <c r="P158" s="379">
        <f t="shared" si="2"/>
        <v>157</v>
      </c>
      <c r="Q158" s="445" t="str">
        <f t="shared" ref="Q158:X158" si="179">+RIGHT(G158,1)</f>
        <v>C</v>
      </c>
      <c r="R158" s="436" t="str">
        <f t="shared" si="179"/>
        <v>G</v>
      </c>
      <c r="S158" s="436" t="str">
        <f t="shared" si="179"/>
        <v>B</v>
      </c>
      <c r="T158" s="436" t="str">
        <f t="shared" si="179"/>
        <v>D</v>
      </c>
      <c r="U158" s="436" t="str">
        <f t="shared" si="179"/>
        <v>J</v>
      </c>
      <c r="V158" s="436" t="str">
        <f t="shared" si="179"/>
        <v>F</v>
      </c>
      <c r="W158" s="436" t="str">
        <f t="shared" si="179"/>
        <v>L</v>
      </c>
      <c r="X158" s="436" t="str">
        <f t="shared" si="179"/>
        <v>E</v>
      </c>
      <c r="Y158" s="446">
        <f t="shared" ca="1" si="4"/>
        <v>5</v>
      </c>
    </row>
    <row r="159" spans="1:25" ht="14.25" customHeight="1" x14ac:dyDescent="0.25">
      <c r="A159" s="379" t="s">
        <v>494</v>
      </c>
      <c r="F159" s="379">
        <v>158</v>
      </c>
      <c r="G159" s="379" t="s">
        <v>339</v>
      </c>
      <c r="H159" s="379" t="s">
        <v>330</v>
      </c>
      <c r="I159" s="379" t="s">
        <v>337</v>
      </c>
      <c r="J159" s="379" t="s">
        <v>336</v>
      </c>
      <c r="K159" s="379" t="s">
        <v>326</v>
      </c>
      <c r="L159" s="379" t="s">
        <v>328</v>
      </c>
      <c r="M159" s="379" t="s">
        <v>325</v>
      </c>
      <c r="N159" s="379" t="s">
        <v>332</v>
      </c>
      <c r="P159" s="379">
        <f t="shared" si="2"/>
        <v>158</v>
      </c>
      <c r="Q159" s="445" t="str">
        <f t="shared" ref="Q159:X159" si="180">+RIGHT(G159,1)</f>
        <v>C</v>
      </c>
      <c r="R159" s="436" t="str">
        <f t="shared" si="180"/>
        <v>G</v>
      </c>
      <c r="S159" s="436" t="str">
        <f t="shared" si="180"/>
        <v>B</v>
      </c>
      <c r="T159" s="436" t="str">
        <f t="shared" si="180"/>
        <v>D</v>
      </c>
      <c r="U159" s="436" t="str">
        <f t="shared" si="180"/>
        <v>J</v>
      </c>
      <c r="V159" s="436" t="str">
        <f t="shared" si="180"/>
        <v>F</v>
      </c>
      <c r="W159" s="436" t="str">
        <f t="shared" si="180"/>
        <v>E</v>
      </c>
      <c r="X159" s="436" t="str">
        <f t="shared" si="180"/>
        <v>K</v>
      </c>
      <c r="Y159" s="446">
        <f t="shared" ca="1" si="4"/>
        <v>4</v>
      </c>
    </row>
    <row r="160" spans="1:25" ht="14.25" customHeight="1" x14ac:dyDescent="0.25">
      <c r="A160" s="379" t="s">
        <v>495</v>
      </c>
      <c r="F160" s="379">
        <v>159</v>
      </c>
      <c r="G160" s="379" t="s">
        <v>339</v>
      </c>
      <c r="H160" s="379" t="s">
        <v>330</v>
      </c>
      <c r="I160" s="379" t="s">
        <v>337</v>
      </c>
      <c r="J160" s="379" t="s">
        <v>336</v>
      </c>
      <c r="K160" s="379" t="s">
        <v>325</v>
      </c>
      <c r="L160" s="379" t="s">
        <v>328</v>
      </c>
      <c r="M160" s="379" t="s">
        <v>331</v>
      </c>
      <c r="N160" s="379" t="s">
        <v>327</v>
      </c>
      <c r="P160" s="379">
        <f t="shared" si="2"/>
        <v>159</v>
      </c>
      <c r="Q160" s="445" t="str">
        <f t="shared" ref="Q160:X160" si="181">+RIGHT(G160,1)</f>
        <v>C</v>
      </c>
      <c r="R160" s="436" t="str">
        <f t="shared" si="181"/>
        <v>G</v>
      </c>
      <c r="S160" s="436" t="str">
        <f t="shared" si="181"/>
        <v>B</v>
      </c>
      <c r="T160" s="436" t="str">
        <f t="shared" si="181"/>
        <v>D</v>
      </c>
      <c r="U160" s="436" t="str">
        <f t="shared" si="181"/>
        <v>E</v>
      </c>
      <c r="V160" s="436" t="str">
        <f t="shared" si="181"/>
        <v>F</v>
      </c>
      <c r="W160" s="436" t="str">
        <f t="shared" si="181"/>
        <v>L</v>
      </c>
      <c r="X160" s="436" t="str">
        <f t="shared" si="181"/>
        <v>I</v>
      </c>
      <c r="Y160" s="446">
        <f t="shared" ca="1" si="4"/>
        <v>6</v>
      </c>
    </row>
    <row r="161" spans="1:25" ht="14.25" customHeight="1" x14ac:dyDescent="0.25">
      <c r="A161" s="379" t="s">
        <v>496</v>
      </c>
      <c r="F161" s="379">
        <v>160</v>
      </c>
      <c r="G161" s="379" t="s">
        <v>339</v>
      </c>
      <c r="H161" s="379" t="s">
        <v>330</v>
      </c>
      <c r="I161" s="379" t="s">
        <v>337</v>
      </c>
      <c r="J161" s="379" t="s">
        <v>336</v>
      </c>
      <c r="K161" s="379" t="s">
        <v>325</v>
      </c>
      <c r="L161" s="379" t="s">
        <v>328</v>
      </c>
      <c r="M161" s="379" t="s">
        <v>327</v>
      </c>
      <c r="N161" s="379" t="s">
        <v>332</v>
      </c>
      <c r="P161" s="379">
        <f t="shared" si="2"/>
        <v>160</v>
      </c>
      <c r="Q161" s="445" t="str">
        <f t="shared" ref="Q161:X161" si="182">+RIGHT(G161,1)</f>
        <v>C</v>
      </c>
      <c r="R161" s="436" t="str">
        <f t="shared" si="182"/>
        <v>G</v>
      </c>
      <c r="S161" s="436" t="str">
        <f t="shared" si="182"/>
        <v>B</v>
      </c>
      <c r="T161" s="436" t="str">
        <f t="shared" si="182"/>
        <v>D</v>
      </c>
      <c r="U161" s="436" t="str">
        <f t="shared" si="182"/>
        <v>E</v>
      </c>
      <c r="V161" s="436" t="str">
        <f t="shared" si="182"/>
        <v>F</v>
      </c>
      <c r="W161" s="436" t="str">
        <f t="shared" si="182"/>
        <v>I</v>
      </c>
      <c r="X161" s="436" t="str">
        <f t="shared" si="182"/>
        <v>K</v>
      </c>
      <c r="Y161" s="446">
        <f t="shared" ca="1" si="4"/>
        <v>5</v>
      </c>
    </row>
    <row r="162" spans="1:25" ht="14.25" customHeight="1" x14ac:dyDescent="0.25">
      <c r="A162" s="379" t="s">
        <v>497</v>
      </c>
      <c r="F162" s="379">
        <v>161</v>
      </c>
      <c r="G162" s="379" t="s">
        <v>339</v>
      </c>
      <c r="H162" s="379" t="s">
        <v>330</v>
      </c>
      <c r="I162" s="379" t="s">
        <v>337</v>
      </c>
      <c r="J162" s="379" t="s">
        <v>336</v>
      </c>
      <c r="K162" s="379" t="s">
        <v>326</v>
      </c>
      <c r="L162" s="379" t="s">
        <v>328</v>
      </c>
      <c r="M162" s="379" t="s">
        <v>325</v>
      </c>
      <c r="N162" s="379" t="s">
        <v>327</v>
      </c>
      <c r="P162" s="379">
        <f t="shared" si="2"/>
        <v>161</v>
      </c>
      <c r="Q162" s="445" t="str">
        <f t="shared" ref="Q162:X162" si="183">+RIGHT(G162,1)</f>
        <v>C</v>
      </c>
      <c r="R162" s="436" t="str">
        <f t="shared" si="183"/>
        <v>G</v>
      </c>
      <c r="S162" s="436" t="str">
        <f t="shared" si="183"/>
        <v>B</v>
      </c>
      <c r="T162" s="436" t="str">
        <f t="shared" si="183"/>
        <v>D</v>
      </c>
      <c r="U162" s="436" t="str">
        <f t="shared" si="183"/>
        <v>J</v>
      </c>
      <c r="V162" s="436" t="str">
        <f t="shared" si="183"/>
        <v>F</v>
      </c>
      <c r="W162" s="436" t="str">
        <f t="shared" si="183"/>
        <v>E</v>
      </c>
      <c r="X162" s="436" t="str">
        <f t="shared" si="183"/>
        <v>I</v>
      </c>
      <c r="Y162" s="446">
        <f t="shared" ca="1" si="4"/>
        <v>5</v>
      </c>
    </row>
    <row r="163" spans="1:25" ht="14.25" customHeight="1" x14ac:dyDescent="0.25">
      <c r="A163" s="379" t="s">
        <v>498</v>
      </c>
      <c r="F163" s="379">
        <v>162</v>
      </c>
      <c r="G163" s="379" t="s">
        <v>339</v>
      </c>
      <c r="H163" s="379" t="s">
        <v>330</v>
      </c>
      <c r="I163" s="379" t="s">
        <v>337</v>
      </c>
      <c r="J163" s="379" t="s">
        <v>336</v>
      </c>
      <c r="K163" s="379" t="s">
        <v>329</v>
      </c>
      <c r="L163" s="379" t="s">
        <v>328</v>
      </c>
      <c r="M163" s="379" t="s">
        <v>331</v>
      </c>
      <c r="N163" s="379" t="s">
        <v>325</v>
      </c>
      <c r="P163" s="379">
        <f t="shared" si="2"/>
        <v>162</v>
      </c>
      <c r="Q163" s="445" t="str">
        <f t="shared" ref="Q163:X163" si="184">+RIGHT(G163,1)</f>
        <v>C</v>
      </c>
      <c r="R163" s="436" t="str">
        <f t="shared" si="184"/>
        <v>G</v>
      </c>
      <c r="S163" s="436" t="str">
        <f t="shared" si="184"/>
        <v>B</v>
      </c>
      <c r="T163" s="436" t="str">
        <f t="shared" si="184"/>
        <v>D</v>
      </c>
      <c r="U163" s="436" t="str">
        <f t="shared" si="184"/>
        <v>H</v>
      </c>
      <c r="V163" s="436" t="str">
        <f t="shared" si="184"/>
        <v>F</v>
      </c>
      <c r="W163" s="436" t="str">
        <f t="shared" si="184"/>
        <v>L</v>
      </c>
      <c r="X163" s="436" t="str">
        <f t="shared" si="184"/>
        <v>E</v>
      </c>
      <c r="Y163" s="446">
        <f t="shared" ca="1" si="4"/>
        <v>6</v>
      </c>
    </row>
    <row r="164" spans="1:25" ht="14.25" customHeight="1" x14ac:dyDescent="0.25">
      <c r="A164" s="379" t="s">
        <v>499</v>
      </c>
      <c r="F164" s="379">
        <v>163</v>
      </c>
      <c r="G164" s="379" t="s">
        <v>339</v>
      </c>
      <c r="H164" s="379" t="s">
        <v>330</v>
      </c>
      <c r="I164" s="379" t="s">
        <v>337</v>
      </c>
      <c r="J164" s="379" t="s">
        <v>336</v>
      </c>
      <c r="K164" s="379" t="s">
        <v>329</v>
      </c>
      <c r="L164" s="379" t="s">
        <v>328</v>
      </c>
      <c r="M164" s="379" t="s">
        <v>325</v>
      </c>
      <c r="N164" s="379" t="s">
        <v>332</v>
      </c>
      <c r="P164" s="379">
        <f t="shared" si="2"/>
        <v>163</v>
      </c>
      <c r="Q164" s="445" t="str">
        <f t="shared" ref="Q164:X164" si="185">+RIGHT(G164,1)</f>
        <v>C</v>
      </c>
      <c r="R164" s="436" t="str">
        <f t="shared" si="185"/>
        <v>G</v>
      </c>
      <c r="S164" s="436" t="str">
        <f t="shared" si="185"/>
        <v>B</v>
      </c>
      <c r="T164" s="436" t="str">
        <f t="shared" si="185"/>
        <v>D</v>
      </c>
      <c r="U164" s="436" t="str">
        <f t="shared" si="185"/>
        <v>H</v>
      </c>
      <c r="V164" s="436" t="str">
        <f t="shared" si="185"/>
        <v>F</v>
      </c>
      <c r="W164" s="436" t="str">
        <f t="shared" si="185"/>
        <v>E</v>
      </c>
      <c r="X164" s="436" t="str">
        <f t="shared" si="185"/>
        <v>K</v>
      </c>
      <c r="Y164" s="446">
        <f t="shared" ca="1" si="4"/>
        <v>5</v>
      </c>
    </row>
    <row r="165" spans="1:25" ht="14.25" customHeight="1" x14ac:dyDescent="0.25">
      <c r="A165" s="379" t="s">
        <v>500</v>
      </c>
      <c r="F165" s="379">
        <v>164</v>
      </c>
      <c r="G165" s="379" t="s">
        <v>329</v>
      </c>
      <c r="H165" s="379" t="s">
        <v>330</v>
      </c>
      <c r="I165" s="379" t="s">
        <v>337</v>
      </c>
      <c r="J165" s="379" t="s">
        <v>339</v>
      </c>
      <c r="K165" s="379" t="s">
        <v>326</v>
      </c>
      <c r="L165" s="379" t="s">
        <v>328</v>
      </c>
      <c r="M165" s="379" t="s">
        <v>336</v>
      </c>
      <c r="N165" s="379" t="s">
        <v>325</v>
      </c>
      <c r="P165" s="379">
        <f t="shared" si="2"/>
        <v>164</v>
      </c>
      <c r="Q165" s="445" t="str">
        <f t="shared" ref="Q165:X165" si="186">+RIGHT(G165,1)</f>
        <v>H</v>
      </c>
      <c r="R165" s="436" t="str">
        <f t="shared" si="186"/>
        <v>G</v>
      </c>
      <c r="S165" s="436" t="str">
        <f t="shared" si="186"/>
        <v>B</v>
      </c>
      <c r="T165" s="436" t="str">
        <f t="shared" si="186"/>
        <v>C</v>
      </c>
      <c r="U165" s="436" t="str">
        <f t="shared" si="186"/>
        <v>J</v>
      </c>
      <c r="V165" s="436" t="str">
        <f t="shared" si="186"/>
        <v>F</v>
      </c>
      <c r="W165" s="436" t="str">
        <f t="shared" si="186"/>
        <v>D</v>
      </c>
      <c r="X165" s="436" t="str">
        <f t="shared" si="186"/>
        <v>E</v>
      </c>
      <c r="Y165" s="446">
        <f t="shared" ca="1" si="4"/>
        <v>5</v>
      </c>
    </row>
    <row r="166" spans="1:25" ht="14.25" customHeight="1" x14ac:dyDescent="0.25">
      <c r="A166" s="379" t="s">
        <v>501</v>
      </c>
      <c r="F166" s="379">
        <v>165</v>
      </c>
      <c r="G166" s="379" t="s">
        <v>339</v>
      </c>
      <c r="H166" s="379" t="s">
        <v>330</v>
      </c>
      <c r="I166" s="379" t="s">
        <v>337</v>
      </c>
      <c r="J166" s="379" t="s">
        <v>336</v>
      </c>
      <c r="K166" s="379" t="s">
        <v>329</v>
      </c>
      <c r="L166" s="379" t="s">
        <v>328</v>
      </c>
      <c r="M166" s="379" t="s">
        <v>325</v>
      </c>
      <c r="N166" s="379" t="s">
        <v>327</v>
      </c>
      <c r="P166" s="379">
        <f t="shared" si="2"/>
        <v>165</v>
      </c>
      <c r="Q166" s="445" t="str">
        <f t="shared" ref="Q166:X166" si="187">+RIGHT(G166,1)</f>
        <v>C</v>
      </c>
      <c r="R166" s="436" t="str">
        <f t="shared" si="187"/>
        <v>G</v>
      </c>
      <c r="S166" s="436" t="str">
        <f t="shared" si="187"/>
        <v>B</v>
      </c>
      <c r="T166" s="436" t="str">
        <f t="shared" si="187"/>
        <v>D</v>
      </c>
      <c r="U166" s="436" t="str">
        <f t="shared" si="187"/>
        <v>H</v>
      </c>
      <c r="V166" s="436" t="str">
        <f t="shared" si="187"/>
        <v>F</v>
      </c>
      <c r="W166" s="436" t="str">
        <f t="shared" si="187"/>
        <v>E</v>
      </c>
      <c r="X166" s="436" t="str">
        <f t="shared" si="187"/>
        <v>I</v>
      </c>
      <c r="Y166" s="446">
        <f t="shared" ca="1" si="4"/>
        <v>6</v>
      </c>
    </row>
    <row r="167" spans="1:25" ht="14.25" customHeight="1" x14ac:dyDescent="0.25">
      <c r="A167" s="379" t="s">
        <v>502</v>
      </c>
      <c r="F167" s="379">
        <v>166</v>
      </c>
      <c r="G167" s="379" t="s">
        <v>329</v>
      </c>
      <c r="H167" s="379" t="s">
        <v>326</v>
      </c>
      <c r="I167" s="379" t="s">
        <v>327</v>
      </c>
      <c r="J167" s="379" t="s">
        <v>328</v>
      </c>
      <c r="K167" s="379" t="s">
        <v>334</v>
      </c>
      <c r="L167" s="379" t="s">
        <v>330</v>
      </c>
      <c r="M167" s="379" t="s">
        <v>331</v>
      </c>
      <c r="N167" s="379" t="s">
        <v>332</v>
      </c>
      <c r="P167" s="379">
        <f t="shared" si="2"/>
        <v>166</v>
      </c>
      <c r="Q167" s="445" t="str">
        <f t="shared" ref="Q167:X167" si="188">+RIGHT(G167,1)</f>
        <v>H</v>
      </c>
      <c r="R167" s="436" t="str">
        <f t="shared" si="188"/>
        <v>J</v>
      </c>
      <c r="S167" s="436" t="str">
        <f t="shared" si="188"/>
        <v>I</v>
      </c>
      <c r="T167" s="436" t="str">
        <f t="shared" si="188"/>
        <v>F</v>
      </c>
      <c r="U167" s="436" t="str">
        <f t="shared" si="188"/>
        <v>A</v>
      </c>
      <c r="V167" s="436" t="str">
        <f t="shared" si="188"/>
        <v>G</v>
      </c>
      <c r="W167" s="436" t="str">
        <f t="shared" si="188"/>
        <v>L</v>
      </c>
      <c r="X167" s="436" t="str">
        <f t="shared" si="188"/>
        <v>K</v>
      </c>
      <c r="Y167" s="446">
        <f t="shared" ca="1" si="4"/>
        <v>6</v>
      </c>
    </row>
    <row r="168" spans="1:25" ht="14.25" customHeight="1" x14ac:dyDescent="0.25">
      <c r="A168" s="379" t="s">
        <v>503</v>
      </c>
      <c r="F168" s="379">
        <v>167</v>
      </c>
      <c r="G168" s="379" t="s">
        <v>325</v>
      </c>
      <c r="H168" s="379" t="s">
        <v>326</v>
      </c>
      <c r="I168" s="379" t="s">
        <v>327</v>
      </c>
      <c r="J168" s="379" t="s">
        <v>334</v>
      </c>
      <c r="K168" s="379" t="s">
        <v>329</v>
      </c>
      <c r="L168" s="379" t="s">
        <v>330</v>
      </c>
      <c r="M168" s="379" t="s">
        <v>331</v>
      </c>
      <c r="N168" s="379" t="s">
        <v>332</v>
      </c>
      <c r="P168" s="379">
        <f t="shared" si="2"/>
        <v>167</v>
      </c>
      <c r="Q168" s="445" t="str">
        <f t="shared" ref="Q168:X168" si="189">+RIGHT(G168,1)</f>
        <v>E</v>
      </c>
      <c r="R168" s="436" t="str">
        <f t="shared" si="189"/>
        <v>J</v>
      </c>
      <c r="S168" s="436" t="str">
        <f t="shared" si="189"/>
        <v>I</v>
      </c>
      <c r="T168" s="436" t="str">
        <f t="shared" si="189"/>
        <v>A</v>
      </c>
      <c r="U168" s="436" t="str">
        <f t="shared" si="189"/>
        <v>H</v>
      </c>
      <c r="V168" s="436" t="str">
        <f t="shared" si="189"/>
        <v>G</v>
      </c>
      <c r="W168" s="436" t="str">
        <f t="shared" si="189"/>
        <v>L</v>
      </c>
      <c r="X168" s="436" t="str">
        <f t="shared" si="189"/>
        <v>K</v>
      </c>
      <c r="Y168" s="446">
        <f t="shared" ca="1" si="4"/>
        <v>5</v>
      </c>
    </row>
    <row r="169" spans="1:25" ht="14.25" customHeight="1" x14ac:dyDescent="0.25">
      <c r="A169" s="379" t="s">
        <v>504</v>
      </c>
      <c r="F169" s="379">
        <v>168</v>
      </c>
      <c r="G169" s="379" t="s">
        <v>325</v>
      </c>
      <c r="H169" s="379" t="s">
        <v>326</v>
      </c>
      <c r="I169" s="379" t="s">
        <v>327</v>
      </c>
      <c r="J169" s="379" t="s">
        <v>328</v>
      </c>
      <c r="K169" s="379" t="s">
        <v>334</v>
      </c>
      <c r="L169" s="379" t="s">
        <v>329</v>
      </c>
      <c r="M169" s="379" t="s">
        <v>331</v>
      </c>
      <c r="N169" s="379" t="s">
        <v>332</v>
      </c>
      <c r="P169" s="379">
        <f t="shared" si="2"/>
        <v>168</v>
      </c>
      <c r="Q169" s="445" t="str">
        <f t="shared" ref="Q169:X169" si="190">+RIGHT(G169,1)</f>
        <v>E</v>
      </c>
      <c r="R169" s="436" t="str">
        <f t="shared" si="190"/>
        <v>J</v>
      </c>
      <c r="S169" s="436" t="str">
        <f t="shared" si="190"/>
        <v>I</v>
      </c>
      <c r="T169" s="436" t="str">
        <f t="shared" si="190"/>
        <v>F</v>
      </c>
      <c r="U169" s="436" t="str">
        <f t="shared" si="190"/>
        <v>A</v>
      </c>
      <c r="V169" s="436" t="str">
        <f t="shared" si="190"/>
        <v>H</v>
      </c>
      <c r="W169" s="436" t="str">
        <f t="shared" si="190"/>
        <v>L</v>
      </c>
      <c r="X169" s="436" t="str">
        <f t="shared" si="190"/>
        <v>K</v>
      </c>
      <c r="Y169" s="446">
        <f t="shared" ca="1" si="4"/>
        <v>5</v>
      </c>
    </row>
    <row r="170" spans="1:25" ht="14.25" customHeight="1" x14ac:dyDescent="0.25">
      <c r="A170" s="379" t="s">
        <v>505</v>
      </c>
      <c r="F170" s="379">
        <v>169</v>
      </c>
      <c r="G170" s="379" t="s">
        <v>325</v>
      </c>
      <c r="H170" s="379" t="s">
        <v>326</v>
      </c>
      <c r="I170" s="379" t="s">
        <v>327</v>
      </c>
      <c r="J170" s="379" t="s">
        <v>328</v>
      </c>
      <c r="K170" s="379" t="s">
        <v>334</v>
      </c>
      <c r="L170" s="379" t="s">
        <v>330</v>
      </c>
      <c r="M170" s="379" t="s">
        <v>331</v>
      </c>
      <c r="N170" s="379" t="s">
        <v>332</v>
      </c>
      <c r="P170" s="379">
        <f t="shared" si="2"/>
        <v>169</v>
      </c>
      <c r="Q170" s="445" t="str">
        <f t="shared" ref="Q170:X170" si="191">+RIGHT(G170,1)</f>
        <v>E</v>
      </c>
      <c r="R170" s="436" t="str">
        <f t="shared" si="191"/>
        <v>J</v>
      </c>
      <c r="S170" s="436" t="str">
        <f t="shared" si="191"/>
        <v>I</v>
      </c>
      <c r="T170" s="436" t="str">
        <f t="shared" si="191"/>
        <v>F</v>
      </c>
      <c r="U170" s="436" t="str">
        <f t="shared" si="191"/>
        <v>A</v>
      </c>
      <c r="V170" s="436" t="str">
        <f t="shared" si="191"/>
        <v>G</v>
      </c>
      <c r="W170" s="436" t="str">
        <f t="shared" si="191"/>
        <v>L</v>
      </c>
      <c r="X170" s="436" t="str">
        <f t="shared" si="191"/>
        <v>K</v>
      </c>
      <c r="Y170" s="446">
        <f t="shared" ca="1" si="4"/>
        <v>5</v>
      </c>
    </row>
    <row r="171" spans="1:25" ht="14.25" customHeight="1" x14ac:dyDescent="0.25">
      <c r="A171" s="379" t="s">
        <v>506</v>
      </c>
      <c r="F171" s="379">
        <v>170</v>
      </c>
      <c r="G171" s="379" t="s">
        <v>325</v>
      </c>
      <c r="H171" s="379" t="s">
        <v>330</v>
      </c>
      <c r="I171" s="379" t="s">
        <v>326</v>
      </c>
      <c r="J171" s="379" t="s">
        <v>328</v>
      </c>
      <c r="K171" s="379" t="s">
        <v>334</v>
      </c>
      <c r="L171" s="379" t="s">
        <v>329</v>
      </c>
      <c r="M171" s="379" t="s">
        <v>331</v>
      </c>
      <c r="N171" s="379" t="s">
        <v>332</v>
      </c>
      <c r="P171" s="379">
        <f t="shared" si="2"/>
        <v>170</v>
      </c>
      <c r="Q171" s="445" t="str">
        <f t="shared" ref="Q171:X171" si="192">+RIGHT(G171,1)</f>
        <v>E</v>
      </c>
      <c r="R171" s="436" t="str">
        <f t="shared" si="192"/>
        <v>G</v>
      </c>
      <c r="S171" s="436" t="str">
        <f t="shared" si="192"/>
        <v>J</v>
      </c>
      <c r="T171" s="436" t="str">
        <f t="shared" si="192"/>
        <v>F</v>
      </c>
      <c r="U171" s="436" t="str">
        <f t="shared" si="192"/>
        <v>A</v>
      </c>
      <c r="V171" s="436" t="str">
        <f t="shared" si="192"/>
        <v>H</v>
      </c>
      <c r="W171" s="436" t="str">
        <f t="shared" si="192"/>
        <v>L</v>
      </c>
      <c r="X171" s="436" t="str">
        <f t="shared" si="192"/>
        <v>K</v>
      </c>
      <c r="Y171" s="446">
        <f t="shared" ca="1" si="4"/>
        <v>5</v>
      </c>
    </row>
    <row r="172" spans="1:25" ht="14.25" customHeight="1" x14ac:dyDescent="0.25">
      <c r="A172" s="379" t="s">
        <v>507</v>
      </c>
      <c r="F172" s="379">
        <v>171</v>
      </c>
      <c r="G172" s="379" t="s">
        <v>325</v>
      </c>
      <c r="H172" s="379" t="s">
        <v>330</v>
      </c>
      <c r="I172" s="379" t="s">
        <v>327</v>
      </c>
      <c r="J172" s="379" t="s">
        <v>328</v>
      </c>
      <c r="K172" s="379" t="s">
        <v>334</v>
      </c>
      <c r="L172" s="379" t="s">
        <v>329</v>
      </c>
      <c r="M172" s="379" t="s">
        <v>331</v>
      </c>
      <c r="N172" s="379" t="s">
        <v>332</v>
      </c>
      <c r="P172" s="379">
        <f t="shared" si="2"/>
        <v>171</v>
      </c>
      <c r="Q172" s="445" t="str">
        <f t="shared" ref="Q172:X172" si="193">+RIGHT(G172,1)</f>
        <v>E</v>
      </c>
      <c r="R172" s="436" t="str">
        <f t="shared" si="193"/>
        <v>G</v>
      </c>
      <c r="S172" s="436" t="str">
        <f t="shared" si="193"/>
        <v>I</v>
      </c>
      <c r="T172" s="436" t="str">
        <f t="shared" si="193"/>
        <v>F</v>
      </c>
      <c r="U172" s="436" t="str">
        <f t="shared" si="193"/>
        <v>A</v>
      </c>
      <c r="V172" s="436" t="str">
        <f t="shared" si="193"/>
        <v>H</v>
      </c>
      <c r="W172" s="436" t="str">
        <f t="shared" si="193"/>
        <v>L</v>
      </c>
      <c r="X172" s="436" t="str">
        <f t="shared" si="193"/>
        <v>K</v>
      </c>
      <c r="Y172" s="446">
        <f t="shared" ca="1" si="4"/>
        <v>6</v>
      </c>
    </row>
    <row r="173" spans="1:25" ht="14.25" customHeight="1" x14ac:dyDescent="0.25">
      <c r="A173" s="379" t="s">
        <v>508</v>
      </c>
      <c r="F173" s="379">
        <v>172</v>
      </c>
      <c r="G173" s="379" t="s">
        <v>325</v>
      </c>
      <c r="H173" s="379" t="s">
        <v>330</v>
      </c>
      <c r="I173" s="379" t="s">
        <v>326</v>
      </c>
      <c r="J173" s="379" t="s">
        <v>328</v>
      </c>
      <c r="K173" s="379" t="s">
        <v>334</v>
      </c>
      <c r="L173" s="379" t="s">
        <v>329</v>
      </c>
      <c r="M173" s="379" t="s">
        <v>331</v>
      </c>
      <c r="N173" s="379" t="s">
        <v>327</v>
      </c>
      <c r="P173" s="379">
        <f t="shared" si="2"/>
        <v>172</v>
      </c>
      <c r="Q173" s="445" t="str">
        <f t="shared" ref="Q173:X173" si="194">+RIGHT(G173,1)</f>
        <v>E</v>
      </c>
      <c r="R173" s="436" t="str">
        <f t="shared" si="194"/>
        <v>G</v>
      </c>
      <c r="S173" s="436" t="str">
        <f t="shared" si="194"/>
        <v>J</v>
      </c>
      <c r="T173" s="436" t="str">
        <f t="shared" si="194"/>
        <v>F</v>
      </c>
      <c r="U173" s="436" t="str">
        <f t="shared" si="194"/>
        <v>A</v>
      </c>
      <c r="V173" s="436" t="str">
        <f t="shared" si="194"/>
        <v>H</v>
      </c>
      <c r="W173" s="436" t="str">
        <f t="shared" si="194"/>
        <v>L</v>
      </c>
      <c r="X173" s="436" t="str">
        <f t="shared" si="194"/>
        <v>I</v>
      </c>
      <c r="Y173" s="446">
        <f t="shared" ca="1" si="4"/>
        <v>6</v>
      </c>
    </row>
    <row r="174" spans="1:25" ht="14.25" customHeight="1" x14ac:dyDescent="0.25">
      <c r="A174" s="379" t="s">
        <v>509</v>
      </c>
      <c r="F174" s="379">
        <v>173</v>
      </c>
      <c r="G174" s="379" t="s">
        <v>325</v>
      </c>
      <c r="H174" s="379" t="s">
        <v>330</v>
      </c>
      <c r="I174" s="379" t="s">
        <v>326</v>
      </c>
      <c r="J174" s="379" t="s">
        <v>328</v>
      </c>
      <c r="K174" s="379" t="s">
        <v>334</v>
      </c>
      <c r="L174" s="379" t="s">
        <v>329</v>
      </c>
      <c r="M174" s="379" t="s">
        <v>327</v>
      </c>
      <c r="N174" s="379" t="s">
        <v>332</v>
      </c>
      <c r="P174" s="379">
        <f t="shared" si="2"/>
        <v>173</v>
      </c>
      <c r="Q174" s="445" t="str">
        <f t="shared" ref="Q174:X174" si="195">+RIGHT(G174,1)</f>
        <v>E</v>
      </c>
      <c r="R174" s="436" t="str">
        <f t="shared" si="195"/>
        <v>G</v>
      </c>
      <c r="S174" s="436" t="str">
        <f t="shared" si="195"/>
        <v>J</v>
      </c>
      <c r="T174" s="436" t="str">
        <f t="shared" si="195"/>
        <v>F</v>
      </c>
      <c r="U174" s="436" t="str">
        <f t="shared" si="195"/>
        <v>A</v>
      </c>
      <c r="V174" s="436" t="str">
        <f t="shared" si="195"/>
        <v>H</v>
      </c>
      <c r="W174" s="436" t="str">
        <f t="shared" si="195"/>
        <v>I</v>
      </c>
      <c r="X174" s="436" t="str">
        <f t="shared" si="195"/>
        <v>K</v>
      </c>
      <c r="Y174" s="446">
        <f t="shared" ca="1" si="4"/>
        <v>5</v>
      </c>
    </row>
    <row r="175" spans="1:25" ht="14.25" customHeight="1" x14ac:dyDescent="0.25">
      <c r="A175" s="379" t="s">
        <v>510</v>
      </c>
      <c r="F175" s="379">
        <v>174</v>
      </c>
      <c r="G175" s="379" t="s">
        <v>329</v>
      </c>
      <c r="H175" s="379" t="s">
        <v>326</v>
      </c>
      <c r="I175" s="379" t="s">
        <v>327</v>
      </c>
      <c r="J175" s="379" t="s">
        <v>336</v>
      </c>
      <c r="K175" s="379" t="s">
        <v>334</v>
      </c>
      <c r="L175" s="379" t="s">
        <v>330</v>
      </c>
      <c r="M175" s="379" t="s">
        <v>331</v>
      </c>
      <c r="N175" s="379" t="s">
        <v>332</v>
      </c>
      <c r="P175" s="379">
        <f t="shared" si="2"/>
        <v>174</v>
      </c>
      <c r="Q175" s="445" t="str">
        <f t="shared" ref="Q175:X175" si="196">+RIGHT(G175,1)</f>
        <v>H</v>
      </c>
      <c r="R175" s="436" t="str">
        <f t="shared" si="196"/>
        <v>J</v>
      </c>
      <c r="S175" s="436" t="str">
        <f t="shared" si="196"/>
        <v>I</v>
      </c>
      <c r="T175" s="436" t="str">
        <f t="shared" si="196"/>
        <v>D</v>
      </c>
      <c r="U175" s="436" t="str">
        <f t="shared" si="196"/>
        <v>A</v>
      </c>
      <c r="V175" s="436" t="str">
        <f t="shared" si="196"/>
        <v>G</v>
      </c>
      <c r="W175" s="436" t="str">
        <f t="shared" si="196"/>
        <v>L</v>
      </c>
      <c r="X175" s="436" t="str">
        <f t="shared" si="196"/>
        <v>K</v>
      </c>
      <c r="Y175" s="446">
        <f t="shared" ca="1" si="4"/>
        <v>6</v>
      </c>
    </row>
    <row r="176" spans="1:25" ht="14.25" customHeight="1" x14ac:dyDescent="0.25">
      <c r="A176" s="379" t="s">
        <v>511</v>
      </c>
      <c r="F176" s="379">
        <v>175</v>
      </c>
      <c r="G176" s="379" t="s">
        <v>329</v>
      </c>
      <c r="H176" s="379" t="s">
        <v>326</v>
      </c>
      <c r="I176" s="379" t="s">
        <v>327</v>
      </c>
      <c r="J176" s="379" t="s">
        <v>336</v>
      </c>
      <c r="K176" s="379" t="s">
        <v>334</v>
      </c>
      <c r="L176" s="379" t="s">
        <v>328</v>
      </c>
      <c r="M176" s="379" t="s">
        <v>331</v>
      </c>
      <c r="N176" s="379" t="s">
        <v>332</v>
      </c>
      <c r="P176" s="379">
        <f t="shared" si="2"/>
        <v>175</v>
      </c>
      <c r="Q176" s="445" t="str">
        <f t="shared" ref="Q176:X176" si="197">+RIGHT(G176,1)</f>
        <v>H</v>
      </c>
      <c r="R176" s="436" t="str">
        <f t="shared" si="197"/>
        <v>J</v>
      </c>
      <c r="S176" s="436" t="str">
        <f t="shared" si="197"/>
        <v>I</v>
      </c>
      <c r="T176" s="436" t="str">
        <f t="shared" si="197"/>
        <v>D</v>
      </c>
      <c r="U176" s="436" t="str">
        <f t="shared" si="197"/>
        <v>A</v>
      </c>
      <c r="V176" s="436" t="str">
        <f t="shared" si="197"/>
        <v>F</v>
      </c>
      <c r="W176" s="436" t="str">
        <f t="shared" si="197"/>
        <v>L</v>
      </c>
      <c r="X176" s="436" t="str">
        <f t="shared" si="197"/>
        <v>K</v>
      </c>
      <c r="Y176" s="446">
        <f t="shared" ca="1" si="4"/>
        <v>6</v>
      </c>
    </row>
    <row r="177" spans="1:25" ht="14.25" customHeight="1" x14ac:dyDescent="0.25">
      <c r="A177" s="379" t="s">
        <v>512</v>
      </c>
      <c r="F177" s="379">
        <v>176</v>
      </c>
      <c r="G177" s="379" t="s">
        <v>327</v>
      </c>
      <c r="H177" s="379" t="s">
        <v>330</v>
      </c>
      <c r="I177" s="379" t="s">
        <v>326</v>
      </c>
      <c r="J177" s="379" t="s">
        <v>336</v>
      </c>
      <c r="K177" s="379" t="s">
        <v>334</v>
      </c>
      <c r="L177" s="379" t="s">
        <v>328</v>
      </c>
      <c r="M177" s="379" t="s">
        <v>331</v>
      </c>
      <c r="N177" s="379" t="s">
        <v>332</v>
      </c>
      <c r="P177" s="379">
        <f t="shared" si="2"/>
        <v>176</v>
      </c>
      <c r="Q177" s="445" t="str">
        <f t="shared" ref="Q177:X177" si="198">+RIGHT(G177,1)</f>
        <v>I</v>
      </c>
      <c r="R177" s="436" t="str">
        <f t="shared" si="198"/>
        <v>G</v>
      </c>
      <c r="S177" s="436" t="str">
        <f t="shared" si="198"/>
        <v>J</v>
      </c>
      <c r="T177" s="436" t="str">
        <f t="shared" si="198"/>
        <v>D</v>
      </c>
      <c r="U177" s="436" t="str">
        <f t="shared" si="198"/>
        <v>A</v>
      </c>
      <c r="V177" s="436" t="str">
        <f t="shared" si="198"/>
        <v>F</v>
      </c>
      <c r="W177" s="436" t="str">
        <f t="shared" si="198"/>
        <v>L</v>
      </c>
      <c r="X177" s="436" t="str">
        <f t="shared" si="198"/>
        <v>K</v>
      </c>
      <c r="Y177" s="446">
        <f t="shared" ca="1" si="4"/>
        <v>6</v>
      </c>
    </row>
    <row r="178" spans="1:25" ht="14.25" customHeight="1" x14ac:dyDescent="0.25">
      <c r="A178" s="379" t="s">
        <v>513</v>
      </c>
      <c r="F178" s="379">
        <v>177</v>
      </c>
      <c r="G178" s="379" t="s">
        <v>329</v>
      </c>
      <c r="H178" s="379" t="s">
        <v>330</v>
      </c>
      <c r="I178" s="379" t="s">
        <v>326</v>
      </c>
      <c r="J178" s="379" t="s">
        <v>336</v>
      </c>
      <c r="K178" s="379" t="s">
        <v>334</v>
      </c>
      <c r="L178" s="379" t="s">
        <v>328</v>
      </c>
      <c r="M178" s="379" t="s">
        <v>331</v>
      </c>
      <c r="N178" s="379" t="s">
        <v>332</v>
      </c>
      <c r="P178" s="379">
        <f t="shared" si="2"/>
        <v>177</v>
      </c>
      <c r="Q178" s="445" t="str">
        <f t="shared" ref="Q178:X178" si="199">+RIGHT(G178,1)</f>
        <v>H</v>
      </c>
      <c r="R178" s="436" t="str">
        <f t="shared" si="199"/>
        <v>G</v>
      </c>
      <c r="S178" s="436" t="str">
        <f t="shared" si="199"/>
        <v>J</v>
      </c>
      <c r="T178" s="436" t="str">
        <f t="shared" si="199"/>
        <v>D</v>
      </c>
      <c r="U178" s="436" t="str">
        <f t="shared" si="199"/>
        <v>A</v>
      </c>
      <c r="V178" s="436" t="str">
        <f t="shared" si="199"/>
        <v>F</v>
      </c>
      <c r="W178" s="436" t="str">
        <f t="shared" si="199"/>
        <v>L</v>
      </c>
      <c r="X178" s="436" t="str">
        <f t="shared" si="199"/>
        <v>K</v>
      </c>
      <c r="Y178" s="446">
        <f t="shared" ca="1" si="4"/>
        <v>6</v>
      </c>
    </row>
    <row r="179" spans="1:25" ht="14.25" customHeight="1" x14ac:dyDescent="0.25">
      <c r="A179" s="379" t="s">
        <v>514</v>
      </c>
      <c r="F179" s="379">
        <v>178</v>
      </c>
      <c r="G179" s="379" t="s">
        <v>329</v>
      </c>
      <c r="H179" s="379" t="s">
        <v>330</v>
      </c>
      <c r="I179" s="379" t="s">
        <v>327</v>
      </c>
      <c r="J179" s="379" t="s">
        <v>336</v>
      </c>
      <c r="K179" s="379" t="s">
        <v>334</v>
      </c>
      <c r="L179" s="379" t="s">
        <v>328</v>
      </c>
      <c r="M179" s="379" t="s">
        <v>331</v>
      </c>
      <c r="N179" s="379" t="s">
        <v>332</v>
      </c>
      <c r="P179" s="379">
        <f t="shared" si="2"/>
        <v>178</v>
      </c>
      <c r="Q179" s="445" t="str">
        <f t="shared" ref="Q179:X179" si="200">+RIGHT(G179,1)</f>
        <v>H</v>
      </c>
      <c r="R179" s="436" t="str">
        <f t="shared" si="200"/>
        <v>G</v>
      </c>
      <c r="S179" s="436" t="str">
        <f t="shared" si="200"/>
        <v>I</v>
      </c>
      <c r="T179" s="436" t="str">
        <f t="shared" si="200"/>
        <v>D</v>
      </c>
      <c r="U179" s="436" t="str">
        <f t="shared" si="200"/>
        <v>A</v>
      </c>
      <c r="V179" s="436" t="str">
        <f t="shared" si="200"/>
        <v>F</v>
      </c>
      <c r="W179" s="436" t="str">
        <f t="shared" si="200"/>
        <v>L</v>
      </c>
      <c r="X179" s="436" t="str">
        <f t="shared" si="200"/>
        <v>K</v>
      </c>
      <c r="Y179" s="446">
        <f t="shared" ca="1" si="4"/>
        <v>7</v>
      </c>
    </row>
    <row r="180" spans="1:25" ht="14.25" customHeight="1" x14ac:dyDescent="0.25">
      <c r="A180" s="379" t="s">
        <v>515</v>
      </c>
      <c r="F180" s="379">
        <v>179</v>
      </c>
      <c r="G180" s="379" t="s">
        <v>329</v>
      </c>
      <c r="H180" s="379" t="s">
        <v>330</v>
      </c>
      <c r="I180" s="379" t="s">
        <v>326</v>
      </c>
      <c r="J180" s="379" t="s">
        <v>336</v>
      </c>
      <c r="K180" s="379" t="s">
        <v>334</v>
      </c>
      <c r="L180" s="379" t="s">
        <v>328</v>
      </c>
      <c r="M180" s="379" t="s">
        <v>331</v>
      </c>
      <c r="N180" s="379" t="s">
        <v>327</v>
      </c>
      <c r="P180" s="379">
        <f t="shared" si="2"/>
        <v>179</v>
      </c>
      <c r="Q180" s="445" t="str">
        <f t="shared" ref="Q180:X180" si="201">+RIGHT(G180,1)</f>
        <v>H</v>
      </c>
      <c r="R180" s="436" t="str">
        <f t="shared" si="201"/>
        <v>G</v>
      </c>
      <c r="S180" s="436" t="str">
        <f t="shared" si="201"/>
        <v>J</v>
      </c>
      <c r="T180" s="436" t="str">
        <f t="shared" si="201"/>
        <v>D</v>
      </c>
      <c r="U180" s="436" t="str">
        <f t="shared" si="201"/>
        <v>A</v>
      </c>
      <c r="V180" s="436" t="str">
        <f t="shared" si="201"/>
        <v>F</v>
      </c>
      <c r="W180" s="436" t="str">
        <f t="shared" si="201"/>
        <v>L</v>
      </c>
      <c r="X180" s="436" t="str">
        <f t="shared" si="201"/>
        <v>I</v>
      </c>
      <c r="Y180" s="446">
        <f t="shared" ca="1" si="4"/>
        <v>7</v>
      </c>
    </row>
    <row r="181" spans="1:25" ht="14.25" customHeight="1" x14ac:dyDescent="0.25">
      <c r="A181" s="379" t="s">
        <v>516</v>
      </c>
      <c r="F181" s="379">
        <v>180</v>
      </c>
      <c r="G181" s="379" t="s">
        <v>329</v>
      </c>
      <c r="H181" s="379" t="s">
        <v>330</v>
      </c>
      <c r="I181" s="379" t="s">
        <v>326</v>
      </c>
      <c r="J181" s="379" t="s">
        <v>336</v>
      </c>
      <c r="K181" s="379" t="s">
        <v>334</v>
      </c>
      <c r="L181" s="379" t="s">
        <v>328</v>
      </c>
      <c r="M181" s="379" t="s">
        <v>327</v>
      </c>
      <c r="N181" s="379" t="s">
        <v>332</v>
      </c>
      <c r="P181" s="379">
        <f t="shared" si="2"/>
        <v>180</v>
      </c>
      <c r="Q181" s="445" t="str">
        <f t="shared" ref="Q181:X181" si="202">+RIGHT(G181,1)</f>
        <v>H</v>
      </c>
      <c r="R181" s="436" t="str">
        <f t="shared" si="202"/>
        <v>G</v>
      </c>
      <c r="S181" s="436" t="str">
        <f t="shared" si="202"/>
        <v>J</v>
      </c>
      <c r="T181" s="436" t="str">
        <f t="shared" si="202"/>
        <v>D</v>
      </c>
      <c r="U181" s="436" t="str">
        <f t="shared" si="202"/>
        <v>A</v>
      </c>
      <c r="V181" s="436" t="str">
        <f t="shared" si="202"/>
        <v>F</v>
      </c>
      <c r="W181" s="436" t="str">
        <f t="shared" si="202"/>
        <v>I</v>
      </c>
      <c r="X181" s="436" t="str">
        <f t="shared" si="202"/>
        <v>K</v>
      </c>
      <c r="Y181" s="446">
        <f t="shared" ca="1" si="4"/>
        <v>6</v>
      </c>
    </row>
    <row r="182" spans="1:25" ht="14.25" customHeight="1" x14ac:dyDescent="0.25">
      <c r="A182" s="379" t="s">
        <v>517</v>
      </c>
      <c r="F182" s="379">
        <v>181</v>
      </c>
      <c r="G182" s="379" t="s">
        <v>325</v>
      </c>
      <c r="H182" s="379" t="s">
        <v>326</v>
      </c>
      <c r="I182" s="379" t="s">
        <v>327</v>
      </c>
      <c r="J182" s="379" t="s">
        <v>336</v>
      </c>
      <c r="K182" s="379" t="s">
        <v>334</v>
      </c>
      <c r="L182" s="379" t="s">
        <v>329</v>
      </c>
      <c r="M182" s="379" t="s">
        <v>331</v>
      </c>
      <c r="N182" s="379" t="s">
        <v>332</v>
      </c>
      <c r="P182" s="379">
        <f t="shared" si="2"/>
        <v>181</v>
      </c>
      <c r="Q182" s="445" t="str">
        <f t="shared" ref="Q182:X182" si="203">+RIGHT(G182,1)</f>
        <v>E</v>
      </c>
      <c r="R182" s="436" t="str">
        <f t="shared" si="203"/>
        <v>J</v>
      </c>
      <c r="S182" s="436" t="str">
        <f t="shared" si="203"/>
        <v>I</v>
      </c>
      <c r="T182" s="436" t="str">
        <f t="shared" si="203"/>
        <v>D</v>
      </c>
      <c r="U182" s="436" t="str">
        <f t="shared" si="203"/>
        <v>A</v>
      </c>
      <c r="V182" s="436" t="str">
        <f t="shared" si="203"/>
        <v>H</v>
      </c>
      <c r="W182" s="436" t="str">
        <f t="shared" si="203"/>
        <v>L</v>
      </c>
      <c r="X182" s="436" t="str">
        <f t="shared" si="203"/>
        <v>K</v>
      </c>
      <c r="Y182" s="446">
        <f t="shared" ca="1" si="4"/>
        <v>5</v>
      </c>
    </row>
    <row r="183" spans="1:25" ht="14.25" customHeight="1" x14ac:dyDescent="0.25">
      <c r="A183" s="379" t="s">
        <v>518</v>
      </c>
      <c r="F183" s="379">
        <v>182</v>
      </c>
      <c r="G183" s="379" t="s">
        <v>325</v>
      </c>
      <c r="H183" s="379" t="s">
        <v>326</v>
      </c>
      <c r="I183" s="379" t="s">
        <v>327</v>
      </c>
      <c r="J183" s="379" t="s">
        <v>336</v>
      </c>
      <c r="K183" s="379" t="s">
        <v>334</v>
      </c>
      <c r="L183" s="379" t="s">
        <v>330</v>
      </c>
      <c r="M183" s="379" t="s">
        <v>331</v>
      </c>
      <c r="N183" s="379" t="s">
        <v>332</v>
      </c>
      <c r="P183" s="379">
        <f t="shared" si="2"/>
        <v>182</v>
      </c>
      <c r="Q183" s="445" t="str">
        <f t="shared" ref="Q183:X183" si="204">+RIGHT(G183,1)</f>
        <v>E</v>
      </c>
      <c r="R183" s="436" t="str">
        <f t="shared" si="204"/>
        <v>J</v>
      </c>
      <c r="S183" s="436" t="str">
        <f t="shared" si="204"/>
        <v>I</v>
      </c>
      <c r="T183" s="436" t="str">
        <f t="shared" si="204"/>
        <v>D</v>
      </c>
      <c r="U183" s="436" t="str">
        <f t="shared" si="204"/>
        <v>A</v>
      </c>
      <c r="V183" s="436" t="str">
        <f t="shared" si="204"/>
        <v>G</v>
      </c>
      <c r="W183" s="436" t="str">
        <f t="shared" si="204"/>
        <v>L</v>
      </c>
      <c r="X183" s="436" t="str">
        <f t="shared" si="204"/>
        <v>K</v>
      </c>
      <c r="Y183" s="446">
        <f t="shared" ca="1" si="4"/>
        <v>5</v>
      </c>
    </row>
    <row r="184" spans="1:25" ht="14.25" customHeight="1" x14ac:dyDescent="0.25">
      <c r="A184" s="379" t="s">
        <v>519</v>
      </c>
      <c r="F184" s="379">
        <v>183</v>
      </c>
      <c r="G184" s="379" t="s">
        <v>325</v>
      </c>
      <c r="H184" s="379" t="s">
        <v>330</v>
      </c>
      <c r="I184" s="379" t="s">
        <v>326</v>
      </c>
      <c r="J184" s="379" t="s">
        <v>336</v>
      </c>
      <c r="K184" s="379" t="s">
        <v>334</v>
      </c>
      <c r="L184" s="379" t="s">
        <v>329</v>
      </c>
      <c r="M184" s="379" t="s">
        <v>331</v>
      </c>
      <c r="N184" s="379" t="s">
        <v>332</v>
      </c>
      <c r="P184" s="379">
        <f t="shared" si="2"/>
        <v>183</v>
      </c>
      <c r="Q184" s="445" t="str">
        <f t="shared" ref="Q184:X184" si="205">+RIGHT(G184,1)</f>
        <v>E</v>
      </c>
      <c r="R184" s="436" t="str">
        <f t="shared" si="205"/>
        <v>G</v>
      </c>
      <c r="S184" s="436" t="str">
        <f t="shared" si="205"/>
        <v>J</v>
      </c>
      <c r="T184" s="436" t="str">
        <f t="shared" si="205"/>
        <v>D</v>
      </c>
      <c r="U184" s="436" t="str">
        <f t="shared" si="205"/>
        <v>A</v>
      </c>
      <c r="V184" s="436" t="str">
        <f t="shared" si="205"/>
        <v>H</v>
      </c>
      <c r="W184" s="436" t="str">
        <f t="shared" si="205"/>
        <v>L</v>
      </c>
      <c r="X184" s="436" t="str">
        <f t="shared" si="205"/>
        <v>K</v>
      </c>
      <c r="Y184" s="446">
        <f t="shared" ca="1" si="4"/>
        <v>5</v>
      </c>
    </row>
    <row r="185" spans="1:25" ht="14.25" customHeight="1" x14ac:dyDescent="0.25">
      <c r="A185" s="379" t="s">
        <v>520</v>
      </c>
      <c r="F185" s="379">
        <v>184</v>
      </c>
      <c r="G185" s="379" t="s">
        <v>325</v>
      </c>
      <c r="H185" s="379" t="s">
        <v>330</v>
      </c>
      <c r="I185" s="379" t="s">
        <v>327</v>
      </c>
      <c r="J185" s="379" t="s">
        <v>336</v>
      </c>
      <c r="K185" s="379" t="s">
        <v>334</v>
      </c>
      <c r="L185" s="379" t="s">
        <v>329</v>
      </c>
      <c r="M185" s="379" t="s">
        <v>331</v>
      </c>
      <c r="N185" s="379" t="s">
        <v>332</v>
      </c>
      <c r="P185" s="379">
        <f t="shared" si="2"/>
        <v>184</v>
      </c>
      <c r="Q185" s="445" t="str">
        <f t="shared" ref="Q185:X185" si="206">+RIGHT(G185,1)</f>
        <v>E</v>
      </c>
      <c r="R185" s="436" t="str">
        <f t="shared" si="206"/>
        <v>G</v>
      </c>
      <c r="S185" s="436" t="str">
        <f t="shared" si="206"/>
        <v>I</v>
      </c>
      <c r="T185" s="436" t="str">
        <f t="shared" si="206"/>
        <v>D</v>
      </c>
      <c r="U185" s="436" t="str">
        <f t="shared" si="206"/>
        <v>A</v>
      </c>
      <c r="V185" s="436" t="str">
        <f t="shared" si="206"/>
        <v>H</v>
      </c>
      <c r="W185" s="436" t="str">
        <f t="shared" si="206"/>
        <v>L</v>
      </c>
      <c r="X185" s="436" t="str">
        <f t="shared" si="206"/>
        <v>K</v>
      </c>
      <c r="Y185" s="446">
        <f t="shared" ca="1" si="4"/>
        <v>6</v>
      </c>
    </row>
    <row r="186" spans="1:25" ht="14.25" customHeight="1" x14ac:dyDescent="0.25">
      <c r="A186" s="379" t="s">
        <v>521</v>
      </c>
      <c r="F186" s="379">
        <v>185</v>
      </c>
      <c r="G186" s="379" t="s">
        <v>325</v>
      </c>
      <c r="H186" s="379" t="s">
        <v>330</v>
      </c>
      <c r="I186" s="379" t="s">
        <v>326</v>
      </c>
      <c r="J186" s="379" t="s">
        <v>336</v>
      </c>
      <c r="K186" s="379" t="s">
        <v>334</v>
      </c>
      <c r="L186" s="379" t="s">
        <v>329</v>
      </c>
      <c r="M186" s="379" t="s">
        <v>331</v>
      </c>
      <c r="N186" s="379" t="s">
        <v>327</v>
      </c>
      <c r="P186" s="379">
        <f t="shared" si="2"/>
        <v>185</v>
      </c>
      <c r="Q186" s="445" t="str">
        <f t="shared" ref="Q186:X186" si="207">+RIGHT(G186,1)</f>
        <v>E</v>
      </c>
      <c r="R186" s="436" t="str">
        <f t="shared" si="207"/>
        <v>G</v>
      </c>
      <c r="S186" s="436" t="str">
        <f t="shared" si="207"/>
        <v>J</v>
      </c>
      <c r="T186" s="436" t="str">
        <f t="shared" si="207"/>
        <v>D</v>
      </c>
      <c r="U186" s="436" t="str">
        <f t="shared" si="207"/>
        <v>A</v>
      </c>
      <c r="V186" s="436" t="str">
        <f t="shared" si="207"/>
        <v>H</v>
      </c>
      <c r="W186" s="436" t="str">
        <f t="shared" si="207"/>
        <v>L</v>
      </c>
      <c r="X186" s="436" t="str">
        <f t="shared" si="207"/>
        <v>I</v>
      </c>
      <c r="Y186" s="446">
        <f t="shared" ca="1" si="4"/>
        <v>6</v>
      </c>
    </row>
    <row r="187" spans="1:25" ht="14.25" customHeight="1" x14ac:dyDescent="0.25">
      <c r="A187" s="379" t="s">
        <v>522</v>
      </c>
      <c r="F187" s="379">
        <v>186</v>
      </c>
      <c r="G187" s="379" t="s">
        <v>325</v>
      </c>
      <c r="H187" s="379" t="s">
        <v>330</v>
      </c>
      <c r="I187" s="379" t="s">
        <v>326</v>
      </c>
      <c r="J187" s="379" t="s">
        <v>336</v>
      </c>
      <c r="K187" s="379" t="s">
        <v>334</v>
      </c>
      <c r="L187" s="379" t="s">
        <v>329</v>
      </c>
      <c r="M187" s="379" t="s">
        <v>327</v>
      </c>
      <c r="N187" s="379" t="s">
        <v>332</v>
      </c>
      <c r="P187" s="379">
        <f t="shared" si="2"/>
        <v>186</v>
      </c>
      <c r="Q187" s="445" t="str">
        <f t="shared" ref="Q187:X187" si="208">+RIGHT(G187,1)</f>
        <v>E</v>
      </c>
      <c r="R187" s="436" t="str">
        <f t="shared" si="208"/>
        <v>G</v>
      </c>
      <c r="S187" s="436" t="str">
        <f t="shared" si="208"/>
        <v>J</v>
      </c>
      <c r="T187" s="436" t="str">
        <f t="shared" si="208"/>
        <v>D</v>
      </c>
      <c r="U187" s="436" t="str">
        <f t="shared" si="208"/>
        <v>A</v>
      </c>
      <c r="V187" s="436" t="str">
        <f t="shared" si="208"/>
        <v>H</v>
      </c>
      <c r="W187" s="436" t="str">
        <f t="shared" si="208"/>
        <v>I</v>
      </c>
      <c r="X187" s="436" t="str">
        <f t="shared" si="208"/>
        <v>K</v>
      </c>
      <c r="Y187" s="446">
        <f t="shared" ca="1" si="4"/>
        <v>5</v>
      </c>
    </row>
    <row r="188" spans="1:25" ht="14.25" customHeight="1" x14ac:dyDescent="0.25">
      <c r="A188" s="379" t="s">
        <v>523</v>
      </c>
      <c r="F188" s="379">
        <v>187</v>
      </c>
      <c r="G188" s="379" t="s">
        <v>325</v>
      </c>
      <c r="H188" s="379" t="s">
        <v>326</v>
      </c>
      <c r="I188" s="379" t="s">
        <v>327</v>
      </c>
      <c r="J188" s="379" t="s">
        <v>336</v>
      </c>
      <c r="K188" s="379" t="s">
        <v>334</v>
      </c>
      <c r="L188" s="379" t="s">
        <v>328</v>
      </c>
      <c r="M188" s="379" t="s">
        <v>331</v>
      </c>
      <c r="N188" s="379" t="s">
        <v>332</v>
      </c>
      <c r="P188" s="379">
        <f t="shared" si="2"/>
        <v>187</v>
      </c>
      <c r="Q188" s="445" t="str">
        <f t="shared" ref="Q188:X188" si="209">+RIGHT(G188,1)</f>
        <v>E</v>
      </c>
      <c r="R188" s="436" t="str">
        <f t="shared" si="209"/>
        <v>J</v>
      </c>
      <c r="S188" s="436" t="str">
        <f t="shared" si="209"/>
        <v>I</v>
      </c>
      <c r="T188" s="436" t="str">
        <f t="shared" si="209"/>
        <v>D</v>
      </c>
      <c r="U188" s="436" t="str">
        <f t="shared" si="209"/>
        <v>A</v>
      </c>
      <c r="V188" s="436" t="str">
        <f t="shared" si="209"/>
        <v>F</v>
      </c>
      <c r="W188" s="436" t="str">
        <f t="shared" si="209"/>
        <v>L</v>
      </c>
      <c r="X188" s="436" t="str">
        <f t="shared" si="209"/>
        <v>K</v>
      </c>
      <c r="Y188" s="446">
        <f t="shared" ca="1" si="4"/>
        <v>5</v>
      </c>
    </row>
    <row r="189" spans="1:25" ht="14.25" customHeight="1" x14ac:dyDescent="0.25">
      <c r="A189" s="379" t="s">
        <v>524</v>
      </c>
      <c r="F189" s="379">
        <v>188</v>
      </c>
      <c r="G189" s="379" t="s">
        <v>329</v>
      </c>
      <c r="H189" s="379" t="s">
        <v>326</v>
      </c>
      <c r="I189" s="379" t="s">
        <v>325</v>
      </c>
      <c r="J189" s="379" t="s">
        <v>336</v>
      </c>
      <c r="K189" s="379" t="s">
        <v>334</v>
      </c>
      <c r="L189" s="379" t="s">
        <v>328</v>
      </c>
      <c r="M189" s="379" t="s">
        <v>331</v>
      </c>
      <c r="N189" s="379" t="s">
        <v>332</v>
      </c>
      <c r="P189" s="379">
        <f t="shared" si="2"/>
        <v>188</v>
      </c>
      <c r="Q189" s="445" t="str">
        <f t="shared" ref="Q189:X189" si="210">+RIGHT(G189,1)</f>
        <v>H</v>
      </c>
      <c r="R189" s="436" t="str">
        <f t="shared" si="210"/>
        <v>J</v>
      </c>
      <c r="S189" s="436" t="str">
        <f t="shared" si="210"/>
        <v>E</v>
      </c>
      <c r="T189" s="436" t="str">
        <f t="shared" si="210"/>
        <v>D</v>
      </c>
      <c r="U189" s="436" t="str">
        <f t="shared" si="210"/>
        <v>A</v>
      </c>
      <c r="V189" s="436" t="str">
        <f t="shared" si="210"/>
        <v>F</v>
      </c>
      <c r="W189" s="436" t="str">
        <f t="shared" si="210"/>
        <v>L</v>
      </c>
      <c r="X189" s="436" t="str">
        <f t="shared" si="210"/>
        <v>K</v>
      </c>
      <c r="Y189" s="446">
        <f t="shared" ca="1" si="4"/>
        <v>5</v>
      </c>
    </row>
    <row r="190" spans="1:25" ht="14.25" customHeight="1" x14ac:dyDescent="0.25">
      <c r="A190" s="379" t="s">
        <v>525</v>
      </c>
      <c r="F190" s="379">
        <v>189</v>
      </c>
      <c r="G190" s="379" t="s">
        <v>329</v>
      </c>
      <c r="H190" s="379" t="s">
        <v>325</v>
      </c>
      <c r="I190" s="379" t="s">
        <v>327</v>
      </c>
      <c r="J190" s="379" t="s">
        <v>336</v>
      </c>
      <c r="K190" s="379" t="s">
        <v>334</v>
      </c>
      <c r="L190" s="379" t="s">
        <v>328</v>
      </c>
      <c r="M190" s="379" t="s">
        <v>331</v>
      </c>
      <c r="N190" s="379" t="s">
        <v>332</v>
      </c>
      <c r="P190" s="379">
        <f t="shared" si="2"/>
        <v>189</v>
      </c>
      <c r="Q190" s="445" t="str">
        <f t="shared" ref="Q190:X190" si="211">+RIGHT(G190,1)</f>
        <v>H</v>
      </c>
      <c r="R190" s="436" t="str">
        <f t="shared" si="211"/>
        <v>E</v>
      </c>
      <c r="S190" s="436" t="str">
        <f t="shared" si="211"/>
        <v>I</v>
      </c>
      <c r="T190" s="436" t="str">
        <f t="shared" si="211"/>
        <v>D</v>
      </c>
      <c r="U190" s="436" t="str">
        <f t="shared" si="211"/>
        <v>A</v>
      </c>
      <c r="V190" s="436" t="str">
        <f t="shared" si="211"/>
        <v>F</v>
      </c>
      <c r="W190" s="436" t="str">
        <f t="shared" si="211"/>
        <v>L</v>
      </c>
      <c r="X190" s="436" t="str">
        <f t="shared" si="211"/>
        <v>K</v>
      </c>
      <c r="Y190" s="446">
        <f t="shared" ca="1" si="4"/>
        <v>6</v>
      </c>
    </row>
    <row r="191" spans="1:25" ht="14.25" customHeight="1" x14ac:dyDescent="0.25">
      <c r="A191" s="379" t="s">
        <v>526</v>
      </c>
      <c r="F191" s="379">
        <v>190</v>
      </c>
      <c r="G191" s="379" t="s">
        <v>329</v>
      </c>
      <c r="H191" s="379" t="s">
        <v>326</v>
      </c>
      <c r="I191" s="379" t="s">
        <v>325</v>
      </c>
      <c r="J191" s="379" t="s">
        <v>336</v>
      </c>
      <c r="K191" s="379" t="s">
        <v>334</v>
      </c>
      <c r="L191" s="379" t="s">
        <v>328</v>
      </c>
      <c r="M191" s="379" t="s">
        <v>331</v>
      </c>
      <c r="N191" s="379" t="s">
        <v>327</v>
      </c>
      <c r="P191" s="379">
        <f t="shared" si="2"/>
        <v>190</v>
      </c>
      <c r="Q191" s="445" t="str">
        <f t="shared" ref="Q191:X191" si="212">+RIGHT(G191,1)</f>
        <v>H</v>
      </c>
      <c r="R191" s="436" t="str">
        <f t="shared" si="212"/>
        <v>J</v>
      </c>
      <c r="S191" s="436" t="str">
        <f t="shared" si="212"/>
        <v>E</v>
      </c>
      <c r="T191" s="436" t="str">
        <f t="shared" si="212"/>
        <v>D</v>
      </c>
      <c r="U191" s="436" t="str">
        <f t="shared" si="212"/>
        <v>A</v>
      </c>
      <c r="V191" s="436" t="str">
        <f t="shared" si="212"/>
        <v>F</v>
      </c>
      <c r="W191" s="436" t="str">
        <f t="shared" si="212"/>
        <v>L</v>
      </c>
      <c r="X191" s="436" t="str">
        <f t="shared" si="212"/>
        <v>I</v>
      </c>
      <c r="Y191" s="446">
        <f t="shared" ca="1" si="4"/>
        <v>6</v>
      </c>
    </row>
    <row r="192" spans="1:25" ht="14.25" customHeight="1" x14ac:dyDescent="0.25">
      <c r="A192" s="379" t="s">
        <v>527</v>
      </c>
      <c r="F192" s="379">
        <v>191</v>
      </c>
      <c r="G192" s="379" t="s">
        <v>329</v>
      </c>
      <c r="H192" s="379" t="s">
        <v>326</v>
      </c>
      <c r="I192" s="379" t="s">
        <v>325</v>
      </c>
      <c r="J192" s="379" t="s">
        <v>336</v>
      </c>
      <c r="K192" s="379" t="s">
        <v>334</v>
      </c>
      <c r="L192" s="379" t="s">
        <v>328</v>
      </c>
      <c r="M192" s="379" t="s">
        <v>327</v>
      </c>
      <c r="N192" s="379" t="s">
        <v>332</v>
      </c>
      <c r="P192" s="379">
        <f t="shared" si="2"/>
        <v>191</v>
      </c>
      <c r="Q192" s="445" t="str">
        <f t="shared" ref="Q192:X192" si="213">+RIGHT(G192,1)</f>
        <v>H</v>
      </c>
      <c r="R192" s="436" t="str">
        <f t="shared" si="213"/>
        <v>J</v>
      </c>
      <c r="S192" s="436" t="str">
        <f t="shared" si="213"/>
        <v>E</v>
      </c>
      <c r="T192" s="436" t="str">
        <f t="shared" si="213"/>
        <v>D</v>
      </c>
      <c r="U192" s="436" t="str">
        <f t="shared" si="213"/>
        <v>A</v>
      </c>
      <c r="V192" s="436" t="str">
        <f t="shared" si="213"/>
        <v>F</v>
      </c>
      <c r="W192" s="436" t="str">
        <f t="shared" si="213"/>
        <v>I</v>
      </c>
      <c r="X192" s="436" t="str">
        <f t="shared" si="213"/>
        <v>K</v>
      </c>
      <c r="Y192" s="446">
        <f t="shared" ca="1" si="4"/>
        <v>5</v>
      </c>
    </row>
    <row r="193" spans="1:25" ht="14.25" customHeight="1" x14ac:dyDescent="0.25">
      <c r="A193" s="379" t="s">
        <v>528</v>
      </c>
      <c r="F193" s="379">
        <v>192</v>
      </c>
      <c r="G193" s="379" t="s">
        <v>325</v>
      </c>
      <c r="H193" s="379" t="s">
        <v>330</v>
      </c>
      <c r="I193" s="379" t="s">
        <v>326</v>
      </c>
      <c r="J193" s="379" t="s">
        <v>336</v>
      </c>
      <c r="K193" s="379" t="s">
        <v>334</v>
      </c>
      <c r="L193" s="379" t="s">
        <v>328</v>
      </c>
      <c r="M193" s="379" t="s">
        <v>331</v>
      </c>
      <c r="N193" s="379" t="s">
        <v>332</v>
      </c>
      <c r="P193" s="379">
        <f t="shared" si="2"/>
        <v>192</v>
      </c>
      <c r="Q193" s="445" t="str">
        <f t="shared" ref="Q193:X193" si="214">+RIGHT(G193,1)</f>
        <v>E</v>
      </c>
      <c r="R193" s="436" t="str">
        <f t="shared" si="214"/>
        <v>G</v>
      </c>
      <c r="S193" s="436" t="str">
        <f t="shared" si="214"/>
        <v>J</v>
      </c>
      <c r="T193" s="436" t="str">
        <f t="shared" si="214"/>
        <v>D</v>
      </c>
      <c r="U193" s="436" t="str">
        <f t="shared" si="214"/>
        <v>A</v>
      </c>
      <c r="V193" s="436" t="str">
        <f t="shared" si="214"/>
        <v>F</v>
      </c>
      <c r="W193" s="436" t="str">
        <f t="shared" si="214"/>
        <v>L</v>
      </c>
      <c r="X193" s="436" t="str">
        <f t="shared" si="214"/>
        <v>K</v>
      </c>
      <c r="Y193" s="446">
        <f t="shared" ca="1" si="4"/>
        <v>5</v>
      </c>
    </row>
    <row r="194" spans="1:25" ht="14.25" customHeight="1" x14ac:dyDescent="0.25">
      <c r="A194" s="379" t="s">
        <v>529</v>
      </c>
      <c r="F194" s="379">
        <v>193</v>
      </c>
      <c r="G194" s="379" t="s">
        <v>325</v>
      </c>
      <c r="H194" s="379" t="s">
        <v>330</v>
      </c>
      <c r="I194" s="379" t="s">
        <v>327</v>
      </c>
      <c r="J194" s="379" t="s">
        <v>336</v>
      </c>
      <c r="K194" s="379" t="s">
        <v>334</v>
      </c>
      <c r="L194" s="379" t="s">
        <v>328</v>
      </c>
      <c r="M194" s="379" t="s">
        <v>331</v>
      </c>
      <c r="N194" s="379" t="s">
        <v>332</v>
      </c>
      <c r="P194" s="379">
        <f t="shared" si="2"/>
        <v>193</v>
      </c>
      <c r="Q194" s="445" t="str">
        <f t="shared" ref="Q194:X194" si="215">+RIGHT(G194,1)</f>
        <v>E</v>
      </c>
      <c r="R194" s="436" t="str">
        <f t="shared" si="215"/>
        <v>G</v>
      </c>
      <c r="S194" s="436" t="str">
        <f t="shared" si="215"/>
        <v>I</v>
      </c>
      <c r="T194" s="436" t="str">
        <f t="shared" si="215"/>
        <v>D</v>
      </c>
      <c r="U194" s="436" t="str">
        <f t="shared" si="215"/>
        <v>A</v>
      </c>
      <c r="V194" s="436" t="str">
        <f t="shared" si="215"/>
        <v>F</v>
      </c>
      <c r="W194" s="436" t="str">
        <f t="shared" si="215"/>
        <v>L</v>
      </c>
      <c r="X194" s="436" t="str">
        <f t="shared" si="215"/>
        <v>K</v>
      </c>
      <c r="Y194" s="446">
        <f t="shared" ca="1" si="4"/>
        <v>6</v>
      </c>
    </row>
    <row r="195" spans="1:25" ht="14.25" customHeight="1" x14ac:dyDescent="0.25">
      <c r="A195" s="379" t="s">
        <v>530</v>
      </c>
      <c r="F195" s="379">
        <v>194</v>
      </c>
      <c r="G195" s="379" t="s">
        <v>325</v>
      </c>
      <c r="H195" s="379" t="s">
        <v>330</v>
      </c>
      <c r="I195" s="379" t="s">
        <v>326</v>
      </c>
      <c r="J195" s="379" t="s">
        <v>336</v>
      </c>
      <c r="K195" s="379" t="s">
        <v>334</v>
      </c>
      <c r="L195" s="379" t="s">
        <v>328</v>
      </c>
      <c r="M195" s="379" t="s">
        <v>331</v>
      </c>
      <c r="N195" s="379" t="s">
        <v>327</v>
      </c>
      <c r="P195" s="379">
        <f t="shared" si="2"/>
        <v>194</v>
      </c>
      <c r="Q195" s="445" t="str">
        <f t="shared" ref="Q195:X195" si="216">+RIGHT(G195,1)</f>
        <v>E</v>
      </c>
      <c r="R195" s="436" t="str">
        <f t="shared" si="216"/>
        <v>G</v>
      </c>
      <c r="S195" s="436" t="str">
        <f t="shared" si="216"/>
        <v>J</v>
      </c>
      <c r="T195" s="436" t="str">
        <f t="shared" si="216"/>
        <v>D</v>
      </c>
      <c r="U195" s="436" t="str">
        <f t="shared" si="216"/>
        <v>A</v>
      </c>
      <c r="V195" s="436" t="str">
        <f t="shared" si="216"/>
        <v>F</v>
      </c>
      <c r="W195" s="436" t="str">
        <f t="shared" si="216"/>
        <v>L</v>
      </c>
      <c r="X195" s="436" t="str">
        <f t="shared" si="216"/>
        <v>I</v>
      </c>
      <c r="Y195" s="446">
        <f t="shared" ca="1" si="4"/>
        <v>6</v>
      </c>
    </row>
    <row r="196" spans="1:25" ht="14.25" customHeight="1" x14ac:dyDescent="0.25">
      <c r="A196" s="379" t="s">
        <v>531</v>
      </c>
      <c r="F196" s="379">
        <v>195</v>
      </c>
      <c r="G196" s="379" t="s">
        <v>325</v>
      </c>
      <c r="H196" s="379" t="s">
        <v>330</v>
      </c>
      <c r="I196" s="379" t="s">
        <v>326</v>
      </c>
      <c r="J196" s="379" t="s">
        <v>336</v>
      </c>
      <c r="K196" s="379" t="s">
        <v>334</v>
      </c>
      <c r="L196" s="379" t="s">
        <v>328</v>
      </c>
      <c r="M196" s="379" t="s">
        <v>327</v>
      </c>
      <c r="N196" s="379" t="s">
        <v>332</v>
      </c>
      <c r="P196" s="379">
        <f t="shared" si="2"/>
        <v>195</v>
      </c>
      <c r="Q196" s="445" t="str">
        <f t="shared" ref="Q196:X196" si="217">+RIGHT(G196,1)</f>
        <v>E</v>
      </c>
      <c r="R196" s="436" t="str">
        <f t="shared" si="217"/>
        <v>G</v>
      </c>
      <c r="S196" s="436" t="str">
        <f t="shared" si="217"/>
        <v>J</v>
      </c>
      <c r="T196" s="436" t="str">
        <f t="shared" si="217"/>
        <v>D</v>
      </c>
      <c r="U196" s="436" t="str">
        <f t="shared" si="217"/>
        <v>A</v>
      </c>
      <c r="V196" s="436" t="str">
        <f t="shared" si="217"/>
        <v>F</v>
      </c>
      <c r="W196" s="436" t="str">
        <f t="shared" si="217"/>
        <v>I</v>
      </c>
      <c r="X196" s="436" t="str">
        <f t="shared" si="217"/>
        <v>K</v>
      </c>
      <c r="Y196" s="446">
        <f t="shared" ca="1" si="4"/>
        <v>5</v>
      </c>
    </row>
    <row r="197" spans="1:25" ht="14.25" customHeight="1" x14ac:dyDescent="0.25">
      <c r="A197" s="379" t="s">
        <v>532</v>
      </c>
      <c r="F197" s="379">
        <v>196</v>
      </c>
      <c r="G197" s="379" t="s">
        <v>329</v>
      </c>
      <c r="H197" s="379" t="s">
        <v>330</v>
      </c>
      <c r="I197" s="379" t="s">
        <v>325</v>
      </c>
      <c r="J197" s="379" t="s">
        <v>336</v>
      </c>
      <c r="K197" s="379" t="s">
        <v>334</v>
      </c>
      <c r="L197" s="379" t="s">
        <v>328</v>
      </c>
      <c r="M197" s="379" t="s">
        <v>331</v>
      </c>
      <c r="N197" s="379" t="s">
        <v>332</v>
      </c>
      <c r="P197" s="379">
        <f t="shared" si="2"/>
        <v>196</v>
      </c>
      <c r="Q197" s="445" t="str">
        <f t="shared" ref="Q197:X197" si="218">+RIGHT(G197,1)</f>
        <v>H</v>
      </c>
      <c r="R197" s="436" t="str">
        <f t="shared" si="218"/>
        <v>G</v>
      </c>
      <c r="S197" s="436" t="str">
        <f t="shared" si="218"/>
        <v>E</v>
      </c>
      <c r="T197" s="436" t="str">
        <f t="shared" si="218"/>
        <v>D</v>
      </c>
      <c r="U197" s="436" t="str">
        <f t="shared" si="218"/>
        <v>A</v>
      </c>
      <c r="V197" s="436" t="str">
        <f t="shared" si="218"/>
        <v>F</v>
      </c>
      <c r="W197" s="436" t="str">
        <f t="shared" si="218"/>
        <v>L</v>
      </c>
      <c r="X197" s="436" t="str">
        <f t="shared" si="218"/>
        <v>K</v>
      </c>
      <c r="Y197" s="446">
        <f t="shared" ca="1" si="4"/>
        <v>6</v>
      </c>
    </row>
    <row r="198" spans="1:25" ht="14.25" customHeight="1" x14ac:dyDescent="0.25">
      <c r="A198" s="379" t="s">
        <v>533</v>
      </c>
      <c r="F198" s="379">
        <v>197</v>
      </c>
      <c r="G198" s="379" t="s">
        <v>329</v>
      </c>
      <c r="H198" s="379" t="s">
        <v>330</v>
      </c>
      <c r="I198" s="379" t="s">
        <v>326</v>
      </c>
      <c r="J198" s="379" t="s">
        <v>336</v>
      </c>
      <c r="K198" s="379" t="s">
        <v>334</v>
      </c>
      <c r="L198" s="379" t="s">
        <v>328</v>
      </c>
      <c r="M198" s="379" t="s">
        <v>331</v>
      </c>
      <c r="N198" s="379" t="s">
        <v>325</v>
      </c>
      <c r="P198" s="379">
        <f t="shared" si="2"/>
        <v>197</v>
      </c>
      <c r="Q198" s="445" t="str">
        <f t="shared" ref="Q198:X198" si="219">+RIGHT(G198,1)</f>
        <v>H</v>
      </c>
      <c r="R198" s="436" t="str">
        <f t="shared" si="219"/>
        <v>G</v>
      </c>
      <c r="S198" s="436" t="str">
        <f t="shared" si="219"/>
        <v>J</v>
      </c>
      <c r="T198" s="436" t="str">
        <f t="shared" si="219"/>
        <v>D</v>
      </c>
      <c r="U198" s="436" t="str">
        <f t="shared" si="219"/>
        <v>A</v>
      </c>
      <c r="V198" s="436" t="str">
        <f t="shared" si="219"/>
        <v>F</v>
      </c>
      <c r="W198" s="436" t="str">
        <f t="shared" si="219"/>
        <v>L</v>
      </c>
      <c r="X198" s="436" t="str">
        <f t="shared" si="219"/>
        <v>E</v>
      </c>
      <c r="Y198" s="446">
        <f t="shared" ca="1" si="4"/>
        <v>6</v>
      </c>
    </row>
    <row r="199" spans="1:25" ht="14.25" customHeight="1" x14ac:dyDescent="0.25">
      <c r="A199" s="379" t="s">
        <v>534</v>
      </c>
      <c r="F199" s="379">
        <v>198</v>
      </c>
      <c r="G199" s="379" t="s">
        <v>329</v>
      </c>
      <c r="H199" s="379" t="s">
        <v>330</v>
      </c>
      <c r="I199" s="379" t="s">
        <v>326</v>
      </c>
      <c r="J199" s="379" t="s">
        <v>336</v>
      </c>
      <c r="K199" s="379" t="s">
        <v>334</v>
      </c>
      <c r="L199" s="379" t="s">
        <v>328</v>
      </c>
      <c r="M199" s="379" t="s">
        <v>325</v>
      </c>
      <c r="N199" s="379" t="s">
        <v>332</v>
      </c>
      <c r="P199" s="379">
        <f t="shared" si="2"/>
        <v>198</v>
      </c>
      <c r="Q199" s="445" t="str">
        <f t="shared" ref="Q199:X199" si="220">+RIGHT(G199,1)</f>
        <v>H</v>
      </c>
      <c r="R199" s="436" t="str">
        <f t="shared" si="220"/>
        <v>G</v>
      </c>
      <c r="S199" s="436" t="str">
        <f t="shared" si="220"/>
        <v>J</v>
      </c>
      <c r="T199" s="436" t="str">
        <f t="shared" si="220"/>
        <v>D</v>
      </c>
      <c r="U199" s="436" t="str">
        <f t="shared" si="220"/>
        <v>A</v>
      </c>
      <c r="V199" s="436" t="str">
        <f t="shared" si="220"/>
        <v>F</v>
      </c>
      <c r="W199" s="436" t="str">
        <f t="shared" si="220"/>
        <v>E</v>
      </c>
      <c r="X199" s="436" t="str">
        <f t="shared" si="220"/>
        <v>K</v>
      </c>
      <c r="Y199" s="446">
        <f t="shared" ca="1" si="4"/>
        <v>5</v>
      </c>
    </row>
    <row r="200" spans="1:25" ht="14.25" customHeight="1" x14ac:dyDescent="0.25">
      <c r="A200" s="379" t="s">
        <v>535</v>
      </c>
      <c r="F200" s="379">
        <v>199</v>
      </c>
      <c r="G200" s="379" t="s">
        <v>329</v>
      </c>
      <c r="H200" s="379" t="s">
        <v>330</v>
      </c>
      <c r="I200" s="379" t="s">
        <v>325</v>
      </c>
      <c r="J200" s="379" t="s">
        <v>336</v>
      </c>
      <c r="K200" s="379" t="s">
        <v>334</v>
      </c>
      <c r="L200" s="379" t="s">
        <v>328</v>
      </c>
      <c r="M200" s="379" t="s">
        <v>331</v>
      </c>
      <c r="N200" s="379" t="s">
        <v>327</v>
      </c>
      <c r="P200" s="379">
        <f t="shared" si="2"/>
        <v>199</v>
      </c>
      <c r="Q200" s="445" t="str">
        <f t="shared" ref="Q200:X200" si="221">+RIGHT(G200,1)</f>
        <v>H</v>
      </c>
      <c r="R200" s="436" t="str">
        <f t="shared" si="221"/>
        <v>G</v>
      </c>
      <c r="S200" s="436" t="str">
        <f t="shared" si="221"/>
        <v>E</v>
      </c>
      <c r="T200" s="436" t="str">
        <f t="shared" si="221"/>
        <v>D</v>
      </c>
      <c r="U200" s="436" t="str">
        <f t="shared" si="221"/>
        <v>A</v>
      </c>
      <c r="V200" s="436" t="str">
        <f t="shared" si="221"/>
        <v>F</v>
      </c>
      <c r="W200" s="436" t="str">
        <f t="shared" si="221"/>
        <v>L</v>
      </c>
      <c r="X200" s="436" t="str">
        <f t="shared" si="221"/>
        <v>I</v>
      </c>
      <c r="Y200" s="446">
        <f t="shared" ca="1" si="4"/>
        <v>7</v>
      </c>
    </row>
    <row r="201" spans="1:25" ht="14.25" customHeight="1" x14ac:dyDescent="0.25">
      <c r="A201" s="379" t="s">
        <v>536</v>
      </c>
      <c r="F201" s="379">
        <v>200</v>
      </c>
      <c r="G201" s="379" t="s">
        <v>329</v>
      </c>
      <c r="H201" s="379" t="s">
        <v>330</v>
      </c>
      <c r="I201" s="379" t="s">
        <v>325</v>
      </c>
      <c r="J201" s="379" t="s">
        <v>336</v>
      </c>
      <c r="K201" s="379" t="s">
        <v>334</v>
      </c>
      <c r="L201" s="379" t="s">
        <v>328</v>
      </c>
      <c r="M201" s="379" t="s">
        <v>327</v>
      </c>
      <c r="N201" s="379" t="s">
        <v>332</v>
      </c>
      <c r="P201" s="379">
        <f t="shared" si="2"/>
        <v>200</v>
      </c>
      <c r="Q201" s="445" t="str">
        <f t="shared" ref="Q201:X201" si="222">+RIGHT(G201,1)</f>
        <v>H</v>
      </c>
      <c r="R201" s="436" t="str">
        <f t="shared" si="222"/>
        <v>G</v>
      </c>
      <c r="S201" s="436" t="str">
        <f t="shared" si="222"/>
        <v>E</v>
      </c>
      <c r="T201" s="436" t="str">
        <f t="shared" si="222"/>
        <v>D</v>
      </c>
      <c r="U201" s="436" t="str">
        <f t="shared" si="222"/>
        <v>A</v>
      </c>
      <c r="V201" s="436" t="str">
        <f t="shared" si="222"/>
        <v>F</v>
      </c>
      <c r="W201" s="436" t="str">
        <f t="shared" si="222"/>
        <v>I</v>
      </c>
      <c r="X201" s="436" t="str">
        <f t="shared" si="222"/>
        <v>K</v>
      </c>
      <c r="Y201" s="446">
        <f t="shared" ca="1" si="4"/>
        <v>6</v>
      </c>
    </row>
    <row r="202" spans="1:25" ht="14.25" customHeight="1" x14ac:dyDescent="0.25">
      <c r="A202" s="379" t="s">
        <v>537</v>
      </c>
      <c r="F202" s="379">
        <v>201</v>
      </c>
      <c r="G202" s="379" t="s">
        <v>329</v>
      </c>
      <c r="H202" s="379" t="s">
        <v>330</v>
      </c>
      <c r="I202" s="379" t="s">
        <v>326</v>
      </c>
      <c r="J202" s="379" t="s">
        <v>336</v>
      </c>
      <c r="K202" s="379" t="s">
        <v>334</v>
      </c>
      <c r="L202" s="379" t="s">
        <v>328</v>
      </c>
      <c r="M202" s="379" t="s">
        <v>325</v>
      </c>
      <c r="N202" s="379" t="s">
        <v>327</v>
      </c>
      <c r="P202" s="379">
        <f t="shared" si="2"/>
        <v>201</v>
      </c>
      <c r="Q202" s="445" t="str">
        <f t="shared" ref="Q202:X202" si="223">+RIGHT(G202,1)</f>
        <v>H</v>
      </c>
      <c r="R202" s="436" t="str">
        <f t="shared" si="223"/>
        <v>G</v>
      </c>
      <c r="S202" s="436" t="str">
        <f t="shared" si="223"/>
        <v>J</v>
      </c>
      <c r="T202" s="436" t="str">
        <f t="shared" si="223"/>
        <v>D</v>
      </c>
      <c r="U202" s="436" t="str">
        <f t="shared" si="223"/>
        <v>A</v>
      </c>
      <c r="V202" s="436" t="str">
        <f t="shared" si="223"/>
        <v>F</v>
      </c>
      <c r="W202" s="436" t="str">
        <f t="shared" si="223"/>
        <v>E</v>
      </c>
      <c r="X202" s="436" t="str">
        <f t="shared" si="223"/>
        <v>I</v>
      </c>
      <c r="Y202" s="446">
        <f t="shared" ca="1" si="4"/>
        <v>6</v>
      </c>
    </row>
    <row r="203" spans="1:25" ht="14.25" customHeight="1" x14ac:dyDescent="0.25">
      <c r="A203" s="379" t="s">
        <v>538</v>
      </c>
      <c r="F203" s="379">
        <v>202</v>
      </c>
      <c r="G203" s="379" t="s">
        <v>329</v>
      </c>
      <c r="H203" s="379" t="s">
        <v>326</v>
      </c>
      <c r="I203" s="379" t="s">
        <v>327</v>
      </c>
      <c r="J203" s="379" t="s">
        <v>339</v>
      </c>
      <c r="K203" s="379" t="s">
        <v>334</v>
      </c>
      <c r="L203" s="379" t="s">
        <v>330</v>
      </c>
      <c r="M203" s="379" t="s">
        <v>331</v>
      </c>
      <c r="N203" s="379" t="s">
        <v>332</v>
      </c>
      <c r="P203" s="379">
        <f t="shared" si="2"/>
        <v>202</v>
      </c>
      <c r="Q203" s="445" t="str">
        <f t="shared" ref="Q203:X203" si="224">+RIGHT(G203,1)</f>
        <v>H</v>
      </c>
      <c r="R203" s="436" t="str">
        <f t="shared" si="224"/>
        <v>J</v>
      </c>
      <c r="S203" s="436" t="str">
        <f t="shared" si="224"/>
        <v>I</v>
      </c>
      <c r="T203" s="436" t="str">
        <f t="shared" si="224"/>
        <v>C</v>
      </c>
      <c r="U203" s="436" t="str">
        <f t="shared" si="224"/>
        <v>A</v>
      </c>
      <c r="V203" s="436" t="str">
        <f t="shared" si="224"/>
        <v>G</v>
      </c>
      <c r="W203" s="436" t="str">
        <f t="shared" si="224"/>
        <v>L</v>
      </c>
      <c r="X203" s="436" t="str">
        <f t="shared" si="224"/>
        <v>K</v>
      </c>
      <c r="Y203" s="446">
        <f t="shared" ca="1" si="4"/>
        <v>6</v>
      </c>
    </row>
    <row r="204" spans="1:25" ht="14.25" customHeight="1" x14ac:dyDescent="0.25">
      <c r="A204" s="379" t="s">
        <v>539</v>
      </c>
      <c r="F204" s="379">
        <v>203</v>
      </c>
      <c r="G204" s="379" t="s">
        <v>329</v>
      </c>
      <c r="H204" s="379" t="s">
        <v>326</v>
      </c>
      <c r="I204" s="379" t="s">
        <v>327</v>
      </c>
      <c r="J204" s="379" t="s">
        <v>339</v>
      </c>
      <c r="K204" s="379" t="s">
        <v>334</v>
      </c>
      <c r="L204" s="379" t="s">
        <v>328</v>
      </c>
      <c r="M204" s="379" t="s">
        <v>331</v>
      </c>
      <c r="N204" s="379" t="s">
        <v>332</v>
      </c>
      <c r="P204" s="379">
        <f t="shared" si="2"/>
        <v>203</v>
      </c>
      <c r="Q204" s="445" t="str">
        <f t="shared" ref="Q204:X204" si="225">+RIGHT(G204,1)</f>
        <v>H</v>
      </c>
      <c r="R204" s="436" t="str">
        <f t="shared" si="225"/>
        <v>J</v>
      </c>
      <c r="S204" s="436" t="str">
        <f t="shared" si="225"/>
        <v>I</v>
      </c>
      <c r="T204" s="436" t="str">
        <f t="shared" si="225"/>
        <v>C</v>
      </c>
      <c r="U204" s="436" t="str">
        <f t="shared" si="225"/>
        <v>A</v>
      </c>
      <c r="V204" s="436" t="str">
        <f t="shared" si="225"/>
        <v>F</v>
      </c>
      <c r="W204" s="436" t="str">
        <f t="shared" si="225"/>
        <v>L</v>
      </c>
      <c r="X204" s="436" t="str">
        <f t="shared" si="225"/>
        <v>K</v>
      </c>
      <c r="Y204" s="446">
        <f t="shared" ca="1" si="4"/>
        <v>6</v>
      </c>
    </row>
    <row r="205" spans="1:25" ht="14.25" customHeight="1" x14ac:dyDescent="0.25">
      <c r="A205" s="379" t="s">
        <v>540</v>
      </c>
      <c r="F205" s="379">
        <v>204</v>
      </c>
      <c r="G205" s="379" t="s">
        <v>327</v>
      </c>
      <c r="H205" s="379" t="s">
        <v>330</v>
      </c>
      <c r="I205" s="379" t="s">
        <v>326</v>
      </c>
      <c r="J205" s="379" t="s">
        <v>339</v>
      </c>
      <c r="K205" s="379" t="s">
        <v>334</v>
      </c>
      <c r="L205" s="379" t="s">
        <v>328</v>
      </c>
      <c r="M205" s="379" t="s">
        <v>331</v>
      </c>
      <c r="N205" s="379" t="s">
        <v>332</v>
      </c>
      <c r="P205" s="379">
        <f t="shared" si="2"/>
        <v>204</v>
      </c>
      <c r="Q205" s="445" t="str">
        <f t="shared" ref="Q205:X205" si="226">+RIGHT(G205,1)</f>
        <v>I</v>
      </c>
      <c r="R205" s="436" t="str">
        <f t="shared" si="226"/>
        <v>G</v>
      </c>
      <c r="S205" s="436" t="str">
        <f t="shared" si="226"/>
        <v>J</v>
      </c>
      <c r="T205" s="436" t="str">
        <f t="shared" si="226"/>
        <v>C</v>
      </c>
      <c r="U205" s="436" t="str">
        <f t="shared" si="226"/>
        <v>A</v>
      </c>
      <c r="V205" s="436" t="str">
        <f t="shared" si="226"/>
        <v>F</v>
      </c>
      <c r="W205" s="436" t="str">
        <f t="shared" si="226"/>
        <v>L</v>
      </c>
      <c r="X205" s="436" t="str">
        <f t="shared" si="226"/>
        <v>K</v>
      </c>
      <c r="Y205" s="446">
        <f t="shared" ca="1" si="4"/>
        <v>6</v>
      </c>
    </row>
    <row r="206" spans="1:25" ht="14.25" customHeight="1" x14ac:dyDescent="0.25">
      <c r="A206" s="379" t="s">
        <v>541</v>
      </c>
      <c r="F206" s="379">
        <v>205</v>
      </c>
      <c r="G206" s="379" t="s">
        <v>329</v>
      </c>
      <c r="H206" s="379" t="s">
        <v>330</v>
      </c>
      <c r="I206" s="379" t="s">
        <v>326</v>
      </c>
      <c r="J206" s="379" t="s">
        <v>339</v>
      </c>
      <c r="K206" s="379" t="s">
        <v>334</v>
      </c>
      <c r="L206" s="379" t="s">
        <v>328</v>
      </c>
      <c r="M206" s="379" t="s">
        <v>331</v>
      </c>
      <c r="N206" s="379" t="s">
        <v>332</v>
      </c>
      <c r="P206" s="379">
        <f t="shared" si="2"/>
        <v>205</v>
      </c>
      <c r="Q206" s="445" t="str">
        <f t="shared" ref="Q206:X206" si="227">+RIGHT(G206,1)</f>
        <v>H</v>
      </c>
      <c r="R206" s="436" t="str">
        <f t="shared" si="227"/>
        <v>G</v>
      </c>
      <c r="S206" s="436" t="str">
        <f t="shared" si="227"/>
        <v>J</v>
      </c>
      <c r="T206" s="436" t="str">
        <f t="shared" si="227"/>
        <v>C</v>
      </c>
      <c r="U206" s="436" t="str">
        <f t="shared" si="227"/>
        <v>A</v>
      </c>
      <c r="V206" s="436" t="str">
        <f t="shared" si="227"/>
        <v>F</v>
      </c>
      <c r="W206" s="436" t="str">
        <f t="shared" si="227"/>
        <v>L</v>
      </c>
      <c r="X206" s="436" t="str">
        <f t="shared" si="227"/>
        <v>K</v>
      </c>
      <c r="Y206" s="446">
        <f t="shared" ca="1" si="4"/>
        <v>6</v>
      </c>
    </row>
    <row r="207" spans="1:25" ht="14.25" customHeight="1" x14ac:dyDescent="0.25">
      <c r="A207" s="379" t="s">
        <v>542</v>
      </c>
      <c r="F207" s="379">
        <v>206</v>
      </c>
      <c r="G207" s="379" t="s">
        <v>329</v>
      </c>
      <c r="H207" s="379" t="s">
        <v>330</v>
      </c>
      <c r="I207" s="379" t="s">
        <v>327</v>
      </c>
      <c r="J207" s="379" t="s">
        <v>339</v>
      </c>
      <c r="K207" s="379" t="s">
        <v>334</v>
      </c>
      <c r="L207" s="379" t="s">
        <v>328</v>
      </c>
      <c r="M207" s="379" t="s">
        <v>331</v>
      </c>
      <c r="N207" s="379" t="s">
        <v>332</v>
      </c>
      <c r="P207" s="379">
        <f t="shared" si="2"/>
        <v>206</v>
      </c>
      <c r="Q207" s="445" t="str">
        <f t="shared" ref="Q207:X207" si="228">+RIGHT(G207,1)</f>
        <v>H</v>
      </c>
      <c r="R207" s="436" t="str">
        <f t="shared" si="228"/>
        <v>G</v>
      </c>
      <c r="S207" s="436" t="str">
        <f t="shared" si="228"/>
        <v>I</v>
      </c>
      <c r="T207" s="436" t="str">
        <f t="shared" si="228"/>
        <v>C</v>
      </c>
      <c r="U207" s="436" t="str">
        <f t="shared" si="228"/>
        <v>A</v>
      </c>
      <c r="V207" s="436" t="str">
        <f t="shared" si="228"/>
        <v>F</v>
      </c>
      <c r="W207" s="436" t="str">
        <f t="shared" si="228"/>
        <v>L</v>
      </c>
      <c r="X207" s="436" t="str">
        <f t="shared" si="228"/>
        <v>K</v>
      </c>
      <c r="Y207" s="446">
        <f t="shared" ca="1" si="4"/>
        <v>7</v>
      </c>
    </row>
    <row r="208" spans="1:25" ht="14.25" customHeight="1" x14ac:dyDescent="0.25">
      <c r="A208" s="379" t="s">
        <v>543</v>
      </c>
      <c r="F208" s="379">
        <v>207</v>
      </c>
      <c r="G208" s="379" t="s">
        <v>329</v>
      </c>
      <c r="H208" s="379" t="s">
        <v>330</v>
      </c>
      <c r="I208" s="379" t="s">
        <v>326</v>
      </c>
      <c r="J208" s="379" t="s">
        <v>339</v>
      </c>
      <c r="K208" s="379" t="s">
        <v>334</v>
      </c>
      <c r="L208" s="379" t="s">
        <v>328</v>
      </c>
      <c r="M208" s="379" t="s">
        <v>331</v>
      </c>
      <c r="N208" s="379" t="s">
        <v>327</v>
      </c>
      <c r="P208" s="379">
        <f t="shared" si="2"/>
        <v>207</v>
      </c>
      <c r="Q208" s="445" t="str">
        <f t="shared" ref="Q208:X208" si="229">+RIGHT(G208,1)</f>
        <v>H</v>
      </c>
      <c r="R208" s="436" t="str">
        <f t="shared" si="229"/>
        <v>G</v>
      </c>
      <c r="S208" s="436" t="str">
        <f t="shared" si="229"/>
        <v>J</v>
      </c>
      <c r="T208" s="436" t="str">
        <f t="shared" si="229"/>
        <v>C</v>
      </c>
      <c r="U208" s="436" t="str">
        <f t="shared" si="229"/>
        <v>A</v>
      </c>
      <c r="V208" s="436" t="str">
        <f t="shared" si="229"/>
        <v>F</v>
      </c>
      <c r="W208" s="436" t="str">
        <f t="shared" si="229"/>
        <v>L</v>
      </c>
      <c r="X208" s="436" t="str">
        <f t="shared" si="229"/>
        <v>I</v>
      </c>
      <c r="Y208" s="446">
        <f t="shared" ca="1" si="4"/>
        <v>7</v>
      </c>
    </row>
    <row r="209" spans="1:25" ht="14.25" customHeight="1" x14ac:dyDescent="0.25">
      <c r="A209" s="379" t="s">
        <v>544</v>
      </c>
      <c r="F209" s="379">
        <v>208</v>
      </c>
      <c r="G209" s="379" t="s">
        <v>329</v>
      </c>
      <c r="H209" s="379" t="s">
        <v>330</v>
      </c>
      <c r="I209" s="379" t="s">
        <v>326</v>
      </c>
      <c r="J209" s="379" t="s">
        <v>339</v>
      </c>
      <c r="K209" s="379" t="s">
        <v>334</v>
      </c>
      <c r="L209" s="379" t="s">
        <v>328</v>
      </c>
      <c r="M209" s="379" t="s">
        <v>327</v>
      </c>
      <c r="N209" s="379" t="s">
        <v>332</v>
      </c>
      <c r="P209" s="379">
        <f t="shared" si="2"/>
        <v>208</v>
      </c>
      <c r="Q209" s="445" t="str">
        <f t="shared" ref="Q209:X209" si="230">+RIGHT(G209,1)</f>
        <v>H</v>
      </c>
      <c r="R209" s="436" t="str">
        <f t="shared" si="230"/>
        <v>G</v>
      </c>
      <c r="S209" s="436" t="str">
        <f t="shared" si="230"/>
        <v>J</v>
      </c>
      <c r="T209" s="436" t="str">
        <f t="shared" si="230"/>
        <v>C</v>
      </c>
      <c r="U209" s="436" t="str">
        <f t="shared" si="230"/>
        <v>A</v>
      </c>
      <c r="V209" s="436" t="str">
        <f t="shared" si="230"/>
        <v>F</v>
      </c>
      <c r="W209" s="436" t="str">
        <f t="shared" si="230"/>
        <v>I</v>
      </c>
      <c r="X209" s="436" t="str">
        <f t="shared" si="230"/>
        <v>K</v>
      </c>
      <c r="Y209" s="446">
        <f t="shared" ca="1" si="4"/>
        <v>6</v>
      </c>
    </row>
    <row r="210" spans="1:25" ht="14.25" customHeight="1" x14ac:dyDescent="0.25">
      <c r="A210" s="379" t="s">
        <v>545</v>
      </c>
      <c r="F210" s="379">
        <v>209</v>
      </c>
      <c r="G210" s="379" t="s">
        <v>325</v>
      </c>
      <c r="H210" s="379" t="s">
        <v>326</v>
      </c>
      <c r="I210" s="379" t="s">
        <v>327</v>
      </c>
      <c r="J210" s="379" t="s">
        <v>339</v>
      </c>
      <c r="K210" s="379" t="s">
        <v>334</v>
      </c>
      <c r="L210" s="379" t="s">
        <v>329</v>
      </c>
      <c r="M210" s="379" t="s">
        <v>331</v>
      </c>
      <c r="N210" s="379" t="s">
        <v>332</v>
      </c>
      <c r="P210" s="379">
        <f t="shared" si="2"/>
        <v>209</v>
      </c>
      <c r="Q210" s="445" t="str">
        <f t="shared" ref="Q210:X210" si="231">+RIGHT(G210,1)</f>
        <v>E</v>
      </c>
      <c r="R210" s="436" t="str">
        <f t="shared" si="231"/>
        <v>J</v>
      </c>
      <c r="S210" s="436" t="str">
        <f t="shared" si="231"/>
        <v>I</v>
      </c>
      <c r="T210" s="436" t="str">
        <f t="shared" si="231"/>
        <v>C</v>
      </c>
      <c r="U210" s="436" t="str">
        <f t="shared" si="231"/>
        <v>A</v>
      </c>
      <c r="V210" s="436" t="str">
        <f t="shared" si="231"/>
        <v>H</v>
      </c>
      <c r="W210" s="436" t="str">
        <f t="shared" si="231"/>
        <v>L</v>
      </c>
      <c r="X210" s="436" t="str">
        <f t="shared" si="231"/>
        <v>K</v>
      </c>
      <c r="Y210" s="446">
        <f t="shared" ca="1" si="4"/>
        <v>5</v>
      </c>
    </row>
    <row r="211" spans="1:25" ht="14.25" customHeight="1" x14ac:dyDescent="0.25">
      <c r="A211" s="379" t="s">
        <v>546</v>
      </c>
      <c r="F211" s="379">
        <v>210</v>
      </c>
      <c r="G211" s="379" t="s">
        <v>325</v>
      </c>
      <c r="H211" s="379" t="s">
        <v>326</v>
      </c>
      <c r="I211" s="379" t="s">
        <v>327</v>
      </c>
      <c r="J211" s="379" t="s">
        <v>339</v>
      </c>
      <c r="K211" s="379" t="s">
        <v>334</v>
      </c>
      <c r="L211" s="379" t="s">
        <v>330</v>
      </c>
      <c r="M211" s="379" t="s">
        <v>331</v>
      </c>
      <c r="N211" s="379" t="s">
        <v>332</v>
      </c>
      <c r="P211" s="379">
        <f t="shared" si="2"/>
        <v>210</v>
      </c>
      <c r="Q211" s="445" t="str">
        <f t="shared" ref="Q211:X211" si="232">+RIGHT(G211,1)</f>
        <v>E</v>
      </c>
      <c r="R211" s="436" t="str">
        <f t="shared" si="232"/>
        <v>J</v>
      </c>
      <c r="S211" s="436" t="str">
        <f t="shared" si="232"/>
        <v>I</v>
      </c>
      <c r="T211" s="436" t="str">
        <f t="shared" si="232"/>
        <v>C</v>
      </c>
      <c r="U211" s="436" t="str">
        <f t="shared" si="232"/>
        <v>A</v>
      </c>
      <c r="V211" s="436" t="str">
        <f t="shared" si="232"/>
        <v>G</v>
      </c>
      <c r="W211" s="436" t="str">
        <f t="shared" si="232"/>
        <v>L</v>
      </c>
      <c r="X211" s="436" t="str">
        <f t="shared" si="232"/>
        <v>K</v>
      </c>
      <c r="Y211" s="446">
        <f t="shared" ca="1" si="4"/>
        <v>5</v>
      </c>
    </row>
    <row r="212" spans="1:25" ht="14.25" customHeight="1" x14ac:dyDescent="0.25">
      <c r="A212" s="379" t="s">
        <v>547</v>
      </c>
      <c r="F212" s="379">
        <v>211</v>
      </c>
      <c r="G212" s="379" t="s">
        <v>325</v>
      </c>
      <c r="H212" s="379" t="s">
        <v>330</v>
      </c>
      <c r="I212" s="379" t="s">
        <v>326</v>
      </c>
      <c r="J212" s="379" t="s">
        <v>339</v>
      </c>
      <c r="K212" s="379" t="s">
        <v>334</v>
      </c>
      <c r="L212" s="379" t="s">
        <v>329</v>
      </c>
      <c r="M212" s="379" t="s">
        <v>331</v>
      </c>
      <c r="N212" s="379" t="s">
        <v>332</v>
      </c>
      <c r="P212" s="379">
        <f t="shared" si="2"/>
        <v>211</v>
      </c>
      <c r="Q212" s="445" t="str">
        <f t="shared" ref="Q212:X212" si="233">+RIGHT(G212,1)</f>
        <v>E</v>
      </c>
      <c r="R212" s="436" t="str">
        <f t="shared" si="233"/>
        <v>G</v>
      </c>
      <c r="S212" s="436" t="str">
        <f t="shared" si="233"/>
        <v>J</v>
      </c>
      <c r="T212" s="436" t="str">
        <f t="shared" si="233"/>
        <v>C</v>
      </c>
      <c r="U212" s="436" t="str">
        <f t="shared" si="233"/>
        <v>A</v>
      </c>
      <c r="V212" s="436" t="str">
        <f t="shared" si="233"/>
        <v>H</v>
      </c>
      <c r="W212" s="436" t="str">
        <f t="shared" si="233"/>
        <v>L</v>
      </c>
      <c r="X212" s="436" t="str">
        <f t="shared" si="233"/>
        <v>K</v>
      </c>
      <c r="Y212" s="446">
        <f t="shared" ca="1" si="4"/>
        <v>5</v>
      </c>
    </row>
    <row r="213" spans="1:25" ht="14.25" customHeight="1" x14ac:dyDescent="0.25">
      <c r="A213" s="379" t="s">
        <v>548</v>
      </c>
      <c r="F213" s="379">
        <v>212</v>
      </c>
      <c r="G213" s="379" t="s">
        <v>325</v>
      </c>
      <c r="H213" s="379" t="s">
        <v>330</v>
      </c>
      <c r="I213" s="379" t="s">
        <v>327</v>
      </c>
      <c r="J213" s="379" t="s">
        <v>339</v>
      </c>
      <c r="K213" s="379" t="s">
        <v>334</v>
      </c>
      <c r="L213" s="379" t="s">
        <v>329</v>
      </c>
      <c r="M213" s="379" t="s">
        <v>331</v>
      </c>
      <c r="N213" s="379" t="s">
        <v>332</v>
      </c>
      <c r="P213" s="379">
        <f t="shared" si="2"/>
        <v>212</v>
      </c>
      <c r="Q213" s="445" t="str">
        <f t="shared" ref="Q213:X213" si="234">+RIGHT(G213,1)</f>
        <v>E</v>
      </c>
      <c r="R213" s="436" t="str">
        <f t="shared" si="234"/>
        <v>G</v>
      </c>
      <c r="S213" s="436" t="str">
        <f t="shared" si="234"/>
        <v>I</v>
      </c>
      <c r="T213" s="436" t="str">
        <f t="shared" si="234"/>
        <v>C</v>
      </c>
      <c r="U213" s="436" t="str">
        <f t="shared" si="234"/>
        <v>A</v>
      </c>
      <c r="V213" s="436" t="str">
        <f t="shared" si="234"/>
        <v>H</v>
      </c>
      <c r="W213" s="436" t="str">
        <f t="shared" si="234"/>
        <v>L</v>
      </c>
      <c r="X213" s="436" t="str">
        <f t="shared" si="234"/>
        <v>K</v>
      </c>
      <c r="Y213" s="446">
        <f t="shared" ca="1" si="4"/>
        <v>6</v>
      </c>
    </row>
    <row r="214" spans="1:25" ht="14.25" customHeight="1" x14ac:dyDescent="0.25">
      <c r="A214" s="379" t="s">
        <v>549</v>
      </c>
      <c r="F214" s="379">
        <v>213</v>
      </c>
      <c r="G214" s="379" t="s">
        <v>325</v>
      </c>
      <c r="H214" s="379" t="s">
        <v>330</v>
      </c>
      <c r="I214" s="379" t="s">
        <v>326</v>
      </c>
      <c r="J214" s="379" t="s">
        <v>339</v>
      </c>
      <c r="K214" s="379" t="s">
        <v>334</v>
      </c>
      <c r="L214" s="379" t="s">
        <v>329</v>
      </c>
      <c r="M214" s="379" t="s">
        <v>331</v>
      </c>
      <c r="N214" s="379" t="s">
        <v>327</v>
      </c>
      <c r="P214" s="379">
        <f t="shared" si="2"/>
        <v>213</v>
      </c>
      <c r="Q214" s="445" t="str">
        <f t="shared" ref="Q214:X214" si="235">+RIGHT(G214,1)</f>
        <v>E</v>
      </c>
      <c r="R214" s="436" t="str">
        <f t="shared" si="235"/>
        <v>G</v>
      </c>
      <c r="S214" s="436" t="str">
        <f t="shared" si="235"/>
        <v>J</v>
      </c>
      <c r="T214" s="436" t="str">
        <f t="shared" si="235"/>
        <v>C</v>
      </c>
      <c r="U214" s="436" t="str">
        <f t="shared" si="235"/>
        <v>A</v>
      </c>
      <c r="V214" s="436" t="str">
        <f t="shared" si="235"/>
        <v>H</v>
      </c>
      <c r="W214" s="436" t="str">
        <f t="shared" si="235"/>
        <v>L</v>
      </c>
      <c r="X214" s="436" t="str">
        <f t="shared" si="235"/>
        <v>I</v>
      </c>
      <c r="Y214" s="446">
        <f t="shared" ca="1" si="4"/>
        <v>6</v>
      </c>
    </row>
    <row r="215" spans="1:25" ht="14.25" customHeight="1" x14ac:dyDescent="0.25">
      <c r="A215" s="379" t="s">
        <v>550</v>
      </c>
      <c r="F215" s="379">
        <v>214</v>
      </c>
      <c r="G215" s="379" t="s">
        <v>325</v>
      </c>
      <c r="H215" s="379" t="s">
        <v>330</v>
      </c>
      <c r="I215" s="379" t="s">
        <v>326</v>
      </c>
      <c r="J215" s="379" t="s">
        <v>339</v>
      </c>
      <c r="K215" s="379" t="s">
        <v>334</v>
      </c>
      <c r="L215" s="379" t="s">
        <v>329</v>
      </c>
      <c r="M215" s="379" t="s">
        <v>327</v>
      </c>
      <c r="N215" s="379" t="s">
        <v>332</v>
      </c>
      <c r="P215" s="379">
        <f t="shared" si="2"/>
        <v>214</v>
      </c>
      <c r="Q215" s="445" t="str">
        <f t="shared" ref="Q215:X215" si="236">+RIGHT(G215,1)</f>
        <v>E</v>
      </c>
      <c r="R215" s="436" t="str">
        <f t="shared" si="236"/>
        <v>G</v>
      </c>
      <c r="S215" s="436" t="str">
        <f t="shared" si="236"/>
        <v>J</v>
      </c>
      <c r="T215" s="436" t="str">
        <f t="shared" si="236"/>
        <v>C</v>
      </c>
      <c r="U215" s="436" t="str">
        <f t="shared" si="236"/>
        <v>A</v>
      </c>
      <c r="V215" s="436" t="str">
        <f t="shared" si="236"/>
        <v>H</v>
      </c>
      <c r="W215" s="436" t="str">
        <f t="shared" si="236"/>
        <v>I</v>
      </c>
      <c r="X215" s="436" t="str">
        <f t="shared" si="236"/>
        <v>K</v>
      </c>
      <c r="Y215" s="446">
        <f t="shared" ca="1" si="4"/>
        <v>5</v>
      </c>
    </row>
    <row r="216" spans="1:25" ht="14.25" customHeight="1" x14ac:dyDescent="0.25">
      <c r="A216" s="379" t="s">
        <v>551</v>
      </c>
      <c r="F216" s="379">
        <v>215</v>
      </c>
      <c r="G216" s="379" t="s">
        <v>325</v>
      </c>
      <c r="H216" s="379" t="s">
        <v>326</v>
      </c>
      <c r="I216" s="379" t="s">
        <v>327</v>
      </c>
      <c r="J216" s="379" t="s">
        <v>339</v>
      </c>
      <c r="K216" s="379" t="s">
        <v>334</v>
      </c>
      <c r="L216" s="379" t="s">
        <v>328</v>
      </c>
      <c r="M216" s="379" t="s">
        <v>331</v>
      </c>
      <c r="N216" s="379" t="s">
        <v>332</v>
      </c>
      <c r="P216" s="379">
        <f t="shared" si="2"/>
        <v>215</v>
      </c>
      <c r="Q216" s="445" t="str">
        <f t="shared" ref="Q216:X216" si="237">+RIGHT(G216,1)</f>
        <v>E</v>
      </c>
      <c r="R216" s="436" t="str">
        <f t="shared" si="237"/>
        <v>J</v>
      </c>
      <c r="S216" s="436" t="str">
        <f t="shared" si="237"/>
        <v>I</v>
      </c>
      <c r="T216" s="436" t="str">
        <f t="shared" si="237"/>
        <v>C</v>
      </c>
      <c r="U216" s="436" t="str">
        <f t="shared" si="237"/>
        <v>A</v>
      </c>
      <c r="V216" s="436" t="str">
        <f t="shared" si="237"/>
        <v>F</v>
      </c>
      <c r="W216" s="436" t="str">
        <f t="shared" si="237"/>
        <v>L</v>
      </c>
      <c r="X216" s="436" t="str">
        <f t="shared" si="237"/>
        <v>K</v>
      </c>
      <c r="Y216" s="446">
        <f t="shared" ca="1" si="4"/>
        <v>5</v>
      </c>
    </row>
    <row r="217" spans="1:25" ht="14.25" customHeight="1" x14ac:dyDescent="0.25">
      <c r="A217" s="379" t="s">
        <v>552</v>
      </c>
      <c r="F217" s="379">
        <v>216</v>
      </c>
      <c r="G217" s="379" t="s">
        <v>329</v>
      </c>
      <c r="H217" s="379" t="s">
        <v>326</v>
      </c>
      <c r="I217" s="379" t="s">
        <v>325</v>
      </c>
      <c r="J217" s="379" t="s">
        <v>339</v>
      </c>
      <c r="K217" s="379" t="s">
        <v>334</v>
      </c>
      <c r="L217" s="379" t="s">
        <v>328</v>
      </c>
      <c r="M217" s="379" t="s">
        <v>331</v>
      </c>
      <c r="N217" s="379" t="s">
        <v>332</v>
      </c>
      <c r="P217" s="379">
        <f t="shared" si="2"/>
        <v>216</v>
      </c>
      <c r="Q217" s="445" t="str">
        <f t="shared" ref="Q217:X217" si="238">+RIGHT(G217,1)</f>
        <v>H</v>
      </c>
      <c r="R217" s="436" t="str">
        <f t="shared" si="238"/>
        <v>J</v>
      </c>
      <c r="S217" s="436" t="str">
        <f t="shared" si="238"/>
        <v>E</v>
      </c>
      <c r="T217" s="436" t="str">
        <f t="shared" si="238"/>
        <v>C</v>
      </c>
      <c r="U217" s="436" t="str">
        <f t="shared" si="238"/>
        <v>A</v>
      </c>
      <c r="V217" s="436" t="str">
        <f t="shared" si="238"/>
        <v>F</v>
      </c>
      <c r="W217" s="436" t="str">
        <f t="shared" si="238"/>
        <v>L</v>
      </c>
      <c r="X217" s="436" t="str">
        <f t="shared" si="238"/>
        <v>K</v>
      </c>
      <c r="Y217" s="446">
        <f t="shared" ca="1" si="4"/>
        <v>5</v>
      </c>
    </row>
    <row r="218" spans="1:25" ht="14.25" customHeight="1" x14ac:dyDescent="0.25">
      <c r="A218" s="379" t="s">
        <v>553</v>
      </c>
      <c r="F218" s="379">
        <v>217</v>
      </c>
      <c r="G218" s="379" t="s">
        <v>329</v>
      </c>
      <c r="H218" s="379" t="s">
        <v>325</v>
      </c>
      <c r="I218" s="379" t="s">
        <v>327</v>
      </c>
      <c r="J218" s="379" t="s">
        <v>339</v>
      </c>
      <c r="K218" s="379" t="s">
        <v>334</v>
      </c>
      <c r="L218" s="379" t="s">
        <v>328</v>
      </c>
      <c r="M218" s="379" t="s">
        <v>331</v>
      </c>
      <c r="N218" s="379" t="s">
        <v>332</v>
      </c>
      <c r="P218" s="379">
        <f t="shared" si="2"/>
        <v>217</v>
      </c>
      <c r="Q218" s="445" t="str">
        <f t="shared" ref="Q218:X218" si="239">+RIGHT(G218,1)</f>
        <v>H</v>
      </c>
      <c r="R218" s="436" t="str">
        <f t="shared" si="239"/>
        <v>E</v>
      </c>
      <c r="S218" s="436" t="str">
        <f t="shared" si="239"/>
        <v>I</v>
      </c>
      <c r="T218" s="436" t="str">
        <f t="shared" si="239"/>
        <v>C</v>
      </c>
      <c r="U218" s="436" t="str">
        <f t="shared" si="239"/>
        <v>A</v>
      </c>
      <c r="V218" s="436" t="str">
        <f t="shared" si="239"/>
        <v>F</v>
      </c>
      <c r="W218" s="436" t="str">
        <f t="shared" si="239"/>
        <v>L</v>
      </c>
      <c r="X218" s="436" t="str">
        <f t="shared" si="239"/>
        <v>K</v>
      </c>
      <c r="Y218" s="446">
        <f t="shared" ca="1" si="4"/>
        <v>6</v>
      </c>
    </row>
    <row r="219" spans="1:25" ht="14.25" customHeight="1" x14ac:dyDescent="0.25">
      <c r="A219" s="379" t="s">
        <v>554</v>
      </c>
      <c r="F219" s="379">
        <v>218</v>
      </c>
      <c r="G219" s="379" t="s">
        <v>329</v>
      </c>
      <c r="H219" s="379" t="s">
        <v>326</v>
      </c>
      <c r="I219" s="379" t="s">
        <v>325</v>
      </c>
      <c r="J219" s="379" t="s">
        <v>339</v>
      </c>
      <c r="K219" s="379" t="s">
        <v>334</v>
      </c>
      <c r="L219" s="379" t="s">
        <v>328</v>
      </c>
      <c r="M219" s="379" t="s">
        <v>331</v>
      </c>
      <c r="N219" s="379" t="s">
        <v>327</v>
      </c>
      <c r="P219" s="379">
        <f t="shared" si="2"/>
        <v>218</v>
      </c>
      <c r="Q219" s="445" t="str">
        <f t="shared" ref="Q219:X219" si="240">+RIGHT(G219,1)</f>
        <v>H</v>
      </c>
      <c r="R219" s="436" t="str">
        <f t="shared" si="240"/>
        <v>J</v>
      </c>
      <c r="S219" s="436" t="str">
        <f t="shared" si="240"/>
        <v>E</v>
      </c>
      <c r="T219" s="436" t="str">
        <f t="shared" si="240"/>
        <v>C</v>
      </c>
      <c r="U219" s="436" t="str">
        <f t="shared" si="240"/>
        <v>A</v>
      </c>
      <c r="V219" s="436" t="str">
        <f t="shared" si="240"/>
        <v>F</v>
      </c>
      <c r="W219" s="436" t="str">
        <f t="shared" si="240"/>
        <v>L</v>
      </c>
      <c r="X219" s="436" t="str">
        <f t="shared" si="240"/>
        <v>I</v>
      </c>
      <c r="Y219" s="446">
        <f t="shared" ca="1" si="4"/>
        <v>6</v>
      </c>
    </row>
    <row r="220" spans="1:25" ht="14.25" customHeight="1" x14ac:dyDescent="0.25">
      <c r="A220" s="379" t="s">
        <v>555</v>
      </c>
      <c r="F220" s="379">
        <v>219</v>
      </c>
      <c r="G220" s="379" t="s">
        <v>329</v>
      </c>
      <c r="H220" s="379" t="s">
        <v>326</v>
      </c>
      <c r="I220" s="379" t="s">
        <v>325</v>
      </c>
      <c r="J220" s="379" t="s">
        <v>339</v>
      </c>
      <c r="K220" s="379" t="s">
        <v>334</v>
      </c>
      <c r="L220" s="379" t="s">
        <v>328</v>
      </c>
      <c r="M220" s="379" t="s">
        <v>327</v>
      </c>
      <c r="N220" s="379" t="s">
        <v>332</v>
      </c>
      <c r="P220" s="379">
        <f t="shared" si="2"/>
        <v>219</v>
      </c>
      <c r="Q220" s="445" t="str">
        <f t="shared" ref="Q220:X220" si="241">+RIGHT(G220,1)</f>
        <v>H</v>
      </c>
      <c r="R220" s="436" t="str">
        <f t="shared" si="241"/>
        <v>J</v>
      </c>
      <c r="S220" s="436" t="str">
        <f t="shared" si="241"/>
        <v>E</v>
      </c>
      <c r="T220" s="436" t="str">
        <f t="shared" si="241"/>
        <v>C</v>
      </c>
      <c r="U220" s="436" t="str">
        <f t="shared" si="241"/>
        <v>A</v>
      </c>
      <c r="V220" s="436" t="str">
        <f t="shared" si="241"/>
        <v>F</v>
      </c>
      <c r="W220" s="436" t="str">
        <f t="shared" si="241"/>
        <v>I</v>
      </c>
      <c r="X220" s="436" t="str">
        <f t="shared" si="241"/>
        <v>K</v>
      </c>
      <c r="Y220" s="446">
        <f t="shared" ca="1" si="4"/>
        <v>5</v>
      </c>
    </row>
    <row r="221" spans="1:25" ht="14.25" customHeight="1" x14ac:dyDescent="0.25">
      <c r="A221" s="379" t="s">
        <v>556</v>
      </c>
      <c r="F221" s="379">
        <v>220</v>
      </c>
      <c r="G221" s="379" t="s">
        <v>325</v>
      </c>
      <c r="H221" s="379" t="s">
        <v>330</v>
      </c>
      <c r="I221" s="379" t="s">
        <v>326</v>
      </c>
      <c r="J221" s="379" t="s">
        <v>339</v>
      </c>
      <c r="K221" s="379" t="s">
        <v>334</v>
      </c>
      <c r="L221" s="379" t="s">
        <v>328</v>
      </c>
      <c r="M221" s="379" t="s">
        <v>331</v>
      </c>
      <c r="N221" s="379" t="s">
        <v>332</v>
      </c>
      <c r="P221" s="379">
        <f t="shared" si="2"/>
        <v>220</v>
      </c>
      <c r="Q221" s="445" t="str">
        <f t="shared" ref="Q221:X221" si="242">+RIGHT(G221,1)</f>
        <v>E</v>
      </c>
      <c r="R221" s="436" t="str">
        <f t="shared" si="242"/>
        <v>G</v>
      </c>
      <c r="S221" s="436" t="str">
        <f t="shared" si="242"/>
        <v>J</v>
      </c>
      <c r="T221" s="436" t="str">
        <f t="shared" si="242"/>
        <v>C</v>
      </c>
      <c r="U221" s="436" t="str">
        <f t="shared" si="242"/>
        <v>A</v>
      </c>
      <c r="V221" s="436" t="str">
        <f t="shared" si="242"/>
        <v>F</v>
      </c>
      <c r="W221" s="436" t="str">
        <f t="shared" si="242"/>
        <v>L</v>
      </c>
      <c r="X221" s="436" t="str">
        <f t="shared" si="242"/>
        <v>K</v>
      </c>
      <c r="Y221" s="446">
        <f t="shared" ca="1" si="4"/>
        <v>5</v>
      </c>
    </row>
    <row r="222" spans="1:25" ht="14.25" customHeight="1" x14ac:dyDescent="0.25">
      <c r="A222" s="379" t="s">
        <v>557</v>
      </c>
      <c r="F222" s="379">
        <v>221</v>
      </c>
      <c r="G222" s="379" t="s">
        <v>325</v>
      </c>
      <c r="H222" s="379" t="s">
        <v>330</v>
      </c>
      <c r="I222" s="379" t="s">
        <v>327</v>
      </c>
      <c r="J222" s="379" t="s">
        <v>339</v>
      </c>
      <c r="K222" s="379" t="s">
        <v>334</v>
      </c>
      <c r="L222" s="379" t="s">
        <v>328</v>
      </c>
      <c r="M222" s="379" t="s">
        <v>331</v>
      </c>
      <c r="N222" s="379" t="s">
        <v>332</v>
      </c>
      <c r="P222" s="379">
        <f t="shared" si="2"/>
        <v>221</v>
      </c>
      <c r="Q222" s="445" t="str">
        <f t="shared" ref="Q222:X222" si="243">+RIGHT(G222,1)</f>
        <v>E</v>
      </c>
      <c r="R222" s="436" t="str">
        <f t="shared" si="243"/>
        <v>G</v>
      </c>
      <c r="S222" s="436" t="str">
        <f t="shared" si="243"/>
        <v>I</v>
      </c>
      <c r="T222" s="436" t="str">
        <f t="shared" si="243"/>
        <v>C</v>
      </c>
      <c r="U222" s="436" t="str">
        <f t="shared" si="243"/>
        <v>A</v>
      </c>
      <c r="V222" s="436" t="str">
        <f t="shared" si="243"/>
        <v>F</v>
      </c>
      <c r="W222" s="436" t="str">
        <f t="shared" si="243"/>
        <v>L</v>
      </c>
      <c r="X222" s="436" t="str">
        <f t="shared" si="243"/>
        <v>K</v>
      </c>
      <c r="Y222" s="446">
        <f t="shared" ca="1" si="4"/>
        <v>6</v>
      </c>
    </row>
    <row r="223" spans="1:25" ht="14.25" customHeight="1" x14ac:dyDescent="0.25">
      <c r="A223" s="379" t="s">
        <v>558</v>
      </c>
      <c r="F223" s="379">
        <v>222</v>
      </c>
      <c r="G223" s="379" t="s">
        <v>325</v>
      </c>
      <c r="H223" s="379" t="s">
        <v>330</v>
      </c>
      <c r="I223" s="379" t="s">
        <v>326</v>
      </c>
      <c r="J223" s="379" t="s">
        <v>339</v>
      </c>
      <c r="K223" s="379" t="s">
        <v>334</v>
      </c>
      <c r="L223" s="379" t="s">
        <v>328</v>
      </c>
      <c r="M223" s="379" t="s">
        <v>331</v>
      </c>
      <c r="N223" s="379" t="s">
        <v>327</v>
      </c>
      <c r="P223" s="379">
        <f t="shared" si="2"/>
        <v>222</v>
      </c>
      <c r="Q223" s="445" t="str">
        <f t="shared" ref="Q223:X223" si="244">+RIGHT(G223,1)</f>
        <v>E</v>
      </c>
      <c r="R223" s="436" t="str">
        <f t="shared" si="244"/>
        <v>G</v>
      </c>
      <c r="S223" s="436" t="str">
        <f t="shared" si="244"/>
        <v>J</v>
      </c>
      <c r="T223" s="436" t="str">
        <f t="shared" si="244"/>
        <v>C</v>
      </c>
      <c r="U223" s="436" t="str">
        <f t="shared" si="244"/>
        <v>A</v>
      </c>
      <c r="V223" s="436" t="str">
        <f t="shared" si="244"/>
        <v>F</v>
      </c>
      <c r="W223" s="436" t="str">
        <f t="shared" si="244"/>
        <v>L</v>
      </c>
      <c r="X223" s="436" t="str">
        <f t="shared" si="244"/>
        <v>I</v>
      </c>
      <c r="Y223" s="446">
        <f t="shared" ca="1" si="4"/>
        <v>6</v>
      </c>
    </row>
    <row r="224" spans="1:25" ht="14.25" customHeight="1" x14ac:dyDescent="0.25">
      <c r="A224" s="379" t="s">
        <v>559</v>
      </c>
      <c r="F224" s="379">
        <v>223</v>
      </c>
      <c r="G224" s="379" t="s">
        <v>325</v>
      </c>
      <c r="H224" s="379" t="s">
        <v>330</v>
      </c>
      <c r="I224" s="379" t="s">
        <v>326</v>
      </c>
      <c r="J224" s="379" t="s">
        <v>339</v>
      </c>
      <c r="K224" s="379" t="s">
        <v>334</v>
      </c>
      <c r="L224" s="379" t="s">
        <v>328</v>
      </c>
      <c r="M224" s="379" t="s">
        <v>327</v>
      </c>
      <c r="N224" s="379" t="s">
        <v>332</v>
      </c>
      <c r="P224" s="379">
        <f t="shared" si="2"/>
        <v>223</v>
      </c>
      <c r="Q224" s="445" t="str">
        <f t="shared" ref="Q224:X224" si="245">+RIGHT(G224,1)</f>
        <v>E</v>
      </c>
      <c r="R224" s="436" t="str">
        <f t="shared" si="245"/>
        <v>G</v>
      </c>
      <c r="S224" s="436" t="str">
        <f t="shared" si="245"/>
        <v>J</v>
      </c>
      <c r="T224" s="436" t="str">
        <f t="shared" si="245"/>
        <v>C</v>
      </c>
      <c r="U224" s="436" t="str">
        <f t="shared" si="245"/>
        <v>A</v>
      </c>
      <c r="V224" s="436" t="str">
        <f t="shared" si="245"/>
        <v>F</v>
      </c>
      <c r="W224" s="436" t="str">
        <f t="shared" si="245"/>
        <v>I</v>
      </c>
      <c r="X224" s="436" t="str">
        <f t="shared" si="245"/>
        <v>K</v>
      </c>
      <c r="Y224" s="446">
        <f t="shared" ca="1" si="4"/>
        <v>5</v>
      </c>
    </row>
    <row r="225" spans="1:25" ht="14.25" customHeight="1" x14ac:dyDescent="0.25">
      <c r="A225" s="379" t="s">
        <v>560</v>
      </c>
      <c r="F225" s="379">
        <v>224</v>
      </c>
      <c r="G225" s="379" t="s">
        <v>329</v>
      </c>
      <c r="H225" s="379" t="s">
        <v>330</v>
      </c>
      <c r="I225" s="379" t="s">
        <v>325</v>
      </c>
      <c r="J225" s="379" t="s">
        <v>339</v>
      </c>
      <c r="K225" s="379" t="s">
        <v>334</v>
      </c>
      <c r="L225" s="379" t="s">
        <v>328</v>
      </c>
      <c r="M225" s="379" t="s">
        <v>331</v>
      </c>
      <c r="N225" s="379" t="s">
        <v>332</v>
      </c>
      <c r="P225" s="379">
        <f t="shared" si="2"/>
        <v>224</v>
      </c>
      <c r="Q225" s="445" t="str">
        <f t="shared" ref="Q225:X225" si="246">+RIGHT(G225,1)</f>
        <v>H</v>
      </c>
      <c r="R225" s="436" t="str">
        <f t="shared" si="246"/>
        <v>G</v>
      </c>
      <c r="S225" s="436" t="str">
        <f t="shared" si="246"/>
        <v>E</v>
      </c>
      <c r="T225" s="436" t="str">
        <f t="shared" si="246"/>
        <v>C</v>
      </c>
      <c r="U225" s="436" t="str">
        <f t="shared" si="246"/>
        <v>A</v>
      </c>
      <c r="V225" s="436" t="str">
        <f t="shared" si="246"/>
        <v>F</v>
      </c>
      <c r="W225" s="436" t="str">
        <f t="shared" si="246"/>
        <v>L</v>
      </c>
      <c r="X225" s="436" t="str">
        <f t="shared" si="246"/>
        <v>K</v>
      </c>
      <c r="Y225" s="446">
        <f t="shared" ca="1" si="4"/>
        <v>6</v>
      </c>
    </row>
    <row r="226" spans="1:25" ht="14.25" customHeight="1" x14ac:dyDescent="0.25">
      <c r="A226" s="379" t="s">
        <v>561</v>
      </c>
      <c r="F226" s="379">
        <v>225</v>
      </c>
      <c r="G226" s="379" t="s">
        <v>329</v>
      </c>
      <c r="H226" s="379" t="s">
        <v>330</v>
      </c>
      <c r="I226" s="379" t="s">
        <v>326</v>
      </c>
      <c r="J226" s="379" t="s">
        <v>339</v>
      </c>
      <c r="K226" s="379" t="s">
        <v>334</v>
      </c>
      <c r="L226" s="379" t="s">
        <v>328</v>
      </c>
      <c r="M226" s="379" t="s">
        <v>331</v>
      </c>
      <c r="N226" s="379" t="s">
        <v>325</v>
      </c>
      <c r="P226" s="379">
        <f t="shared" si="2"/>
        <v>225</v>
      </c>
      <c r="Q226" s="445" t="str">
        <f t="shared" ref="Q226:X226" si="247">+RIGHT(G226,1)</f>
        <v>H</v>
      </c>
      <c r="R226" s="436" t="str">
        <f t="shared" si="247"/>
        <v>G</v>
      </c>
      <c r="S226" s="436" t="str">
        <f t="shared" si="247"/>
        <v>J</v>
      </c>
      <c r="T226" s="436" t="str">
        <f t="shared" si="247"/>
        <v>C</v>
      </c>
      <c r="U226" s="436" t="str">
        <f t="shared" si="247"/>
        <v>A</v>
      </c>
      <c r="V226" s="436" t="str">
        <f t="shared" si="247"/>
        <v>F</v>
      </c>
      <c r="W226" s="436" t="str">
        <f t="shared" si="247"/>
        <v>L</v>
      </c>
      <c r="X226" s="436" t="str">
        <f t="shared" si="247"/>
        <v>E</v>
      </c>
      <c r="Y226" s="446">
        <f t="shared" ca="1" si="4"/>
        <v>6</v>
      </c>
    </row>
    <row r="227" spans="1:25" ht="14.25" customHeight="1" x14ac:dyDescent="0.25">
      <c r="A227" s="379" t="s">
        <v>562</v>
      </c>
      <c r="F227" s="379">
        <v>226</v>
      </c>
      <c r="G227" s="379" t="s">
        <v>329</v>
      </c>
      <c r="H227" s="379" t="s">
        <v>330</v>
      </c>
      <c r="I227" s="379" t="s">
        <v>326</v>
      </c>
      <c r="J227" s="379" t="s">
        <v>339</v>
      </c>
      <c r="K227" s="379" t="s">
        <v>334</v>
      </c>
      <c r="L227" s="379" t="s">
        <v>328</v>
      </c>
      <c r="M227" s="379" t="s">
        <v>325</v>
      </c>
      <c r="N227" s="379" t="s">
        <v>332</v>
      </c>
      <c r="P227" s="379">
        <f t="shared" si="2"/>
        <v>226</v>
      </c>
      <c r="Q227" s="445" t="str">
        <f t="shared" ref="Q227:X227" si="248">+RIGHT(G227,1)</f>
        <v>H</v>
      </c>
      <c r="R227" s="436" t="str">
        <f t="shared" si="248"/>
        <v>G</v>
      </c>
      <c r="S227" s="436" t="str">
        <f t="shared" si="248"/>
        <v>J</v>
      </c>
      <c r="T227" s="436" t="str">
        <f t="shared" si="248"/>
        <v>C</v>
      </c>
      <c r="U227" s="436" t="str">
        <f t="shared" si="248"/>
        <v>A</v>
      </c>
      <c r="V227" s="436" t="str">
        <f t="shared" si="248"/>
        <v>F</v>
      </c>
      <c r="W227" s="436" t="str">
        <f t="shared" si="248"/>
        <v>E</v>
      </c>
      <c r="X227" s="436" t="str">
        <f t="shared" si="248"/>
        <v>K</v>
      </c>
      <c r="Y227" s="446">
        <f t="shared" ca="1" si="4"/>
        <v>5</v>
      </c>
    </row>
    <row r="228" spans="1:25" ht="14.25" customHeight="1" x14ac:dyDescent="0.25">
      <c r="A228" s="379" t="s">
        <v>563</v>
      </c>
      <c r="F228" s="379">
        <v>227</v>
      </c>
      <c r="G228" s="379" t="s">
        <v>329</v>
      </c>
      <c r="H228" s="379" t="s">
        <v>330</v>
      </c>
      <c r="I228" s="379" t="s">
        <v>325</v>
      </c>
      <c r="J228" s="379" t="s">
        <v>339</v>
      </c>
      <c r="K228" s="379" t="s">
        <v>334</v>
      </c>
      <c r="L228" s="379" t="s">
        <v>328</v>
      </c>
      <c r="M228" s="379" t="s">
        <v>331</v>
      </c>
      <c r="N228" s="379" t="s">
        <v>327</v>
      </c>
      <c r="P228" s="379">
        <f t="shared" si="2"/>
        <v>227</v>
      </c>
      <c r="Q228" s="445" t="str">
        <f t="shared" ref="Q228:X228" si="249">+RIGHT(G228,1)</f>
        <v>H</v>
      </c>
      <c r="R228" s="436" t="str">
        <f t="shared" si="249"/>
        <v>G</v>
      </c>
      <c r="S228" s="436" t="str">
        <f t="shared" si="249"/>
        <v>E</v>
      </c>
      <c r="T228" s="436" t="str">
        <f t="shared" si="249"/>
        <v>C</v>
      </c>
      <c r="U228" s="436" t="str">
        <f t="shared" si="249"/>
        <v>A</v>
      </c>
      <c r="V228" s="436" t="str">
        <f t="shared" si="249"/>
        <v>F</v>
      </c>
      <c r="W228" s="436" t="str">
        <f t="shared" si="249"/>
        <v>L</v>
      </c>
      <c r="X228" s="436" t="str">
        <f t="shared" si="249"/>
        <v>I</v>
      </c>
      <c r="Y228" s="446">
        <f t="shared" ca="1" si="4"/>
        <v>7</v>
      </c>
    </row>
    <row r="229" spans="1:25" ht="14.25" customHeight="1" x14ac:dyDescent="0.25">
      <c r="A229" s="379" t="s">
        <v>564</v>
      </c>
      <c r="F229" s="379">
        <v>228</v>
      </c>
      <c r="G229" s="379" t="s">
        <v>329</v>
      </c>
      <c r="H229" s="379" t="s">
        <v>330</v>
      </c>
      <c r="I229" s="379" t="s">
        <v>325</v>
      </c>
      <c r="J229" s="379" t="s">
        <v>339</v>
      </c>
      <c r="K229" s="379" t="s">
        <v>334</v>
      </c>
      <c r="L229" s="379" t="s">
        <v>328</v>
      </c>
      <c r="M229" s="379" t="s">
        <v>327</v>
      </c>
      <c r="N229" s="379" t="s">
        <v>332</v>
      </c>
      <c r="P229" s="379">
        <f t="shared" si="2"/>
        <v>228</v>
      </c>
      <c r="Q229" s="445" t="str">
        <f t="shared" ref="Q229:X229" si="250">+RIGHT(G229,1)</f>
        <v>H</v>
      </c>
      <c r="R229" s="436" t="str">
        <f t="shared" si="250"/>
        <v>G</v>
      </c>
      <c r="S229" s="436" t="str">
        <f t="shared" si="250"/>
        <v>E</v>
      </c>
      <c r="T229" s="436" t="str">
        <f t="shared" si="250"/>
        <v>C</v>
      </c>
      <c r="U229" s="436" t="str">
        <f t="shared" si="250"/>
        <v>A</v>
      </c>
      <c r="V229" s="436" t="str">
        <f t="shared" si="250"/>
        <v>F</v>
      </c>
      <c r="W229" s="436" t="str">
        <f t="shared" si="250"/>
        <v>I</v>
      </c>
      <c r="X229" s="436" t="str">
        <f t="shared" si="250"/>
        <v>K</v>
      </c>
      <c r="Y229" s="446">
        <f t="shared" ca="1" si="4"/>
        <v>6</v>
      </c>
    </row>
    <row r="230" spans="1:25" ht="14.25" customHeight="1" x14ac:dyDescent="0.25">
      <c r="A230" s="379" t="s">
        <v>565</v>
      </c>
      <c r="F230" s="379">
        <v>229</v>
      </c>
      <c r="G230" s="379" t="s">
        <v>329</v>
      </c>
      <c r="H230" s="379" t="s">
        <v>330</v>
      </c>
      <c r="I230" s="379" t="s">
        <v>326</v>
      </c>
      <c r="J230" s="379" t="s">
        <v>339</v>
      </c>
      <c r="K230" s="379" t="s">
        <v>334</v>
      </c>
      <c r="L230" s="379" t="s">
        <v>328</v>
      </c>
      <c r="M230" s="379" t="s">
        <v>325</v>
      </c>
      <c r="N230" s="379" t="s">
        <v>327</v>
      </c>
      <c r="P230" s="379">
        <f t="shared" si="2"/>
        <v>229</v>
      </c>
      <c r="Q230" s="445" t="str">
        <f t="shared" ref="Q230:X230" si="251">+RIGHT(G230,1)</f>
        <v>H</v>
      </c>
      <c r="R230" s="436" t="str">
        <f t="shared" si="251"/>
        <v>G</v>
      </c>
      <c r="S230" s="436" t="str">
        <f t="shared" si="251"/>
        <v>J</v>
      </c>
      <c r="T230" s="436" t="str">
        <f t="shared" si="251"/>
        <v>C</v>
      </c>
      <c r="U230" s="436" t="str">
        <f t="shared" si="251"/>
        <v>A</v>
      </c>
      <c r="V230" s="436" t="str">
        <f t="shared" si="251"/>
        <v>F</v>
      </c>
      <c r="W230" s="436" t="str">
        <f t="shared" si="251"/>
        <v>E</v>
      </c>
      <c r="X230" s="436" t="str">
        <f t="shared" si="251"/>
        <v>I</v>
      </c>
      <c r="Y230" s="446">
        <f t="shared" ca="1" si="4"/>
        <v>6</v>
      </c>
    </row>
    <row r="231" spans="1:25" ht="14.25" customHeight="1" x14ac:dyDescent="0.25">
      <c r="A231" s="379" t="s">
        <v>566</v>
      </c>
      <c r="F231" s="379">
        <v>230</v>
      </c>
      <c r="G231" s="379" t="s">
        <v>329</v>
      </c>
      <c r="H231" s="379" t="s">
        <v>326</v>
      </c>
      <c r="I231" s="379" t="s">
        <v>327</v>
      </c>
      <c r="J231" s="379" t="s">
        <v>339</v>
      </c>
      <c r="K231" s="379" t="s">
        <v>334</v>
      </c>
      <c r="L231" s="379" t="s">
        <v>336</v>
      </c>
      <c r="M231" s="379" t="s">
        <v>331</v>
      </c>
      <c r="N231" s="379" t="s">
        <v>332</v>
      </c>
      <c r="P231" s="379">
        <f t="shared" si="2"/>
        <v>230</v>
      </c>
      <c r="Q231" s="445" t="str">
        <f t="shared" ref="Q231:X231" si="252">+RIGHT(G231,1)</f>
        <v>H</v>
      </c>
      <c r="R231" s="436" t="str">
        <f t="shared" si="252"/>
        <v>J</v>
      </c>
      <c r="S231" s="436" t="str">
        <f t="shared" si="252"/>
        <v>I</v>
      </c>
      <c r="T231" s="436" t="str">
        <f t="shared" si="252"/>
        <v>C</v>
      </c>
      <c r="U231" s="436" t="str">
        <f t="shared" si="252"/>
        <v>A</v>
      </c>
      <c r="V231" s="436" t="str">
        <f t="shared" si="252"/>
        <v>D</v>
      </c>
      <c r="W231" s="436" t="str">
        <f t="shared" si="252"/>
        <v>L</v>
      </c>
      <c r="X231" s="436" t="str">
        <f t="shared" si="252"/>
        <v>K</v>
      </c>
      <c r="Y231" s="446">
        <f t="shared" ca="1" si="4"/>
        <v>6</v>
      </c>
    </row>
    <row r="232" spans="1:25" ht="14.25" customHeight="1" x14ac:dyDescent="0.25">
      <c r="A232" s="379" t="s">
        <v>567</v>
      </c>
      <c r="F232" s="379">
        <v>231</v>
      </c>
      <c r="G232" s="379" t="s">
        <v>327</v>
      </c>
      <c r="H232" s="379" t="s">
        <v>330</v>
      </c>
      <c r="I232" s="379" t="s">
        <v>326</v>
      </c>
      <c r="J232" s="379" t="s">
        <v>339</v>
      </c>
      <c r="K232" s="379" t="s">
        <v>334</v>
      </c>
      <c r="L232" s="379" t="s">
        <v>336</v>
      </c>
      <c r="M232" s="379" t="s">
        <v>331</v>
      </c>
      <c r="N232" s="379" t="s">
        <v>332</v>
      </c>
      <c r="P232" s="379">
        <f t="shared" si="2"/>
        <v>231</v>
      </c>
      <c r="Q232" s="445" t="str">
        <f t="shared" ref="Q232:X232" si="253">+RIGHT(G232,1)</f>
        <v>I</v>
      </c>
      <c r="R232" s="436" t="str">
        <f t="shared" si="253"/>
        <v>G</v>
      </c>
      <c r="S232" s="436" t="str">
        <f t="shared" si="253"/>
        <v>J</v>
      </c>
      <c r="T232" s="436" t="str">
        <f t="shared" si="253"/>
        <v>C</v>
      </c>
      <c r="U232" s="436" t="str">
        <f t="shared" si="253"/>
        <v>A</v>
      </c>
      <c r="V232" s="436" t="str">
        <f t="shared" si="253"/>
        <v>D</v>
      </c>
      <c r="W232" s="436" t="str">
        <f t="shared" si="253"/>
        <v>L</v>
      </c>
      <c r="X232" s="436" t="str">
        <f t="shared" si="253"/>
        <v>K</v>
      </c>
      <c r="Y232" s="446">
        <f t="shared" ca="1" si="4"/>
        <v>6</v>
      </c>
    </row>
    <row r="233" spans="1:25" ht="14.25" customHeight="1" x14ac:dyDescent="0.25">
      <c r="A233" s="379" t="s">
        <v>568</v>
      </c>
      <c r="F233" s="379">
        <v>232</v>
      </c>
      <c r="G233" s="379" t="s">
        <v>329</v>
      </c>
      <c r="H233" s="379" t="s">
        <v>330</v>
      </c>
      <c r="I233" s="379" t="s">
        <v>326</v>
      </c>
      <c r="J233" s="379" t="s">
        <v>339</v>
      </c>
      <c r="K233" s="379" t="s">
        <v>334</v>
      </c>
      <c r="L233" s="379" t="s">
        <v>336</v>
      </c>
      <c r="M233" s="379" t="s">
        <v>331</v>
      </c>
      <c r="N233" s="379" t="s">
        <v>332</v>
      </c>
      <c r="P233" s="379">
        <f t="shared" si="2"/>
        <v>232</v>
      </c>
      <c r="Q233" s="445" t="str">
        <f t="shared" ref="Q233:X233" si="254">+RIGHT(G233,1)</f>
        <v>H</v>
      </c>
      <c r="R233" s="436" t="str">
        <f t="shared" si="254"/>
        <v>G</v>
      </c>
      <c r="S233" s="436" t="str">
        <f t="shared" si="254"/>
        <v>J</v>
      </c>
      <c r="T233" s="436" t="str">
        <f t="shared" si="254"/>
        <v>C</v>
      </c>
      <c r="U233" s="436" t="str">
        <f t="shared" si="254"/>
        <v>A</v>
      </c>
      <c r="V233" s="436" t="str">
        <f t="shared" si="254"/>
        <v>D</v>
      </c>
      <c r="W233" s="436" t="str">
        <f t="shared" si="254"/>
        <v>L</v>
      </c>
      <c r="X233" s="436" t="str">
        <f t="shared" si="254"/>
        <v>K</v>
      </c>
      <c r="Y233" s="446">
        <f t="shared" ca="1" si="4"/>
        <v>6</v>
      </c>
    </row>
    <row r="234" spans="1:25" ht="14.25" customHeight="1" x14ac:dyDescent="0.25">
      <c r="A234" s="379" t="s">
        <v>569</v>
      </c>
      <c r="F234" s="379">
        <v>233</v>
      </c>
      <c r="G234" s="379" t="s">
        <v>329</v>
      </c>
      <c r="H234" s="379" t="s">
        <v>330</v>
      </c>
      <c r="I234" s="379" t="s">
        <v>327</v>
      </c>
      <c r="J234" s="379" t="s">
        <v>339</v>
      </c>
      <c r="K234" s="379" t="s">
        <v>334</v>
      </c>
      <c r="L234" s="379" t="s">
        <v>336</v>
      </c>
      <c r="M234" s="379" t="s">
        <v>331</v>
      </c>
      <c r="N234" s="379" t="s">
        <v>332</v>
      </c>
      <c r="P234" s="379">
        <f t="shared" si="2"/>
        <v>233</v>
      </c>
      <c r="Q234" s="445" t="str">
        <f t="shared" ref="Q234:X234" si="255">+RIGHT(G234,1)</f>
        <v>H</v>
      </c>
      <c r="R234" s="436" t="str">
        <f t="shared" si="255"/>
        <v>G</v>
      </c>
      <c r="S234" s="436" t="str">
        <f t="shared" si="255"/>
        <v>I</v>
      </c>
      <c r="T234" s="436" t="str">
        <f t="shared" si="255"/>
        <v>C</v>
      </c>
      <c r="U234" s="436" t="str">
        <f t="shared" si="255"/>
        <v>A</v>
      </c>
      <c r="V234" s="436" t="str">
        <f t="shared" si="255"/>
        <v>D</v>
      </c>
      <c r="W234" s="436" t="str">
        <f t="shared" si="255"/>
        <v>L</v>
      </c>
      <c r="X234" s="436" t="str">
        <f t="shared" si="255"/>
        <v>K</v>
      </c>
      <c r="Y234" s="446">
        <f t="shared" ca="1" si="4"/>
        <v>7</v>
      </c>
    </row>
    <row r="235" spans="1:25" ht="14.25" customHeight="1" x14ac:dyDescent="0.25">
      <c r="A235" s="379" t="s">
        <v>570</v>
      </c>
      <c r="F235" s="379">
        <v>234</v>
      </c>
      <c r="G235" s="379" t="s">
        <v>329</v>
      </c>
      <c r="H235" s="379" t="s">
        <v>330</v>
      </c>
      <c r="I235" s="379" t="s">
        <v>326</v>
      </c>
      <c r="J235" s="379" t="s">
        <v>339</v>
      </c>
      <c r="K235" s="379" t="s">
        <v>334</v>
      </c>
      <c r="L235" s="379" t="s">
        <v>336</v>
      </c>
      <c r="M235" s="379" t="s">
        <v>331</v>
      </c>
      <c r="N235" s="379" t="s">
        <v>327</v>
      </c>
      <c r="P235" s="379">
        <f t="shared" si="2"/>
        <v>234</v>
      </c>
      <c r="Q235" s="445" t="str">
        <f t="shared" ref="Q235:X235" si="256">+RIGHT(G235,1)</f>
        <v>H</v>
      </c>
      <c r="R235" s="436" t="str">
        <f t="shared" si="256"/>
        <v>G</v>
      </c>
      <c r="S235" s="436" t="str">
        <f t="shared" si="256"/>
        <v>J</v>
      </c>
      <c r="T235" s="436" t="str">
        <f t="shared" si="256"/>
        <v>C</v>
      </c>
      <c r="U235" s="436" t="str">
        <f t="shared" si="256"/>
        <v>A</v>
      </c>
      <c r="V235" s="436" t="str">
        <f t="shared" si="256"/>
        <v>D</v>
      </c>
      <c r="W235" s="436" t="str">
        <f t="shared" si="256"/>
        <v>L</v>
      </c>
      <c r="X235" s="436" t="str">
        <f t="shared" si="256"/>
        <v>I</v>
      </c>
      <c r="Y235" s="446">
        <f t="shared" ca="1" si="4"/>
        <v>7</v>
      </c>
    </row>
    <row r="236" spans="1:25" ht="14.25" customHeight="1" x14ac:dyDescent="0.25">
      <c r="A236" s="379" t="s">
        <v>571</v>
      </c>
      <c r="F236" s="379">
        <v>235</v>
      </c>
      <c r="G236" s="379" t="s">
        <v>329</v>
      </c>
      <c r="H236" s="379" t="s">
        <v>330</v>
      </c>
      <c r="I236" s="379" t="s">
        <v>326</v>
      </c>
      <c r="J236" s="379" t="s">
        <v>339</v>
      </c>
      <c r="K236" s="379" t="s">
        <v>334</v>
      </c>
      <c r="L236" s="379" t="s">
        <v>336</v>
      </c>
      <c r="M236" s="379" t="s">
        <v>327</v>
      </c>
      <c r="N236" s="379" t="s">
        <v>332</v>
      </c>
      <c r="P236" s="379">
        <f t="shared" si="2"/>
        <v>235</v>
      </c>
      <c r="Q236" s="445" t="str">
        <f t="shared" ref="Q236:X236" si="257">+RIGHT(G236,1)</f>
        <v>H</v>
      </c>
      <c r="R236" s="436" t="str">
        <f t="shared" si="257"/>
        <v>G</v>
      </c>
      <c r="S236" s="436" t="str">
        <f t="shared" si="257"/>
        <v>J</v>
      </c>
      <c r="T236" s="436" t="str">
        <f t="shared" si="257"/>
        <v>C</v>
      </c>
      <c r="U236" s="436" t="str">
        <f t="shared" si="257"/>
        <v>A</v>
      </c>
      <c r="V236" s="436" t="str">
        <f t="shared" si="257"/>
        <v>D</v>
      </c>
      <c r="W236" s="436" t="str">
        <f t="shared" si="257"/>
        <v>I</v>
      </c>
      <c r="X236" s="436" t="str">
        <f t="shared" si="257"/>
        <v>K</v>
      </c>
      <c r="Y236" s="446">
        <f t="shared" ca="1" si="4"/>
        <v>6</v>
      </c>
    </row>
    <row r="237" spans="1:25" ht="14.25" customHeight="1" x14ac:dyDescent="0.25">
      <c r="A237" s="379" t="s">
        <v>572</v>
      </c>
      <c r="F237" s="379">
        <v>236</v>
      </c>
      <c r="G237" s="379" t="s">
        <v>339</v>
      </c>
      <c r="H237" s="379" t="s">
        <v>326</v>
      </c>
      <c r="I237" s="379" t="s">
        <v>327</v>
      </c>
      <c r="J237" s="379" t="s">
        <v>336</v>
      </c>
      <c r="K237" s="379" t="s">
        <v>334</v>
      </c>
      <c r="L237" s="379" t="s">
        <v>328</v>
      </c>
      <c r="M237" s="379" t="s">
        <v>331</v>
      </c>
      <c r="N237" s="379" t="s">
        <v>332</v>
      </c>
      <c r="P237" s="379">
        <f t="shared" si="2"/>
        <v>236</v>
      </c>
      <c r="Q237" s="445" t="str">
        <f t="shared" ref="Q237:X237" si="258">+RIGHT(G237,1)</f>
        <v>C</v>
      </c>
      <c r="R237" s="436" t="str">
        <f t="shared" si="258"/>
        <v>J</v>
      </c>
      <c r="S237" s="436" t="str">
        <f t="shared" si="258"/>
        <v>I</v>
      </c>
      <c r="T237" s="436" t="str">
        <f t="shared" si="258"/>
        <v>D</v>
      </c>
      <c r="U237" s="436" t="str">
        <f t="shared" si="258"/>
        <v>A</v>
      </c>
      <c r="V237" s="436" t="str">
        <f t="shared" si="258"/>
        <v>F</v>
      </c>
      <c r="W237" s="436" t="str">
        <f t="shared" si="258"/>
        <v>L</v>
      </c>
      <c r="X237" s="436" t="str">
        <f t="shared" si="258"/>
        <v>K</v>
      </c>
      <c r="Y237" s="446">
        <f t="shared" ca="1" si="4"/>
        <v>6</v>
      </c>
    </row>
    <row r="238" spans="1:25" ht="14.25" customHeight="1" x14ac:dyDescent="0.25">
      <c r="A238" s="379" t="s">
        <v>573</v>
      </c>
      <c r="F238" s="379">
        <v>237</v>
      </c>
      <c r="G238" s="379" t="s">
        <v>329</v>
      </c>
      <c r="H238" s="379" t="s">
        <v>326</v>
      </c>
      <c r="I238" s="379" t="s">
        <v>328</v>
      </c>
      <c r="J238" s="379" t="s">
        <v>339</v>
      </c>
      <c r="K238" s="379" t="s">
        <v>334</v>
      </c>
      <c r="L238" s="379" t="s">
        <v>336</v>
      </c>
      <c r="M238" s="379" t="s">
        <v>331</v>
      </c>
      <c r="N238" s="379" t="s">
        <v>332</v>
      </c>
      <c r="P238" s="379">
        <f t="shared" si="2"/>
        <v>237</v>
      </c>
      <c r="Q238" s="445" t="str">
        <f t="shared" ref="Q238:X238" si="259">+RIGHT(G238,1)</f>
        <v>H</v>
      </c>
      <c r="R238" s="436" t="str">
        <f t="shared" si="259"/>
        <v>J</v>
      </c>
      <c r="S238" s="436" t="str">
        <f t="shared" si="259"/>
        <v>F</v>
      </c>
      <c r="T238" s="436" t="str">
        <f t="shared" si="259"/>
        <v>C</v>
      </c>
      <c r="U238" s="436" t="str">
        <f t="shared" si="259"/>
        <v>A</v>
      </c>
      <c r="V238" s="436" t="str">
        <f t="shared" si="259"/>
        <v>D</v>
      </c>
      <c r="W238" s="436" t="str">
        <f t="shared" si="259"/>
        <v>L</v>
      </c>
      <c r="X238" s="436" t="str">
        <f t="shared" si="259"/>
        <v>K</v>
      </c>
      <c r="Y238" s="446">
        <f t="shared" ca="1" si="4"/>
        <v>6</v>
      </c>
    </row>
    <row r="239" spans="1:25" ht="14.25" customHeight="1" x14ac:dyDescent="0.25">
      <c r="A239" s="379" t="s">
        <v>574</v>
      </c>
      <c r="F239" s="379">
        <v>238</v>
      </c>
      <c r="G239" s="379" t="s">
        <v>329</v>
      </c>
      <c r="H239" s="379" t="s">
        <v>328</v>
      </c>
      <c r="I239" s="379" t="s">
        <v>327</v>
      </c>
      <c r="J239" s="379" t="s">
        <v>339</v>
      </c>
      <c r="K239" s="379" t="s">
        <v>334</v>
      </c>
      <c r="L239" s="379" t="s">
        <v>336</v>
      </c>
      <c r="M239" s="379" t="s">
        <v>331</v>
      </c>
      <c r="N239" s="379" t="s">
        <v>332</v>
      </c>
      <c r="P239" s="379">
        <f t="shared" si="2"/>
        <v>238</v>
      </c>
      <c r="Q239" s="445" t="str">
        <f t="shared" ref="Q239:X239" si="260">+RIGHT(G239,1)</f>
        <v>H</v>
      </c>
      <c r="R239" s="436" t="str">
        <f t="shared" si="260"/>
        <v>F</v>
      </c>
      <c r="S239" s="436" t="str">
        <f t="shared" si="260"/>
        <v>I</v>
      </c>
      <c r="T239" s="436" t="str">
        <f t="shared" si="260"/>
        <v>C</v>
      </c>
      <c r="U239" s="436" t="str">
        <f t="shared" si="260"/>
        <v>A</v>
      </c>
      <c r="V239" s="436" t="str">
        <f t="shared" si="260"/>
        <v>D</v>
      </c>
      <c r="W239" s="436" t="str">
        <f t="shared" si="260"/>
        <v>L</v>
      </c>
      <c r="X239" s="436" t="str">
        <f t="shared" si="260"/>
        <v>K</v>
      </c>
      <c r="Y239" s="446">
        <f t="shared" ca="1" si="4"/>
        <v>7</v>
      </c>
    </row>
    <row r="240" spans="1:25" ht="14.25" customHeight="1" x14ac:dyDescent="0.25">
      <c r="A240" s="379" t="s">
        <v>575</v>
      </c>
      <c r="F240" s="379">
        <v>239</v>
      </c>
      <c r="G240" s="379" t="s">
        <v>329</v>
      </c>
      <c r="H240" s="379" t="s">
        <v>326</v>
      </c>
      <c r="I240" s="379" t="s">
        <v>328</v>
      </c>
      <c r="J240" s="379" t="s">
        <v>339</v>
      </c>
      <c r="K240" s="379" t="s">
        <v>334</v>
      </c>
      <c r="L240" s="379" t="s">
        <v>336</v>
      </c>
      <c r="M240" s="379" t="s">
        <v>331</v>
      </c>
      <c r="N240" s="379" t="s">
        <v>327</v>
      </c>
      <c r="P240" s="379">
        <f t="shared" si="2"/>
        <v>239</v>
      </c>
      <c r="Q240" s="445" t="str">
        <f t="shared" ref="Q240:X240" si="261">+RIGHT(G240,1)</f>
        <v>H</v>
      </c>
      <c r="R240" s="436" t="str">
        <f t="shared" si="261"/>
        <v>J</v>
      </c>
      <c r="S240" s="436" t="str">
        <f t="shared" si="261"/>
        <v>F</v>
      </c>
      <c r="T240" s="436" t="str">
        <f t="shared" si="261"/>
        <v>C</v>
      </c>
      <c r="U240" s="436" t="str">
        <f t="shared" si="261"/>
        <v>A</v>
      </c>
      <c r="V240" s="436" t="str">
        <f t="shared" si="261"/>
        <v>D</v>
      </c>
      <c r="W240" s="436" t="str">
        <f t="shared" si="261"/>
        <v>L</v>
      </c>
      <c r="X240" s="436" t="str">
        <f t="shared" si="261"/>
        <v>I</v>
      </c>
      <c r="Y240" s="446">
        <f t="shared" ca="1" si="4"/>
        <v>7</v>
      </c>
    </row>
    <row r="241" spans="1:25" ht="14.25" customHeight="1" x14ac:dyDescent="0.25">
      <c r="A241" s="379" t="s">
        <v>576</v>
      </c>
      <c r="F241" s="379">
        <v>240</v>
      </c>
      <c r="G241" s="379" t="s">
        <v>329</v>
      </c>
      <c r="H241" s="379" t="s">
        <v>326</v>
      </c>
      <c r="I241" s="379" t="s">
        <v>328</v>
      </c>
      <c r="J241" s="379" t="s">
        <v>339</v>
      </c>
      <c r="K241" s="379" t="s">
        <v>334</v>
      </c>
      <c r="L241" s="379" t="s">
        <v>336</v>
      </c>
      <c r="M241" s="379" t="s">
        <v>327</v>
      </c>
      <c r="N241" s="379" t="s">
        <v>332</v>
      </c>
      <c r="P241" s="379">
        <f t="shared" si="2"/>
        <v>240</v>
      </c>
      <c r="Q241" s="445" t="str">
        <f t="shared" ref="Q241:X241" si="262">+RIGHT(G241,1)</f>
        <v>H</v>
      </c>
      <c r="R241" s="436" t="str">
        <f t="shared" si="262"/>
        <v>J</v>
      </c>
      <c r="S241" s="436" t="str">
        <f t="shared" si="262"/>
        <v>F</v>
      </c>
      <c r="T241" s="436" t="str">
        <f t="shared" si="262"/>
        <v>C</v>
      </c>
      <c r="U241" s="436" t="str">
        <f t="shared" si="262"/>
        <v>A</v>
      </c>
      <c r="V241" s="436" t="str">
        <f t="shared" si="262"/>
        <v>D</v>
      </c>
      <c r="W241" s="436" t="str">
        <f t="shared" si="262"/>
        <v>I</v>
      </c>
      <c r="X241" s="436" t="str">
        <f t="shared" si="262"/>
        <v>K</v>
      </c>
      <c r="Y241" s="446">
        <f t="shared" ca="1" si="4"/>
        <v>6</v>
      </c>
    </row>
    <row r="242" spans="1:25" ht="14.25" customHeight="1" x14ac:dyDescent="0.25">
      <c r="A242" s="379" t="s">
        <v>577</v>
      </c>
      <c r="F242" s="379">
        <v>241</v>
      </c>
      <c r="G242" s="379" t="s">
        <v>339</v>
      </c>
      <c r="H242" s="379" t="s">
        <v>330</v>
      </c>
      <c r="I242" s="379" t="s">
        <v>326</v>
      </c>
      <c r="J242" s="379" t="s">
        <v>336</v>
      </c>
      <c r="K242" s="379" t="s">
        <v>334</v>
      </c>
      <c r="L242" s="379" t="s">
        <v>328</v>
      </c>
      <c r="M242" s="379" t="s">
        <v>331</v>
      </c>
      <c r="N242" s="379" t="s">
        <v>332</v>
      </c>
      <c r="P242" s="379">
        <f t="shared" si="2"/>
        <v>241</v>
      </c>
      <c r="Q242" s="445" t="str">
        <f t="shared" ref="Q242:X242" si="263">+RIGHT(G242,1)</f>
        <v>C</v>
      </c>
      <c r="R242" s="436" t="str">
        <f t="shared" si="263"/>
        <v>G</v>
      </c>
      <c r="S242" s="436" t="str">
        <f t="shared" si="263"/>
        <v>J</v>
      </c>
      <c r="T242" s="436" t="str">
        <f t="shared" si="263"/>
        <v>D</v>
      </c>
      <c r="U242" s="436" t="str">
        <f t="shared" si="263"/>
        <v>A</v>
      </c>
      <c r="V242" s="436" t="str">
        <f t="shared" si="263"/>
        <v>F</v>
      </c>
      <c r="W242" s="436" t="str">
        <f t="shared" si="263"/>
        <v>L</v>
      </c>
      <c r="X242" s="436" t="str">
        <f t="shared" si="263"/>
        <v>K</v>
      </c>
      <c r="Y242" s="446">
        <f t="shared" ca="1" si="4"/>
        <v>6</v>
      </c>
    </row>
    <row r="243" spans="1:25" ht="14.25" customHeight="1" x14ac:dyDescent="0.25">
      <c r="A243" s="379" t="s">
        <v>578</v>
      </c>
      <c r="F243" s="379">
        <v>242</v>
      </c>
      <c r="G243" s="379" t="s">
        <v>339</v>
      </c>
      <c r="H243" s="379" t="s">
        <v>330</v>
      </c>
      <c r="I243" s="379" t="s">
        <v>327</v>
      </c>
      <c r="J243" s="379" t="s">
        <v>336</v>
      </c>
      <c r="K243" s="379" t="s">
        <v>334</v>
      </c>
      <c r="L243" s="379" t="s">
        <v>328</v>
      </c>
      <c r="M243" s="379" t="s">
        <v>331</v>
      </c>
      <c r="N243" s="379" t="s">
        <v>332</v>
      </c>
      <c r="P243" s="379">
        <f t="shared" si="2"/>
        <v>242</v>
      </c>
      <c r="Q243" s="445" t="str">
        <f t="shared" ref="Q243:X243" si="264">+RIGHT(G243,1)</f>
        <v>C</v>
      </c>
      <c r="R243" s="436" t="str">
        <f t="shared" si="264"/>
        <v>G</v>
      </c>
      <c r="S243" s="436" t="str">
        <f t="shared" si="264"/>
        <v>I</v>
      </c>
      <c r="T243" s="436" t="str">
        <f t="shared" si="264"/>
        <v>D</v>
      </c>
      <c r="U243" s="436" t="str">
        <f t="shared" si="264"/>
        <v>A</v>
      </c>
      <c r="V243" s="436" t="str">
        <f t="shared" si="264"/>
        <v>F</v>
      </c>
      <c r="W243" s="436" t="str">
        <f t="shared" si="264"/>
        <v>L</v>
      </c>
      <c r="X243" s="436" t="str">
        <f t="shared" si="264"/>
        <v>K</v>
      </c>
      <c r="Y243" s="446">
        <f t="shared" ca="1" si="4"/>
        <v>7</v>
      </c>
    </row>
    <row r="244" spans="1:25" ht="14.25" customHeight="1" x14ac:dyDescent="0.25">
      <c r="A244" s="379" t="s">
        <v>579</v>
      </c>
      <c r="F244" s="379">
        <v>243</v>
      </c>
      <c r="G244" s="379" t="s">
        <v>339</v>
      </c>
      <c r="H244" s="379" t="s">
        <v>330</v>
      </c>
      <c r="I244" s="379" t="s">
        <v>326</v>
      </c>
      <c r="J244" s="379" t="s">
        <v>336</v>
      </c>
      <c r="K244" s="379" t="s">
        <v>334</v>
      </c>
      <c r="L244" s="379" t="s">
        <v>328</v>
      </c>
      <c r="M244" s="379" t="s">
        <v>331</v>
      </c>
      <c r="N244" s="379" t="s">
        <v>327</v>
      </c>
      <c r="P244" s="379">
        <f t="shared" si="2"/>
        <v>243</v>
      </c>
      <c r="Q244" s="445" t="str">
        <f t="shared" ref="Q244:X244" si="265">+RIGHT(G244,1)</f>
        <v>C</v>
      </c>
      <c r="R244" s="436" t="str">
        <f t="shared" si="265"/>
        <v>G</v>
      </c>
      <c r="S244" s="436" t="str">
        <f t="shared" si="265"/>
        <v>J</v>
      </c>
      <c r="T244" s="436" t="str">
        <f t="shared" si="265"/>
        <v>D</v>
      </c>
      <c r="U244" s="436" t="str">
        <f t="shared" si="265"/>
        <v>A</v>
      </c>
      <c r="V244" s="436" t="str">
        <f t="shared" si="265"/>
        <v>F</v>
      </c>
      <c r="W244" s="436" t="str">
        <f t="shared" si="265"/>
        <v>L</v>
      </c>
      <c r="X244" s="436" t="str">
        <f t="shared" si="265"/>
        <v>I</v>
      </c>
      <c r="Y244" s="446">
        <f t="shared" ca="1" si="4"/>
        <v>7</v>
      </c>
    </row>
    <row r="245" spans="1:25" ht="14.25" customHeight="1" x14ac:dyDescent="0.25">
      <c r="A245" s="379" t="s">
        <v>580</v>
      </c>
      <c r="F245" s="379">
        <v>244</v>
      </c>
      <c r="G245" s="379" t="s">
        <v>339</v>
      </c>
      <c r="H245" s="379" t="s">
        <v>330</v>
      </c>
      <c r="I245" s="379" t="s">
        <v>326</v>
      </c>
      <c r="J245" s="379" t="s">
        <v>336</v>
      </c>
      <c r="K245" s="379" t="s">
        <v>334</v>
      </c>
      <c r="L245" s="379" t="s">
        <v>328</v>
      </c>
      <c r="M245" s="379" t="s">
        <v>327</v>
      </c>
      <c r="N245" s="379" t="s">
        <v>332</v>
      </c>
      <c r="P245" s="379">
        <f t="shared" si="2"/>
        <v>244</v>
      </c>
      <c r="Q245" s="445" t="str">
        <f t="shared" ref="Q245:X245" si="266">+RIGHT(G245,1)</f>
        <v>C</v>
      </c>
      <c r="R245" s="436" t="str">
        <f t="shared" si="266"/>
        <v>G</v>
      </c>
      <c r="S245" s="436" t="str">
        <f t="shared" si="266"/>
        <v>J</v>
      </c>
      <c r="T245" s="436" t="str">
        <f t="shared" si="266"/>
        <v>D</v>
      </c>
      <c r="U245" s="436" t="str">
        <f t="shared" si="266"/>
        <v>A</v>
      </c>
      <c r="V245" s="436" t="str">
        <f t="shared" si="266"/>
        <v>F</v>
      </c>
      <c r="W245" s="436" t="str">
        <f t="shared" si="266"/>
        <v>I</v>
      </c>
      <c r="X245" s="436" t="str">
        <f t="shared" si="266"/>
        <v>K</v>
      </c>
      <c r="Y245" s="446">
        <f t="shared" ca="1" si="4"/>
        <v>6</v>
      </c>
    </row>
    <row r="246" spans="1:25" ht="14.25" customHeight="1" x14ac:dyDescent="0.25">
      <c r="A246" s="379" t="s">
        <v>581</v>
      </c>
      <c r="F246" s="379">
        <v>245</v>
      </c>
      <c r="G246" s="379" t="s">
        <v>329</v>
      </c>
      <c r="H246" s="379" t="s">
        <v>330</v>
      </c>
      <c r="I246" s="379" t="s">
        <v>328</v>
      </c>
      <c r="J246" s="379" t="s">
        <v>339</v>
      </c>
      <c r="K246" s="379" t="s">
        <v>334</v>
      </c>
      <c r="L246" s="379" t="s">
        <v>336</v>
      </c>
      <c r="M246" s="379" t="s">
        <v>331</v>
      </c>
      <c r="N246" s="379" t="s">
        <v>332</v>
      </c>
      <c r="P246" s="379">
        <f t="shared" si="2"/>
        <v>245</v>
      </c>
      <c r="Q246" s="445" t="str">
        <f t="shared" ref="Q246:X246" si="267">+RIGHT(G246,1)</f>
        <v>H</v>
      </c>
      <c r="R246" s="436" t="str">
        <f t="shared" si="267"/>
        <v>G</v>
      </c>
      <c r="S246" s="436" t="str">
        <f t="shared" si="267"/>
        <v>F</v>
      </c>
      <c r="T246" s="436" t="str">
        <f t="shared" si="267"/>
        <v>C</v>
      </c>
      <c r="U246" s="436" t="str">
        <f t="shared" si="267"/>
        <v>A</v>
      </c>
      <c r="V246" s="436" t="str">
        <f t="shared" si="267"/>
        <v>D</v>
      </c>
      <c r="W246" s="436" t="str">
        <f t="shared" si="267"/>
        <v>L</v>
      </c>
      <c r="X246" s="436" t="str">
        <f t="shared" si="267"/>
        <v>K</v>
      </c>
      <c r="Y246" s="446">
        <f t="shared" ca="1" si="4"/>
        <v>7</v>
      </c>
    </row>
    <row r="247" spans="1:25" ht="14.25" customHeight="1" x14ac:dyDescent="0.25">
      <c r="A247" s="379" t="s">
        <v>582</v>
      </c>
      <c r="F247" s="379">
        <v>246</v>
      </c>
      <c r="G247" s="379" t="s">
        <v>339</v>
      </c>
      <c r="H247" s="379" t="s">
        <v>330</v>
      </c>
      <c r="I247" s="379" t="s">
        <v>326</v>
      </c>
      <c r="J247" s="379" t="s">
        <v>336</v>
      </c>
      <c r="K247" s="379" t="s">
        <v>334</v>
      </c>
      <c r="L247" s="379" t="s">
        <v>328</v>
      </c>
      <c r="M247" s="379" t="s">
        <v>331</v>
      </c>
      <c r="N247" s="379" t="s">
        <v>329</v>
      </c>
      <c r="P247" s="379">
        <f t="shared" si="2"/>
        <v>246</v>
      </c>
      <c r="Q247" s="445" t="str">
        <f t="shared" ref="Q247:X247" si="268">+RIGHT(G247,1)</f>
        <v>C</v>
      </c>
      <c r="R247" s="436" t="str">
        <f t="shared" si="268"/>
        <v>G</v>
      </c>
      <c r="S247" s="436" t="str">
        <f t="shared" si="268"/>
        <v>J</v>
      </c>
      <c r="T247" s="436" t="str">
        <f t="shared" si="268"/>
        <v>D</v>
      </c>
      <c r="U247" s="436" t="str">
        <f t="shared" si="268"/>
        <v>A</v>
      </c>
      <c r="V247" s="436" t="str">
        <f t="shared" si="268"/>
        <v>F</v>
      </c>
      <c r="W247" s="436" t="str">
        <f t="shared" si="268"/>
        <v>L</v>
      </c>
      <c r="X247" s="436" t="str">
        <f t="shared" si="268"/>
        <v>H</v>
      </c>
      <c r="Y247" s="446">
        <f t="shared" ca="1" si="4"/>
        <v>7</v>
      </c>
    </row>
    <row r="248" spans="1:25" ht="14.25" customHeight="1" x14ac:dyDescent="0.25">
      <c r="A248" s="379" t="s">
        <v>583</v>
      </c>
      <c r="F248" s="379">
        <v>247</v>
      </c>
      <c r="G248" s="379" t="s">
        <v>329</v>
      </c>
      <c r="H248" s="379" t="s">
        <v>330</v>
      </c>
      <c r="I248" s="379" t="s">
        <v>326</v>
      </c>
      <c r="J248" s="379" t="s">
        <v>339</v>
      </c>
      <c r="K248" s="379" t="s">
        <v>334</v>
      </c>
      <c r="L248" s="379" t="s">
        <v>328</v>
      </c>
      <c r="M248" s="379" t="s">
        <v>336</v>
      </c>
      <c r="N248" s="379" t="s">
        <v>332</v>
      </c>
      <c r="P248" s="379">
        <f t="shared" si="2"/>
        <v>247</v>
      </c>
      <c r="Q248" s="445" t="str">
        <f t="shared" ref="Q248:X248" si="269">+RIGHT(G248,1)</f>
        <v>H</v>
      </c>
      <c r="R248" s="436" t="str">
        <f t="shared" si="269"/>
        <v>G</v>
      </c>
      <c r="S248" s="436" t="str">
        <f t="shared" si="269"/>
        <v>J</v>
      </c>
      <c r="T248" s="436" t="str">
        <f t="shared" si="269"/>
        <v>C</v>
      </c>
      <c r="U248" s="436" t="str">
        <f t="shared" si="269"/>
        <v>A</v>
      </c>
      <c r="V248" s="436" t="str">
        <f t="shared" si="269"/>
        <v>F</v>
      </c>
      <c r="W248" s="436" t="str">
        <f t="shared" si="269"/>
        <v>D</v>
      </c>
      <c r="X248" s="436" t="str">
        <f t="shared" si="269"/>
        <v>K</v>
      </c>
      <c r="Y248" s="446">
        <f t="shared" ca="1" si="4"/>
        <v>6</v>
      </c>
    </row>
    <row r="249" spans="1:25" ht="14.25" customHeight="1" x14ac:dyDescent="0.25">
      <c r="A249" s="379" t="s">
        <v>584</v>
      </c>
      <c r="F249" s="379">
        <v>248</v>
      </c>
      <c r="G249" s="379" t="s">
        <v>329</v>
      </c>
      <c r="H249" s="379" t="s">
        <v>330</v>
      </c>
      <c r="I249" s="379" t="s">
        <v>328</v>
      </c>
      <c r="J249" s="379" t="s">
        <v>339</v>
      </c>
      <c r="K249" s="379" t="s">
        <v>334</v>
      </c>
      <c r="L249" s="379" t="s">
        <v>336</v>
      </c>
      <c r="M249" s="379" t="s">
        <v>331</v>
      </c>
      <c r="N249" s="379" t="s">
        <v>327</v>
      </c>
      <c r="P249" s="379">
        <f t="shared" si="2"/>
        <v>248</v>
      </c>
      <c r="Q249" s="445" t="str">
        <f t="shared" ref="Q249:X249" si="270">+RIGHT(G249,1)</f>
        <v>H</v>
      </c>
      <c r="R249" s="436" t="str">
        <f t="shared" si="270"/>
        <v>G</v>
      </c>
      <c r="S249" s="436" t="str">
        <f t="shared" si="270"/>
        <v>F</v>
      </c>
      <c r="T249" s="436" t="str">
        <f t="shared" si="270"/>
        <v>C</v>
      </c>
      <c r="U249" s="436" t="str">
        <f t="shared" si="270"/>
        <v>A</v>
      </c>
      <c r="V249" s="436" t="str">
        <f t="shared" si="270"/>
        <v>D</v>
      </c>
      <c r="W249" s="436" t="str">
        <f t="shared" si="270"/>
        <v>L</v>
      </c>
      <c r="X249" s="436" t="str">
        <f t="shared" si="270"/>
        <v>I</v>
      </c>
      <c r="Y249" s="446">
        <f t="shared" ca="1" si="4"/>
        <v>8</v>
      </c>
    </row>
    <row r="250" spans="1:25" ht="14.25" customHeight="1" x14ac:dyDescent="0.25">
      <c r="A250" s="379" t="s">
        <v>585</v>
      </c>
      <c r="F250" s="379">
        <v>249</v>
      </c>
      <c r="G250" s="379" t="s">
        <v>329</v>
      </c>
      <c r="H250" s="379" t="s">
        <v>330</v>
      </c>
      <c r="I250" s="379" t="s">
        <v>328</v>
      </c>
      <c r="J250" s="379" t="s">
        <v>339</v>
      </c>
      <c r="K250" s="379" t="s">
        <v>334</v>
      </c>
      <c r="L250" s="379" t="s">
        <v>336</v>
      </c>
      <c r="M250" s="379" t="s">
        <v>327</v>
      </c>
      <c r="N250" s="379" t="s">
        <v>332</v>
      </c>
      <c r="P250" s="379">
        <f t="shared" si="2"/>
        <v>249</v>
      </c>
      <c r="Q250" s="445" t="str">
        <f t="shared" ref="Q250:X250" si="271">+RIGHT(G250,1)</f>
        <v>H</v>
      </c>
      <c r="R250" s="436" t="str">
        <f t="shared" si="271"/>
        <v>G</v>
      </c>
      <c r="S250" s="436" t="str">
        <f t="shared" si="271"/>
        <v>F</v>
      </c>
      <c r="T250" s="436" t="str">
        <f t="shared" si="271"/>
        <v>C</v>
      </c>
      <c r="U250" s="436" t="str">
        <f t="shared" si="271"/>
        <v>A</v>
      </c>
      <c r="V250" s="436" t="str">
        <f t="shared" si="271"/>
        <v>D</v>
      </c>
      <c r="W250" s="436" t="str">
        <f t="shared" si="271"/>
        <v>I</v>
      </c>
      <c r="X250" s="436" t="str">
        <f t="shared" si="271"/>
        <v>K</v>
      </c>
      <c r="Y250" s="446">
        <f t="shared" ca="1" si="4"/>
        <v>7</v>
      </c>
    </row>
    <row r="251" spans="1:25" ht="14.25" customHeight="1" x14ac:dyDescent="0.25">
      <c r="A251" s="379" t="s">
        <v>586</v>
      </c>
      <c r="F251" s="379">
        <v>250</v>
      </c>
      <c r="G251" s="379" t="s">
        <v>329</v>
      </c>
      <c r="H251" s="379" t="s">
        <v>330</v>
      </c>
      <c r="I251" s="379" t="s">
        <v>326</v>
      </c>
      <c r="J251" s="379" t="s">
        <v>339</v>
      </c>
      <c r="K251" s="379" t="s">
        <v>334</v>
      </c>
      <c r="L251" s="379" t="s">
        <v>328</v>
      </c>
      <c r="M251" s="379" t="s">
        <v>336</v>
      </c>
      <c r="N251" s="379" t="s">
        <v>327</v>
      </c>
      <c r="P251" s="379">
        <f t="shared" si="2"/>
        <v>250</v>
      </c>
      <c r="Q251" s="445" t="str">
        <f t="shared" ref="Q251:X251" si="272">+RIGHT(G251,1)</f>
        <v>H</v>
      </c>
      <c r="R251" s="436" t="str">
        <f t="shared" si="272"/>
        <v>G</v>
      </c>
      <c r="S251" s="436" t="str">
        <f t="shared" si="272"/>
        <v>J</v>
      </c>
      <c r="T251" s="436" t="str">
        <f t="shared" si="272"/>
        <v>C</v>
      </c>
      <c r="U251" s="436" t="str">
        <f t="shared" si="272"/>
        <v>A</v>
      </c>
      <c r="V251" s="436" t="str">
        <f t="shared" si="272"/>
        <v>F</v>
      </c>
      <c r="W251" s="436" t="str">
        <f t="shared" si="272"/>
        <v>D</v>
      </c>
      <c r="X251" s="436" t="str">
        <f t="shared" si="272"/>
        <v>I</v>
      </c>
      <c r="Y251" s="446">
        <f t="shared" ca="1" si="4"/>
        <v>7</v>
      </c>
    </row>
    <row r="252" spans="1:25" ht="14.25" customHeight="1" x14ac:dyDescent="0.25">
      <c r="A252" s="379" t="s">
        <v>587</v>
      </c>
      <c r="F252" s="379">
        <v>251</v>
      </c>
      <c r="G252" s="379" t="s">
        <v>325</v>
      </c>
      <c r="H252" s="379" t="s">
        <v>326</v>
      </c>
      <c r="I252" s="379" t="s">
        <v>327</v>
      </c>
      <c r="J252" s="379" t="s">
        <v>339</v>
      </c>
      <c r="K252" s="379" t="s">
        <v>334</v>
      </c>
      <c r="L252" s="379" t="s">
        <v>336</v>
      </c>
      <c r="M252" s="379" t="s">
        <v>331</v>
      </c>
      <c r="N252" s="379" t="s">
        <v>332</v>
      </c>
      <c r="P252" s="379">
        <f t="shared" si="2"/>
        <v>251</v>
      </c>
      <c r="Q252" s="445" t="str">
        <f t="shared" ref="Q252:X252" si="273">+RIGHT(G252,1)</f>
        <v>E</v>
      </c>
      <c r="R252" s="436" t="str">
        <f t="shared" si="273"/>
        <v>J</v>
      </c>
      <c r="S252" s="436" t="str">
        <f t="shared" si="273"/>
        <v>I</v>
      </c>
      <c r="T252" s="436" t="str">
        <f t="shared" si="273"/>
        <v>C</v>
      </c>
      <c r="U252" s="436" t="str">
        <f t="shared" si="273"/>
        <v>A</v>
      </c>
      <c r="V252" s="436" t="str">
        <f t="shared" si="273"/>
        <v>D</v>
      </c>
      <c r="W252" s="436" t="str">
        <f t="shared" si="273"/>
        <v>L</v>
      </c>
      <c r="X252" s="436" t="str">
        <f t="shared" si="273"/>
        <v>K</v>
      </c>
      <c r="Y252" s="446">
        <f t="shared" ca="1" si="4"/>
        <v>5</v>
      </c>
    </row>
    <row r="253" spans="1:25" ht="14.25" customHeight="1" x14ac:dyDescent="0.25">
      <c r="A253" s="379" t="s">
        <v>588</v>
      </c>
      <c r="F253" s="379">
        <v>252</v>
      </c>
      <c r="G253" s="379" t="s">
        <v>329</v>
      </c>
      <c r="H253" s="379" t="s">
        <v>326</v>
      </c>
      <c r="I253" s="379" t="s">
        <v>325</v>
      </c>
      <c r="J253" s="379" t="s">
        <v>339</v>
      </c>
      <c r="K253" s="379" t="s">
        <v>334</v>
      </c>
      <c r="L253" s="379" t="s">
        <v>336</v>
      </c>
      <c r="M253" s="379" t="s">
        <v>331</v>
      </c>
      <c r="N253" s="379" t="s">
        <v>332</v>
      </c>
      <c r="P253" s="379">
        <f t="shared" si="2"/>
        <v>252</v>
      </c>
      <c r="Q253" s="445" t="str">
        <f t="shared" ref="Q253:X253" si="274">+RIGHT(G253,1)</f>
        <v>H</v>
      </c>
      <c r="R253" s="436" t="str">
        <f t="shared" si="274"/>
        <v>J</v>
      </c>
      <c r="S253" s="436" t="str">
        <f t="shared" si="274"/>
        <v>E</v>
      </c>
      <c r="T253" s="436" t="str">
        <f t="shared" si="274"/>
        <v>C</v>
      </c>
      <c r="U253" s="436" t="str">
        <f t="shared" si="274"/>
        <v>A</v>
      </c>
      <c r="V253" s="436" t="str">
        <f t="shared" si="274"/>
        <v>D</v>
      </c>
      <c r="W253" s="436" t="str">
        <f t="shared" si="274"/>
        <v>L</v>
      </c>
      <c r="X253" s="436" t="str">
        <f t="shared" si="274"/>
        <v>K</v>
      </c>
      <c r="Y253" s="446">
        <f t="shared" ca="1" si="4"/>
        <v>5</v>
      </c>
    </row>
    <row r="254" spans="1:25" ht="14.25" customHeight="1" x14ac:dyDescent="0.25">
      <c r="A254" s="379" t="s">
        <v>589</v>
      </c>
      <c r="F254" s="379">
        <v>253</v>
      </c>
      <c r="G254" s="379" t="s">
        <v>329</v>
      </c>
      <c r="H254" s="379" t="s">
        <v>325</v>
      </c>
      <c r="I254" s="379" t="s">
        <v>327</v>
      </c>
      <c r="J254" s="379" t="s">
        <v>339</v>
      </c>
      <c r="K254" s="379" t="s">
        <v>334</v>
      </c>
      <c r="L254" s="379" t="s">
        <v>336</v>
      </c>
      <c r="M254" s="379" t="s">
        <v>331</v>
      </c>
      <c r="N254" s="379" t="s">
        <v>332</v>
      </c>
      <c r="P254" s="379">
        <f t="shared" si="2"/>
        <v>253</v>
      </c>
      <c r="Q254" s="445" t="str">
        <f t="shared" ref="Q254:X254" si="275">+RIGHT(G254,1)</f>
        <v>H</v>
      </c>
      <c r="R254" s="436" t="str">
        <f t="shared" si="275"/>
        <v>E</v>
      </c>
      <c r="S254" s="436" t="str">
        <f t="shared" si="275"/>
        <v>I</v>
      </c>
      <c r="T254" s="436" t="str">
        <f t="shared" si="275"/>
        <v>C</v>
      </c>
      <c r="U254" s="436" t="str">
        <f t="shared" si="275"/>
        <v>A</v>
      </c>
      <c r="V254" s="436" t="str">
        <f t="shared" si="275"/>
        <v>D</v>
      </c>
      <c r="W254" s="436" t="str">
        <f t="shared" si="275"/>
        <v>L</v>
      </c>
      <c r="X254" s="436" t="str">
        <f t="shared" si="275"/>
        <v>K</v>
      </c>
      <c r="Y254" s="446">
        <f t="shared" ca="1" si="4"/>
        <v>6</v>
      </c>
    </row>
    <row r="255" spans="1:25" ht="14.25" customHeight="1" x14ac:dyDescent="0.25">
      <c r="A255" s="379" t="s">
        <v>590</v>
      </c>
      <c r="F255" s="379">
        <v>254</v>
      </c>
      <c r="G255" s="379" t="s">
        <v>329</v>
      </c>
      <c r="H255" s="379" t="s">
        <v>326</v>
      </c>
      <c r="I255" s="379" t="s">
        <v>325</v>
      </c>
      <c r="J255" s="379" t="s">
        <v>339</v>
      </c>
      <c r="K255" s="379" t="s">
        <v>334</v>
      </c>
      <c r="L255" s="379" t="s">
        <v>336</v>
      </c>
      <c r="M255" s="379" t="s">
        <v>331</v>
      </c>
      <c r="N255" s="379" t="s">
        <v>327</v>
      </c>
      <c r="P255" s="379">
        <f t="shared" si="2"/>
        <v>254</v>
      </c>
      <c r="Q255" s="445" t="str">
        <f t="shared" ref="Q255:X255" si="276">+RIGHT(G255,1)</f>
        <v>H</v>
      </c>
      <c r="R255" s="436" t="str">
        <f t="shared" si="276"/>
        <v>J</v>
      </c>
      <c r="S255" s="436" t="str">
        <f t="shared" si="276"/>
        <v>E</v>
      </c>
      <c r="T255" s="436" t="str">
        <f t="shared" si="276"/>
        <v>C</v>
      </c>
      <c r="U255" s="436" t="str">
        <f t="shared" si="276"/>
        <v>A</v>
      </c>
      <c r="V255" s="436" t="str">
        <f t="shared" si="276"/>
        <v>D</v>
      </c>
      <c r="W255" s="436" t="str">
        <f t="shared" si="276"/>
        <v>L</v>
      </c>
      <c r="X255" s="436" t="str">
        <f t="shared" si="276"/>
        <v>I</v>
      </c>
      <c r="Y255" s="446">
        <f t="shared" ca="1" si="4"/>
        <v>6</v>
      </c>
    </row>
    <row r="256" spans="1:25" ht="14.25" customHeight="1" x14ac:dyDescent="0.25">
      <c r="A256" s="379" t="s">
        <v>591</v>
      </c>
      <c r="F256" s="379">
        <v>255</v>
      </c>
      <c r="G256" s="379" t="s">
        <v>329</v>
      </c>
      <c r="H256" s="379" t="s">
        <v>326</v>
      </c>
      <c r="I256" s="379" t="s">
        <v>325</v>
      </c>
      <c r="J256" s="379" t="s">
        <v>339</v>
      </c>
      <c r="K256" s="379" t="s">
        <v>334</v>
      </c>
      <c r="L256" s="379" t="s">
        <v>336</v>
      </c>
      <c r="M256" s="379" t="s">
        <v>327</v>
      </c>
      <c r="N256" s="379" t="s">
        <v>332</v>
      </c>
      <c r="P256" s="379">
        <f t="shared" si="2"/>
        <v>255</v>
      </c>
      <c r="Q256" s="445" t="str">
        <f t="shared" ref="Q256:X256" si="277">+RIGHT(G256,1)</f>
        <v>H</v>
      </c>
      <c r="R256" s="436" t="str">
        <f t="shared" si="277"/>
        <v>J</v>
      </c>
      <c r="S256" s="436" t="str">
        <f t="shared" si="277"/>
        <v>E</v>
      </c>
      <c r="T256" s="436" t="str">
        <f t="shared" si="277"/>
        <v>C</v>
      </c>
      <c r="U256" s="436" t="str">
        <f t="shared" si="277"/>
        <v>A</v>
      </c>
      <c r="V256" s="436" t="str">
        <f t="shared" si="277"/>
        <v>D</v>
      </c>
      <c r="W256" s="436" t="str">
        <f t="shared" si="277"/>
        <v>I</v>
      </c>
      <c r="X256" s="436" t="str">
        <f t="shared" si="277"/>
        <v>K</v>
      </c>
      <c r="Y256" s="446">
        <f t="shared" ca="1" si="4"/>
        <v>5</v>
      </c>
    </row>
    <row r="257" spans="1:25" ht="14.25" customHeight="1" x14ac:dyDescent="0.25">
      <c r="A257" s="379" t="s">
        <v>592</v>
      </c>
      <c r="F257" s="379">
        <v>256</v>
      </c>
      <c r="G257" s="379" t="s">
        <v>325</v>
      </c>
      <c r="H257" s="379" t="s">
        <v>330</v>
      </c>
      <c r="I257" s="379" t="s">
        <v>326</v>
      </c>
      <c r="J257" s="379" t="s">
        <v>339</v>
      </c>
      <c r="K257" s="379" t="s">
        <v>334</v>
      </c>
      <c r="L257" s="379" t="s">
        <v>336</v>
      </c>
      <c r="M257" s="379" t="s">
        <v>331</v>
      </c>
      <c r="N257" s="379" t="s">
        <v>332</v>
      </c>
      <c r="P257" s="379">
        <f t="shared" ref="P257:P496" si="278">+F257</f>
        <v>256</v>
      </c>
      <c r="Q257" s="445" t="str">
        <f t="shared" ref="Q257:X257" si="279">+RIGHT(G257,1)</f>
        <v>E</v>
      </c>
      <c r="R257" s="436" t="str">
        <f t="shared" si="279"/>
        <v>G</v>
      </c>
      <c r="S257" s="436" t="str">
        <f t="shared" si="279"/>
        <v>J</v>
      </c>
      <c r="T257" s="436" t="str">
        <f t="shared" si="279"/>
        <v>C</v>
      </c>
      <c r="U257" s="436" t="str">
        <f t="shared" si="279"/>
        <v>A</v>
      </c>
      <c r="V257" s="436" t="str">
        <f t="shared" si="279"/>
        <v>D</v>
      </c>
      <c r="W257" s="436" t="str">
        <f t="shared" si="279"/>
        <v>L</v>
      </c>
      <c r="X257" s="436" t="str">
        <f t="shared" si="279"/>
        <v>K</v>
      </c>
      <c r="Y257" s="446">
        <f t="shared" ref="Y257:Y496" ca="1" si="280">+COUNTIF($AA$2:$AA$9,Q257)+COUNTIF($AA$2:$AA$9,R257)+COUNTIF($AA$2:$AA$9,S257)+COUNTIF($AA$2:$AA$9,T257)+COUNTIF($AA$2:$AA$9,U257)+COUNTIF($AA$2:$AA$9,V257)+COUNTIF($AA$2:$AA$9,W257)+COUNTIF($AA$2:$AA$9,X257)</f>
        <v>5</v>
      </c>
    </row>
    <row r="258" spans="1:25" ht="14.25" customHeight="1" x14ac:dyDescent="0.25">
      <c r="A258" s="379" t="s">
        <v>593</v>
      </c>
      <c r="F258" s="379">
        <v>257</v>
      </c>
      <c r="G258" s="379" t="s">
        <v>325</v>
      </c>
      <c r="H258" s="379" t="s">
        <v>330</v>
      </c>
      <c r="I258" s="379" t="s">
        <v>327</v>
      </c>
      <c r="J258" s="379" t="s">
        <v>339</v>
      </c>
      <c r="K258" s="379" t="s">
        <v>334</v>
      </c>
      <c r="L258" s="379" t="s">
        <v>336</v>
      </c>
      <c r="M258" s="379" t="s">
        <v>331</v>
      </c>
      <c r="N258" s="379" t="s">
        <v>332</v>
      </c>
      <c r="P258" s="379">
        <f t="shared" si="278"/>
        <v>257</v>
      </c>
      <c r="Q258" s="445" t="str">
        <f t="shared" ref="Q258:X258" si="281">+RIGHT(G258,1)</f>
        <v>E</v>
      </c>
      <c r="R258" s="436" t="str">
        <f t="shared" si="281"/>
        <v>G</v>
      </c>
      <c r="S258" s="436" t="str">
        <f t="shared" si="281"/>
        <v>I</v>
      </c>
      <c r="T258" s="436" t="str">
        <f t="shared" si="281"/>
        <v>C</v>
      </c>
      <c r="U258" s="436" t="str">
        <f t="shared" si="281"/>
        <v>A</v>
      </c>
      <c r="V258" s="436" t="str">
        <f t="shared" si="281"/>
        <v>D</v>
      </c>
      <c r="W258" s="436" t="str">
        <f t="shared" si="281"/>
        <v>L</v>
      </c>
      <c r="X258" s="436" t="str">
        <f t="shared" si="281"/>
        <v>K</v>
      </c>
      <c r="Y258" s="446">
        <f t="shared" ca="1" si="280"/>
        <v>6</v>
      </c>
    </row>
    <row r="259" spans="1:25" ht="14.25" customHeight="1" x14ac:dyDescent="0.25">
      <c r="A259" s="379" t="s">
        <v>594</v>
      </c>
      <c r="F259" s="379">
        <v>258</v>
      </c>
      <c r="G259" s="379" t="s">
        <v>325</v>
      </c>
      <c r="H259" s="379" t="s">
        <v>330</v>
      </c>
      <c r="I259" s="379" t="s">
        <v>326</v>
      </c>
      <c r="J259" s="379" t="s">
        <v>339</v>
      </c>
      <c r="K259" s="379" t="s">
        <v>334</v>
      </c>
      <c r="L259" s="379" t="s">
        <v>336</v>
      </c>
      <c r="M259" s="379" t="s">
        <v>331</v>
      </c>
      <c r="N259" s="379" t="s">
        <v>327</v>
      </c>
      <c r="P259" s="379">
        <f t="shared" si="278"/>
        <v>258</v>
      </c>
      <c r="Q259" s="445" t="str">
        <f t="shared" ref="Q259:X259" si="282">+RIGHT(G259,1)</f>
        <v>E</v>
      </c>
      <c r="R259" s="436" t="str">
        <f t="shared" si="282"/>
        <v>G</v>
      </c>
      <c r="S259" s="436" t="str">
        <f t="shared" si="282"/>
        <v>J</v>
      </c>
      <c r="T259" s="436" t="str">
        <f t="shared" si="282"/>
        <v>C</v>
      </c>
      <c r="U259" s="436" t="str">
        <f t="shared" si="282"/>
        <v>A</v>
      </c>
      <c r="V259" s="436" t="str">
        <f t="shared" si="282"/>
        <v>D</v>
      </c>
      <c r="W259" s="436" t="str">
        <f t="shared" si="282"/>
        <v>L</v>
      </c>
      <c r="X259" s="436" t="str">
        <f t="shared" si="282"/>
        <v>I</v>
      </c>
      <c r="Y259" s="446">
        <f t="shared" ca="1" si="280"/>
        <v>6</v>
      </c>
    </row>
    <row r="260" spans="1:25" ht="14.25" customHeight="1" x14ac:dyDescent="0.25">
      <c r="A260" s="379" t="s">
        <v>595</v>
      </c>
      <c r="F260" s="379">
        <v>259</v>
      </c>
      <c r="G260" s="379" t="s">
        <v>325</v>
      </c>
      <c r="H260" s="379" t="s">
        <v>330</v>
      </c>
      <c r="I260" s="379" t="s">
        <v>326</v>
      </c>
      <c r="J260" s="379" t="s">
        <v>339</v>
      </c>
      <c r="K260" s="379" t="s">
        <v>334</v>
      </c>
      <c r="L260" s="379" t="s">
        <v>336</v>
      </c>
      <c r="M260" s="379" t="s">
        <v>327</v>
      </c>
      <c r="N260" s="379" t="s">
        <v>332</v>
      </c>
      <c r="P260" s="379">
        <f t="shared" si="278"/>
        <v>259</v>
      </c>
      <c r="Q260" s="445" t="str">
        <f t="shared" ref="Q260:X260" si="283">+RIGHT(G260,1)</f>
        <v>E</v>
      </c>
      <c r="R260" s="436" t="str">
        <f t="shared" si="283"/>
        <v>G</v>
      </c>
      <c r="S260" s="436" t="str">
        <f t="shared" si="283"/>
        <v>J</v>
      </c>
      <c r="T260" s="436" t="str">
        <f t="shared" si="283"/>
        <v>C</v>
      </c>
      <c r="U260" s="436" t="str">
        <f t="shared" si="283"/>
        <v>A</v>
      </c>
      <c r="V260" s="436" t="str">
        <f t="shared" si="283"/>
        <v>D</v>
      </c>
      <c r="W260" s="436" t="str">
        <f t="shared" si="283"/>
        <v>I</v>
      </c>
      <c r="X260" s="436" t="str">
        <f t="shared" si="283"/>
        <v>K</v>
      </c>
      <c r="Y260" s="446">
        <f t="shared" ca="1" si="280"/>
        <v>5</v>
      </c>
    </row>
    <row r="261" spans="1:25" ht="14.25" customHeight="1" x14ac:dyDescent="0.25">
      <c r="A261" s="379" t="s">
        <v>596</v>
      </c>
      <c r="F261" s="379">
        <v>260</v>
      </c>
      <c r="G261" s="379" t="s">
        <v>329</v>
      </c>
      <c r="H261" s="379" t="s">
        <v>330</v>
      </c>
      <c r="I261" s="379" t="s">
        <v>325</v>
      </c>
      <c r="J261" s="379" t="s">
        <v>339</v>
      </c>
      <c r="K261" s="379" t="s">
        <v>334</v>
      </c>
      <c r="L261" s="379" t="s">
        <v>336</v>
      </c>
      <c r="M261" s="379" t="s">
        <v>331</v>
      </c>
      <c r="N261" s="379" t="s">
        <v>332</v>
      </c>
      <c r="P261" s="379">
        <f t="shared" si="278"/>
        <v>260</v>
      </c>
      <c r="Q261" s="445" t="str">
        <f t="shared" ref="Q261:X261" si="284">+RIGHT(G261,1)</f>
        <v>H</v>
      </c>
      <c r="R261" s="436" t="str">
        <f t="shared" si="284"/>
        <v>G</v>
      </c>
      <c r="S261" s="436" t="str">
        <f t="shared" si="284"/>
        <v>E</v>
      </c>
      <c r="T261" s="436" t="str">
        <f t="shared" si="284"/>
        <v>C</v>
      </c>
      <c r="U261" s="436" t="str">
        <f t="shared" si="284"/>
        <v>A</v>
      </c>
      <c r="V261" s="436" t="str">
        <f t="shared" si="284"/>
        <v>D</v>
      </c>
      <c r="W261" s="436" t="str">
        <f t="shared" si="284"/>
        <v>L</v>
      </c>
      <c r="X261" s="436" t="str">
        <f t="shared" si="284"/>
        <v>K</v>
      </c>
      <c r="Y261" s="446">
        <f t="shared" ca="1" si="280"/>
        <v>6</v>
      </c>
    </row>
    <row r="262" spans="1:25" ht="14.25" customHeight="1" x14ac:dyDescent="0.25">
      <c r="A262" s="379" t="s">
        <v>597</v>
      </c>
      <c r="F262" s="379">
        <v>261</v>
      </c>
      <c r="G262" s="379" t="s">
        <v>329</v>
      </c>
      <c r="H262" s="379" t="s">
        <v>330</v>
      </c>
      <c r="I262" s="379" t="s">
        <v>326</v>
      </c>
      <c r="J262" s="379" t="s">
        <v>339</v>
      </c>
      <c r="K262" s="379" t="s">
        <v>334</v>
      </c>
      <c r="L262" s="379" t="s">
        <v>336</v>
      </c>
      <c r="M262" s="379" t="s">
        <v>331</v>
      </c>
      <c r="N262" s="379" t="s">
        <v>325</v>
      </c>
      <c r="P262" s="379">
        <f t="shared" si="278"/>
        <v>261</v>
      </c>
      <c r="Q262" s="445" t="str">
        <f t="shared" ref="Q262:X262" si="285">+RIGHT(G262,1)</f>
        <v>H</v>
      </c>
      <c r="R262" s="436" t="str">
        <f t="shared" si="285"/>
        <v>G</v>
      </c>
      <c r="S262" s="436" t="str">
        <f t="shared" si="285"/>
        <v>J</v>
      </c>
      <c r="T262" s="436" t="str">
        <f t="shared" si="285"/>
        <v>C</v>
      </c>
      <c r="U262" s="436" t="str">
        <f t="shared" si="285"/>
        <v>A</v>
      </c>
      <c r="V262" s="436" t="str">
        <f t="shared" si="285"/>
        <v>D</v>
      </c>
      <c r="W262" s="436" t="str">
        <f t="shared" si="285"/>
        <v>L</v>
      </c>
      <c r="X262" s="436" t="str">
        <f t="shared" si="285"/>
        <v>E</v>
      </c>
      <c r="Y262" s="446">
        <f t="shared" ca="1" si="280"/>
        <v>6</v>
      </c>
    </row>
    <row r="263" spans="1:25" ht="14.25" customHeight="1" x14ac:dyDescent="0.25">
      <c r="A263" s="379" t="s">
        <v>598</v>
      </c>
      <c r="F263" s="379">
        <v>262</v>
      </c>
      <c r="G263" s="379" t="s">
        <v>329</v>
      </c>
      <c r="H263" s="379" t="s">
        <v>330</v>
      </c>
      <c r="I263" s="379" t="s">
        <v>326</v>
      </c>
      <c r="J263" s="379" t="s">
        <v>339</v>
      </c>
      <c r="K263" s="379" t="s">
        <v>334</v>
      </c>
      <c r="L263" s="379" t="s">
        <v>336</v>
      </c>
      <c r="M263" s="379" t="s">
        <v>325</v>
      </c>
      <c r="N263" s="379" t="s">
        <v>332</v>
      </c>
      <c r="P263" s="379">
        <f t="shared" si="278"/>
        <v>262</v>
      </c>
      <c r="Q263" s="445" t="str">
        <f t="shared" ref="Q263:X263" si="286">+RIGHT(G263,1)</f>
        <v>H</v>
      </c>
      <c r="R263" s="436" t="str">
        <f t="shared" si="286"/>
        <v>G</v>
      </c>
      <c r="S263" s="436" t="str">
        <f t="shared" si="286"/>
        <v>J</v>
      </c>
      <c r="T263" s="436" t="str">
        <f t="shared" si="286"/>
        <v>C</v>
      </c>
      <c r="U263" s="436" t="str">
        <f t="shared" si="286"/>
        <v>A</v>
      </c>
      <c r="V263" s="436" t="str">
        <f t="shared" si="286"/>
        <v>D</v>
      </c>
      <c r="W263" s="436" t="str">
        <f t="shared" si="286"/>
        <v>E</v>
      </c>
      <c r="X263" s="436" t="str">
        <f t="shared" si="286"/>
        <v>K</v>
      </c>
      <c r="Y263" s="446">
        <f t="shared" ca="1" si="280"/>
        <v>5</v>
      </c>
    </row>
    <row r="264" spans="1:25" ht="14.25" customHeight="1" x14ac:dyDescent="0.25">
      <c r="A264" s="379" t="s">
        <v>599</v>
      </c>
      <c r="F264" s="379">
        <v>263</v>
      </c>
      <c r="G264" s="379" t="s">
        <v>329</v>
      </c>
      <c r="H264" s="379" t="s">
        <v>330</v>
      </c>
      <c r="I264" s="379" t="s">
        <v>325</v>
      </c>
      <c r="J264" s="379" t="s">
        <v>339</v>
      </c>
      <c r="K264" s="379" t="s">
        <v>334</v>
      </c>
      <c r="L264" s="379" t="s">
        <v>336</v>
      </c>
      <c r="M264" s="379" t="s">
        <v>331</v>
      </c>
      <c r="N264" s="379" t="s">
        <v>327</v>
      </c>
      <c r="P264" s="379">
        <f t="shared" si="278"/>
        <v>263</v>
      </c>
      <c r="Q264" s="445" t="str">
        <f t="shared" ref="Q264:X264" si="287">+RIGHT(G264,1)</f>
        <v>H</v>
      </c>
      <c r="R264" s="436" t="str">
        <f t="shared" si="287"/>
        <v>G</v>
      </c>
      <c r="S264" s="436" t="str">
        <f t="shared" si="287"/>
        <v>E</v>
      </c>
      <c r="T264" s="436" t="str">
        <f t="shared" si="287"/>
        <v>C</v>
      </c>
      <c r="U264" s="436" t="str">
        <f t="shared" si="287"/>
        <v>A</v>
      </c>
      <c r="V264" s="436" t="str">
        <f t="shared" si="287"/>
        <v>D</v>
      </c>
      <c r="W264" s="436" t="str">
        <f t="shared" si="287"/>
        <v>L</v>
      </c>
      <c r="X264" s="436" t="str">
        <f t="shared" si="287"/>
        <v>I</v>
      </c>
      <c r="Y264" s="446">
        <f t="shared" ca="1" si="280"/>
        <v>7</v>
      </c>
    </row>
    <row r="265" spans="1:25" ht="14.25" customHeight="1" x14ac:dyDescent="0.25">
      <c r="A265" s="379" t="s">
        <v>600</v>
      </c>
      <c r="F265" s="379">
        <v>264</v>
      </c>
      <c r="G265" s="379" t="s">
        <v>329</v>
      </c>
      <c r="H265" s="379" t="s">
        <v>330</v>
      </c>
      <c r="I265" s="379" t="s">
        <v>325</v>
      </c>
      <c r="J265" s="379" t="s">
        <v>339</v>
      </c>
      <c r="K265" s="379" t="s">
        <v>334</v>
      </c>
      <c r="L265" s="379" t="s">
        <v>336</v>
      </c>
      <c r="M265" s="379" t="s">
        <v>327</v>
      </c>
      <c r="N265" s="379" t="s">
        <v>332</v>
      </c>
      <c r="P265" s="379">
        <f t="shared" si="278"/>
        <v>264</v>
      </c>
      <c r="Q265" s="445" t="str">
        <f t="shared" ref="Q265:X265" si="288">+RIGHT(G265,1)</f>
        <v>H</v>
      </c>
      <c r="R265" s="436" t="str">
        <f t="shared" si="288"/>
        <v>G</v>
      </c>
      <c r="S265" s="436" t="str">
        <f t="shared" si="288"/>
        <v>E</v>
      </c>
      <c r="T265" s="436" t="str">
        <f t="shared" si="288"/>
        <v>C</v>
      </c>
      <c r="U265" s="436" t="str">
        <f t="shared" si="288"/>
        <v>A</v>
      </c>
      <c r="V265" s="436" t="str">
        <f t="shared" si="288"/>
        <v>D</v>
      </c>
      <c r="W265" s="436" t="str">
        <f t="shared" si="288"/>
        <v>I</v>
      </c>
      <c r="X265" s="436" t="str">
        <f t="shared" si="288"/>
        <v>K</v>
      </c>
      <c r="Y265" s="446">
        <f t="shared" ca="1" si="280"/>
        <v>6</v>
      </c>
    </row>
    <row r="266" spans="1:25" ht="14.25" customHeight="1" x14ac:dyDescent="0.25">
      <c r="A266" s="379" t="s">
        <v>601</v>
      </c>
      <c r="F266" s="379">
        <v>265</v>
      </c>
      <c r="G266" s="379" t="s">
        <v>329</v>
      </c>
      <c r="H266" s="379" t="s">
        <v>330</v>
      </c>
      <c r="I266" s="379" t="s">
        <v>326</v>
      </c>
      <c r="J266" s="379" t="s">
        <v>339</v>
      </c>
      <c r="K266" s="379" t="s">
        <v>334</v>
      </c>
      <c r="L266" s="379" t="s">
        <v>336</v>
      </c>
      <c r="M266" s="379" t="s">
        <v>325</v>
      </c>
      <c r="N266" s="379" t="s">
        <v>327</v>
      </c>
      <c r="P266" s="379">
        <f t="shared" si="278"/>
        <v>265</v>
      </c>
      <c r="Q266" s="445" t="str">
        <f t="shared" ref="Q266:X266" si="289">+RIGHT(G266,1)</f>
        <v>H</v>
      </c>
      <c r="R266" s="436" t="str">
        <f t="shared" si="289"/>
        <v>G</v>
      </c>
      <c r="S266" s="436" t="str">
        <f t="shared" si="289"/>
        <v>J</v>
      </c>
      <c r="T266" s="436" t="str">
        <f t="shared" si="289"/>
        <v>C</v>
      </c>
      <c r="U266" s="436" t="str">
        <f t="shared" si="289"/>
        <v>A</v>
      </c>
      <c r="V266" s="436" t="str">
        <f t="shared" si="289"/>
        <v>D</v>
      </c>
      <c r="W266" s="436" t="str">
        <f t="shared" si="289"/>
        <v>E</v>
      </c>
      <c r="X266" s="436" t="str">
        <f t="shared" si="289"/>
        <v>I</v>
      </c>
      <c r="Y266" s="446">
        <f t="shared" ca="1" si="280"/>
        <v>6</v>
      </c>
    </row>
    <row r="267" spans="1:25" ht="14.25" customHeight="1" x14ac:dyDescent="0.25">
      <c r="A267" s="379" t="s">
        <v>602</v>
      </c>
      <c r="F267" s="379">
        <v>266</v>
      </c>
      <c r="G267" s="379" t="s">
        <v>339</v>
      </c>
      <c r="H267" s="379" t="s">
        <v>326</v>
      </c>
      <c r="I267" s="379" t="s">
        <v>325</v>
      </c>
      <c r="J267" s="379" t="s">
        <v>336</v>
      </c>
      <c r="K267" s="379" t="s">
        <v>334</v>
      </c>
      <c r="L267" s="379" t="s">
        <v>328</v>
      </c>
      <c r="M267" s="379" t="s">
        <v>331</v>
      </c>
      <c r="N267" s="379" t="s">
        <v>332</v>
      </c>
      <c r="P267" s="379">
        <f t="shared" si="278"/>
        <v>266</v>
      </c>
      <c r="Q267" s="445" t="str">
        <f t="shared" ref="Q267:X267" si="290">+RIGHT(G267,1)</f>
        <v>C</v>
      </c>
      <c r="R267" s="436" t="str">
        <f t="shared" si="290"/>
        <v>J</v>
      </c>
      <c r="S267" s="436" t="str">
        <f t="shared" si="290"/>
        <v>E</v>
      </c>
      <c r="T267" s="436" t="str">
        <f t="shared" si="290"/>
        <v>D</v>
      </c>
      <c r="U267" s="436" t="str">
        <f t="shared" si="290"/>
        <v>A</v>
      </c>
      <c r="V267" s="436" t="str">
        <f t="shared" si="290"/>
        <v>F</v>
      </c>
      <c r="W267" s="436" t="str">
        <f t="shared" si="290"/>
        <v>L</v>
      </c>
      <c r="X267" s="436" t="str">
        <f t="shared" si="290"/>
        <v>K</v>
      </c>
      <c r="Y267" s="446">
        <f t="shared" ca="1" si="280"/>
        <v>5</v>
      </c>
    </row>
    <row r="268" spans="1:25" ht="14.25" customHeight="1" x14ac:dyDescent="0.25">
      <c r="A268" s="379" t="s">
        <v>603</v>
      </c>
      <c r="F268" s="379">
        <v>267</v>
      </c>
      <c r="G268" s="379" t="s">
        <v>339</v>
      </c>
      <c r="H268" s="379" t="s">
        <v>325</v>
      </c>
      <c r="I268" s="379" t="s">
        <v>327</v>
      </c>
      <c r="J268" s="379" t="s">
        <v>336</v>
      </c>
      <c r="K268" s="379" t="s">
        <v>334</v>
      </c>
      <c r="L268" s="379" t="s">
        <v>328</v>
      </c>
      <c r="M268" s="379" t="s">
        <v>331</v>
      </c>
      <c r="N268" s="379" t="s">
        <v>332</v>
      </c>
      <c r="P268" s="379">
        <f t="shared" si="278"/>
        <v>267</v>
      </c>
      <c r="Q268" s="445" t="str">
        <f t="shared" ref="Q268:X268" si="291">+RIGHT(G268,1)</f>
        <v>C</v>
      </c>
      <c r="R268" s="436" t="str">
        <f t="shared" si="291"/>
        <v>E</v>
      </c>
      <c r="S268" s="436" t="str">
        <f t="shared" si="291"/>
        <v>I</v>
      </c>
      <c r="T268" s="436" t="str">
        <f t="shared" si="291"/>
        <v>D</v>
      </c>
      <c r="U268" s="436" t="str">
        <f t="shared" si="291"/>
        <v>A</v>
      </c>
      <c r="V268" s="436" t="str">
        <f t="shared" si="291"/>
        <v>F</v>
      </c>
      <c r="W268" s="436" t="str">
        <f t="shared" si="291"/>
        <v>L</v>
      </c>
      <c r="X268" s="436" t="str">
        <f t="shared" si="291"/>
        <v>K</v>
      </c>
      <c r="Y268" s="446">
        <f t="shared" ca="1" si="280"/>
        <v>6</v>
      </c>
    </row>
    <row r="269" spans="1:25" ht="14.25" customHeight="1" x14ac:dyDescent="0.25">
      <c r="A269" s="379" t="s">
        <v>604</v>
      </c>
      <c r="F269" s="379">
        <v>268</v>
      </c>
      <c r="G269" s="379" t="s">
        <v>339</v>
      </c>
      <c r="H269" s="379" t="s">
        <v>326</v>
      </c>
      <c r="I269" s="379" t="s">
        <v>325</v>
      </c>
      <c r="J269" s="379" t="s">
        <v>336</v>
      </c>
      <c r="K269" s="379" t="s">
        <v>334</v>
      </c>
      <c r="L269" s="379" t="s">
        <v>328</v>
      </c>
      <c r="M269" s="379" t="s">
        <v>331</v>
      </c>
      <c r="N269" s="379" t="s">
        <v>327</v>
      </c>
      <c r="P269" s="379">
        <f t="shared" si="278"/>
        <v>268</v>
      </c>
      <c r="Q269" s="445" t="str">
        <f t="shared" ref="Q269:X269" si="292">+RIGHT(G269,1)</f>
        <v>C</v>
      </c>
      <c r="R269" s="436" t="str">
        <f t="shared" si="292"/>
        <v>J</v>
      </c>
      <c r="S269" s="436" t="str">
        <f t="shared" si="292"/>
        <v>E</v>
      </c>
      <c r="T269" s="436" t="str">
        <f t="shared" si="292"/>
        <v>D</v>
      </c>
      <c r="U269" s="436" t="str">
        <f t="shared" si="292"/>
        <v>A</v>
      </c>
      <c r="V269" s="436" t="str">
        <f t="shared" si="292"/>
        <v>F</v>
      </c>
      <c r="W269" s="436" t="str">
        <f t="shared" si="292"/>
        <v>L</v>
      </c>
      <c r="X269" s="436" t="str">
        <f t="shared" si="292"/>
        <v>I</v>
      </c>
      <c r="Y269" s="446">
        <f t="shared" ca="1" si="280"/>
        <v>6</v>
      </c>
    </row>
    <row r="270" spans="1:25" ht="14.25" customHeight="1" x14ac:dyDescent="0.25">
      <c r="A270" s="379" t="s">
        <v>605</v>
      </c>
      <c r="F270" s="379">
        <v>269</v>
      </c>
      <c r="G270" s="379" t="s">
        <v>339</v>
      </c>
      <c r="H270" s="379" t="s">
        <v>326</v>
      </c>
      <c r="I270" s="379" t="s">
        <v>325</v>
      </c>
      <c r="J270" s="379" t="s">
        <v>336</v>
      </c>
      <c r="K270" s="379" t="s">
        <v>334</v>
      </c>
      <c r="L270" s="379" t="s">
        <v>328</v>
      </c>
      <c r="M270" s="379" t="s">
        <v>327</v>
      </c>
      <c r="N270" s="379" t="s">
        <v>332</v>
      </c>
      <c r="P270" s="379">
        <f t="shared" si="278"/>
        <v>269</v>
      </c>
      <c r="Q270" s="445" t="str">
        <f t="shared" ref="Q270:X270" si="293">+RIGHT(G270,1)</f>
        <v>C</v>
      </c>
      <c r="R270" s="436" t="str">
        <f t="shared" si="293"/>
        <v>J</v>
      </c>
      <c r="S270" s="436" t="str">
        <f t="shared" si="293"/>
        <v>E</v>
      </c>
      <c r="T270" s="436" t="str">
        <f t="shared" si="293"/>
        <v>D</v>
      </c>
      <c r="U270" s="436" t="str">
        <f t="shared" si="293"/>
        <v>A</v>
      </c>
      <c r="V270" s="436" t="str">
        <f t="shared" si="293"/>
        <v>F</v>
      </c>
      <c r="W270" s="436" t="str">
        <f t="shared" si="293"/>
        <v>I</v>
      </c>
      <c r="X270" s="436" t="str">
        <f t="shared" si="293"/>
        <v>K</v>
      </c>
      <c r="Y270" s="446">
        <f t="shared" ca="1" si="280"/>
        <v>5</v>
      </c>
    </row>
    <row r="271" spans="1:25" ht="14.25" customHeight="1" x14ac:dyDescent="0.25">
      <c r="A271" s="379" t="s">
        <v>606</v>
      </c>
      <c r="F271" s="379">
        <v>270</v>
      </c>
      <c r="G271" s="379" t="s">
        <v>329</v>
      </c>
      <c r="H271" s="379" t="s">
        <v>325</v>
      </c>
      <c r="I271" s="379" t="s">
        <v>328</v>
      </c>
      <c r="J271" s="379" t="s">
        <v>339</v>
      </c>
      <c r="K271" s="379" t="s">
        <v>334</v>
      </c>
      <c r="L271" s="379" t="s">
        <v>336</v>
      </c>
      <c r="M271" s="379" t="s">
        <v>331</v>
      </c>
      <c r="N271" s="379" t="s">
        <v>332</v>
      </c>
      <c r="P271" s="379">
        <f t="shared" si="278"/>
        <v>270</v>
      </c>
      <c r="Q271" s="445" t="str">
        <f t="shared" ref="Q271:X271" si="294">+RIGHT(G271,1)</f>
        <v>H</v>
      </c>
      <c r="R271" s="436" t="str">
        <f t="shared" si="294"/>
        <v>E</v>
      </c>
      <c r="S271" s="436" t="str">
        <f t="shared" si="294"/>
        <v>F</v>
      </c>
      <c r="T271" s="436" t="str">
        <f t="shared" si="294"/>
        <v>C</v>
      </c>
      <c r="U271" s="436" t="str">
        <f t="shared" si="294"/>
        <v>A</v>
      </c>
      <c r="V271" s="436" t="str">
        <f t="shared" si="294"/>
        <v>D</v>
      </c>
      <c r="W271" s="436" t="str">
        <f t="shared" si="294"/>
        <v>L</v>
      </c>
      <c r="X271" s="436" t="str">
        <f t="shared" si="294"/>
        <v>K</v>
      </c>
      <c r="Y271" s="446">
        <f t="shared" ca="1" si="280"/>
        <v>6</v>
      </c>
    </row>
    <row r="272" spans="1:25" ht="14.25" customHeight="1" x14ac:dyDescent="0.25">
      <c r="A272" s="379" t="s">
        <v>607</v>
      </c>
      <c r="F272" s="379">
        <v>271</v>
      </c>
      <c r="G272" s="379" t="s">
        <v>329</v>
      </c>
      <c r="H272" s="379" t="s">
        <v>326</v>
      </c>
      <c r="I272" s="379" t="s">
        <v>328</v>
      </c>
      <c r="J272" s="379" t="s">
        <v>339</v>
      </c>
      <c r="K272" s="379" t="s">
        <v>334</v>
      </c>
      <c r="L272" s="379" t="s">
        <v>336</v>
      </c>
      <c r="M272" s="379" t="s">
        <v>331</v>
      </c>
      <c r="N272" s="379" t="s">
        <v>325</v>
      </c>
      <c r="P272" s="379">
        <f t="shared" si="278"/>
        <v>271</v>
      </c>
      <c r="Q272" s="445" t="str">
        <f t="shared" ref="Q272:X272" si="295">+RIGHT(G272,1)</f>
        <v>H</v>
      </c>
      <c r="R272" s="436" t="str">
        <f t="shared" si="295"/>
        <v>J</v>
      </c>
      <c r="S272" s="436" t="str">
        <f t="shared" si="295"/>
        <v>F</v>
      </c>
      <c r="T272" s="436" t="str">
        <f t="shared" si="295"/>
        <v>C</v>
      </c>
      <c r="U272" s="436" t="str">
        <f t="shared" si="295"/>
        <v>A</v>
      </c>
      <c r="V272" s="436" t="str">
        <f t="shared" si="295"/>
        <v>D</v>
      </c>
      <c r="W272" s="436" t="str">
        <f t="shared" si="295"/>
        <v>L</v>
      </c>
      <c r="X272" s="436" t="str">
        <f t="shared" si="295"/>
        <v>E</v>
      </c>
      <c r="Y272" s="446">
        <f t="shared" ca="1" si="280"/>
        <v>6</v>
      </c>
    </row>
    <row r="273" spans="1:25" ht="14.25" customHeight="1" x14ac:dyDescent="0.25">
      <c r="A273" s="379" t="s">
        <v>608</v>
      </c>
      <c r="F273" s="379">
        <v>272</v>
      </c>
      <c r="G273" s="379" t="s">
        <v>329</v>
      </c>
      <c r="H273" s="379" t="s">
        <v>326</v>
      </c>
      <c r="I273" s="379" t="s">
        <v>325</v>
      </c>
      <c r="J273" s="379" t="s">
        <v>339</v>
      </c>
      <c r="K273" s="379" t="s">
        <v>334</v>
      </c>
      <c r="L273" s="379" t="s">
        <v>328</v>
      </c>
      <c r="M273" s="379" t="s">
        <v>336</v>
      </c>
      <c r="N273" s="379" t="s">
        <v>332</v>
      </c>
      <c r="P273" s="379">
        <f t="shared" si="278"/>
        <v>272</v>
      </c>
      <c r="Q273" s="445" t="str">
        <f t="shared" ref="Q273:X273" si="296">+RIGHT(G273,1)</f>
        <v>H</v>
      </c>
      <c r="R273" s="436" t="str">
        <f t="shared" si="296"/>
        <v>J</v>
      </c>
      <c r="S273" s="436" t="str">
        <f t="shared" si="296"/>
        <v>E</v>
      </c>
      <c r="T273" s="436" t="str">
        <f t="shared" si="296"/>
        <v>C</v>
      </c>
      <c r="U273" s="436" t="str">
        <f t="shared" si="296"/>
        <v>A</v>
      </c>
      <c r="V273" s="436" t="str">
        <f t="shared" si="296"/>
        <v>F</v>
      </c>
      <c r="W273" s="436" t="str">
        <f t="shared" si="296"/>
        <v>D</v>
      </c>
      <c r="X273" s="436" t="str">
        <f t="shared" si="296"/>
        <v>K</v>
      </c>
      <c r="Y273" s="446">
        <f t="shared" ca="1" si="280"/>
        <v>5</v>
      </c>
    </row>
    <row r="274" spans="1:25" ht="14.25" customHeight="1" x14ac:dyDescent="0.25">
      <c r="A274" s="379" t="s">
        <v>609</v>
      </c>
      <c r="F274" s="379">
        <v>273</v>
      </c>
      <c r="G274" s="379" t="s">
        <v>329</v>
      </c>
      <c r="H274" s="379" t="s">
        <v>325</v>
      </c>
      <c r="I274" s="379" t="s">
        <v>328</v>
      </c>
      <c r="J274" s="379" t="s">
        <v>339</v>
      </c>
      <c r="K274" s="379" t="s">
        <v>334</v>
      </c>
      <c r="L274" s="379" t="s">
        <v>336</v>
      </c>
      <c r="M274" s="379" t="s">
        <v>331</v>
      </c>
      <c r="N274" s="379" t="s">
        <v>327</v>
      </c>
      <c r="P274" s="379">
        <f t="shared" si="278"/>
        <v>273</v>
      </c>
      <c r="Q274" s="445" t="str">
        <f t="shared" ref="Q274:X274" si="297">+RIGHT(G274,1)</f>
        <v>H</v>
      </c>
      <c r="R274" s="436" t="str">
        <f t="shared" si="297"/>
        <v>E</v>
      </c>
      <c r="S274" s="436" t="str">
        <f t="shared" si="297"/>
        <v>F</v>
      </c>
      <c r="T274" s="436" t="str">
        <f t="shared" si="297"/>
        <v>C</v>
      </c>
      <c r="U274" s="436" t="str">
        <f t="shared" si="297"/>
        <v>A</v>
      </c>
      <c r="V274" s="436" t="str">
        <f t="shared" si="297"/>
        <v>D</v>
      </c>
      <c r="W274" s="436" t="str">
        <f t="shared" si="297"/>
        <v>L</v>
      </c>
      <c r="X274" s="436" t="str">
        <f t="shared" si="297"/>
        <v>I</v>
      </c>
      <c r="Y274" s="446">
        <f t="shared" ca="1" si="280"/>
        <v>7</v>
      </c>
    </row>
    <row r="275" spans="1:25" ht="14.25" customHeight="1" x14ac:dyDescent="0.25">
      <c r="A275" s="379" t="s">
        <v>610</v>
      </c>
      <c r="F275" s="379">
        <v>274</v>
      </c>
      <c r="G275" s="379" t="s">
        <v>329</v>
      </c>
      <c r="H275" s="379" t="s">
        <v>325</v>
      </c>
      <c r="I275" s="379" t="s">
        <v>328</v>
      </c>
      <c r="J275" s="379" t="s">
        <v>339</v>
      </c>
      <c r="K275" s="379" t="s">
        <v>334</v>
      </c>
      <c r="L275" s="379" t="s">
        <v>336</v>
      </c>
      <c r="M275" s="379" t="s">
        <v>327</v>
      </c>
      <c r="N275" s="379" t="s">
        <v>332</v>
      </c>
      <c r="P275" s="379">
        <f t="shared" si="278"/>
        <v>274</v>
      </c>
      <c r="Q275" s="445" t="str">
        <f t="shared" ref="Q275:X275" si="298">+RIGHT(G275,1)</f>
        <v>H</v>
      </c>
      <c r="R275" s="436" t="str">
        <f t="shared" si="298"/>
        <v>E</v>
      </c>
      <c r="S275" s="436" t="str">
        <f t="shared" si="298"/>
        <v>F</v>
      </c>
      <c r="T275" s="436" t="str">
        <f t="shared" si="298"/>
        <v>C</v>
      </c>
      <c r="U275" s="436" t="str">
        <f t="shared" si="298"/>
        <v>A</v>
      </c>
      <c r="V275" s="436" t="str">
        <f t="shared" si="298"/>
        <v>D</v>
      </c>
      <c r="W275" s="436" t="str">
        <f t="shared" si="298"/>
        <v>I</v>
      </c>
      <c r="X275" s="436" t="str">
        <f t="shared" si="298"/>
        <v>K</v>
      </c>
      <c r="Y275" s="446">
        <f t="shared" ca="1" si="280"/>
        <v>6</v>
      </c>
    </row>
    <row r="276" spans="1:25" ht="14.25" customHeight="1" x14ac:dyDescent="0.25">
      <c r="A276" s="379" t="s">
        <v>611</v>
      </c>
      <c r="F276" s="379">
        <v>275</v>
      </c>
      <c r="G276" s="379" t="s">
        <v>329</v>
      </c>
      <c r="H276" s="379" t="s">
        <v>326</v>
      </c>
      <c r="I276" s="379" t="s">
        <v>325</v>
      </c>
      <c r="J276" s="379" t="s">
        <v>339</v>
      </c>
      <c r="K276" s="379" t="s">
        <v>334</v>
      </c>
      <c r="L276" s="379" t="s">
        <v>328</v>
      </c>
      <c r="M276" s="379" t="s">
        <v>336</v>
      </c>
      <c r="N276" s="379" t="s">
        <v>327</v>
      </c>
      <c r="P276" s="379">
        <f t="shared" si="278"/>
        <v>275</v>
      </c>
      <c r="Q276" s="445" t="str">
        <f t="shared" ref="Q276:X276" si="299">+RIGHT(G276,1)</f>
        <v>H</v>
      </c>
      <c r="R276" s="436" t="str">
        <f t="shared" si="299"/>
        <v>J</v>
      </c>
      <c r="S276" s="436" t="str">
        <f t="shared" si="299"/>
        <v>E</v>
      </c>
      <c r="T276" s="436" t="str">
        <f t="shared" si="299"/>
        <v>C</v>
      </c>
      <c r="U276" s="436" t="str">
        <f t="shared" si="299"/>
        <v>A</v>
      </c>
      <c r="V276" s="436" t="str">
        <f t="shared" si="299"/>
        <v>F</v>
      </c>
      <c r="W276" s="436" t="str">
        <f t="shared" si="299"/>
        <v>D</v>
      </c>
      <c r="X276" s="436" t="str">
        <f t="shared" si="299"/>
        <v>I</v>
      </c>
      <c r="Y276" s="446">
        <f t="shared" ca="1" si="280"/>
        <v>6</v>
      </c>
    </row>
    <row r="277" spans="1:25" ht="14.25" customHeight="1" x14ac:dyDescent="0.25">
      <c r="A277" s="379" t="s">
        <v>612</v>
      </c>
      <c r="F277" s="379">
        <v>276</v>
      </c>
      <c r="G277" s="379" t="s">
        <v>339</v>
      </c>
      <c r="H277" s="379" t="s">
        <v>330</v>
      </c>
      <c r="I277" s="379" t="s">
        <v>325</v>
      </c>
      <c r="J277" s="379" t="s">
        <v>336</v>
      </c>
      <c r="K277" s="379" t="s">
        <v>334</v>
      </c>
      <c r="L277" s="379" t="s">
        <v>328</v>
      </c>
      <c r="M277" s="379" t="s">
        <v>331</v>
      </c>
      <c r="N277" s="379" t="s">
        <v>332</v>
      </c>
      <c r="P277" s="379">
        <f t="shared" si="278"/>
        <v>276</v>
      </c>
      <c r="Q277" s="445" t="str">
        <f t="shared" ref="Q277:X277" si="300">+RIGHT(G277,1)</f>
        <v>C</v>
      </c>
      <c r="R277" s="436" t="str">
        <f t="shared" si="300"/>
        <v>G</v>
      </c>
      <c r="S277" s="436" t="str">
        <f t="shared" si="300"/>
        <v>E</v>
      </c>
      <c r="T277" s="436" t="str">
        <f t="shared" si="300"/>
        <v>D</v>
      </c>
      <c r="U277" s="436" t="str">
        <f t="shared" si="300"/>
        <v>A</v>
      </c>
      <c r="V277" s="436" t="str">
        <f t="shared" si="300"/>
        <v>F</v>
      </c>
      <c r="W277" s="436" t="str">
        <f t="shared" si="300"/>
        <v>L</v>
      </c>
      <c r="X277" s="436" t="str">
        <f t="shared" si="300"/>
        <v>K</v>
      </c>
      <c r="Y277" s="446">
        <f t="shared" ca="1" si="280"/>
        <v>6</v>
      </c>
    </row>
    <row r="278" spans="1:25" ht="14.25" customHeight="1" x14ac:dyDescent="0.25">
      <c r="A278" s="379" t="s">
        <v>613</v>
      </c>
      <c r="F278" s="379">
        <v>277</v>
      </c>
      <c r="G278" s="379" t="s">
        <v>339</v>
      </c>
      <c r="H278" s="379" t="s">
        <v>330</v>
      </c>
      <c r="I278" s="379" t="s">
        <v>326</v>
      </c>
      <c r="J278" s="379" t="s">
        <v>336</v>
      </c>
      <c r="K278" s="379" t="s">
        <v>334</v>
      </c>
      <c r="L278" s="379" t="s">
        <v>328</v>
      </c>
      <c r="M278" s="379" t="s">
        <v>331</v>
      </c>
      <c r="N278" s="379" t="s">
        <v>325</v>
      </c>
      <c r="P278" s="379">
        <f t="shared" si="278"/>
        <v>277</v>
      </c>
      <c r="Q278" s="445" t="str">
        <f t="shared" ref="Q278:X278" si="301">+RIGHT(G278,1)</f>
        <v>C</v>
      </c>
      <c r="R278" s="436" t="str">
        <f t="shared" si="301"/>
        <v>G</v>
      </c>
      <c r="S278" s="436" t="str">
        <f t="shared" si="301"/>
        <v>J</v>
      </c>
      <c r="T278" s="436" t="str">
        <f t="shared" si="301"/>
        <v>D</v>
      </c>
      <c r="U278" s="436" t="str">
        <f t="shared" si="301"/>
        <v>A</v>
      </c>
      <c r="V278" s="436" t="str">
        <f t="shared" si="301"/>
        <v>F</v>
      </c>
      <c r="W278" s="436" t="str">
        <f t="shared" si="301"/>
        <v>L</v>
      </c>
      <c r="X278" s="436" t="str">
        <f t="shared" si="301"/>
        <v>E</v>
      </c>
      <c r="Y278" s="446">
        <f t="shared" ca="1" si="280"/>
        <v>6</v>
      </c>
    </row>
    <row r="279" spans="1:25" ht="14.25" customHeight="1" x14ac:dyDescent="0.25">
      <c r="A279" s="379" t="s">
        <v>614</v>
      </c>
      <c r="F279" s="379">
        <v>278</v>
      </c>
      <c r="G279" s="379" t="s">
        <v>339</v>
      </c>
      <c r="H279" s="379" t="s">
        <v>330</v>
      </c>
      <c r="I279" s="379" t="s">
        <v>326</v>
      </c>
      <c r="J279" s="379" t="s">
        <v>336</v>
      </c>
      <c r="K279" s="379" t="s">
        <v>334</v>
      </c>
      <c r="L279" s="379" t="s">
        <v>328</v>
      </c>
      <c r="M279" s="379" t="s">
        <v>325</v>
      </c>
      <c r="N279" s="379" t="s">
        <v>332</v>
      </c>
      <c r="P279" s="379">
        <f t="shared" si="278"/>
        <v>278</v>
      </c>
      <c r="Q279" s="445" t="str">
        <f t="shared" ref="Q279:X279" si="302">+RIGHT(G279,1)</f>
        <v>C</v>
      </c>
      <c r="R279" s="436" t="str">
        <f t="shared" si="302"/>
        <v>G</v>
      </c>
      <c r="S279" s="436" t="str">
        <f t="shared" si="302"/>
        <v>J</v>
      </c>
      <c r="T279" s="436" t="str">
        <f t="shared" si="302"/>
        <v>D</v>
      </c>
      <c r="U279" s="436" t="str">
        <f t="shared" si="302"/>
        <v>A</v>
      </c>
      <c r="V279" s="436" t="str">
        <f t="shared" si="302"/>
        <v>F</v>
      </c>
      <c r="W279" s="436" t="str">
        <f t="shared" si="302"/>
        <v>E</v>
      </c>
      <c r="X279" s="436" t="str">
        <f t="shared" si="302"/>
        <v>K</v>
      </c>
      <c r="Y279" s="446">
        <f t="shared" ca="1" si="280"/>
        <v>5</v>
      </c>
    </row>
    <row r="280" spans="1:25" ht="14.25" customHeight="1" x14ac:dyDescent="0.25">
      <c r="A280" s="379" t="s">
        <v>615</v>
      </c>
      <c r="F280" s="379">
        <v>279</v>
      </c>
      <c r="G280" s="379" t="s">
        <v>339</v>
      </c>
      <c r="H280" s="379" t="s">
        <v>330</v>
      </c>
      <c r="I280" s="379" t="s">
        <v>325</v>
      </c>
      <c r="J280" s="379" t="s">
        <v>336</v>
      </c>
      <c r="K280" s="379" t="s">
        <v>334</v>
      </c>
      <c r="L280" s="379" t="s">
        <v>328</v>
      </c>
      <c r="M280" s="379" t="s">
        <v>331</v>
      </c>
      <c r="N280" s="379" t="s">
        <v>327</v>
      </c>
      <c r="P280" s="379">
        <f t="shared" si="278"/>
        <v>279</v>
      </c>
      <c r="Q280" s="445" t="str">
        <f t="shared" ref="Q280:X280" si="303">+RIGHT(G280,1)</f>
        <v>C</v>
      </c>
      <c r="R280" s="436" t="str">
        <f t="shared" si="303"/>
        <v>G</v>
      </c>
      <c r="S280" s="436" t="str">
        <f t="shared" si="303"/>
        <v>E</v>
      </c>
      <c r="T280" s="436" t="str">
        <f t="shared" si="303"/>
        <v>D</v>
      </c>
      <c r="U280" s="436" t="str">
        <f t="shared" si="303"/>
        <v>A</v>
      </c>
      <c r="V280" s="436" t="str">
        <f t="shared" si="303"/>
        <v>F</v>
      </c>
      <c r="W280" s="436" t="str">
        <f t="shared" si="303"/>
        <v>L</v>
      </c>
      <c r="X280" s="436" t="str">
        <f t="shared" si="303"/>
        <v>I</v>
      </c>
      <c r="Y280" s="446">
        <f t="shared" ca="1" si="280"/>
        <v>7</v>
      </c>
    </row>
    <row r="281" spans="1:25" ht="14.25" customHeight="1" x14ac:dyDescent="0.25">
      <c r="A281" s="379" t="s">
        <v>616</v>
      </c>
      <c r="F281" s="379">
        <v>280</v>
      </c>
      <c r="G281" s="379" t="s">
        <v>339</v>
      </c>
      <c r="H281" s="379" t="s">
        <v>330</v>
      </c>
      <c r="I281" s="379" t="s">
        <v>325</v>
      </c>
      <c r="J281" s="379" t="s">
        <v>336</v>
      </c>
      <c r="K281" s="379" t="s">
        <v>334</v>
      </c>
      <c r="L281" s="379" t="s">
        <v>328</v>
      </c>
      <c r="M281" s="379" t="s">
        <v>327</v>
      </c>
      <c r="N281" s="379" t="s">
        <v>332</v>
      </c>
      <c r="P281" s="379">
        <f t="shared" si="278"/>
        <v>280</v>
      </c>
      <c r="Q281" s="445" t="str">
        <f t="shared" ref="Q281:X281" si="304">+RIGHT(G281,1)</f>
        <v>C</v>
      </c>
      <c r="R281" s="436" t="str">
        <f t="shared" si="304"/>
        <v>G</v>
      </c>
      <c r="S281" s="436" t="str">
        <f t="shared" si="304"/>
        <v>E</v>
      </c>
      <c r="T281" s="436" t="str">
        <f t="shared" si="304"/>
        <v>D</v>
      </c>
      <c r="U281" s="436" t="str">
        <f t="shared" si="304"/>
        <v>A</v>
      </c>
      <c r="V281" s="436" t="str">
        <f t="shared" si="304"/>
        <v>F</v>
      </c>
      <c r="W281" s="436" t="str">
        <f t="shared" si="304"/>
        <v>I</v>
      </c>
      <c r="X281" s="436" t="str">
        <f t="shared" si="304"/>
        <v>K</v>
      </c>
      <c r="Y281" s="446">
        <f t="shared" ca="1" si="280"/>
        <v>6</v>
      </c>
    </row>
    <row r="282" spans="1:25" ht="14.25" customHeight="1" x14ac:dyDescent="0.25">
      <c r="A282" s="379" t="s">
        <v>617</v>
      </c>
      <c r="F282" s="379">
        <v>281</v>
      </c>
      <c r="G282" s="379" t="s">
        <v>339</v>
      </c>
      <c r="H282" s="379" t="s">
        <v>330</v>
      </c>
      <c r="I282" s="379" t="s">
        <v>326</v>
      </c>
      <c r="J282" s="379" t="s">
        <v>336</v>
      </c>
      <c r="K282" s="379" t="s">
        <v>334</v>
      </c>
      <c r="L282" s="379" t="s">
        <v>328</v>
      </c>
      <c r="M282" s="379" t="s">
        <v>325</v>
      </c>
      <c r="N282" s="379" t="s">
        <v>327</v>
      </c>
      <c r="P282" s="379">
        <f t="shared" si="278"/>
        <v>281</v>
      </c>
      <c r="Q282" s="445" t="str">
        <f t="shared" ref="Q282:X282" si="305">+RIGHT(G282,1)</f>
        <v>C</v>
      </c>
      <c r="R282" s="436" t="str">
        <f t="shared" si="305"/>
        <v>G</v>
      </c>
      <c r="S282" s="436" t="str">
        <f t="shared" si="305"/>
        <v>J</v>
      </c>
      <c r="T282" s="436" t="str">
        <f t="shared" si="305"/>
        <v>D</v>
      </c>
      <c r="U282" s="436" t="str">
        <f t="shared" si="305"/>
        <v>A</v>
      </c>
      <c r="V282" s="436" t="str">
        <f t="shared" si="305"/>
        <v>F</v>
      </c>
      <c r="W282" s="436" t="str">
        <f t="shared" si="305"/>
        <v>E</v>
      </c>
      <c r="X282" s="436" t="str">
        <f t="shared" si="305"/>
        <v>I</v>
      </c>
      <c r="Y282" s="446">
        <f t="shared" ca="1" si="280"/>
        <v>6</v>
      </c>
    </row>
    <row r="283" spans="1:25" ht="14.25" customHeight="1" x14ac:dyDescent="0.25">
      <c r="A283" s="379" t="s">
        <v>618</v>
      </c>
      <c r="F283" s="379">
        <v>282</v>
      </c>
      <c r="G283" s="379" t="s">
        <v>329</v>
      </c>
      <c r="H283" s="379" t="s">
        <v>330</v>
      </c>
      <c r="I283" s="379" t="s">
        <v>328</v>
      </c>
      <c r="J283" s="379" t="s">
        <v>339</v>
      </c>
      <c r="K283" s="379" t="s">
        <v>334</v>
      </c>
      <c r="L283" s="379" t="s">
        <v>336</v>
      </c>
      <c r="M283" s="379" t="s">
        <v>331</v>
      </c>
      <c r="N283" s="379" t="s">
        <v>325</v>
      </c>
      <c r="P283" s="379">
        <f t="shared" si="278"/>
        <v>282</v>
      </c>
      <c r="Q283" s="445" t="str">
        <f t="shared" ref="Q283:X283" si="306">+RIGHT(G283,1)</f>
        <v>H</v>
      </c>
      <c r="R283" s="436" t="str">
        <f t="shared" si="306"/>
        <v>G</v>
      </c>
      <c r="S283" s="436" t="str">
        <f t="shared" si="306"/>
        <v>F</v>
      </c>
      <c r="T283" s="436" t="str">
        <f t="shared" si="306"/>
        <v>C</v>
      </c>
      <c r="U283" s="436" t="str">
        <f t="shared" si="306"/>
        <v>A</v>
      </c>
      <c r="V283" s="436" t="str">
        <f t="shared" si="306"/>
        <v>D</v>
      </c>
      <c r="W283" s="436" t="str">
        <f t="shared" si="306"/>
        <v>L</v>
      </c>
      <c r="X283" s="436" t="str">
        <f t="shared" si="306"/>
        <v>E</v>
      </c>
      <c r="Y283" s="446">
        <f t="shared" ca="1" si="280"/>
        <v>7</v>
      </c>
    </row>
    <row r="284" spans="1:25" ht="14.25" customHeight="1" x14ac:dyDescent="0.25">
      <c r="A284" s="379" t="s">
        <v>619</v>
      </c>
      <c r="F284" s="379">
        <v>283</v>
      </c>
      <c r="G284" s="379" t="s">
        <v>329</v>
      </c>
      <c r="H284" s="379" t="s">
        <v>330</v>
      </c>
      <c r="I284" s="379" t="s">
        <v>325</v>
      </c>
      <c r="J284" s="379" t="s">
        <v>339</v>
      </c>
      <c r="K284" s="379" t="s">
        <v>334</v>
      </c>
      <c r="L284" s="379" t="s">
        <v>328</v>
      </c>
      <c r="M284" s="379" t="s">
        <v>336</v>
      </c>
      <c r="N284" s="379" t="s">
        <v>332</v>
      </c>
      <c r="P284" s="379">
        <f t="shared" si="278"/>
        <v>283</v>
      </c>
      <c r="Q284" s="445" t="str">
        <f t="shared" ref="Q284:X284" si="307">+RIGHT(G284,1)</f>
        <v>H</v>
      </c>
      <c r="R284" s="436" t="str">
        <f t="shared" si="307"/>
        <v>G</v>
      </c>
      <c r="S284" s="436" t="str">
        <f t="shared" si="307"/>
        <v>E</v>
      </c>
      <c r="T284" s="436" t="str">
        <f t="shared" si="307"/>
        <v>C</v>
      </c>
      <c r="U284" s="436" t="str">
        <f t="shared" si="307"/>
        <v>A</v>
      </c>
      <c r="V284" s="436" t="str">
        <f t="shared" si="307"/>
        <v>F</v>
      </c>
      <c r="W284" s="436" t="str">
        <f t="shared" si="307"/>
        <v>D</v>
      </c>
      <c r="X284" s="436" t="str">
        <f t="shared" si="307"/>
        <v>K</v>
      </c>
      <c r="Y284" s="446">
        <f t="shared" ca="1" si="280"/>
        <v>6</v>
      </c>
    </row>
    <row r="285" spans="1:25" ht="14.25" customHeight="1" x14ac:dyDescent="0.25">
      <c r="A285" s="379" t="s">
        <v>620</v>
      </c>
      <c r="F285" s="379">
        <v>284</v>
      </c>
      <c r="G285" s="379" t="s">
        <v>329</v>
      </c>
      <c r="H285" s="379" t="s">
        <v>330</v>
      </c>
      <c r="I285" s="379" t="s">
        <v>326</v>
      </c>
      <c r="J285" s="379" t="s">
        <v>339</v>
      </c>
      <c r="K285" s="379" t="s">
        <v>334</v>
      </c>
      <c r="L285" s="379" t="s">
        <v>328</v>
      </c>
      <c r="M285" s="379" t="s">
        <v>336</v>
      </c>
      <c r="N285" s="379" t="s">
        <v>325</v>
      </c>
      <c r="P285" s="379">
        <f t="shared" si="278"/>
        <v>284</v>
      </c>
      <c r="Q285" s="445" t="str">
        <f t="shared" ref="Q285:X285" si="308">+RIGHT(G285,1)</f>
        <v>H</v>
      </c>
      <c r="R285" s="436" t="str">
        <f t="shared" si="308"/>
        <v>G</v>
      </c>
      <c r="S285" s="436" t="str">
        <f t="shared" si="308"/>
        <v>J</v>
      </c>
      <c r="T285" s="436" t="str">
        <f t="shared" si="308"/>
        <v>C</v>
      </c>
      <c r="U285" s="436" t="str">
        <f t="shared" si="308"/>
        <v>A</v>
      </c>
      <c r="V285" s="436" t="str">
        <f t="shared" si="308"/>
        <v>F</v>
      </c>
      <c r="W285" s="436" t="str">
        <f t="shared" si="308"/>
        <v>D</v>
      </c>
      <c r="X285" s="436" t="str">
        <f t="shared" si="308"/>
        <v>E</v>
      </c>
      <c r="Y285" s="446">
        <f t="shared" ca="1" si="280"/>
        <v>6</v>
      </c>
    </row>
    <row r="286" spans="1:25" ht="14.25" customHeight="1" x14ac:dyDescent="0.25">
      <c r="A286" s="379" t="s">
        <v>621</v>
      </c>
      <c r="F286" s="379">
        <v>285</v>
      </c>
      <c r="G286" s="379" t="s">
        <v>329</v>
      </c>
      <c r="H286" s="379" t="s">
        <v>330</v>
      </c>
      <c r="I286" s="379" t="s">
        <v>325</v>
      </c>
      <c r="J286" s="379" t="s">
        <v>339</v>
      </c>
      <c r="K286" s="379" t="s">
        <v>334</v>
      </c>
      <c r="L286" s="379" t="s">
        <v>328</v>
      </c>
      <c r="M286" s="379" t="s">
        <v>336</v>
      </c>
      <c r="N286" s="379" t="s">
        <v>327</v>
      </c>
      <c r="P286" s="379">
        <f t="shared" si="278"/>
        <v>285</v>
      </c>
      <c r="Q286" s="445" t="str">
        <f t="shared" ref="Q286:X286" si="309">+RIGHT(G286,1)</f>
        <v>H</v>
      </c>
      <c r="R286" s="436" t="str">
        <f t="shared" si="309"/>
        <v>G</v>
      </c>
      <c r="S286" s="436" t="str">
        <f t="shared" si="309"/>
        <v>E</v>
      </c>
      <c r="T286" s="436" t="str">
        <f t="shared" si="309"/>
        <v>C</v>
      </c>
      <c r="U286" s="436" t="str">
        <f t="shared" si="309"/>
        <v>A</v>
      </c>
      <c r="V286" s="436" t="str">
        <f t="shared" si="309"/>
        <v>F</v>
      </c>
      <c r="W286" s="436" t="str">
        <f t="shared" si="309"/>
        <v>D</v>
      </c>
      <c r="X286" s="436" t="str">
        <f t="shared" si="309"/>
        <v>I</v>
      </c>
      <c r="Y286" s="446">
        <f t="shared" ca="1" si="280"/>
        <v>7</v>
      </c>
    </row>
    <row r="287" spans="1:25" ht="14.25" customHeight="1" x14ac:dyDescent="0.25">
      <c r="A287" s="379" t="s">
        <v>622</v>
      </c>
      <c r="F287" s="379">
        <v>286</v>
      </c>
      <c r="G287" s="379" t="s">
        <v>329</v>
      </c>
      <c r="H287" s="379" t="s">
        <v>326</v>
      </c>
      <c r="I287" s="379" t="s">
        <v>337</v>
      </c>
      <c r="J287" s="379" t="s">
        <v>334</v>
      </c>
      <c r="K287" s="379" t="s">
        <v>327</v>
      </c>
      <c r="L287" s="379" t="s">
        <v>330</v>
      </c>
      <c r="M287" s="379" t="s">
        <v>331</v>
      </c>
      <c r="N287" s="379" t="s">
        <v>332</v>
      </c>
      <c r="P287" s="379">
        <f t="shared" si="278"/>
        <v>286</v>
      </c>
      <c r="Q287" s="445" t="str">
        <f t="shared" ref="Q287:X287" si="310">+RIGHT(G287,1)</f>
        <v>H</v>
      </c>
      <c r="R287" s="436" t="str">
        <f t="shared" si="310"/>
        <v>J</v>
      </c>
      <c r="S287" s="436" t="str">
        <f t="shared" si="310"/>
        <v>B</v>
      </c>
      <c r="T287" s="436" t="str">
        <f t="shared" si="310"/>
        <v>A</v>
      </c>
      <c r="U287" s="436" t="str">
        <f t="shared" si="310"/>
        <v>I</v>
      </c>
      <c r="V287" s="436" t="str">
        <f t="shared" si="310"/>
        <v>G</v>
      </c>
      <c r="W287" s="436" t="str">
        <f t="shared" si="310"/>
        <v>L</v>
      </c>
      <c r="X287" s="436" t="str">
        <f t="shared" si="310"/>
        <v>K</v>
      </c>
      <c r="Y287" s="446">
        <f t="shared" ca="1" si="280"/>
        <v>5</v>
      </c>
    </row>
    <row r="288" spans="1:25" ht="14.25" customHeight="1" x14ac:dyDescent="0.25">
      <c r="A288" s="379" t="s">
        <v>623</v>
      </c>
      <c r="F288" s="379">
        <v>287</v>
      </c>
      <c r="G288" s="379" t="s">
        <v>329</v>
      </c>
      <c r="H288" s="379" t="s">
        <v>326</v>
      </c>
      <c r="I288" s="379" t="s">
        <v>337</v>
      </c>
      <c r="J288" s="379" t="s">
        <v>334</v>
      </c>
      <c r="K288" s="379" t="s">
        <v>327</v>
      </c>
      <c r="L288" s="379" t="s">
        <v>328</v>
      </c>
      <c r="M288" s="379" t="s">
        <v>331</v>
      </c>
      <c r="N288" s="379" t="s">
        <v>332</v>
      </c>
      <c r="P288" s="379">
        <f t="shared" si="278"/>
        <v>287</v>
      </c>
      <c r="Q288" s="445" t="str">
        <f t="shared" ref="Q288:X288" si="311">+RIGHT(G288,1)</f>
        <v>H</v>
      </c>
      <c r="R288" s="436" t="str">
        <f t="shared" si="311"/>
        <v>J</v>
      </c>
      <c r="S288" s="436" t="str">
        <f t="shared" si="311"/>
        <v>B</v>
      </c>
      <c r="T288" s="436" t="str">
        <f t="shared" si="311"/>
        <v>A</v>
      </c>
      <c r="U288" s="436" t="str">
        <f t="shared" si="311"/>
        <v>I</v>
      </c>
      <c r="V288" s="436" t="str">
        <f t="shared" si="311"/>
        <v>F</v>
      </c>
      <c r="W288" s="436" t="str">
        <f t="shared" si="311"/>
        <v>L</v>
      </c>
      <c r="X288" s="436" t="str">
        <f t="shared" si="311"/>
        <v>K</v>
      </c>
      <c r="Y288" s="446">
        <f t="shared" ca="1" si="280"/>
        <v>5</v>
      </c>
    </row>
    <row r="289" spans="1:25" ht="14.25" customHeight="1" x14ac:dyDescent="0.25">
      <c r="A289" s="379" t="s">
        <v>624</v>
      </c>
      <c r="F289" s="379">
        <v>288</v>
      </c>
      <c r="G289" s="379" t="s">
        <v>327</v>
      </c>
      <c r="H289" s="379" t="s">
        <v>326</v>
      </c>
      <c r="I289" s="379" t="s">
        <v>337</v>
      </c>
      <c r="J289" s="379" t="s">
        <v>328</v>
      </c>
      <c r="K289" s="379" t="s">
        <v>334</v>
      </c>
      <c r="L289" s="379" t="s">
        <v>330</v>
      </c>
      <c r="M289" s="379" t="s">
        <v>331</v>
      </c>
      <c r="N289" s="379" t="s">
        <v>332</v>
      </c>
      <c r="P289" s="379">
        <f t="shared" si="278"/>
        <v>288</v>
      </c>
      <c r="Q289" s="445" t="str">
        <f t="shared" ref="Q289:X289" si="312">+RIGHT(G289,1)</f>
        <v>I</v>
      </c>
      <c r="R289" s="436" t="str">
        <f t="shared" si="312"/>
        <v>J</v>
      </c>
      <c r="S289" s="436" t="str">
        <f t="shared" si="312"/>
        <v>B</v>
      </c>
      <c r="T289" s="436" t="str">
        <f t="shared" si="312"/>
        <v>F</v>
      </c>
      <c r="U289" s="436" t="str">
        <f t="shared" si="312"/>
        <v>A</v>
      </c>
      <c r="V289" s="436" t="str">
        <f t="shared" si="312"/>
        <v>G</v>
      </c>
      <c r="W289" s="436" t="str">
        <f t="shared" si="312"/>
        <v>L</v>
      </c>
      <c r="X289" s="436" t="str">
        <f t="shared" si="312"/>
        <v>K</v>
      </c>
      <c r="Y289" s="446">
        <f t="shared" ca="1" si="280"/>
        <v>5</v>
      </c>
    </row>
    <row r="290" spans="1:25" ht="14.25" customHeight="1" x14ac:dyDescent="0.25">
      <c r="A290" s="379" t="s">
        <v>625</v>
      </c>
      <c r="F290" s="379">
        <v>289</v>
      </c>
      <c r="G290" s="379" t="s">
        <v>329</v>
      </c>
      <c r="H290" s="379" t="s">
        <v>326</v>
      </c>
      <c r="I290" s="379" t="s">
        <v>337</v>
      </c>
      <c r="J290" s="379" t="s">
        <v>328</v>
      </c>
      <c r="K290" s="379" t="s">
        <v>334</v>
      </c>
      <c r="L290" s="379" t="s">
        <v>330</v>
      </c>
      <c r="M290" s="379" t="s">
        <v>331</v>
      </c>
      <c r="N290" s="379" t="s">
        <v>332</v>
      </c>
      <c r="P290" s="379">
        <f t="shared" si="278"/>
        <v>289</v>
      </c>
      <c r="Q290" s="445" t="str">
        <f t="shared" ref="Q290:X290" si="313">+RIGHT(G290,1)</f>
        <v>H</v>
      </c>
      <c r="R290" s="436" t="str">
        <f t="shared" si="313"/>
        <v>J</v>
      </c>
      <c r="S290" s="436" t="str">
        <f t="shared" si="313"/>
        <v>B</v>
      </c>
      <c r="T290" s="436" t="str">
        <f t="shared" si="313"/>
        <v>F</v>
      </c>
      <c r="U290" s="436" t="str">
        <f t="shared" si="313"/>
        <v>A</v>
      </c>
      <c r="V290" s="436" t="str">
        <f t="shared" si="313"/>
        <v>G</v>
      </c>
      <c r="W290" s="436" t="str">
        <f t="shared" si="313"/>
        <v>L</v>
      </c>
      <c r="X290" s="436" t="str">
        <f t="shared" si="313"/>
        <v>K</v>
      </c>
      <c r="Y290" s="446">
        <f t="shared" ca="1" si="280"/>
        <v>5</v>
      </c>
    </row>
    <row r="291" spans="1:25" ht="14.25" customHeight="1" x14ac:dyDescent="0.25">
      <c r="A291" s="379" t="s">
        <v>626</v>
      </c>
      <c r="F291" s="379">
        <v>290</v>
      </c>
      <c r="G291" s="379" t="s">
        <v>329</v>
      </c>
      <c r="H291" s="379" t="s">
        <v>330</v>
      </c>
      <c r="I291" s="379" t="s">
        <v>337</v>
      </c>
      <c r="J291" s="379" t="s">
        <v>334</v>
      </c>
      <c r="K291" s="379" t="s">
        <v>327</v>
      </c>
      <c r="L291" s="379" t="s">
        <v>328</v>
      </c>
      <c r="M291" s="379" t="s">
        <v>331</v>
      </c>
      <c r="N291" s="379" t="s">
        <v>332</v>
      </c>
      <c r="P291" s="379">
        <f t="shared" si="278"/>
        <v>290</v>
      </c>
      <c r="Q291" s="445" t="str">
        <f t="shared" ref="Q291:X291" si="314">+RIGHT(G291,1)</f>
        <v>H</v>
      </c>
      <c r="R291" s="436" t="str">
        <f t="shared" si="314"/>
        <v>G</v>
      </c>
      <c r="S291" s="436" t="str">
        <f t="shared" si="314"/>
        <v>B</v>
      </c>
      <c r="T291" s="436" t="str">
        <f t="shared" si="314"/>
        <v>A</v>
      </c>
      <c r="U291" s="436" t="str">
        <f t="shared" si="314"/>
        <v>I</v>
      </c>
      <c r="V291" s="436" t="str">
        <f t="shared" si="314"/>
        <v>F</v>
      </c>
      <c r="W291" s="436" t="str">
        <f t="shared" si="314"/>
        <v>L</v>
      </c>
      <c r="X291" s="436" t="str">
        <f t="shared" si="314"/>
        <v>K</v>
      </c>
      <c r="Y291" s="446">
        <f t="shared" ca="1" si="280"/>
        <v>6</v>
      </c>
    </row>
    <row r="292" spans="1:25" ht="14.25" customHeight="1" x14ac:dyDescent="0.25">
      <c r="A292" s="379" t="s">
        <v>627</v>
      </c>
      <c r="F292" s="379">
        <v>291</v>
      </c>
      <c r="G292" s="379" t="s">
        <v>329</v>
      </c>
      <c r="H292" s="379" t="s">
        <v>326</v>
      </c>
      <c r="I292" s="379" t="s">
        <v>337</v>
      </c>
      <c r="J292" s="379" t="s">
        <v>328</v>
      </c>
      <c r="K292" s="379" t="s">
        <v>334</v>
      </c>
      <c r="L292" s="379" t="s">
        <v>330</v>
      </c>
      <c r="M292" s="379" t="s">
        <v>331</v>
      </c>
      <c r="N292" s="379" t="s">
        <v>327</v>
      </c>
      <c r="P292" s="379">
        <f t="shared" si="278"/>
        <v>291</v>
      </c>
      <c r="Q292" s="445" t="str">
        <f t="shared" ref="Q292:X292" si="315">+RIGHT(G292,1)</f>
        <v>H</v>
      </c>
      <c r="R292" s="436" t="str">
        <f t="shared" si="315"/>
        <v>J</v>
      </c>
      <c r="S292" s="436" t="str">
        <f t="shared" si="315"/>
        <v>B</v>
      </c>
      <c r="T292" s="436" t="str">
        <f t="shared" si="315"/>
        <v>F</v>
      </c>
      <c r="U292" s="436" t="str">
        <f t="shared" si="315"/>
        <v>A</v>
      </c>
      <c r="V292" s="436" t="str">
        <f t="shared" si="315"/>
        <v>G</v>
      </c>
      <c r="W292" s="436" t="str">
        <f t="shared" si="315"/>
        <v>L</v>
      </c>
      <c r="X292" s="436" t="str">
        <f t="shared" si="315"/>
        <v>I</v>
      </c>
      <c r="Y292" s="446">
        <f t="shared" ca="1" si="280"/>
        <v>6</v>
      </c>
    </row>
    <row r="293" spans="1:25" ht="14.25" customHeight="1" x14ac:dyDescent="0.25">
      <c r="A293" s="379" t="s">
        <v>628</v>
      </c>
      <c r="F293" s="379">
        <v>292</v>
      </c>
      <c r="G293" s="379" t="s">
        <v>329</v>
      </c>
      <c r="H293" s="379" t="s">
        <v>326</v>
      </c>
      <c r="I293" s="379" t="s">
        <v>337</v>
      </c>
      <c r="J293" s="379" t="s">
        <v>328</v>
      </c>
      <c r="K293" s="379" t="s">
        <v>334</v>
      </c>
      <c r="L293" s="379" t="s">
        <v>330</v>
      </c>
      <c r="M293" s="379" t="s">
        <v>327</v>
      </c>
      <c r="N293" s="379" t="s">
        <v>332</v>
      </c>
      <c r="P293" s="379">
        <f t="shared" si="278"/>
        <v>292</v>
      </c>
      <c r="Q293" s="445" t="str">
        <f t="shared" ref="Q293:X293" si="316">+RIGHT(G293,1)</f>
        <v>H</v>
      </c>
      <c r="R293" s="436" t="str">
        <f t="shared" si="316"/>
        <v>J</v>
      </c>
      <c r="S293" s="436" t="str">
        <f t="shared" si="316"/>
        <v>B</v>
      </c>
      <c r="T293" s="436" t="str">
        <f t="shared" si="316"/>
        <v>F</v>
      </c>
      <c r="U293" s="436" t="str">
        <f t="shared" si="316"/>
        <v>A</v>
      </c>
      <c r="V293" s="436" t="str">
        <f t="shared" si="316"/>
        <v>G</v>
      </c>
      <c r="W293" s="436" t="str">
        <f t="shared" si="316"/>
        <v>I</v>
      </c>
      <c r="X293" s="436" t="str">
        <f t="shared" si="316"/>
        <v>K</v>
      </c>
      <c r="Y293" s="446">
        <f t="shared" ca="1" si="280"/>
        <v>5</v>
      </c>
    </row>
    <row r="294" spans="1:25" ht="14.25" customHeight="1" x14ac:dyDescent="0.25">
      <c r="A294" s="379" t="s">
        <v>629</v>
      </c>
      <c r="F294" s="379">
        <v>293</v>
      </c>
      <c r="G294" s="379" t="s">
        <v>325</v>
      </c>
      <c r="H294" s="379" t="s">
        <v>326</v>
      </c>
      <c r="I294" s="379" t="s">
        <v>337</v>
      </c>
      <c r="J294" s="379" t="s">
        <v>334</v>
      </c>
      <c r="K294" s="379" t="s">
        <v>327</v>
      </c>
      <c r="L294" s="379" t="s">
        <v>329</v>
      </c>
      <c r="M294" s="379" t="s">
        <v>331</v>
      </c>
      <c r="N294" s="379" t="s">
        <v>332</v>
      </c>
      <c r="P294" s="379">
        <f t="shared" si="278"/>
        <v>293</v>
      </c>
      <c r="Q294" s="445" t="str">
        <f t="shared" ref="Q294:X294" si="317">+RIGHT(G294,1)</f>
        <v>E</v>
      </c>
      <c r="R294" s="436" t="str">
        <f t="shared" si="317"/>
        <v>J</v>
      </c>
      <c r="S294" s="436" t="str">
        <f t="shared" si="317"/>
        <v>B</v>
      </c>
      <c r="T294" s="436" t="str">
        <f t="shared" si="317"/>
        <v>A</v>
      </c>
      <c r="U294" s="436" t="str">
        <f t="shared" si="317"/>
        <v>I</v>
      </c>
      <c r="V294" s="436" t="str">
        <f t="shared" si="317"/>
        <v>H</v>
      </c>
      <c r="W294" s="436" t="str">
        <f t="shared" si="317"/>
        <v>L</v>
      </c>
      <c r="X294" s="436" t="str">
        <f t="shared" si="317"/>
        <v>K</v>
      </c>
      <c r="Y294" s="446">
        <f t="shared" ca="1" si="280"/>
        <v>4</v>
      </c>
    </row>
    <row r="295" spans="1:25" ht="14.25" customHeight="1" x14ac:dyDescent="0.25">
      <c r="A295" s="379" t="s">
        <v>630</v>
      </c>
      <c r="F295" s="379">
        <v>294</v>
      </c>
      <c r="G295" s="379" t="s">
        <v>325</v>
      </c>
      <c r="H295" s="379" t="s">
        <v>326</v>
      </c>
      <c r="I295" s="379" t="s">
        <v>337</v>
      </c>
      <c r="J295" s="379" t="s">
        <v>334</v>
      </c>
      <c r="K295" s="379" t="s">
        <v>327</v>
      </c>
      <c r="L295" s="379" t="s">
        <v>330</v>
      </c>
      <c r="M295" s="379" t="s">
        <v>331</v>
      </c>
      <c r="N295" s="379" t="s">
        <v>332</v>
      </c>
      <c r="P295" s="379">
        <f t="shared" si="278"/>
        <v>294</v>
      </c>
      <c r="Q295" s="445" t="str">
        <f t="shared" ref="Q295:X295" si="318">+RIGHT(G295,1)</f>
        <v>E</v>
      </c>
      <c r="R295" s="436" t="str">
        <f t="shared" si="318"/>
        <v>J</v>
      </c>
      <c r="S295" s="436" t="str">
        <f t="shared" si="318"/>
        <v>B</v>
      </c>
      <c r="T295" s="436" t="str">
        <f t="shared" si="318"/>
        <v>A</v>
      </c>
      <c r="U295" s="436" t="str">
        <f t="shared" si="318"/>
        <v>I</v>
      </c>
      <c r="V295" s="436" t="str">
        <f t="shared" si="318"/>
        <v>G</v>
      </c>
      <c r="W295" s="436" t="str">
        <f t="shared" si="318"/>
        <v>L</v>
      </c>
      <c r="X295" s="436" t="str">
        <f t="shared" si="318"/>
        <v>K</v>
      </c>
      <c r="Y295" s="446">
        <f t="shared" ca="1" si="280"/>
        <v>4</v>
      </c>
    </row>
    <row r="296" spans="1:25" ht="14.25" customHeight="1" x14ac:dyDescent="0.25">
      <c r="A296" s="379" t="s">
        <v>631</v>
      </c>
      <c r="F296" s="379">
        <v>295</v>
      </c>
      <c r="G296" s="379" t="s">
        <v>325</v>
      </c>
      <c r="H296" s="379" t="s">
        <v>326</v>
      </c>
      <c r="I296" s="379" t="s">
        <v>337</v>
      </c>
      <c r="J296" s="379" t="s">
        <v>334</v>
      </c>
      <c r="K296" s="379" t="s">
        <v>329</v>
      </c>
      <c r="L296" s="379" t="s">
        <v>330</v>
      </c>
      <c r="M296" s="379" t="s">
        <v>331</v>
      </c>
      <c r="N296" s="379" t="s">
        <v>332</v>
      </c>
      <c r="P296" s="379">
        <f t="shared" si="278"/>
        <v>295</v>
      </c>
      <c r="Q296" s="445" t="str">
        <f t="shared" ref="Q296:X296" si="319">+RIGHT(G296,1)</f>
        <v>E</v>
      </c>
      <c r="R296" s="436" t="str">
        <f t="shared" si="319"/>
        <v>J</v>
      </c>
      <c r="S296" s="436" t="str">
        <f t="shared" si="319"/>
        <v>B</v>
      </c>
      <c r="T296" s="436" t="str">
        <f t="shared" si="319"/>
        <v>A</v>
      </c>
      <c r="U296" s="436" t="str">
        <f t="shared" si="319"/>
        <v>H</v>
      </c>
      <c r="V296" s="436" t="str">
        <f t="shared" si="319"/>
        <v>G</v>
      </c>
      <c r="W296" s="436" t="str">
        <f t="shared" si="319"/>
        <v>L</v>
      </c>
      <c r="X296" s="436" t="str">
        <f t="shared" si="319"/>
        <v>K</v>
      </c>
      <c r="Y296" s="446">
        <f t="shared" ca="1" si="280"/>
        <v>4</v>
      </c>
    </row>
    <row r="297" spans="1:25" ht="14.25" customHeight="1" x14ac:dyDescent="0.25">
      <c r="A297" s="379" t="s">
        <v>632</v>
      </c>
      <c r="F297" s="379">
        <v>296</v>
      </c>
      <c r="G297" s="379" t="s">
        <v>325</v>
      </c>
      <c r="H297" s="379" t="s">
        <v>330</v>
      </c>
      <c r="I297" s="379" t="s">
        <v>337</v>
      </c>
      <c r="J297" s="379" t="s">
        <v>334</v>
      </c>
      <c r="K297" s="379" t="s">
        <v>327</v>
      </c>
      <c r="L297" s="379" t="s">
        <v>329</v>
      </c>
      <c r="M297" s="379" t="s">
        <v>331</v>
      </c>
      <c r="N297" s="379" t="s">
        <v>332</v>
      </c>
      <c r="P297" s="379">
        <f t="shared" si="278"/>
        <v>296</v>
      </c>
      <c r="Q297" s="445" t="str">
        <f t="shared" ref="Q297:X297" si="320">+RIGHT(G297,1)</f>
        <v>E</v>
      </c>
      <c r="R297" s="436" t="str">
        <f t="shared" si="320"/>
        <v>G</v>
      </c>
      <c r="S297" s="436" t="str">
        <f t="shared" si="320"/>
        <v>B</v>
      </c>
      <c r="T297" s="436" t="str">
        <f t="shared" si="320"/>
        <v>A</v>
      </c>
      <c r="U297" s="436" t="str">
        <f t="shared" si="320"/>
        <v>I</v>
      </c>
      <c r="V297" s="436" t="str">
        <f t="shared" si="320"/>
        <v>H</v>
      </c>
      <c r="W297" s="436" t="str">
        <f t="shared" si="320"/>
        <v>L</v>
      </c>
      <c r="X297" s="436" t="str">
        <f t="shared" si="320"/>
        <v>K</v>
      </c>
      <c r="Y297" s="446">
        <f t="shared" ca="1" si="280"/>
        <v>5</v>
      </c>
    </row>
    <row r="298" spans="1:25" ht="14.25" customHeight="1" x14ac:dyDescent="0.25">
      <c r="A298" s="379" t="s">
        <v>633</v>
      </c>
      <c r="F298" s="379">
        <v>297</v>
      </c>
      <c r="G298" s="379" t="s">
        <v>325</v>
      </c>
      <c r="H298" s="379" t="s">
        <v>326</v>
      </c>
      <c r="I298" s="379" t="s">
        <v>337</v>
      </c>
      <c r="J298" s="379" t="s">
        <v>334</v>
      </c>
      <c r="K298" s="379" t="s">
        <v>329</v>
      </c>
      <c r="L298" s="379" t="s">
        <v>330</v>
      </c>
      <c r="M298" s="379" t="s">
        <v>331</v>
      </c>
      <c r="N298" s="379" t="s">
        <v>327</v>
      </c>
      <c r="P298" s="379">
        <f t="shared" si="278"/>
        <v>297</v>
      </c>
      <c r="Q298" s="445" t="str">
        <f t="shared" ref="Q298:X298" si="321">+RIGHT(G298,1)</f>
        <v>E</v>
      </c>
      <c r="R298" s="436" t="str">
        <f t="shared" si="321"/>
        <v>J</v>
      </c>
      <c r="S298" s="436" t="str">
        <f t="shared" si="321"/>
        <v>B</v>
      </c>
      <c r="T298" s="436" t="str">
        <f t="shared" si="321"/>
        <v>A</v>
      </c>
      <c r="U298" s="436" t="str">
        <f t="shared" si="321"/>
        <v>H</v>
      </c>
      <c r="V298" s="436" t="str">
        <f t="shared" si="321"/>
        <v>G</v>
      </c>
      <c r="W298" s="436" t="str">
        <f t="shared" si="321"/>
        <v>L</v>
      </c>
      <c r="X298" s="436" t="str">
        <f t="shared" si="321"/>
        <v>I</v>
      </c>
      <c r="Y298" s="446">
        <f t="shared" ca="1" si="280"/>
        <v>5</v>
      </c>
    </row>
    <row r="299" spans="1:25" ht="14.25" customHeight="1" x14ac:dyDescent="0.25">
      <c r="A299" s="379" t="s">
        <v>634</v>
      </c>
      <c r="F299" s="379">
        <v>298</v>
      </c>
      <c r="G299" s="379" t="s">
        <v>325</v>
      </c>
      <c r="H299" s="379" t="s">
        <v>326</v>
      </c>
      <c r="I299" s="379" t="s">
        <v>337</v>
      </c>
      <c r="J299" s="379" t="s">
        <v>334</v>
      </c>
      <c r="K299" s="379" t="s">
        <v>329</v>
      </c>
      <c r="L299" s="379" t="s">
        <v>330</v>
      </c>
      <c r="M299" s="379" t="s">
        <v>327</v>
      </c>
      <c r="N299" s="379" t="s">
        <v>332</v>
      </c>
      <c r="P299" s="379">
        <f t="shared" si="278"/>
        <v>298</v>
      </c>
      <c r="Q299" s="445" t="str">
        <f t="shared" ref="Q299:X299" si="322">+RIGHT(G299,1)</f>
        <v>E</v>
      </c>
      <c r="R299" s="436" t="str">
        <f t="shared" si="322"/>
        <v>J</v>
      </c>
      <c r="S299" s="436" t="str">
        <f t="shared" si="322"/>
        <v>B</v>
      </c>
      <c r="T299" s="436" t="str">
        <f t="shared" si="322"/>
        <v>A</v>
      </c>
      <c r="U299" s="436" t="str">
        <f t="shared" si="322"/>
        <v>H</v>
      </c>
      <c r="V299" s="436" t="str">
        <f t="shared" si="322"/>
        <v>G</v>
      </c>
      <c r="W299" s="436" t="str">
        <f t="shared" si="322"/>
        <v>I</v>
      </c>
      <c r="X299" s="436" t="str">
        <f t="shared" si="322"/>
        <v>K</v>
      </c>
      <c r="Y299" s="446">
        <f t="shared" ca="1" si="280"/>
        <v>4</v>
      </c>
    </row>
    <row r="300" spans="1:25" ht="14.25" customHeight="1" x14ac:dyDescent="0.25">
      <c r="A300" s="379" t="s">
        <v>635</v>
      </c>
      <c r="F300" s="379">
        <v>299</v>
      </c>
      <c r="G300" s="379" t="s">
        <v>325</v>
      </c>
      <c r="H300" s="379" t="s">
        <v>326</v>
      </c>
      <c r="I300" s="379" t="s">
        <v>337</v>
      </c>
      <c r="J300" s="379" t="s">
        <v>334</v>
      </c>
      <c r="K300" s="379" t="s">
        <v>327</v>
      </c>
      <c r="L300" s="379" t="s">
        <v>328</v>
      </c>
      <c r="M300" s="379" t="s">
        <v>331</v>
      </c>
      <c r="N300" s="379" t="s">
        <v>332</v>
      </c>
      <c r="P300" s="379">
        <f t="shared" si="278"/>
        <v>299</v>
      </c>
      <c r="Q300" s="445" t="str">
        <f t="shared" ref="Q300:X300" si="323">+RIGHT(G300,1)</f>
        <v>E</v>
      </c>
      <c r="R300" s="436" t="str">
        <f t="shared" si="323"/>
        <v>J</v>
      </c>
      <c r="S300" s="436" t="str">
        <f t="shared" si="323"/>
        <v>B</v>
      </c>
      <c r="T300" s="436" t="str">
        <f t="shared" si="323"/>
        <v>A</v>
      </c>
      <c r="U300" s="436" t="str">
        <f t="shared" si="323"/>
        <v>I</v>
      </c>
      <c r="V300" s="436" t="str">
        <f t="shared" si="323"/>
        <v>F</v>
      </c>
      <c r="W300" s="436" t="str">
        <f t="shared" si="323"/>
        <v>L</v>
      </c>
      <c r="X300" s="436" t="str">
        <f t="shared" si="323"/>
        <v>K</v>
      </c>
      <c r="Y300" s="446">
        <f t="shared" ca="1" si="280"/>
        <v>4</v>
      </c>
    </row>
    <row r="301" spans="1:25" ht="14.25" customHeight="1" x14ac:dyDescent="0.25">
      <c r="A301" s="379" t="s">
        <v>636</v>
      </c>
      <c r="F301" s="379">
        <v>300</v>
      </c>
      <c r="G301" s="379" t="s">
        <v>325</v>
      </c>
      <c r="H301" s="379" t="s">
        <v>326</v>
      </c>
      <c r="I301" s="379" t="s">
        <v>337</v>
      </c>
      <c r="J301" s="379" t="s">
        <v>328</v>
      </c>
      <c r="K301" s="379" t="s">
        <v>334</v>
      </c>
      <c r="L301" s="379" t="s">
        <v>329</v>
      </c>
      <c r="M301" s="379" t="s">
        <v>331</v>
      </c>
      <c r="N301" s="379" t="s">
        <v>332</v>
      </c>
      <c r="P301" s="379">
        <f t="shared" si="278"/>
        <v>300</v>
      </c>
      <c r="Q301" s="445" t="str">
        <f t="shared" ref="Q301:X301" si="324">+RIGHT(G301,1)</f>
        <v>E</v>
      </c>
      <c r="R301" s="436" t="str">
        <f t="shared" si="324"/>
        <v>J</v>
      </c>
      <c r="S301" s="436" t="str">
        <f t="shared" si="324"/>
        <v>B</v>
      </c>
      <c r="T301" s="436" t="str">
        <f t="shared" si="324"/>
        <v>F</v>
      </c>
      <c r="U301" s="436" t="str">
        <f t="shared" si="324"/>
        <v>A</v>
      </c>
      <c r="V301" s="436" t="str">
        <f t="shared" si="324"/>
        <v>H</v>
      </c>
      <c r="W301" s="436" t="str">
        <f t="shared" si="324"/>
        <v>L</v>
      </c>
      <c r="X301" s="436" t="str">
        <f t="shared" si="324"/>
        <v>K</v>
      </c>
      <c r="Y301" s="446">
        <f t="shared" ca="1" si="280"/>
        <v>4</v>
      </c>
    </row>
    <row r="302" spans="1:25" ht="14.25" customHeight="1" x14ac:dyDescent="0.25">
      <c r="A302" s="379" t="s">
        <v>637</v>
      </c>
      <c r="F302" s="379">
        <v>301</v>
      </c>
      <c r="G302" s="379" t="s">
        <v>325</v>
      </c>
      <c r="H302" s="379" t="s">
        <v>327</v>
      </c>
      <c r="I302" s="379" t="s">
        <v>337</v>
      </c>
      <c r="J302" s="379" t="s">
        <v>328</v>
      </c>
      <c r="K302" s="379" t="s">
        <v>334</v>
      </c>
      <c r="L302" s="379" t="s">
        <v>329</v>
      </c>
      <c r="M302" s="379" t="s">
        <v>331</v>
      </c>
      <c r="N302" s="379" t="s">
        <v>332</v>
      </c>
      <c r="P302" s="379">
        <f t="shared" si="278"/>
        <v>301</v>
      </c>
      <c r="Q302" s="445" t="str">
        <f t="shared" ref="Q302:X302" si="325">+RIGHT(G302,1)</f>
        <v>E</v>
      </c>
      <c r="R302" s="436" t="str">
        <f t="shared" si="325"/>
        <v>I</v>
      </c>
      <c r="S302" s="436" t="str">
        <f t="shared" si="325"/>
        <v>B</v>
      </c>
      <c r="T302" s="436" t="str">
        <f t="shared" si="325"/>
        <v>F</v>
      </c>
      <c r="U302" s="436" t="str">
        <f t="shared" si="325"/>
        <v>A</v>
      </c>
      <c r="V302" s="436" t="str">
        <f t="shared" si="325"/>
        <v>H</v>
      </c>
      <c r="W302" s="436" t="str">
        <f t="shared" si="325"/>
        <v>L</v>
      </c>
      <c r="X302" s="436" t="str">
        <f t="shared" si="325"/>
        <v>K</v>
      </c>
      <c r="Y302" s="446">
        <f t="shared" ca="1" si="280"/>
        <v>5</v>
      </c>
    </row>
    <row r="303" spans="1:25" ht="14.25" customHeight="1" x14ac:dyDescent="0.25">
      <c r="A303" s="379" t="s">
        <v>638</v>
      </c>
      <c r="F303" s="379">
        <v>302</v>
      </c>
      <c r="G303" s="379" t="s">
        <v>325</v>
      </c>
      <c r="H303" s="379" t="s">
        <v>326</v>
      </c>
      <c r="I303" s="379" t="s">
        <v>337</v>
      </c>
      <c r="J303" s="379" t="s">
        <v>328</v>
      </c>
      <c r="K303" s="379" t="s">
        <v>334</v>
      </c>
      <c r="L303" s="379" t="s">
        <v>329</v>
      </c>
      <c r="M303" s="379" t="s">
        <v>331</v>
      </c>
      <c r="N303" s="379" t="s">
        <v>327</v>
      </c>
      <c r="P303" s="379">
        <f t="shared" si="278"/>
        <v>302</v>
      </c>
      <c r="Q303" s="445" t="str">
        <f t="shared" ref="Q303:X303" si="326">+RIGHT(G303,1)</f>
        <v>E</v>
      </c>
      <c r="R303" s="436" t="str">
        <f t="shared" si="326"/>
        <v>J</v>
      </c>
      <c r="S303" s="436" t="str">
        <f t="shared" si="326"/>
        <v>B</v>
      </c>
      <c r="T303" s="436" t="str">
        <f t="shared" si="326"/>
        <v>F</v>
      </c>
      <c r="U303" s="436" t="str">
        <f t="shared" si="326"/>
        <v>A</v>
      </c>
      <c r="V303" s="436" t="str">
        <f t="shared" si="326"/>
        <v>H</v>
      </c>
      <c r="W303" s="436" t="str">
        <f t="shared" si="326"/>
        <v>L</v>
      </c>
      <c r="X303" s="436" t="str">
        <f t="shared" si="326"/>
        <v>I</v>
      </c>
      <c r="Y303" s="446">
        <f t="shared" ca="1" si="280"/>
        <v>5</v>
      </c>
    </row>
    <row r="304" spans="1:25" ht="14.25" customHeight="1" x14ac:dyDescent="0.25">
      <c r="A304" s="379" t="s">
        <v>639</v>
      </c>
      <c r="F304" s="379">
        <v>303</v>
      </c>
      <c r="G304" s="379" t="s">
        <v>325</v>
      </c>
      <c r="H304" s="379" t="s">
        <v>326</v>
      </c>
      <c r="I304" s="379" t="s">
        <v>337</v>
      </c>
      <c r="J304" s="379" t="s">
        <v>328</v>
      </c>
      <c r="K304" s="379" t="s">
        <v>334</v>
      </c>
      <c r="L304" s="379" t="s">
        <v>329</v>
      </c>
      <c r="M304" s="379" t="s">
        <v>327</v>
      </c>
      <c r="N304" s="379" t="s">
        <v>332</v>
      </c>
      <c r="P304" s="379">
        <f t="shared" si="278"/>
        <v>303</v>
      </c>
      <c r="Q304" s="445" t="str">
        <f t="shared" ref="Q304:X304" si="327">+RIGHT(G304,1)</f>
        <v>E</v>
      </c>
      <c r="R304" s="436" t="str">
        <f t="shared" si="327"/>
        <v>J</v>
      </c>
      <c r="S304" s="436" t="str">
        <f t="shared" si="327"/>
        <v>B</v>
      </c>
      <c r="T304" s="436" t="str">
        <f t="shared" si="327"/>
        <v>F</v>
      </c>
      <c r="U304" s="436" t="str">
        <f t="shared" si="327"/>
        <v>A</v>
      </c>
      <c r="V304" s="436" t="str">
        <f t="shared" si="327"/>
        <v>H</v>
      </c>
      <c r="W304" s="436" t="str">
        <f t="shared" si="327"/>
        <v>I</v>
      </c>
      <c r="X304" s="436" t="str">
        <f t="shared" si="327"/>
        <v>K</v>
      </c>
      <c r="Y304" s="446">
        <f t="shared" ca="1" si="280"/>
        <v>4</v>
      </c>
    </row>
    <row r="305" spans="1:25" ht="14.25" customHeight="1" x14ac:dyDescent="0.25">
      <c r="A305" s="379" t="s">
        <v>640</v>
      </c>
      <c r="F305" s="379">
        <v>304</v>
      </c>
      <c r="G305" s="379" t="s">
        <v>325</v>
      </c>
      <c r="H305" s="379" t="s">
        <v>326</v>
      </c>
      <c r="I305" s="379" t="s">
        <v>337</v>
      </c>
      <c r="J305" s="379" t="s">
        <v>328</v>
      </c>
      <c r="K305" s="379" t="s">
        <v>334</v>
      </c>
      <c r="L305" s="379" t="s">
        <v>330</v>
      </c>
      <c r="M305" s="379" t="s">
        <v>331</v>
      </c>
      <c r="N305" s="379" t="s">
        <v>332</v>
      </c>
      <c r="P305" s="379">
        <f t="shared" si="278"/>
        <v>304</v>
      </c>
      <c r="Q305" s="445" t="str">
        <f t="shared" ref="Q305:X305" si="328">+RIGHT(G305,1)</f>
        <v>E</v>
      </c>
      <c r="R305" s="436" t="str">
        <f t="shared" si="328"/>
        <v>J</v>
      </c>
      <c r="S305" s="436" t="str">
        <f t="shared" si="328"/>
        <v>B</v>
      </c>
      <c r="T305" s="436" t="str">
        <f t="shared" si="328"/>
        <v>F</v>
      </c>
      <c r="U305" s="436" t="str">
        <f t="shared" si="328"/>
        <v>A</v>
      </c>
      <c r="V305" s="436" t="str">
        <f t="shared" si="328"/>
        <v>G</v>
      </c>
      <c r="W305" s="436" t="str">
        <f t="shared" si="328"/>
        <v>L</v>
      </c>
      <c r="X305" s="436" t="str">
        <f t="shared" si="328"/>
        <v>K</v>
      </c>
      <c r="Y305" s="446">
        <f t="shared" ca="1" si="280"/>
        <v>4</v>
      </c>
    </row>
    <row r="306" spans="1:25" ht="14.25" customHeight="1" x14ac:dyDescent="0.25">
      <c r="A306" s="379" t="s">
        <v>641</v>
      </c>
      <c r="F306" s="379">
        <v>305</v>
      </c>
      <c r="G306" s="379" t="s">
        <v>325</v>
      </c>
      <c r="H306" s="379" t="s">
        <v>330</v>
      </c>
      <c r="I306" s="379" t="s">
        <v>337</v>
      </c>
      <c r="J306" s="379" t="s">
        <v>334</v>
      </c>
      <c r="K306" s="379" t="s">
        <v>327</v>
      </c>
      <c r="L306" s="379" t="s">
        <v>328</v>
      </c>
      <c r="M306" s="379" t="s">
        <v>331</v>
      </c>
      <c r="N306" s="379" t="s">
        <v>332</v>
      </c>
      <c r="P306" s="379">
        <f t="shared" si="278"/>
        <v>305</v>
      </c>
      <c r="Q306" s="445" t="str">
        <f t="shared" ref="Q306:X306" si="329">+RIGHT(G306,1)</f>
        <v>E</v>
      </c>
      <c r="R306" s="436" t="str">
        <f t="shared" si="329"/>
        <v>G</v>
      </c>
      <c r="S306" s="436" t="str">
        <f t="shared" si="329"/>
        <v>B</v>
      </c>
      <c r="T306" s="436" t="str">
        <f t="shared" si="329"/>
        <v>A</v>
      </c>
      <c r="U306" s="436" t="str">
        <f t="shared" si="329"/>
        <v>I</v>
      </c>
      <c r="V306" s="436" t="str">
        <f t="shared" si="329"/>
        <v>F</v>
      </c>
      <c r="W306" s="436" t="str">
        <f t="shared" si="329"/>
        <v>L</v>
      </c>
      <c r="X306" s="436" t="str">
        <f t="shared" si="329"/>
        <v>K</v>
      </c>
      <c r="Y306" s="446">
        <f t="shared" ca="1" si="280"/>
        <v>5</v>
      </c>
    </row>
    <row r="307" spans="1:25" ht="14.25" customHeight="1" x14ac:dyDescent="0.25">
      <c r="A307" s="379" t="s">
        <v>642</v>
      </c>
      <c r="F307" s="379">
        <v>306</v>
      </c>
      <c r="G307" s="379" t="s">
        <v>325</v>
      </c>
      <c r="H307" s="379" t="s">
        <v>326</v>
      </c>
      <c r="I307" s="379" t="s">
        <v>337</v>
      </c>
      <c r="J307" s="379" t="s">
        <v>328</v>
      </c>
      <c r="K307" s="379" t="s">
        <v>334</v>
      </c>
      <c r="L307" s="379" t="s">
        <v>330</v>
      </c>
      <c r="M307" s="379" t="s">
        <v>331</v>
      </c>
      <c r="N307" s="379" t="s">
        <v>327</v>
      </c>
      <c r="P307" s="379">
        <f t="shared" si="278"/>
        <v>306</v>
      </c>
      <c r="Q307" s="445" t="str">
        <f t="shared" ref="Q307:X307" si="330">+RIGHT(G307,1)</f>
        <v>E</v>
      </c>
      <c r="R307" s="436" t="str">
        <f t="shared" si="330"/>
        <v>J</v>
      </c>
      <c r="S307" s="436" t="str">
        <f t="shared" si="330"/>
        <v>B</v>
      </c>
      <c r="T307" s="436" t="str">
        <f t="shared" si="330"/>
        <v>F</v>
      </c>
      <c r="U307" s="436" t="str">
        <f t="shared" si="330"/>
        <v>A</v>
      </c>
      <c r="V307" s="436" t="str">
        <f t="shared" si="330"/>
        <v>G</v>
      </c>
      <c r="W307" s="436" t="str">
        <f t="shared" si="330"/>
        <v>L</v>
      </c>
      <c r="X307" s="436" t="str">
        <f t="shared" si="330"/>
        <v>I</v>
      </c>
      <c r="Y307" s="446">
        <f t="shared" ca="1" si="280"/>
        <v>5</v>
      </c>
    </row>
    <row r="308" spans="1:25" ht="14.25" customHeight="1" x14ac:dyDescent="0.25">
      <c r="A308" s="379" t="s">
        <v>643</v>
      </c>
      <c r="F308" s="379">
        <v>307</v>
      </c>
      <c r="G308" s="379" t="s">
        <v>325</v>
      </c>
      <c r="H308" s="379" t="s">
        <v>326</v>
      </c>
      <c r="I308" s="379" t="s">
        <v>337</v>
      </c>
      <c r="J308" s="379" t="s">
        <v>328</v>
      </c>
      <c r="K308" s="379" t="s">
        <v>334</v>
      </c>
      <c r="L308" s="379" t="s">
        <v>330</v>
      </c>
      <c r="M308" s="379" t="s">
        <v>327</v>
      </c>
      <c r="N308" s="379" t="s">
        <v>332</v>
      </c>
      <c r="P308" s="379">
        <f t="shared" si="278"/>
        <v>307</v>
      </c>
      <c r="Q308" s="445" t="str">
        <f t="shared" ref="Q308:X308" si="331">+RIGHT(G308,1)</f>
        <v>E</v>
      </c>
      <c r="R308" s="436" t="str">
        <f t="shared" si="331"/>
        <v>J</v>
      </c>
      <c r="S308" s="436" t="str">
        <f t="shared" si="331"/>
        <v>B</v>
      </c>
      <c r="T308" s="436" t="str">
        <f t="shared" si="331"/>
        <v>F</v>
      </c>
      <c r="U308" s="436" t="str">
        <f t="shared" si="331"/>
        <v>A</v>
      </c>
      <c r="V308" s="436" t="str">
        <f t="shared" si="331"/>
        <v>G</v>
      </c>
      <c r="W308" s="436" t="str">
        <f t="shared" si="331"/>
        <v>I</v>
      </c>
      <c r="X308" s="436" t="str">
        <f t="shared" si="331"/>
        <v>K</v>
      </c>
      <c r="Y308" s="446">
        <f t="shared" ca="1" si="280"/>
        <v>4</v>
      </c>
    </row>
    <row r="309" spans="1:25" ht="14.25" customHeight="1" x14ac:dyDescent="0.25">
      <c r="A309" s="379" t="s">
        <v>644</v>
      </c>
      <c r="F309" s="379">
        <v>308</v>
      </c>
      <c r="G309" s="379" t="s">
        <v>325</v>
      </c>
      <c r="H309" s="379" t="s">
        <v>330</v>
      </c>
      <c r="I309" s="379" t="s">
        <v>337</v>
      </c>
      <c r="J309" s="379" t="s">
        <v>328</v>
      </c>
      <c r="K309" s="379" t="s">
        <v>334</v>
      </c>
      <c r="L309" s="379" t="s">
        <v>329</v>
      </c>
      <c r="M309" s="379" t="s">
        <v>331</v>
      </c>
      <c r="N309" s="379" t="s">
        <v>332</v>
      </c>
      <c r="P309" s="379">
        <f t="shared" si="278"/>
        <v>308</v>
      </c>
      <c r="Q309" s="445" t="str">
        <f t="shared" ref="Q309:X309" si="332">+RIGHT(G309,1)</f>
        <v>E</v>
      </c>
      <c r="R309" s="436" t="str">
        <f t="shared" si="332"/>
        <v>G</v>
      </c>
      <c r="S309" s="436" t="str">
        <f t="shared" si="332"/>
        <v>B</v>
      </c>
      <c r="T309" s="436" t="str">
        <f t="shared" si="332"/>
        <v>F</v>
      </c>
      <c r="U309" s="436" t="str">
        <f t="shared" si="332"/>
        <v>A</v>
      </c>
      <c r="V309" s="436" t="str">
        <f t="shared" si="332"/>
        <v>H</v>
      </c>
      <c r="W309" s="436" t="str">
        <f t="shared" si="332"/>
        <v>L</v>
      </c>
      <c r="X309" s="436" t="str">
        <f t="shared" si="332"/>
        <v>K</v>
      </c>
      <c r="Y309" s="446">
        <f t="shared" ca="1" si="280"/>
        <v>5</v>
      </c>
    </row>
    <row r="310" spans="1:25" ht="14.25" customHeight="1" x14ac:dyDescent="0.25">
      <c r="A310" s="379" t="s">
        <v>645</v>
      </c>
      <c r="F310" s="379">
        <v>309</v>
      </c>
      <c r="G310" s="379" t="s">
        <v>329</v>
      </c>
      <c r="H310" s="379" t="s">
        <v>326</v>
      </c>
      <c r="I310" s="379" t="s">
        <v>337</v>
      </c>
      <c r="J310" s="379" t="s">
        <v>328</v>
      </c>
      <c r="K310" s="379" t="s">
        <v>334</v>
      </c>
      <c r="L310" s="379" t="s">
        <v>330</v>
      </c>
      <c r="M310" s="379" t="s">
        <v>331</v>
      </c>
      <c r="N310" s="379" t="s">
        <v>325</v>
      </c>
      <c r="P310" s="379">
        <f t="shared" si="278"/>
        <v>309</v>
      </c>
      <c r="Q310" s="445" t="str">
        <f t="shared" ref="Q310:X310" si="333">+RIGHT(G310,1)</f>
        <v>H</v>
      </c>
      <c r="R310" s="436" t="str">
        <f t="shared" si="333"/>
        <v>J</v>
      </c>
      <c r="S310" s="436" t="str">
        <f t="shared" si="333"/>
        <v>B</v>
      </c>
      <c r="T310" s="436" t="str">
        <f t="shared" si="333"/>
        <v>F</v>
      </c>
      <c r="U310" s="436" t="str">
        <f t="shared" si="333"/>
        <v>A</v>
      </c>
      <c r="V310" s="436" t="str">
        <f t="shared" si="333"/>
        <v>G</v>
      </c>
      <c r="W310" s="436" t="str">
        <f t="shared" si="333"/>
        <v>L</v>
      </c>
      <c r="X310" s="436" t="str">
        <f t="shared" si="333"/>
        <v>E</v>
      </c>
      <c r="Y310" s="446">
        <f t="shared" ca="1" si="280"/>
        <v>5</v>
      </c>
    </row>
    <row r="311" spans="1:25" ht="14.25" customHeight="1" x14ac:dyDescent="0.25">
      <c r="A311" s="379" t="s">
        <v>646</v>
      </c>
      <c r="F311" s="379">
        <v>310</v>
      </c>
      <c r="G311" s="379" t="s">
        <v>329</v>
      </c>
      <c r="H311" s="379" t="s">
        <v>326</v>
      </c>
      <c r="I311" s="379" t="s">
        <v>337</v>
      </c>
      <c r="J311" s="379" t="s">
        <v>328</v>
      </c>
      <c r="K311" s="379" t="s">
        <v>334</v>
      </c>
      <c r="L311" s="379" t="s">
        <v>330</v>
      </c>
      <c r="M311" s="379" t="s">
        <v>325</v>
      </c>
      <c r="N311" s="379" t="s">
        <v>332</v>
      </c>
      <c r="P311" s="379">
        <f t="shared" si="278"/>
        <v>310</v>
      </c>
      <c r="Q311" s="445" t="str">
        <f t="shared" ref="Q311:X311" si="334">+RIGHT(G311,1)</f>
        <v>H</v>
      </c>
      <c r="R311" s="436" t="str">
        <f t="shared" si="334"/>
        <v>J</v>
      </c>
      <c r="S311" s="436" t="str">
        <f t="shared" si="334"/>
        <v>B</v>
      </c>
      <c r="T311" s="436" t="str">
        <f t="shared" si="334"/>
        <v>F</v>
      </c>
      <c r="U311" s="436" t="str">
        <f t="shared" si="334"/>
        <v>A</v>
      </c>
      <c r="V311" s="436" t="str">
        <f t="shared" si="334"/>
        <v>G</v>
      </c>
      <c r="W311" s="436" t="str">
        <f t="shared" si="334"/>
        <v>E</v>
      </c>
      <c r="X311" s="436" t="str">
        <f t="shared" si="334"/>
        <v>K</v>
      </c>
      <c r="Y311" s="446">
        <f t="shared" ca="1" si="280"/>
        <v>4</v>
      </c>
    </row>
    <row r="312" spans="1:25" ht="14.25" customHeight="1" x14ac:dyDescent="0.25">
      <c r="A312" s="379" t="s">
        <v>647</v>
      </c>
      <c r="F312" s="379">
        <v>311</v>
      </c>
      <c r="G312" s="379" t="s">
        <v>325</v>
      </c>
      <c r="H312" s="379" t="s">
        <v>330</v>
      </c>
      <c r="I312" s="379" t="s">
        <v>337</v>
      </c>
      <c r="J312" s="379" t="s">
        <v>328</v>
      </c>
      <c r="K312" s="379" t="s">
        <v>334</v>
      </c>
      <c r="L312" s="379" t="s">
        <v>329</v>
      </c>
      <c r="M312" s="379" t="s">
        <v>331</v>
      </c>
      <c r="N312" s="379" t="s">
        <v>327</v>
      </c>
      <c r="P312" s="379">
        <f t="shared" si="278"/>
        <v>311</v>
      </c>
      <c r="Q312" s="445" t="str">
        <f t="shared" ref="Q312:X312" si="335">+RIGHT(G312,1)</f>
        <v>E</v>
      </c>
      <c r="R312" s="436" t="str">
        <f t="shared" si="335"/>
        <v>G</v>
      </c>
      <c r="S312" s="436" t="str">
        <f t="shared" si="335"/>
        <v>B</v>
      </c>
      <c r="T312" s="436" t="str">
        <f t="shared" si="335"/>
        <v>F</v>
      </c>
      <c r="U312" s="436" t="str">
        <f t="shared" si="335"/>
        <v>A</v>
      </c>
      <c r="V312" s="436" t="str">
        <f t="shared" si="335"/>
        <v>H</v>
      </c>
      <c r="W312" s="436" t="str">
        <f t="shared" si="335"/>
        <v>L</v>
      </c>
      <c r="X312" s="436" t="str">
        <f t="shared" si="335"/>
        <v>I</v>
      </c>
      <c r="Y312" s="446">
        <f t="shared" ca="1" si="280"/>
        <v>6</v>
      </c>
    </row>
    <row r="313" spans="1:25" ht="14.25" customHeight="1" x14ac:dyDescent="0.25">
      <c r="A313" s="379" t="s">
        <v>648</v>
      </c>
      <c r="F313" s="379">
        <v>312</v>
      </c>
      <c r="G313" s="379" t="s">
        <v>325</v>
      </c>
      <c r="H313" s="379" t="s">
        <v>330</v>
      </c>
      <c r="I313" s="379" t="s">
        <v>337</v>
      </c>
      <c r="J313" s="379" t="s">
        <v>328</v>
      </c>
      <c r="K313" s="379" t="s">
        <v>334</v>
      </c>
      <c r="L313" s="379" t="s">
        <v>329</v>
      </c>
      <c r="M313" s="379" t="s">
        <v>327</v>
      </c>
      <c r="N313" s="379" t="s">
        <v>332</v>
      </c>
      <c r="P313" s="379">
        <f t="shared" si="278"/>
        <v>312</v>
      </c>
      <c r="Q313" s="445" t="str">
        <f t="shared" ref="Q313:X313" si="336">+RIGHT(G313,1)</f>
        <v>E</v>
      </c>
      <c r="R313" s="436" t="str">
        <f t="shared" si="336"/>
        <v>G</v>
      </c>
      <c r="S313" s="436" t="str">
        <f t="shared" si="336"/>
        <v>B</v>
      </c>
      <c r="T313" s="436" t="str">
        <f t="shared" si="336"/>
        <v>F</v>
      </c>
      <c r="U313" s="436" t="str">
        <f t="shared" si="336"/>
        <v>A</v>
      </c>
      <c r="V313" s="436" t="str">
        <f t="shared" si="336"/>
        <v>H</v>
      </c>
      <c r="W313" s="436" t="str">
        <f t="shared" si="336"/>
        <v>I</v>
      </c>
      <c r="X313" s="436" t="str">
        <f t="shared" si="336"/>
        <v>K</v>
      </c>
      <c r="Y313" s="446">
        <f t="shared" ca="1" si="280"/>
        <v>5</v>
      </c>
    </row>
    <row r="314" spans="1:25" ht="14.25" customHeight="1" x14ac:dyDescent="0.25">
      <c r="A314" s="379" t="s">
        <v>649</v>
      </c>
      <c r="F314" s="379">
        <v>313</v>
      </c>
      <c r="G314" s="379" t="s">
        <v>329</v>
      </c>
      <c r="H314" s="379" t="s">
        <v>326</v>
      </c>
      <c r="I314" s="379" t="s">
        <v>337</v>
      </c>
      <c r="J314" s="379" t="s">
        <v>328</v>
      </c>
      <c r="K314" s="379" t="s">
        <v>334</v>
      </c>
      <c r="L314" s="379" t="s">
        <v>330</v>
      </c>
      <c r="M314" s="379" t="s">
        <v>325</v>
      </c>
      <c r="N314" s="379" t="s">
        <v>327</v>
      </c>
      <c r="P314" s="379">
        <f t="shared" si="278"/>
        <v>313</v>
      </c>
      <c r="Q314" s="445" t="str">
        <f t="shared" ref="Q314:X314" si="337">+RIGHT(G314,1)</f>
        <v>H</v>
      </c>
      <c r="R314" s="436" t="str">
        <f t="shared" si="337"/>
        <v>J</v>
      </c>
      <c r="S314" s="436" t="str">
        <f t="shared" si="337"/>
        <v>B</v>
      </c>
      <c r="T314" s="436" t="str">
        <f t="shared" si="337"/>
        <v>F</v>
      </c>
      <c r="U314" s="436" t="str">
        <f t="shared" si="337"/>
        <v>A</v>
      </c>
      <c r="V314" s="436" t="str">
        <f t="shared" si="337"/>
        <v>G</v>
      </c>
      <c r="W314" s="436" t="str">
        <f t="shared" si="337"/>
        <v>E</v>
      </c>
      <c r="X314" s="436" t="str">
        <f t="shared" si="337"/>
        <v>I</v>
      </c>
      <c r="Y314" s="446">
        <f t="shared" ca="1" si="280"/>
        <v>5</v>
      </c>
    </row>
    <row r="315" spans="1:25" ht="14.25" customHeight="1" x14ac:dyDescent="0.25">
      <c r="A315" s="379" t="s">
        <v>650</v>
      </c>
      <c r="F315" s="379">
        <v>314</v>
      </c>
      <c r="G315" s="379" t="s">
        <v>327</v>
      </c>
      <c r="H315" s="379" t="s">
        <v>326</v>
      </c>
      <c r="I315" s="379" t="s">
        <v>337</v>
      </c>
      <c r="J315" s="379" t="s">
        <v>336</v>
      </c>
      <c r="K315" s="379" t="s">
        <v>334</v>
      </c>
      <c r="L315" s="379" t="s">
        <v>329</v>
      </c>
      <c r="M315" s="379" t="s">
        <v>331</v>
      </c>
      <c r="N315" s="379" t="s">
        <v>332</v>
      </c>
      <c r="P315" s="379">
        <f t="shared" si="278"/>
        <v>314</v>
      </c>
      <c r="Q315" s="445" t="str">
        <f t="shared" ref="Q315:X315" si="338">+RIGHT(G315,1)</f>
        <v>I</v>
      </c>
      <c r="R315" s="436" t="str">
        <f t="shared" si="338"/>
        <v>J</v>
      </c>
      <c r="S315" s="436" t="str">
        <f t="shared" si="338"/>
        <v>B</v>
      </c>
      <c r="T315" s="436" t="str">
        <f t="shared" si="338"/>
        <v>D</v>
      </c>
      <c r="U315" s="436" t="str">
        <f t="shared" si="338"/>
        <v>A</v>
      </c>
      <c r="V315" s="436" t="str">
        <f t="shared" si="338"/>
        <v>H</v>
      </c>
      <c r="W315" s="436" t="str">
        <f t="shared" si="338"/>
        <v>L</v>
      </c>
      <c r="X315" s="436" t="str">
        <f t="shared" si="338"/>
        <v>K</v>
      </c>
      <c r="Y315" s="446">
        <f t="shared" ca="1" si="280"/>
        <v>5</v>
      </c>
    </row>
    <row r="316" spans="1:25" ht="14.25" customHeight="1" x14ac:dyDescent="0.25">
      <c r="A316" s="379" t="s">
        <v>651</v>
      </c>
      <c r="F316" s="379">
        <v>315</v>
      </c>
      <c r="G316" s="379" t="s">
        <v>327</v>
      </c>
      <c r="H316" s="379" t="s">
        <v>326</v>
      </c>
      <c r="I316" s="379" t="s">
        <v>337</v>
      </c>
      <c r="J316" s="379" t="s">
        <v>336</v>
      </c>
      <c r="K316" s="379" t="s">
        <v>334</v>
      </c>
      <c r="L316" s="379" t="s">
        <v>330</v>
      </c>
      <c r="M316" s="379" t="s">
        <v>331</v>
      </c>
      <c r="N316" s="379" t="s">
        <v>332</v>
      </c>
      <c r="P316" s="379">
        <f t="shared" si="278"/>
        <v>315</v>
      </c>
      <c r="Q316" s="445" t="str">
        <f t="shared" ref="Q316:X316" si="339">+RIGHT(G316,1)</f>
        <v>I</v>
      </c>
      <c r="R316" s="436" t="str">
        <f t="shared" si="339"/>
        <v>J</v>
      </c>
      <c r="S316" s="436" t="str">
        <f t="shared" si="339"/>
        <v>B</v>
      </c>
      <c r="T316" s="436" t="str">
        <f t="shared" si="339"/>
        <v>D</v>
      </c>
      <c r="U316" s="436" t="str">
        <f t="shared" si="339"/>
        <v>A</v>
      </c>
      <c r="V316" s="436" t="str">
        <f t="shared" si="339"/>
        <v>G</v>
      </c>
      <c r="W316" s="436" t="str">
        <f t="shared" si="339"/>
        <v>L</v>
      </c>
      <c r="X316" s="436" t="str">
        <f t="shared" si="339"/>
        <v>K</v>
      </c>
      <c r="Y316" s="446">
        <f t="shared" ca="1" si="280"/>
        <v>5</v>
      </c>
    </row>
    <row r="317" spans="1:25" ht="14.25" customHeight="1" x14ac:dyDescent="0.25">
      <c r="A317" s="379" t="s">
        <v>652</v>
      </c>
      <c r="F317" s="379">
        <v>316</v>
      </c>
      <c r="G317" s="379" t="s">
        <v>329</v>
      </c>
      <c r="H317" s="379" t="s">
        <v>326</v>
      </c>
      <c r="I317" s="379" t="s">
        <v>337</v>
      </c>
      <c r="J317" s="379" t="s">
        <v>336</v>
      </c>
      <c r="K317" s="379" t="s">
        <v>334</v>
      </c>
      <c r="L317" s="379" t="s">
        <v>330</v>
      </c>
      <c r="M317" s="379" t="s">
        <v>331</v>
      </c>
      <c r="N317" s="379" t="s">
        <v>332</v>
      </c>
      <c r="P317" s="379">
        <f t="shared" si="278"/>
        <v>316</v>
      </c>
      <c r="Q317" s="445" t="str">
        <f t="shared" ref="Q317:X317" si="340">+RIGHT(G317,1)</f>
        <v>H</v>
      </c>
      <c r="R317" s="436" t="str">
        <f t="shared" si="340"/>
        <v>J</v>
      </c>
      <c r="S317" s="436" t="str">
        <f t="shared" si="340"/>
        <v>B</v>
      </c>
      <c r="T317" s="436" t="str">
        <f t="shared" si="340"/>
        <v>D</v>
      </c>
      <c r="U317" s="436" t="str">
        <f t="shared" si="340"/>
        <v>A</v>
      </c>
      <c r="V317" s="436" t="str">
        <f t="shared" si="340"/>
        <v>G</v>
      </c>
      <c r="W317" s="436" t="str">
        <f t="shared" si="340"/>
        <v>L</v>
      </c>
      <c r="X317" s="436" t="str">
        <f t="shared" si="340"/>
        <v>K</v>
      </c>
      <c r="Y317" s="446">
        <f t="shared" ca="1" si="280"/>
        <v>5</v>
      </c>
    </row>
    <row r="318" spans="1:25" ht="14.25" customHeight="1" x14ac:dyDescent="0.25">
      <c r="A318" s="379" t="s">
        <v>653</v>
      </c>
      <c r="F318" s="379">
        <v>317</v>
      </c>
      <c r="G318" s="379" t="s">
        <v>327</v>
      </c>
      <c r="H318" s="379" t="s">
        <v>330</v>
      </c>
      <c r="I318" s="379" t="s">
        <v>337</v>
      </c>
      <c r="J318" s="379" t="s">
        <v>336</v>
      </c>
      <c r="K318" s="379" t="s">
        <v>334</v>
      </c>
      <c r="L318" s="379" t="s">
        <v>329</v>
      </c>
      <c r="M318" s="379" t="s">
        <v>331</v>
      </c>
      <c r="N318" s="379" t="s">
        <v>332</v>
      </c>
      <c r="P318" s="379">
        <f t="shared" si="278"/>
        <v>317</v>
      </c>
      <c r="Q318" s="445" t="str">
        <f t="shared" ref="Q318:X318" si="341">+RIGHT(G318,1)</f>
        <v>I</v>
      </c>
      <c r="R318" s="436" t="str">
        <f t="shared" si="341"/>
        <v>G</v>
      </c>
      <c r="S318" s="436" t="str">
        <f t="shared" si="341"/>
        <v>B</v>
      </c>
      <c r="T318" s="436" t="str">
        <f t="shared" si="341"/>
        <v>D</v>
      </c>
      <c r="U318" s="436" t="str">
        <f t="shared" si="341"/>
        <v>A</v>
      </c>
      <c r="V318" s="436" t="str">
        <f t="shared" si="341"/>
        <v>H</v>
      </c>
      <c r="W318" s="436" t="str">
        <f t="shared" si="341"/>
        <v>L</v>
      </c>
      <c r="X318" s="436" t="str">
        <f t="shared" si="341"/>
        <v>K</v>
      </c>
      <c r="Y318" s="446">
        <f t="shared" ca="1" si="280"/>
        <v>6</v>
      </c>
    </row>
    <row r="319" spans="1:25" ht="14.25" customHeight="1" x14ac:dyDescent="0.25">
      <c r="A319" s="379" t="s">
        <v>654</v>
      </c>
      <c r="F319" s="379">
        <v>318</v>
      </c>
      <c r="G319" s="379" t="s">
        <v>329</v>
      </c>
      <c r="H319" s="379" t="s">
        <v>326</v>
      </c>
      <c r="I319" s="379" t="s">
        <v>337</v>
      </c>
      <c r="J319" s="379" t="s">
        <v>336</v>
      </c>
      <c r="K319" s="379" t="s">
        <v>334</v>
      </c>
      <c r="L319" s="379" t="s">
        <v>330</v>
      </c>
      <c r="M319" s="379" t="s">
        <v>331</v>
      </c>
      <c r="N319" s="379" t="s">
        <v>327</v>
      </c>
      <c r="P319" s="379">
        <f t="shared" si="278"/>
        <v>318</v>
      </c>
      <c r="Q319" s="445" t="str">
        <f t="shared" ref="Q319:X319" si="342">+RIGHT(G319,1)</f>
        <v>H</v>
      </c>
      <c r="R319" s="436" t="str">
        <f t="shared" si="342"/>
        <v>J</v>
      </c>
      <c r="S319" s="436" t="str">
        <f t="shared" si="342"/>
        <v>B</v>
      </c>
      <c r="T319" s="436" t="str">
        <f t="shared" si="342"/>
        <v>D</v>
      </c>
      <c r="U319" s="436" t="str">
        <f t="shared" si="342"/>
        <v>A</v>
      </c>
      <c r="V319" s="436" t="str">
        <f t="shared" si="342"/>
        <v>G</v>
      </c>
      <c r="W319" s="436" t="str">
        <f t="shared" si="342"/>
        <v>L</v>
      </c>
      <c r="X319" s="436" t="str">
        <f t="shared" si="342"/>
        <v>I</v>
      </c>
      <c r="Y319" s="446">
        <f t="shared" ca="1" si="280"/>
        <v>6</v>
      </c>
    </row>
    <row r="320" spans="1:25" ht="14.25" customHeight="1" x14ac:dyDescent="0.25">
      <c r="A320" s="379" t="s">
        <v>655</v>
      </c>
      <c r="F320" s="379">
        <v>319</v>
      </c>
      <c r="G320" s="379" t="s">
        <v>329</v>
      </c>
      <c r="H320" s="379" t="s">
        <v>326</v>
      </c>
      <c r="I320" s="379" t="s">
        <v>337</v>
      </c>
      <c r="J320" s="379" t="s">
        <v>336</v>
      </c>
      <c r="K320" s="379" t="s">
        <v>334</v>
      </c>
      <c r="L320" s="379" t="s">
        <v>330</v>
      </c>
      <c r="M320" s="379" t="s">
        <v>327</v>
      </c>
      <c r="N320" s="379" t="s">
        <v>332</v>
      </c>
      <c r="P320" s="379">
        <f t="shared" si="278"/>
        <v>319</v>
      </c>
      <c r="Q320" s="445" t="str">
        <f t="shared" ref="Q320:X320" si="343">+RIGHT(G320,1)</f>
        <v>H</v>
      </c>
      <c r="R320" s="436" t="str">
        <f t="shared" si="343"/>
        <v>J</v>
      </c>
      <c r="S320" s="436" t="str">
        <f t="shared" si="343"/>
        <v>B</v>
      </c>
      <c r="T320" s="436" t="str">
        <f t="shared" si="343"/>
        <v>D</v>
      </c>
      <c r="U320" s="436" t="str">
        <f t="shared" si="343"/>
        <v>A</v>
      </c>
      <c r="V320" s="436" t="str">
        <f t="shared" si="343"/>
        <v>G</v>
      </c>
      <c r="W320" s="436" t="str">
        <f t="shared" si="343"/>
        <v>I</v>
      </c>
      <c r="X320" s="436" t="str">
        <f t="shared" si="343"/>
        <v>K</v>
      </c>
      <c r="Y320" s="446">
        <f t="shared" ca="1" si="280"/>
        <v>5</v>
      </c>
    </row>
    <row r="321" spans="1:25" ht="14.25" customHeight="1" x14ac:dyDescent="0.25">
      <c r="A321" s="379" t="s">
        <v>656</v>
      </c>
      <c r="F321" s="379">
        <v>320</v>
      </c>
      <c r="G321" s="379" t="s">
        <v>327</v>
      </c>
      <c r="H321" s="379" t="s">
        <v>326</v>
      </c>
      <c r="I321" s="379" t="s">
        <v>337</v>
      </c>
      <c r="J321" s="379" t="s">
        <v>336</v>
      </c>
      <c r="K321" s="379" t="s">
        <v>334</v>
      </c>
      <c r="L321" s="379" t="s">
        <v>328</v>
      </c>
      <c r="M321" s="379" t="s">
        <v>331</v>
      </c>
      <c r="N321" s="379" t="s">
        <v>332</v>
      </c>
      <c r="P321" s="379">
        <f t="shared" si="278"/>
        <v>320</v>
      </c>
      <c r="Q321" s="445" t="str">
        <f t="shared" ref="Q321:X321" si="344">+RIGHT(G321,1)</f>
        <v>I</v>
      </c>
      <c r="R321" s="436" t="str">
        <f t="shared" si="344"/>
        <v>J</v>
      </c>
      <c r="S321" s="436" t="str">
        <f t="shared" si="344"/>
        <v>B</v>
      </c>
      <c r="T321" s="436" t="str">
        <f t="shared" si="344"/>
        <v>D</v>
      </c>
      <c r="U321" s="436" t="str">
        <f t="shared" si="344"/>
        <v>A</v>
      </c>
      <c r="V321" s="436" t="str">
        <f t="shared" si="344"/>
        <v>F</v>
      </c>
      <c r="W321" s="436" t="str">
        <f t="shared" si="344"/>
        <v>L</v>
      </c>
      <c r="X321" s="436" t="str">
        <f t="shared" si="344"/>
        <v>K</v>
      </c>
      <c r="Y321" s="446">
        <f t="shared" ca="1" si="280"/>
        <v>5</v>
      </c>
    </row>
    <row r="322" spans="1:25" ht="14.25" customHeight="1" x14ac:dyDescent="0.25">
      <c r="A322" s="379" t="s">
        <v>657</v>
      </c>
      <c r="F322" s="379">
        <v>321</v>
      </c>
      <c r="G322" s="379" t="s">
        <v>329</v>
      </c>
      <c r="H322" s="379" t="s">
        <v>326</v>
      </c>
      <c r="I322" s="379" t="s">
        <v>337</v>
      </c>
      <c r="J322" s="379" t="s">
        <v>336</v>
      </c>
      <c r="K322" s="379" t="s">
        <v>334</v>
      </c>
      <c r="L322" s="379" t="s">
        <v>328</v>
      </c>
      <c r="M322" s="379" t="s">
        <v>331</v>
      </c>
      <c r="N322" s="379" t="s">
        <v>332</v>
      </c>
      <c r="P322" s="379">
        <f t="shared" si="278"/>
        <v>321</v>
      </c>
      <c r="Q322" s="445" t="str">
        <f t="shared" ref="Q322:X322" si="345">+RIGHT(G322,1)</f>
        <v>H</v>
      </c>
      <c r="R322" s="436" t="str">
        <f t="shared" si="345"/>
        <v>J</v>
      </c>
      <c r="S322" s="436" t="str">
        <f t="shared" si="345"/>
        <v>B</v>
      </c>
      <c r="T322" s="436" t="str">
        <f t="shared" si="345"/>
        <v>D</v>
      </c>
      <c r="U322" s="436" t="str">
        <f t="shared" si="345"/>
        <v>A</v>
      </c>
      <c r="V322" s="436" t="str">
        <f t="shared" si="345"/>
        <v>F</v>
      </c>
      <c r="W322" s="436" t="str">
        <f t="shared" si="345"/>
        <v>L</v>
      </c>
      <c r="X322" s="436" t="str">
        <f t="shared" si="345"/>
        <v>K</v>
      </c>
      <c r="Y322" s="446">
        <f t="shared" ca="1" si="280"/>
        <v>5</v>
      </c>
    </row>
    <row r="323" spans="1:25" ht="14.25" customHeight="1" x14ac:dyDescent="0.25">
      <c r="A323" s="379" t="s">
        <v>658</v>
      </c>
      <c r="F323" s="379">
        <v>322</v>
      </c>
      <c r="G323" s="379" t="s">
        <v>329</v>
      </c>
      <c r="H323" s="379" t="s">
        <v>327</v>
      </c>
      <c r="I323" s="379" t="s">
        <v>337</v>
      </c>
      <c r="J323" s="379" t="s">
        <v>336</v>
      </c>
      <c r="K323" s="379" t="s">
        <v>334</v>
      </c>
      <c r="L323" s="379" t="s">
        <v>328</v>
      </c>
      <c r="M323" s="379" t="s">
        <v>331</v>
      </c>
      <c r="N323" s="379" t="s">
        <v>332</v>
      </c>
      <c r="P323" s="379">
        <f t="shared" si="278"/>
        <v>322</v>
      </c>
      <c r="Q323" s="445" t="str">
        <f t="shared" ref="Q323:X323" si="346">+RIGHT(G323,1)</f>
        <v>H</v>
      </c>
      <c r="R323" s="436" t="str">
        <f t="shared" si="346"/>
        <v>I</v>
      </c>
      <c r="S323" s="436" t="str">
        <f t="shared" si="346"/>
        <v>B</v>
      </c>
      <c r="T323" s="436" t="str">
        <f t="shared" si="346"/>
        <v>D</v>
      </c>
      <c r="U323" s="436" t="str">
        <f t="shared" si="346"/>
        <v>A</v>
      </c>
      <c r="V323" s="436" t="str">
        <f t="shared" si="346"/>
        <v>F</v>
      </c>
      <c r="W323" s="436" t="str">
        <f t="shared" si="346"/>
        <v>L</v>
      </c>
      <c r="X323" s="436" t="str">
        <f t="shared" si="346"/>
        <v>K</v>
      </c>
      <c r="Y323" s="446">
        <f t="shared" ca="1" si="280"/>
        <v>6</v>
      </c>
    </row>
    <row r="324" spans="1:25" ht="14.25" customHeight="1" x14ac:dyDescent="0.25">
      <c r="A324" s="379" t="s">
        <v>659</v>
      </c>
      <c r="F324" s="379">
        <v>323</v>
      </c>
      <c r="G324" s="379" t="s">
        <v>329</v>
      </c>
      <c r="H324" s="379" t="s">
        <v>326</v>
      </c>
      <c r="I324" s="379" t="s">
        <v>337</v>
      </c>
      <c r="J324" s="379" t="s">
        <v>336</v>
      </c>
      <c r="K324" s="379" t="s">
        <v>334</v>
      </c>
      <c r="L324" s="379" t="s">
        <v>328</v>
      </c>
      <c r="M324" s="379" t="s">
        <v>331</v>
      </c>
      <c r="N324" s="379" t="s">
        <v>327</v>
      </c>
      <c r="P324" s="379">
        <f t="shared" si="278"/>
        <v>323</v>
      </c>
      <c r="Q324" s="445" t="str">
        <f t="shared" ref="Q324:X324" si="347">+RIGHT(G324,1)</f>
        <v>H</v>
      </c>
      <c r="R324" s="436" t="str">
        <f t="shared" si="347"/>
        <v>J</v>
      </c>
      <c r="S324" s="436" t="str">
        <f t="shared" si="347"/>
        <v>B</v>
      </c>
      <c r="T324" s="436" t="str">
        <f t="shared" si="347"/>
        <v>D</v>
      </c>
      <c r="U324" s="436" t="str">
        <f t="shared" si="347"/>
        <v>A</v>
      </c>
      <c r="V324" s="436" t="str">
        <f t="shared" si="347"/>
        <v>F</v>
      </c>
      <c r="W324" s="436" t="str">
        <f t="shared" si="347"/>
        <v>L</v>
      </c>
      <c r="X324" s="436" t="str">
        <f t="shared" si="347"/>
        <v>I</v>
      </c>
      <c r="Y324" s="446">
        <f t="shared" ca="1" si="280"/>
        <v>6</v>
      </c>
    </row>
    <row r="325" spans="1:25" ht="14.25" customHeight="1" x14ac:dyDescent="0.25">
      <c r="A325" s="379" t="s">
        <v>660</v>
      </c>
      <c r="F325" s="379">
        <v>324</v>
      </c>
      <c r="G325" s="379" t="s">
        <v>329</v>
      </c>
      <c r="H325" s="379" t="s">
        <v>326</v>
      </c>
      <c r="I325" s="379" t="s">
        <v>337</v>
      </c>
      <c r="J325" s="379" t="s">
        <v>336</v>
      </c>
      <c r="K325" s="379" t="s">
        <v>334</v>
      </c>
      <c r="L325" s="379" t="s">
        <v>328</v>
      </c>
      <c r="M325" s="379" t="s">
        <v>327</v>
      </c>
      <c r="N325" s="379" t="s">
        <v>332</v>
      </c>
      <c r="P325" s="379">
        <f t="shared" si="278"/>
        <v>324</v>
      </c>
      <c r="Q325" s="445" t="str">
        <f t="shared" ref="Q325:X325" si="348">+RIGHT(G325,1)</f>
        <v>H</v>
      </c>
      <c r="R325" s="436" t="str">
        <f t="shared" si="348"/>
        <v>J</v>
      </c>
      <c r="S325" s="436" t="str">
        <f t="shared" si="348"/>
        <v>B</v>
      </c>
      <c r="T325" s="436" t="str">
        <f t="shared" si="348"/>
        <v>D</v>
      </c>
      <c r="U325" s="436" t="str">
        <f t="shared" si="348"/>
        <v>A</v>
      </c>
      <c r="V325" s="436" t="str">
        <f t="shared" si="348"/>
        <v>F</v>
      </c>
      <c r="W325" s="436" t="str">
        <f t="shared" si="348"/>
        <v>I</v>
      </c>
      <c r="X325" s="436" t="str">
        <f t="shared" si="348"/>
        <v>K</v>
      </c>
      <c r="Y325" s="446">
        <f t="shared" ca="1" si="280"/>
        <v>5</v>
      </c>
    </row>
    <row r="326" spans="1:25" ht="14.25" customHeight="1" x14ac:dyDescent="0.25">
      <c r="A326" s="379" t="s">
        <v>661</v>
      </c>
      <c r="F326" s="379">
        <v>325</v>
      </c>
      <c r="G326" s="379" t="s">
        <v>328</v>
      </c>
      <c r="H326" s="379" t="s">
        <v>326</v>
      </c>
      <c r="I326" s="379" t="s">
        <v>337</v>
      </c>
      <c r="J326" s="379" t="s">
        <v>336</v>
      </c>
      <c r="K326" s="379" t="s">
        <v>334</v>
      </c>
      <c r="L326" s="379" t="s">
        <v>330</v>
      </c>
      <c r="M326" s="379" t="s">
        <v>331</v>
      </c>
      <c r="N326" s="379" t="s">
        <v>332</v>
      </c>
      <c r="P326" s="379">
        <f t="shared" si="278"/>
        <v>325</v>
      </c>
      <c r="Q326" s="445" t="str">
        <f t="shared" ref="Q326:X326" si="349">+RIGHT(G326,1)</f>
        <v>F</v>
      </c>
      <c r="R326" s="436" t="str">
        <f t="shared" si="349"/>
        <v>J</v>
      </c>
      <c r="S326" s="436" t="str">
        <f t="shared" si="349"/>
        <v>B</v>
      </c>
      <c r="T326" s="436" t="str">
        <f t="shared" si="349"/>
        <v>D</v>
      </c>
      <c r="U326" s="436" t="str">
        <f t="shared" si="349"/>
        <v>A</v>
      </c>
      <c r="V326" s="436" t="str">
        <f t="shared" si="349"/>
        <v>G</v>
      </c>
      <c r="W326" s="436" t="str">
        <f t="shared" si="349"/>
        <v>L</v>
      </c>
      <c r="X326" s="436" t="str">
        <f t="shared" si="349"/>
        <v>K</v>
      </c>
      <c r="Y326" s="446">
        <f t="shared" ca="1" si="280"/>
        <v>5</v>
      </c>
    </row>
    <row r="327" spans="1:25" ht="14.25" customHeight="1" x14ac:dyDescent="0.25">
      <c r="A327" s="379" t="s">
        <v>662</v>
      </c>
      <c r="F327" s="379">
        <v>326</v>
      </c>
      <c r="G327" s="379" t="s">
        <v>327</v>
      </c>
      <c r="H327" s="379" t="s">
        <v>330</v>
      </c>
      <c r="I327" s="379" t="s">
        <v>337</v>
      </c>
      <c r="J327" s="379" t="s">
        <v>336</v>
      </c>
      <c r="K327" s="379" t="s">
        <v>334</v>
      </c>
      <c r="L327" s="379" t="s">
        <v>328</v>
      </c>
      <c r="M327" s="379" t="s">
        <v>331</v>
      </c>
      <c r="N327" s="379" t="s">
        <v>332</v>
      </c>
      <c r="P327" s="379">
        <f t="shared" si="278"/>
        <v>326</v>
      </c>
      <c r="Q327" s="445" t="str">
        <f t="shared" ref="Q327:X327" si="350">+RIGHT(G327,1)</f>
        <v>I</v>
      </c>
      <c r="R327" s="436" t="str">
        <f t="shared" si="350"/>
        <v>G</v>
      </c>
      <c r="S327" s="436" t="str">
        <f t="shared" si="350"/>
        <v>B</v>
      </c>
      <c r="T327" s="436" t="str">
        <f t="shared" si="350"/>
        <v>D</v>
      </c>
      <c r="U327" s="436" t="str">
        <f t="shared" si="350"/>
        <v>A</v>
      </c>
      <c r="V327" s="436" t="str">
        <f t="shared" si="350"/>
        <v>F</v>
      </c>
      <c r="W327" s="436" t="str">
        <f t="shared" si="350"/>
        <v>L</v>
      </c>
      <c r="X327" s="436" t="str">
        <f t="shared" si="350"/>
        <v>K</v>
      </c>
      <c r="Y327" s="446">
        <f t="shared" ca="1" si="280"/>
        <v>6</v>
      </c>
    </row>
    <row r="328" spans="1:25" ht="14.25" customHeight="1" x14ac:dyDescent="0.25">
      <c r="A328" s="379" t="s">
        <v>663</v>
      </c>
      <c r="F328" s="379">
        <v>327</v>
      </c>
      <c r="G328" s="379" t="s">
        <v>328</v>
      </c>
      <c r="H328" s="379" t="s">
        <v>326</v>
      </c>
      <c r="I328" s="379" t="s">
        <v>337</v>
      </c>
      <c r="J328" s="379" t="s">
        <v>336</v>
      </c>
      <c r="K328" s="379" t="s">
        <v>334</v>
      </c>
      <c r="L328" s="379" t="s">
        <v>330</v>
      </c>
      <c r="M328" s="379" t="s">
        <v>331</v>
      </c>
      <c r="N328" s="379" t="s">
        <v>327</v>
      </c>
      <c r="P328" s="379">
        <f t="shared" si="278"/>
        <v>327</v>
      </c>
      <c r="Q328" s="445" t="str">
        <f t="shared" ref="Q328:X328" si="351">+RIGHT(G328,1)</f>
        <v>F</v>
      </c>
      <c r="R328" s="436" t="str">
        <f t="shared" si="351"/>
        <v>J</v>
      </c>
      <c r="S328" s="436" t="str">
        <f t="shared" si="351"/>
        <v>B</v>
      </c>
      <c r="T328" s="436" t="str">
        <f t="shared" si="351"/>
        <v>D</v>
      </c>
      <c r="U328" s="436" t="str">
        <f t="shared" si="351"/>
        <v>A</v>
      </c>
      <c r="V328" s="436" t="str">
        <f t="shared" si="351"/>
        <v>G</v>
      </c>
      <c r="W328" s="436" t="str">
        <f t="shared" si="351"/>
        <v>L</v>
      </c>
      <c r="X328" s="436" t="str">
        <f t="shared" si="351"/>
        <v>I</v>
      </c>
      <c r="Y328" s="446">
        <f t="shared" ca="1" si="280"/>
        <v>6</v>
      </c>
    </row>
    <row r="329" spans="1:25" ht="14.25" customHeight="1" x14ac:dyDescent="0.25">
      <c r="A329" s="379" t="s">
        <v>664</v>
      </c>
      <c r="F329" s="379">
        <v>328</v>
      </c>
      <c r="G329" s="379" t="s">
        <v>328</v>
      </c>
      <c r="H329" s="379" t="s">
        <v>326</v>
      </c>
      <c r="I329" s="379" t="s">
        <v>337</v>
      </c>
      <c r="J329" s="379" t="s">
        <v>336</v>
      </c>
      <c r="K329" s="379" t="s">
        <v>334</v>
      </c>
      <c r="L329" s="379" t="s">
        <v>330</v>
      </c>
      <c r="M329" s="379" t="s">
        <v>327</v>
      </c>
      <c r="N329" s="379" t="s">
        <v>332</v>
      </c>
      <c r="P329" s="379">
        <f t="shared" si="278"/>
        <v>328</v>
      </c>
      <c r="Q329" s="445" t="str">
        <f t="shared" ref="Q329:X329" si="352">+RIGHT(G329,1)</f>
        <v>F</v>
      </c>
      <c r="R329" s="436" t="str">
        <f t="shared" si="352"/>
        <v>J</v>
      </c>
      <c r="S329" s="436" t="str">
        <f t="shared" si="352"/>
        <v>B</v>
      </c>
      <c r="T329" s="436" t="str">
        <f t="shared" si="352"/>
        <v>D</v>
      </c>
      <c r="U329" s="436" t="str">
        <f t="shared" si="352"/>
        <v>A</v>
      </c>
      <c r="V329" s="436" t="str">
        <f t="shared" si="352"/>
        <v>G</v>
      </c>
      <c r="W329" s="436" t="str">
        <f t="shared" si="352"/>
        <v>I</v>
      </c>
      <c r="X329" s="436" t="str">
        <f t="shared" si="352"/>
        <v>K</v>
      </c>
      <c r="Y329" s="446">
        <f t="shared" ca="1" si="280"/>
        <v>5</v>
      </c>
    </row>
    <row r="330" spans="1:25" ht="14.25" customHeight="1" x14ac:dyDescent="0.25">
      <c r="A330" s="379" t="s">
        <v>665</v>
      </c>
      <c r="F330" s="379">
        <v>329</v>
      </c>
      <c r="G330" s="379" t="s">
        <v>329</v>
      </c>
      <c r="H330" s="379" t="s">
        <v>330</v>
      </c>
      <c r="I330" s="379" t="s">
        <v>337</v>
      </c>
      <c r="J330" s="379" t="s">
        <v>336</v>
      </c>
      <c r="K330" s="379" t="s">
        <v>334</v>
      </c>
      <c r="L330" s="379" t="s">
        <v>328</v>
      </c>
      <c r="M330" s="379" t="s">
        <v>331</v>
      </c>
      <c r="N330" s="379" t="s">
        <v>332</v>
      </c>
      <c r="P330" s="379">
        <f t="shared" si="278"/>
        <v>329</v>
      </c>
      <c r="Q330" s="445" t="str">
        <f t="shared" ref="Q330:X330" si="353">+RIGHT(G330,1)</f>
        <v>H</v>
      </c>
      <c r="R330" s="436" t="str">
        <f t="shared" si="353"/>
        <v>G</v>
      </c>
      <c r="S330" s="436" t="str">
        <f t="shared" si="353"/>
        <v>B</v>
      </c>
      <c r="T330" s="436" t="str">
        <f t="shared" si="353"/>
        <v>D</v>
      </c>
      <c r="U330" s="436" t="str">
        <f t="shared" si="353"/>
        <v>A</v>
      </c>
      <c r="V330" s="436" t="str">
        <f t="shared" si="353"/>
        <v>F</v>
      </c>
      <c r="W330" s="436" t="str">
        <f t="shared" si="353"/>
        <v>L</v>
      </c>
      <c r="X330" s="436" t="str">
        <f t="shared" si="353"/>
        <v>K</v>
      </c>
      <c r="Y330" s="446">
        <f t="shared" ca="1" si="280"/>
        <v>6</v>
      </c>
    </row>
    <row r="331" spans="1:25" ht="14.25" customHeight="1" x14ac:dyDescent="0.25">
      <c r="A331" s="379" t="s">
        <v>666</v>
      </c>
      <c r="F331" s="379">
        <v>330</v>
      </c>
      <c r="G331" s="379" t="s">
        <v>329</v>
      </c>
      <c r="H331" s="379" t="s">
        <v>330</v>
      </c>
      <c r="I331" s="379" t="s">
        <v>337</v>
      </c>
      <c r="J331" s="379" t="s">
        <v>336</v>
      </c>
      <c r="K331" s="379" t="s">
        <v>334</v>
      </c>
      <c r="L331" s="379" t="s">
        <v>328</v>
      </c>
      <c r="M331" s="379" t="s">
        <v>331</v>
      </c>
      <c r="N331" s="379" t="s">
        <v>326</v>
      </c>
      <c r="P331" s="379">
        <f t="shared" si="278"/>
        <v>330</v>
      </c>
      <c r="Q331" s="445" t="str">
        <f t="shared" ref="Q331:X331" si="354">+RIGHT(G331,1)</f>
        <v>H</v>
      </c>
      <c r="R331" s="436" t="str">
        <f t="shared" si="354"/>
        <v>G</v>
      </c>
      <c r="S331" s="436" t="str">
        <f t="shared" si="354"/>
        <v>B</v>
      </c>
      <c r="T331" s="436" t="str">
        <f t="shared" si="354"/>
        <v>D</v>
      </c>
      <c r="U331" s="436" t="str">
        <f t="shared" si="354"/>
        <v>A</v>
      </c>
      <c r="V331" s="436" t="str">
        <f t="shared" si="354"/>
        <v>F</v>
      </c>
      <c r="W331" s="436" t="str">
        <f t="shared" si="354"/>
        <v>L</v>
      </c>
      <c r="X331" s="436" t="str">
        <f t="shared" si="354"/>
        <v>J</v>
      </c>
      <c r="Y331" s="446">
        <f t="shared" ca="1" si="280"/>
        <v>6</v>
      </c>
    </row>
    <row r="332" spans="1:25" ht="14.25" customHeight="1" x14ac:dyDescent="0.25">
      <c r="A332" s="379" t="s">
        <v>667</v>
      </c>
      <c r="F332" s="379">
        <v>331</v>
      </c>
      <c r="G332" s="379" t="s">
        <v>329</v>
      </c>
      <c r="H332" s="379" t="s">
        <v>330</v>
      </c>
      <c r="I332" s="379" t="s">
        <v>337</v>
      </c>
      <c r="J332" s="379" t="s">
        <v>336</v>
      </c>
      <c r="K332" s="379" t="s">
        <v>334</v>
      </c>
      <c r="L332" s="379" t="s">
        <v>328</v>
      </c>
      <c r="M332" s="379" t="s">
        <v>326</v>
      </c>
      <c r="N332" s="379" t="s">
        <v>332</v>
      </c>
      <c r="P332" s="379">
        <f t="shared" si="278"/>
        <v>331</v>
      </c>
      <c r="Q332" s="445" t="str">
        <f t="shared" ref="Q332:X332" si="355">+RIGHT(G332,1)</f>
        <v>H</v>
      </c>
      <c r="R332" s="436" t="str">
        <f t="shared" si="355"/>
        <v>G</v>
      </c>
      <c r="S332" s="436" t="str">
        <f t="shared" si="355"/>
        <v>B</v>
      </c>
      <c r="T332" s="436" t="str">
        <f t="shared" si="355"/>
        <v>D</v>
      </c>
      <c r="U332" s="436" t="str">
        <f t="shared" si="355"/>
        <v>A</v>
      </c>
      <c r="V332" s="436" t="str">
        <f t="shared" si="355"/>
        <v>F</v>
      </c>
      <c r="W332" s="436" t="str">
        <f t="shared" si="355"/>
        <v>J</v>
      </c>
      <c r="X332" s="436" t="str">
        <f t="shared" si="355"/>
        <v>K</v>
      </c>
      <c r="Y332" s="446">
        <f t="shared" ca="1" si="280"/>
        <v>5</v>
      </c>
    </row>
    <row r="333" spans="1:25" ht="14.25" customHeight="1" x14ac:dyDescent="0.25">
      <c r="A333" s="379" t="s">
        <v>668</v>
      </c>
      <c r="F333" s="379">
        <v>332</v>
      </c>
      <c r="G333" s="379" t="s">
        <v>329</v>
      </c>
      <c r="H333" s="379" t="s">
        <v>330</v>
      </c>
      <c r="I333" s="379" t="s">
        <v>337</v>
      </c>
      <c r="J333" s="379" t="s">
        <v>336</v>
      </c>
      <c r="K333" s="379" t="s">
        <v>334</v>
      </c>
      <c r="L333" s="379" t="s">
        <v>328</v>
      </c>
      <c r="M333" s="379" t="s">
        <v>331</v>
      </c>
      <c r="N333" s="379" t="s">
        <v>327</v>
      </c>
      <c r="P333" s="379">
        <f t="shared" si="278"/>
        <v>332</v>
      </c>
      <c r="Q333" s="445" t="str">
        <f t="shared" ref="Q333:X333" si="356">+RIGHT(G333,1)</f>
        <v>H</v>
      </c>
      <c r="R333" s="436" t="str">
        <f t="shared" si="356"/>
        <v>G</v>
      </c>
      <c r="S333" s="436" t="str">
        <f t="shared" si="356"/>
        <v>B</v>
      </c>
      <c r="T333" s="436" t="str">
        <f t="shared" si="356"/>
        <v>D</v>
      </c>
      <c r="U333" s="436" t="str">
        <f t="shared" si="356"/>
        <v>A</v>
      </c>
      <c r="V333" s="436" t="str">
        <f t="shared" si="356"/>
        <v>F</v>
      </c>
      <c r="W333" s="436" t="str">
        <f t="shared" si="356"/>
        <v>L</v>
      </c>
      <c r="X333" s="436" t="str">
        <f t="shared" si="356"/>
        <v>I</v>
      </c>
      <c r="Y333" s="446">
        <f t="shared" ca="1" si="280"/>
        <v>7</v>
      </c>
    </row>
    <row r="334" spans="1:25" ht="14.25" customHeight="1" x14ac:dyDescent="0.25">
      <c r="A334" s="379" t="s">
        <v>669</v>
      </c>
      <c r="F334" s="379">
        <v>333</v>
      </c>
      <c r="G334" s="379" t="s">
        <v>329</v>
      </c>
      <c r="H334" s="379" t="s">
        <v>330</v>
      </c>
      <c r="I334" s="379" t="s">
        <v>337</v>
      </c>
      <c r="J334" s="379" t="s">
        <v>336</v>
      </c>
      <c r="K334" s="379" t="s">
        <v>334</v>
      </c>
      <c r="L334" s="379" t="s">
        <v>328</v>
      </c>
      <c r="M334" s="379" t="s">
        <v>327</v>
      </c>
      <c r="N334" s="379" t="s">
        <v>332</v>
      </c>
      <c r="P334" s="379">
        <f t="shared" si="278"/>
        <v>333</v>
      </c>
      <c r="Q334" s="445" t="str">
        <f t="shared" ref="Q334:X334" si="357">+RIGHT(G334,1)</f>
        <v>H</v>
      </c>
      <c r="R334" s="436" t="str">
        <f t="shared" si="357"/>
        <v>G</v>
      </c>
      <c r="S334" s="436" t="str">
        <f t="shared" si="357"/>
        <v>B</v>
      </c>
      <c r="T334" s="436" t="str">
        <f t="shared" si="357"/>
        <v>D</v>
      </c>
      <c r="U334" s="436" t="str">
        <f t="shared" si="357"/>
        <v>A</v>
      </c>
      <c r="V334" s="436" t="str">
        <f t="shared" si="357"/>
        <v>F</v>
      </c>
      <c r="W334" s="436" t="str">
        <f t="shared" si="357"/>
        <v>I</v>
      </c>
      <c r="X334" s="436" t="str">
        <f t="shared" si="357"/>
        <v>K</v>
      </c>
      <c r="Y334" s="446">
        <f t="shared" ca="1" si="280"/>
        <v>6</v>
      </c>
    </row>
    <row r="335" spans="1:25" ht="14.25" customHeight="1" x14ac:dyDescent="0.25">
      <c r="A335" s="379" t="s">
        <v>670</v>
      </c>
      <c r="F335" s="379">
        <v>334</v>
      </c>
      <c r="G335" s="379" t="s">
        <v>329</v>
      </c>
      <c r="H335" s="379" t="s">
        <v>330</v>
      </c>
      <c r="I335" s="379" t="s">
        <v>337</v>
      </c>
      <c r="J335" s="379" t="s">
        <v>336</v>
      </c>
      <c r="K335" s="379" t="s">
        <v>334</v>
      </c>
      <c r="L335" s="379" t="s">
        <v>328</v>
      </c>
      <c r="M335" s="379" t="s">
        <v>327</v>
      </c>
      <c r="N335" s="379" t="s">
        <v>326</v>
      </c>
      <c r="P335" s="379">
        <f t="shared" si="278"/>
        <v>334</v>
      </c>
      <c r="Q335" s="445" t="str">
        <f t="shared" ref="Q335:X335" si="358">+RIGHT(G335,1)</f>
        <v>H</v>
      </c>
      <c r="R335" s="436" t="str">
        <f t="shared" si="358"/>
        <v>G</v>
      </c>
      <c r="S335" s="436" t="str">
        <f t="shared" si="358"/>
        <v>B</v>
      </c>
      <c r="T335" s="436" t="str">
        <f t="shared" si="358"/>
        <v>D</v>
      </c>
      <c r="U335" s="436" t="str">
        <f t="shared" si="358"/>
        <v>A</v>
      </c>
      <c r="V335" s="436" t="str">
        <f t="shared" si="358"/>
        <v>F</v>
      </c>
      <c r="W335" s="436" t="str">
        <f t="shared" si="358"/>
        <v>I</v>
      </c>
      <c r="X335" s="436" t="str">
        <f t="shared" si="358"/>
        <v>J</v>
      </c>
      <c r="Y335" s="446">
        <f t="shared" ca="1" si="280"/>
        <v>6</v>
      </c>
    </row>
    <row r="336" spans="1:25" ht="14.25" customHeight="1" x14ac:dyDescent="0.25">
      <c r="A336" s="379" t="s">
        <v>671</v>
      </c>
      <c r="F336" s="379">
        <v>335</v>
      </c>
      <c r="G336" s="379" t="s">
        <v>325</v>
      </c>
      <c r="H336" s="379" t="s">
        <v>326</v>
      </c>
      <c r="I336" s="379" t="s">
        <v>337</v>
      </c>
      <c r="J336" s="379" t="s">
        <v>334</v>
      </c>
      <c r="K336" s="379" t="s">
        <v>327</v>
      </c>
      <c r="L336" s="379" t="s">
        <v>336</v>
      </c>
      <c r="M336" s="379" t="s">
        <v>331</v>
      </c>
      <c r="N336" s="379" t="s">
        <v>332</v>
      </c>
      <c r="P336" s="379">
        <f t="shared" si="278"/>
        <v>335</v>
      </c>
      <c r="Q336" s="445" t="str">
        <f t="shared" ref="Q336:X336" si="359">+RIGHT(G336,1)</f>
        <v>E</v>
      </c>
      <c r="R336" s="436" t="str">
        <f t="shared" si="359"/>
        <v>J</v>
      </c>
      <c r="S336" s="436" t="str">
        <f t="shared" si="359"/>
        <v>B</v>
      </c>
      <c r="T336" s="436" t="str">
        <f t="shared" si="359"/>
        <v>A</v>
      </c>
      <c r="U336" s="436" t="str">
        <f t="shared" si="359"/>
        <v>I</v>
      </c>
      <c r="V336" s="436" t="str">
        <f t="shared" si="359"/>
        <v>D</v>
      </c>
      <c r="W336" s="436" t="str">
        <f t="shared" si="359"/>
        <v>L</v>
      </c>
      <c r="X336" s="436" t="str">
        <f t="shared" si="359"/>
        <v>K</v>
      </c>
      <c r="Y336" s="446">
        <f t="shared" ca="1" si="280"/>
        <v>4</v>
      </c>
    </row>
    <row r="337" spans="1:25" ht="14.25" customHeight="1" x14ac:dyDescent="0.25">
      <c r="A337" s="379" t="s">
        <v>672</v>
      </c>
      <c r="F337" s="379">
        <v>336</v>
      </c>
      <c r="G337" s="379" t="s">
        <v>325</v>
      </c>
      <c r="H337" s="379" t="s">
        <v>326</v>
      </c>
      <c r="I337" s="379" t="s">
        <v>337</v>
      </c>
      <c r="J337" s="379" t="s">
        <v>336</v>
      </c>
      <c r="K337" s="379" t="s">
        <v>334</v>
      </c>
      <c r="L337" s="379" t="s">
        <v>329</v>
      </c>
      <c r="M337" s="379" t="s">
        <v>331</v>
      </c>
      <c r="N337" s="379" t="s">
        <v>332</v>
      </c>
      <c r="P337" s="379">
        <f t="shared" si="278"/>
        <v>336</v>
      </c>
      <c r="Q337" s="445" t="str">
        <f t="shared" ref="Q337:X337" si="360">+RIGHT(G337,1)</f>
        <v>E</v>
      </c>
      <c r="R337" s="436" t="str">
        <f t="shared" si="360"/>
        <v>J</v>
      </c>
      <c r="S337" s="436" t="str">
        <f t="shared" si="360"/>
        <v>B</v>
      </c>
      <c r="T337" s="436" t="str">
        <f t="shared" si="360"/>
        <v>D</v>
      </c>
      <c r="U337" s="436" t="str">
        <f t="shared" si="360"/>
        <v>A</v>
      </c>
      <c r="V337" s="436" t="str">
        <f t="shared" si="360"/>
        <v>H</v>
      </c>
      <c r="W337" s="436" t="str">
        <f t="shared" si="360"/>
        <v>L</v>
      </c>
      <c r="X337" s="436" t="str">
        <f t="shared" si="360"/>
        <v>K</v>
      </c>
      <c r="Y337" s="446">
        <f t="shared" ca="1" si="280"/>
        <v>4</v>
      </c>
    </row>
    <row r="338" spans="1:25" ht="14.25" customHeight="1" x14ac:dyDescent="0.25">
      <c r="A338" s="379" t="s">
        <v>673</v>
      </c>
      <c r="F338" s="379">
        <v>337</v>
      </c>
      <c r="G338" s="379" t="s">
        <v>325</v>
      </c>
      <c r="H338" s="379" t="s">
        <v>327</v>
      </c>
      <c r="I338" s="379" t="s">
        <v>337</v>
      </c>
      <c r="J338" s="379" t="s">
        <v>336</v>
      </c>
      <c r="K338" s="379" t="s">
        <v>334</v>
      </c>
      <c r="L338" s="379" t="s">
        <v>329</v>
      </c>
      <c r="M338" s="379" t="s">
        <v>331</v>
      </c>
      <c r="N338" s="379" t="s">
        <v>332</v>
      </c>
      <c r="P338" s="379">
        <f t="shared" si="278"/>
        <v>337</v>
      </c>
      <c r="Q338" s="445" t="str">
        <f t="shared" ref="Q338:X338" si="361">+RIGHT(G338,1)</f>
        <v>E</v>
      </c>
      <c r="R338" s="436" t="str">
        <f t="shared" si="361"/>
        <v>I</v>
      </c>
      <c r="S338" s="436" t="str">
        <f t="shared" si="361"/>
        <v>B</v>
      </c>
      <c r="T338" s="436" t="str">
        <f t="shared" si="361"/>
        <v>D</v>
      </c>
      <c r="U338" s="436" t="str">
        <f t="shared" si="361"/>
        <v>A</v>
      </c>
      <c r="V338" s="436" t="str">
        <f t="shared" si="361"/>
        <v>H</v>
      </c>
      <c r="W338" s="436" t="str">
        <f t="shared" si="361"/>
        <v>L</v>
      </c>
      <c r="X338" s="436" t="str">
        <f t="shared" si="361"/>
        <v>K</v>
      </c>
      <c r="Y338" s="446">
        <f t="shared" ca="1" si="280"/>
        <v>5</v>
      </c>
    </row>
    <row r="339" spans="1:25" ht="14.25" customHeight="1" x14ac:dyDescent="0.25">
      <c r="A339" s="379" t="s">
        <v>674</v>
      </c>
      <c r="F339" s="379">
        <v>338</v>
      </c>
      <c r="G339" s="379" t="s">
        <v>325</v>
      </c>
      <c r="H339" s="379" t="s">
        <v>326</v>
      </c>
      <c r="I339" s="379" t="s">
        <v>337</v>
      </c>
      <c r="J339" s="379" t="s">
        <v>336</v>
      </c>
      <c r="K339" s="379" t="s">
        <v>334</v>
      </c>
      <c r="L339" s="379" t="s">
        <v>329</v>
      </c>
      <c r="M339" s="379" t="s">
        <v>331</v>
      </c>
      <c r="N339" s="379" t="s">
        <v>327</v>
      </c>
      <c r="P339" s="379">
        <f t="shared" si="278"/>
        <v>338</v>
      </c>
      <c r="Q339" s="445" t="str">
        <f t="shared" ref="Q339:X339" si="362">+RIGHT(G339,1)</f>
        <v>E</v>
      </c>
      <c r="R339" s="436" t="str">
        <f t="shared" si="362"/>
        <v>J</v>
      </c>
      <c r="S339" s="436" t="str">
        <f t="shared" si="362"/>
        <v>B</v>
      </c>
      <c r="T339" s="436" t="str">
        <f t="shared" si="362"/>
        <v>D</v>
      </c>
      <c r="U339" s="436" t="str">
        <f t="shared" si="362"/>
        <v>A</v>
      </c>
      <c r="V339" s="436" t="str">
        <f t="shared" si="362"/>
        <v>H</v>
      </c>
      <c r="W339" s="436" t="str">
        <f t="shared" si="362"/>
        <v>L</v>
      </c>
      <c r="X339" s="436" t="str">
        <f t="shared" si="362"/>
        <v>I</v>
      </c>
      <c r="Y339" s="446">
        <f t="shared" ca="1" si="280"/>
        <v>5</v>
      </c>
    </row>
    <row r="340" spans="1:25" ht="14.25" customHeight="1" x14ac:dyDescent="0.25">
      <c r="A340" s="379" t="s">
        <v>675</v>
      </c>
      <c r="F340" s="379">
        <v>339</v>
      </c>
      <c r="G340" s="379" t="s">
        <v>325</v>
      </c>
      <c r="H340" s="379" t="s">
        <v>326</v>
      </c>
      <c r="I340" s="379" t="s">
        <v>337</v>
      </c>
      <c r="J340" s="379" t="s">
        <v>336</v>
      </c>
      <c r="K340" s="379" t="s">
        <v>334</v>
      </c>
      <c r="L340" s="379" t="s">
        <v>329</v>
      </c>
      <c r="M340" s="379" t="s">
        <v>327</v>
      </c>
      <c r="N340" s="379" t="s">
        <v>332</v>
      </c>
      <c r="P340" s="379">
        <f t="shared" si="278"/>
        <v>339</v>
      </c>
      <c r="Q340" s="445" t="str">
        <f t="shared" ref="Q340:X340" si="363">+RIGHT(G340,1)</f>
        <v>E</v>
      </c>
      <c r="R340" s="436" t="str">
        <f t="shared" si="363"/>
        <v>J</v>
      </c>
      <c r="S340" s="436" t="str">
        <f t="shared" si="363"/>
        <v>B</v>
      </c>
      <c r="T340" s="436" t="str">
        <f t="shared" si="363"/>
        <v>D</v>
      </c>
      <c r="U340" s="436" t="str">
        <f t="shared" si="363"/>
        <v>A</v>
      </c>
      <c r="V340" s="436" t="str">
        <f t="shared" si="363"/>
        <v>H</v>
      </c>
      <c r="W340" s="436" t="str">
        <f t="shared" si="363"/>
        <v>I</v>
      </c>
      <c r="X340" s="436" t="str">
        <f t="shared" si="363"/>
        <v>K</v>
      </c>
      <c r="Y340" s="446">
        <f t="shared" ca="1" si="280"/>
        <v>4</v>
      </c>
    </row>
    <row r="341" spans="1:25" ht="14.25" customHeight="1" x14ac:dyDescent="0.25">
      <c r="A341" s="379" t="s">
        <v>676</v>
      </c>
      <c r="F341" s="379">
        <v>340</v>
      </c>
      <c r="G341" s="379" t="s">
        <v>325</v>
      </c>
      <c r="H341" s="379" t="s">
        <v>326</v>
      </c>
      <c r="I341" s="379" t="s">
        <v>337</v>
      </c>
      <c r="J341" s="379" t="s">
        <v>336</v>
      </c>
      <c r="K341" s="379" t="s">
        <v>334</v>
      </c>
      <c r="L341" s="379" t="s">
        <v>330</v>
      </c>
      <c r="M341" s="379" t="s">
        <v>331</v>
      </c>
      <c r="N341" s="379" t="s">
        <v>332</v>
      </c>
      <c r="P341" s="379">
        <f t="shared" si="278"/>
        <v>340</v>
      </c>
      <c r="Q341" s="445" t="str">
        <f t="shared" ref="Q341:X341" si="364">+RIGHT(G341,1)</f>
        <v>E</v>
      </c>
      <c r="R341" s="436" t="str">
        <f t="shared" si="364"/>
        <v>J</v>
      </c>
      <c r="S341" s="436" t="str">
        <f t="shared" si="364"/>
        <v>B</v>
      </c>
      <c r="T341" s="436" t="str">
        <f t="shared" si="364"/>
        <v>D</v>
      </c>
      <c r="U341" s="436" t="str">
        <f t="shared" si="364"/>
        <v>A</v>
      </c>
      <c r="V341" s="436" t="str">
        <f t="shared" si="364"/>
        <v>G</v>
      </c>
      <c r="W341" s="436" t="str">
        <f t="shared" si="364"/>
        <v>L</v>
      </c>
      <c r="X341" s="436" t="str">
        <f t="shared" si="364"/>
        <v>K</v>
      </c>
      <c r="Y341" s="446">
        <f t="shared" ca="1" si="280"/>
        <v>4</v>
      </c>
    </row>
    <row r="342" spans="1:25" ht="14.25" customHeight="1" x14ac:dyDescent="0.25">
      <c r="A342" s="379" t="s">
        <v>677</v>
      </c>
      <c r="F342" s="379">
        <v>341</v>
      </c>
      <c r="G342" s="379" t="s">
        <v>325</v>
      </c>
      <c r="H342" s="379" t="s">
        <v>330</v>
      </c>
      <c r="I342" s="379" t="s">
        <v>337</v>
      </c>
      <c r="J342" s="379" t="s">
        <v>334</v>
      </c>
      <c r="K342" s="379" t="s">
        <v>327</v>
      </c>
      <c r="L342" s="379" t="s">
        <v>336</v>
      </c>
      <c r="M342" s="379" t="s">
        <v>331</v>
      </c>
      <c r="N342" s="379" t="s">
        <v>332</v>
      </c>
      <c r="P342" s="379">
        <f t="shared" si="278"/>
        <v>341</v>
      </c>
      <c r="Q342" s="445" t="str">
        <f t="shared" ref="Q342:X342" si="365">+RIGHT(G342,1)</f>
        <v>E</v>
      </c>
      <c r="R342" s="436" t="str">
        <f t="shared" si="365"/>
        <v>G</v>
      </c>
      <c r="S342" s="436" t="str">
        <f t="shared" si="365"/>
        <v>B</v>
      </c>
      <c r="T342" s="436" t="str">
        <f t="shared" si="365"/>
        <v>A</v>
      </c>
      <c r="U342" s="436" t="str">
        <f t="shared" si="365"/>
        <v>I</v>
      </c>
      <c r="V342" s="436" t="str">
        <f t="shared" si="365"/>
        <v>D</v>
      </c>
      <c r="W342" s="436" t="str">
        <f t="shared" si="365"/>
        <v>L</v>
      </c>
      <c r="X342" s="436" t="str">
        <f t="shared" si="365"/>
        <v>K</v>
      </c>
      <c r="Y342" s="446">
        <f t="shared" ca="1" si="280"/>
        <v>5</v>
      </c>
    </row>
    <row r="343" spans="1:25" ht="14.25" customHeight="1" x14ac:dyDescent="0.25">
      <c r="A343" s="379" t="s">
        <v>678</v>
      </c>
      <c r="F343" s="379">
        <v>342</v>
      </c>
      <c r="G343" s="379" t="s">
        <v>325</v>
      </c>
      <c r="H343" s="379" t="s">
        <v>326</v>
      </c>
      <c r="I343" s="379" t="s">
        <v>337</v>
      </c>
      <c r="J343" s="379" t="s">
        <v>336</v>
      </c>
      <c r="K343" s="379" t="s">
        <v>334</v>
      </c>
      <c r="L343" s="379" t="s">
        <v>330</v>
      </c>
      <c r="M343" s="379" t="s">
        <v>331</v>
      </c>
      <c r="N343" s="379" t="s">
        <v>327</v>
      </c>
      <c r="P343" s="379">
        <f t="shared" si="278"/>
        <v>342</v>
      </c>
      <c r="Q343" s="445" t="str">
        <f t="shared" ref="Q343:X343" si="366">+RIGHT(G343,1)</f>
        <v>E</v>
      </c>
      <c r="R343" s="436" t="str">
        <f t="shared" si="366"/>
        <v>J</v>
      </c>
      <c r="S343" s="436" t="str">
        <f t="shared" si="366"/>
        <v>B</v>
      </c>
      <c r="T343" s="436" t="str">
        <f t="shared" si="366"/>
        <v>D</v>
      </c>
      <c r="U343" s="436" t="str">
        <f t="shared" si="366"/>
        <v>A</v>
      </c>
      <c r="V343" s="436" t="str">
        <f t="shared" si="366"/>
        <v>G</v>
      </c>
      <c r="W343" s="436" t="str">
        <f t="shared" si="366"/>
        <v>L</v>
      </c>
      <c r="X343" s="436" t="str">
        <f t="shared" si="366"/>
        <v>I</v>
      </c>
      <c r="Y343" s="446">
        <f t="shared" ca="1" si="280"/>
        <v>5</v>
      </c>
    </row>
    <row r="344" spans="1:25" ht="14.25" customHeight="1" x14ac:dyDescent="0.25">
      <c r="A344" s="379" t="s">
        <v>679</v>
      </c>
      <c r="F344" s="379">
        <v>343</v>
      </c>
      <c r="G344" s="379" t="s">
        <v>325</v>
      </c>
      <c r="H344" s="379" t="s">
        <v>326</v>
      </c>
      <c r="I344" s="379" t="s">
        <v>337</v>
      </c>
      <c r="J344" s="379" t="s">
        <v>336</v>
      </c>
      <c r="K344" s="379" t="s">
        <v>334</v>
      </c>
      <c r="L344" s="379" t="s">
        <v>330</v>
      </c>
      <c r="M344" s="379" t="s">
        <v>327</v>
      </c>
      <c r="N344" s="379" t="s">
        <v>332</v>
      </c>
      <c r="P344" s="379">
        <f t="shared" si="278"/>
        <v>343</v>
      </c>
      <c r="Q344" s="445" t="str">
        <f t="shared" ref="Q344:X344" si="367">+RIGHT(G344,1)</f>
        <v>E</v>
      </c>
      <c r="R344" s="436" t="str">
        <f t="shared" si="367"/>
        <v>J</v>
      </c>
      <c r="S344" s="436" t="str">
        <f t="shared" si="367"/>
        <v>B</v>
      </c>
      <c r="T344" s="436" t="str">
        <f t="shared" si="367"/>
        <v>D</v>
      </c>
      <c r="U344" s="436" t="str">
        <f t="shared" si="367"/>
        <v>A</v>
      </c>
      <c r="V344" s="436" t="str">
        <f t="shared" si="367"/>
        <v>G</v>
      </c>
      <c r="W344" s="436" t="str">
        <f t="shared" si="367"/>
        <v>I</v>
      </c>
      <c r="X344" s="436" t="str">
        <f t="shared" si="367"/>
        <v>K</v>
      </c>
      <c r="Y344" s="446">
        <f t="shared" ca="1" si="280"/>
        <v>4</v>
      </c>
    </row>
    <row r="345" spans="1:25" ht="14.25" customHeight="1" x14ac:dyDescent="0.25">
      <c r="A345" s="379" t="s">
        <v>680</v>
      </c>
      <c r="F345" s="379">
        <v>344</v>
      </c>
      <c r="G345" s="379" t="s">
        <v>325</v>
      </c>
      <c r="H345" s="379" t="s">
        <v>330</v>
      </c>
      <c r="I345" s="379" t="s">
        <v>337</v>
      </c>
      <c r="J345" s="379" t="s">
        <v>336</v>
      </c>
      <c r="K345" s="379" t="s">
        <v>334</v>
      </c>
      <c r="L345" s="379" t="s">
        <v>329</v>
      </c>
      <c r="M345" s="379" t="s">
        <v>331</v>
      </c>
      <c r="N345" s="379" t="s">
        <v>332</v>
      </c>
      <c r="P345" s="379">
        <f t="shared" si="278"/>
        <v>344</v>
      </c>
      <c r="Q345" s="445" t="str">
        <f t="shared" ref="Q345:X345" si="368">+RIGHT(G345,1)</f>
        <v>E</v>
      </c>
      <c r="R345" s="436" t="str">
        <f t="shared" si="368"/>
        <v>G</v>
      </c>
      <c r="S345" s="436" t="str">
        <f t="shared" si="368"/>
        <v>B</v>
      </c>
      <c r="T345" s="436" t="str">
        <f t="shared" si="368"/>
        <v>D</v>
      </c>
      <c r="U345" s="436" t="str">
        <f t="shared" si="368"/>
        <v>A</v>
      </c>
      <c r="V345" s="436" t="str">
        <f t="shared" si="368"/>
        <v>H</v>
      </c>
      <c r="W345" s="436" t="str">
        <f t="shared" si="368"/>
        <v>L</v>
      </c>
      <c r="X345" s="436" t="str">
        <f t="shared" si="368"/>
        <v>K</v>
      </c>
      <c r="Y345" s="446">
        <f t="shared" ca="1" si="280"/>
        <v>5</v>
      </c>
    </row>
    <row r="346" spans="1:25" ht="14.25" customHeight="1" x14ac:dyDescent="0.25">
      <c r="A346" s="379" t="s">
        <v>681</v>
      </c>
      <c r="F346" s="379">
        <v>345</v>
      </c>
      <c r="G346" s="379" t="s">
        <v>329</v>
      </c>
      <c r="H346" s="379" t="s">
        <v>326</v>
      </c>
      <c r="I346" s="379" t="s">
        <v>337</v>
      </c>
      <c r="J346" s="379" t="s">
        <v>336</v>
      </c>
      <c r="K346" s="379" t="s">
        <v>334</v>
      </c>
      <c r="L346" s="379" t="s">
        <v>330</v>
      </c>
      <c r="M346" s="379" t="s">
        <v>331</v>
      </c>
      <c r="N346" s="379" t="s">
        <v>325</v>
      </c>
      <c r="P346" s="379">
        <f t="shared" si="278"/>
        <v>345</v>
      </c>
      <c r="Q346" s="445" t="str">
        <f t="shared" ref="Q346:X346" si="369">+RIGHT(G346,1)</f>
        <v>H</v>
      </c>
      <c r="R346" s="436" t="str">
        <f t="shared" si="369"/>
        <v>J</v>
      </c>
      <c r="S346" s="436" t="str">
        <f t="shared" si="369"/>
        <v>B</v>
      </c>
      <c r="T346" s="436" t="str">
        <f t="shared" si="369"/>
        <v>D</v>
      </c>
      <c r="U346" s="436" t="str">
        <f t="shared" si="369"/>
        <v>A</v>
      </c>
      <c r="V346" s="436" t="str">
        <f t="shared" si="369"/>
        <v>G</v>
      </c>
      <c r="W346" s="436" t="str">
        <f t="shared" si="369"/>
        <v>L</v>
      </c>
      <c r="X346" s="436" t="str">
        <f t="shared" si="369"/>
        <v>E</v>
      </c>
      <c r="Y346" s="446">
        <f t="shared" ca="1" si="280"/>
        <v>5</v>
      </c>
    </row>
    <row r="347" spans="1:25" ht="14.25" customHeight="1" x14ac:dyDescent="0.25">
      <c r="A347" s="379" t="s">
        <v>682</v>
      </c>
      <c r="F347" s="379">
        <v>346</v>
      </c>
      <c r="G347" s="379" t="s">
        <v>329</v>
      </c>
      <c r="H347" s="379" t="s">
        <v>326</v>
      </c>
      <c r="I347" s="379" t="s">
        <v>337</v>
      </c>
      <c r="J347" s="379" t="s">
        <v>336</v>
      </c>
      <c r="K347" s="379" t="s">
        <v>334</v>
      </c>
      <c r="L347" s="379" t="s">
        <v>330</v>
      </c>
      <c r="M347" s="379" t="s">
        <v>325</v>
      </c>
      <c r="N347" s="379" t="s">
        <v>332</v>
      </c>
      <c r="P347" s="379">
        <f t="shared" si="278"/>
        <v>346</v>
      </c>
      <c r="Q347" s="445" t="str">
        <f t="shared" ref="Q347:X347" si="370">+RIGHT(G347,1)</f>
        <v>H</v>
      </c>
      <c r="R347" s="436" t="str">
        <f t="shared" si="370"/>
        <v>J</v>
      </c>
      <c r="S347" s="436" t="str">
        <f t="shared" si="370"/>
        <v>B</v>
      </c>
      <c r="T347" s="436" t="str">
        <f t="shared" si="370"/>
        <v>D</v>
      </c>
      <c r="U347" s="436" t="str">
        <f t="shared" si="370"/>
        <v>A</v>
      </c>
      <c r="V347" s="436" t="str">
        <f t="shared" si="370"/>
        <v>G</v>
      </c>
      <c r="W347" s="436" t="str">
        <f t="shared" si="370"/>
        <v>E</v>
      </c>
      <c r="X347" s="436" t="str">
        <f t="shared" si="370"/>
        <v>K</v>
      </c>
      <c r="Y347" s="446">
        <f t="shared" ca="1" si="280"/>
        <v>4</v>
      </c>
    </row>
    <row r="348" spans="1:25" ht="14.25" customHeight="1" x14ac:dyDescent="0.25">
      <c r="A348" s="379" t="s">
        <v>683</v>
      </c>
      <c r="F348" s="379">
        <v>347</v>
      </c>
      <c r="G348" s="379" t="s">
        <v>325</v>
      </c>
      <c r="H348" s="379" t="s">
        <v>330</v>
      </c>
      <c r="I348" s="379" t="s">
        <v>337</v>
      </c>
      <c r="J348" s="379" t="s">
        <v>336</v>
      </c>
      <c r="K348" s="379" t="s">
        <v>334</v>
      </c>
      <c r="L348" s="379" t="s">
        <v>329</v>
      </c>
      <c r="M348" s="379" t="s">
        <v>331</v>
      </c>
      <c r="N348" s="379" t="s">
        <v>327</v>
      </c>
      <c r="P348" s="379">
        <f t="shared" si="278"/>
        <v>347</v>
      </c>
      <c r="Q348" s="445" t="str">
        <f t="shared" ref="Q348:X348" si="371">+RIGHT(G348,1)</f>
        <v>E</v>
      </c>
      <c r="R348" s="436" t="str">
        <f t="shared" si="371"/>
        <v>G</v>
      </c>
      <c r="S348" s="436" t="str">
        <f t="shared" si="371"/>
        <v>B</v>
      </c>
      <c r="T348" s="436" t="str">
        <f t="shared" si="371"/>
        <v>D</v>
      </c>
      <c r="U348" s="436" t="str">
        <f t="shared" si="371"/>
        <v>A</v>
      </c>
      <c r="V348" s="436" t="str">
        <f t="shared" si="371"/>
        <v>H</v>
      </c>
      <c r="W348" s="436" t="str">
        <f t="shared" si="371"/>
        <v>L</v>
      </c>
      <c r="X348" s="436" t="str">
        <f t="shared" si="371"/>
        <v>I</v>
      </c>
      <c r="Y348" s="446">
        <f t="shared" ca="1" si="280"/>
        <v>6</v>
      </c>
    </row>
    <row r="349" spans="1:25" ht="14.25" customHeight="1" x14ac:dyDescent="0.25">
      <c r="A349" s="379" t="s">
        <v>684</v>
      </c>
      <c r="F349" s="379">
        <v>348</v>
      </c>
      <c r="G349" s="379" t="s">
        <v>325</v>
      </c>
      <c r="H349" s="379" t="s">
        <v>330</v>
      </c>
      <c r="I349" s="379" t="s">
        <v>337</v>
      </c>
      <c r="J349" s="379" t="s">
        <v>336</v>
      </c>
      <c r="K349" s="379" t="s">
        <v>334</v>
      </c>
      <c r="L349" s="379" t="s">
        <v>329</v>
      </c>
      <c r="M349" s="379" t="s">
        <v>327</v>
      </c>
      <c r="N349" s="379" t="s">
        <v>332</v>
      </c>
      <c r="P349" s="379">
        <f t="shared" si="278"/>
        <v>348</v>
      </c>
      <c r="Q349" s="445" t="str">
        <f t="shared" ref="Q349:X349" si="372">+RIGHT(G349,1)</f>
        <v>E</v>
      </c>
      <c r="R349" s="436" t="str">
        <f t="shared" si="372"/>
        <v>G</v>
      </c>
      <c r="S349" s="436" t="str">
        <f t="shared" si="372"/>
        <v>B</v>
      </c>
      <c r="T349" s="436" t="str">
        <f t="shared" si="372"/>
        <v>D</v>
      </c>
      <c r="U349" s="436" t="str">
        <f t="shared" si="372"/>
        <v>A</v>
      </c>
      <c r="V349" s="436" t="str">
        <f t="shared" si="372"/>
        <v>H</v>
      </c>
      <c r="W349" s="436" t="str">
        <f t="shared" si="372"/>
        <v>I</v>
      </c>
      <c r="X349" s="436" t="str">
        <f t="shared" si="372"/>
        <v>K</v>
      </c>
      <c r="Y349" s="446">
        <f t="shared" ca="1" si="280"/>
        <v>5</v>
      </c>
    </row>
    <row r="350" spans="1:25" ht="14.25" customHeight="1" x14ac:dyDescent="0.25">
      <c r="A350" s="379" t="s">
        <v>685</v>
      </c>
      <c r="F350" s="379">
        <v>349</v>
      </c>
      <c r="G350" s="379" t="s">
        <v>329</v>
      </c>
      <c r="H350" s="379" t="s">
        <v>326</v>
      </c>
      <c r="I350" s="379" t="s">
        <v>337</v>
      </c>
      <c r="J350" s="379" t="s">
        <v>336</v>
      </c>
      <c r="K350" s="379" t="s">
        <v>334</v>
      </c>
      <c r="L350" s="379" t="s">
        <v>330</v>
      </c>
      <c r="M350" s="379" t="s">
        <v>325</v>
      </c>
      <c r="N350" s="379" t="s">
        <v>327</v>
      </c>
      <c r="P350" s="379">
        <f t="shared" si="278"/>
        <v>349</v>
      </c>
      <c r="Q350" s="445" t="str">
        <f t="shared" ref="Q350:X350" si="373">+RIGHT(G350,1)</f>
        <v>H</v>
      </c>
      <c r="R350" s="436" t="str">
        <f t="shared" si="373"/>
        <v>J</v>
      </c>
      <c r="S350" s="436" t="str">
        <f t="shared" si="373"/>
        <v>B</v>
      </c>
      <c r="T350" s="436" t="str">
        <f t="shared" si="373"/>
        <v>D</v>
      </c>
      <c r="U350" s="436" t="str">
        <f t="shared" si="373"/>
        <v>A</v>
      </c>
      <c r="V350" s="436" t="str">
        <f t="shared" si="373"/>
        <v>G</v>
      </c>
      <c r="W350" s="436" t="str">
        <f t="shared" si="373"/>
        <v>E</v>
      </c>
      <c r="X350" s="436" t="str">
        <f t="shared" si="373"/>
        <v>I</v>
      </c>
      <c r="Y350" s="446">
        <f t="shared" ca="1" si="280"/>
        <v>5</v>
      </c>
    </row>
    <row r="351" spans="1:25" ht="14.25" customHeight="1" x14ac:dyDescent="0.25">
      <c r="A351" s="379" t="s">
        <v>686</v>
      </c>
      <c r="F351" s="379">
        <v>350</v>
      </c>
      <c r="G351" s="379" t="s">
        <v>325</v>
      </c>
      <c r="H351" s="379" t="s">
        <v>326</v>
      </c>
      <c r="I351" s="379" t="s">
        <v>337</v>
      </c>
      <c r="J351" s="379" t="s">
        <v>336</v>
      </c>
      <c r="K351" s="379" t="s">
        <v>334</v>
      </c>
      <c r="L351" s="379" t="s">
        <v>328</v>
      </c>
      <c r="M351" s="379" t="s">
        <v>331</v>
      </c>
      <c r="N351" s="379" t="s">
        <v>332</v>
      </c>
      <c r="P351" s="379">
        <f t="shared" si="278"/>
        <v>350</v>
      </c>
      <c r="Q351" s="445" t="str">
        <f t="shared" ref="Q351:X351" si="374">+RIGHT(G351,1)</f>
        <v>E</v>
      </c>
      <c r="R351" s="436" t="str">
        <f t="shared" si="374"/>
        <v>J</v>
      </c>
      <c r="S351" s="436" t="str">
        <f t="shared" si="374"/>
        <v>B</v>
      </c>
      <c r="T351" s="436" t="str">
        <f t="shared" si="374"/>
        <v>D</v>
      </c>
      <c r="U351" s="436" t="str">
        <f t="shared" si="374"/>
        <v>A</v>
      </c>
      <c r="V351" s="436" t="str">
        <f t="shared" si="374"/>
        <v>F</v>
      </c>
      <c r="W351" s="436" t="str">
        <f t="shared" si="374"/>
        <v>L</v>
      </c>
      <c r="X351" s="436" t="str">
        <f t="shared" si="374"/>
        <v>K</v>
      </c>
      <c r="Y351" s="446">
        <f t="shared" ca="1" si="280"/>
        <v>4</v>
      </c>
    </row>
    <row r="352" spans="1:25" ht="14.25" customHeight="1" x14ac:dyDescent="0.25">
      <c r="A352" s="379" t="s">
        <v>687</v>
      </c>
      <c r="F352" s="379">
        <v>351</v>
      </c>
      <c r="G352" s="379" t="s">
        <v>325</v>
      </c>
      <c r="H352" s="379" t="s">
        <v>327</v>
      </c>
      <c r="I352" s="379" t="s">
        <v>337</v>
      </c>
      <c r="J352" s="379" t="s">
        <v>336</v>
      </c>
      <c r="K352" s="379" t="s">
        <v>334</v>
      </c>
      <c r="L352" s="379" t="s">
        <v>328</v>
      </c>
      <c r="M352" s="379" t="s">
        <v>331</v>
      </c>
      <c r="N352" s="379" t="s">
        <v>332</v>
      </c>
      <c r="P352" s="379">
        <f t="shared" si="278"/>
        <v>351</v>
      </c>
      <c r="Q352" s="445" t="str">
        <f t="shared" ref="Q352:X352" si="375">+RIGHT(G352,1)</f>
        <v>E</v>
      </c>
      <c r="R352" s="436" t="str">
        <f t="shared" si="375"/>
        <v>I</v>
      </c>
      <c r="S352" s="436" t="str">
        <f t="shared" si="375"/>
        <v>B</v>
      </c>
      <c r="T352" s="436" t="str">
        <f t="shared" si="375"/>
        <v>D</v>
      </c>
      <c r="U352" s="436" t="str">
        <f t="shared" si="375"/>
        <v>A</v>
      </c>
      <c r="V352" s="436" t="str">
        <f t="shared" si="375"/>
        <v>F</v>
      </c>
      <c r="W352" s="436" t="str">
        <f t="shared" si="375"/>
        <v>L</v>
      </c>
      <c r="X352" s="436" t="str">
        <f t="shared" si="375"/>
        <v>K</v>
      </c>
      <c r="Y352" s="446">
        <f t="shared" ca="1" si="280"/>
        <v>5</v>
      </c>
    </row>
    <row r="353" spans="1:25" ht="14.25" customHeight="1" x14ac:dyDescent="0.25">
      <c r="A353" s="379" t="s">
        <v>688</v>
      </c>
      <c r="F353" s="379">
        <v>352</v>
      </c>
      <c r="G353" s="379" t="s">
        <v>325</v>
      </c>
      <c r="H353" s="379" t="s">
        <v>326</v>
      </c>
      <c r="I353" s="379" t="s">
        <v>337</v>
      </c>
      <c r="J353" s="379" t="s">
        <v>336</v>
      </c>
      <c r="K353" s="379" t="s">
        <v>334</v>
      </c>
      <c r="L353" s="379" t="s">
        <v>328</v>
      </c>
      <c r="M353" s="379" t="s">
        <v>331</v>
      </c>
      <c r="N353" s="379" t="s">
        <v>327</v>
      </c>
      <c r="P353" s="379">
        <f t="shared" si="278"/>
        <v>352</v>
      </c>
      <c r="Q353" s="445" t="str">
        <f t="shared" ref="Q353:X353" si="376">+RIGHT(G353,1)</f>
        <v>E</v>
      </c>
      <c r="R353" s="436" t="str">
        <f t="shared" si="376"/>
        <v>J</v>
      </c>
      <c r="S353" s="436" t="str">
        <f t="shared" si="376"/>
        <v>B</v>
      </c>
      <c r="T353" s="436" t="str">
        <f t="shared" si="376"/>
        <v>D</v>
      </c>
      <c r="U353" s="436" t="str">
        <f t="shared" si="376"/>
        <v>A</v>
      </c>
      <c r="V353" s="436" t="str">
        <f t="shared" si="376"/>
        <v>F</v>
      </c>
      <c r="W353" s="436" t="str">
        <f t="shared" si="376"/>
        <v>L</v>
      </c>
      <c r="X353" s="436" t="str">
        <f t="shared" si="376"/>
        <v>I</v>
      </c>
      <c r="Y353" s="446">
        <f t="shared" ca="1" si="280"/>
        <v>5</v>
      </c>
    </row>
    <row r="354" spans="1:25" ht="14.25" customHeight="1" x14ac:dyDescent="0.25">
      <c r="A354" s="379" t="s">
        <v>689</v>
      </c>
      <c r="F354" s="379">
        <v>353</v>
      </c>
      <c r="G354" s="379" t="s">
        <v>325</v>
      </c>
      <c r="H354" s="379" t="s">
        <v>326</v>
      </c>
      <c r="I354" s="379" t="s">
        <v>337</v>
      </c>
      <c r="J354" s="379" t="s">
        <v>336</v>
      </c>
      <c r="K354" s="379" t="s">
        <v>334</v>
      </c>
      <c r="L354" s="379" t="s">
        <v>328</v>
      </c>
      <c r="M354" s="379" t="s">
        <v>327</v>
      </c>
      <c r="N354" s="379" t="s">
        <v>332</v>
      </c>
      <c r="P354" s="379">
        <f t="shared" si="278"/>
        <v>353</v>
      </c>
      <c r="Q354" s="445" t="str">
        <f t="shared" ref="Q354:X354" si="377">+RIGHT(G354,1)</f>
        <v>E</v>
      </c>
      <c r="R354" s="436" t="str">
        <f t="shared" si="377"/>
        <v>J</v>
      </c>
      <c r="S354" s="436" t="str">
        <f t="shared" si="377"/>
        <v>B</v>
      </c>
      <c r="T354" s="436" t="str">
        <f t="shared" si="377"/>
        <v>D</v>
      </c>
      <c r="U354" s="436" t="str">
        <f t="shared" si="377"/>
        <v>A</v>
      </c>
      <c r="V354" s="436" t="str">
        <f t="shared" si="377"/>
        <v>F</v>
      </c>
      <c r="W354" s="436" t="str">
        <f t="shared" si="377"/>
        <v>I</v>
      </c>
      <c r="X354" s="436" t="str">
        <f t="shared" si="377"/>
        <v>K</v>
      </c>
      <c r="Y354" s="446">
        <f t="shared" ca="1" si="280"/>
        <v>4</v>
      </c>
    </row>
    <row r="355" spans="1:25" ht="14.25" customHeight="1" x14ac:dyDescent="0.25">
      <c r="A355" s="379" t="s">
        <v>690</v>
      </c>
      <c r="F355" s="379">
        <v>354</v>
      </c>
      <c r="G355" s="379" t="s">
        <v>329</v>
      </c>
      <c r="H355" s="379" t="s">
        <v>325</v>
      </c>
      <c r="I355" s="379" t="s">
        <v>337</v>
      </c>
      <c r="J355" s="379" t="s">
        <v>336</v>
      </c>
      <c r="K355" s="379" t="s">
        <v>334</v>
      </c>
      <c r="L355" s="379" t="s">
        <v>328</v>
      </c>
      <c r="M355" s="379" t="s">
        <v>331</v>
      </c>
      <c r="N355" s="379" t="s">
        <v>332</v>
      </c>
      <c r="P355" s="379">
        <f t="shared" si="278"/>
        <v>354</v>
      </c>
      <c r="Q355" s="445" t="str">
        <f t="shared" ref="Q355:X355" si="378">+RIGHT(G355,1)</f>
        <v>H</v>
      </c>
      <c r="R355" s="436" t="str">
        <f t="shared" si="378"/>
        <v>E</v>
      </c>
      <c r="S355" s="436" t="str">
        <f t="shared" si="378"/>
        <v>B</v>
      </c>
      <c r="T355" s="436" t="str">
        <f t="shared" si="378"/>
        <v>D</v>
      </c>
      <c r="U355" s="436" t="str">
        <f t="shared" si="378"/>
        <v>A</v>
      </c>
      <c r="V355" s="436" t="str">
        <f t="shared" si="378"/>
        <v>F</v>
      </c>
      <c r="W355" s="436" t="str">
        <f t="shared" si="378"/>
        <v>L</v>
      </c>
      <c r="X355" s="436" t="str">
        <f t="shared" si="378"/>
        <v>K</v>
      </c>
      <c r="Y355" s="446">
        <f t="shared" ca="1" si="280"/>
        <v>5</v>
      </c>
    </row>
    <row r="356" spans="1:25" ht="14.25" customHeight="1" x14ac:dyDescent="0.25">
      <c r="A356" s="379" t="s">
        <v>691</v>
      </c>
      <c r="F356" s="379">
        <v>355</v>
      </c>
      <c r="G356" s="379" t="s">
        <v>329</v>
      </c>
      <c r="H356" s="379" t="s">
        <v>326</v>
      </c>
      <c r="I356" s="379" t="s">
        <v>337</v>
      </c>
      <c r="J356" s="379" t="s">
        <v>336</v>
      </c>
      <c r="K356" s="379" t="s">
        <v>334</v>
      </c>
      <c r="L356" s="379" t="s">
        <v>328</v>
      </c>
      <c r="M356" s="379" t="s">
        <v>331</v>
      </c>
      <c r="N356" s="379" t="s">
        <v>325</v>
      </c>
      <c r="P356" s="379">
        <f t="shared" si="278"/>
        <v>355</v>
      </c>
      <c r="Q356" s="445" t="str">
        <f t="shared" ref="Q356:X356" si="379">+RIGHT(G356,1)</f>
        <v>H</v>
      </c>
      <c r="R356" s="436" t="str">
        <f t="shared" si="379"/>
        <v>J</v>
      </c>
      <c r="S356" s="436" t="str">
        <f t="shared" si="379"/>
        <v>B</v>
      </c>
      <c r="T356" s="436" t="str">
        <f t="shared" si="379"/>
        <v>D</v>
      </c>
      <c r="U356" s="436" t="str">
        <f t="shared" si="379"/>
        <v>A</v>
      </c>
      <c r="V356" s="436" t="str">
        <f t="shared" si="379"/>
        <v>F</v>
      </c>
      <c r="W356" s="436" t="str">
        <f t="shared" si="379"/>
        <v>L</v>
      </c>
      <c r="X356" s="436" t="str">
        <f t="shared" si="379"/>
        <v>E</v>
      </c>
      <c r="Y356" s="446">
        <f t="shared" ca="1" si="280"/>
        <v>5</v>
      </c>
    </row>
    <row r="357" spans="1:25" ht="14.25" customHeight="1" x14ac:dyDescent="0.25">
      <c r="A357" s="379" t="s">
        <v>692</v>
      </c>
      <c r="F357" s="379">
        <v>356</v>
      </c>
      <c r="G357" s="379" t="s">
        <v>329</v>
      </c>
      <c r="H357" s="379" t="s">
        <v>326</v>
      </c>
      <c r="I357" s="379" t="s">
        <v>337</v>
      </c>
      <c r="J357" s="379" t="s">
        <v>336</v>
      </c>
      <c r="K357" s="379" t="s">
        <v>334</v>
      </c>
      <c r="L357" s="379" t="s">
        <v>328</v>
      </c>
      <c r="M357" s="379" t="s">
        <v>325</v>
      </c>
      <c r="N357" s="379" t="s">
        <v>332</v>
      </c>
      <c r="P357" s="379">
        <f t="shared" si="278"/>
        <v>356</v>
      </c>
      <c r="Q357" s="445" t="str">
        <f t="shared" ref="Q357:X357" si="380">+RIGHT(G357,1)</f>
        <v>H</v>
      </c>
      <c r="R357" s="436" t="str">
        <f t="shared" si="380"/>
        <v>J</v>
      </c>
      <c r="S357" s="436" t="str">
        <f t="shared" si="380"/>
        <v>B</v>
      </c>
      <c r="T357" s="436" t="str">
        <f t="shared" si="380"/>
        <v>D</v>
      </c>
      <c r="U357" s="436" t="str">
        <f t="shared" si="380"/>
        <v>A</v>
      </c>
      <c r="V357" s="436" t="str">
        <f t="shared" si="380"/>
        <v>F</v>
      </c>
      <c r="W357" s="436" t="str">
        <f t="shared" si="380"/>
        <v>E</v>
      </c>
      <c r="X357" s="436" t="str">
        <f t="shared" si="380"/>
        <v>K</v>
      </c>
      <c r="Y357" s="446">
        <f t="shared" ca="1" si="280"/>
        <v>4</v>
      </c>
    </row>
    <row r="358" spans="1:25" ht="14.25" customHeight="1" x14ac:dyDescent="0.25">
      <c r="A358" s="379" t="s">
        <v>693</v>
      </c>
      <c r="F358" s="379">
        <v>357</v>
      </c>
      <c r="G358" s="379" t="s">
        <v>329</v>
      </c>
      <c r="H358" s="379" t="s">
        <v>325</v>
      </c>
      <c r="I358" s="379" t="s">
        <v>337</v>
      </c>
      <c r="J358" s="379" t="s">
        <v>336</v>
      </c>
      <c r="K358" s="379" t="s">
        <v>334</v>
      </c>
      <c r="L358" s="379" t="s">
        <v>328</v>
      </c>
      <c r="M358" s="379" t="s">
        <v>331</v>
      </c>
      <c r="N358" s="379" t="s">
        <v>327</v>
      </c>
      <c r="P358" s="379">
        <f t="shared" si="278"/>
        <v>357</v>
      </c>
      <c r="Q358" s="445" t="str">
        <f t="shared" ref="Q358:X358" si="381">+RIGHT(G358,1)</f>
        <v>H</v>
      </c>
      <c r="R358" s="436" t="str">
        <f t="shared" si="381"/>
        <v>E</v>
      </c>
      <c r="S358" s="436" t="str">
        <f t="shared" si="381"/>
        <v>B</v>
      </c>
      <c r="T358" s="436" t="str">
        <f t="shared" si="381"/>
        <v>D</v>
      </c>
      <c r="U358" s="436" t="str">
        <f t="shared" si="381"/>
        <v>A</v>
      </c>
      <c r="V358" s="436" t="str">
        <f t="shared" si="381"/>
        <v>F</v>
      </c>
      <c r="W358" s="436" t="str">
        <f t="shared" si="381"/>
        <v>L</v>
      </c>
      <c r="X358" s="436" t="str">
        <f t="shared" si="381"/>
        <v>I</v>
      </c>
      <c r="Y358" s="446">
        <f t="shared" ca="1" si="280"/>
        <v>6</v>
      </c>
    </row>
    <row r="359" spans="1:25" ht="14.25" customHeight="1" x14ac:dyDescent="0.25">
      <c r="A359" s="379" t="s">
        <v>694</v>
      </c>
      <c r="F359" s="379">
        <v>358</v>
      </c>
      <c r="G359" s="379" t="s">
        <v>329</v>
      </c>
      <c r="H359" s="379" t="s">
        <v>325</v>
      </c>
      <c r="I359" s="379" t="s">
        <v>337</v>
      </c>
      <c r="J359" s="379" t="s">
        <v>336</v>
      </c>
      <c r="K359" s="379" t="s">
        <v>334</v>
      </c>
      <c r="L359" s="379" t="s">
        <v>328</v>
      </c>
      <c r="M359" s="379" t="s">
        <v>327</v>
      </c>
      <c r="N359" s="379" t="s">
        <v>332</v>
      </c>
      <c r="P359" s="379">
        <f t="shared" si="278"/>
        <v>358</v>
      </c>
      <c r="Q359" s="445" t="str">
        <f t="shared" ref="Q359:X359" si="382">+RIGHT(G359,1)</f>
        <v>H</v>
      </c>
      <c r="R359" s="436" t="str">
        <f t="shared" si="382"/>
        <v>E</v>
      </c>
      <c r="S359" s="436" t="str">
        <f t="shared" si="382"/>
        <v>B</v>
      </c>
      <c r="T359" s="436" t="str">
        <f t="shared" si="382"/>
        <v>D</v>
      </c>
      <c r="U359" s="436" t="str">
        <f t="shared" si="382"/>
        <v>A</v>
      </c>
      <c r="V359" s="436" t="str">
        <f t="shared" si="382"/>
        <v>F</v>
      </c>
      <c r="W359" s="436" t="str">
        <f t="shared" si="382"/>
        <v>I</v>
      </c>
      <c r="X359" s="436" t="str">
        <f t="shared" si="382"/>
        <v>K</v>
      </c>
      <c r="Y359" s="446">
        <f t="shared" ca="1" si="280"/>
        <v>5</v>
      </c>
    </row>
    <row r="360" spans="1:25" ht="14.25" customHeight="1" x14ac:dyDescent="0.25">
      <c r="A360" s="379" t="s">
        <v>695</v>
      </c>
      <c r="F360" s="379">
        <v>359</v>
      </c>
      <c r="G360" s="379" t="s">
        <v>329</v>
      </c>
      <c r="H360" s="379" t="s">
        <v>326</v>
      </c>
      <c r="I360" s="379" t="s">
        <v>337</v>
      </c>
      <c r="J360" s="379" t="s">
        <v>336</v>
      </c>
      <c r="K360" s="379" t="s">
        <v>334</v>
      </c>
      <c r="L360" s="379" t="s">
        <v>328</v>
      </c>
      <c r="M360" s="379" t="s">
        <v>325</v>
      </c>
      <c r="N360" s="379" t="s">
        <v>327</v>
      </c>
      <c r="P360" s="379">
        <f t="shared" si="278"/>
        <v>359</v>
      </c>
      <c r="Q360" s="445" t="str">
        <f t="shared" ref="Q360:X360" si="383">+RIGHT(G360,1)</f>
        <v>H</v>
      </c>
      <c r="R360" s="436" t="str">
        <f t="shared" si="383"/>
        <v>J</v>
      </c>
      <c r="S360" s="436" t="str">
        <f t="shared" si="383"/>
        <v>B</v>
      </c>
      <c r="T360" s="436" t="str">
        <f t="shared" si="383"/>
        <v>D</v>
      </c>
      <c r="U360" s="436" t="str">
        <f t="shared" si="383"/>
        <v>A</v>
      </c>
      <c r="V360" s="436" t="str">
        <f t="shared" si="383"/>
        <v>F</v>
      </c>
      <c r="W360" s="436" t="str">
        <f t="shared" si="383"/>
        <v>E</v>
      </c>
      <c r="X360" s="436" t="str">
        <f t="shared" si="383"/>
        <v>I</v>
      </c>
      <c r="Y360" s="446">
        <f t="shared" ca="1" si="280"/>
        <v>5</v>
      </c>
    </row>
    <row r="361" spans="1:25" ht="14.25" customHeight="1" x14ac:dyDescent="0.25">
      <c r="A361" s="379" t="s">
        <v>696</v>
      </c>
      <c r="F361" s="379">
        <v>360</v>
      </c>
      <c r="G361" s="379" t="s">
        <v>325</v>
      </c>
      <c r="H361" s="379" t="s">
        <v>330</v>
      </c>
      <c r="I361" s="379" t="s">
        <v>337</v>
      </c>
      <c r="J361" s="379" t="s">
        <v>336</v>
      </c>
      <c r="K361" s="379" t="s">
        <v>334</v>
      </c>
      <c r="L361" s="379" t="s">
        <v>328</v>
      </c>
      <c r="M361" s="379" t="s">
        <v>331</v>
      </c>
      <c r="N361" s="379" t="s">
        <v>332</v>
      </c>
      <c r="P361" s="379">
        <f t="shared" si="278"/>
        <v>360</v>
      </c>
      <c r="Q361" s="445" t="str">
        <f t="shared" ref="Q361:X361" si="384">+RIGHT(G361,1)</f>
        <v>E</v>
      </c>
      <c r="R361" s="436" t="str">
        <f t="shared" si="384"/>
        <v>G</v>
      </c>
      <c r="S361" s="436" t="str">
        <f t="shared" si="384"/>
        <v>B</v>
      </c>
      <c r="T361" s="436" t="str">
        <f t="shared" si="384"/>
        <v>D</v>
      </c>
      <c r="U361" s="436" t="str">
        <f t="shared" si="384"/>
        <v>A</v>
      </c>
      <c r="V361" s="436" t="str">
        <f t="shared" si="384"/>
        <v>F</v>
      </c>
      <c r="W361" s="436" t="str">
        <f t="shared" si="384"/>
        <v>L</v>
      </c>
      <c r="X361" s="436" t="str">
        <f t="shared" si="384"/>
        <v>K</v>
      </c>
      <c r="Y361" s="446">
        <f t="shared" ca="1" si="280"/>
        <v>5</v>
      </c>
    </row>
    <row r="362" spans="1:25" ht="14.25" customHeight="1" x14ac:dyDescent="0.25">
      <c r="A362" s="379" t="s">
        <v>697</v>
      </c>
      <c r="F362" s="379">
        <v>361</v>
      </c>
      <c r="G362" s="379" t="s">
        <v>325</v>
      </c>
      <c r="H362" s="379" t="s">
        <v>330</v>
      </c>
      <c r="I362" s="379" t="s">
        <v>337</v>
      </c>
      <c r="J362" s="379" t="s">
        <v>336</v>
      </c>
      <c r="K362" s="379" t="s">
        <v>334</v>
      </c>
      <c r="L362" s="379" t="s">
        <v>328</v>
      </c>
      <c r="M362" s="379" t="s">
        <v>331</v>
      </c>
      <c r="N362" s="379" t="s">
        <v>326</v>
      </c>
      <c r="P362" s="379">
        <f t="shared" si="278"/>
        <v>361</v>
      </c>
      <c r="Q362" s="445" t="str">
        <f t="shared" ref="Q362:X362" si="385">+RIGHT(G362,1)</f>
        <v>E</v>
      </c>
      <c r="R362" s="436" t="str">
        <f t="shared" si="385"/>
        <v>G</v>
      </c>
      <c r="S362" s="436" t="str">
        <f t="shared" si="385"/>
        <v>B</v>
      </c>
      <c r="T362" s="436" t="str">
        <f t="shared" si="385"/>
        <v>D</v>
      </c>
      <c r="U362" s="436" t="str">
        <f t="shared" si="385"/>
        <v>A</v>
      </c>
      <c r="V362" s="436" t="str">
        <f t="shared" si="385"/>
        <v>F</v>
      </c>
      <c r="W362" s="436" t="str">
        <f t="shared" si="385"/>
        <v>L</v>
      </c>
      <c r="X362" s="436" t="str">
        <f t="shared" si="385"/>
        <v>J</v>
      </c>
      <c r="Y362" s="446">
        <f t="shared" ca="1" si="280"/>
        <v>5</v>
      </c>
    </row>
    <row r="363" spans="1:25" ht="14.25" customHeight="1" x14ac:dyDescent="0.25">
      <c r="A363" s="379" t="s">
        <v>698</v>
      </c>
      <c r="F363" s="379">
        <v>362</v>
      </c>
      <c r="G363" s="379" t="s">
        <v>325</v>
      </c>
      <c r="H363" s="379" t="s">
        <v>330</v>
      </c>
      <c r="I363" s="379" t="s">
        <v>337</v>
      </c>
      <c r="J363" s="379" t="s">
        <v>336</v>
      </c>
      <c r="K363" s="379" t="s">
        <v>334</v>
      </c>
      <c r="L363" s="379" t="s">
        <v>328</v>
      </c>
      <c r="M363" s="379" t="s">
        <v>326</v>
      </c>
      <c r="N363" s="379" t="s">
        <v>332</v>
      </c>
      <c r="P363" s="379">
        <f t="shared" si="278"/>
        <v>362</v>
      </c>
      <c r="Q363" s="445" t="str">
        <f t="shared" ref="Q363:X363" si="386">+RIGHT(G363,1)</f>
        <v>E</v>
      </c>
      <c r="R363" s="436" t="str">
        <f t="shared" si="386"/>
        <v>G</v>
      </c>
      <c r="S363" s="436" t="str">
        <f t="shared" si="386"/>
        <v>B</v>
      </c>
      <c r="T363" s="436" t="str">
        <f t="shared" si="386"/>
        <v>D</v>
      </c>
      <c r="U363" s="436" t="str">
        <f t="shared" si="386"/>
        <v>A</v>
      </c>
      <c r="V363" s="436" t="str">
        <f t="shared" si="386"/>
        <v>F</v>
      </c>
      <c r="W363" s="436" t="str">
        <f t="shared" si="386"/>
        <v>J</v>
      </c>
      <c r="X363" s="436" t="str">
        <f t="shared" si="386"/>
        <v>K</v>
      </c>
      <c r="Y363" s="446">
        <f t="shared" ca="1" si="280"/>
        <v>4</v>
      </c>
    </row>
    <row r="364" spans="1:25" ht="14.25" customHeight="1" x14ac:dyDescent="0.25">
      <c r="A364" s="379" t="s">
        <v>699</v>
      </c>
      <c r="F364" s="379">
        <v>363</v>
      </c>
      <c r="G364" s="379" t="s">
        <v>325</v>
      </c>
      <c r="H364" s="379" t="s">
        <v>330</v>
      </c>
      <c r="I364" s="379" t="s">
        <v>337</v>
      </c>
      <c r="J364" s="379" t="s">
        <v>336</v>
      </c>
      <c r="K364" s="379" t="s">
        <v>334</v>
      </c>
      <c r="L364" s="379" t="s">
        <v>328</v>
      </c>
      <c r="M364" s="379" t="s">
        <v>331</v>
      </c>
      <c r="N364" s="379" t="s">
        <v>327</v>
      </c>
      <c r="P364" s="379">
        <f t="shared" si="278"/>
        <v>363</v>
      </c>
      <c r="Q364" s="445" t="str">
        <f t="shared" ref="Q364:X364" si="387">+RIGHT(G364,1)</f>
        <v>E</v>
      </c>
      <c r="R364" s="436" t="str">
        <f t="shared" si="387"/>
        <v>G</v>
      </c>
      <c r="S364" s="436" t="str">
        <f t="shared" si="387"/>
        <v>B</v>
      </c>
      <c r="T364" s="436" t="str">
        <f t="shared" si="387"/>
        <v>D</v>
      </c>
      <c r="U364" s="436" t="str">
        <f t="shared" si="387"/>
        <v>A</v>
      </c>
      <c r="V364" s="436" t="str">
        <f t="shared" si="387"/>
        <v>F</v>
      </c>
      <c r="W364" s="436" t="str">
        <f t="shared" si="387"/>
        <v>L</v>
      </c>
      <c r="X364" s="436" t="str">
        <f t="shared" si="387"/>
        <v>I</v>
      </c>
      <c r="Y364" s="446">
        <f t="shared" ca="1" si="280"/>
        <v>6</v>
      </c>
    </row>
    <row r="365" spans="1:25" ht="14.25" customHeight="1" x14ac:dyDescent="0.25">
      <c r="A365" s="379" t="s">
        <v>700</v>
      </c>
      <c r="F365" s="379">
        <v>364</v>
      </c>
      <c r="G365" s="379" t="s">
        <v>325</v>
      </c>
      <c r="H365" s="379" t="s">
        <v>330</v>
      </c>
      <c r="I365" s="379" t="s">
        <v>337</v>
      </c>
      <c r="J365" s="379" t="s">
        <v>336</v>
      </c>
      <c r="K365" s="379" t="s">
        <v>334</v>
      </c>
      <c r="L365" s="379" t="s">
        <v>328</v>
      </c>
      <c r="M365" s="379" t="s">
        <v>327</v>
      </c>
      <c r="N365" s="379" t="s">
        <v>332</v>
      </c>
      <c r="P365" s="379">
        <f t="shared" si="278"/>
        <v>364</v>
      </c>
      <c r="Q365" s="445" t="str">
        <f t="shared" ref="Q365:X365" si="388">+RIGHT(G365,1)</f>
        <v>E</v>
      </c>
      <c r="R365" s="436" t="str">
        <f t="shared" si="388"/>
        <v>G</v>
      </c>
      <c r="S365" s="436" t="str">
        <f t="shared" si="388"/>
        <v>B</v>
      </c>
      <c r="T365" s="436" t="str">
        <f t="shared" si="388"/>
        <v>D</v>
      </c>
      <c r="U365" s="436" t="str">
        <f t="shared" si="388"/>
        <v>A</v>
      </c>
      <c r="V365" s="436" t="str">
        <f t="shared" si="388"/>
        <v>F</v>
      </c>
      <c r="W365" s="436" t="str">
        <f t="shared" si="388"/>
        <v>I</v>
      </c>
      <c r="X365" s="436" t="str">
        <f t="shared" si="388"/>
        <v>K</v>
      </c>
      <c r="Y365" s="446">
        <f t="shared" ca="1" si="280"/>
        <v>5</v>
      </c>
    </row>
    <row r="366" spans="1:25" ht="14.25" customHeight="1" x14ac:dyDescent="0.25">
      <c r="A366" s="379" t="s">
        <v>701</v>
      </c>
      <c r="F366" s="379">
        <v>365</v>
      </c>
      <c r="G366" s="379" t="s">
        <v>325</v>
      </c>
      <c r="H366" s="379" t="s">
        <v>330</v>
      </c>
      <c r="I366" s="379" t="s">
        <v>337</v>
      </c>
      <c r="J366" s="379" t="s">
        <v>336</v>
      </c>
      <c r="K366" s="379" t="s">
        <v>334</v>
      </c>
      <c r="L366" s="379" t="s">
        <v>328</v>
      </c>
      <c r="M366" s="379" t="s">
        <v>327</v>
      </c>
      <c r="N366" s="379" t="s">
        <v>326</v>
      </c>
      <c r="P366" s="379">
        <f t="shared" si="278"/>
        <v>365</v>
      </c>
      <c r="Q366" s="445" t="str">
        <f t="shared" ref="Q366:X366" si="389">+RIGHT(G366,1)</f>
        <v>E</v>
      </c>
      <c r="R366" s="436" t="str">
        <f t="shared" si="389"/>
        <v>G</v>
      </c>
      <c r="S366" s="436" t="str">
        <f t="shared" si="389"/>
        <v>B</v>
      </c>
      <c r="T366" s="436" t="str">
        <f t="shared" si="389"/>
        <v>D</v>
      </c>
      <c r="U366" s="436" t="str">
        <f t="shared" si="389"/>
        <v>A</v>
      </c>
      <c r="V366" s="436" t="str">
        <f t="shared" si="389"/>
        <v>F</v>
      </c>
      <c r="W366" s="436" t="str">
        <f t="shared" si="389"/>
        <v>I</v>
      </c>
      <c r="X366" s="436" t="str">
        <f t="shared" si="389"/>
        <v>J</v>
      </c>
      <c r="Y366" s="446">
        <f t="shared" ca="1" si="280"/>
        <v>5</v>
      </c>
    </row>
    <row r="367" spans="1:25" ht="14.25" customHeight="1" x14ac:dyDescent="0.25">
      <c r="A367" s="379" t="s">
        <v>702</v>
      </c>
      <c r="F367" s="379">
        <v>366</v>
      </c>
      <c r="G367" s="379" t="s">
        <v>329</v>
      </c>
      <c r="H367" s="379" t="s">
        <v>330</v>
      </c>
      <c r="I367" s="379" t="s">
        <v>337</v>
      </c>
      <c r="J367" s="379" t="s">
        <v>336</v>
      </c>
      <c r="K367" s="379" t="s">
        <v>334</v>
      </c>
      <c r="L367" s="379" t="s">
        <v>328</v>
      </c>
      <c r="M367" s="379" t="s">
        <v>331</v>
      </c>
      <c r="N367" s="379" t="s">
        <v>325</v>
      </c>
      <c r="P367" s="379">
        <f t="shared" si="278"/>
        <v>366</v>
      </c>
      <c r="Q367" s="445" t="str">
        <f t="shared" ref="Q367:X367" si="390">+RIGHT(G367,1)</f>
        <v>H</v>
      </c>
      <c r="R367" s="436" t="str">
        <f t="shared" si="390"/>
        <v>G</v>
      </c>
      <c r="S367" s="436" t="str">
        <f t="shared" si="390"/>
        <v>B</v>
      </c>
      <c r="T367" s="436" t="str">
        <f t="shared" si="390"/>
        <v>D</v>
      </c>
      <c r="U367" s="436" t="str">
        <f t="shared" si="390"/>
        <v>A</v>
      </c>
      <c r="V367" s="436" t="str">
        <f t="shared" si="390"/>
        <v>F</v>
      </c>
      <c r="W367" s="436" t="str">
        <f t="shared" si="390"/>
        <v>L</v>
      </c>
      <c r="X367" s="436" t="str">
        <f t="shared" si="390"/>
        <v>E</v>
      </c>
      <c r="Y367" s="446">
        <f t="shared" ca="1" si="280"/>
        <v>6</v>
      </c>
    </row>
    <row r="368" spans="1:25" ht="14.25" customHeight="1" x14ac:dyDescent="0.25">
      <c r="A368" s="379" t="s">
        <v>703</v>
      </c>
      <c r="F368" s="379">
        <v>367</v>
      </c>
      <c r="G368" s="379" t="s">
        <v>329</v>
      </c>
      <c r="H368" s="379" t="s">
        <v>330</v>
      </c>
      <c r="I368" s="379" t="s">
        <v>337</v>
      </c>
      <c r="J368" s="379" t="s">
        <v>336</v>
      </c>
      <c r="K368" s="379" t="s">
        <v>334</v>
      </c>
      <c r="L368" s="379" t="s">
        <v>328</v>
      </c>
      <c r="M368" s="379" t="s">
        <v>325</v>
      </c>
      <c r="N368" s="379" t="s">
        <v>332</v>
      </c>
      <c r="P368" s="379">
        <f t="shared" si="278"/>
        <v>367</v>
      </c>
      <c r="Q368" s="445" t="str">
        <f t="shared" ref="Q368:X368" si="391">+RIGHT(G368,1)</f>
        <v>H</v>
      </c>
      <c r="R368" s="436" t="str">
        <f t="shared" si="391"/>
        <v>G</v>
      </c>
      <c r="S368" s="436" t="str">
        <f t="shared" si="391"/>
        <v>B</v>
      </c>
      <c r="T368" s="436" t="str">
        <f t="shared" si="391"/>
        <v>D</v>
      </c>
      <c r="U368" s="436" t="str">
        <f t="shared" si="391"/>
        <v>A</v>
      </c>
      <c r="V368" s="436" t="str">
        <f t="shared" si="391"/>
        <v>F</v>
      </c>
      <c r="W368" s="436" t="str">
        <f t="shared" si="391"/>
        <v>E</v>
      </c>
      <c r="X368" s="436" t="str">
        <f t="shared" si="391"/>
        <v>K</v>
      </c>
      <c r="Y368" s="446">
        <f t="shared" ca="1" si="280"/>
        <v>5</v>
      </c>
    </row>
    <row r="369" spans="1:25" ht="14.25" customHeight="1" x14ac:dyDescent="0.25">
      <c r="A369" s="379" t="s">
        <v>704</v>
      </c>
      <c r="F369" s="379">
        <v>368</v>
      </c>
      <c r="G369" s="379" t="s">
        <v>329</v>
      </c>
      <c r="H369" s="379" t="s">
        <v>330</v>
      </c>
      <c r="I369" s="379" t="s">
        <v>337</v>
      </c>
      <c r="J369" s="379" t="s">
        <v>336</v>
      </c>
      <c r="K369" s="379" t="s">
        <v>334</v>
      </c>
      <c r="L369" s="379" t="s">
        <v>328</v>
      </c>
      <c r="M369" s="379" t="s">
        <v>325</v>
      </c>
      <c r="N369" s="379" t="s">
        <v>326</v>
      </c>
      <c r="P369" s="379">
        <f t="shared" si="278"/>
        <v>368</v>
      </c>
      <c r="Q369" s="445" t="str">
        <f t="shared" ref="Q369:X369" si="392">+RIGHT(G369,1)</f>
        <v>H</v>
      </c>
      <c r="R369" s="436" t="str">
        <f t="shared" si="392"/>
        <v>G</v>
      </c>
      <c r="S369" s="436" t="str">
        <f t="shared" si="392"/>
        <v>B</v>
      </c>
      <c r="T369" s="436" t="str">
        <f t="shared" si="392"/>
        <v>D</v>
      </c>
      <c r="U369" s="436" t="str">
        <f t="shared" si="392"/>
        <v>A</v>
      </c>
      <c r="V369" s="436" t="str">
        <f t="shared" si="392"/>
        <v>F</v>
      </c>
      <c r="W369" s="436" t="str">
        <f t="shared" si="392"/>
        <v>E</v>
      </c>
      <c r="X369" s="436" t="str">
        <f t="shared" si="392"/>
        <v>J</v>
      </c>
      <c r="Y369" s="446">
        <f t="shared" ca="1" si="280"/>
        <v>5</v>
      </c>
    </row>
    <row r="370" spans="1:25" ht="14.25" customHeight="1" x14ac:dyDescent="0.25">
      <c r="A370" s="379" t="s">
        <v>705</v>
      </c>
      <c r="F370" s="379">
        <v>369</v>
      </c>
      <c r="G370" s="379" t="s">
        <v>329</v>
      </c>
      <c r="H370" s="379" t="s">
        <v>330</v>
      </c>
      <c r="I370" s="379" t="s">
        <v>337</v>
      </c>
      <c r="J370" s="379" t="s">
        <v>336</v>
      </c>
      <c r="K370" s="379" t="s">
        <v>334</v>
      </c>
      <c r="L370" s="379" t="s">
        <v>328</v>
      </c>
      <c r="M370" s="379" t="s">
        <v>325</v>
      </c>
      <c r="N370" s="379" t="s">
        <v>327</v>
      </c>
      <c r="P370" s="379">
        <f t="shared" si="278"/>
        <v>369</v>
      </c>
      <c r="Q370" s="445" t="str">
        <f t="shared" ref="Q370:X370" si="393">+RIGHT(G370,1)</f>
        <v>H</v>
      </c>
      <c r="R370" s="436" t="str">
        <f t="shared" si="393"/>
        <v>G</v>
      </c>
      <c r="S370" s="436" t="str">
        <f t="shared" si="393"/>
        <v>B</v>
      </c>
      <c r="T370" s="436" t="str">
        <f t="shared" si="393"/>
        <v>D</v>
      </c>
      <c r="U370" s="436" t="str">
        <f t="shared" si="393"/>
        <v>A</v>
      </c>
      <c r="V370" s="436" t="str">
        <f t="shared" si="393"/>
        <v>F</v>
      </c>
      <c r="W370" s="436" t="str">
        <f t="shared" si="393"/>
        <v>E</v>
      </c>
      <c r="X370" s="436" t="str">
        <f t="shared" si="393"/>
        <v>I</v>
      </c>
      <c r="Y370" s="446">
        <f t="shared" ca="1" si="280"/>
        <v>6</v>
      </c>
    </row>
    <row r="371" spans="1:25" ht="14.25" customHeight="1" x14ac:dyDescent="0.25">
      <c r="A371" s="379" t="s">
        <v>706</v>
      </c>
      <c r="F371" s="379">
        <v>370</v>
      </c>
      <c r="G371" s="379" t="s">
        <v>327</v>
      </c>
      <c r="H371" s="379" t="s">
        <v>326</v>
      </c>
      <c r="I371" s="379" t="s">
        <v>337</v>
      </c>
      <c r="J371" s="379" t="s">
        <v>339</v>
      </c>
      <c r="K371" s="379" t="s">
        <v>334</v>
      </c>
      <c r="L371" s="379" t="s">
        <v>329</v>
      </c>
      <c r="M371" s="379" t="s">
        <v>331</v>
      </c>
      <c r="N371" s="379" t="s">
        <v>332</v>
      </c>
      <c r="P371" s="379">
        <f t="shared" si="278"/>
        <v>370</v>
      </c>
      <c r="Q371" s="445" t="str">
        <f t="shared" ref="Q371:X371" si="394">+RIGHT(G371,1)</f>
        <v>I</v>
      </c>
      <c r="R371" s="436" t="str">
        <f t="shared" si="394"/>
        <v>J</v>
      </c>
      <c r="S371" s="436" t="str">
        <f t="shared" si="394"/>
        <v>B</v>
      </c>
      <c r="T371" s="436" t="str">
        <f t="shared" si="394"/>
        <v>C</v>
      </c>
      <c r="U371" s="436" t="str">
        <f t="shared" si="394"/>
        <v>A</v>
      </c>
      <c r="V371" s="436" t="str">
        <f t="shared" si="394"/>
        <v>H</v>
      </c>
      <c r="W371" s="436" t="str">
        <f t="shared" si="394"/>
        <v>L</v>
      </c>
      <c r="X371" s="436" t="str">
        <f t="shared" si="394"/>
        <v>K</v>
      </c>
      <c r="Y371" s="446">
        <f t="shared" ca="1" si="280"/>
        <v>5</v>
      </c>
    </row>
    <row r="372" spans="1:25" ht="14.25" customHeight="1" x14ac:dyDescent="0.25">
      <c r="A372" s="379" t="s">
        <v>707</v>
      </c>
      <c r="F372" s="379">
        <v>371</v>
      </c>
      <c r="G372" s="379" t="s">
        <v>327</v>
      </c>
      <c r="H372" s="379" t="s">
        <v>326</v>
      </c>
      <c r="I372" s="379" t="s">
        <v>337</v>
      </c>
      <c r="J372" s="379" t="s">
        <v>339</v>
      </c>
      <c r="K372" s="379" t="s">
        <v>334</v>
      </c>
      <c r="L372" s="379" t="s">
        <v>330</v>
      </c>
      <c r="M372" s="379" t="s">
        <v>331</v>
      </c>
      <c r="N372" s="379" t="s">
        <v>332</v>
      </c>
      <c r="P372" s="379">
        <f t="shared" si="278"/>
        <v>371</v>
      </c>
      <c r="Q372" s="445" t="str">
        <f t="shared" ref="Q372:X372" si="395">+RIGHT(G372,1)</f>
        <v>I</v>
      </c>
      <c r="R372" s="436" t="str">
        <f t="shared" si="395"/>
        <v>J</v>
      </c>
      <c r="S372" s="436" t="str">
        <f t="shared" si="395"/>
        <v>B</v>
      </c>
      <c r="T372" s="436" t="str">
        <f t="shared" si="395"/>
        <v>C</v>
      </c>
      <c r="U372" s="436" t="str">
        <f t="shared" si="395"/>
        <v>A</v>
      </c>
      <c r="V372" s="436" t="str">
        <f t="shared" si="395"/>
        <v>G</v>
      </c>
      <c r="W372" s="436" t="str">
        <f t="shared" si="395"/>
        <v>L</v>
      </c>
      <c r="X372" s="436" t="str">
        <f t="shared" si="395"/>
        <v>K</v>
      </c>
      <c r="Y372" s="446">
        <f t="shared" ca="1" si="280"/>
        <v>5</v>
      </c>
    </row>
    <row r="373" spans="1:25" ht="14.25" customHeight="1" x14ac:dyDescent="0.25">
      <c r="A373" s="379" t="s">
        <v>708</v>
      </c>
      <c r="F373" s="379">
        <v>372</v>
      </c>
      <c r="G373" s="379" t="s">
        <v>329</v>
      </c>
      <c r="H373" s="379" t="s">
        <v>326</v>
      </c>
      <c r="I373" s="379" t="s">
        <v>337</v>
      </c>
      <c r="J373" s="379" t="s">
        <v>339</v>
      </c>
      <c r="K373" s="379" t="s">
        <v>334</v>
      </c>
      <c r="L373" s="379" t="s">
        <v>330</v>
      </c>
      <c r="M373" s="379" t="s">
        <v>331</v>
      </c>
      <c r="N373" s="379" t="s">
        <v>332</v>
      </c>
      <c r="P373" s="379">
        <f t="shared" si="278"/>
        <v>372</v>
      </c>
      <c r="Q373" s="445" t="str">
        <f t="shared" ref="Q373:X373" si="396">+RIGHT(G373,1)</f>
        <v>H</v>
      </c>
      <c r="R373" s="436" t="str">
        <f t="shared" si="396"/>
        <v>J</v>
      </c>
      <c r="S373" s="436" t="str">
        <f t="shared" si="396"/>
        <v>B</v>
      </c>
      <c r="T373" s="436" t="str">
        <f t="shared" si="396"/>
        <v>C</v>
      </c>
      <c r="U373" s="436" t="str">
        <f t="shared" si="396"/>
        <v>A</v>
      </c>
      <c r="V373" s="436" t="str">
        <f t="shared" si="396"/>
        <v>G</v>
      </c>
      <c r="W373" s="436" t="str">
        <f t="shared" si="396"/>
        <v>L</v>
      </c>
      <c r="X373" s="436" t="str">
        <f t="shared" si="396"/>
        <v>K</v>
      </c>
      <c r="Y373" s="446">
        <f t="shared" ca="1" si="280"/>
        <v>5</v>
      </c>
    </row>
    <row r="374" spans="1:25" ht="14.25" customHeight="1" x14ac:dyDescent="0.25">
      <c r="A374" s="379" t="s">
        <v>709</v>
      </c>
      <c r="F374" s="379">
        <v>373</v>
      </c>
      <c r="G374" s="379" t="s">
        <v>327</v>
      </c>
      <c r="H374" s="379" t="s">
        <v>330</v>
      </c>
      <c r="I374" s="379" t="s">
        <v>337</v>
      </c>
      <c r="J374" s="379" t="s">
        <v>339</v>
      </c>
      <c r="K374" s="379" t="s">
        <v>334</v>
      </c>
      <c r="L374" s="379" t="s">
        <v>329</v>
      </c>
      <c r="M374" s="379" t="s">
        <v>331</v>
      </c>
      <c r="N374" s="379" t="s">
        <v>332</v>
      </c>
      <c r="P374" s="379">
        <f t="shared" si="278"/>
        <v>373</v>
      </c>
      <c r="Q374" s="445" t="str">
        <f t="shared" ref="Q374:X374" si="397">+RIGHT(G374,1)</f>
        <v>I</v>
      </c>
      <c r="R374" s="436" t="str">
        <f t="shared" si="397"/>
        <v>G</v>
      </c>
      <c r="S374" s="436" t="str">
        <f t="shared" si="397"/>
        <v>B</v>
      </c>
      <c r="T374" s="436" t="str">
        <f t="shared" si="397"/>
        <v>C</v>
      </c>
      <c r="U374" s="436" t="str">
        <f t="shared" si="397"/>
        <v>A</v>
      </c>
      <c r="V374" s="436" t="str">
        <f t="shared" si="397"/>
        <v>H</v>
      </c>
      <c r="W374" s="436" t="str">
        <f t="shared" si="397"/>
        <v>L</v>
      </c>
      <c r="X374" s="436" t="str">
        <f t="shared" si="397"/>
        <v>K</v>
      </c>
      <c r="Y374" s="446">
        <f t="shared" ca="1" si="280"/>
        <v>6</v>
      </c>
    </row>
    <row r="375" spans="1:25" ht="14.25" customHeight="1" x14ac:dyDescent="0.25">
      <c r="A375" s="379" t="s">
        <v>710</v>
      </c>
      <c r="F375" s="379">
        <v>374</v>
      </c>
      <c r="G375" s="379" t="s">
        <v>329</v>
      </c>
      <c r="H375" s="379" t="s">
        <v>326</v>
      </c>
      <c r="I375" s="379" t="s">
        <v>337</v>
      </c>
      <c r="J375" s="379" t="s">
        <v>339</v>
      </c>
      <c r="K375" s="379" t="s">
        <v>334</v>
      </c>
      <c r="L375" s="379" t="s">
        <v>330</v>
      </c>
      <c r="M375" s="379" t="s">
        <v>331</v>
      </c>
      <c r="N375" s="379" t="s">
        <v>327</v>
      </c>
      <c r="P375" s="379">
        <f t="shared" si="278"/>
        <v>374</v>
      </c>
      <c r="Q375" s="445" t="str">
        <f t="shared" ref="Q375:X375" si="398">+RIGHT(G375,1)</f>
        <v>H</v>
      </c>
      <c r="R375" s="436" t="str">
        <f t="shared" si="398"/>
        <v>J</v>
      </c>
      <c r="S375" s="436" t="str">
        <f t="shared" si="398"/>
        <v>B</v>
      </c>
      <c r="T375" s="436" t="str">
        <f t="shared" si="398"/>
        <v>C</v>
      </c>
      <c r="U375" s="436" t="str">
        <f t="shared" si="398"/>
        <v>A</v>
      </c>
      <c r="V375" s="436" t="str">
        <f t="shared" si="398"/>
        <v>G</v>
      </c>
      <c r="W375" s="436" t="str">
        <f t="shared" si="398"/>
        <v>L</v>
      </c>
      <c r="X375" s="436" t="str">
        <f t="shared" si="398"/>
        <v>I</v>
      </c>
      <c r="Y375" s="446">
        <f t="shared" ca="1" si="280"/>
        <v>6</v>
      </c>
    </row>
    <row r="376" spans="1:25" ht="14.25" customHeight="1" x14ac:dyDescent="0.25">
      <c r="A376" s="379" t="s">
        <v>711</v>
      </c>
      <c r="F376" s="379">
        <v>375</v>
      </c>
      <c r="G376" s="379" t="s">
        <v>329</v>
      </c>
      <c r="H376" s="379" t="s">
        <v>326</v>
      </c>
      <c r="I376" s="379" t="s">
        <v>337</v>
      </c>
      <c r="J376" s="379" t="s">
        <v>339</v>
      </c>
      <c r="K376" s="379" t="s">
        <v>334</v>
      </c>
      <c r="L376" s="379" t="s">
        <v>330</v>
      </c>
      <c r="M376" s="379" t="s">
        <v>327</v>
      </c>
      <c r="N376" s="379" t="s">
        <v>332</v>
      </c>
      <c r="P376" s="379">
        <f t="shared" si="278"/>
        <v>375</v>
      </c>
      <c r="Q376" s="445" t="str">
        <f t="shared" ref="Q376:X376" si="399">+RIGHT(G376,1)</f>
        <v>H</v>
      </c>
      <c r="R376" s="436" t="str">
        <f t="shared" si="399"/>
        <v>J</v>
      </c>
      <c r="S376" s="436" t="str">
        <f t="shared" si="399"/>
        <v>B</v>
      </c>
      <c r="T376" s="436" t="str">
        <f t="shared" si="399"/>
        <v>C</v>
      </c>
      <c r="U376" s="436" t="str">
        <f t="shared" si="399"/>
        <v>A</v>
      </c>
      <c r="V376" s="436" t="str">
        <f t="shared" si="399"/>
        <v>G</v>
      </c>
      <c r="W376" s="436" t="str">
        <f t="shared" si="399"/>
        <v>I</v>
      </c>
      <c r="X376" s="436" t="str">
        <f t="shared" si="399"/>
        <v>K</v>
      </c>
      <c r="Y376" s="446">
        <f t="shared" ca="1" si="280"/>
        <v>5</v>
      </c>
    </row>
    <row r="377" spans="1:25" ht="14.25" customHeight="1" x14ac:dyDescent="0.25">
      <c r="A377" s="379" t="s">
        <v>712</v>
      </c>
      <c r="F377" s="379">
        <v>376</v>
      </c>
      <c r="G377" s="379" t="s">
        <v>327</v>
      </c>
      <c r="H377" s="379" t="s">
        <v>326</v>
      </c>
      <c r="I377" s="379" t="s">
        <v>337</v>
      </c>
      <c r="J377" s="379" t="s">
        <v>339</v>
      </c>
      <c r="K377" s="379" t="s">
        <v>334</v>
      </c>
      <c r="L377" s="379" t="s">
        <v>328</v>
      </c>
      <c r="M377" s="379" t="s">
        <v>331</v>
      </c>
      <c r="N377" s="379" t="s">
        <v>332</v>
      </c>
      <c r="P377" s="379">
        <f t="shared" si="278"/>
        <v>376</v>
      </c>
      <c r="Q377" s="445" t="str">
        <f t="shared" ref="Q377:X377" si="400">+RIGHT(G377,1)</f>
        <v>I</v>
      </c>
      <c r="R377" s="436" t="str">
        <f t="shared" si="400"/>
        <v>J</v>
      </c>
      <c r="S377" s="436" t="str">
        <f t="shared" si="400"/>
        <v>B</v>
      </c>
      <c r="T377" s="436" t="str">
        <f t="shared" si="400"/>
        <v>C</v>
      </c>
      <c r="U377" s="436" t="str">
        <f t="shared" si="400"/>
        <v>A</v>
      </c>
      <c r="V377" s="436" t="str">
        <f t="shared" si="400"/>
        <v>F</v>
      </c>
      <c r="W377" s="436" t="str">
        <f t="shared" si="400"/>
        <v>L</v>
      </c>
      <c r="X377" s="436" t="str">
        <f t="shared" si="400"/>
        <v>K</v>
      </c>
      <c r="Y377" s="446">
        <f t="shared" ca="1" si="280"/>
        <v>5</v>
      </c>
    </row>
    <row r="378" spans="1:25" ht="14.25" customHeight="1" x14ac:dyDescent="0.25">
      <c r="A378" s="379" t="s">
        <v>713</v>
      </c>
      <c r="F378" s="379">
        <v>377</v>
      </c>
      <c r="G378" s="379" t="s">
        <v>329</v>
      </c>
      <c r="H378" s="379" t="s">
        <v>326</v>
      </c>
      <c r="I378" s="379" t="s">
        <v>337</v>
      </c>
      <c r="J378" s="379" t="s">
        <v>339</v>
      </c>
      <c r="K378" s="379" t="s">
        <v>334</v>
      </c>
      <c r="L378" s="379" t="s">
        <v>328</v>
      </c>
      <c r="M378" s="379" t="s">
        <v>331</v>
      </c>
      <c r="N378" s="379" t="s">
        <v>332</v>
      </c>
      <c r="P378" s="379">
        <f t="shared" si="278"/>
        <v>377</v>
      </c>
      <c r="Q378" s="445" t="str">
        <f t="shared" ref="Q378:X378" si="401">+RIGHT(G378,1)</f>
        <v>H</v>
      </c>
      <c r="R378" s="436" t="str">
        <f t="shared" si="401"/>
        <v>J</v>
      </c>
      <c r="S378" s="436" t="str">
        <f t="shared" si="401"/>
        <v>B</v>
      </c>
      <c r="T378" s="436" t="str">
        <f t="shared" si="401"/>
        <v>C</v>
      </c>
      <c r="U378" s="436" t="str">
        <f t="shared" si="401"/>
        <v>A</v>
      </c>
      <c r="V378" s="436" t="str">
        <f t="shared" si="401"/>
        <v>F</v>
      </c>
      <c r="W378" s="436" t="str">
        <f t="shared" si="401"/>
        <v>L</v>
      </c>
      <c r="X378" s="436" t="str">
        <f t="shared" si="401"/>
        <v>K</v>
      </c>
      <c r="Y378" s="446">
        <f t="shared" ca="1" si="280"/>
        <v>5</v>
      </c>
    </row>
    <row r="379" spans="1:25" ht="14.25" customHeight="1" x14ac:dyDescent="0.25">
      <c r="A379" s="379" t="s">
        <v>714</v>
      </c>
      <c r="F379" s="379">
        <v>378</v>
      </c>
      <c r="G379" s="379" t="s">
        <v>329</v>
      </c>
      <c r="H379" s="379" t="s">
        <v>327</v>
      </c>
      <c r="I379" s="379" t="s">
        <v>337</v>
      </c>
      <c r="J379" s="379" t="s">
        <v>339</v>
      </c>
      <c r="K379" s="379" t="s">
        <v>334</v>
      </c>
      <c r="L379" s="379" t="s">
        <v>328</v>
      </c>
      <c r="M379" s="379" t="s">
        <v>331</v>
      </c>
      <c r="N379" s="379" t="s">
        <v>332</v>
      </c>
      <c r="P379" s="379">
        <f t="shared" si="278"/>
        <v>378</v>
      </c>
      <c r="Q379" s="445" t="str">
        <f t="shared" ref="Q379:X379" si="402">+RIGHT(G379,1)</f>
        <v>H</v>
      </c>
      <c r="R379" s="436" t="str">
        <f t="shared" si="402"/>
        <v>I</v>
      </c>
      <c r="S379" s="436" t="str">
        <f t="shared" si="402"/>
        <v>B</v>
      </c>
      <c r="T379" s="436" t="str">
        <f t="shared" si="402"/>
        <v>C</v>
      </c>
      <c r="U379" s="436" t="str">
        <f t="shared" si="402"/>
        <v>A</v>
      </c>
      <c r="V379" s="436" t="str">
        <f t="shared" si="402"/>
        <v>F</v>
      </c>
      <c r="W379" s="436" t="str">
        <f t="shared" si="402"/>
        <v>L</v>
      </c>
      <c r="X379" s="436" t="str">
        <f t="shared" si="402"/>
        <v>K</v>
      </c>
      <c r="Y379" s="446">
        <f t="shared" ca="1" si="280"/>
        <v>6</v>
      </c>
    </row>
    <row r="380" spans="1:25" ht="14.25" customHeight="1" x14ac:dyDescent="0.25">
      <c r="A380" s="379" t="s">
        <v>715</v>
      </c>
      <c r="F380" s="379">
        <v>379</v>
      </c>
      <c r="G380" s="379" t="s">
        <v>329</v>
      </c>
      <c r="H380" s="379" t="s">
        <v>326</v>
      </c>
      <c r="I380" s="379" t="s">
        <v>337</v>
      </c>
      <c r="J380" s="379" t="s">
        <v>339</v>
      </c>
      <c r="K380" s="379" t="s">
        <v>334</v>
      </c>
      <c r="L380" s="379" t="s">
        <v>328</v>
      </c>
      <c r="M380" s="379" t="s">
        <v>331</v>
      </c>
      <c r="N380" s="379" t="s">
        <v>327</v>
      </c>
      <c r="P380" s="379">
        <f t="shared" si="278"/>
        <v>379</v>
      </c>
      <c r="Q380" s="445" t="str">
        <f t="shared" ref="Q380:X380" si="403">+RIGHT(G380,1)</f>
        <v>H</v>
      </c>
      <c r="R380" s="436" t="str">
        <f t="shared" si="403"/>
        <v>J</v>
      </c>
      <c r="S380" s="436" t="str">
        <f t="shared" si="403"/>
        <v>B</v>
      </c>
      <c r="T380" s="436" t="str">
        <f t="shared" si="403"/>
        <v>C</v>
      </c>
      <c r="U380" s="436" t="str">
        <f t="shared" si="403"/>
        <v>A</v>
      </c>
      <c r="V380" s="436" t="str">
        <f t="shared" si="403"/>
        <v>F</v>
      </c>
      <c r="W380" s="436" t="str">
        <f t="shared" si="403"/>
        <v>L</v>
      </c>
      <c r="X380" s="436" t="str">
        <f t="shared" si="403"/>
        <v>I</v>
      </c>
      <c r="Y380" s="446">
        <f t="shared" ca="1" si="280"/>
        <v>6</v>
      </c>
    </row>
    <row r="381" spans="1:25" ht="14.25" customHeight="1" x14ac:dyDescent="0.25">
      <c r="A381" s="379" t="s">
        <v>716</v>
      </c>
      <c r="F381" s="379">
        <v>380</v>
      </c>
      <c r="G381" s="379" t="s">
        <v>329</v>
      </c>
      <c r="H381" s="379" t="s">
        <v>326</v>
      </c>
      <c r="I381" s="379" t="s">
        <v>337</v>
      </c>
      <c r="J381" s="379" t="s">
        <v>339</v>
      </c>
      <c r="K381" s="379" t="s">
        <v>334</v>
      </c>
      <c r="L381" s="379" t="s">
        <v>328</v>
      </c>
      <c r="M381" s="379" t="s">
        <v>327</v>
      </c>
      <c r="N381" s="379" t="s">
        <v>332</v>
      </c>
      <c r="P381" s="379">
        <f t="shared" si="278"/>
        <v>380</v>
      </c>
      <c r="Q381" s="445" t="str">
        <f t="shared" ref="Q381:X381" si="404">+RIGHT(G381,1)</f>
        <v>H</v>
      </c>
      <c r="R381" s="436" t="str">
        <f t="shared" si="404"/>
        <v>J</v>
      </c>
      <c r="S381" s="436" t="str">
        <f t="shared" si="404"/>
        <v>B</v>
      </c>
      <c r="T381" s="436" t="str">
        <f t="shared" si="404"/>
        <v>C</v>
      </c>
      <c r="U381" s="436" t="str">
        <f t="shared" si="404"/>
        <v>A</v>
      </c>
      <c r="V381" s="436" t="str">
        <f t="shared" si="404"/>
        <v>F</v>
      </c>
      <c r="W381" s="436" t="str">
        <f t="shared" si="404"/>
        <v>I</v>
      </c>
      <c r="X381" s="436" t="str">
        <f t="shared" si="404"/>
        <v>K</v>
      </c>
      <c r="Y381" s="446">
        <f t="shared" ca="1" si="280"/>
        <v>5</v>
      </c>
    </row>
    <row r="382" spans="1:25" ht="14.25" customHeight="1" x14ac:dyDescent="0.25">
      <c r="A382" s="379" t="s">
        <v>717</v>
      </c>
      <c r="F382" s="379">
        <v>381</v>
      </c>
      <c r="G382" s="379" t="s">
        <v>339</v>
      </c>
      <c r="H382" s="379" t="s">
        <v>326</v>
      </c>
      <c r="I382" s="379" t="s">
        <v>337</v>
      </c>
      <c r="J382" s="379" t="s">
        <v>328</v>
      </c>
      <c r="K382" s="379" t="s">
        <v>334</v>
      </c>
      <c r="L382" s="379" t="s">
        <v>330</v>
      </c>
      <c r="M382" s="379" t="s">
        <v>331</v>
      </c>
      <c r="N382" s="379" t="s">
        <v>332</v>
      </c>
      <c r="P382" s="379">
        <f t="shared" si="278"/>
        <v>381</v>
      </c>
      <c r="Q382" s="445" t="str">
        <f t="shared" ref="Q382:X382" si="405">+RIGHT(G382,1)</f>
        <v>C</v>
      </c>
      <c r="R382" s="436" t="str">
        <f t="shared" si="405"/>
        <v>J</v>
      </c>
      <c r="S382" s="436" t="str">
        <f t="shared" si="405"/>
        <v>B</v>
      </c>
      <c r="T382" s="436" t="str">
        <f t="shared" si="405"/>
        <v>F</v>
      </c>
      <c r="U382" s="436" t="str">
        <f t="shared" si="405"/>
        <v>A</v>
      </c>
      <c r="V382" s="436" t="str">
        <f t="shared" si="405"/>
        <v>G</v>
      </c>
      <c r="W382" s="436" t="str">
        <f t="shared" si="405"/>
        <v>L</v>
      </c>
      <c r="X382" s="436" t="str">
        <f t="shared" si="405"/>
        <v>K</v>
      </c>
      <c r="Y382" s="446">
        <f t="shared" ca="1" si="280"/>
        <v>5</v>
      </c>
    </row>
    <row r="383" spans="1:25" ht="14.25" customHeight="1" x14ac:dyDescent="0.25">
      <c r="A383" s="379" t="s">
        <v>718</v>
      </c>
      <c r="F383" s="379">
        <v>382</v>
      </c>
      <c r="G383" s="379" t="s">
        <v>327</v>
      </c>
      <c r="H383" s="379" t="s">
        <v>330</v>
      </c>
      <c r="I383" s="379" t="s">
        <v>337</v>
      </c>
      <c r="J383" s="379" t="s">
        <v>339</v>
      </c>
      <c r="K383" s="379" t="s">
        <v>334</v>
      </c>
      <c r="L383" s="379" t="s">
        <v>328</v>
      </c>
      <c r="M383" s="379" t="s">
        <v>331</v>
      </c>
      <c r="N383" s="379" t="s">
        <v>332</v>
      </c>
      <c r="P383" s="379">
        <f t="shared" si="278"/>
        <v>382</v>
      </c>
      <c r="Q383" s="445" t="str">
        <f t="shared" ref="Q383:X383" si="406">+RIGHT(G383,1)</f>
        <v>I</v>
      </c>
      <c r="R383" s="436" t="str">
        <f t="shared" si="406"/>
        <v>G</v>
      </c>
      <c r="S383" s="436" t="str">
        <f t="shared" si="406"/>
        <v>B</v>
      </c>
      <c r="T383" s="436" t="str">
        <f t="shared" si="406"/>
        <v>C</v>
      </c>
      <c r="U383" s="436" t="str">
        <f t="shared" si="406"/>
        <v>A</v>
      </c>
      <c r="V383" s="436" t="str">
        <f t="shared" si="406"/>
        <v>F</v>
      </c>
      <c r="W383" s="436" t="str">
        <f t="shared" si="406"/>
        <v>L</v>
      </c>
      <c r="X383" s="436" t="str">
        <f t="shared" si="406"/>
        <v>K</v>
      </c>
      <c r="Y383" s="446">
        <f t="shared" ca="1" si="280"/>
        <v>6</v>
      </c>
    </row>
    <row r="384" spans="1:25" ht="14.25" customHeight="1" x14ac:dyDescent="0.25">
      <c r="A384" s="379" t="s">
        <v>719</v>
      </c>
      <c r="F384" s="379">
        <v>383</v>
      </c>
      <c r="G384" s="379" t="s">
        <v>339</v>
      </c>
      <c r="H384" s="379" t="s">
        <v>326</v>
      </c>
      <c r="I384" s="379" t="s">
        <v>337</v>
      </c>
      <c r="J384" s="379" t="s">
        <v>328</v>
      </c>
      <c r="K384" s="379" t="s">
        <v>334</v>
      </c>
      <c r="L384" s="379" t="s">
        <v>330</v>
      </c>
      <c r="M384" s="379" t="s">
        <v>331</v>
      </c>
      <c r="N384" s="379" t="s">
        <v>327</v>
      </c>
      <c r="P384" s="379">
        <f t="shared" si="278"/>
        <v>383</v>
      </c>
      <c r="Q384" s="445" t="str">
        <f t="shared" ref="Q384:X384" si="407">+RIGHT(G384,1)</f>
        <v>C</v>
      </c>
      <c r="R384" s="436" t="str">
        <f t="shared" si="407"/>
        <v>J</v>
      </c>
      <c r="S384" s="436" t="str">
        <f t="shared" si="407"/>
        <v>B</v>
      </c>
      <c r="T384" s="436" t="str">
        <f t="shared" si="407"/>
        <v>F</v>
      </c>
      <c r="U384" s="436" t="str">
        <f t="shared" si="407"/>
        <v>A</v>
      </c>
      <c r="V384" s="436" t="str">
        <f t="shared" si="407"/>
        <v>G</v>
      </c>
      <c r="W384" s="436" t="str">
        <f t="shared" si="407"/>
        <v>L</v>
      </c>
      <c r="X384" s="436" t="str">
        <f t="shared" si="407"/>
        <v>I</v>
      </c>
      <c r="Y384" s="446">
        <f t="shared" ca="1" si="280"/>
        <v>6</v>
      </c>
    </row>
    <row r="385" spans="1:25" ht="14.25" customHeight="1" x14ac:dyDescent="0.25">
      <c r="A385" s="379" t="s">
        <v>720</v>
      </c>
      <c r="F385" s="379">
        <v>384</v>
      </c>
      <c r="G385" s="379" t="s">
        <v>339</v>
      </c>
      <c r="H385" s="379" t="s">
        <v>326</v>
      </c>
      <c r="I385" s="379" t="s">
        <v>337</v>
      </c>
      <c r="J385" s="379" t="s">
        <v>328</v>
      </c>
      <c r="K385" s="379" t="s">
        <v>334</v>
      </c>
      <c r="L385" s="379" t="s">
        <v>330</v>
      </c>
      <c r="M385" s="379" t="s">
        <v>327</v>
      </c>
      <c r="N385" s="379" t="s">
        <v>332</v>
      </c>
      <c r="P385" s="379">
        <f t="shared" si="278"/>
        <v>384</v>
      </c>
      <c r="Q385" s="445" t="str">
        <f t="shared" ref="Q385:X385" si="408">+RIGHT(G385,1)</f>
        <v>C</v>
      </c>
      <c r="R385" s="436" t="str">
        <f t="shared" si="408"/>
        <v>J</v>
      </c>
      <c r="S385" s="436" t="str">
        <f t="shared" si="408"/>
        <v>B</v>
      </c>
      <c r="T385" s="436" t="str">
        <f t="shared" si="408"/>
        <v>F</v>
      </c>
      <c r="U385" s="436" t="str">
        <f t="shared" si="408"/>
        <v>A</v>
      </c>
      <c r="V385" s="436" t="str">
        <f t="shared" si="408"/>
        <v>G</v>
      </c>
      <c r="W385" s="436" t="str">
        <f t="shared" si="408"/>
        <v>I</v>
      </c>
      <c r="X385" s="436" t="str">
        <f t="shared" si="408"/>
        <v>K</v>
      </c>
      <c r="Y385" s="446">
        <f t="shared" ca="1" si="280"/>
        <v>5</v>
      </c>
    </row>
    <row r="386" spans="1:25" ht="14.25" customHeight="1" x14ac:dyDescent="0.25">
      <c r="A386" s="379" t="s">
        <v>721</v>
      </c>
      <c r="F386" s="379">
        <v>385</v>
      </c>
      <c r="G386" s="379" t="s">
        <v>329</v>
      </c>
      <c r="H386" s="379" t="s">
        <v>330</v>
      </c>
      <c r="I386" s="379" t="s">
        <v>337</v>
      </c>
      <c r="J386" s="379" t="s">
        <v>339</v>
      </c>
      <c r="K386" s="379" t="s">
        <v>334</v>
      </c>
      <c r="L386" s="379" t="s">
        <v>328</v>
      </c>
      <c r="M386" s="379" t="s">
        <v>331</v>
      </c>
      <c r="N386" s="379" t="s">
        <v>332</v>
      </c>
      <c r="P386" s="379">
        <f t="shared" si="278"/>
        <v>385</v>
      </c>
      <c r="Q386" s="445" t="str">
        <f t="shared" ref="Q386:X386" si="409">+RIGHT(G386,1)</f>
        <v>H</v>
      </c>
      <c r="R386" s="436" t="str">
        <f t="shared" si="409"/>
        <v>G</v>
      </c>
      <c r="S386" s="436" t="str">
        <f t="shared" si="409"/>
        <v>B</v>
      </c>
      <c r="T386" s="436" t="str">
        <f t="shared" si="409"/>
        <v>C</v>
      </c>
      <c r="U386" s="436" t="str">
        <f t="shared" si="409"/>
        <v>A</v>
      </c>
      <c r="V386" s="436" t="str">
        <f t="shared" si="409"/>
        <v>F</v>
      </c>
      <c r="W386" s="436" t="str">
        <f t="shared" si="409"/>
        <v>L</v>
      </c>
      <c r="X386" s="436" t="str">
        <f t="shared" si="409"/>
        <v>K</v>
      </c>
      <c r="Y386" s="446">
        <f t="shared" ca="1" si="280"/>
        <v>6</v>
      </c>
    </row>
    <row r="387" spans="1:25" ht="14.25" customHeight="1" x14ac:dyDescent="0.25">
      <c r="A387" s="379" t="s">
        <v>722</v>
      </c>
      <c r="F387" s="379">
        <v>386</v>
      </c>
      <c r="G387" s="379" t="s">
        <v>329</v>
      </c>
      <c r="H387" s="379" t="s">
        <v>330</v>
      </c>
      <c r="I387" s="379" t="s">
        <v>337</v>
      </c>
      <c r="J387" s="379" t="s">
        <v>339</v>
      </c>
      <c r="K387" s="379" t="s">
        <v>334</v>
      </c>
      <c r="L387" s="379" t="s">
        <v>328</v>
      </c>
      <c r="M387" s="379" t="s">
        <v>331</v>
      </c>
      <c r="N387" s="379" t="s">
        <v>326</v>
      </c>
      <c r="P387" s="379">
        <f t="shared" si="278"/>
        <v>386</v>
      </c>
      <c r="Q387" s="445" t="str">
        <f t="shared" ref="Q387:X387" si="410">+RIGHT(G387,1)</f>
        <v>H</v>
      </c>
      <c r="R387" s="436" t="str">
        <f t="shared" si="410"/>
        <v>G</v>
      </c>
      <c r="S387" s="436" t="str">
        <f t="shared" si="410"/>
        <v>B</v>
      </c>
      <c r="T387" s="436" t="str">
        <f t="shared" si="410"/>
        <v>C</v>
      </c>
      <c r="U387" s="436" t="str">
        <f t="shared" si="410"/>
        <v>A</v>
      </c>
      <c r="V387" s="436" t="str">
        <f t="shared" si="410"/>
        <v>F</v>
      </c>
      <c r="W387" s="436" t="str">
        <f t="shared" si="410"/>
        <v>L</v>
      </c>
      <c r="X387" s="436" t="str">
        <f t="shared" si="410"/>
        <v>J</v>
      </c>
      <c r="Y387" s="446">
        <f t="shared" ca="1" si="280"/>
        <v>6</v>
      </c>
    </row>
    <row r="388" spans="1:25" ht="14.25" customHeight="1" x14ac:dyDescent="0.25">
      <c r="A388" s="379" t="s">
        <v>723</v>
      </c>
      <c r="F388" s="379">
        <v>387</v>
      </c>
      <c r="G388" s="379" t="s">
        <v>329</v>
      </c>
      <c r="H388" s="379" t="s">
        <v>330</v>
      </c>
      <c r="I388" s="379" t="s">
        <v>337</v>
      </c>
      <c r="J388" s="379" t="s">
        <v>339</v>
      </c>
      <c r="K388" s="379" t="s">
        <v>334</v>
      </c>
      <c r="L388" s="379" t="s">
        <v>328</v>
      </c>
      <c r="M388" s="379" t="s">
        <v>326</v>
      </c>
      <c r="N388" s="379" t="s">
        <v>332</v>
      </c>
      <c r="P388" s="379">
        <f t="shared" si="278"/>
        <v>387</v>
      </c>
      <c r="Q388" s="445" t="str">
        <f t="shared" ref="Q388:X388" si="411">+RIGHT(G388,1)</f>
        <v>H</v>
      </c>
      <c r="R388" s="436" t="str">
        <f t="shared" si="411"/>
        <v>G</v>
      </c>
      <c r="S388" s="436" t="str">
        <f t="shared" si="411"/>
        <v>B</v>
      </c>
      <c r="T388" s="436" t="str">
        <f t="shared" si="411"/>
        <v>C</v>
      </c>
      <c r="U388" s="436" t="str">
        <f t="shared" si="411"/>
        <v>A</v>
      </c>
      <c r="V388" s="436" t="str">
        <f t="shared" si="411"/>
        <v>F</v>
      </c>
      <c r="W388" s="436" t="str">
        <f t="shared" si="411"/>
        <v>J</v>
      </c>
      <c r="X388" s="436" t="str">
        <f t="shared" si="411"/>
        <v>K</v>
      </c>
      <c r="Y388" s="446">
        <f t="shared" ca="1" si="280"/>
        <v>5</v>
      </c>
    </row>
    <row r="389" spans="1:25" ht="14.25" customHeight="1" x14ac:dyDescent="0.25">
      <c r="A389" s="379" t="s">
        <v>724</v>
      </c>
      <c r="F389" s="379">
        <v>388</v>
      </c>
      <c r="G389" s="379" t="s">
        <v>329</v>
      </c>
      <c r="H389" s="379" t="s">
        <v>330</v>
      </c>
      <c r="I389" s="379" t="s">
        <v>337</v>
      </c>
      <c r="J389" s="379" t="s">
        <v>339</v>
      </c>
      <c r="K389" s="379" t="s">
        <v>334</v>
      </c>
      <c r="L389" s="379" t="s">
        <v>328</v>
      </c>
      <c r="M389" s="379" t="s">
        <v>331</v>
      </c>
      <c r="N389" s="379" t="s">
        <v>327</v>
      </c>
      <c r="P389" s="379">
        <f t="shared" si="278"/>
        <v>388</v>
      </c>
      <c r="Q389" s="445" t="str">
        <f t="shared" ref="Q389:X389" si="412">+RIGHT(G389,1)</f>
        <v>H</v>
      </c>
      <c r="R389" s="436" t="str">
        <f t="shared" si="412"/>
        <v>G</v>
      </c>
      <c r="S389" s="436" t="str">
        <f t="shared" si="412"/>
        <v>B</v>
      </c>
      <c r="T389" s="436" t="str">
        <f t="shared" si="412"/>
        <v>C</v>
      </c>
      <c r="U389" s="436" t="str">
        <f t="shared" si="412"/>
        <v>A</v>
      </c>
      <c r="V389" s="436" t="str">
        <f t="shared" si="412"/>
        <v>F</v>
      </c>
      <c r="W389" s="436" t="str">
        <f t="shared" si="412"/>
        <v>L</v>
      </c>
      <c r="X389" s="436" t="str">
        <f t="shared" si="412"/>
        <v>I</v>
      </c>
      <c r="Y389" s="446">
        <f t="shared" ca="1" si="280"/>
        <v>7</v>
      </c>
    </row>
    <row r="390" spans="1:25" ht="14.25" customHeight="1" x14ac:dyDescent="0.25">
      <c r="A390" s="379" t="s">
        <v>725</v>
      </c>
      <c r="F390" s="379">
        <v>389</v>
      </c>
      <c r="G390" s="379" t="s">
        <v>329</v>
      </c>
      <c r="H390" s="379" t="s">
        <v>330</v>
      </c>
      <c r="I390" s="379" t="s">
        <v>337</v>
      </c>
      <c r="J390" s="379" t="s">
        <v>339</v>
      </c>
      <c r="K390" s="379" t="s">
        <v>334</v>
      </c>
      <c r="L390" s="379" t="s">
        <v>328</v>
      </c>
      <c r="M390" s="379" t="s">
        <v>327</v>
      </c>
      <c r="N390" s="379" t="s">
        <v>332</v>
      </c>
      <c r="P390" s="379">
        <f t="shared" si="278"/>
        <v>389</v>
      </c>
      <c r="Q390" s="445" t="str">
        <f t="shared" ref="Q390:X390" si="413">+RIGHT(G390,1)</f>
        <v>H</v>
      </c>
      <c r="R390" s="436" t="str">
        <f t="shared" si="413"/>
        <v>G</v>
      </c>
      <c r="S390" s="436" t="str">
        <f t="shared" si="413"/>
        <v>B</v>
      </c>
      <c r="T390" s="436" t="str">
        <f t="shared" si="413"/>
        <v>C</v>
      </c>
      <c r="U390" s="436" t="str">
        <f t="shared" si="413"/>
        <v>A</v>
      </c>
      <c r="V390" s="436" t="str">
        <f t="shared" si="413"/>
        <v>F</v>
      </c>
      <c r="W390" s="436" t="str">
        <f t="shared" si="413"/>
        <v>I</v>
      </c>
      <c r="X390" s="436" t="str">
        <f t="shared" si="413"/>
        <v>K</v>
      </c>
      <c r="Y390" s="446">
        <f t="shared" ca="1" si="280"/>
        <v>6</v>
      </c>
    </row>
    <row r="391" spans="1:25" ht="14.25" customHeight="1" x14ac:dyDescent="0.25">
      <c r="A391" s="379" t="s">
        <v>726</v>
      </c>
      <c r="F391" s="379">
        <v>390</v>
      </c>
      <c r="G391" s="379" t="s">
        <v>329</v>
      </c>
      <c r="H391" s="379" t="s">
        <v>330</v>
      </c>
      <c r="I391" s="379" t="s">
        <v>337</v>
      </c>
      <c r="J391" s="379" t="s">
        <v>339</v>
      </c>
      <c r="K391" s="379" t="s">
        <v>334</v>
      </c>
      <c r="L391" s="379" t="s">
        <v>328</v>
      </c>
      <c r="M391" s="379" t="s">
        <v>327</v>
      </c>
      <c r="N391" s="379" t="s">
        <v>326</v>
      </c>
      <c r="P391" s="379">
        <f t="shared" si="278"/>
        <v>390</v>
      </c>
      <c r="Q391" s="445" t="str">
        <f t="shared" ref="Q391:X391" si="414">+RIGHT(G391,1)</f>
        <v>H</v>
      </c>
      <c r="R391" s="436" t="str">
        <f t="shared" si="414"/>
        <v>G</v>
      </c>
      <c r="S391" s="436" t="str">
        <f t="shared" si="414"/>
        <v>B</v>
      </c>
      <c r="T391" s="436" t="str">
        <f t="shared" si="414"/>
        <v>C</v>
      </c>
      <c r="U391" s="436" t="str">
        <f t="shared" si="414"/>
        <v>A</v>
      </c>
      <c r="V391" s="436" t="str">
        <f t="shared" si="414"/>
        <v>F</v>
      </c>
      <c r="W391" s="436" t="str">
        <f t="shared" si="414"/>
        <v>I</v>
      </c>
      <c r="X391" s="436" t="str">
        <f t="shared" si="414"/>
        <v>J</v>
      </c>
      <c r="Y391" s="446">
        <f t="shared" ca="1" si="280"/>
        <v>6</v>
      </c>
    </row>
    <row r="392" spans="1:25" ht="14.25" customHeight="1" x14ac:dyDescent="0.25">
      <c r="A392" s="379" t="s">
        <v>727</v>
      </c>
      <c r="F392" s="379">
        <v>391</v>
      </c>
      <c r="G392" s="379" t="s">
        <v>325</v>
      </c>
      <c r="H392" s="379" t="s">
        <v>326</v>
      </c>
      <c r="I392" s="379" t="s">
        <v>337</v>
      </c>
      <c r="J392" s="379" t="s">
        <v>334</v>
      </c>
      <c r="K392" s="379" t="s">
        <v>327</v>
      </c>
      <c r="L392" s="379" t="s">
        <v>339</v>
      </c>
      <c r="M392" s="379" t="s">
        <v>331</v>
      </c>
      <c r="N392" s="379" t="s">
        <v>332</v>
      </c>
      <c r="P392" s="379">
        <f t="shared" si="278"/>
        <v>391</v>
      </c>
      <c r="Q392" s="445" t="str">
        <f t="shared" ref="Q392:X392" si="415">+RIGHT(G392,1)</f>
        <v>E</v>
      </c>
      <c r="R392" s="436" t="str">
        <f t="shared" si="415"/>
        <v>J</v>
      </c>
      <c r="S392" s="436" t="str">
        <f t="shared" si="415"/>
        <v>B</v>
      </c>
      <c r="T392" s="436" t="str">
        <f t="shared" si="415"/>
        <v>A</v>
      </c>
      <c r="U392" s="436" t="str">
        <f t="shared" si="415"/>
        <v>I</v>
      </c>
      <c r="V392" s="436" t="str">
        <f t="shared" si="415"/>
        <v>C</v>
      </c>
      <c r="W392" s="436" t="str">
        <f t="shared" si="415"/>
        <v>L</v>
      </c>
      <c r="X392" s="436" t="str">
        <f t="shared" si="415"/>
        <v>K</v>
      </c>
      <c r="Y392" s="446">
        <f t="shared" ca="1" si="280"/>
        <v>4</v>
      </c>
    </row>
    <row r="393" spans="1:25" ht="14.25" customHeight="1" x14ac:dyDescent="0.25">
      <c r="A393" s="379" t="s">
        <v>728</v>
      </c>
      <c r="F393" s="379">
        <v>392</v>
      </c>
      <c r="G393" s="379" t="s">
        <v>325</v>
      </c>
      <c r="H393" s="379" t="s">
        <v>326</v>
      </c>
      <c r="I393" s="379" t="s">
        <v>337</v>
      </c>
      <c r="J393" s="379" t="s">
        <v>339</v>
      </c>
      <c r="K393" s="379" t="s">
        <v>334</v>
      </c>
      <c r="L393" s="379" t="s">
        <v>329</v>
      </c>
      <c r="M393" s="379" t="s">
        <v>331</v>
      </c>
      <c r="N393" s="379" t="s">
        <v>332</v>
      </c>
      <c r="P393" s="379">
        <f t="shared" si="278"/>
        <v>392</v>
      </c>
      <c r="Q393" s="445" t="str">
        <f t="shared" ref="Q393:X393" si="416">+RIGHT(G393,1)</f>
        <v>E</v>
      </c>
      <c r="R393" s="436" t="str">
        <f t="shared" si="416"/>
        <v>J</v>
      </c>
      <c r="S393" s="436" t="str">
        <f t="shared" si="416"/>
        <v>B</v>
      </c>
      <c r="T393" s="436" t="str">
        <f t="shared" si="416"/>
        <v>C</v>
      </c>
      <c r="U393" s="436" t="str">
        <f t="shared" si="416"/>
        <v>A</v>
      </c>
      <c r="V393" s="436" t="str">
        <f t="shared" si="416"/>
        <v>H</v>
      </c>
      <c r="W393" s="436" t="str">
        <f t="shared" si="416"/>
        <v>L</v>
      </c>
      <c r="X393" s="436" t="str">
        <f t="shared" si="416"/>
        <v>K</v>
      </c>
      <c r="Y393" s="446">
        <f t="shared" ca="1" si="280"/>
        <v>4</v>
      </c>
    </row>
    <row r="394" spans="1:25" ht="14.25" customHeight="1" x14ac:dyDescent="0.25">
      <c r="A394" s="379" t="s">
        <v>729</v>
      </c>
      <c r="F394" s="379">
        <v>393</v>
      </c>
      <c r="G394" s="379" t="s">
        <v>325</v>
      </c>
      <c r="H394" s="379" t="s">
        <v>327</v>
      </c>
      <c r="I394" s="379" t="s">
        <v>337</v>
      </c>
      <c r="J394" s="379" t="s">
        <v>339</v>
      </c>
      <c r="K394" s="379" t="s">
        <v>334</v>
      </c>
      <c r="L394" s="379" t="s">
        <v>329</v>
      </c>
      <c r="M394" s="379" t="s">
        <v>331</v>
      </c>
      <c r="N394" s="379" t="s">
        <v>332</v>
      </c>
      <c r="P394" s="379">
        <f t="shared" si="278"/>
        <v>393</v>
      </c>
      <c r="Q394" s="445" t="str">
        <f t="shared" ref="Q394:X394" si="417">+RIGHT(G394,1)</f>
        <v>E</v>
      </c>
      <c r="R394" s="436" t="str">
        <f t="shared" si="417"/>
        <v>I</v>
      </c>
      <c r="S394" s="436" t="str">
        <f t="shared" si="417"/>
        <v>B</v>
      </c>
      <c r="T394" s="436" t="str">
        <f t="shared" si="417"/>
        <v>C</v>
      </c>
      <c r="U394" s="436" t="str">
        <f t="shared" si="417"/>
        <v>A</v>
      </c>
      <c r="V394" s="436" t="str">
        <f t="shared" si="417"/>
        <v>H</v>
      </c>
      <c r="W394" s="436" t="str">
        <f t="shared" si="417"/>
        <v>L</v>
      </c>
      <c r="X394" s="436" t="str">
        <f t="shared" si="417"/>
        <v>K</v>
      </c>
      <c r="Y394" s="446">
        <f t="shared" ca="1" si="280"/>
        <v>5</v>
      </c>
    </row>
    <row r="395" spans="1:25" ht="14.25" customHeight="1" x14ac:dyDescent="0.25">
      <c r="A395" s="379" t="s">
        <v>730</v>
      </c>
      <c r="F395" s="379">
        <v>394</v>
      </c>
      <c r="G395" s="379" t="s">
        <v>325</v>
      </c>
      <c r="H395" s="379" t="s">
        <v>326</v>
      </c>
      <c r="I395" s="379" t="s">
        <v>337</v>
      </c>
      <c r="J395" s="379" t="s">
        <v>339</v>
      </c>
      <c r="K395" s="379" t="s">
        <v>334</v>
      </c>
      <c r="L395" s="379" t="s">
        <v>329</v>
      </c>
      <c r="M395" s="379" t="s">
        <v>331</v>
      </c>
      <c r="N395" s="379" t="s">
        <v>327</v>
      </c>
      <c r="P395" s="379">
        <f t="shared" si="278"/>
        <v>394</v>
      </c>
      <c r="Q395" s="445" t="str">
        <f t="shared" ref="Q395:X395" si="418">+RIGHT(G395,1)</f>
        <v>E</v>
      </c>
      <c r="R395" s="436" t="str">
        <f t="shared" si="418"/>
        <v>J</v>
      </c>
      <c r="S395" s="436" t="str">
        <f t="shared" si="418"/>
        <v>B</v>
      </c>
      <c r="T395" s="436" t="str">
        <f t="shared" si="418"/>
        <v>C</v>
      </c>
      <c r="U395" s="436" t="str">
        <f t="shared" si="418"/>
        <v>A</v>
      </c>
      <c r="V395" s="436" t="str">
        <f t="shared" si="418"/>
        <v>H</v>
      </c>
      <c r="W395" s="436" t="str">
        <f t="shared" si="418"/>
        <v>L</v>
      </c>
      <c r="X395" s="436" t="str">
        <f t="shared" si="418"/>
        <v>I</v>
      </c>
      <c r="Y395" s="446">
        <f t="shared" ca="1" si="280"/>
        <v>5</v>
      </c>
    </row>
    <row r="396" spans="1:25" ht="14.25" customHeight="1" x14ac:dyDescent="0.25">
      <c r="A396" s="379" t="s">
        <v>731</v>
      </c>
      <c r="F396" s="379">
        <v>395</v>
      </c>
      <c r="G396" s="379" t="s">
        <v>325</v>
      </c>
      <c r="H396" s="379" t="s">
        <v>326</v>
      </c>
      <c r="I396" s="379" t="s">
        <v>337</v>
      </c>
      <c r="J396" s="379" t="s">
        <v>339</v>
      </c>
      <c r="K396" s="379" t="s">
        <v>334</v>
      </c>
      <c r="L396" s="379" t="s">
        <v>329</v>
      </c>
      <c r="M396" s="379" t="s">
        <v>327</v>
      </c>
      <c r="N396" s="379" t="s">
        <v>332</v>
      </c>
      <c r="P396" s="379">
        <f t="shared" si="278"/>
        <v>395</v>
      </c>
      <c r="Q396" s="445" t="str">
        <f t="shared" ref="Q396:X396" si="419">+RIGHT(G396,1)</f>
        <v>E</v>
      </c>
      <c r="R396" s="436" t="str">
        <f t="shared" si="419"/>
        <v>J</v>
      </c>
      <c r="S396" s="436" t="str">
        <f t="shared" si="419"/>
        <v>B</v>
      </c>
      <c r="T396" s="436" t="str">
        <f t="shared" si="419"/>
        <v>C</v>
      </c>
      <c r="U396" s="436" t="str">
        <f t="shared" si="419"/>
        <v>A</v>
      </c>
      <c r="V396" s="436" t="str">
        <f t="shared" si="419"/>
        <v>H</v>
      </c>
      <c r="W396" s="436" t="str">
        <f t="shared" si="419"/>
        <v>I</v>
      </c>
      <c r="X396" s="436" t="str">
        <f t="shared" si="419"/>
        <v>K</v>
      </c>
      <c r="Y396" s="446">
        <f t="shared" ca="1" si="280"/>
        <v>4</v>
      </c>
    </row>
    <row r="397" spans="1:25" ht="14.25" customHeight="1" x14ac:dyDescent="0.25">
      <c r="A397" s="379" t="s">
        <v>732</v>
      </c>
      <c r="F397" s="379">
        <v>396</v>
      </c>
      <c r="G397" s="379" t="s">
        <v>325</v>
      </c>
      <c r="H397" s="379" t="s">
        <v>326</v>
      </c>
      <c r="I397" s="379" t="s">
        <v>337</v>
      </c>
      <c r="J397" s="379" t="s">
        <v>339</v>
      </c>
      <c r="K397" s="379" t="s">
        <v>334</v>
      </c>
      <c r="L397" s="379" t="s">
        <v>330</v>
      </c>
      <c r="M397" s="379" t="s">
        <v>331</v>
      </c>
      <c r="N397" s="379" t="s">
        <v>332</v>
      </c>
      <c r="P397" s="379">
        <f t="shared" si="278"/>
        <v>396</v>
      </c>
      <c r="Q397" s="445" t="str">
        <f t="shared" ref="Q397:X397" si="420">+RIGHT(G397,1)</f>
        <v>E</v>
      </c>
      <c r="R397" s="436" t="str">
        <f t="shared" si="420"/>
        <v>J</v>
      </c>
      <c r="S397" s="436" t="str">
        <f t="shared" si="420"/>
        <v>B</v>
      </c>
      <c r="T397" s="436" t="str">
        <f t="shared" si="420"/>
        <v>C</v>
      </c>
      <c r="U397" s="436" t="str">
        <f t="shared" si="420"/>
        <v>A</v>
      </c>
      <c r="V397" s="436" t="str">
        <f t="shared" si="420"/>
        <v>G</v>
      </c>
      <c r="W397" s="436" t="str">
        <f t="shared" si="420"/>
        <v>L</v>
      </c>
      <c r="X397" s="436" t="str">
        <f t="shared" si="420"/>
        <v>K</v>
      </c>
      <c r="Y397" s="446">
        <f t="shared" ca="1" si="280"/>
        <v>4</v>
      </c>
    </row>
    <row r="398" spans="1:25" ht="14.25" customHeight="1" x14ac:dyDescent="0.25">
      <c r="A398" s="379" t="s">
        <v>733</v>
      </c>
      <c r="F398" s="379">
        <v>397</v>
      </c>
      <c r="G398" s="379" t="s">
        <v>325</v>
      </c>
      <c r="H398" s="379" t="s">
        <v>330</v>
      </c>
      <c r="I398" s="379" t="s">
        <v>337</v>
      </c>
      <c r="J398" s="379" t="s">
        <v>334</v>
      </c>
      <c r="K398" s="379" t="s">
        <v>327</v>
      </c>
      <c r="L398" s="379" t="s">
        <v>339</v>
      </c>
      <c r="M398" s="379" t="s">
        <v>331</v>
      </c>
      <c r="N398" s="379" t="s">
        <v>332</v>
      </c>
      <c r="P398" s="379">
        <f t="shared" si="278"/>
        <v>397</v>
      </c>
      <c r="Q398" s="445" t="str">
        <f t="shared" ref="Q398:X398" si="421">+RIGHT(G398,1)</f>
        <v>E</v>
      </c>
      <c r="R398" s="436" t="str">
        <f t="shared" si="421"/>
        <v>G</v>
      </c>
      <c r="S398" s="436" t="str">
        <f t="shared" si="421"/>
        <v>B</v>
      </c>
      <c r="T398" s="436" t="str">
        <f t="shared" si="421"/>
        <v>A</v>
      </c>
      <c r="U398" s="436" t="str">
        <f t="shared" si="421"/>
        <v>I</v>
      </c>
      <c r="V398" s="436" t="str">
        <f t="shared" si="421"/>
        <v>C</v>
      </c>
      <c r="W398" s="436" t="str">
        <f t="shared" si="421"/>
        <v>L</v>
      </c>
      <c r="X398" s="436" t="str">
        <f t="shared" si="421"/>
        <v>K</v>
      </c>
      <c r="Y398" s="446">
        <f t="shared" ca="1" si="280"/>
        <v>5</v>
      </c>
    </row>
    <row r="399" spans="1:25" ht="14.25" customHeight="1" x14ac:dyDescent="0.25">
      <c r="A399" s="379" t="s">
        <v>734</v>
      </c>
      <c r="F399" s="379">
        <v>398</v>
      </c>
      <c r="G399" s="379" t="s">
        <v>325</v>
      </c>
      <c r="H399" s="379" t="s">
        <v>326</v>
      </c>
      <c r="I399" s="379" t="s">
        <v>337</v>
      </c>
      <c r="J399" s="379" t="s">
        <v>339</v>
      </c>
      <c r="K399" s="379" t="s">
        <v>334</v>
      </c>
      <c r="L399" s="379" t="s">
        <v>330</v>
      </c>
      <c r="M399" s="379" t="s">
        <v>331</v>
      </c>
      <c r="N399" s="379" t="s">
        <v>327</v>
      </c>
      <c r="P399" s="379">
        <f t="shared" si="278"/>
        <v>398</v>
      </c>
      <c r="Q399" s="445" t="str">
        <f t="shared" ref="Q399:X399" si="422">+RIGHT(G399,1)</f>
        <v>E</v>
      </c>
      <c r="R399" s="436" t="str">
        <f t="shared" si="422"/>
        <v>J</v>
      </c>
      <c r="S399" s="436" t="str">
        <f t="shared" si="422"/>
        <v>B</v>
      </c>
      <c r="T399" s="436" t="str">
        <f t="shared" si="422"/>
        <v>C</v>
      </c>
      <c r="U399" s="436" t="str">
        <f t="shared" si="422"/>
        <v>A</v>
      </c>
      <c r="V399" s="436" t="str">
        <f t="shared" si="422"/>
        <v>G</v>
      </c>
      <c r="W399" s="436" t="str">
        <f t="shared" si="422"/>
        <v>L</v>
      </c>
      <c r="X399" s="436" t="str">
        <f t="shared" si="422"/>
        <v>I</v>
      </c>
      <c r="Y399" s="446">
        <f t="shared" ca="1" si="280"/>
        <v>5</v>
      </c>
    </row>
    <row r="400" spans="1:25" ht="14.25" customHeight="1" x14ac:dyDescent="0.25">
      <c r="A400" s="379" t="s">
        <v>735</v>
      </c>
      <c r="F400" s="379">
        <v>399</v>
      </c>
      <c r="G400" s="379" t="s">
        <v>325</v>
      </c>
      <c r="H400" s="379" t="s">
        <v>326</v>
      </c>
      <c r="I400" s="379" t="s">
        <v>337</v>
      </c>
      <c r="J400" s="379" t="s">
        <v>339</v>
      </c>
      <c r="K400" s="379" t="s">
        <v>334</v>
      </c>
      <c r="L400" s="379" t="s">
        <v>330</v>
      </c>
      <c r="M400" s="379" t="s">
        <v>327</v>
      </c>
      <c r="N400" s="379" t="s">
        <v>332</v>
      </c>
      <c r="P400" s="379">
        <f t="shared" si="278"/>
        <v>399</v>
      </c>
      <c r="Q400" s="445" t="str">
        <f t="shared" ref="Q400:X400" si="423">+RIGHT(G400,1)</f>
        <v>E</v>
      </c>
      <c r="R400" s="436" t="str">
        <f t="shared" si="423"/>
        <v>J</v>
      </c>
      <c r="S400" s="436" t="str">
        <f t="shared" si="423"/>
        <v>B</v>
      </c>
      <c r="T400" s="436" t="str">
        <f t="shared" si="423"/>
        <v>C</v>
      </c>
      <c r="U400" s="436" t="str">
        <f t="shared" si="423"/>
        <v>A</v>
      </c>
      <c r="V400" s="436" t="str">
        <f t="shared" si="423"/>
        <v>G</v>
      </c>
      <c r="W400" s="436" t="str">
        <f t="shared" si="423"/>
        <v>I</v>
      </c>
      <c r="X400" s="436" t="str">
        <f t="shared" si="423"/>
        <v>K</v>
      </c>
      <c r="Y400" s="446">
        <f t="shared" ca="1" si="280"/>
        <v>4</v>
      </c>
    </row>
    <row r="401" spans="1:25" ht="14.25" customHeight="1" x14ac:dyDescent="0.25">
      <c r="A401" s="379" t="s">
        <v>736</v>
      </c>
      <c r="F401" s="379">
        <v>400</v>
      </c>
      <c r="G401" s="379" t="s">
        <v>325</v>
      </c>
      <c r="H401" s="379" t="s">
        <v>330</v>
      </c>
      <c r="I401" s="379" t="s">
        <v>337</v>
      </c>
      <c r="J401" s="379" t="s">
        <v>339</v>
      </c>
      <c r="K401" s="379" t="s">
        <v>334</v>
      </c>
      <c r="L401" s="379" t="s">
        <v>329</v>
      </c>
      <c r="M401" s="379" t="s">
        <v>331</v>
      </c>
      <c r="N401" s="379" t="s">
        <v>332</v>
      </c>
      <c r="P401" s="379">
        <f t="shared" si="278"/>
        <v>400</v>
      </c>
      <c r="Q401" s="445" t="str">
        <f t="shared" ref="Q401:X401" si="424">+RIGHT(G401,1)</f>
        <v>E</v>
      </c>
      <c r="R401" s="436" t="str">
        <f t="shared" si="424"/>
        <v>G</v>
      </c>
      <c r="S401" s="436" t="str">
        <f t="shared" si="424"/>
        <v>B</v>
      </c>
      <c r="T401" s="436" t="str">
        <f t="shared" si="424"/>
        <v>C</v>
      </c>
      <c r="U401" s="436" t="str">
        <f t="shared" si="424"/>
        <v>A</v>
      </c>
      <c r="V401" s="436" t="str">
        <f t="shared" si="424"/>
        <v>H</v>
      </c>
      <c r="W401" s="436" t="str">
        <f t="shared" si="424"/>
        <v>L</v>
      </c>
      <c r="X401" s="436" t="str">
        <f t="shared" si="424"/>
        <v>K</v>
      </c>
      <c r="Y401" s="446">
        <f t="shared" ca="1" si="280"/>
        <v>5</v>
      </c>
    </row>
    <row r="402" spans="1:25" ht="14.25" customHeight="1" x14ac:dyDescent="0.25">
      <c r="A402" s="379" t="s">
        <v>737</v>
      </c>
      <c r="F402" s="379">
        <v>401</v>
      </c>
      <c r="G402" s="379" t="s">
        <v>329</v>
      </c>
      <c r="H402" s="379" t="s">
        <v>326</v>
      </c>
      <c r="I402" s="379" t="s">
        <v>337</v>
      </c>
      <c r="J402" s="379" t="s">
        <v>339</v>
      </c>
      <c r="K402" s="379" t="s">
        <v>334</v>
      </c>
      <c r="L402" s="379" t="s">
        <v>330</v>
      </c>
      <c r="M402" s="379" t="s">
        <v>331</v>
      </c>
      <c r="N402" s="379" t="s">
        <v>325</v>
      </c>
      <c r="P402" s="379">
        <f t="shared" si="278"/>
        <v>401</v>
      </c>
      <c r="Q402" s="445" t="str">
        <f t="shared" ref="Q402:X402" si="425">+RIGHT(G402,1)</f>
        <v>H</v>
      </c>
      <c r="R402" s="436" t="str">
        <f t="shared" si="425"/>
        <v>J</v>
      </c>
      <c r="S402" s="436" t="str">
        <f t="shared" si="425"/>
        <v>B</v>
      </c>
      <c r="T402" s="436" t="str">
        <f t="shared" si="425"/>
        <v>C</v>
      </c>
      <c r="U402" s="436" t="str">
        <f t="shared" si="425"/>
        <v>A</v>
      </c>
      <c r="V402" s="436" t="str">
        <f t="shared" si="425"/>
        <v>G</v>
      </c>
      <c r="W402" s="436" t="str">
        <f t="shared" si="425"/>
        <v>L</v>
      </c>
      <c r="X402" s="436" t="str">
        <f t="shared" si="425"/>
        <v>E</v>
      </c>
      <c r="Y402" s="446">
        <f t="shared" ca="1" si="280"/>
        <v>5</v>
      </c>
    </row>
    <row r="403" spans="1:25" ht="14.25" customHeight="1" x14ac:dyDescent="0.25">
      <c r="A403" s="379" t="s">
        <v>738</v>
      </c>
      <c r="F403" s="379">
        <v>402</v>
      </c>
      <c r="G403" s="379" t="s">
        <v>329</v>
      </c>
      <c r="H403" s="379" t="s">
        <v>326</v>
      </c>
      <c r="I403" s="379" t="s">
        <v>337</v>
      </c>
      <c r="J403" s="379" t="s">
        <v>339</v>
      </c>
      <c r="K403" s="379" t="s">
        <v>334</v>
      </c>
      <c r="L403" s="379" t="s">
        <v>330</v>
      </c>
      <c r="M403" s="379" t="s">
        <v>325</v>
      </c>
      <c r="N403" s="379" t="s">
        <v>332</v>
      </c>
      <c r="P403" s="379">
        <f t="shared" si="278"/>
        <v>402</v>
      </c>
      <c r="Q403" s="445" t="str">
        <f t="shared" ref="Q403:X403" si="426">+RIGHT(G403,1)</f>
        <v>H</v>
      </c>
      <c r="R403" s="436" t="str">
        <f t="shared" si="426"/>
        <v>J</v>
      </c>
      <c r="S403" s="436" t="str">
        <f t="shared" si="426"/>
        <v>B</v>
      </c>
      <c r="T403" s="436" t="str">
        <f t="shared" si="426"/>
        <v>C</v>
      </c>
      <c r="U403" s="436" t="str">
        <f t="shared" si="426"/>
        <v>A</v>
      </c>
      <c r="V403" s="436" t="str">
        <f t="shared" si="426"/>
        <v>G</v>
      </c>
      <c r="W403" s="436" t="str">
        <f t="shared" si="426"/>
        <v>E</v>
      </c>
      <c r="X403" s="436" t="str">
        <f t="shared" si="426"/>
        <v>K</v>
      </c>
      <c r="Y403" s="446">
        <f t="shared" ca="1" si="280"/>
        <v>4</v>
      </c>
    </row>
    <row r="404" spans="1:25" ht="14.25" customHeight="1" x14ac:dyDescent="0.25">
      <c r="A404" s="379" t="s">
        <v>739</v>
      </c>
      <c r="F404" s="379">
        <v>403</v>
      </c>
      <c r="G404" s="379" t="s">
        <v>325</v>
      </c>
      <c r="H404" s="379" t="s">
        <v>330</v>
      </c>
      <c r="I404" s="379" t="s">
        <v>337</v>
      </c>
      <c r="J404" s="379" t="s">
        <v>339</v>
      </c>
      <c r="K404" s="379" t="s">
        <v>334</v>
      </c>
      <c r="L404" s="379" t="s">
        <v>329</v>
      </c>
      <c r="M404" s="379" t="s">
        <v>331</v>
      </c>
      <c r="N404" s="379" t="s">
        <v>327</v>
      </c>
      <c r="P404" s="379">
        <f t="shared" si="278"/>
        <v>403</v>
      </c>
      <c r="Q404" s="445" t="str">
        <f t="shared" ref="Q404:X404" si="427">+RIGHT(G404,1)</f>
        <v>E</v>
      </c>
      <c r="R404" s="436" t="str">
        <f t="shared" si="427"/>
        <v>G</v>
      </c>
      <c r="S404" s="436" t="str">
        <f t="shared" si="427"/>
        <v>B</v>
      </c>
      <c r="T404" s="436" t="str">
        <f t="shared" si="427"/>
        <v>C</v>
      </c>
      <c r="U404" s="436" t="str">
        <f t="shared" si="427"/>
        <v>A</v>
      </c>
      <c r="V404" s="436" t="str">
        <f t="shared" si="427"/>
        <v>H</v>
      </c>
      <c r="W404" s="436" t="str">
        <f t="shared" si="427"/>
        <v>L</v>
      </c>
      <c r="X404" s="436" t="str">
        <f t="shared" si="427"/>
        <v>I</v>
      </c>
      <c r="Y404" s="446">
        <f t="shared" ca="1" si="280"/>
        <v>6</v>
      </c>
    </row>
    <row r="405" spans="1:25" ht="14.25" customHeight="1" x14ac:dyDescent="0.25">
      <c r="A405" s="379" t="s">
        <v>740</v>
      </c>
      <c r="F405" s="379">
        <v>404</v>
      </c>
      <c r="G405" s="379" t="s">
        <v>325</v>
      </c>
      <c r="H405" s="379" t="s">
        <v>330</v>
      </c>
      <c r="I405" s="379" t="s">
        <v>337</v>
      </c>
      <c r="J405" s="379" t="s">
        <v>339</v>
      </c>
      <c r="K405" s="379" t="s">
        <v>334</v>
      </c>
      <c r="L405" s="379" t="s">
        <v>329</v>
      </c>
      <c r="M405" s="379" t="s">
        <v>327</v>
      </c>
      <c r="N405" s="379" t="s">
        <v>332</v>
      </c>
      <c r="P405" s="379">
        <f t="shared" si="278"/>
        <v>404</v>
      </c>
      <c r="Q405" s="445" t="str">
        <f t="shared" ref="Q405:X405" si="428">+RIGHT(G405,1)</f>
        <v>E</v>
      </c>
      <c r="R405" s="436" t="str">
        <f t="shared" si="428"/>
        <v>G</v>
      </c>
      <c r="S405" s="436" t="str">
        <f t="shared" si="428"/>
        <v>B</v>
      </c>
      <c r="T405" s="436" t="str">
        <f t="shared" si="428"/>
        <v>C</v>
      </c>
      <c r="U405" s="436" t="str">
        <f t="shared" si="428"/>
        <v>A</v>
      </c>
      <c r="V405" s="436" t="str">
        <f t="shared" si="428"/>
        <v>H</v>
      </c>
      <c r="W405" s="436" t="str">
        <f t="shared" si="428"/>
        <v>I</v>
      </c>
      <c r="X405" s="436" t="str">
        <f t="shared" si="428"/>
        <v>K</v>
      </c>
      <c r="Y405" s="446">
        <f t="shared" ca="1" si="280"/>
        <v>5</v>
      </c>
    </row>
    <row r="406" spans="1:25" ht="14.25" customHeight="1" x14ac:dyDescent="0.25">
      <c r="A406" s="379" t="s">
        <v>741</v>
      </c>
      <c r="F406" s="379">
        <v>405</v>
      </c>
      <c r="G406" s="379" t="s">
        <v>329</v>
      </c>
      <c r="H406" s="379" t="s">
        <v>326</v>
      </c>
      <c r="I406" s="379" t="s">
        <v>337</v>
      </c>
      <c r="J406" s="379" t="s">
        <v>339</v>
      </c>
      <c r="K406" s="379" t="s">
        <v>334</v>
      </c>
      <c r="L406" s="379" t="s">
        <v>330</v>
      </c>
      <c r="M406" s="379" t="s">
        <v>325</v>
      </c>
      <c r="N406" s="379" t="s">
        <v>327</v>
      </c>
      <c r="P406" s="379">
        <f t="shared" si="278"/>
        <v>405</v>
      </c>
      <c r="Q406" s="445" t="str">
        <f t="shared" ref="Q406:X406" si="429">+RIGHT(G406,1)</f>
        <v>H</v>
      </c>
      <c r="R406" s="436" t="str">
        <f t="shared" si="429"/>
        <v>J</v>
      </c>
      <c r="S406" s="436" t="str">
        <f t="shared" si="429"/>
        <v>B</v>
      </c>
      <c r="T406" s="436" t="str">
        <f t="shared" si="429"/>
        <v>C</v>
      </c>
      <c r="U406" s="436" t="str">
        <f t="shared" si="429"/>
        <v>A</v>
      </c>
      <c r="V406" s="436" t="str">
        <f t="shared" si="429"/>
        <v>G</v>
      </c>
      <c r="W406" s="436" t="str">
        <f t="shared" si="429"/>
        <v>E</v>
      </c>
      <c r="X406" s="436" t="str">
        <f t="shared" si="429"/>
        <v>I</v>
      </c>
      <c r="Y406" s="446">
        <f t="shared" ca="1" si="280"/>
        <v>5</v>
      </c>
    </row>
    <row r="407" spans="1:25" ht="14.25" customHeight="1" x14ac:dyDescent="0.25">
      <c r="A407" s="379" t="s">
        <v>742</v>
      </c>
      <c r="F407" s="379">
        <v>406</v>
      </c>
      <c r="G407" s="379" t="s">
        <v>325</v>
      </c>
      <c r="H407" s="379" t="s">
        <v>326</v>
      </c>
      <c r="I407" s="379" t="s">
        <v>337</v>
      </c>
      <c r="J407" s="379" t="s">
        <v>339</v>
      </c>
      <c r="K407" s="379" t="s">
        <v>334</v>
      </c>
      <c r="L407" s="379" t="s">
        <v>328</v>
      </c>
      <c r="M407" s="379" t="s">
        <v>331</v>
      </c>
      <c r="N407" s="379" t="s">
        <v>332</v>
      </c>
      <c r="P407" s="379">
        <f t="shared" si="278"/>
        <v>406</v>
      </c>
      <c r="Q407" s="445" t="str">
        <f t="shared" ref="Q407:X407" si="430">+RIGHT(G407,1)</f>
        <v>E</v>
      </c>
      <c r="R407" s="436" t="str">
        <f t="shared" si="430"/>
        <v>J</v>
      </c>
      <c r="S407" s="436" t="str">
        <f t="shared" si="430"/>
        <v>B</v>
      </c>
      <c r="T407" s="436" t="str">
        <f t="shared" si="430"/>
        <v>C</v>
      </c>
      <c r="U407" s="436" t="str">
        <f t="shared" si="430"/>
        <v>A</v>
      </c>
      <c r="V407" s="436" t="str">
        <f t="shared" si="430"/>
        <v>F</v>
      </c>
      <c r="W407" s="436" t="str">
        <f t="shared" si="430"/>
        <v>L</v>
      </c>
      <c r="X407" s="436" t="str">
        <f t="shared" si="430"/>
        <v>K</v>
      </c>
      <c r="Y407" s="446">
        <f t="shared" ca="1" si="280"/>
        <v>4</v>
      </c>
    </row>
    <row r="408" spans="1:25" ht="14.25" customHeight="1" x14ac:dyDescent="0.25">
      <c r="A408" s="379" t="s">
        <v>743</v>
      </c>
      <c r="F408" s="379">
        <v>407</v>
      </c>
      <c r="G408" s="379" t="s">
        <v>325</v>
      </c>
      <c r="H408" s="379" t="s">
        <v>327</v>
      </c>
      <c r="I408" s="379" t="s">
        <v>337</v>
      </c>
      <c r="J408" s="379" t="s">
        <v>339</v>
      </c>
      <c r="K408" s="379" t="s">
        <v>334</v>
      </c>
      <c r="L408" s="379" t="s">
        <v>328</v>
      </c>
      <c r="M408" s="379" t="s">
        <v>331</v>
      </c>
      <c r="N408" s="379" t="s">
        <v>332</v>
      </c>
      <c r="P408" s="379">
        <f t="shared" si="278"/>
        <v>407</v>
      </c>
      <c r="Q408" s="445" t="str">
        <f t="shared" ref="Q408:X408" si="431">+RIGHT(G408,1)</f>
        <v>E</v>
      </c>
      <c r="R408" s="436" t="str">
        <f t="shared" si="431"/>
        <v>I</v>
      </c>
      <c r="S408" s="436" t="str">
        <f t="shared" si="431"/>
        <v>B</v>
      </c>
      <c r="T408" s="436" t="str">
        <f t="shared" si="431"/>
        <v>C</v>
      </c>
      <c r="U408" s="436" t="str">
        <f t="shared" si="431"/>
        <v>A</v>
      </c>
      <c r="V408" s="436" t="str">
        <f t="shared" si="431"/>
        <v>F</v>
      </c>
      <c r="W408" s="436" t="str">
        <f t="shared" si="431"/>
        <v>L</v>
      </c>
      <c r="X408" s="436" t="str">
        <f t="shared" si="431"/>
        <v>K</v>
      </c>
      <c r="Y408" s="446">
        <f t="shared" ca="1" si="280"/>
        <v>5</v>
      </c>
    </row>
    <row r="409" spans="1:25" ht="14.25" customHeight="1" x14ac:dyDescent="0.25">
      <c r="A409" s="379" t="s">
        <v>744</v>
      </c>
      <c r="F409" s="379">
        <v>408</v>
      </c>
      <c r="G409" s="379" t="s">
        <v>325</v>
      </c>
      <c r="H409" s="379" t="s">
        <v>326</v>
      </c>
      <c r="I409" s="379" t="s">
        <v>337</v>
      </c>
      <c r="J409" s="379" t="s">
        <v>339</v>
      </c>
      <c r="K409" s="379" t="s">
        <v>334</v>
      </c>
      <c r="L409" s="379" t="s">
        <v>328</v>
      </c>
      <c r="M409" s="379" t="s">
        <v>331</v>
      </c>
      <c r="N409" s="379" t="s">
        <v>327</v>
      </c>
      <c r="P409" s="379">
        <f t="shared" si="278"/>
        <v>408</v>
      </c>
      <c r="Q409" s="445" t="str">
        <f t="shared" ref="Q409:X409" si="432">+RIGHT(G409,1)</f>
        <v>E</v>
      </c>
      <c r="R409" s="436" t="str">
        <f t="shared" si="432"/>
        <v>J</v>
      </c>
      <c r="S409" s="436" t="str">
        <f t="shared" si="432"/>
        <v>B</v>
      </c>
      <c r="T409" s="436" t="str">
        <f t="shared" si="432"/>
        <v>C</v>
      </c>
      <c r="U409" s="436" t="str">
        <f t="shared" si="432"/>
        <v>A</v>
      </c>
      <c r="V409" s="436" t="str">
        <f t="shared" si="432"/>
        <v>F</v>
      </c>
      <c r="W409" s="436" t="str">
        <f t="shared" si="432"/>
        <v>L</v>
      </c>
      <c r="X409" s="436" t="str">
        <f t="shared" si="432"/>
        <v>I</v>
      </c>
      <c r="Y409" s="446">
        <f t="shared" ca="1" si="280"/>
        <v>5</v>
      </c>
    </row>
    <row r="410" spans="1:25" ht="14.25" customHeight="1" x14ac:dyDescent="0.25">
      <c r="A410" s="379" t="s">
        <v>745</v>
      </c>
      <c r="F410" s="379">
        <v>409</v>
      </c>
      <c r="G410" s="379" t="s">
        <v>325</v>
      </c>
      <c r="H410" s="379" t="s">
        <v>326</v>
      </c>
      <c r="I410" s="379" t="s">
        <v>337</v>
      </c>
      <c r="J410" s="379" t="s">
        <v>339</v>
      </c>
      <c r="K410" s="379" t="s">
        <v>334</v>
      </c>
      <c r="L410" s="379" t="s">
        <v>328</v>
      </c>
      <c r="M410" s="379" t="s">
        <v>327</v>
      </c>
      <c r="N410" s="379" t="s">
        <v>332</v>
      </c>
      <c r="P410" s="379">
        <f t="shared" si="278"/>
        <v>409</v>
      </c>
      <c r="Q410" s="445" t="str">
        <f t="shared" ref="Q410:X410" si="433">+RIGHT(G410,1)</f>
        <v>E</v>
      </c>
      <c r="R410" s="436" t="str">
        <f t="shared" si="433"/>
        <v>J</v>
      </c>
      <c r="S410" s="436" t="str">
        <f t="shared" si="433"/>
        <v>B</v>
      </c>
      <c r="T410" s="436" t="str">
        <f t="shared" si="433"/>
        <v>C</v>
      </c>
      <c r="U410" s="436" t="str">
        <f t="shared" si="433"/>
        <v>A</v>
      </c>
      <c r="V410" s="436" t="str">
        <f t="shared" si="433"/>
        <v>F</v>
      </c>
      <c r="W410" s="436" t="str">
        <f t="shared" si="433"/>
        <v>I</v>
      </c>
      <c r="X410" s="436" t="str">
        <f t="shared" si="433"/>
        <v>K</v>
      </c>
      <c r="Y410" s="446">
        <f t="shared" ca="1" si="280"/>
        <v>4</v>
      </c>
    </row>
    <row r="411" spans="1:25" ht="14.25" customHeight="1" x14ac:dyDescent="0.25">
      <c r="A411" s="379" t="s">
        <v>746</v>
      </c>
      <c r="F411" s="379">
        <v>410</v>
      </c>
      <c r="G411" s="379" t="s">
        <v>329</v>
      </c>
      <c r="H411" s="379" t="s">
        <v>325</v>
      </c>
      <c r="I411" s="379" t="s">
        <v>337</v>
      </c>
      <c r="J411" s="379" t="s">
        <v>339</v>
      </c>
      <c r="K411" s="379" t="s">
        <v>334</v>
      </c>
      <c r="L411" s="379" t="s">
        <v>328</v>
      </c>
      <c r="M411" s="379" t="s">
        <v>331</v>
      </c>
      <c r="N411" s="379" t="s">
        <v>332</v>
      </c>
      <c r="P411" s="379">
        <f t="shared" si="278"/>
        <v>410</v>
      </c>
      <c r="Q411" s="445" t="str">
        <f t="shared" ref="Q411:X411" si="434">+RIGHT(G411,1)</f>
        <v>H</v>
      </c>
      <c r="R411" s="436" t="str">
        <f t="shared" si="434"/>
        <v>E</v>
      </c>
      <c r="S411" s="436" t="str">
        <f t="shared" si="434"/>
        <v>B</v>
      </c>
      <c r="T411" s="436" t="str">
        <f t="shared" si="434"/>
        <v>C</v>
      </c>
      <c r="U411" s="436" t="str">
        <f t="shared" si="434"/>
        <v>A</v>
      </c>
      <c r="V411" s="436" t="str">
        <f t="shared" si="434"/>
        <v>F</v>
      </c>
      <c r="W411" s="436" t="str">
        <f t="shared" si="434"/>
        <v>L</v>
      </c>
      <c r="X411" s="436" t="str">
        <f t="shared" si="434"/>
        <v>K</v>
      </c>
      <c r="Y411" s="446">
        <f t="shared" ca="1" si="280"/>
        <v>5</v>
      </c>
    </row>
    <row r="412" spans="1:25" ht="14.25" customHeight="1" x14ac:dyDescent="0.25">
      <c r="A412" s="379" t="s">
        <v>747</v>
      </c>
      <c r="F412" s="379">
        <v>411</v>
      </c>
      <c r="G412" s="379" t="s">
        <v>329</v>
      </c>
      <c r="H412" s="379" t="s">
        <v>326</v>
      </c>
      <c r="I412" s="379" t="s">
        <v>337</v>
      </c>
      <c r="J412" s="379" t="s">
        <v>339</v>
      </c>
      <c r="K412" s="379" t="s">
        <v>334</v>
      </c>
      <c r="L412" s="379" t="s">
        <v>328</v>
      </c>
      <c r="M412" s="379" t="s">
        <v>331</v>
      </c>
      <c r="N412" s="379" t="s">
        <v>325</v>
      </c>
      <c r="P412" s="379">
        <f t="shared" si="278"/>
        <v>411</v>
      </c>
      <c r="Q412" s="445" t="str">
        <f t="shared" ref="Q412:X412" si="435">+RIGHT(G412,1)</f>
        <v>H</v>
      </c>
      <c r="R412" s="436" t="str">
        <f t="shared" si="435"/>
        <v>J</v>
      </c>
      <c r="S412" s="436" t="str">
        <f t="shared" si="435"/>
        <v>B</v>
      </c>
      <c r="T412" s="436" t="str">
        <f t="shared" si="435"/>
        <v>C</v>
      </c>
      <c r="U412" s="436" t="str">
        <f t="shared" si="435"/>
        <v>A</v>
      </c>
      <c r="V412" s="436" t="str">
        <f t="shared" si="435"/>
        <v>F</v>
      </c>
      <c r="W412" s="436" t="str">
        <f t="shared" si="435"/>
        <v>L</v>
      </c>
      <c r="X412" s="436" t="str">
        <f t="shared" si="435"/>
        <v>E</v>
      </c>
      <c r="Y412" s="446">
        <f t="shared" ca="1" si="280"/>
        <v>5</v>
      </c>
    </row>
    <row r="413" spans="1:25" ht="14.25" customHeight="1" x14ac:dyDescent="0.25">
      <c r="A413" s="379" t="s">
        <v>748</v>
      </c>
      <c r="F413" s="379">
        <v>412</v>
      </c>
      <c r="G413" s="379" t="s">
        <v>329</v>
      </c>
      <c r="H413" s="379" t="s">
        <v>326</v>
      </c>
      <c r="I413" s="379" t="s">
        <v>337</v>
      </c>
      <c r="J413" s="379" t="s">
        <v>339</v>
      </c>
      <c r="K413" s="379" t="s">
        <v>334</v>
      </c>
      <c r="L413" s="379" t="s">
        <v>328</v>
      </c>
      <c r="M413" s="379" t="s">
        <v>325</v>
      </c>
      <c r="N413" s="379" t="s">
        <v>332</v>
      </c>
      <c r="P413" s="379">
        <f t="shared" si="278"/>
        <v>412</v>
      </c>
      <c r="Q413" s="445" t="str">
        <f t="shared" ref="Q413:X413" si="436">+RIGHT(G413,1)</f>
        <v>H</v>
      </c>
      <c r="R413" s="436" t="str">
        <f t="shared" si="436"/>
        <v>J</v>
      </c>
      <c r="S413" s="436" t="str">
        <f t="shared" si="436"/>
        <v>B</v>
      </c>
      <c r="T413" s="436" t="str">
        <f t="shared" si="436"/>
        <v>C</v>
      </c>
      <c r="U413" s="436" t="str">
        <f t="shared" si="436"/>
        <v>A</v>
      </c>
      <c r="V413" s="436" t="str">
        <f t="shared" si="436"/>
        <v>F</v>
      </c>
      <c r="W413" s="436" t="str">
        <f t="shared" si="436"/>
        <v>E</v>
      </c>
      <c r="X413" s="436" t="str">
        <f t="shared" si="436"/>
        <v>K</v>
      </c>
      <c r="Y413" s="446">
        <f t="shared" ca="1" si="280"/>
        <v>4</v>
      </c>
    </row>
    <row r="414" spans="1:25" ht="14.25" customHeight="1" x14ac:dyDescent="0.25">
      <c r="A414" s="379" t="s">
        <v>749</v>
      </c>
      <c r="F414" s="379">
        <v>413</v>
      </c>
      <c r="G414" s="379" t="s">
        <v>329</v>
      </c>
      <c r="H414" s="379" t="s">
        <v>325</v>
      </c>
      <c r="I414" s="379" t="s">
        <v>337</v>
      </c>
      <c r="J414" s="379" t="s">
        <v>339</v>
      </c>
      <c r="K414" s="379" t="s">
        <v>334</v>
      </c>
      <c r="L414" s="379" t="s">
        <v>328</v>
      </c>
      <c r="M414" s="379" t="s">
        <v>331</v>
      </c>
      <c r="N414" s="379" t="s">
        <v>327</v>
      </c>
      <c r="P414" s="379">
        <f t="shared" si="278"/>
        <v>413</v>
      </c>
      <c r="Q414" s="445" t="str">
        <f t="shared" ref="Q414:X414" si="437">+RIGHT(G414,1)</f>
        <v>H</v>
      </c>
      <c r="R414" s="436" t="str">
        <f t="shared" si="437"/>
        <v>E</v>
      </c>
      <c r="S414" s="436" t="str">
        <f t="shared" si="437"/>
        <v>B</v>
      </c>
      <c r="T414" s="436" t="str">
        <f t="shared" si="437"/>
        <v>C</v>
      </c>
      <c r="U414" s="436" t="str">
        <f t="shared" si="437"/>
        <v>A</v>
      </c>
      <c r="V414" s="436" t="str">
        <f t="shared" si="437"/>
        <v>F</v>
      </c>
      <c r="W414" s="436" t="str">
        <f t="shared" si="437"/>
        <v>L</v>
      </c>
      <c r="X414" s="436" t="str">
        <f t="shared" si="437"/>
        <v>I</v>
      </c>
      <c r="Y414" s="446">
        <f t="shared" ca="1" si="280"/>
        <v>6</v>
      </c>
    </row>
    <row r="415" spans="1:25" ht="14.25" customHeight="1" x14ac:dyDescent="0.25">
      <c r="A415" s="379" t="s">
        <v>750</v>
      </c>
      <c r="F415" s="379">
        <v>414</v>
      </c>
      <c r="G415" s="379" t="s">
        <v>329</v>
      </c>
      <c r="H415" s="379" t="s">
        <v>325</v>
      </c>
      <c r="I415" s="379" t="s">
        <v>337</v>
      </c>
      <c r="J415" s="379" t="s">
        <v>339</v>
      </c>
      <c r="K415" s="379" t="s">
        <v>334</v>
      </c>
      <c r="L415" s="379" t="s">
        <v>328</v>
      </c>
      <c r="M415" s="379" t="s">
        <v>327</v>
      </c>
      <c r="N415" s="379" t="s">
        <v>332</v>
      </c>
      <c r="P415" s="379">
        <f t="shared" si="278"/>
        <v>414</v>
      </c>
      <c r="Q415" s="445" t="str">
        <f t="shared" ref="Q415:X415" si="438">+RIGHT(G415,1)</f>
        <v>H</v>
      </c>
      <c r="R415" s="436" t="str">
        <f t="shared" si="438"/>
        <v>E</v>
      </c>
      <c r="S415" s="436" t="str">
        <f t="shared" si="438"/>
        <v>B</v>
      </c>
      <c r="T415" s="436" t="str">
        <f t="shared" si="438"/>
        <v>C</v>
      </c>
      <c r="U415" s="436" t="str">
        <f t="shared" si="438"/>
        <v>A</v>
      </c>
      <c r="V415" s="436" t="str">
        <f t="shared" si="438"/>
        <v>F</v>
      </c>
      <c r="W415" s="436" t="str">
        <f t="shared" si="438"/>
        <v>I</v>
      </c>
      <c r="X415" s="436" t="str">
        <f t="shared" si="438"/>
        <v>K</v>
      </c>
      <c r="Y415" s="446">
        <f t="shared" ca="1" si="280"/>
        <v>5</v>
      </c>
    </row>
    <row r="416" spans="1:25" ht="14.25" customHeight="1" x14ac:dyDescent="0.25">
      <c r="A416" s="379" t="s">
        <v>751</v>
      </c>
      <c r="F416" s="379">
        <v>415</v>
      </c>
      <c r="G416" s="379" t="s">
        <v>329</v>
      </c>
      <c r="H416" s="379" t="s">
        <v>326</v>
      </c>
      <c r="I416" s="379" t="s">
        <v>337</v>
      </c>
      <c r="J416" s="379" t="s">
        <v>339</v>
      </c>
      <c r="K416" s="379" t="s">
        <v>334</v>
      </c>
      <c r="L416" s="379" t="s">
        <v>328</v>
      </c>
      <c r="M416" s="379" t="s">
        <v>325</v>
      </c>
      <c r="N416" s="379" t="s">
        <v>327</v>
      </c>
      <c r="P416" s="379">
        <f t="shared" si="278"/>
        <v>415</v>
      </c>
      <c r="Q416" s="445" t="str">
        <f t="shared" ref="Q416:X416" si="439">+RIGHT(G416,1)</f>
        <v>H</v>
      </c>
      <c r="R416" s="436" t="str">
        <f t="shared" si="439"/>
        <v>J</v>
      </c>
      <c r="S416" s="436" t="str">
        <f t="shared" si="439"/>
        <v>B</v>
      </c>
      <c r="T416" s="436" t="str">
        <f t="shared" si="439"/>
        <v>C</v>
      </c>
      <c r="U416" s="436" t="str">
        <f t="shared" si="439"/>
        <v>A</v>
      </c>
      <c r="V416" s="436" t="str">
        <f t="shared" si="439"/>
        <v>F</v>
      </c>
      <c r="W416" s="436" t="str">
        <f t="shared" si="439"/>
        <v>E</v>
      </c>
      <c r="X416" s="436" t="str">
        <f t="shared" si="439"/>
        <v>I</v>
      </c>
      <c r="Y416" s="446">
        <f t="shared" ca="1" si="280"/>
        <v>5</v>
      </c>
    </row>
    <row r="417" spans="1:25" ht="14.25" customHeight="1" x14ac:dyDescent="0.25">
      <c r="A417" s="379" t="s">
        <v>752</v>
      </c>
      <c r="F417" s="379">
        <v>416</v>
      </c>
      <c r="G417" s="379" t="s">
        <v>325</v>
      </c>
      <c r="H417" s="379" t="s">
        <v>330</v>
      </c>
      <c r="I417" s="379" t="s">
        <v>337</v>
      </c>
      <c r="J417" s="379" t="s">
        <v>339</v>
      </c>
      <c r="K417" s="379" t="s">
        <v>334</v>
      </c>
      <c r="L417" s="379" t="s">
        <v>328</v>
      </c>
      <c r="M417" s="379" t="s">
        <v>331</v>
      </c>
      <c r="N417" s="379" t="s">
        <v>332</v>
      </c>
      <c r="P417" s="379">
        <f t="shared" si="278"/>
        <v>416</v>
      </c>
      <c r="Q417" s="445" t="str">
        <f t="shared" ref="Q417:X417" si="440">+RIGHT(G417,1)</f>
        <v>E</v>
      </c>
      <c r="R417" s="436" t="str">
        <f t="shared" si="440"/>
        <v>G</v>
      </c>
      <c r="S417" s="436" t="str">
        <f t="shared" si="440"/>
        <v>B</v>
      </c>
      <c r="T417" s="436" t="str">
        <f t="shared" si="440"/>
        <v>C</v>
      </c>
      <c r="U417" s="436" t="str">
        <f t="shared" si="440"/>
        <v>A</v>
      </c>
      <c r="V417" s="436" t="str">
        <f t="shared" si="440"/>
        <v>F</v>
      </c>
      <c r="W417" s="436" t="str">
        <f t="shared" si="440"/>
        <v>L</v>
      </c>
      <c r="X417" s="436" t="str">
        <f t="shared" si="440"/>
        <v>K</v>
      </c>
      <c r="Y417" s="446">
        <f t="shared" ca="1" si="280"/>
        <v>5</v>
      </c>
    </row>
    <row r="418" spans="1:25" ht="14.25" customHeight="1" x14ac:dyDescent="0.25">
      <c r="A418" s="379" t="s">
        <v>753</v>
      </c>
      <c r="F418" s="379">
        <v>417</v>
      </c>
      <c r="G418" s="379" t="s">
        <v>325</v>
      </c>
      <c r="H418" s="379" t="s">
        <v>330</v>
      </c>
      <c r="I418" s="379" t="s">
        <v>337</v>
      </c>
      <c r="J418" s="379" t="s">
        <v>339</v>
      </c>
      <c r="K418" s="379" t="s">
        <v>334</v>
      </c>
      <c r="L418" s="379" t="s">
        <v>328</v>
      </c>
      <c r="M418" s="379" t="s">
        <v>331</v>
      </c>
      <c r="N418" s="379" t="s">
        <v>326</v>
      </c>
      <c r="P418" s="379">
        <f t="shared" si="278"/>
        <v>417</v>
      </c>
      <c r="Q418" s="445" t="str">
        <f t="shared" ref="Q418:X418" si="441">+RIGHT(G418,1)</f>
        <v>E</v>
      </c>
      <c r="R418" s="436" t="str">
        <f t="shared" si="441"/>
        <v>G</v>
      </c>
      <c r="S418" s="436" t="str">
        <f t="shared" si="441"/>
        <v>B</v>
      </c>
      <c r="T418" s="436" t="str">
        <f t="shared" si="441"/>
        <v>C</v>
      </c>
      <c r="U418" s="436" t="str">
        <f t="shared" si="441"/>
        <v>A</v>
      </c>
      <c r="V418" s="436" t="str">
        <f t="shared" si="441"/>
        <v>F</v>
      </c>
      <c r="W418" s="436" t="str">
        <f t="shared" si="441"/>
        <v>L</v>
      </c>
      <c r="X418" s="436" t="str">
        <f t="shared" si="441"/>
        <v>J</v>
      </c>
      <c r="Y418" s="446">
        <f t="shared" ca="1" si="280"/>
        <v>5</v>
      </c>
    </row>
    <row r="419" spans="1:25" ht="14.25" customHeight="1" x14ac:dyDescent="0.25">
      <c r="A419" s="379" t="s">
        <v>754</v>
      </c>
      <c r="F419" s="379">
        <v>418</v>
      </c>
      <c r="G419" s="379" t="s">
        <v>325</v>
      </c>
      <c r="H419" s="379" t="s">
        <v>330</v>
      </c>
      <c r="I419" s="379" t="s">
        <v>337</v>
      </c>
      <c r="J419" s="379" t="s">
        <v>339</v>
      </c>
      <c r="K419" s="379" t="s">
        <v>334</v>
      </c>
      <c r="L419" s="379" t="s">
        <v>328</v>
      </c>
      <c r="M419" s="379" t="s">
        <v>326</v>
      </c>
      <c r="N419" s="379" t="s">
        <v>332</v>
      </c>
      <c r="P419" s="379">
        <f t="shared" si="278"/>
        <v>418</v>
      </c>
      <c r="Q419" s="445" t="str">
        <f t="shared" ref="Q419:X419" si="442">+RIGHT(G419,1)</f>
        <v>E</v>
      </c>
      <c r="R419" s="436" t="str">
        <f t="shared" si="442"/>
        <v>G</v>
      </c>
      <c r="S419" s="436" t="str">
        <f t="shared" si="442"/>
        <v>B</v>
      </c>
      <c r="T419" s="436" t="str">
        <f t="shared" si="442"/>
        <v>C</v>
      </c>
      <c r="U419" s="436" t="str">
        <f t="shared" si="442"/>
        <v>A</v>
      </c>
      <c r="V419" s="436" t="str">
        <f t="shared" si="442"/>
        <v>F</v>
      </c>
      <c r="W419" s="436" t="str">
        <f t="shared" si="442"/>
        <v>J</v>
      </c>
      <c r="X419" s="436" t="str">
        <f t="shared" si="442"/>
        <v>K</v>
      </c>
      <c r="Y419" s="446">
        <f t="shared" ca="1" si="280"/>
        <v>4</v>
      </c>
    </row>
    <row r="420" spans="1:25" ht="14.25" customHeight="1" x14ac:dyDescent="0.25">
      <c r="A420" s="379" t="s">
        <v>755</v>
      </c>
      <c r="F420" s="379">
        <v>419</v>
      </c>
      <c r="G420" s="379" t="s">
        <v>325</v>
      </c>
      <c r="H420" s="379" t="s">
        <v>330</v>
      </c>
      <c r="I420" s="379" t="s">
        <v>337</v>
      </c>
      <c r="J420" s="379" t="s">
        <v>339</v>
      </c>
      <c r="K420" s="379" t="s">
        <v>334</v>
      </c>
      <c r="L420" s="379" t="s">
        <v>328</v>
      </c>
      <c r="M420" s="379" t="s">
        <v>331</v>
      </c>
      <c r="N420" s="379" t="s">
        <v>327</v>
      </c>
      <c r="P420" s="379">
        <f t="shared" si="278"/>
        <v>419</v>
      </c>
      <c r="Q420" s="445" t="str">
        <f t="shared" ref="Q420:X420" si="443">+RIGHT(G420,1)</f>
        <v>E</v>
      </c>
      <c r="R420" s="436" t="str">
        <f t="shared" si="443"/>
        <v>G</v>
      </c>
      <c r="S420" s="436" t="str">
        <f t="shared" si="443"/>
        <v>B</v>
      </c>
      <c r="T420" s="436" t="str">
        <f t="shared" si="443"/>
        <v>C</v>
      </c>
      <c r="U420" s="436" t="str">
        <f t="shared" si="443"/>
        <v>A</v>
      </c>
      <c r="V420" s="436" t="str">
        <f t="shared" si="443"/>
        <v>F</v>
      </c>
      <c r="W420" s="436" t="str">
        <f t="shared" si="443"/>
        <v>L</v>
      </c>
      <c r="X420" s="436" t="str">
        <f t="shared" si="443"/>
        <v>I</v>
      </c>
      <c r="Y420" s="446">
        <f t="shared" ca="1" si="280"/>
        <v>6</v>
      </c>
    </row>
    <row r="421" spans="1:25" ht="14.25" customHeight="1" x14ac:dyDescent="0.25">
      <c r="A421" s="379" t="s">
        <v>756</v>
      </c>
      <c r="F421" s="379">
        <v>420</v>
      </c>
      <c r="G421" s="379" t="s">
        <v>325</v>
      </c>
      <c r="H421" s="379" t="s">
        <v>330</v>
      </c>
      <c r="I421" s="379" t="s">
        <v>337</v>
      </c>
      <c r="J421" s="379" t="s">
        <v>339</v>
      </c>
      <c r="K421" s="379" t="s">
        <v>334</v>
      </c>
      <c r="L421" s="379" t="s">
        <v>328</v>
      </c>
      <c r="M421" s="379" t="s">
        <v>327</v>
      </c>
      <c r="N421" s="379" t="s">
        <v>332</v>
      </c>
      <c r="P421" s="379">
        <f t="shared" si="278"/>
        <v>420</v>
      </c>
      <c r="Q421" s="445" t="str">
        <f t="shared" ref="Q421:X421" si="444">+RIGHT(G421,1)</f>
        <v>E</v>
      </c>
      <c r="R421" s="436" t="str">
        <f t="shared" si="444"/>
        <v>G</v>
      </c>
      <c r="S421" s="436" t="str">
        <f t="shared" si="444"/>
        <v>B</v>
      </c>
      <c r="T421" s="436" t="str">
        <f t="shared" si="444"/>
        <v>C</v>
      </c>
      <c r="U421" s="436" t="str">
        <f t="shared" si="444"/>
        <v>A</v>
      </c>
      <c r="V421" s="436" t="str">
        <f t="shared" si="444"/>
        <v>F</v>
      </c>
      <c r="W421" s="436" t="str">
        <f t="shared" si="444"/>
        <v>I</v>
      </c>
      <c r="X421" s="436" t="str">
        <f t="shared" si="444"/>
        <v>K</v>
      </c>
      <c r="Y421" s="446">
        <f t="shared" ca="1" si="280"/>
        <v>5</v>
      </c>
    </row>
    <row r="422" spans="1:25" ht="14.25" customHeight="1" x14ac:dyDescent="0.25">
      <c r="A422" s="379" t="s">
        <v>757</v>
      </c>
      <c r="F422" s="379">
        <v>421</v>
      </c>
      <c r="G422" s="379" t="s">
        <v>325</v>
      </c>
      <c r="H422" s="379" t="s">
        <v>330</v>
      </c>
      <c r="I422" s="379" t="s">
        <v>337</v>
      </c>
      <c r="J422" s="379" t="s">
        <v>339</v>
      </c>
      <c r="K422" s="379" t="s">
        <v>334</v>
      </c>
      <c r="L422" s="379" t="s">
        <v>328</v>
      </c>
      <c r="M422" s="379" t="s">
        <v>327</v>
      </c>
      <c r="N422" s="379" t="s">
        <v>326</v>
      </c>
      <c r="P422" s="379">
        <f t="shared" si="278"/>
        <v>421</v>
      </c>
      <c r="Q422" s="445" t="str">
        <f t="shared" ref="Q422:X422" si="445">+RIGHT(G422,1)</f>
        <v>E</v>
      </c>
      <c r="R422" s="436" t="str">
        <f t="shared" si="445"/>
        <v>G</v>
      </c>
      <c r="S422" s="436" t="str">
        <f t="shared" si="445"/>
        <v>B</v>
      </c>
      <c r="T422" s="436" t="str">
        <f t="shared" si="445"/>
        <v>C</v>
      </c>
      <c r="U422" s="436" t="str">
        <f t="shared" si="445"/>
        <v>A</v>
      </c>
      <c r="V422" s="436" t="str">
        <f t="shared" si="445"/>
        <v>F</v>
      </c>
      <c r="W422" s="436" t="str">
        <f t="shared" si="445"/>
        <v>I</v>
      </c>
      <c r="X422" s="436" t="str">
        <f t="shared" si="445"/>
        <v>J</v>
      </c>
      <c r="Y422" s="446">
        <f t="shared" ca="1" si="280"/>
        <v>5</v>
      </c>
    </row>
    <row r="423" spans="1:25" ht="14.25" customHeight="1" x14ac:dyDescent="0.25">
      <c r="A423" s="379" t="s">
        <v>758</v>
      </c>
      <c r="F423" s="379">
        <v>422</v>
      </c>
      <c r="G423" s="379" t="s">
        <v>329</v>
      </c>
      <c r="H423" s="379" t="s">
        <v>330</v>
      </c>
      <c r="I423" s="379" t="s">
        <v>337</v>
      </c>
      <c r="J423" s="379" t="s">
        <v>339</v>
      </c>
      <c r="K423" s="379" t="s">
        <v>334</v>
      </c>
      <c r="L423" s="379" t="s">
        <v>328</v>
      </c>
      <c r="M423" s="379" t="s">
        <v>331</v>
      </c>
      <c r="N423" s="379" t="s">
        <v>325</v>
      </c>
      <c r="P423" s="379">
        <f t="shared" si="278"/>
        <v>422</v>
      </c>
      <c r="Q423" s="445" t="str">
        <f t="shared" ref="Q423:X423" si="446">+RIGHT(G423,1)</f>
        <v>H</v>
      </c>
      <c r="R423" s="436" t="str">
        <f t="shared" si="446"/>
        <v>G</v>
      </c>
      <c r="S423" s="436" t="str">
        <f t="shared" si="446"/>
        <v>B</v>
      </c>
      <c r="T423" s="436" t="str">
        <f t="shared" si="446"/>
        <v>C</v>
      </c>
      <c r="U423" s="436" t="str">
        <f t="shared" si="446"/>
        <v>A</v>
      </c>
      <c r="V423" s="436" t="str">
        <f t="shared" si="446"/>
        <v>F</v>
      </c>
      <c r="W423" s="436" t="str">
        <f t="shared" si="446"/>
        <v>L</v>
      </c>
      <c r="X423" s="436" t="str">
        <f t="shared" si="446"/>
        <v>E</v>
      </c>
      <c r="Y423" s="446">
        <f t="shared" ca="1" si="280"/>
        <v>6</v>
      </c>
    </row>
    <row r="424" spans="1:25" ht="14.25" customHeight="1" x14ac:dyDescent="0.25">
      <c r="A424" s="379" t="s">
        <v>759</v>
      </c>
      <c r="F424" s="379">
        <v>423</v>
      </c>
      <c r="G424" s="379" t="s">
        <v>329</v>
      </c>
      <c r="H424" s="379" t="s">
        <v>330</v>
      </c>
      <c r="I424" s="379" t="s">
        <v>337</v>
      </c>
      <c r="J424" s="379" t="s">
        <v>339</v>
      </c>
      <c r="K424" s="379" t="s">
        <v>334</v>
      </c>
      <c r="L424" s="379" t="s">
        <v>328</v>
      </c>
      <c r="M424" s="379" t="s">
        <v>325</v>
      </c>
      <c r="N424" s="379" t="s">
        <v>332</v>
      </c>
      <c r="P424" s="379">
        <f t="shared" si="278"/>
        <v>423</v>
      </c>
      <c r="Q424" s="445" t="str">
        <f t="shared" ref="Q424:X424" si="447">+RIGHT(G424,1)</f>
        <v>H</v>
      </c>
      <c r="R424" s="436" t="str">
        <f t="shared" si="447"/>
        <v>G</v>
      </c>
      <c r="S424" s="436" t="str">
        <f t="shared" si="447"/>
        <v>B</v>
      </c>
      <c r="T424" s="436" t="str">
        <f t="shared" si="447"/>
        <v>C</v>
      </c>
      <c r="U424" s="436" t="str">
        <f t="shared" si="447"/>
        <v>A</v>
      </c>
      <c r="V424" s="436" t="str">
        <f t="shared" si="447"/>
        <v>F</v>
      </c>
      <c r="W424" s="436" t="str">
        <f t="shared" si="447"/>
        <v>E</v>
      </c>
      <c r="X424" s="436" t="str">
        <f t="shared" si="447"/>
        <v>K</v>
      </c>
      <c r="Y424" s="446">
        <f t="shared" ca="1" si="280"/>
        <v>5</v>
      </c>
    </row>
    <row r="425" spans="1:25" ht="14.25" customHeight="1" x14ac:dyDescent="0.25">
      <c r="A425" s="379" t="s">
        <v>760</v>
      </c>
      <c r="F425" s="379">
        <v>424</v>
      </c>
      <c r="G425" s="379" t="s">
        <v>329</v>
      </c>
      <c r="H425" s="379" t="s">
        <v>330</v>
      </c>
      <c r="I425" s="379" t="s">
        <v>337</v>
      </c>
      <c r="J425" s="379" t="s">
        <v>339</v>
      </c>
      <c r="K425" s="379" t="s">
        <v>334</v>
      </c>
      <c r="L425" s="379" t="s">
        <v>328</v>
      </c>
      <c r="M425" s="379" t="s">
        <v>325</v>
      </c>
      <c r="N425" s="379" t="s">
        <v>326</v>
      </c>
      <c r="P425" s="379">
        <f t="shared" si="278"/>
        <v>424</v>
      </c>
      <c r="Q425" s="445" t="str">
        <f t="shared" ref="Q425:X425" si="448">+RIGHT(G425,1)</f>
        <v>H</v>
      </c>
      <c r="R425" s="436" t="str">
        <f t="shared" si="448"/>
        <v>G</v>
      </c>
      <c r="S425" s="436" t="str">
        <f t="shared" si="448"/>
        <v>B</v>
      </c>
      <c r="T425" s="436" t="str">
        <f t="shared" si="448"/>
        <v>C</v>
      </c>
      <c r="U425" s="436" t="str">
        <f t="shared" si="448"/>
        <v>A</v>
      </c>
      <c r="V425" s="436" t="str">
        <f t="shared" si="448"/>
        <v>F</v>
      </c>
      <c r="W425" s="436" t="str">
        <f t="shared" si="448"/>
        <v>E</v>
      </c>
      <c r="X425" s="436" t="str">
        <f t="shared" si="448"/>
        <v>J</v>
      </c>
      <c r="Y425" s="446">
        <f t="shared" ca="1" si="280"/>
        <v>5</v>
      </c>
    </row>
    <row r="426" spans="1:25" ht="14.25" customHeight="1" x14ac:dyDescent="0.25">
      <c r="A426" s="379" t="s">
        <v>761</v>
      </c>
      <c r="F426" s="379">
        <v>425</v>
      </c>
      <c r="G426" s="379" t="s">
        <v>329</v>
      </c>
      <c r="H426" s="379" t="s">
        <v>330</v>
      </c>
      <c r="I426" s="379" t="s">
        <v>337</v>
      </c>
      <c r="J426" s="379" t="s">
        <v>339</v>
      </c>
      <c r="K426" s="379" t="s">
        <v>334</v>
      </c>
      <c r="L426" s="379" t="s">
        <v>328</v>
      </c>
      <c r="M426" s="379" t="s">
        <v>325</v>
      </c>
      <c r="N426" s="379" t="s">
        <v>327</v>
      </c>
      <c r="P426" s="379">
        <f t="shared" si="278"/>
        <v>425</v>
      </c>
      <c r="Q426" s="445" t="str">
        <f t="shared" ref="Q426:X426" si="449">+RIGHT(G426,1)</f>
        <v>H</v>
      </c>
      <c r="R426" s="436" t="str">
        <f t="shared" si="449"/>
        <v>G</v>
      </c>
      <c r="S426" s="436" t="str">
        <f t="shared" si="449"/>
        <v>B</v>
      </c>
      <c r="T426" s="436" t="str">
        <f t="shared" si="449"/>
        <v>C</v>
      </c>
      <c r="U426" s="436" t="str">
        <f t="shared" si="449"/>
        <v>A</v>
      </c>
      <c r="V426" s="436" t="str">
        <f t="shared" si="449"/>
        <v>F</v>
      </c>
      <c r="W426" s="436" t="str">
        <f t="shared" si="449"/>
        <v>E</v>
      </c>
      <c r="X426" s="436" t="str">
        <f t="shared" si="449"/>
        <v>I</v>
      </c>
      <c r="Y426" s="446">
        <f t="shared" ca="1" si="280"/>
        <v>6</v>
      </c>
    </row>
    <row r="427" spans="1:25" ht="14.25" customHeight="1" x14ac:dyDescent="0.25">
      <c r="A427" s="379" t="s">
        <v>762</v>
      </c>
      <c r="F427" s="379">
        <v>426</v>
      </c>
      <c r="G427" s="379" t="s">
        <v>327</v>
      </c>
      <c r="H427" s="379" t="s">
        <v>326</v>
      </c>
      <c r="I427" s="379" t="s">
        <v>337</v>
      </c>
      <c r="J427" s="379" t="s">
        <v>339</v>
      </c>
      <c r="K427" s="379" t="s">
        <v>334</v>
      </c>
      <c r="L427" s="379" t="s">
        <v>336</v>
      </c>
      <c r="M427" s="379" t="s">
        <v>331</v>
      </c>
      <c r="N427" s="379" t="s">
        <v>332</v>
      </c>
      <c r="P427" s="379">
        <f t="shared" si="278"/>
        <v>426</v>
      </c>
      <c r="Q427" s="445" t="str">
        <f t="shared" ref="Q427:X427" si="450">+RIGHT(G427,1)</f>
        <v>I</v>
      </c>
      <c r="R427" s="436" t="str">
        <f t="shared" si="450"/>
        <v>J</v>
      </c>
      <c r="S427" s="436" t="str">
        <f t="shared" si="450"/>
        <v>B</v>
      </c>
      <c r="T427" s="436" t="str">
        <f t="shared" si="450"/>
        <v>C</v>
      </c>
      <c r="U427" s="436" t="str">
        <f t="shared" si="450"/>
        <v>A</v>
      </c>
      <c r="V427" s="436" t="str">
        <f t="shared" si="450"/>
        <v>D</v>
      </c>
      <c r="W427" s="436" t="str">
        <f t="shared" si="450"/>
        <v>L</v>
      </c>
      <c r="X427" s="436" t="str">
        <f t="shared" si="450"/>
        <v>K</v>
      </c>
      <c r="Y427" s="446">
        <f t="shared" ca="1" si="280"/>
        <v>5</v>
      </c>
    </row>
    <row r="428" spans="1:25" ht="14.25" customHeight="1" x14ac:dyDescent="0.25">
      <c r="A428" s="379" t="s">
        <v>763</v>
      </c>
      <c r="F428" s="379">
        <v>427</v>
      </c>
      <c r="G428" s="379" t="s">
        <v>329</v>
      </c>
      <c r="H428" s="379" t="s">
        <v>326</v>
      </c>
      <c r="I428" s="379" t="s">
        <v>337</v>
      </c>
      <c r="J428" s="379" t="s">
        <v>339</v>
      </c>
      <c r="K428" s="379" t="s">
        <v>334</v>
      </c>
      <c r="L428" s="379" t="s">
        <v>336</v>
      </c>
      <c r="M428" s="379" t="s">
        <v>331</v>
      </c>
      <c r="N428" s="379" t="s">
        <v>332</v>
      </c>
      <c r="P428" s="379">
        <f t="shared" si="278"/>
        <v>427</v>
      </c>
      <c r="Q428" s="445" t="str">
        <f t="shared" ref="Q428:X428" si="451">+RIGHT(G428,1)</f>
        <v>H</v>
      </c>
      <c r="R428" s="436" t="str">
        <f t="shared" si="451"/>
        <v>J</v>
      </c>
      <c r="S428" s="436" t="str">
        <f t="shared" si="451"/>
        <v>B</v>
      </c>
      <c r="T428" s="436" t="str">
        <f t="shared" si="451"/>
        <v>C</v>
      </c>
      <c r="U428" s="436" t="str">
        <f t="shared" si="451"/>
        <v>A</v>
      </c>
      <c r="V428" s="436" t="str">
        <f t="shared" si="451"/>
        <v>D</v>
      </c>
      <c r="W428" s="436" t="str">
        <f t="shared" si="451"/>
        <v>L</v>
      </c>
      <c r="X428" s="436" t="str">
        <f t="shared" si="451"/>
        <v>K</v>
      </c>
      <c r="Y428" s="446">
        <f t="shared" ca="1" si="280"/>
        <v>5</v>
      </c>
    </row>
    <row r="429" spans="1:25" ht="14.25" customHeight="1" x14ac:dyDescent="0.25">
      <c r="A429" s="379" t="s">
        <v>764</v>
      </c>
      <c r="F429" s="379">
        <v>428</v>
      </c>
      <c r="G429" s="379" t="s">
        <v>329</v>
      </c>
      <c r="H429" s="379" t="s">
        <v>327</v>
      </c>
      <c r="I429" s="379" t="s">
        <v>337</v>
      </c>
      <c r="J429" s="379" t="s">
        <v>339</v>
      </c>
      <c r="K429" s="379" t="s">
        <v>334</v>
      </c>
      <c r="L429" s="379" t="s">
        <v>336</v>
      </c>
      <c r="M429" s="379" t="s">
        <v>331</v>
      </c>
      <c r="N429" s="379" t="s">
        <v>332</v>
      </c>
      <c r="P429" s="379">
        <f t="shared" si="278"/>
        <v>428</v>
      </c>
      <c r="Q429" s="445" t="str">
        <f t="shared" ref="Q429:X429" si="452">+RIGHT(G429,1)</f>
        <v>H</v>
      </c>
      <c r="R429" s="436" t="str">
        <f t="shared" si="452"/>
        <v>I</v>
      </c>
      <c r="S429" s="436" t="str">
        <f t="shared" si="452"/>
        <v>B</v>
      </c>
      <c r="T429" s="436" t="str">
        <f t="shared" si="452"/>
        <v>C</v>
      </c>
      <c r="U429" s="436" t="str">
        <f t="shared" si="452"/>
        <v>A</v>
      </c>
      <c r="V429" s="436" t="str">
        <f t="shared" si="452"/>
        <v>D</v>
      </c>
      <c r="W429" s="436" t="str">
        <f t="shared" si="452"/>
        <v>L</v>
      </c>
      <c r="X429" s="436" t="str">
        <f t="shared" si="452"/>
        <v>K</v>
      </c>
      <c r="Y429" s="446">
        <f t="shared" ca="1" si="280"/>
        <v>6</v>
      </c>
    </row>
    <row r="430" spans="1:25" ht="14.25" customHeight="1" x14ac:dyDescent="0.25">
      <c r="A430" s="379" t="s">
        <v>765</v>
      </c>
      <c r="F430" s="379">
        <v>429</v>
      </c>
      <c r="G430" s="379" t="s">
        <v>329</v>
      </c>
      <c r="H430" s="379" t="s">
        <v>326</v>
      </c>
      <c r="I430" s="379" t="s">
        <v>337</v>
      </c>
      <c r="J430" s="379" t="s">
        <v>339</v>
      </c>
      <c r="K430" s="379" t="s">
        <v>334</v>
      </c>
      <c r="L430" s="379" t="s">
        <v>336</v>
      </c>
      <c r="M430" s="379" t="s">
        <v>331</v>
      </c>
      <c r="N430" s="379" t="s">
        <v>327</v>
      </c>
      <c r="P430" s="379">
        <f t="shared" si="278"/>
        <v>429</v>
      </c>
      <c r="Q430" s="445" t="str">
        <f t="shared" ref="Q430:X430" si="453">+RIGHT(G430,1)</f>
        <v>H</v>
      </c>
      <c r="R430" s="436" t="str">
        <f t="shared" si="453"/>
        <v>J</v>
      </c>
      <c r="S430" s="436" t="str">
        <f t="shared" si="453"/>
        <v>B</v>
      </c>
      <c r="T430" s="436" t="str">
        <f t="shared" si="453"/>
        <v>C</v>
      </c>
      <c r="U430" s="436" t="str">
        <f t="shared" si="453"/>
        <v>A</v>
      </c>
      <c r="V430" s="436" t="str">
        <f t="shared" si="453"/>
        <v>D</v>
      </c>
      <c r="W430" s="436" t="str">
        <f t="shared" si="453"/>
        <v>L</v>
      </c>
      <c r="X430" s="436" t="str">
        <f t="shared" si="453"/>
        <v>I</v>
      </c>
      <c r="Y430" s="446">
        <f t="shared" ca="1" si="280"/>
        <v>6</v>
      </c>
    </row>
    <row r="431" spans="1:25" ht="14.25" customHeight="1" x14ac:dyDescent="0.25">
      <c r="A431" s="379" t="s">
        <v>766</v>
      </c>
      <c r="F431" s="379">
        <v>430</v>
      </c>
      <c r="G431" s="379" t="s">
        <v>329</v>
      </c>
      <c r="H431" s="379" t="s">
        <v>326</v>
      </c>
      <c r="I431" s="379" t="s">
        <v>337</v>
      </c>
      <c r="J431" s="379" t="s">
        <v>339</v>
      </c>
      <c r="K431" s="379" t="s">
        <v>334</v>
      </c>
      <c r="L431" s="379" t="s">
        <v>336</v>
      </c>
      <c r="M431" s="379" t="s">
        <v>327</v>
      </c>
      <c r="N431" s="379" t="s">
        <v>332</v>
      </c>
      <c r="P431" s="379">
        <f t="shared" si="278"/>
        <v>430</v>
      </c>
      <c r="Q431" s="445" t="str">
        <f t="shared" ref="Q431:X431" si="454">+RIGHT(G431,1)</f>
        <v>H</v>
      </c>
      <c r="R431" s="436" t="str">
        <f t="shared" si="454"/>
        <v>J</v>
      </c>
      <c r="S431" s="436" t="str">
        <f t="shared" si="454"/>
        <v>B</v>
      </c>
      <c r="T431" s="436" t="str">
        <f t="shared" si="454"/>
        <v>C</v>
      </c>
      <c r="U431" s="436" t="str">
        <f t="shared" si="454"/>
        <v>A</v>
      </c>
      <c r="V431" s="436" t="str">
        <f t="shared" si="454"/>
        <v>D</v>
      </c>
      <c r="W431" s="436" t="str">
        <f t="shared" si="454"/>
        <v>I</v>
      </c>
      <c r="X431" s="436" t="str">
        <f t="shared" si="454"/>
        <v>K</v>
      </c>
      <c r="Y431" s="446">
        <f t="shared" ca="1" si="280"/>
        <v>5</v>
      </c>
    </row>
    <row r="432" spans="1:25" ht="14.25" customHeight="1" x14ac:dyDescent="0.25">
      <c r="A432" s="379" t="s">
        <v>767</v>
      </c>
      <c r="F432" s="379">
        <v>431</v>
      </c>
      <c r="G432" s="379" t="s">
        <v>339</v>
      </c>
      <c r="H432" s="379" t="s">
        <v>326</v>
      </c>
      <c r="I432" s="379" t="s">
        <v>337</v>
      </c>
      <c r="J432" s="379" t="s">
        <v>336</v>
      </c>
      <c r="K432" s="379" t="s">
        <v>334</v>
      </c>
      <c r="L432" s="379" t="s">
        <v>330</v>
      </c>
      <c r="M432" s="379" t="s">
        <v>331</v>
      </c>
      <c r="N432" s="379" t="s">
        <v>332</v>
      </c>
      <c r="P432" s="379">
        <f t="shared" si="278"/>
        <v>431</v>
      </c>
      <c r="Q432" s="445" t="str">
        <f t="shared" ref="Q432:X432" si="455">+RIGHT(G432,1)</f>
        <v>C</v>
      </c>
      <c r="R432" s="436" t="str">
        <f t="shared" si="455"/>
        <v>J</v>
      </c>
      <c r="S432" s="436" t="str">
        <f t="shared" si="455"/>
        <v>B</v>
      </c>
      <c r="T432" s="436" t="str">
        <f t="shared" si="455"/>
        <v>D</v>
      </c>
      <c r="U432" s="436" t="str">
        <f t="shared" si="455"/>
        <v>A</v>
      </c>
      <c r="V432" s="436" t="str">
        <f t="shared" si="455"/>
        <v>G</v>
      </c>
      <c r="W432" s="436" t="str">
        <f t="shared" si="455"/>
        <v>L</v>
      </c>
      <c r="X432" s="436" t="str">
        <f t="shared" si="455"/>
        <v>K</v>
      </c>
      <c r="Y432" s="446">
        <f t="shared" ca="1" si="280"/>
        <v>5</v>
      </c>
    </row>
    <row r="433" spans="1:25" ht="14.25" customHeight="1" x14ac:dyDescent="0.25">
      <c r="A433" s="379" t="s">
        <v>768</v>
      </c>
      <c r="F433" s="379">
        <v>432</v>
      </c>
      <c r="G433" s="379" t="s">
        <v>327</v>
      </c>
      <c r="H433" s="379" t="s">
        <v>330</v>
      </c>
      <c r="I433" s="379" t="s">
        <v>337</v>
      </c>
      <c r="J433" s="379" t="s">
        <v>339</v>
      </c>
      <c r="K433" s="379" t="s">
        <v>334</v>
      </c>
      <c r="L433" s="379" t="s">
        <v>336</v>
      </c>
      <c r="M433" s="379" t="s">
        <v>331</v>
      </c>
      <c r="N433" s="379" t="s">
        <v>332</v>
      </c>
      <c r="P433" s="379">
        <f t="shared" si="278"/>
        <v>432</v>
      </c>
      <c r="Q433" s="445" t="str">
        <f t="shared" ref="Q433:X433" si="456">+RIGHT(G433,1)</f>
        <v>I</v>
      </c>
      <c r="R433" s="436" t="str">
        <f t="shared" si="456"/>
        <v>G</v>
      </c>
      <c r="S433" s="436" t="str">
        <f t="shared" si="456"/>
        <v>B</v>
      </c>
      <c r="T433" s="436" t="str">
        <f t="shared" si="456"/>
        <v>C</v>
      </c>
      <c r="U433" s="436" t="str">
        <f t="shared" si="456"/>
        <v>A</v>
      </c>
      <c r="V433" s="436" t="str">
        <f t="shared" si="456"/>
        <v>D</v>
      </c>
      <c r="W433" s="436" t="str">
        <f t="shared" si="456"/>
        <v>L</v>
      </c>
      <c r="X433" s="436" t="str">
        <f t="shared" si="456"/>
        <v>K</v>
      </c>
      <c r="Y433" s="446">
        <f t="shared" ca="1" si="280"/>
        <v>6</v>
      </c>
    </row>
    <row r="434" spans="1:25" ht="14.25" customHeight="1" x14ac:dyDescent="0.25">
      <c r="A434" s="379" t="s">
        <v>769</v>
      </c>
      <c r="F434" s="379">
        <v>433</v>
      </c>
      <c r="G434" s="379" t="s">
        <v>339</v>
      </c>
      <c r="H434" s="379" t="s">
        <v>326</v>
      </c>
      <c r="I434" s="379" t="s">
        <v>337</v>
      </c>
      <c r="J434" s="379" t="s">
        <v>336</v>
      </c>
      <c r="K434" s="379" t="s">
        <v>334</v>
      </c>
      <c r="L434" s="379" t="s">
        <v>330</v>
      </c>
      <c r="M434" s="379" t="s">
        <v>331</v>
      </c>
      <c r="N434" s="379" t="s">
        <v>327</v>
      </c>
      <c r="P434" s="379">
        <f t="shared" si="278"/>
        <v>433</v>
      </c>
      <c r="Q434" s="445" t="str">
        <f t="shared" ref="Q434:X434" si="457">+RIGHT(G434,1)</f>
        <v>C</v>
      </c>
      <c r="R434" s="436" t="str">
        <f t="shared" si="457"/>
        <v>J</v>
      </c>
      <c r="S434" s="436" t="str">
        <f t="shared" si="457"/>
        <v>B</v>
      </c>
      <c r="T434" s="436" t="str">
        <f t="shared" si="457"/>
        <v>D</v>
      </c>
      <c r="U434" s="436" t="str">
        <f t="shared" si="457"/>
        <v>A</v>
      </c>
      <c r="V434" s="436" t="str">
        <f t="shared" si="457"/>
        <v>G</v>
      </c>
      <c r="W434" s="436" t="str">
        <f t="shared" si="457"/>
        <v>L</v>
      </c>
      <c r="X434" s="436" t="str">
        <f t="shared" si="457"/>
        <v>I</v>
      </c>
      <c r="Y434" s="446">
        <f t="shared" ca="1" si="280"/>
        <v>6</v>
      </c>
    </row>
    <row r="435" spans="1:25" ht="14.25" customHeight="1" x14ac:dyDescent="0.25">
      <c r="A435" s="379" t="s">
        <v>770</v>
      </c>
      <c r="F435" s="379">
        <v>434</v>
      </c>
      <c r="G435" s="379" t="s">
        <v>339</v>
      </c>
      <c r="H435" s="379" t="s">
        <v>326</v>
      </c>
      <c r="I435" s="379" t="s">
        <v>337</v>
      </c>
      <c r="J435" s="379" t="s">
        <v>336</v>
      </c>
      <c r="K435" s="379" t="s">
        <v>334</v>
      </c>
      <c r="L435" s="379" t="s">
        <v>330</v>
      </c>
      <c r="M435" s="379" t="s">
        <v>327</v>
      </c>
      <c r="N435" s="379" t="s">
        <v>332</v>
      </c>
      <c r="P435" s="379">
        <f t="shared" si="278"/>
        <v>434</v>
      </c>
      <c r="Q435" s="445" t="str">
        <f t="shared" ref="Q435:X435" si="458">+RIGHT(G435,1)</f>
        <v>C</v>
      </c>
      <c r="R435" s="436" t="str">
        <f t="shared" si="458"/>
        <v>J</v>
      </c>
      <c r="S435" s="436" t="str">
        <f t="shared" si="458"/>
        <v>B</v>
      </c>
      <c r="T435" s="436" t="str">
        <f t="shared" si="458"/>
        <v>D</v>
      </c>
      <c r="U435" s="436" t="str">
        <f t="shared" si="458"/>
        <v>A</v>
      </c>
      <c r="V435" s="436" t="str">
        <f t="shared" si="458"/>
        <v>G</v>
      </c>
      <c r="W435" s="436" t="str">
        <f t="shared" si="458"/>
        <v>I</v>
      </c>
      <c r="X435" s="436" t="str">
        <f t="shared" si="458"/>
        <v>K</v>
      </c>
      <c r="Y435" s="446">
        <f t="shared" ca="1" si="280"/>
        <v>5</v>
      </c>
    </row>
    <row r="436" spans="1:25" ht="14.25" customHeight="1" x14ac:dyDescent="0.25">
      <c r="A436" s="379" t="s">
        <v>771</v>
      </c>
      <c r="F436" s="379">
        <v>435</v>
      </c>
      <c r="G436" s="379" t="s">
        <v>329</v>
      </c>
      <c r="H436" s="379" t="s">
        <v>330</v>
      </c>
      <c r="I436" s="379" t="s">
        <v>337</v>
      </c>
      <c r="J436" s="379" t="s">
        <v>339</v>
      </c>
      <c r="K436" s="379" t="s">
        <v>334</v>
      </c>
      <c r="L436" s="379" t="s">
        <v>336</v>
      </c>
      <c r="M436" s="379" t="s">
        <v>331</v>
      </c>
      <c r="N436" s="379" t="s">
        <v>332</v>
      </c>
      <c r="P436" s="379">
        <f t="shared" si="278"/>
        <v>435</v>
      </c>
      <c r="Q436" s="445" t="str">
        <f t="shared" ref="Q436:X436" si="459">+RIGHT(G436,1)</f>
        <v>H</v>
      </c>
      <c r="R436" s="436" t="str">
        <f t="shared" si="459"/>
        <v>G</v>
      </c>
      <c r="S436" s="436" t="str">
        <f t="shared" si="459"/>
        <v>B</v>
      </c>
      <c r="T436" s="436" t="str">
        <f t="shared" si="459"/>
        <v>C</v>
      </c>
      <c r="U436" s="436" t="str">
        <f t="shared" si="459"/>
        <v>A</v>
      </c>
      <c r="V436" s="436" t="str">
        <f t="shared" si="459"/>
        <v>D</v>
      </c>
      <c r="W436" s="436" t="str">
        <f t="shared" si="459"/>
        <v>L</v>
      </c>
      <c r="X436" s="436" t="str">
        <f t="shared" si="459"/>
        <v>K</v>
      </c>
      <c r="Y436" s="446">
        <f t="shared" ca="1" si="280"/>
        <v>6</v>
      </c>
    </row>
    <row r="437" spans="1:25" ht="14.25" customHeight="1" x14ac:dyDescent="0.25">
      <c r="A437" s="379" t="s">
        <v>772</v>
      </c>
      <c r="F437" s="379">
        <v>436</v>
      </c>
      <c r="G437" s="379" t="s">
        <v>329</v>
      </c>
      <c r="H437" s="379" t="s">
        <v>330</v>
      </c>
      <c r="I437" s="379" t="s">
        <v>337</v>
      </c>
      <c r="J437" s="379" t="s">
        <v>339</v>
      </c>
      <c r="K437" s="379" t="s">
        <v>334</v>
      </c>
      <c r="L437" s="379" t="s">
        <v>336</v>
      </c>
      <c r="M437" s="379" t="s">
        <v>331</v>
      </c>
      <c r="N437" s="379" t="s">
        <v>326</v>
      </c>
      <c r="P437" s="379">
        <f t="shared" si="278"/>
        <v>436</v>
      </c>
      <c r="Q437" s="445" t="str">
        <f t="shared" ref="Q437:X437" si="460">+RIGHT(G437,1)</f>
        <v>H</v>
      </c>
      <c r="R437" s="436" t="str">
        <f t="shared" si="460"/>
        <v>G</v>
      </c>
      <c r="S437" s="436" t="str">
        <f t="shared" si="460"/>
        <v>B</v>
      </c>
      <c r="T437" s="436" t="str">
        <f t="shared" si="460"/>
        <v>C</v>
      </c>
      <c r="U437" s="436" t="str">
        <f t="shared" si="460"/>
        <v>A</v>
      </c>
      <c r="V437" s="436" t="str">
        <f t="shared" si="460"/>
        <v>D</v>
      </c>
      <c r="W437" s="436" t="str">
        <f t="shared" si="460"/>
        <v>L</v>
      </c>
      <c r="X437" s="436" t="str">
        <f t="shared" si="460"/>
        <v>J</v>
      </c>
      <c r="Y437" s="446">
        <f t="shared" ca="1" si="280"/>
        <v>6</v>
      </c>
    </row>
    <row r="438" spans="1:25" ht="14.25" customHeight="1" x14ac:dyDescent="0.25">
      <c r="A438" s="379" t="s">
        <v>773</v>
      </c>
      <c r="F438" s="379">
        <v>437</v>
      </c>
      <c r="G438" s="379" t="s">
        <v>329</v>
      </c>
      <c r="H438" s="379" t="s">
        <v>330</v>
      </c>
      <c r="I438" s="379" t="s">
        <v>337</v>
      </c>
      <c r="J438" s="379" t="s">
        <v>339</v>
      </c>
      <c r="K438" s="379" t="s">
        <v>334</v>
      </c>
      <c r="L438" s="379" t="s">
        <v>336</v>
      </c>
      <c r="M438" s="379" t="s">
        <v>326</v>
      </c>
      <c r="N438" s="379" t="s">
        <v>332</v>
      </c>
      <c r="P438" s="379">
        <f t="shared" si="278"/>
        <v>437</v>
      </c>
      <c r="Q438" s="445" t="str">
        <f t="shared" ref="Q438:X438" si="461">+RIGHT(G438,1)</f>
        <v>H</v>
      </c>
      <c r="R438" s="436" t="str">
        <f t="shared" si="461"/>
        <v>G</v>
      </c>
      <c r="S438" s="436" t="str">
        <f t="shared" si="461"/>
        <v>B</v>
      </c>
      <c r="T438" s="436" t="str">
        <f t="shared" si="461"/>
        <v>C</v>
      </c>
      <c r="U438" s="436" t="str">
        <f t="shared" si="461"/>
        <v>A</v>
      </c>
      <c r="V438" s="436" t="str">
        <f t="shared" si="461"/>
        <v>D</v>
      </c>
      <c r="W438" s="436" t="str">
        <f t="shared" si="461"/>
        <v>J</v>
      </c>
      <c r="X438" s="436" t="str">
        <f t="shared" si="461"/>
        <v>K</v>
      </c>
      <c r="Y438" s="446">
        <f t="shared" ca="1" si="280"/>
        <v>5</v>
      </c>
    </row>
    <row r="439" spans="1:25" ht="14.25" customHeight="1" x14ac:dyDescent="0.25">
      <c r="A439" s="379" t="s">
        <v>774</v>
      </c>
      <c r="F439" s="379">
        <v>438</v>
      </c>
      <c r="G439" s="379" t="s">
        <v>329</v>
      </c>
      <c r="H439" s="379" t="s">
        <v>330</v>
      </c>
      <c r="I439" s="379" t="s">
        <v>337</v>
      </c>
      <c r="J439" s="379" t="s">
        <v>339</v>
      </c>
      <c r="K439" s="379" t="s">
        <v>334</v>
      </c>
      <c r="L439" s="379" t="s">
        <v>336</v>
      </c>
      <c r="M439" s="379" t="s">
        <v>331</v>
      </c>
      <c r="N439" s="379" t="s">
        <v>327</v>
      </c>
      <c r="P439" s="379">
        <f t="shared" si="278"/>
        <v>438</v>
      </c>
      <c r="Q439" s="445" t="str">
        <f t="shared" ref="Q439:X439" si="462">+RIGHT(G439,1)</f>
        <v>H</v>
      </c>
      <c r="R439" s="436" t="str">
        <f t="shared" si="462"/>
        <v>G</v>
      </c>
      <c r="S439" s="436" t="str">
        <f t="shared" si="462"/>
        <v>B</v>
      </c>
      <c r="T439" s="436" t="str">
        <f t="shared" si="462"/>
        <v>C</v>
      </c>
      <c r="U439" s="436" t="str">
        <f t="shared" si="462"/>
        <v>A</v>
      </c>
      <c r="V439" s="436" t="str">
        <f t="shared" si="462"/>
        <v>D</v>
      </c>
      <c r="W439" s="436" t="str">
        <f t="shared" si="462"/>
        <v>L</v>
      </c>
      <c r="X439" s="436" t="str">
        <f t="shared" si="462"/>
        <v>I</v>
      </c>
      <c r="Y439" s="446">
        <f t="shared" ca="1" si="280"/>
        <v>7</v>
      </c>
    </row>
    <row r="440" spans="1:25" ht="14.25" customHeight="1" x14ac:dyDescent="0.25">
      <c r="A440" s="379" t="s">
        <v>775</v>
      </c>
      <c r="F440" s="379">
        <v>439</v>
      </c>
      <c r="G440" s="379" t="s">
        <v>329</v>
      </c>
      <c r="H440" s="379" t="s">
        <v>330</v>
      </c>
      <c r="I440" s="379" t="s">
        <v>337</v>
      </c>
      <c r="J440" s="379" t="s">
        <v>339</v>
      </c>
      <c r="K440" s="379" t="s">
        <v>334</v>
      </c>
      <c r="L440" s="379" t="s">
        <v>336</v>
      </c>
      <c r="M440" s="379" t="s">
        <v>327</v>
      </c>
      <c r="N440" s="379" t="s">
        <v>332</v>
      </c>
      <c r="P440" s="379">
        <f t="shared" si="278"/>
        <v>439</v>
      </c>
      <c r="Q440" s="445" t="str">
        <f t="shared" ref="Q440:X440" si="463">+RIGHT(G440,1)</f>
        <v>H</v>
      </c>
      <c r="R440" s="436" t="str">
        <f t="shared" si="463"/>
        <v>G</v>
      </c>
      <c r="S440" s="436" t="str">
        <f t="shared" si="463"/>
        <v>B</v>
      </c>
      <c r="T440" s="436" t="str">
        <f t="shared" si="463"/>
        <v>C</v>
      </c>
      <c r="U440" s="436" t="str">
        <f t="shared" si="463"/>
        <v>A</v>
      </c>
      <c r="V440" s="436" t="str">
        <f t="shared" si="463"/>
        <v>D</v>
      </c>
      <c r="W440" s="436" t="str">
        <f t="shared" si="463"/>
        <v>I</v>
      </c>
      <c r="X440" s="436" t="str">
        <f t="shared" si="463"/>
        <v>K</v>
      </c>
      <c r="Y440" s="446">
        <f t="shared" ca="1" si="280"/>
        <v>6</v>
      </c>
    </row>
    <row r="441" spans="1:25" ht="14.25" customHeight="1" x14ac:dyDescent="0.25">
      <c r="A441" s="379" t="s">
        <v>776</v>
      </c>
      <c r="F441" s="379">
        <v>440</v>
      </c>
      <c r="G441" s="379" t="s">
        <v>329</v>
      </c>
      <c r="H441" s="379" t="s">
        <v>330</v>
      </c>
      <c r="I441" s="379" t="s">
        <v>337</v>
      </c>
      <c r="J441" s="379" t="s">
        <v>339</v>
      </c>
      <c r="K441" s="379" t="s">
        <v>334</v>
      </c>
      <c r="L441" s="379" t="s">
        <v>336</v>
      </c>
      <c r="M441" s="379" t="s">
        <v>327</v>
      </c>
      <c r="N441" s="379" t="s">
        <v>326</v>
      </c>
      <c r="P441" s="379">
        <f t="shared" si="278"/>
        <v>440</v>
      </c>
      <c r="Q441" s="445" t="str">
        <f t="shared" ref="Q441:X441" si="464">+RIGHT(G441,1)</f>
        <v>H</v>
      </c>
      <c r="R441" s="436" t="str">
        <f t="shared" si="464"/>
        <v>G</v>
      </c>
      <c r="S441" s="436" t="str">
        <f t="shared" si="464"/>
        <v>B</v>
      </c>
      <c r="T441" s="436" t="str">
        <f t="shared" si="464"/>
        <v>C</v>
      </c>
      <c r="U441" s="436" t="str">
        <f t="shared" si="464"/>
        <v>A</v>
      </c>
      <c r="V441" s="436" t="str">
        <f t="shared" si="464"/>
        <v>D</v>
      </c>
      <c r="W441" s="436" t="str">
        <f t="shared" si="464"/>
        <v>I</v>
      </c>
      <c r="X441" s="436" t="str">
        <f t="shared" si="464"/>
        <v>J</v>
      </c>
      <c r="Y441" s="446">
        <f t="shared" ca="1" si="280"/>
        <v>6</v>
      </c>
    </row>
    <row r="442" spans="1:25" ht="14.25" customHeight="1" x14ac:dyDescent="0.25">
      <c r="A442" s="379" t="s">
        <v>777</v>
      </c>
      <c r="F442" s="379">
        <v>441</v>
      </c>
      <c r="G442" s="379" t="s">
        <v>339</v>
      </c>
      <c r="H442" s="379" t="s">
        <v>326</v>
      </c>
      <c r="I442" s="379" t="s">
        <v>337</v>
      </c>
      <c r="J442" s="379" t="s">
        <v>336</v>
      </c>
      <c r="K442" s="379" t="s">
        <v>334</v>
      </c>
      <c r="L442" s="379" t="s">
        <v>328</v>
      </c>
      <c r="M442" s="379" t="s">
        <v>331</v>
      </c>
      <c r="N442" s="379" t="s">
        <v>332</v>
      </c>
      <c r="P442" s="379">
        <f t="shared" si="278"/>
        <v>441</v>
      </c>
      <c r="Q442" s="445" t="str">
        <f t="shared" ref="Q442:X442" si="465">+RIGHT(G442,1)</f>
        <v>C</v>
      </c>
      <c r="R442" s="436" t="str">
        <f t="shared" si="465"/>
        <v>J</v>
      </c>
      <c r="S442" s="436" t="str">
        <f t="shared" si="465"/>
        <v>B</v>
      </c>
      <c r="T442" s="436" t="str">
        <f t="shared" si="465"/>
        <v>D</v>
      </c>
      <c r="U442" s="436" t="str">
        <f t="shared" si="465"/>
        <v>A</v>
      </c>
      <c r="V442" s="436" t="str">
        <f t="shared" si="465"/>
        <v>F</v>
      </c>
      <c r="W442" s="436" t="str">
        <f t="shared" si="465"/>
        <v>L</v>
      </c>
      <c r="X442" s="436" t="str">
        <f t="shared" si="465"/>
        <v>K</v>
      </c>
      <c r="Y442" s="446">
        <f t="shared" ca="1" si="280"/>
        <v>5</v>
      </c>
    </row>
    <row r="443" spans="1:25" ht="14.25" customHeight="1" x14ac:dyDescent="0.25">
      <c r="A443" s="379" t="s">
        <v>778</v>
      </c>
      <c r="F443" s="379">
        <v>442</v>
      </c>
      <c r="G443" s="379" t="s">
        <v>339</v>
      </c>
      <c r="H443" s="379" t="s">
        <v>327</v>
      </c>
      <c r="I443" s="379" t="s">
        <v>337</v>
      </c>
      <c r="J443" s="379" t="s">
        <v>336</v>
      </c>
      <c r="K443" s="379" t="s">
        <v>334</v>
      </c>
      <c r="L443" s="379" t="s">
        <v>328</v>
      </c>
      <c r="M443" s="379" t="s">
        <v>331</v>
      </c>
      <c r="N443" s="379" t="s">
        <v>332</v>
      </c>
      <c r="P443" s="379">
        <f t="shared" si="278"/>
        <v>442</v>
      </c>
      <c r="Q443" s="445" t="str">
        <f t="shared" ref="Q443:X443" si="466">+RIGHT(G443,1)</f>
        <v>C</v>
      </c>
      <c r="R443" s="436" t="str">
        <f t="shared" si="466"/>
        <v>I</v>
      </c>
      <c r="S443" s="436" t="str">
        <f t="shared" si="466"/>
        <v>B</v>
      </c>
      <c r="T443" s="436" t="str">
        <f t="shared" si="466"/>
        <v>D</v>
      </c>
      <c r="U443" s="436" t="str">
        <f t="shared" si="466"/>
        <v>A</v>
      </c>
      <c r="V443" s="436" t="str">
        <f t="shared" si="466"/>
        <v>F</v>
      </c>
      <c r="W443" s="436" t="str">
        <f t="shared" si="466"/>
        <v>L</v>
      </c>
      <c r="X443" s="436" t="str">
        <f t="shared" si="466"/>
        <v>K</v>
      </c>
      <c r="Y443" s="446">
        <f t="shared" ca="1" si="280"/>
        <v>6</v>
      </c>
    </row>
    <row r="444" spans="1:25" ht="14.25" customHeight="1" x14ac:dyDescent="0.25">
      <c r="A444" s="379" t="s">
        <v>779</v>
      </c>
      <c r="F444" s="379">
        <v>443</v>
      </c>
      <c r="G444" s="379" t="s">
        <v>339</v>
      </c>
      <c r="H444" s="379" t="s">
        <v>326</v>
      </c>
      <c r="I444" s="379" t="s">
        <v>337</v>
      </c>
      <c r="J444" s="379" t="s">
        <v>336</v>
      </c>
      <c r="K444" s="379" t="s">
        <v>334</v>
      </c>
      <c r="L444" s="379" t="s">
        <v>328</v>
      </c>
      <c r="M444" s="379" t="s">
        <v>331</v>
      </c>
      <c r="N444" s="379" t="s">
        <v>327</v>
      </c>
      <c r="P444" s="379">
        <f t="shared" si="278"/>
        <v>443</v>
      </c>
      <c r="Q444" s="445" t="str">
        <f t="shared" ref="Q444:X444" si="467">+RIGHT(G444,1)</f>
        <v>C</v>
      </c>
      <c r="R444" s="436" t="str">
        <f t="shared" si="467"/>
        <v>J</v>
      </c>
      <c r="S444" s="436" t="str">
        <f t="shared" si="467"/>
        <v>B</v>
      </c>
      <c r="T444" s="436" t="str">
        <f t="shared" si="467"/>
        <v>D</v>
      </c>
      <c r="U444" s="436" t="str">
        <f t="shared" si="467"/>
        <v>A</v>
      </c>
      <c r="V444" s="436" t="str">
        <f t="shared" si="467"/>
        <v>F</v>
      </c>
      <c r="W444" s="436" t="str">
        <f t="shared" si="467"/>
        <v>L</v>
      </c>
      <c r="X444" s="436" t="str">
        <f t="shared" si="467"/>
        <v>I</v>
      </c>
      <c r="Y444" s="446">
        <f t="shared" ca="1" si="280"/>
        <v>6</v>
      </c>
    </row>
    <row r="445" spans="1:25" ht="14.25" customHeight="1" x14ac:dyDescent="0.25">
      <c r="A445" s="379" t="s">
        <v>780</v>
      </c>
      <c r="F445" s="379">
        <v>444</v>
      </c>
      <c r="G445" s="379" t="s">
        <v>339</v>
      </c>
      <c r="H445" s="379" t="s">
        <v>326</v>
      </c>
      <c r="I445" s="379" t="s">
        <v>337</v>
      </c>
      <c r="J445" s="379" t="s">
        <v>336</v>
      </c>
      <c r="K445" s="379" t="s">
        <v>334</v>
      </c>
      <c r="L445" s="379" t="s">
        <v>328</v>
      </c>
      <c r="M445" s="379" t="s">
        <v>327</v>
      </c>
      <c r="N445" s="379" t="s">
        <v>332</v>
      </c>
      <c r="P445" s="379">
        <f t="shared" si="278"/>
        <v>444</v>
      </c>
      <c r="Q445" s="445" t="str">
        <f t="shared" ref="Q445:X445" si="468">+RIGHT(G445,1)</f>
        <v>C</v>
      </c>
      <c r="R445" s="436" t="str">
        <f t="shared" si="468"/>
        <v>J</v>
      </c>
      <c r="S445" s="436" t="str">
        <f t="shared" si="468"/>
        <v>B</v>
      </c>
      <c r="T445" s="436" t="str">
        <f t="shared" si="468"/>
        <v>D</v>
      </c>
      <c r="U445" s="436" t="str">
        <f t="shared" si="468"/>
        <v>A</v>
      </c>
      <c r="V445" s="436" t="str">
        <f t="shared" si="468"/>
        <v>F</v>
      </c>
      <c r="W445" s="436" t="str">
        <f t="shared" si="468"/>
        <v>I</v>
      </c>
      <c r="X445" s="436" t="str">
        <f t="shared" si="468"/>
        <v>K</v>
      </c>
      <c r="Y445" s="446">
        <f t="shared" ca="1" si="280"/>
        <v>5</v>
      </c>
    </row>
    <row r="446" spans="1:25" ht="14.25" customHeight="1" x14ac:dyDescent="0.25">
      <c r="A446" s="379" t="s">
        <v>781</v>
      </c>
      <c r="F446" s="379">
        <v>445</v>
      </c>
      <c r="G446" s="379" t="s">
        <v>329</v>
      </c>
      <c r="H446" s="379" t="s">
        <v>328</v>
      </c>
      <c r="I446" s="379" t="s">
        <v>337</v>
      </c>
      <c r="J446" s="379" t="s">
        <v>339</v>
      </c>
      <c r="K446" s="379" t="s">
        <v>334</v>
      </c>
      <c r="L446" s="379" t="s">
        <v>336</v>
      </c>
      <c r="M446" s="379" t="s">
        <v>331</v>
      </c>
      <c r="N446" s="379" t="s">
        <v>332</v>
      </c>
      <c r="P446" s="379">
        <f t="shared" si="278"/>
        <v>445</v>
      </c>
      <c r="Q446" s="445" t="str">
        <f t="shared" ref="Q446:X446" si="469">+RIGHT(G446,1)</f>
        <v>H</v>
      </c>
      <c r="R446" s="436" t="str">
        <f t="shared" si="469"/>
        <v>F</v>
      </c>
      <c r="S446" s="436" t="str">
        <f t="shared" si="469"/>
        <v>B</v>
      </c>
      <c r="T446" s="436" t="str">
        <f t="shared" si="469"/>
        <v>C</v>
      </c>
      <c r="U446" s="436" t="str">
        <f t="shared" si="469"/>
        <v>A</v>
      </c>
      <c r="V446" s="436" t="str">
        <f t="shared" si="469"/>
        <v>D</v>
      </c>
      <c r="W446" s="436" t="str">
        <f t="shared" si="469"/>
        <v>L</v>
      </c>
      <c r="X446" s="436" t="str">
        <f t="shared" si="469"/>
        <v>K</v>
      </c>
      <c r="Y446" s="446">
        <f t="shared" ca="1" si="280"/>
        <v>6</v>
      </c>
    </row>
    <row r="447" spans="1:25" ht="14.25" customHeight="1" x14ac:dyDescent="0.25">
      <c r="A447" s="379" t="s">
        <v>782</v>
      </c>
      <c r="F447" s="379">
        <v>446</v>
      </c>
      <c r="G447" s="379" t="s">
        <v>339</v>
      </c>
      <c r="H447" s="379" t="s">
        <v>326</v>
      </c>
      <c r="I447" s="379" t="s">
        <v>337</v>
      </c>
      <c r="J447" s="379" t="s">
        <v>336</v>
      </c>
      <c r="K447" s="379" t="s">
        <v>334</v>
      </c>
      <c r="L447" s="379" t="s">
        <v>328</v>
      </c>
      <c r="M447" s="379" t="s">
        <v>331</v>
      </c>
      <c r="N447" s="379" t="s">
        <v>329</v>
      </c>
      <c r="P447" s="379">
        <f t="shared" si="278"/>
        <v>446</v>
      </c>
      <c r="Q447" s="445" t="str">
        <f t="shared" ref="Q447:X447" si="470">+RIGHT(G447,1)</f>
        <v>C</v>
      </c>
      <c r="R447" s="436" t="str">
        <f t="shared" si="470"/>
        <v>J</v>
      </c>
      <c r="S447" s="436" t="str">
        <f t="shared" si="470"/>
        <v>B</v>
      </c>
      <c r="T447" s="436" t="str">
        <f t="shared" si="470"/>
        <v>D</v>
      </c>
      <c r="U447" s="436" t="str">
        <f t="shared" si="470"/>
        <v>A</v>
      </c>
      <c r="V447" s="436" t="str">
        <f t="shared" si="470"/>
        <v>F</v>
      </c>
      <c r="W447" s="436" t="str">
        <f t="shared" si="470"/>
        <v>L</v>
      </c>
      <c r="X447" s="436" t="str">
        <f t="shared" si="470"/>
        <v>H</v>
      </c>
      <c r="Y447" s="446">
        <f t="shared" ca="1" si="280"/>
        <v>6</v>
      </c>
    </row>
    <row r="448" spans="1:25" ht="14.25" customHeight="1" x14ac:dyDescent="0.25">
      <c r="A448" s="379" t="s">
        <v>783</v>
      </c>
      <c r="F448" s="379">
        <v>447</v>
      </c>
      <c r="G448" s="379" t="s">
        <v>329</v>
      </c>
      <c r="H448" s="379" t="s">
        <v>326</v>
      </c>
      <c r="I448" s="379" t="s">
        <v>337</v>
      </c>
      <c r="J448" s="379" t="s">
        <v>339</v>
      </c>
      <c r="K448" s="379" t="s">
        <v>334</v>
      </c>
      <c r="L448" s="379" t="s">
        <v>328</v>
      </c>
      <c r="M448" s="379" t="s">
        <v>336</v>
      </c>
      <c r="N448" s="379" t="s">
        <v>332</v>
      </c>
      <c r="P448" s="379">
        <f t="shared" si="278"/>
        <v>447</v>
      </c>
      <c r="Q448" s="445" t="str">
        <f t="shared" ref="Q448:X448" si="471">+RIGHT(G448,1)</f>
        <v>H</v>
      </c>
      <c r="R448" s="436" t="str">
        <f t="shared" si="471"/>
        <v>J</v>
      </c>
      <c r="S448" s="436" t="str">
        <f t="shared" si="471"/>
        <v>B</v>
      </c>
      <c r="T448" s="436" t="str">
        <f t="shared" si="471"/>
        <v>C</v>
      </c>
      <c r="U448" s="436" t="str">
        <f t="shared" si="471"/>
        <v>A</v>
      </c>
      <c r="V448" s="436" t="str">
        <f t="shared" si="471"/>
        <v>F</v>
      </c>
      <c r="W448" s="436" t="str">
        <f t="shared" si="471"/>
        <v>D</v>
      </c>
      <c r="X448" s="436" t="str">
        <f t="shared" si="471"/>
        <v>K</v>
      </c>
      <c r="Y448" s="446">
        <f t="shared" ca="1" si="280"/>
        <v>5</v>
      </c>
    </row>
    <row r="449" spans="1:25" ht="14.25" customHeight="1" x14ac:dyDescent="0.25">
      <c r="A449" s="379" t="s">
        <v>784</v>
      </c>
      <c r="F449" s="379">
        <v>448</v>
      </c>
      <c r="G449" s="379" t="s">
        <v>329</v>
      </c>
      <c r="H449" s="379" t="s">
        <v>328</v>
      </c>
      <c r="I449" s="379" t="s">
        <v>337</v>
      </c>
      <c r="J449" s="379" t="s">
        <v>339</v>
      </c>
      <c r="K449" s="379" t="s">
        <v>334</v>
      </c>
      <c r="L449" s="379" t="s">
        <v>336</v>
      </c>
      <c r="M449" s="379" t="s">
        <v>331</v>
      </c>
      <c r="N449" s="379" t="s">
        <v>327</v>
      </c>
      <c r="P449" s="379">
        <f t="shared" si="278"/>
        <v>448</v>
      </c>
      <c r="Q449" s="445" t="str">
        <f t="shared" ref="Q449:X449" si="472">+RIGHT(G449,1)</f>
        <v>H</v>
      </c>
      <c r="R449" s="436" t="str">
        <f t="shared" si="472"/>
        <v>F</v>
      </c>
      <c r="S449" s="436" t="str">
        <f t="shared" si="472"/>
        <v>B</v>
      </c>
      <c r="T449" s="436" t="str">
        <f t="shared" si="472"/>
        <v>C</v>
      </c>
      <c r="U449" s="436" t="str">
        <f t="shared" si="472"/>
        <v>A</v>
      </c>
      <c r="V449" s="436" t="str">
        <f t="shared" si="472"/>
        <v>D</v>
      </c>
      <c r="W449" s="436" t="str">
        <f t="shared" si="472"/>
        <v>L</v>
      </c>
      <c r="X449" s="436" t="str">
        <f t="shared" si="472"/>
        <v>I</v>
      </c>
      <c r="Y449" s="446">
        <f t="shared" ca="1" si="280"/>
        <v>7</v>
      </c>
    </row>
    <row r="450" spans="1:25" ht="14.25" customHeight="1" x14ac:dyDescent="0.25">
      <c r="A450" s="379" t="s">
        <v>785</v>
      </c>
      <c r="F450" s="379">
        <v>449</v>
      </c>
      <c r="G450" s="379" t="s">
        <v>329</v>
      </c>
      <c r="H450" s="379" t="s">
        <v>328</v>
      </c>
      <c r="I450" s="379" t="s">
        <v>337</v>
      </c>
      <c r="J450" s="379" t="s">
        <v>339</v>
      </c>
      <c r="K450" s="379" t="s">
        <v>334</v>
      </c>
      <c r="L450" s="379" t="s">
        <v>336</v>
      </c>
      <c r="M450" s="379" t="s">
        <v>327</v>
      </c>
      <c r="N450" s="379" t="s">
        <v>332</v>
      </c>
      <c r="P450" s="379">
        <f t="shared" si="278"/>
        <v>449</v>
      </c>
      <c r="Q450" s="445" t="str">
        <f t="shared" ref="Q450:X450" si="473">+RIGHT(G450,1)</f>
        <v>H</v>
      </c>
      <c r="R450" s="436" t="str">
        <f t="shared" si="473"/>
        <v>F</v>
      </c>
      <c r="S450" s="436" t="str">
        <f t="shared" si="473"/>
        <v>B</v>
      </c>
      <c r="T450" s="436" t="str">
        <f t="shared" si="473"/>
        <v>C</v>
      </c>
      <c r="U450" s="436" t="str">
        <f t="shared" si="473"/>
        <v>A</v>
      </c>
      <c r="V450" s="436" t="str">
        <f t="shared" si="473"/>
        <v>D</v>
      </c>
      <c r="W450" s="436" t="str">
        <f t="shared" si="473"/>
        <v>I</v>
      </c>
      <c r="X450" s="436" t="str">
        <f t="shared" si="473"/>
        <v>K</v>
      </c>
      <c r="Y450" s="446">
        <f t="shared" ca="1" si="280"/>
        <v>6</v>
      </c>
    </row>
    <row r="451" spans="1:25" ht="14.25" customHeight="1" x14ac:dyDescent="0.25">
      <c r="A451" s="379" t="s">
        <v>786</v>
      </c>
      <c r="F451" s="379">
        <v>450</v>
      </c>
      <c r="G451" s="379" t="s">
        <v>329</v>
      </c>
      <c r="H451" s="379" t="s">
        <v>326</v>
      </c>
      <c r="I451" s="379" t="s">
        <v>337</v>
      </c>
      <c r="J451" s="379" t="s">
        <v>339</v>
      </c>
      <c r="K451" s="379" t="s">
        <v>334</v>
      </c>
      <c r="L451" s="379" t="s">
        <v>328</v>
      </c>
      <c r="M451" s="379" t="s">
        <v>336</v>
      </c>
      <c r="N451" s="379" t="s">
        <v>327</v>
      </c>
      <c r="P451" s="379">
        <f t="shared" si="278"/>
        <v>450</v>
      </c>
      <c r="Q451" s="445" t="str">
        <f t="shared" ref="Q451:X451" si="474">+RIGHT(G451,1)</f>
        <v>H</v>
      </c>
      <c r="R451" s="436" t="str">
        <f t="shared" si="474"/>
        <v>J</v>
      </c>
      <c r="S451" s="436" t="str">
        <f t="shared" si="474"/>
        <v>B</v>
      </c>
      <c r="T451" s="436" t="str">
        <f t="shared" si="474"/>
        <v>C</v>
      </c>
      <c r="U451" s="436" t="str">
        <f t="shared" si="474"/>
        <v>A</v>
      </c>
      <c r="V451" s="436" t="str">
        <f t="shared" si="474"/>
        <v>F</v>
      </c>
      <c r="W451" s="436" t="str">
        <f t="shared" si="474"/>
        <v>D</v>
      </c>
      <c r="X451" s="436" t="str">
        <f t="shared" si="474"/>
        <v>I</v>
      </c>
      <c r="Y451" s="446">
        <f t="shared" ca="1" si="280"/>
        <v>6</v>
      </c>
    </row>
    <row r="452" spans="1:25" ht="14.25" customHeight="1" x14ac:dyDescent="0.25">
      <c r="A452" s="379" t="s">
        <v>787</v>
      </c>
      <c r="F452" s="379">
        <v>451</v>
      </c>
      <c r="G452" s="379" t="s">
        <v>339</v>
      </c>
      <c r="H452" s="379" t="s">
        <v>330</v>
      </c>
      <c r="I452" s="379" t="s">
        <v>337</v>
      </c>
      <c r="J452" s="379" t="s">
        <v>336</v>
      </c>
      <c r="K452" s="379" t="s">
        <v>334</v>
      </c>
      <c r="L452" s="379" t="s">
        <v>328</v>
      </c>
      <c r="M452" s="379" t="s">
        <v>331</v>
      </c>
      <c r="N452" s="379" t="s">
        <v>332</v>
      </c>
      <c r="P452" s="379">
        <f t="shared" si="278"/>
        <v>451</v>
      </c>
      <c r="Q452" s="445" t="str">
        <f t="shared" ref="Q452:X452" si="475">+RIGHT(G452,1)</f>
        <v>C</v>
      </c>
      <c r="R452" s="436" t="str">
        <f t="shared" si="475"/>
        <v>G</v>
      </c>
      <c r="S452" s="436" t="str">
        <f t="shared" si="475"/>
        <v>B</v>
      </c>
      <c r="T452" s="436" t="str">
        <f t="shared" si="475"/>
        <v>D</v>
      </c>
      <c r="U452" s="436" t="str">
        <f t="shared" si="475"/>
        <v>A</v>
      </c>
      <c r="V452" s="436" t="str">
        <f t="shared" si="475"/>
        <v>F</v>
      </c>
      <c r="W452" s="436" t="str">
        <f t="shared" si="475"/>
        <v>L</v>
      </c>
      <c r="X452" s="436" t="str">
        <f t="shared" si="475"/>
        <v>K</v>
      </c>
      <c r="Y452" s="446">
        <f t="shared" ca="1" si="280"/>
        <v>6</v>
      </c>
    </row>
    <row r="453" spans="1:25" ht="14.25" customHeight="1" x14ac:dyDescent="0.25">
      <c r="A453" s="379" t="s">
        <v>788</v>
      </c>
      <c r="F453" s="379">
        <v>452</v>
      </c>
      <c r="G453" s="379" t="s">
        <v>339</v>
      </c>
      <c r="H453" s="379" t="s">
        <v>330</v>
      </c>
      <c r="I453" s="379" t="s">
        <v>337</v>
      </c>
      <c r="J453" s="379" t="s">
        <v>336</v>
      </c>
      <c r="K453" s="379" t="s">
        <v>334</v>
      </c>
      <c r="L453" s="379" t="s">
        <v>328</v>
      </c>
      <c r="M453" s="379" t="s">
        <v>331</v>
      </c>
      <c r="N453" s="379" t="s">
        <v>326</v>
      </c>
      <c r="P453" s="379">
        <f t="shared" si="278"/>
        <v>452</v>
      </c>
      <c r="Q453" s="445" t="str">
        <f t="shared" ref="Q453:X453" si="476">+RIGHT(G453,1)</f>
        <v>C</v>
      </c>
      <c r="R453" s="436" t="str">
        <f t="shared" si="476"/>
        <v>G</v>
      </c>
      <c r="S453" s="436" t="str">
        <f t="shared" si="476"/>
        <v>B</v>
      </c>
      <c r="T453" s="436" t="str">
        <f t="shared" si="476"/>
        <v>D</v>
      </c>
      <c r="U453" s="436" t="str">
        <f t="shared" si="476"/>
        <v>A</v>
      </c>
      <c r="V453" s="436" t="str">
        <f t="shared" si="476"/>
        <v>F</v>
      </c>
      <c r="W453" s="436" t="str">
        <f t="shared" si="476"/>
        <v>L</v>
      </c>
      <c r="X453" s="436" t="str">
        <f t="shared" si="476"/>
        <v>J</v>
      </c>
      <c r="Y453" s="446">
        <f t="shared" ca="1" si="280"/>
        <v>6</v>
      </c>
    </row>
    <row r="454" spans="1:25" ht="14.25" customHeight="1" x14ac:dyDescent="0.25">
      <c r="A454" s="379" t="s">
        <v>789</v>
      </c>
      <c r="F454" s="379">
        <v>453</v>
      </c>
      <c r="G454" s="379" t="s">
        <v>339</v>
      </c>
      <c r="H454" s="379" t="s">
        <v>330</v>
      </c>
      <c r="I454" s="379" t="s">
        <v>337</v>
      </c>
      <c r="J454" s="379" t="s">
        <v>336</v>
      </c>
      <c r="K454" s="379" t="s">
        <v>334</v>
      </c>
      <c r="L454" s="379" t="s">
        <v>328</v>
      </c>
      <c r="M454" s="379" t="s">
        <v>326</v>
      </c>
      <c r="N454" s="379" t="s">
        <v>332</v>
      </c>
      <c r="P454" s="379">
        <f t="shared" si="278"/>
        <v>453</v>
      </c>
      <c r="Q454" s="445" t="str">
        <f t="shared" ref="Q454:X454" si="477">+RIGHT(G454,1)</f>
        <v>C</v>
      </c>
      <c r="R454" s="436" t="str">
        <f t="shared" si="477"/>
        <v>G</v>
      </c>
      <c r="S454" s="436" t="str">
        <f t="shared" si="477"/>
        <v>B</v>
      </c>
      <c r="T454" s="436" t="str">
        <f t="shared" si="477"/>
        <v>D</v>
      </c>
      <c r="U454" s="436" t="str">
        <f t="shared" si="477"/>
        <v>A</v>
      </c>
      <c r="V454" s="436" t="str">
        <f t="shared" si="477"/>
        <v>F</v>
      </c>
      <c r="W454" s="436" t="str">
        <f t="shared" si="477"/>
        <v>J</v>
      </c>
      <c r="X454" s="436" t="str">
        <f t="shared" si="477"/>
        <v>K</v>
      </c>
      <c r="Y454" s="446">
        <f t="shared" ca="1" si="280"/>
        <v>5</v>
      </c>
    </row>
    <row r="455" spans="1:25" ht="14.25" customHeight="1" x14ac:dyDescent="0.25">
      <c r="A455" s="379" t="s">
        <v>790</v>
      </c>
      <c r="F455" s="379">
        <v>454</v>
      </c>
      <c r="G455" s="379" t="s">
        <v>339</v>
      </c>
      <c r="H455" s="379" t="s">
        <v>330</v>
      </c>
      <c r="I455" s="379" t="s">
        <v>337</v>
      </c>
      <c r="J455" s="379" t="s">
        <v>336</v>
      </c>
      <c r="K455" s="379" t="s">
        <v>334</v>
      </c>
      <c r="L455" s="379" t="s">
        <v>328</v>
      </c>
      <c r="M455" s="379" t="s">
        <v>331</v>
      </c>
      <c r="N455" s="379" t="s">
        <v>327</v>
      </c>
      <c r="P455" s="379">
        <f t="shared" si="278"/>
        <v>454</v>
      </c>
      <c r="Q455" s="445" t="str">
        <f t="shared" ref="Q455:X455" si="478">+RIGHT(G455,1)</f>
        <v>C</v>
      </c>
      <c r="R455" s="436" t="str">
        <f t="shared" si="478"/>
        <v>G</v>
      </c>
      <c r="S455" s="436" t="str">
        <f t="shared" si="478"/>
        <v>B</v>
      </c>
      <c r="T455" s="436" t="str">
        <f t="shared" si="478"/>
        <v>D</v>
      </c>
      <c r="U455" s="436" t="str">
        <f t="shared" si="478"/>
        <v>A</v>
      </c>
      <c r="V455" s="436" t="str">
        <f t="shared" si="478"/>
        <v>F</v>
      </c>
      <c r="W455" s="436" t="str">
        <f t="shared" si="478"/>
        <v>L</v>
      </c>
      <c r="X455" s="436" t="str">
        <f t="shared" si="478"/>
        <v>I</v>
      </c>
      <c r="Y455" s="446">
        <f t="shared" ca="1" si="280"/>
        <v>7</v>
      </c>
    </row>
    <row r="456" spans="1:25" ht="14.25" customHeight="1" x14ac:dyDescent="0.25">
      <c r="A456" s="379" t="s">
        <v>791</v>
      </c>
      <c r="F456" s="379">
        <v>455</v>
      </c>
      <c r="G456" s="379" t="s">
        <v>339</v>
      </c>
      <c r="H456" s="379" t="s">
        <v>330</v>
      </c>
      <c r="I456" s="379" t="s">
        <v>337</v>
      </c>
      <c r="J456" s="379" t="s">
        <v>336</v>
      </c>
      <c r="K456" s="379" t="s">
        <v>334</v>
      </c>
      <c r="L456" s="379" t="s">
        <v>328</v>
      </c>
      <c r="M456" s="379" t="s">
        <v>327</v>
      </c>
      <c r="N456" s="379" t="s">
        <v>332</v>
      </c>
      <c r="P456" s="379">
        <f t="shared" si="278"/>
        <v>455</v>
      </c>
      <c r="Q456" s="445" t="str">
        <f t="shared" ref="Q456:X456" si="479">+RIGHT(G456,1)</f>
        <v>C</v>
      </c>
      <c r="R456" s="436" t="str">
        <f t="shared" si="479"/>
        <v>G</v>
      </c>
      <c r="S456" s="436" t="str">
        <f t="shared" si="479"/>
        <v>B</v>
      </c>
      <c r="T456" s="436" t="str">
        <f t="shared" si="479"/>
        <v>D</v>
      </c>
      <c r="U456" s="436" t="str">
        <f t="shared" si="479"/>
        <v>A</v>
      </c>
      <c r="V456" s="436" t="str">
        <f t="shared" si="479"/>
        <v>F</v>
      </c>
      <c r="W456" s="436" t="str">
        <f t="shared" si="479"/>
        <v>I</v>
      </c>
      <c r="X456" s="436" t="str">
        <f t="shared" si="479"/>
        <v>K</v>
      </c>
      <c r="Y456" s="446">
        <f t="shared" ca="1" si="280"/>
        <v>6</v>
      </c>
    </row>
    <row r="457" spans="1:25" ht="14.25" customHeight="1" x14ac:dyDescent="0.25">
      <c r="A457" s="379" t="s">
        <v>792</v>
      </c>
      <c r="F457" s="379">
        <v>456</v>
      </c>
      <c r="G457" s="379" t="s">
        <v>339</v>
      </c>
      <c r="H457" s="379" t="s">
        <v>330</v>
      </c>
      <c r="I457" s="379" t="s">
        <v>337</v>
      </c>
      <c r="J457" s="379" t="s">
        <v>336</v>
      </c>
      <c r="K457" s="379" t="s">
        <v>334</v>
      </c>
      <c r="L457" s="379" t="s">
        <v>328</v>
      </c>
      <c r="M457" s="379" t="s">
        <v>327</v>
      </c>
      <c r="N457" s="379" t="s">
        <v>326</v>
      </c>
      <c r="P457" s="379">
        <f t="shared" si="278"/>
        <v>456</v>
      </c>
      <c r="Q457" s="445" t="str">
        <f t="shared" ref="Q457:X457" si="480">+RIGHT(G457,1)</f>
        <v>C</v>
      </c>
      <c r="R457" s="436" t="str">
        <f t="shared" si="480"/>
        <v>G</v>
      </c>
      <c r="S457" s="436" t="str">
        <f t="shared" si="480"/>
        <v>B</v>
      </c>
      <c r="T457" s="436" t="str">
        <f t="shared" si="480"/>
        <v>D</v>
      </c>
      <c r="U457" s="436" t="str">
        <f t="shared" si="480"/>
        <v>A</v>
      </c>
      <c r="V457" s="436" t="str">
        <f t="shared" si="480"/>
        <v>F</v>
      </c>
      <c r="W457" s="436" t="str">
        <f t="shared" si="480"/>
        <v>I</v>
      </c>
      <c r="X457" s="436" t="str">
        <f t="shared" si="480"/>
        <v>J</v>
      </c>
      <c r="Y457" s="446">
        <f t="shared" ca="1" si="280"/>
        <v>6</v>
      </c>
    </row>
    <row r="458" spans="1:25" ht="14.25" customHeight="1" x14ac:dyDescent="0.25">
      <c r="A458" s="379" t="s">
        <v>793</v>
      </c>
      <c r="F458" s="379">
        <v>457</v>
      </c>
      <c r="G458" s="379" t="s">
        <v>339</v>
      </c>
      <c r="H458" s="379" t="s">
        <v>330</v>
      </c>
      <c r="I458" s="379" t="s">
        <v>337</v>
      </c>
      <c r="J458" s="379" t="s">
        <v>336</v>
      </c>
      <c r="K458" s="379" t="s">
        <v>334</v>
      </c>
      <c r="L458" s="379" t="s">
        <v>328</v>
      </c>
      <c r="M458" s="379" t="s">
        <v>331</v>
      </c>
      <c r="N458" s="379" t="s">
        <v>329</v>
      </c>
      <c r="P458" s="379">
        <f t="shared" si="278"/>
        <v>457</v>
      </c>
      <c r="Q458" s="445" t="str">
        <f t="shared" ref="Q458:X458" si="481">+RIGHT(G458,1)</f>
        <v>C</v>
      </c>
      <c r="R458" s="436" t="str">
        <f t="shared" si="481"/>
        <v>G</v>
      </c>
      <c r="S458" s="436" t="str">
        <f t="shared" si="481"/>
        <v>B</v>
      </c>
      <c r="T458" s="436" t="str">
        <f t="shared" si="481"/>
        <v>D</v>
      </c>
      <c r="U458" s="436" t="str">
        <f t="shared" si="481"/>
        <v>A</v>
      </c>
      <c r="V458" s="436" t="str">
        <f t="shared" si="481"/>
        <v>F</v>
      </c>
      <c r="W458" s="436" t="str">
        <f t="shared" si="481"/>
        <v>L</v>
      </c>
      <c r="X458" s="436" t="str">
        <f t="shared" si="481"/>
        <v>H</v>
      </c>
      <c r="Y458" s="446">
        <f t="shared" ca="1" si="280"/>
        <v>7</v>
      </c>
    </row>
    <row r="459" spans="1:25" ht="14.25" customHeight="1" x14ac:dyDescent="0.25">
      <c r="A459" s="379" t="s">
        <v>794</v>
      </c>
      <c r="F459" s="379">
        <v>458</v>
      </c>
      <c r="G459" s="379" t="s">
        <v>329</v>
      </c>
      <c r="H459" s="379" t="s">
        <v>330</v>
      </c>
      <c r="I459" s="379" t="s">
        <v>337</v>
      </c>
      <c r="J459" s="379" t="s">
        <v>339</v>
      </c>
      <c r="K459" s="379" t="s">
        <v>334</v>
      </c>
      <c r="L459" s="379" t="s">
        <v>328</v>
      </c>
      <c r="M459" s="379" t="s">
        <v>336</v>
      </c>
      <c r="N459" s="379" t="s">
        <v>332</v>
      </c>
      <c r="P459" s="379">
        <f t="shared" si="278"/>
        <v>458</v>
      </c>
      <c r="Q459" s="445" t="str">
        <f t="shared" ref="Q459:X459" si="482">+RIGHT(G459,1)</f>
        <v>H</v>
      </c>
      <c r="R459" s="436" t="str">
        <f t="shared" si="482"/>
        <v>G</v>
      </c>
      <c r="S459" s="436" t="str">
        <f t="shared" si="482"/>
        <v>B</v>
      </c>
      <c r="T459" s="436" t="str">
        <f t="shared" si="482"/>
        <v>C</v>
      </c>
      <c r="U459" s="436" t="str">
        <f t="shared" si="482"/>
        <v>A</v>
      </c>
      <c r="V459" s="436" t="str">
        <f t="shared" si="482"/>
        <v>F</v>
      </c>
      <c r="W459" s="436" t="str">
        <f t="shared" si="482"/>
        <v>D</v>
      </c>
      <c r="X459" s="436" t="str">
        <f t="shared" si="482"/>
        <v>K</v>
      </c>
      <c r="Y459" s="446">
        <f t="shared" ca="1" si="280"/>
        <v>6</v>
      </c>
    </row>
    <row r="460" spans="1:25" ht="14.25" customHeight="1" x14ac:dyDescent="0.25">
      <c r="A460" s="379" t="s">
        <v>795</v>
      </c>
      <c r="F460" s="379">
        <v>459</v>
      </c>
      <c r="G460" s="379" t="s">
        <v>329</v>
      </c>
      <c r="H460" s="379" t="s">
        <v>330</v>
      </c>
      <c r="I460" s="379" t="s">
        <v>337</v>
      </c>
      <c r="J460" s="379" t="s">
        <v>339</v>
      </c>
      <c r="K460" s="379" t="s">
        <v>334</v>
      </c>
      <c r="L460" s="379" t="s">
        <v>328</v>
      </c>
      <c r="M460" s="379" t="s">
        <v>336</v>
      </c>
      <c r="N460" s="379" t="s">
        <v>326</v>
      </c>
      <c r="P460" s="379">
        <f t="shared" si="278"/>
        <v>459</v>
      </c>
      <c r="Q460" s="445" t="str">
        <f t="shared" ref="Q460:X460" si="483">+RIGHT(G460,1)</f>
        <v>H</v>
      </c>
      <c r="R460" s="436" t="str">
        <f t="shared" si="483"/>
        <v>G</v>
      </c>
      <c r="S460" s="436" t="str">
        <f t="shared" si="483"/>
        <v>B</v>
      </c>
      <c r="T460" s="436" t="str">
        <f t="shared" si="483"/>
        <v>C</v>
      </c>
      <c r="U460" s="436" t="str">
        <f t="shared" si="483"/>
        <v>A</v>
      </c>
      <c r="V460" s="436" t="str">
        <f t="shared" si="483"/>
        <v>F</v>
      </c>
      <c r="W460" s="436" t="str">
        <f t="shared" si="483"/>
        <v>D</v>
      </c>
      <c r="X460" s="436" t="str">
        <f t="shared" si="483"/>
        <v>J</v>
      </c>
      <c r="Y460" s="446">
        <f t="shared" ca="1" si="280"/>
        <v>6</v>
      </c>
    </row>
    <row r="461" spans="1:25" ht="14.25" customHeight="1" x14ac:dyDescent="0.25">
      <c r="A461" s="379" t="s">
        <v>796</v>
      </c>
      <c r="F461" s="379">
        <v>460</v>
      </c>
      <c r="G461" s="379" t="s">
        <v>329</v>
      </c>
      <c r="H461" s="379" t="s">
        <v>330</v>
      </c>
      <c r="I461" s="379" t="s">
        <v>337</v>
      </c>
      <c r="J461" s="379" t="s">
        <v>339</v>
      </c>
      <c r="K461" s="379" t="s">
        <v>334</v>
      </c>
      <c r="L461" s="379" t="s">
        <v>328</v>
      </c>
      <c r="M461" s="379" t="s">
        <v>336</v>
      </c>
      <c r="N461" s="379" t="s">
        <v>327</v>
      </c>
      <c r="P461" s="379">
        <f t="shared" si="278"/>
        <v>460</v>
      </c>
      <c r="Q461" s="445" t="str">
        <f t="shared" ref="Q461:X461" si="484">+RIGHT(G461,1)</f>
        <v>H</v>
      </c>
      <c r="R461" s="436" t="str">
        <f t="shared" si="484"/>
        <v>G</v>
      </c>
      <c r="S461" s="436" t="str">
        <f t="shared" si="484"/>
        <v>B</v>
      </c>
      <c r="T461" s="436" t="str">
        <f t="shared" si="484"/>
        <v>C</v>
      </c>
      <c r="U461" s="436" t="str">
        <f t="shared" si="484"/>
        <v>A</v>
      </c>
      <c r="V461" s="436" t="str">
        <f t="shared" si="484"/>
        <v>F</v>
      </c>
      <c r="W461" s="436" t="str">
        <f t="shared" si="484"/>
        <v>D</v>
      </c>
      <c r="X461" s="436" t="str">
        <f t="shared" si="484"/>
        <v>I</v>
      </c>
      <c r="Y461" s="446">
        <f t="shared" ca="1" si="280"/>
        <v>7</v>
      </c>
    </row>
    <row r="462" spans="1:25" ht="14.25" customHeight="1" x14ac:dyDescent="0.25">
      <c r="A462" s="379" t="s">
        <v>797</v>
      </c>
      <c r="F462" s="379">
        <v>461</v>
      </c>
      <c r="G462" s="379" t="s">
        <v>325</v>
      </c>
      <c r="H462" s="379" t="s">
        <v>326</v>
      </c>
      <c r="I462" s="379" t="s">
        <v>337</v>
      </c>
      <c r="J462" s="379" t="s">
        <v>339</v>
      </c>
      <c r="K462" s="379" t="s">
        <v>334</v>
      </c>
      <c r="L462" s="379" t="s">
        <v>336</v>
      </c>
      <c r="M462" s="379" t="s">
        <v>331</v>
      </c>
      <c r="N462" s="379" t="s">
        <v>332</v>
      </c>
      <c r="P462" s="379">
        <f t="shared" si="278"/>
        <v>461</v>
      </c>
      <c r="Q462" s="445" t="str">
        <f t="shared" ref="Q462:X462" si="485">+RIGHT(G462,1)</f>
        <v>E</v>
      </c>
      <c r="R462" s="436" t="str">
        <f t="shared" si="485"/>
        <v>J</v>
      </c>
      <c r="S462" s="436" t="str">
        <f t="shared" si="485"/>
        <v>B</v>
      </c>
      <c r="T462" s="436" t="str">
        <f t="shared" si="485"/>
        <v>C</v>
      </c>
      <c r="U462" s="436" t="str">
        <f t="shared" si="485"/>
        <v>A</v>
      </c>
      <c r="V462" s="436" t="str">
        <f t="shared" si="485"/>
        <v>D</v>
      </c>
      <c r="W462" s="436" t="str">
        <f t="shared" si="485"/>
        <v>L</v>
      </c>
      <c r="X462" s="436" t="str">
        <f t="shared" si="485"/>
        <v>K</v>
      </c>
      <c r="Y462" s="446">
        <f t="shared" ca="1" si="280"/>
        <v>4</v>
      </c>
    </row>
    <row r="463" spans="1:25" ht="14.25" customHeight="1" x14ac:dyDescent="0.25">
      <c r="A463" s="379" t="s">
        <v>798</v>
      </c>
      <c r="F463" s="379">
        <v>462</v>
      </c>
      <c r="G463" s="379" t="s">
        <v>325</v>
      </c>
      <c r="H463" s="379" t="s">
        <v>327</v>
      </c>
      <c r="I463" s="379" t="s">
        <v>337</v>
      </c>
      <c r="J463" s="379" t="s">
        <v>339</v>
      </c>
      <c r="K463" s="379" t="s">
        <v>334</v>
      </c>
      <c r="L463" s="379" t="s">
        <v>336</v>
      </c>
      <c r="M463" s="379" t="s">
        <v>331</v>
      </c>
      <c r="N463" s="379" t="s">
        <v>332</v>
      </c>
      <c r="P463" s="379">
        <f t="shared" si="278"/>
        <v>462</v>
      </c>
      <c r="Q463" s="445" t="str">
        <f t="shared" ref="Q463:X463" si="486">+RIGHT(G463,1)</f>
        <v>E</v>
      </c>
      <c r="R463" s="436" t="str">
        <f t="shared" si="486"/>
        <v>I</v>
      </c>
      <c r="S463" s="436" t="str">
        <f t="shared" si="486"/>
        <v>B</v>
      </c>
      <c r="T463" s="436" t="str">
        <f t="shared" si="486"/>
        <v>C</v>
      </c>
      <c r="U463" s="436" t="str">
        <f t="shared" si="486"/>
        <v>A</v>
      </c>
      <c r="V463" s="436" t="str">
        <f t="shared" si="486"/>
        <v>D</v>
      </c>
      <c r="W463" s="436" t="str">
        <f t="shared" si="486"/>
        <v>L</v>
      </c>
      <c r="X463" s="436" t="str">
        <f t="shared" si="486"/>
        <v>K</v>
      </c>
      <c r="Y463" s="446">
        <f t="shared" ca="1" si="280"/>
        <v>5</v>
      </c>
    </row>
    <row r="464" spans="1:25" ht="14.25" customHeight="1" x14ac:dyDescent="0.25">
      <c r="A464" s="379" t="s">
        <v>799</v>
      </c>
      <c r="F464" s="379">
        <v>463</v>
      </c>
      <c r="G464" s="379" t="s">
        <v>325</v>
      </c>
      <c r="H464" s="379" t="s">
        <v>326</v>
      </c>
      <c r="I464" s="379" t="s">
        <v>337</v>
      </c>
      <c r="J464" s="379" t="s">
        <v>339</v>
      </c>
      <c r="K464" s="379" t="s">
        <v>334</v>
      </c>
      <c r="L464" s="379" t="s">
        <v>336</v>
      </c>
      <c r="M464" s="379" t="s">
        <v>331</v>
      </c>
      <c r="N464" s="379" t="s">
        <v>327</v>
      </c>
      <c r="P464" s="379">
        <f t="shared" si="278"/>
        <v>463</v>
      </c>
      <c r="Q464" s="445" t="str">
        <f t="shared" ref="Q464:X464" si="487">+RIGHT(G464,1)</f>
        <v>E</v>
      </c>
      <c r="R464" s="436" t="str">
        <f t="shared" si="487"/>
        <v>J</v>
      </c>
      <c r="S464" s="436" t="str">
        <f t="shared" si="487"/>
        <v>B</v>
      </c>
      <c r="T464" s="436" t="str">
        <f t="shared" si="487"/>
        <v>C</v>
      </c>
      <c r="U464" s="436" t="str">
        <f t="shared" si="487"/>
        <v>A</v>
      </c>
      <c r="V464" s="436" t="str">
        <f t="shared" si="487"/>
        <v>D</v>
      </c>
      <c r="W464" s="436" t="str">
        <f t="shared" si="487"/>
        <v>L</v>
      </c>
      <c r="X464" s="436" t="str">
        <f t="shared" si="487"/>
        <v>I</v>
      </c>
      <c r="Y464" s="446">
        <f t="shared" ca="1" si="280"/>
        <v>5</v>
      </c>
    </row>
    <row r="465" spans="1:25" ht="14.25" customHeight="1" x14ac:dyDescent="0.25">
      <c r="A465" s="379" t="s">
        <v>800</v>
      </c>
      <c r="F465" s="379">
        <v>464</v>
      </c>
      <c r="G465" s="379" t="s">
        <v>325</v>
      </c>
      <c r="H465" s="379" t="s">
        <v>326</v>
      </c>
      <c r="I465" s="379" t="s">
        <v>337</v>
      </c>
      <c r="J465" s="379" t="s">
        <v>339</v>
      </c>
      <c r="K465" s="379" t="s">
        <v>334</v>
      </c>
      <c r="L465" s="379" t="s">
        <v>336</v>
      </c>
      <c r="M465" s="379" t="s">
        <v>327</v>
      </c>
      <c r="N465" s="379" t="s">
        <v>332</v>
      </c>
      <c r="P465" s="379">
        <f t="shared" si="278"/>
        <v>464</v>
      </c>
      <c r="Q465" s="445" t="str">
        <f t="shared" ref="Q465:X465" si="488">+RIGHT(G465,1)</f>
        <v>E</v>
      </c>
      <c r="R465" s="436" t="str">
        <f t="shared" si="488"/>
        <v>J</v>
      </c>
      <c r="S465" s="436" t="str">
        <f t="shared" si="488"/>
        <v>B</v>
      </c>
      <c r="T465" s="436" t="str">
        <f t="shared" si="488"/>
        <v>C</v>
      </c>
      <c r="U465" s="436" t="str">
        <f t="shared" si="488"/>
        <v>A</v>
      </c>
      <c r="V465" s="436" t="str">
        <f t="shared" si="488"/>
        <v>D</v>
      </c>
      <c r="W465" s="436" t="str">
        <f t="shared" si="488"/>
        <v>I</v>
      </c>
      <c r="X465" s="436" t="str">
        <f t="shared" si="488"/>
        <v>K</v>
      </c>
      <c r="Y465" s="446">
        <f t="shared" ca="1" si="280"/>
        <v>4</v>
      </c>
    </row>
    <row r="466" spans="1:25" ht="14.25" customHeight="1" x14ac:dyDescent="0.25">
      <c r="A466" s="379" t="s">
        <v>801</v>
      </c>
      <c r="F466" s="379">
        <v>465</v>
      </c>
      <c r="G466" s="379" t="s">
        <v>329</v>
      </c>
      <c r="H466" s="379" t="s">
        <v>325</v>
      </c>
      <c r="I466" s="379" t="s">
        <v>337</v>
      </c>
      <c r="J466" s="379" t="s">
        <v>339</v>
      </c>
      <c r="K466" s="379" t="s">
        <v>334</v>
      </c>
      <c r="L466" s="379" t="s">
        <v>336</v>
      </c>
      <c r="M466" s="379" t="s">
        <v>331</v>
      </c>
      <c r="N466" s="379" t="s">
        <v>332</v>
      </c>
      <c r="P466" s="379">
        <f t="shared" si="278"/>
        <v>465</v>
      </c>
      <c r="Q466" s="445" t="str">
        <f t="shared" ref="Q466:X466" si="489">+RIGHT(G466,1)</f>
        <v>H</v>
      </c>
      <c r="R466" s="436" t="str">
        <f t="shared" si="489"/>
        <v>E</v>
      </c>
      <c r="S466" s="436" t="str">
        <f t="shared" si="489"/>
        <v>B</v>
      </c>
      <c r="T466" s="436" t="str">
        <f t="shared" si="489"/>
        <v>C</v>
      </c>
      <c r="U466" s="436" t="str">
        <f t="shared" si="489"/>
        <v>A</v>
      </c>
      <c r="V466" s="436" t="str">
        <f t="shared" si="489"/>
        <v>D</v>
      </c>
      <c r="W466" s="436" t="str">
        <f t="shared" si="489"/>
        <v>L</v>
      </c>
      <c r="X466" s="436" t="str">
        <f t="shared" si="489"/>
        <v>K</v>
      </c>
      <c r="Y466" s="446">
        <f t="shared" ca="1" si="280"/>
        <v>5</v>
      </c>
    </row>
    <row r="467" spans="1:25" ht="14.25" customHeight="1" x14ac:dyDescent="0.25">
      <c r="A467" s="379" t="s">
        <v>802</v>
      </c>
      <c r="F467" s="379">
        <v>466</v>
      </c>
      <c r="G467" s="379" t="s">
        <v>329</v>
      </c>
      <c r="H467" s="379" t="s">
        <v>326</v>
      </c>
      <c r="I467" s="379" t="s">
        <v>337</v>
      </c>
      <c r="J467" s="379" t="s">
        <v>339</v>
      </c>
      <c r="K467" s="379" t="s">
        <v>334</v>
      </c>
      <c r="L467" s="379" t="s">
        <v>336</v>
      </c>
      <c r="M467" s="379" t="s">
        <v>331</v>
      </c>
      <c r="N467" s="379" t="s">
        <v>325</v>
      </c>
      <c r="P467" s="379">
        <f t="shared" si="278"/>
        <v>466</v>
      </c>
      <c r="Q467" s="445" t="str">
        <f t="shared" ref="Q467:X467" si="490">+RIGHT(G467,1)</f>
        <v>H</v>
      </c>
      <c r="R467" s="436" t="str">
        <f t="shared" si="490"/>
        <v>J</v>
      </c>
      <c r="S467" s="436" t="str">
        <f t="shared" si="490"/>
        <v>B</v>
      </c>
      <c r="T467" s="436" t="str">
        <f t="shared" si="490"/>
        <v>C</v>
      </c>
      <c r="U467" s="436" t="str">
        <f t="shared" si="490"/>
        <v>A</v>
      </c>
      <c r="V467" s="436" t="str">
        <f t="shared" si="490"/>
        <v>D</v>
      </c>
      <c r="W467" s="436" t="str">
        <f t="shared" si="490"/>
        <v>L</v>
      </c>
      <c r="X467" s="436" t="str">
        <f t="shared" si="490"/>
        <v>E</v>
      </c>
      <c r="Y467" s="446">
        <f t="shared" ca="1" si="280"/>
        <v>5</v>
      </c>
    </row>
    <row r="468" spans="1:25" ht="14.25" customHeight="1" x14ac:dyDescent="0.25">
      <c r="A468" s="379" t="s">
        <v>803</v>
      </c>
      <c r="F468" s="379">
        <v>467</v>
      </c>
      <c r="G468" s="379" t="s">
        <v>329</v>
      </c>
      <c r="H468" s="379" t="s">
        <v>326</v>
      </c>
      <c r="I468" s="379" t="s">
        <v>337</v>
      </c>
      <c r="J468" s="379" t="s">
        <v>339</v>
      </c>
      <c r="K468" s="379" t="s">
        <v>334</v>
      </c>
      <c r="L468" s="379" t="s">
        <v>336</v>
      </c>
      <c r="M468" s="379" t="s">
        <v>325</v>
      </c>
      <c r="N468" s="379" t="s">
        <v>332</v>
      </c>
      <c r="P468" s="379">
        <f t="shared" si="278"/>
        <v>467</v>
      </c>
      <c r="Q468" s="445" t="str">
        <f t="shared" ref="Q468:X468" si="491">+RIGHT(G468,1)</f>
        <v>H</v>
      </c>
      <c r="R468" s="436" t="str">
        <f t="shared" si="491"/>
        <v>J</v>
      </c>
      <c r="S468" s="436" t="str">
        <f t="shared" si="491"/>
        <v>B</v>
      </c>
      <c r="T468" s="436" t="str">
        <f t="shared" si="491"/>
        <v>C</v>
      </c>
      <c r="U468" s="436" t="str">
        <f t="shared" si="491"/>
        <v>A</v>
      </c>
      <c r="V468" s="436" t="str">
        <f t="shared" si="491"/>
        <v>D</v>
      </c>
      <c r="W468" s="436" t="str">
        <f t="shared" si="491"/>
        <v>E</v>
      </c>
      <c r="X468" s="436" t="str">
        <f t="shared" si="491"/>
        <v>K</v>
      </c>
      <c r="Y468" s="446">
        <f t="shared" ca="1" si="280"/>
        <v>4</v>
      </c>
    </row>
    <row r="469" spans="1:25" ht="14.25" customHeight="1" x14ac:dyDescent="0.25">
      <c r="A469" s="379" t="s">
        <v>804</v>
      </c>
      <c r="F469" s="379">
        <v>468</v>
      </c>
      <c r="G469" s="379" t="s">
        <v>329</v>
      </c>
      <c r="H469" s="379" t="s">
        <v>325</v>
      </c>
      <c r="I469" s="379" t="s">
        <v>337</v>
      </c>
      <c r="J469" s="379" t="s">
        <v>339</v>
      </c>
      <c r="K469" s="379" t="s">
        <v>334</v>
      </c>
      <c r="L469" s="379" t="s">
        <v>336</v>
      </c>
      <c r="M469" s="379" t="s">
        <v>331</v>
      </c>
      <c r="N469" s="379" t="s">
        <v>327</v>
      </c>
      <c r="P469" s="379">
        <f t="shared" si="278"/>
        <v>468</v>
      </c>
      <c r="Q469" s="445" t="str">
        <f t="shared" ref="Q469:X469" si="492">+RIGHT(G469,1)</f>
        <v>H</v>
      </c>
      <c r="R469" s="436" t="str">
        <f t="shared" si="492"/>
        <v>E</v>
      </c>
      <c r="S469" s="436" t="str">
        <f t="shared" si="492"/>
        <v>B</v>
      </c>
      <c r="T469" s="436" t="str">
        <f t="shared" si="492"/>
        <v>C</v>
      </c>
      <c r="U469" s="436" t="str">
        <f t="shared" si="492"/>
        <v>A</v>
      </c>
      <c r="V469" s="436" t="str">
        <f t="shared" si="492"/>
        <v>D</v>
      </c>
      <c r="W469" s="436" t="str">
        <f t="shared" si="492"/>
        <v>L</v>
      </c>
      <c r="X469" s="436" t="str">
        <f t="shared" si="492"/>
        <v>I</v>
      </c>
      <c r="Y469" s="446">
        <f t="shared" ca="1" si="280"/>
        <v>6</v>
      </c>
    </row>
    <row r="470" spans="1:25" ht="14.25" customHeight="1" x14ac:dyDescent="0.25">
      <c r="A470" s="379" t="s">
        <v>805</v>
      </c>
      <c r="F470" s="379">
        <v>469</v>
      </c>
      <c r="G470" s="379" t="s">
        <v>329</v>
      </c>
      <c r="H470" s="379" t="s">
        <v>325</v>
      </c>
      <c r="I470" s="379" t="s">
        <v>337</v>
      </c>
      <c r="J470" s="379" t="s">
        <v>339</v>
      </c>
      <c r="K470" s="379" t="s">
        <v>334</v>
      </c>
      <c r="L470" s="379" t="s">
        <v>336</v>
      </c>
      <c r="M470" s="379" t="s">
        <v>327</v>
      </c>
      <c r="N470" s="379" t="s">
        <v>332</v>
      </c>
      <c r="P470" s="379">
        <f t="shared" si="278"/>
        <v>469</v>
      </c>
      <c r="Q470" s="445" t="str">
        <f t="shared" ref="Q470:X470" si="493">+RIGHT(G470,1)</f>
        <v>H</v>
      </c>
      <c r="R470" s="436" t="str">
        <f t="shared" si="493"/>
        <v>E</v>
      </c>
      <c r="S470" s="436" t="str">
        <f t="shared" si="493"/>
        <v>B</v>
      </c>
      <c r="T470" s="436" t="str">
        <f t="shared" si="493"/>
        <v>C</v>
      </c>
      <c r="U470" s="436" t="str">
        <f t="shared" si="493"/>
        <v>A</v>
      </c>
      <c r="V470" s="436" t="str">
        <f t="shared" si="493"/>
        <v>D</v>
      </c>
      <c r="W470" s="436" t="str">
        <f t="shared" si="493"/>
        <v>I</v>
      </c>
      <c r="X470" s="436" t="str">
        <f t="shared" si="493"/>
        <v>K</v>
      </c>
      <c r="Y470" s="446">
        <f t="shared" ca="1" si="280"/>
        <v>5</v>
      </c>
    </row>
    <row r="471" spans="1:25" ht="14.25" customHeight="1" x14ac:dyDescent="0.25">
      <c r="A471" s="379" t="s">
        <v>806</v>
      </c>
      <c r="F471" s="379">
        <v>470</v>
      </c>
      <c r="G471" s="379" t="s">
        <v>329</v>
      </c>
      <c r="H471" s="379" t="s">
        <v>326</v>
      </c>
      <c r="I471" s="379" t="s">
        <v>337</v>
      </c>
      <c r="J471" s="379" t="s">
        <v>339</v>
      </c>
      <c r="K471" s="379" t="s">
        <v>334</v>
      </c>
      <c r="L471" s="379" t="s">
        <v>336</v>
      </c>
      <c r="M471" s="379" t="s">
        <v>325</v>
      </c>
      <c r="N471" s="379" t="s">
        <v>327</v>
      </c>
      <c r="P471" s="379">
        <f t="shared" si="278"/>
        <v>470</v>
      </c>
      <c r="Q471" s="445" t="str">
        <f t="shared" ref="Q471:X471" si="494">+RIGHT(G471,1)</f>
        <v>H</v>
      </c>
      <c r="R471" s="436" t="str">
        <f t="shared" si="494"/>
        <v>J</v>
      </c>
      <c r="S471" s="436" t="str">
        <f t="shared" si="494"/>
        <v>B</v>
      </c>
      <c r="T471" s="436" t="str">
        <f t="shared" si="494"/>
        <v>C</v>
      </c>
      <c r="U471" s="436" t="str">
        <f t="shared" si="494"/>
        <v>A</v>
      </c>
      <c r="V471" s="436" t="str">
        <f t="shared" si="494"/>
        <v>D</v>
      </c>
      <c r="W471" s="436" t="str">
        <f t="shared" si="494"/>
        <v>E</v>
      </c>
      <c r="X471" s="436" t="str">
        <f t="shared" si="494"/>
        <v>I</v>
      </c>
      <c r="Y471" s="446">
        <f t="shared" ca="1" si="280"/>
        <v>5</v>
      </c>
    </row>
    <row r="472" spans="1:25" ht="14.25" customHeight="1" x14ac:dyDescent="0.25">
      <c r="A472" s="379" t="s">
        <v>807</v>
      </c>
      <c r="F472" s="379">
        <v>471</v>
      </c>
      <c r="G472" s="379" t="s">
        <v>325</v>
      </c>
      <c r="H472" s="379" t="s">
        <v>330</v>
      </c>
      <c r="I472" s="379" t="s">
        <v>337</v>
      </c>
      <c r="J472" s="379" t="s">
        <v>339</v>
      </c>
      <c r="K472" s="379" t="s">
        <v>334</v>
      </c>
      <c r="L472" s="379" t="s">
        <v>336</v>
      </c>
      <c r="M472" s="379" t="s">
        <v>331</v>
      </c>
      <c r="N472" s="379" t="s">
        <v>332</v>
      </c>
      <c r="P472" s="379">
        <f t="shared" si="278"/>
        <v>471</v>
      </c>
      <c r="Q472" s="445" t="str">
        <f t="shared" ref="Q472:X472" si="495">+RIGHT(G472,1)</f>
        <v>E</v>
      </c>
      <c r="R472" s="436" t="str">
        <f t="shared" si="495"/>
        <v>G</v>
      </c>
      <c r="S472" s="436" t="str">
        <f t="shared" si="495"/>
        <v>B</v>
      </c>
      <c r="T472" s="436" t="str">
        <f t="shared" si="495"/>
        <v>C</v>
      </c>
      <c r="U472" s="436" t="str">
        <f t="shared" si="495"/>
        <v>A</v>
      </c>
      <c r="V472" s="436" t="str">
        <f t="shared" si="495"/>
        <v>D</v>
      </c>
      <c r="W472" s="436" t="str">
        <f t="shared" si="495"/>
        <v>L</v>
      </c>
      <c r="X472" s="436" t="str">
        <f t="shared" si="495"/>
        <v>K</v>
      </c>
      <c r="Y472" s="446">
        <f t="shared" ca="1" si="280"/>
        <v>5</v>
      </c>
    </row>
    <row r="473" spans="1:25" ht="14.25" customHeight="1" x14ac:dyDescent="0.25">
      <c r="A473" s="379" t="s">
        <v>808</v>
      </c>
      <c r="F473" s="379">
        <v>472</v>
      </c>
      <c r="G473" s="379" t="s">
        <v>325</v>
      </c>
      <c r="H473" s="379" t="s">
        <v>330</v>
      </c>
      <c r="I473" s="379" t="s">
        <v>337</v>
      </c>
      <c r="J473" s="379" t="s">
        <v>339</v>
      </c>
      <c r="K473" s="379" t="s">
        <v>334</v>
      </c>
      <c r="L473" s="379" t="s">
        <v>336</v>
      </c>
      <c r="M473" s="379" t="s">
        <v>331</v>
      </c>
      <c r="N473" s="379" t="s">
        <v>326</v>
      </c>
      <c r="P473" s="379">
        <f t="shared" si="278"/>
        <v>472</v>
      </c>
      <c r="Q473" s="445" t="str">
        <f t="shared" ref="Q473:X473" si="496">+RIGHT(G473,1)</f>
        <v>E</v>
      </c>
      <c r="R473" s="436" t="str">
        <f t="shared" si="496"/>
        <v>G</v>
      </c>
      <c r="S473" s="436" t="str">
        <f t="shared" si="496"/>
        <v>B</v>
      </c>
      <c r="T473" s="436" t="str">
        <f t="shared" si="496"/>
        <v>C</v>
      </c>
      <c r="U473" s="436" t="str">
        <f t="shared" si="496"/>
        <v>A</v>
      </c>
      <c r="V473" s="436" t="str">
        <f t="shared" si="496"/>
        <v>D</v>
      </c>
      <c r="W473" s="436" t="str">
        <f t="shared" si="496"/>
        <v>L</v>
      </c>
      <c r="X473" s="436" t="str">
        <f t="shared" si="496"/>
        <v>J</v>
      </c>
      <c r="Y473" s="446">
        <f t="shared" ca="1" si="280"/>
        <v>5</v>
      </c>
    </row>
    <row r="474" spans="1:25" ht="14.25" customHeight="1" x14ac:dyDescent="0.25">
      <c r="A474" s="379" t="s">
        <v>809</v>
      </c>
      <c r="F474" s="379">
        <v>473</v>
      </c>
      <c r="G474" s="379" t="s">
        <v>325</v>
      </c>
      <c r="H474" s="379" t="s">
        <v>330</v>
      </c>
      <c r="I474" s="379" t="s">
        <v>337</v>
      </c>
      <c r="J474" s="379" t="s">
        <v>339</v>
      </c>
      <c r="K474" s="379" t="s">
        <v>334</v>
      </c>
      <c r="L474" s="379" t="s">
        <v>336</v>
      </c>
      <c r="M474" s="379" t="s">
        <v>326</v>
      </c>
      <c r="N474" s="379" t="s">
        <v>332</v>
      </c>
      <c r="P474" s="379">
        <f t="shared" si="278"/>
        <v>473</v>
      </c>
      <c r="Q474" s="445" t="str">
        <f t="shared" ref="Q474:X474" si="497">+RIGHT(G474,1)</f>
        <v>E</v>
      </c>
      <c r="R474" s="436" t="str">
        <f t="shared" si="497"/>
        <v>G</v>
      </c>
      <c r="S474" s="436" t="str">
        <f t="shared" si="497"/>
        <v>B</v>
      </c>
      <c r="T474" s="436" t="str">
        <f t="shared" si="497"/>
        <v>C</v>
      </c>
      <c r="U474" s="436" t="str">
        <f t="shared" si="497"/>
        <v>A</v>
      </c>
      <c r="V474" s="436" t="str">
        <f t="shared" si="497"/>
        <v>D</v>
      </c>
      <c r="W474" s="436" t="str">
        <f t="shared" si="497"/>
        <v>J</v>
      </c>
      <c r="X474" s="436" t="str">
        <f t="shared" si="497"/>
        <v>K</v>
      </c>
      <c r="Y474" s="446">
        <f t="shared" ca="1" si="280"/>
        <v>4</v>
      </c>
    </row>
    <row r="475" spans="1:25" ht="14.25" customHeight="1" x14ac:dyDescent="0.25">
      <c r="A475" s="379" t="s">
        <v>810</v>
      </c>
      <c r="F475" s="379">
        <v>474</v>
      </c>
      <c r="G475" s="379" t="s">
        <v>325</v>
      </c>
      <c r="H475" s="379" t="s">
        <v>330</v>
      </c>
      <c r="I475" s="379" t="s">
        <v>337</v>
      </c>
      <c r="J475" s="379" t="s">
        <v>339</v>
      </c>
      <c r="K475" s="379" t="s">
        <v>334</v>
      </c>
      <c r="L475" s="379" t="s">
        <v>336</v>
      </c>
      <c r="M475" s="379" t="s">
        <v>331</v>
      </c>
      <c r="N475" s="379" t="s">
        <v>327</v>
      </c>
      <c r="P475" s="379">
        <f t="shared" si="278"/>
        <v>474</v>
      </c>
      <c r="Q475" s="445" t="str">
        <f t="shared" ref="Q475:X475" si="498">+RIGHT(G475,1)</f>
        <v>E</v>
      </c>
      <c r="R475" s="436" t="str">
        <f t="shared" si="498"/>
        <v>G</v>
      </c>
      <c r="S475" s="436" t="str">
        <f t="shared" si="498"/>
        <v>B</v>
      </c>
      <c r="T475" s="436" t="str">
        <f t="shared" si="498"/>
        <v>C</v>
      </c>
      <c r="U475" s="436" t="str">
        <f t="shared" si="498"/>
        <v>A</v>
      </c>
      <c r="V475" s="436" t="str">
        <f t="shared" si="498"/>
        <v>D</v>
      </c>
      <c r="W475" s="436" t="str">
        <f t="shared" si="498"/>
        <v>L</v>
      </c>
      <c r="X475" s="436" t="str">
        <f t="shared" si="498"/>
        <v>I</v>
      </c>
      <c r="Y475" s="446">
        <f t="shared" ca="1" si="280"/>
        <v>6</v>
      </c>
    </row>
    <row r="476" spans="1:25" ht="14.25" customHeight="1" x14ac:dyDescent="0.25">
      <c r="A476" s="379" t="s">
        <v>811</v>
      </c>
      <c r="F476" s="379">
        <v>475</v>
      </c>
      <c r="G476" s="379" t="s">
        <v>325</v>
      </c>
      <c r="H476" s="379" t="s">
        <v>330</v>
      </c>
      <c r="I476" s="379" t="s">
        <v>337</v>
      </c>
      <c r="J476" s="379" t="s">
        <v>339</v>
      </c>
      <c r="K476" s="379" t="s">
        <v>334</v>
      </c>
      <c r="L476" s="379" t="s">
        <v>336</v>
      </c>
      <c r="M476" s="379" t="s">
        <v>327</v>
      </c>
      <c r="N476" s="379" t="s">
        <v>332</v>
      </c>
      <c r="P476" s="379">
        <f t="shared" si="278"/>
        <v>475</v>
      </c>
      <c r="Q476" s="445" t="str">
        <f t="shared" ref="Q476:X476" si="499">+RIGHT(G476,1)</f>
        <v>E</v>
      </c>
      <c r="R476" s="436" t="str">
        <f t="shared" si="499"/>
        <v>G</v>
      </c>
      <c r="S476" s="436" t="str">
        <f t="shared" si="499"/>
        <v>B</v>
      </c>
      <c r="T476" s="436" t="str">
        <f t="shared" si="499"/>
        <v>C</v>
      </c>
      <c r="U476" s="436" t="str">
        <f t="shared" si="499"/>
        <v>A</v>
      </c>
      <c r="V476" s="436" t="str">
        <f t="shared" si="499"/>
        <v>D</v>
      </c>
      <c r="W476" s="436" t="str">
        <f t="shared" si="499"/>
        <v>I</v>
      </c>
      <c r="X476" s="436" t="str">
        <f t="shared" si="499"/>
        <v>K</v>
      </c>
      <c r="Y476" s="446">
        <f t="shared" ca="1" si="280"/>
        <v>5</v>
      </c>
    </row>
    <row r="477" spans="1:25" ht="14.25" customHeight="1" x14ac:dyDescent="0.25">
      <c r="A477" s="379" t="s">
        <v>812</v>
      </c>
      <c r="F477" s="379">
        <v>476</v>
      </c>
      <c r="G477" s="379" t="s">
        <v>325</v>
      </c>
      <c r="H477" s="379" t="s">
        <v>330</v>
      </c>
      <c r="I477" s="379" t="s">
        <v>337</v>
      </c>
      <c r="J477" s="379" t="s">
        <v>339</v>
      </c>
      <c r="K477" s="379" t="s">
        <v>334</v>
      </c>
      <c r="L477" s="379" t="s">
        <v>336</v>
      </c>
      <c r="M477" s="379" t="s">
        <v>327</v>
      </c>
      <c r="N477" s="379" t="s">
        <v>326</v>
      </c>
      <c r="P477" s="379">
        <f t="shared" si="278"/>
        <v>476</v>
      </c>
      <c r="Q477" s="445" t="str">
        <f t="shared" ref="Q477:X477" si="500">+RIGHT(G477,1)</f>
        <v>E</v>
      </c>
      <c r="R477" s="436" t="str">
        <f t="shared" si="500"/>
        <v>G</v>
      </c>
      <c r="S477" s="436" t="str">
        <f t="shared" si="500"/>
        <v>B</v>
      </c>
      <c r="T477" s="436" t="str">
        <f t="shared" si="500"/>
        <v>C</v>
      </c>
      <c r="U477" s="436" t="str">
        <f t="shared" si="500"/>
        <v>A</v>
      </c>
      <c r="V477" s="436" t="str">
        <f t="shared" si="500"/>
        <v>D</v>
      </c>
      <c r="W477" s="436" t="str">
        <f t="shared" si="500"/>
        <v>I</v>
      </c>
      <c r="X477" s="436" t="str">
        <f t="shared" si="500"/>
        <v>J</v>
      </c>
      <c r="Y477" s="446">
        <f t="shared" ca="1" si="280"/>
        <v>5</v>
      </c>
    </row>
    <row r="478" spans="1:25" ht="14.25" customHeight="1" x14ac:dyDescent="0.25">
      <c r="A478" s="379" t="s">
        <v>813</v>
      </c>
      <c r="F478" s="379">
        <v>477</v>
      </c>
      <c r="G478" s="379" t="s">
        <v>329</v>
      </c>
      <c r="H478" s="379" t="s">
        <v>330</v>
      </c>
      <c r="I478" s="379" t="s">
        <v>337</v>
      </c>
      <c r="J478" s="379" t="s">
        <v>339</v>
      </c>
      <c r="K478" s="379" t="s">
        <v>334</v>
      </c>
      <c r="L478" s="379" t="s">
        <v>336</v>
      </c>
      <c r="M478" s="379" t="s">
        <v>331</v>
      </c>
      <c r="N478" s="379" t="s">
        <v>325</v>
      </c>
      <c r="P478" s="379">
        <f t="shared" si="278"/>
        <v>477</v>
      </c>
      <c r="Q478" s="445" t="str">
        <f t="shared" ref="Q478:X478" si="501">+RIGHT(G478,1)</f>
        <v>H</v>
      </c>
      <c r="R478" s="436" t="str">
        <f t="shared" si="501"/>
        <v>G</v>
      </c>
      <c r="S478" s="436" t="str">
        <f t="shared" si="501"/>
        <v>B</v>
      </c>
      <c r="T478" s="436" t="str">
        <f t="shared" si="501"/>
        <v>C</v>
      </c>
      <c r="U478" s="436" t="str">
        <f t="shared" si="501"/>
        <v>A</v>
      </c>
      <c r="V478" s="436" t="str">
        <f t="shared" si="501"/>
        <v>D</v>
      </c>
      <c r="W478" s="436" t="str">
        <f t="shared" si="501"/>
        <v>L</v>
      </c>
      <c r="X478" s="436" t="str">
        <f t="shared" si="501"/>
        <v>E</v>
      </c>
      <c r="Y478" s="446">
        <f t="shared" ca="1" si="280"/>
        <v>6</v>
      </c>
    </row>
    <row r="479" spans="1:25" ht="14.25" customHeight="1" x14ac:dyDescent="0.25">
      <c r="A479" s="379" t="s">
        <v>814</v>
      </c>
      <c r="F479" s="379">
        <v>478</v>
      </c>
      <c r="G479" s="379" t="s">
        <v>329</v>
      </c>
      <c r="H479" s="379" t="s">
        <v>330</v>
      </c>
      <c r="I479" s="379" t="s">
        <v>337</v>
      </c>
      <c r="J479" s="379" t="s">
        <v>339</v>
      </c>
      <c r="K479" s="379" t="s">
        <v>334</v>
      </c>
      <c r="L479" s="379" t="s">
        <v>336</v>
      </c>
      <c r="M479" s="379" t="s">
        <v>325</v>
      </c>
      <c r="N479" s="379" t="s">
        <v>332</v>
      </c>
      <c r="P479" s="379">
        <f t="shared" si="278"/>
        <v>478</v>
      </c>
      <c r="Q479" s="445" t="str">
        <f t="shared" ref="Q479:X479" si="502">+RIGHT(G479,1)</f>
        <v>H</v>
      </c>
      <c r="R479" s="436" t="str">
        <f t="shared" si="502"/>
        <v>G</v>
      </c>
      <c r="S479" s="436" t="str">
        <f t="shared" si="502"/>
        <v>B</v>
      </c>
      <c r="T479" s="436" t="str">
        <f t="shared" si="502"/>
        <v>C</v>
      </c>
      <c r="U479" s="436" t="str">
        <f t="shared" si="502"/>
        <v>A</v>
      </c>
      <c r="V479" s="436" t="str">
        <f t="shared" si="502"/>
        <v>D</v>
      </c>
      <c r="W479" s="436" t="str">
        <f t="shared" si="502"/>
        <v>E</v>
      </c>
      <c r="X479" s="436" t="str">
        <f t="shared" si="502"/>
        <v>K</v>
      </c>
      <c r="Y479" s="446">
        <f t="shared" ca="1" si="280"/>
        <v>5</v>
      </c>
    </row>
    <row r="480" spans="1:25" ht="14.25" customHeight="1" x14ac:dyDescent="0.25">
      <c r="A480" s="379" t="s">
        <v>815</v>
      </c>
      <c r="F480" s="379">
        <v>479</v>
      </c>
      <c r="G480" s="379" t="s">
        <v>329</v>
      </c>
      <c r="H480" s="379" t="s">
        <v>330</v>
      </c>
      <c r="I480" s="379" t="s">
        <v>337</v>
      </c>
      <c r="J480" s="379" t="s">
        <v>339</v>
      </c>
      <c r="K480" s="379" t="s">
        <v>334</v>
      </c>
      <c r="L480" s="379" t="s">
        <v>336</v>
      </c>
      <c r="M480" s="379" t="s">
        <v>325</v>
      </c>
      <c r="N480" s="379" t="s">
        <v>326</v>
      </c>
      <c r="P480" s="379">
        <f t="shared" si="278"/>
        <v>479</v>
      </c>
      <c r="Q480" s="445" t="str">
        <f t="shared" ref="Q480:X480" si="503">+RIGHT(G480,1)</f>
        <v>H</v>
      </c>
      <c r="R480" s="436" t="str">
        <f t="shared" si="503"/>
        <v>G</v>
      </c>
      <c r="S480" s="436" t="str">
        <f t="shared" si="503"/>
        <v>B</v>
      </c>
      <c r="T480" s="436" t="str">
        <f t="shared" si="503"/>
        <v>C</v>
      </c>
      <c r="U480" s="436" t="str">
        <f t="shared" si="503"/>
        <v>A</v>
      </c>
      <c r="V480" s="436" t="str">
        <f t="shared" si="503"/>
        <v>D</v>
      </c>
      <c r="W480" s="436" t="str">
        <f t="shared" si="503"/>
        <v>E</v>
      </c>
      <c r="X480" s="436" t="str">
        <f t="shared" si="503"/>
        <v>J</v>
      </c>
      <c r="Y480" s="446">
        <f t="shared" ca="1" si="280"/>
        <v>5</v>
      </c>
    </row>
    <row r="481" spans="1:25" ht="14.25" customHeight="1" x14ac:dyDescent="0.25">
      <c r="A481" s="379" t="s">
        <v>816</v>
      </c>
      <c r="F481" s="379">
        <v>480</v>
      </c>
      <c r="G481" s="379" t="s">
        <v>329</v>
      </c>
      <c r="H481" s="379" t="s">
        <v>330</v>
      </c>
      <c r="I481" s="379" t="s">
        <v>337</v>
      </c>
      <c r="J481" s="379" t="s">
        <v>339</v>
      </c>
      <c r="K481" s="379" t="s">
        <v>334</v>
      </c>
      <c r="L481" s="379" t="s">
        <v>336</v>
      </c>
      <c r="M481" s="379" t="s">
        <v>325</v>
      </c>
      <c r="N481" s="379" t="s">
        <v>327</v>
      </c>
      <c r="P481" s="379">
        <f t="shared" si="278"/>
        <v>480</v>
      </c>
      <c r="Q481" s="445" t="str">
        <f t="shared" ref="Q481:X481" si="504">+RIGHT(G481,1)</f>
        <v>H</v>
      </c>
      <c r="R481" s="436" t="str">
        <f t="shared" si="504"/>
        <v>G</v>
      </c>
      <c r="S481" s="436" t="str">
        <f t="shared" si="504"/>
        <v>B</v>
      </c>
      <c r="T481" s="436" t="str">
        <f t="shared" si="504"/>
        <v>C</v>
      </c>
      <c r="U481" s="436" t="str">
        <f t="shared" si="504"/>
        <v>A</v>
      </c>
      <c r="V481" s="436" t="str">
        <f t="shared" si="504"/>
        <v>D</v>
      </c>
      <c r="W481" s="436" t="str">
        <f t="shared" si="504"/>
        <v>E</v>
      </c>
      <c r="X481" s="436" t="str">
        <f t="shared" si="504"/>
        <v>I</v>
      </c>
      <c r="Y481" s="446">
        <f t="shared" ca="1" si="280"/>
        <v>6</v>
      </c>
    </row>
    <row r="482" spans="1:25" ht="14.25" customHeight="1" x14ac:dyDescent="0.25">
      <c r="A482" s="379" t="s">
        <v>817</v>
      </c>
      <c r="F482" s="379">
        <v>481</v>
      </c>
      <c r="G482" s="379" t="s">
        <v>339</v>
      </c>
      <c r="H482" s="379" t="s">
        <v>325</v>
      </c>
      <c r="I482" s="379" t="s">
        <v>337</v>
      </c>
      <c r="J482" s="379" t="s">
        <v>336</v>
      </c>
      <c r="K482" s="379" t="s">
        <v>334</v>
      </c>
      <c r="L482" s="379" t="s">
        <v>328</v>
      </c>
      <c r="M482" s="379" t="s">
        <v>331</v>
      </c>
      <c r="N482" s="379" t="s">
        <v>332</v>
      </c>
      <c r="P482" s="379">
        <f t="shared" si="278"/>
        <v>481</v>
      </c>
      <c r="Q482" s="445" t="str">
        <f t="shared" ref="Q482:X482" si="505">+RIGHT(G482,1)</f>
        <v>C</v>
      </c>
      <c r="R482" s="436" t="str">
        <f t="shared" si="505"/>
        <v>E</v>
      </c>
      <c r="S482" s="436" t="str">
        <f t="shared" si="505"/>
        <v>B</v>
      </c>
      <c r="T482" s="436" t="str">
        <f t="shared" si="505"/>
        <v>D</v>
      </c>
      <c r="U482" s="436" t="str">
        <f t="shared" si="505"/>
        <v>A</v>
      </c>
      <c r="V482" s="436" t="str">
        <f t="shared" si="505"/>
        <v>F</v>
      </c>
      <c r="W482" s="436" t="str">
        <f t="shared" si="505"/>
        <v>L</v>
      </c>
      <c r="X482" s="436" t="str">
        <f t="shared" si="505"/>
        <v>K</v>
      </c>
      <c r="Y482" s="446">
        <f t="shared" ca="1" si="280"/>
        <v>5</v>
      </c>
    </row>
    <row r="483" spans="1:25" ht="14.25" customHeight="1" x14ac:dyDescent="0.25">
      <c r="A483" s="379" t="s">
        <v>818</v>
      </c>
      <c r="F483" s="379">
        <v>482</v>
      </c>
      <c r="G483" s="379" t="s">
        <v>339</v>
      </c>
      <c r="H483" s="379" t="s">
        <v>326</v>
      </c>
      <c r="I483" s="379" t="s">
        <v>337</v>
      </c>
      <c r="J483" s="379" t="s">
        <v>336</v>
      </c>
      <c r="K483" s="379" t="s">
        <v>334</v>
      </c>
      <c r="L483" s="379" t="s">
        <v>328</v>
      </c>
      <c r="M483" s="379" t="s">
        <v>331</v>
      </c>
      <c r="N483" s="379" t="s">
        <v>325</v>
      </c>
      <c r="P483" s="379">
        <f t="shared" si="278"/>
        <v>482</v>
      </c>
      <c r="Q483" s="445" t="str">
        <f t="shared" ref="Q483:X483" si="506">+RIGHT(G483,1)</f>
        <v>C</v>
      </c>
      <c r="R483" s="436" t="str">
        <f t="shared" si="506"/>
        <v>J</v>
      </c>
      <c r="S483" s="436" t="str">
        <f t="shared" si="506"/>
        <v>B</v>
      </c>
      <c r="T483" s="436" t="str">
        <f t="shared" si="506"/>
        <v>D</v>
      </c>
      <c r="U483" s="436" t="str">
        <f t="shared" si="506"/>
        <v>A</v>
      </c>
      <c r="V483" s="436" t="str">
        <f t="shared" si="506"/>
        <v>F</v>
      </c>
      <c r="W483" s="436" t="str">
        <f t="shared" si="506"/>
        <v>L</v>
      </c>
      <c r="X483" s="436" t="str">
        <f t="shared" si="506"/>
        <v>E</v>
      </c>
      <c r="Y483" s="446">
        <f t="shared" ca="1" si="280"/>
        <v>5</v>
      </c>
    </row>
    <row r="484" spans="1:25" ht="14.25" customHeight="1" x14ac:dyDescent="0.25">
      <c r="A484" s="379" t="s">
        <v>819</v>
      </c>
      <c r="F484" s="379">
        <v>483</v>
      </c>
      <c r="G484" s="379" t="s">
        <v>339</v>
      </c>
      <c r="H484" s="379" t="s">
        <v>326</v>
      </c>
      <c r="I484" s="379" t="s">
        <v>337</v>
      </c>
      <c r="J484" s="379" t="s">
        <v>336</v>
      </c>
      <c r="K484" s="379" t="s">
        <v>334</v>
      </c>
      <c r="L484" s="379" t="s">
        <v>328</v>
      </c>
      <c r="M484" s="379" t="s">
        <v>325</v>
      </c>
      <c r="N484" s="379" t="s">
        <v>332</v>
      </c>
      <c r="P484" s="379">
        <f t="shared" si="278"/>
        <v>483</v>
      </c>
      <c r="Q484" s="445" t="str">
        <f t="shared" ref="Q484:X484" si="507">+RIGHT(G484,1)</f>
        <v>C</v>
      </c>
      <c r="R484" s="436" t="str">
        <f t="shared" si="507"/>
        <v>J</v>
      </c>
      <c r="S484" s="436" t="str">
        <f t="shared" si="507"/>
        <v>B</v>
      </c>
      <c r="T484" s="436" t="str">
        <f t="shared" si="507"/>
        <v>D</v>
      </c>
      <c r="U484" s="436" t="str">
        <f t="shared" si="507"/>
        <v>A</v>
      </c>
      <c r="V484" s="436" t="str">
        <f t="shared" si="507"/>
        <v>F</v>
      </c>
      <c r="W484" s="436" t="str">
        <f t="shared" si="507"/>
        <v>E</v>
      </c>
      <c r="X484" s="436" t="str">
        <f t="shared" si="507"/>
        <v>K</v>
      </c>
      <c r="Y484" s="446">
        <f t="shared" ca="1" si="280"/>
        <v>4</v>
      </c>
    </row>
    <row r="485" spans="1:25" ht="14.25" customHeight="1" x14ac:dyDescent="0.25">
      <c r="A485" s="379" t="s">
        <v>820</v>
      </c>
      <c r="F485" s="379">
        <v>484</v>
      </c>
      <c r="G485" s="379" t="s">
        <v>339</v>
      </c>
      <c r="H485" s="379" t="s">
        <v>325</v>
      </c>
      <c r="I485" s="379" t="s">
        <v>337</v>
      </c>
      <c r="J485" s="379" t="s">
        <v>336</v>
      </c>
      <c r="K485" s="379" t="s">
        <v>334</v>
      </c>
      <c r="L485" s="379" t="s">
        <v>328</v>
      </c>
      <c r="M485" s="379" t="s">
        <v>331</v>
      </c>
      <c r="N485" s="379" t="s">
        <v>327</v>
      </c>
      <c r="P485" s="379">
        <f t="shared" si="278"/>
        <v>484</v>
      </c>
      <c r="Q485" s="445" t="str">
        <f t="shared" ref="Q485:X485" si="508">+RIGHT(G485,1)</f>
        <v>C</v>
      </c>
      <c r="R485" s="436" t="str">
        <f t="shared" si="508"/>
        <v>E</v>
      </c>
      <c r="S485" s="436" t="str">
        <f t="shared" si="508"/>
        <v>B</v>
      </c>
      <c r="T485" s="436" t="str">
        <f t="shared" si="508"/>
        <v>D</v>
      </c>
      <c r="U485" s="436" t="str">
        <f t="shared" si="508"/>
        <v>A</v>
      </c>
      <c r="V485" s="436" t="str">
        <f t="shared" si="508"/>
        <v>F</v>
      </c>
      <c r="W485" s="436" t="str">
        <f t="shared" si="508"/>
        <v>L</v>
      </c>
      <c r="X485" s="436" t="str">
        <f t="shared" si="508"/>
        <v>I</v>
      </c>
      <c r="Y485" s="446">
        <f t="shared" ca="1" si="280"/>
        <v>6</v>
      </c>
    </row>
    <row r="486" spans="1:25" ht="14.25" customHeight="1" x14ac:dyDescent="0.25">
      <c r="A486" s="379" t="s">
        <v>821</v>
      </c>
      <c r="F486" s="379">
        <v>485</v>
      </c>
      <c r="G486" s="379" t="s">
        <v>339</v>
      </c>
      <c r="H486" s="379" t="s">
        <v>325</v>
      </c>
      <c r="I486" s="379" t="s">
        <v>337</v>
      </c>
      <c r="J486" s="379" t="s">
        <v>336</v>
      </c>
      <c r="K486" s="379" t="s">
        <v>334</v>
      </c>
      <c r="L486" s="379" t="s">
        <v>328</v>
      </c>
      <c r="M486" s="379" t="s">
        <v>327</v>
      </c>
      <c r="N486" s="379" t="s">
        <v>332</v>
      </c>
      <c r="P486" s="379">
        <f t="shared" si="278"/>
        <v>485</v>
      </c>
      <c r="Q486" s="445" t="str">
        <f t="shared" ref="Q486:X486" si="509">+RIGHT(G486,1)</f>
        <v>C</v>
      </c>
      <c r="R486" s="436" t="str">
        <f t="shared" si="509"/>
        <v>E</v>
      </c>
      <c r="S486" s="436" t="str">
        <f t="shared" si="509"/>
        <v>B</v>
      </c>
      <c r="T486" s="436" t="str">
        <f t="shared" si="509"/>
        <v>D</v>
      </c>
      <c r="U486" s="436" t="str">
        <f t="shared" si="509"/>
        <v>A</v>
      </c>
      <c r="V486" s="436" t="str">
        <f t="shared" si="509"/>
        <v>F</v>
      </c>
      <c r="W486" s="436" t="str">
        <f t="shared" si="509"/>
        <v>I</v>
      </c>
      <c r="X486" s="436" t="str">
        <f t="shared" si="509"/>
        <v>K</v>
      </c>
      <c r="Y486" s="446">
        <f t="shared" ca="1" si="280"/>
        <v>5</v>
      </c>
    </row>
    <row r="487" spans="1:25" ht="14.25" customHeight="1" x14ac:dyDescent="0.25">
      <c r="A487" s="379" t="s">
        <v>822</v>
      </c>
      <c r="F487" s="379">
        <v>486</v>
      </c>
      <c r="G487" s="379" t="s">
        <v>339</v>
      </c>
      <c r="H487" s="379" t="s">
        <v>326</v>
      </c>
      <c r="I487" s="379" t="s">
        <v>337</v>
      </c>
      <c r="J487" s="379" t="s">
        <v>336</v>
      </c>
      <c r="K487" s="379" t="s">
        <v>334</v>
      </c>
      <c r="L487" s="379" t="s">
        <v>328</v>
      </c>
      <c r="M487" s="379" t="s">
        <v>325</v>
      </c>
      <c r="N487" s="379" t="s">
        <v>327</v>
      </c>
      <c r="P487" s="379">
        <f t="shared" si="278"/>
        <v>486</v>
      </c>
      <c r="Q487" s="445" t="str">
        <f t="shared" ref="Q487:X487" si="510">+RIGHT(G487,1)</f>
        <v>C</v>
      </c>
      <c r="R487" s="436" t="str">
        <f t="shared" si="510"/>
        <v>J</v>
      </c>
      <c r="S487" s="436" t="str">
        <f t="shared" si="510"/>
        <v>B</v>
      </c>
      <c r="T487" s="436" t="str">
        <f t="shared" si="510"/>
        <v>D</v>
      </c>
      <c r="U487" s="436" t="str">
        <f t="shared" si="510"/>
        <v>A</v>
      </c>
      <c r="V487" s="436" t="str">
        <f t="shared" si="510"/>
        <v>F</v>
      </c>
      <c r="W487" s="436" t="str">
        <f t="shared" si="510"/>
        <v>E</v>
      </c>
      <c r="X487" s="436" t="str">
        <f t="shared" si="510"/>
        <v>I</v>
      </c>
      <c r="Y487" s="446">
        <f t="shared" ca="1" si="280"/>
        <v>5</v>
      </c>
    </row>
    <row r="488" spans="1:25" ht="14.25" customHeight="1" x14ac:dyDescent="0.25">
      <c r="A488" s="379" t="s">
        <v>823</v>
      </c>
      <c r="F488" s="379">
        <v>487</v>
      </c>
      <c r="G488" s="379" t="s">
        <v>329</v>
      </c>
      <c r="H488" s="379" t="s">
        <v>328</v>
      </c>
      <c r="I488" s="379" t="s">
        <v>337</v>
      </c>
      <c r="J488" s="379" t="s">
        <v>339</v>
      </c>
      <c r="K488" s="379" t="s">
        <v>334</v>
      </c>
      <c r="L488" s="379" t="s">
        <v>336</v>
      </c>
      <c r="M488" s="379" t="s">
        <v>331</v>
      </c>
      <c r="N488" s="379" t="s">
        <v>325</v>
      </c>
      <c r="P488" s="379">
        <f t="shared" si="278"/>
        <v>487</v>
      </c>
      <c r="Q488" s="445" t="str">
        <f t="shared" ref="Q488:X488" si="511">+RIGHT(G488,1)</f>
        <v>H</v>
      </c>
      <c r="R488" s="436" t="str">
        <f t="shared" si="511"/>
        <v>F</v>
      </c>
      <c r="S488" s="436" t="str">
        <f t="shared" si="511"/>
        <v>B</v>
      </c>
      <c r="T488" s="436" t="str">
        <f t="shared" si="511"/>
        <v>C</v>
      </c>
      <c r="U488" s="436" t="str">
        <f t="shared" si="511"/>
        <v>A</v>
      </c>
      <c r="V488" s="436" t="str">
        <f t="shared" si="511"/>
        <v>D</v>
      </c>
      <c r="W488" s="436" t="str">
        <f t="shared" si="511"/>
        <v>L</v>
      </c>
      <c r="X488" s="436" t="str">
        <f t="shared" si="511"/>
        <v>E</v>
      </c>
      <c r="Y488" s="446">
        <f t="shared" ca="1" si="280"/>
        <v>6</v>
      </c>
    </row>
    <row r="489" spans="1:25" ht="14.25" customHeight="1" x14ac:dyDescent="0.25">
      <c r="A489" s="379" t="s">
        <v>824</v>
      </c>
      <c r="F489" s="379">
        <v>488</v>
      </c>
      <c r="G489" s="379" t="s">
        <v>329</v>
      </c>
      <c r="H489" s="379" t="s">
        <v>325</v>
      </c>
      <c r="I489" s="379" t="s">
        <v>337</v>
      </c>
      <c r="J489" s="379" t="s">
        <v>339</v>
      </c>
      <c r="K489" s="379" t="s">
        <v>334</v>
      </c>
      <c r="L489" s="379" t="s">
        <v>328</v>
      </c>
      <c r="M489" s="379" t="s">
        <v>336</v>
      </c>
      <c r="N489" s="379" t="s">
        <v>332</v>
      </c>
      <c r="P489" s="379">
        <f t="shared" si="278"/>
        <v>488</v>
      </c>
      <c r="Q489" s="445" t="str">
        <f t="shared" ref="Q489:X489" si="512">+RIGHT(G489,1)</f>
        <v>H</v>
      </c>
      <c r="R489" s="436" t="str">
        <f t="shared" si="512"/>
        <v>E</v>
      </c>
      <c r="S489" s="436" t="str">
        <f t="shared" si="512"/>
        <v>B</v>
      </c>
      <c r="T489" s="436" t="str">
        <f t="shared" si="512"/>
        <v>C</v>
      </c>
      <c r="U489" s="436" t="str">
        <f t="shared" si="512"/>
        <v>A</v>
      </c>
      <c r="V489" s="436" t="str">
        <f t="shared" si="512"/>
        <v>F</v>
      </c>
      <c r="W489" s="436" t="str">
        <f t="shared" si="512"/>
        <v>D</v>
      </c>
      <c r="X489" s="436" t="str">
        <f t="shared" si="512"/>
        <v>K</v>
      </c>
      <c r="Y489" s="446">
        <f t="shared" ca="1" si="280"/>
        <v>5</v>
      </c>
    </row>
    <row r="490" spans="1:25" ht="14.25" customHeight="1" x14ac:dyDescent="0.25">
      <c r="A490" s="379" t="s">
        <v>825</v>
      </c>
      <c r="F490" s="379">
        <v>489</v>
      </c>
      <c r="G490" s="379" t="s">
        <v>329</v>
      </c>
      <c r="H490" s="379" t="s">
        <v>326</v>
      </c>
      <c r="I490" s="379" t="s">
        <v>337</v>
      </c>
      <c r="J490" s="379" t="s">
        <v>339</v>
      </c>
      <c r="K490" s="379" t="s">
        <v>334</v>
      </c>
      <c r="L490" s="379" t="s">
        <v>328</v>
      </c>
      <c r="M490" s="379" t="s">
        <v>336</v>
      </c>
      <c r="N490" s="379" t="s">
        <v>325</v>
      </c>
      <c r="P490" s="379">
        <f t="shared" si="278"/>
        <v>489</v>
      </c>
      <c r="Q490" s="445" t="str">
        <f t="shared" ref="Q490:X490" si="513">+RIGHT(G490,1)</f>
        <v>H</v>
      </c>
      <c r="R490" s="436" t="str">
        <f t="shared" si="513"/>
        <v>J</v>
      </c>
      <c r="S490" s="436" t="str">
        <f t="shared" si="513"/>
        <v>B</v>
      </c>
      <c r="T490" s="436" t="str">
        <f t="shared" si="513"/>
        <v>C</v>
      </c>
      <c r="U490" s="436" t="str">
        <f t="shared" si="513"/>
        <v>A</v>
      </c>
      <c r="V490" s="436" t="str">
        <f t="shared" si="513"/>
        <v>F</v>
      </c>
      <c r="W490" s="436" t="str">
        <f t="shared" si="513"/>
        <v>D</v>
      </c>
      <c r="X490" s="436" t="str">
        <f t="shared" si="513"/>
        <v>E</v>
      </c>
      <c r="Y490" s="446">
        <f t="shared" ca="1" si="280"/>
        <v>5</v>
      </c>
    </row>
    <row r="491" spans="1:25" ht="14.25" customHeight="1" x14ac:dyDescent="0.25">
      <c r="A491" s="379" t="s">
        <v>826</v>
      </c>
      <c r="F491" s="379">
        <v>490</v>
      </c>
      <c r="G491" s="379" t="s">
        <v>329</v>
      </c>
      <c r="H491" s="379" t="s">
        <v>325</v>
      </c>
      <c r="I491" s="379" t="s">
        <v>337</v>
      </c>
      <c r="J491" s="379" t="s">
        <v>339</v>
      </c>
      <c r="K491" s="379" t="s">
        <v>334</v>
      </c>
      <c r="L491" s="379" t="s">
        <v>328</v>
      </c>
      <c r="M491" s="379" t="s">
        <v>336</v>
      </c>
      <c r="N491" s="379" t="s">
        <v>327</v>
      </c>
      <c r="P491" s="379">
        <f t="shared" si="278"/>
        <v>490</v>
      </c>
      <c r="Q491" s="445" t="str">
        <f t="shared" ref="Q491:X491" si="514">+RIGHT(G491,1)</f>
        <v>H</v>
      </c>
      <c r="R491" s="436" t="str">
        <f t="shared" si="514"/>
        <v>E</v>
      </c>
      <c r="S491" s="436" t="str">
        <f t="shared" si="514"/>
        <v>B</v>
      </c>
      <c r="T491" s="436" t="str">
        <f t="shared" si="514"/>
        <v>C</v>
      </c>
      <c r="U491" s="436" t="str">
        <f t="shared" si="514"/>
        <v>A</v>
      </c>
      <c r="V491" s="436" t="str">
        <f t="shared" si="514"/>
        <v>F</v>
      </c>
      <c r="W491" s="436" t="str">
        <f t="shared" si="514"/>
        <v>D</v>
      </c>
      <c r="X491" s="436" t="str">
        <f t="shared" si="514"/>
        <v>I</v>
      </c>
      <c r="Y491" s="446">
        <f t="shared" ca="1" si="280"/>
        <v>6</v>
      </c>
    </row>
    <row r="492" spans="1:25" ht="14.25" customHeight="1" x14ac:dyDescent="0.25">
      <c r="A492" s="379" t="s">
        <v>827</v>
      </c>
      <c r="F492" s="379">
        <v>491</v>
      </c>
      <c r="G492" s="379" t="s">
        <v>339</v>
      </c>
      <c r="H492" s="379" t="s">
        <v>330</v>
      </c>
      <c r="I492" s="379" t="s">
        <v>337</v>
      </c>
      <c r="J492" s="379" t="s">
        <v>336</v>
      </c>
      <c r="K492" s="379" t="s">
        <v>334</v>
      </c>
      <c r="L492" s="379" t="s">
        <v>328</v>
      </c>
      <c r="M492" s="379" t="s">
        <v>331</v>
      </c>
      <c r="N492" s="379" t="s">
        <v>325</v>
      </c>
      <c r="P492" s="379">
        <f t="shared" si="278"/>
        <v>491</v>
      </c>
      <c r="Q492" s="445" t="str">
        <f t="shared" ref="Q492:X492" si="515">+RIGHT(G492,1)</f>
        <v>C</v>
      </c>
      <c r="R492" s="436" t="str">
        <f t="shared" si="515"/>
        <v>G</v>
      </c>
      <c r="S492" s="436" t="str">
        <f t="shared" si="515"/>
        <v>B</v>
      </c>
      <c r="T492" s="436" t="str">
        <f t="shared" si="515"/>
        <v>D</v>
      </c>
      <c r="U492" s="436" t="str">
        <f t="shared" si="515"/>
        <v>A</v>
      </c>
      <c r="V492" s="436" t="str">
        <f t="shared" si="515"/>
        <v>F</v>
      </c>
      <c r="W492" s="436" t="str">
        <f t="shared" si="515"/>
        <v>L</v>
      </c>
      <c r="X492" s="436" t="str">
        <f t="shared" si="515"/>
        <v>E</v>
      </c>
      <c r="Y492" s="446">
        <f t="shared" ca="1" si="280"/>
        <v>6</v>
      </c>
    </row>
    <row r="493" spans="1:25" ht="14.25" customHeight="1" x14ac:dyDescent="0.25">
      <c r="A493" s="379" t="s">
        <v>828</v>
      </c>
      <c r="F493" s="379">
        <v>492</v>
      </c>
      <c r="G493" s="379" t="s">
        <v>339</v>
      </c>
      <c r="H493" s="379" t="s">
        <v>330</v>
      </c>
      <c r="I493" s="379" t="s">
        <v>337</v>
      </c>
      <c r="J493" s="379" t="s">
        <v>336</v>
      </c>
      <c r="K493" s="379" t="s">
        <v>334</v>
      </c>
      <c r="L493" s="379" t="s">
        <v>328</v>
      </c>
      <c r="M493" s="379" t="s">
        <v>325</v>
      </c>
      <c r="N493" s="379" t="s">
        <v>332</v>
      </c>
      <c r="P493" s="379">
        <f t="shared" si="278"/>
        <v>492</v>
      </c>
      <c r="Q493" s="445" t="str">
        <f t="shared" ref="Q493:X493" si="516">+RIGHT(G493,1)</f>
        <v>C</v>
      </c>
      <c r="R493" s="436" t="str">
        <f t="shared" si="516"/>
        <v>G</v>
      </c>
      <c r="S493" s="436" t="str">
        <f t="shared" si="516"/>
        <v>B</v>
      </c>
      <c r="T493" s="436" t="str">
        <f t="shared" si="516"/>
        <v>D</v>
      </c>
      <c r="U493" s="436" t="str">
        <f t="shared" si="516"/>
        <v>A</v>
      </c>
      <c r="V493" s="436" t="str">
        <f t="shared" si="516"/>
        <v>F</v>
      </c>
      <c r="W493" s="436" t="str">
        <f t="shared" si="516"/>
        <v>E</v>
      </c>
      <c r="X493" s="436" t="str">
        <f t="shared" si="516"/>
        <v>K</v>
      </c>
      <c r="Y493" s="446">
        <f t="shared" ca="1" si="280"/>
        <v>5</v>
      </c>
    </row>
    <row r="494" spans="1:25" ht="14.25" customHeight="1" x14ac:dyDescent="0.25">
      <c r="A494" s="379" t="s">
        <v>829</v>
      </c>
      <c r="F494" s="379">
        <v>493</v>
      </c>
      <c r="G494" s="379" t="s">
        <v>339</v>
      </c>
      <c r="H494" s="379" t="s">
        <v>330</v>
      </c>
      <c r="I494" s="379" t="s">
        <v>337</v>
      </c>
      <c r="J494" s="379" t="s">
        <v>336</v>
      </c>
      <c r="K494" s="379" t="s">
        <v>334</v>
      </c>
      <c r="L494" s="379" t="s">
        <v>328</v>
      </c>
      <c r="M494" s="379" t="s">
        <v>325</v>
      </c>
      <c r="N494" s="379" t="s">
        <v>326</v>
      </c>
      <c r="P494" s="379">
        <f t="shared" si="278"/>
        <v>493</v>
      </c>
      <c r="Q494" s="445" t="str">
        <f t="shared" ref="Q494:X494" si="517">+RIGHT(G494,1)</f>
        <v>C</v>
      </c>
      <c r="R494" s="436" t="str">
        <f t="shared" si="517"/>
        <v>G</v>
      </c>
      <c r="S494" s="436" t="str">
        <f t="shared" si="517"/>
        <v>B</v>
      </c>
      <c r="T494" s="436" t="str">
        <f t="shared" si="517"/>
        <v>D</v>
      </c>
      <c r="U494" s="436" t="str">
        <f t="shared" si="517"/>
        <v>A</v>
      </c>
      <c r="V494" s="436" t="str">
        <f t="shared" si="517"/>
        <v>F</v>
      </c>
      <c r="W494" s="436" t="str">
        <f t="shared" si="517"/>
        <v>E</v>
      </c>
      <c r="X494" s="436" t="str">
        <f t="shared" si="517"/>
        <v>J</v>
      </c>
      <c r="Y494" s="446">
        <f t="shared" ca="1" si="280"/>
        <v>5</v>
      </c>
    </row>
    <row r="495" spans="1:25" ht="14.25" customHeight="1" x14ac:dyDescent="0.25">
      <c r="A495" s="379" t="s">
        <v>830</v>
      </c>
      <c r="F495" s="379">
        <v>494</v>
      </c>
      <c r="G495" s="379" t="s">
        <v>339</v>
      </c>
      <c r="H495" s="379" t="s">
        <v>330</v>
      </c>
      <c r="I495" s="379" t="s">
        <v>337</v>
      </c>
      <c r="J495" s="379" t="s">
        <v>336</v>
      </c>
      <c r="K495" s="379" t="s">
        <v>334</v>
      </c>
      <c r="L495" s="379" t="s">
        <v>328</v>
      </c>
      <c r="M495" s="379" t="s">
        <v>325</v>
      </c>
      <c r="N495" s="379" t="s">
        <v>327</v>
      </c>
      <c r="P495" s="379">
        <f t="shared" si="278"/>
        <v>494</v>
      </c>
      <c r="Q495" s="445" t="str">
        <f t="shared" ref="Q495:X495" si="518">+RIGHT(G495,1)</f>
        <v>C</v>
      </c>
      <c r="R495" s="436" t="str">
        <f t="shared" si="518"/>
        <v>G</v>
      </c>
      <c r="S495" s="436" t="str">
        <f t="shared" si="518"/>
        <v>B</v>
      </c>
      <c r="T495" s="436" t="str">
        <f t="shared" si="518"/>
        <v>D</v>
      </c>
      <c r="U495" s="436" t="str">
        <f t="shared" si="518"/>
        <v>A</v>
      </c>
      <c r="V495" s="436" t="str">
        <f t="shared" si="518"/>
        <v>F</v>
      </c>
      <c r="W495" s="436" t="str">
        <f t="shared" si="518"/>
        <v>E</v>
      </c>
      <c r="X495" s="436" t="str">
        <f t="shared" si="518"/>
        <v>I</v>
      </c>
      <c r="Y495" s="446">
        <f t="shared" ca="1" si="280"/>
        <v>6</v>
      </c>
    </row>
    <row r="496" spans="1:25" ht="14.25" customHeight="1" x14ac:dyDescent="0.25">
      <c r="A496" s="379" t="s">
        <v>831</v>
      </c>
      <c r="F496" s="379">
        <v>495</v>
      </c>
      <c r="G496" s="379" t="s">
        <v>329</v>
      </c>
      <c r="H496" s="379" t="s">
        <v>330</v>
      </c>
      <c r="I496" s="379" t="s">
        <v>337</v>
      </c>
      <c r="J496" s="379" t="s">
        <v>339</v>
      </c>
      <c r="K496" s="379" t="s">
        <v>334</v>
      </c>
      <c r="L496" s="379" t="s">
        <v>328</v>
      </c>
      <c r="M496" s="379" t="s">
        <v>336</v>
      </c>
      <c r="N496" s="379" t="s">
        <v>325</v>
      </c>
      <c r="P496" s="379">
        <f t="shared" si="278"/>
        <v>495</v>
      </c>
      <c r="Q496" s="445" t="str">
        <f t="shared" ref="Q496:X496" si="519">+RIGHT(G496,1)</f>
        <v>H</v>
      </c>
      <c r="R496" s="436" t="str">
        <f t="shared" si="519"/>
        <v>G</v>
      </c>
      <c r="S496" s="436" t="str">
        <f t="shared" si="519"/>
        <v>B</v>
      </c>
      <c r="T496" s="436" t="str">
        <f t="shared" si="519"/>
        <v>C</v>
      </c>
      <c r="U496" s="436" t="str">
        <f t="shared" si="519"/>
        <v>A</v>
      </c>
      <c r="V496" s="436" t="str">
        <f t="shared" si="519"/>
        <v>F</v>
      </c>
      <c r="W496" s="436" t="str">
        <f t="shared" si="519"/>
        <v>D</v>
      </c>
      <c r="X496" s="436" t="str">
        <f t="shared" si="519"/>
        <v>E</v>
      </c>
      <c r="Y496" s="446">
        <f t="shared" ca="1" si="280"/>
        <v>6</v>
      </c>
    </row>
  </sheetData>
  <conditionalFormatting sqref="Y2:Y496">
    <cfRule type="cellIs" dxfId="1" priority="1" operator="equal">
      <formula>8</formula>
    </cfRule>
  </conditionalFormatting>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S51"/>
  <sheetViews>
    <sheetView topLeftCell="AP1" workbookViewId="0">
      <pane ySplit="3" topLeftCell="A4" activePane="bottomLeft" state="frozen"/>
      <selection pane="bottomLeft" activeCell="AX23" sqref="AX23"/>
    </sheetView>
  </sheetViews>
  <sheetFormatPr defaultColWidth="12.59765625" defaultRowHeight="15" customHeight="1" x14ac:dyDescent="0.25"/>
  <cols>
    <col min="1" max="6" width="8.59765625" customWidth="1"/>
    <col min="7" max="7" width="2.8984375" customWidth="1"/>
    <col min="8" max="8" width="13.59765625" customWidth="1"/>
    <col min="9" max="15" width="10.19921875" customWidth="1"/>
    <col min="16" max="16" width="12.19921875" customWidth="1"/>
    <col min="17" max="23" width="8.59765625" customWidth="1"/>
    <col min="24" max="26" width="12.59765625" customWidth="1"/>
    <col min="27" max="27" width="13.8984375" customWidth="1"/>
    <col min="28" max="41" width="8.59765625" customWidth="1"/>
    <col min="42" max="42" width="11.8984375" customWidth="1"/>
    <col min="43" max="43" width="13.8984375" customWidth="1"/>
    <col min="44" max="45" width="9" customWidth="1"/>
    <col min="46" max="46" width="10.3984375" customWidth="1"/>
    <col min="47" max="48" width="8.59765625" customWidth="1"/>
    <col min="49" max="49" width="11.69921875" customWidth="1"/>
    <col min="50" max="50" width="9.8984375" customWidth="1"/>
    <col min="51" max="51" width="13.8984375" customWidth="1"/>
    <col min="52" max="52" width="11.19921875" customWidth="1"/>
    <col min="53" max="53" width="13.8984375" customWidth="1"/>
    <col min="54" max="54" width="9.09765625" customWidth="1"/>
    <col min="55" max="55" width="13.8984375" customWidth="1"/>
    <col min="56" max="56" width="14.19921875" customWidth="1"/>
    <col min="57" max="57" width="13.5" customWidth="1"/>
    <col min="58" max="58" width="12.3984375" customWidth="1"/>
    <col min="59" max="59" width="13.8984375" customWidth="1"/>
    <col min="60" max="60" width="8.59765625" customWidth="1"/>
    <col min="61" max="61" width="13.8984375" customWidth="1"/>
    <col min="62" max="71" width="8.59765625" customWidth="1"/>
  </cols>
  <sheetData>
    <row r="1" spans="1:71" ht="14.25" customHeight="1" x14ac:dyDescent="0.25">
      <c r="I1" s="450">
        <v>1000000</v>
      </c>
      <c r="J1" s="450">
        <v>100000</v>
      </c>
      <c r="K1" s="450">
        <v>10000</v>
      </c>
      <c r="L1" s="450">
        <v>1000</v>
      </c>
      <c r="M1" s="450">
        <v>100</v>
      </c>
      <c r="N1" s="450">
        <v>10</v>
      </c>
      <c r="O1" s="450">
        <v>1</v>
      </c>
      <c r="AP1" s="451"/>
      <c r="AR1" s="436"/>
      <c r="AS1" s="436"/>
      <c r="AT1" s="450"/>
      <c r="BI1" s="379" t="s">
        <v>832</v>
      </c>
    </row>
    <row r="2" spans="1:71" ht="14.25" customHeight="1" x14ac:dyDescent="0.25">
      <c r="I2" s="436">
        <v>2</v>
      </c>
      <c r="J2" s="436">
        <v>2</v>
      </c>
      <c r="K2" s="436">
        <v>1</v>
      </c>
      <c r="L2" s="436">
        <v>1</v>
      </c>
      <c r="M2" s="436">
        <v>1</v>
      </c>
      <c r="N2" s="436">
        <v>1</v>
      </c>
      <c r="O2" s="436">
        <v>1</v>
      </c>
      <c r="AP2" s="451"/>
      <c r="AR2" s="436"/>
      <c r="AS2" s="436"/>
      <c r="AT2" s="450"/>
      <c r="AY2" s="450">
        <f>+M1</f>
        <v>100</v>
      </c>
      <c r="AZ2" s="450">
        <f>+L1</f>
        <v>1000</v>
      </c>
      <c r="BA2" s="450">
        <f>+K1</f>
        <v>10000</v>
      </c>
      <c r="BB2" s="450">
        <f>+J1</f>
        <v>100000</v>
      </c>
      <c r="BC2" s="450">
        <f>+I1</f>
        <v>1000000</v>
      </c>
      <c r="BH2" s="452"/>
      <c r="BI2" s="452"/>
      <c r="BJ2" s="452"/>
    </row>
    <row r="3" spans="1:71" ht="14.25" customHeight="1" x14ac:dyDescent="0.25">
      <c r="A3" s="379">
        <v>1</v>
      </c>
      <c r="C3" s="379" t="s">
        <v>833</v>
      </c>
      <c r="G3" s="389"/>
      <c r="H3" s="437" t="s">
        <v>45</v>
      </c>
      <c r="I3" s="439" t="s">
        <v>20</v>
      </c>
      <c r="J3" s="439" t="s">
        <v>16</v>
      </c>
      <c r="K3" s="439" t="s">
        <v>834</v>
      </c>
      <c r="L3" s="439" t="s">
        <v>835</v>
      </c>
      <c r="M3" s="439" t="s">
        <v>14</v>
      </c>
      <c r="N3" s="439" t="s">
        <v>12</v>
      </c>
      <c r="O3" s="439" t="s">
        <v>9</v>
      </c>
      <c r="P3" s="439" t="s">
        <v>836</v>
      </c>
      <c r="Q3" s="453" t="s">
        <v>104</v>
      </c>
      <c r="R3" s="453" t="s">
        <v>105</v>
      </c>
      <c r="S3" s="453" t="s">
        <v>106</v>
      </c>
      <c r="T3" s="453" t="s">
        <v>837</v>
      </c>
      <c r="U3" s="453" t="s">
        <v>108</v>
      </c>
      <c r="V3" s="453" t="s">
        <v>109</v>
      </c>
      <c r="W3" s="453" t="s">
        <v>0</v>
      </c>
      <c r="X3" s="453" t="s">
        <v>838</v>
      </c>
      <c r="Y3" s="453" t="s">
        <v>46</v>
      </c>
      <c r="Z3" s="453" t="s">
        <v>839</v>
      </c>
      <c r="AA3" s="453" t="s">
        <v>44</v>
      </c>
      <c r="AB3" s="453"/>
      <c r="AC3" s="436" t="s">
        <v>20</v>
      </c>
      <c r="AD3" s="379" t="s">
        <v>16</v>
      </c>
      <c r="AE3" s="379" t="s">
        <v>18</v>
      </c>
      <c r="AF3" s="379" t="s">
        <v>295</v>
      </c>
      <c r="AG3" s="379" t="s">
        <v>14</v>
      </c>
      <c r="AH3" s="379" t="s">
        <v>12</v>
      </c>
      <c r="AI3" s="379" t="s">
        <v>9</v>
      </c>
      <c r="AP3" s="451" t="s">
        <v>44</v>
      </c>
      <c r="AQ3" s="379" t="s">
        <v>45</v>
      </c>
      <c r="AR3" s="436" t="s">
        <v>46</v>
      </c>
      <c r="AS3" s="436" t="s">
        <v>840</v>
      </c>
      <c r="AT3" s="450" t="s">
        <v>841</v>
      </c>
      <c r="AU3" s="436" t="s">
        <v>292</v>
      </c>
      <c r="AV3" s="436"/>
      <c r="AW3" s="436" t="s">
        <v>46</v>
      </c>
      <c r="AX3" s="436" t="s">
        <v>842</v>
      </c>
      <c r="AY3" s="436" t="s">
        <v>14</v>
      </c>
      <c r="AZ3" s="436" t="s">
        <v>843</v>
      </c>
      <c r="BA3" s="436" t="s">
        <v>844</v>
      </c>
      <c r="BB3" s="436" t="s">
        <v>845</v>
      </c>
      <c r="BC3" s="436" t="s">
        <v>846</v>
      </c>
      <c r="BD3" s="436" t="s">
        <v>847</v>
      </c>
      <c r="BE3" s="436" t="s">
        <v>0</v>
      </c>
      <c r="BF3" s="436" t="s">
        <v>848</v>
      </c>
      <c r="BH3" s="389"/>
      <c r="BI3" s="437" t="s">
        <v>45</v>
      </c>
      <c r="BJ3" s="453" t="s">
        <v>104</v>
      </c>
      <c r="BK3" s="453" t="s">
        <v>105</v>
      </c>
      <c r="BL3" s="453" t="s">
        <v>106</v>
      </c>
      <c r="BM3" s="453" t="s">
        <v>837</v>
      </c>
      <c r="BN3" s="453" t="s">
        <v>108</v>
      </c>
      <c r="BO3" s="453" t="s">
        <v>109</v>
      </c>
      <c r="BP3" s="453" t="s">
        <v>0</v>
      </c>
    </row>
    <row r="4" spans="1:71" ht="14.25" customHeight="1" x14ac:dyDescent="0.25">
      <c r="A4" s="379">
        <v>2</v>
      </c>
      <c r="C4" s="379" t="s">
        <v>849</v>
      </c>
      <c r="G4" s="379">
        <v>1</v>
      </c>
      <c r="H4" s="379" t="str">
        <f>+'Groups Stage'!O3</f>
        <v>Mexico</v>
      </c>
      <c r="I4" s="436">
        <f t="shared" ref="I4:O4" ca="1" si="0">+IF(COUNTIF(AC:AC,$H4)&gt;0,I$2,0)</f>
        <v>0</v>
      </c>
      <c r="J4" s="436">
        <f t="shared" ca="1" si="0"/>
        <v>0</v>
      </c>
      <c r="K4" s="436">
        <f t="shared" ca="1" si="0"/>
        <v>0</v>
      </c>
      <c r="L4" s="436">
        <f t="shared" ca="1" si="0"/>
        <v>0</v>
      </c>
      <c r="M4" s="436">
        <f t="shared" ca="1" si="0"/>
        <v>0</v>
      </c>
      <c r="N4" s="436">
        <f t="shared" ca="1" si="0"/>
        <v>1</v>
      </c>
      <c r="O4" s="436">
        <f t="shared" ca="1" si="0"/>
        <v>1</v>
      </c>
      <c r="P4" s="436">
        <f t="shared" ref="P4:P51" ca="1" si="1">+SUM(I4:O4)</f>
        <v>2</v>
      </c>
      <c r="Q4" s="436">
        <f ca="1">+COUNTIFS('Inputs summary'!I:I,$H4)</f>
        <v>3</v>
      </c>
      <c r="R4" s="436">
        <f ca="1">+COUNTIFS('Inputs summary'!J:K,$H4)</f>
        <v>1</v>
      </c>
      <c r="S4" s="436">
        <f ca="1">+COUNTIFS('Inputs summary'!L:L,$H4)</f>
        <v>1</v>
      </c>
      <c r="T4" s="436">
        <f t="shared" ref="T4:T51" ca="1" si="2">+U4-V4</f>
        <v>3</v>
      </c>
      <c r="U4" s="436">
        <f ca="1">+SUMIF('Inputs summary'!B:B,H4,'Inputs summary'!C:C)+SUMIF('Inputs summary'!E:E,H4,'Inputs summary'!D:D)</f>
        <v>8</v>
      </c>
      <c r="V4" s="436">
        <f ca="1">+SUMIF('Inputs summary'!B:B,H4,'Inputs summary'!D:D)+SUMIF('Inputs summary'!E:E,H4,'Inputs summary'!C:C)</f>
        <v>5</v>
      </c>
      <c r="W4" s="454">
        <f t="shared" ref="W4:W51" ca="1" si="3">+P4*100+Q4*3+R4+T4/100+U4/10000+(1/AA4)/100000000</f>
        <v>210.03080000066666</v>
      </c>
      <c r="X4" s="455">
        <f t="shared" ref="X4:X51" ca="1" si="4">+SUMPRODUCT(I4:O4,$I$1:$O$1)</f>
        <v>11</v>
      </c>
      <c r="Y4" s="456">
        <f t="shared" ref="Y4:Y51" si="5">+_xlfn.XLOOKUP(H4,AQ:AQ,AR:AR,"-",0)</f>
        <v>2</v>
      </c>
      <c r="Z4" s="455">
        <f t="shared" ref="Z4:Z51" ca="1" si="6">+W4+(1/Y4)*0.000001</f>
        <v>210.03080050066666</v>
      </c>
      <c r="AA4" s="455">
        <f>+_xlfn.XLOOKUP(H4,'Ranking FIFA'!B:B,'Ranking FIFA'!A:A,"--",0)</f>
        <v>15</v>
      </c>
      <c r="AC4" s="379" t="str">
        <f ca="1">+'Quarter, Semis &amp; Final'!P8</f>
        <v>Argentina</v>
      </c>
      <c r="AD4" s="379" t="str">
        <f ca="1">+'Quarter, Semis &amp; Final'!P4</f>
        <v>Francia</v>
      </c>
      <c r="AE4" s="379" t="str">
        <f ca="1">+'Quarter, Semis &amp; Final'!P15</f>
        <v>España</v>
      </c>
      <c r="AF4" s="379" t="str">
        <f ca="1">+'Quarter, Semis &amp; Final'!B19</f>
        <v>Francia</v>
      </c>
      <c r="AG4" s="379" t="str">
        <f ca="1">+'Quarter, Semis &amp; Final'!B5</f>
        <v>Francia</v>
      </c>
      <c r="AH4" s="379" t="str">
        <f ca="1">+'Round of 32 &amp; Round of 16'!P5</f>
        <v>Alemania</v>
      </c>
      <c r="AI4" s="379" t="str">
        <f ca="1">+'Round of 32 &amp; Round of 16'!B5</f>
        <v>Corea del Sur</v>
      </c>
      <c r="AP4" s="451">
        <f>+_xlfn.XLOOKUP(AQ4,'Ranking FIFA'!B:B,'Ranking FIFA'!A:A,"--",0)</f>
        <v>1</v>
      </c>
      <c r="AQ4" s="379" t="s">
        <v>48</v>
      </c>
      <c r="AR4" s="436">
        <v>1</v>
      </c>
      <c r="AS4" s="436">
        <v>1</v>
      </c>
      <c r="AT4" s="450">
        <f t="shared" ref="AT4:AT51" ca="1" si="7">+SUMIF($H$4:$H$51,AQ4,$X$4:$X$51)</f>
        <v>201111</v>
      </c>
      <c r="AU4" s="457">
        <f t="shared" ref="AU4:AU51" ca="1" si="8">+SUMIF($H$4:$H$51,AQ4,$W$4:$W$51)</f>
        <v>621.12200000999997</v>
      </c>
      <c r="AW4" s="436">
        <v>2</v>
      </c>
      <c r="AX4" s="450">
        <f ca="1">+_xlfn.MAXIFS(AT:AT,AR:AR,AW4)</f>
        <v>11</v>
      </c>
      <c r="AY4" s="436">
        <f t="shared" ref="AY4:BC4" ca="1" si="9">+IF($AX4&gt;AY$2,1,0)</f>
        <v>0</v>
      </c>
      <c r="AZ4" s="436">
        <f t="shared" ca="1" si="9"/>
        <v>0</v>
      </c>
      <c r="BA4" s="436">
        <f t="shared" ca="1" si="9"/>
        <v>0</v>
      </c>
      <c r="BB4" s="436">
        <f t="shared" ca="1" si="9"/>
        <v>0</v>
      </c>
      <c r="BC4" s="436">
        <f t="shared" ca="1" si="9"/>
        <v>0</v>
      </c>
      <c r="BD4" s="436" t="str">
        <f ca="1">+_xlfn.XLOOKUP(BE4,W:W,H:H)</f>
        <v>Suiza</v>
      </c>
      <c r="BE4" s="457">
        <f ca="1">+_xlfn.MAXIFS(W:W,Y:Y,AW4)</f>
        <v>210.05080000052632</v>
      </c>
      <c r="BF4" s="452">
        <f ca="1">+IF(AZ4&gt;0,AX4,0)</f>
        <v>0</v>
      </c>
      <c r="BH4" s="379">
        <v>1</v>
      </c>
      <c r="BI4" s="379" t="str">
        <f t="shared" ref="BI4:BI51" si="10">+H4</f>
        <v>Mexico</v>
      </c>
      <c r="BJ4" s="436">
        <f>+COUNTIFS('Inputs summary'!I$2:I$106,BI4)</f>
        <v>2</v>
      </c>
      <c r="BK4" s="436">
        <f>+COUNTIFS('Inputs summary'!J$2:K$106,BI4)</f>
        <v>1</v>
      </c>
      <c r="BL4" s="436">
        <f>+COUNTIFS('Inputs summary'!L$2:L$106,BI4)</f>
        <v>0</v>
      </c>
      <c r="BM4" s="436">
        <f t="shared" ref="BM4:BM51" si="11">+BN4-BO4</f>
        <v>3</v>
      </c>
      <c r="BN4" s="436">
        <f>+SUMIF('Inputs summary'!$B$1:$B$106,$BI4,'Inputs summary'!$C$1:$C$106)+SUMIF('Inputs summary'!$E$1:$E$106,$BI4,'Inputs summary'!$D$1:$D$106)</f>
        <v>5</v>
      </c>
      <c r="BO4" s="436">
        <f>+SUMIF('Inputs summary'!$B$1:$B$106,$BI4,'Inputs summary'!$D$1:$D$106)+SUMIF('Inputs summary'!$E$1:$E$106,$BI4,'Inputs summary'!$C$1:$C$106)</f>
        <v>2</v>
      </c>
      <c r="BP4" s="457">
        <f t="shared" ref="BP4:BP51" si="12">+BJ4*3+BK4*2+BM4/100+BN4/1000+Y4/100000+AA4/10000000</f>
        <v>8.0350214999999992</v>
      </c>
      <c r="BR4" s="379">
        <f>+LARGE(BP4:BP51,1)</f>
        <v>9.0770109999999988</v>
      </c>
      <c r="BS4" s="458" t="str">
        <f>+_xlfn.XLOOKUP(BR4,$BP$4:$BP$51,$BI$4:$BI$51,"-",0)</f>
        <v>Alemania</v>
      </c>
    </row>
    <row r="5" spans="1:71" ht="14.25" customHeight="1" x14ac:dyDescent="0.25">
      <c r="A5" s="379">
        <v>3</v>
      </c>
      <c r="C5" s="379" t="s">
        <v>116</v>
      </c>
      <c r="G5" s="379">
        <v>2</v>
      </c>
      <c r="H5" s="379" t="str">
        <f>+'Groups Stage'!O4</f>
        <v>Sudafrica</v>
      </c>
      <c r="I5" s="436">
        <f t="shared" ref="I5:O5" ca="1" si="13">+IF(COUNTIF(AC:AC,$H5)&gt;0,I$2,0)</f>
        <v>0</v>
      </c>
      <c r="J5" s="436">
        <f t="shared" ca="1" si="13"/>
        <v>0</v>
      </c>
      <c r="K5" s="436">
        <f t="shared" ca="1" si="13"/>
        <v>0</v>
      </c>
      <c r="L5" s="436">
        <f t="shared" ca="1" si="13"/>
        <v>0</v>
      </c>
      <c r="M5" s="436">
        <f t="shared" ca="1" si="13"/>
        <v>0</v>
      </c>
      <c r="N5" s="436">
        <f t="shared" ca="1" si="13"/>
        <v>0</v>
      </c>
      <c r="O5" s="436">
        <f t="shared" ca="1" si="13"/>
        <v>0</v>
      </c>
      <c r="P5" s="436">
        <f t="shared" ca="1" si="1"/>
        <v>0</v>
      </c>
      <c r="Q5" s="436">
        <f ca="1">+COUNTIFS('Inputs summary'!I:I,$H5)</f>
        <v>0</v>
      </c>
      <c r="R5" s="436">
        <f ca="1">+COUNTIFS('Inputs summary'!J:K,$H5)</f>
        <v>0</v>
      </c>
      <c r="S5" s="436">
        <f ca="1">+COUNTIFS('Inputs summary'!L:L,$H5)</f>
        <v>3</v>
      </c>
      <c r="T5" s="436">
        <f t="shared" ca="1" si="2"/>
        <v>-4</v>
      </c>
      <c r="U5" s="436">
        <f ca="1">+SUMIF('Inputs summary'!B:B,H5,'Inputs summary'!C:C)+SUMIF('Inputs summary'!E:E,H5,'Inputs summary'!D:D)</f>
        <v>0</v>
      </c>
      <c r="V5" s="436">
        <f ca="1">+SUMIF('Inputs summary'!B:B,H5,'Inputs summary'!D:D)+SUMIF('Inputs summary'!E:E,H5,'Inputs summary'!C:C)</f>
        <v>4</v>
      </c>
      <c r="W5" s="454">
        <f t="shared" ca="1" si="3"/>
        <v>-3.9999999833333334E-2</v>
      </c>
      <c r="X5" s="455">
        <f t="shared" ca="1" si="4"/>
        <v>0</v>
      </c>
      <c r="Y5" s="456">
        <f t="shared" si="5"/>
        <v>3</v>
      </c>
      <c r="Z5" s="455">
        <f t="shared" ca="1" si="6"/>
        <v>-3.9999666500000003E-2</v>
      </c>
      <c r="AA5" s="455">
        <f>+_xlfn.XLOOKUP(H5,'Ranking FIFA'!B:B,'Ranking FIFA'!A:A,"--",0)</f>
        <v>60</v>
      </c>
      <c r="AD5" s="379" t="str">
        <f ca="1">+'Quarter, Semis &amp; Final'!S4</f>
        <v>Argentina</v>
      </c>
      <c r="AF5" s="379" t="str">
        <f ca="1">+'Quarter, Semis &amp; Final'!E19</f>
        <v>España</v>
      </c>
      <c r="AG5" s="379" t="str">
        <f ca="1">+'Quarter, Semis &amp; Final'!E5</f>
        <v>Paises Bajos</v>
      </c>
      <c r="AH5" s="379" t="str">
        <f ca="1">+'Round of 32 &amp; Round of 16'!S5</f>
        <v>Francia</v>
      </c>
      <c r="AI5" s="379" t="str">
        <f ca="1">+'Round of 32 &amp; Round of 16'!E5</f>
        <v>Bosnia</v>
      </c>
      <c r="AP5" s="451">
        <f>+_xlfn.XLOOKUP(AQ5,'Ranking FIFA'!B:B,'Ranking FIFA'!A:A,"--",0)</f>
        <v>2</v>
      </c>
      <c r="AQ5" s="379" t="s">
        <v>49</v>
      </c>
      <c r="AR5" s="436">
        <v>1</v>
      </c>
      <c r="AS5" s="436">
        <v>1</v>
      </c>
      <c r="AT5" s="450">
        <f t="shared" ca="1" si="7"/>
        <v>11111</v>
      </c>
      <c r="AU5" s="457">
        <f t="shared" ca="1" si="8"/>
        <v>519.09180000499998</v>
      </c>
      <c r="AW5" s="436">
        <v>3</v>
      </c>
      <c r="AX5" s="450">
        <f ca="1">+_xlfn.MAXIFS(AT:AT,AR:AR,AW5)</f>
        <v>11</v>
      </c>
      <c r="AY5" s="436">
        <f t="shared" ref="AY5:BC5" ca="1" si="14">+IF($AX5&gt;AY$2,1,0)</f>
        <v>0</v>
      </c>
      <c r="AZ5" s="436">
        <f t="shared" ca="1" si="14"/>
        <v>0</v>
      </c>
      <c r="BA5" s="436">
        <f t="shared" ca="1" si="14"/>
        <v>0</v>
      </c>
      <c r="BB5" s="436">
        <f t="shared" ca="1" si="14"/>
        <v>0</v>
      </c>
      <c r="BC5" s="436">
        <f t="shared" ca="1" si="14"/>
        <v>0</v>
      </c>
      <c r="BD5" s="436" t="str">
        <f ca="1">+_xlfn.XLOOKUP(BE5,W:W,H:H)</f>
        <v>Iran</v>
      </c>
      <c r="BE5" s="457">
        <f ca="1">+_xlfn.MAXIFS(W:W,Y:Y,AW5)</f>
        <v>209.02070000047618</v>
      </c>
      <c r="BF5" s="452">
        <f ca="1">+IF(AY5&gt;0,AX5,0)*1</f>
        <v>0</v>
      </c>
      <c r="BH5" s="379">
        <v>2</v>
      </c>
      <c r="BI5" s="379" t="str">
        <f t="shared" si="10"/>
        <v>Sudafrica</v>
      </c>
      <c r="BJ5" s="436">
        <f>+COUNTIFS('Inputs summary'!I$2:I$106,BI5)</f>
        <v>0</v>
      </c>
      <c r="BK5" s="436">
        <f>+COUNTIFS('Inputs summary'!J$2:K$106,BI5)</f>
        <v>0</v>
      </c>
      <c r="BL5" s="436">
        <f>+COUNTIFS('Inputs summary'!L$2:L$106,BI5)</f>
        <v>3</v>
      </c>
      <c r="BM5" s="436">
        <f t="shared" si="11"/>
        <v>-4</v>
      </c>
      <c r="BN5" s="436">
        <f>+SUMIF('Inputs summary'!$B$1:$B$106,$BI5,'Inputs summary'!$C$1:$C$106)+SUMIF('Inputs summary'!$E$1:$E$106,$BI5,'Inputs summary'!$D$1:$D$106)</f>
        <v>0</v>
      </c>
      <c r="BO5" s="436">
        <f>+SUMIF('Inputs summary'!$B$1:$B$106,$BI5,'Inputs summary'!$D$1:$D$106)+SUMIF('Inputs summary'!$E$1:$E$106,$BI5,'Inputs summary'!$C$1:$C$106)</f>
        <v>4</v>
      </c>
      <c r="BP5" s="457">
        <f t="shared" si="12"/>
        <v>-3.9964E-2</v>
      </c>
    </row>
    <row r="6" spans="1:71" ht="14.25" customHeight="1" x14ac:dyDescent="0.25">
      <c r="A6" s="379">
        <v>4</v>
      </c>
      <c r="G6" s="379">
        <v>3</v>
      </c>
      <c r="H6" s="379" t="str">
        <f>+'Groups Stage'!O5</f>
        <v>Corea del Sur</v>
      </c>
      <c r="I6" s="436">
        <f t="shared" ref="I6:O6" ca="1" si="15">+IF(COUNTIF(AC:AC,$H6)&gt;0,I$2,0)</f>
        <v>0</v>
      </c>
      <c r="J6" s="436">
        <f t="shared" ca="1" si="15"/>
        <v>0</v>
      </c>
      <c r="K6" s="436">
        <f t="shared" ca="1" si="15"/>
        <v>0</v>
      </c>
      <c r="L6" s="436">
        <f t="shared" ca="1" si="15"/>
        <v>0</v>
      </c>
      <c r="M6" s="436">
        <f t="shared" ca="1" si="15"/>
        <v>0</v>
      </c>
      <c r="N6" s="436">
        <f t="shared" ca="1" si="15"/>
        <v>1</v>
      </c>
      <c r="O6" s="436">
        <f t="shared" ca="1" si="15"/>
        <v>1</v>
      </c>
      <c r="P6" s="436">
        <f t="shared" ca="1" si="1"/>
        <v>2</v>
      </c>
      <c r="Q6" s="436">
        <f ca="1">+COUNTIFS('Inputs summary'!I:I,$H6)</f>
        <v>2</v>
      </c>
      <c r="R6" s="436">
        <f ca="1">+COUNTIFS('Inputs summary'!J:K,$H6)</f>
        <v>1</v>
      </c>
      <c r="S6" s="436">
        <f ca="1">+COUNTIFS('Inputs summary'!L:L,$H6)</f>
        <v>2</v>
      </c>
      <c r="T6" s="436">
        <f t="shared" ca="1" si="2"/>
        <v>-1</v>
      </c>
      <c r="U6" s="436">
        <f ca="1">+SUMIF('Inputs summary'!B:B,H6,'Inputs summary'!C:C)+SUMIF('Inputs summary'!E:E,H6,'Inputs summary'!D:D)</f>
        <v>6</v>
      </c>
      <c r="V6" s="436">
        <f ca="1">+SUMIF('Inputs summary'!B:B,H6,'Inputs summary'!D:D)+SUMIF('Inputs summary'!E:E,H6,'Inputs summary'!C:C)</f>
        <v>7</v>
      </c>
      <c r="W6" s="454">
        <f t="shared" ca="1" si="3"/>
        <v>206.99060000040001</v>
      </c>
      <c r="X6" s="455">
        <f t="shared" ca="1" si="4"/>
        <v>11</v>
      </c>
      <c r="Y6" s="456">
        <f t="shared" si="5"/>
        <v>2</v>
      </c>
      <c r="Z6" s="455">
        <f t="shared" ca="1" si="6"/>
        <v>206.99060050040001</v>
      </c>
      <c r="AA6" s="455">
        <f>+_xlfn.XLOOKUP(H6,'Ranking FIFA'!B:B,'Ranking FIFA'!A:A,"--",0)</f>
        <v>25</v>
      </c>
      <c r="AF6" s="379" t="str">
        <f ca="1">+'Quarter, Semis &amp; Final'!H19</f>
        <v>Brasil</v>
      </c>
      <c r="AG6" s="379" t="str">
        <f ca="1">+'Quarter, Semis &amp; Final'!B9</f>
        <v>España</v>
      </c>
      <c r="AH6" s="379" t="str">
        <f ca="1">+'Round of 32 &amp; Round of 16'!P13</f>
        <v>Corea del Sur</v>
      </c>
      <c r="AI6" s="379" t="str">
        <f ca="1">+'Round of 32 &amp; Round of 16'!B9</f>
        <v>Alemania</v>
      </c>
      <c r="AP6" s="451">
        <f>+_xlfn.XLOOKUP(AQ6,'Ranking FIFA'!B:B,'Ranking FIFA'!A:A,"--",0)</f>
        <v>3</v>
      </c>
      <c r="AQ6" s="379" t="s">
        <v>50</v>
      </c>
      <c r="AR6" s="436">
        <v>1</v>
      </c>
      <c r="AS6" s="436">
        <v>1</v>
      </c>
      <c r="AT6" s="450">
        <f t="shared" ca="1" si="7"/>
        <v>2201111</v>
      </c>
      <c r="AU6" s="457">
        <f t="shared" ca="1" si="8"/>
        <v>822.1019000033333</v>
      </c>
      <c r="AW6" s="459">
        <v>4</v>
      </c>
      <c r="AX6" s="460">
        <f ca="1">+_xlfn.MAXIFS(AT:AT,AR:AR,AW6)</f>
        <v>1</v>
      </c>
      <c r="AY6" s="459">
        <f t="shared" ref="AY6:BC6" ca="1" si="16">+IF($AX6&gt;AY$2,1,0)</f>
        <v>0</v>
      </c>
      <c r="AZ6" s="459">
        <f t="shared" ca="1" si="16"/>
        <v>0</v>
      </c>
      <c r="BA6" s="459">
        <f t="shared" ca="1" si="16"/>
        <v>0</v>
      </c>
      <c r="BB6" s="459">
        <f t="shared" ca="1" si="16"/>
        <v>0</v>
      </c>
      <c r="BC6" s="459">
        <f t="shared" ca="1" si="16"/>
        <v>0</v>
      </c>
      <c r="BD6" s="459" t="str">
        <f ca="1">+_xlfn.XLOOKUP(BE6,W:W,H:H)</f>
        <v>Nueva Zelanda</v>
      </c>
      <c r="BE6" s="461">
        <f ca="1">+_xlfn.MAXIFS(W:W,Y:Y,AW6)</f>
        <v>102.96010000011765</v>
      </c>
      <c r="BF6" s="462">
        <f ca="1">+IF(AY6&gt;0,AX6,0)*2</f>
        <v>0</v>
      </c>
      <c r="BH6" s="379">
        <v>3</v>
      </c>
      <c r="BI6" s="379" t="str">
        <f t="shared" si="10"/>
        <v>Corea del Sur</v>
      </c>
      <c r="BJ6" s="436">
        <f>+COUNTIFS('Inputs summary'!I$2:I$106,BI6)</f>
        <v>2</v>
      </c>
      <c r="BK6" s="436">
        <f>+COUNTIFS('Inputs summary'!J$2:K$106,BI6)</f>
        <v>0</v>
      </c>
      <c r="BL6" s="436">
        <f>+COUNTIFS('Inputs summary'!L$2:L$106,BI6)</f>
        <v>1</v>
      </c>
      <c r="BM6" s="436">
        <f t="shared" si="11"/>
        <v>1</v>
      </c>
      <c r="BN6" s="436">
        <f>+SUMIF('Inputs summary'!$B$1:$B$106,$BI6,'Inputs summary'!$C$1:$C$106)+SUMIF('Inputs summary'!$E$1:$E$106,$BI6,'Inputs summary'!$D$1:$D$106)</f>
        <v>4</v>
      </c>
      <c r="BO6" s="436">
        <f>+SUMIF('Inputs summary'!$B$1:$B$106,$BI6,'Inputs summary'!$D$1:$D$106)+SUMIF('Inputs summary'!$E$1:$E$106,$BI6,'Inputs summary'!$C$1:$C$106)</f>
        <v>3</v>
      </c>
      <c r="BP6" s="457">
        <f t="shared" si="12"/>
        <v>6.0140224999999994</v>
      </c>
    </row>
    <row r="7" spans="1:71" ht="14.25" customHeight="1" x14ac:dyDescent="0.25">
      <c r="G7" s="379">
        <v>4</v>
      </c>
      <c r="H7" s="379" t="str">
        <f>+'Groups Stage'!O6</f>
        <v>Repubilca Checa</v>
      </c>
      <c r="I7" s="436">
        <f t="shared" ref="I7:O7" ca="1" si="17">+IF(COUNTIF(AC:AC,$H7)&gt;0,I$2,0)</f>
        <v>0</v>
      </c>
      <c r="J7" s="436">
        <f t="shared" ca="1" si="17"/>
        <v>0</v>
      </c>
      <c r="K7" s="436">
        <f t="shared" ca="1" si="17"/>
        <v>0</v>
      </c>
      <c r="L7" s="436">
        <f t="shared" ca="1" si="17"/>
        <v>0</v>
      </c>
      <c r="M7" s="436">
        <f t="shared" ca="1" si="17"/>
        <v>0</v>
      </c>
      <c r="N7" s="436">
        <f t="shared" ca="1" si="17"/>
        <v>0</v>
      </c>
      <c r="O7" s="436">
        <f t="shared" ca="1" si="17"/>
        <v>1</v>
      </c>
      <c r="P7" s="436">
        <f t="shared" ca="1" si="1"/>
        <v>1</v>
      </c>
      <c r="Q7" s="436">
        <f ca="1">+COUNTIFS('Inputs summary'!I:I,$H7)</f>
        <v>1</v>
      </c>
      <c r="R7" s="436">
        <f ca="1">+COUNTIFS('Inputs summary'!J:K,$H7)</f>
        <v>1</v>
      </c>
      <c r="S7" s="436">
        <f ca="1">+COUNTIFS('Inputs summary'!L:L,$H7)</f>
        <v>2</v>
      </c>
      <c r="T7" s="436">
        <f t="shared" ca="1" si="2"/>
        <v>-2</v>
      </c>
      <c r="U7" s="436">
        <f ca="1">+SUMIF('Inputs summary'!B:B,H7,'Inputs summary'!C:C)+SUMIF('Inputs summary'!E:E,H7,'Inputs summary'!D:D)</f>
        <v>4</v>
      </c>
      <c r="V7" s="436">
        <f ca="1">+SUMIF('Inputs summary'!B:B,H7,'Inputs summary'!D:D)+SUMIF('Inputs summary'!E:E,H7,'Inputs summary'!C:C)</f>
        <v>6</v>
      </c>
      <c r="W7" s="454">
        <f t="shared" ca="1" si="3"/>
        <v>103.9804000002439</v>
      </c>
      <c r="X7" s="455">
        <f t="shared" ca="1" si="4"/>
        <v>1</v>
      </c>
      <c r="Y7" s="456">
        <f t="shared" si="5"/>
        <v>3</v>
      </c>
      <c r="Z7" s="455">
        <f t="shared" ca="1" si="6"/>
        <v>103.98040033357724</v>
      </c>
      <c r="AA7" s="455">
        <f>+_xlfn.XLOOKUP(H7,'Ranking FIFA'!B:B,'Ranking FIFA'!A:A,"--",0)</f>
        <v>41</v>
      </c>
      <c r="AF7" s="379" t="str">
        <f ca="1">+'Quarter, Semis &amp; Final'!K19</f>
        <v>Argentina</v>
      </c>
      <c r="AG7" s="379" t="str">
        <f ca="1">+'Quarter, Semis &amp; Final'!E9</f>
        <v>Belgica</v>
      </c>
      <c r="AH7" s="379" t="str">
        <f ca="1">+'Round of 32 &amp; Round of 16'!S13</f>
        <v>Paises Bajos</v>
      </c>
      <c r="AI7" s="379" t="str">
        <f ca="1">+'Round of 32 &amp; Round of 16'!E9</f>
        <v>Escocia</v>
      </c>
      <c r="AP7" s="451">
        <f>+_xlfn.XLOOKUP(AQ7,'Ranking FIFA'!B:B,'Ranking FIFA'!A:A,"--",0)</f>
        <v>4</v>
      </c>
      <c r="AQ7" s="379" t="s">
        <v>51</v>
      </c>
      <c r="AR7" s="436">
        <v>1</v>
      </c>
      <c r="AS7" s="436">
        <v>1</v>
      </c>
      <c r="AT7" s="450">
        <f t="shared" ca="1" si="7"/>
        <v>111</v>
      </c>
      <c r="AU7" s="457">
        <f t="shared" ca="1" si="8"/>
        <v>316.08150000249998</v>
      </c>
      <c r="BC7" s="379" t="s">
        <v>850</v>
      </c>
      <c r="BD7" s="458" t="str">
        <f t="array" aca="1" ref="BD7" ca="1">+IF(BF7=0,IF(AX6&lt;1,"No hay Revelación",BD6),_xludf.XLOOKUP(BF7,BF4:BF6,BD4:BD6,"-",0))</f>
        <v>Nueva Zelanda</v>
      </c>
      <c r="BF7" s="452">
        <f ca="1">+MAX(BF4:BF6)</f>
        <v>0</v>
      </c>
      <c r="BH7" s="379">
        <v>4</v>
      </c>
      <c r="BI7" s="379" t="str">
        <f t="shared" si="10"/>
        <v>Repubilca Checa</v>
      </c>
      <c r="BJ7" s="436">
        <f>+COUNTIFS('Inputs summary'!I$2:I$106,BI7)</f>
        <v>1</v>
      </c>
      <c r="BK7" s="436">
        <f>+COUNTIFS('Inputs summary'!J$2:K$106,BI7)</f>
        <v>1</v>
      </c>
      <c r="BL7" s="436">
        <f>+COUNTIFS('Inputs summary'!L$2:L$106,BI7)</f>
        <v>1</v>
      </c>
      <c r="BM7" s="436">
        <f t="shared" si="11"/>
        <v>0</v>
      </c>
      <c r="BN7" s="436">
        <f>+SUMIF('Inputs summary'!$B$1:$B$106,$BI7,'Inputs summary'!$C$1:$C$106)+SUMIF('Inputs summary'!$E$1:$E$106,$BI7,'Inputs summary'!$D$1:$D$106)</f>
        <v>3</v>
      </c>
      <c r="BO7" s="436">
        <f>+SUMIF('Inputs summary'!$B$1:$B$106,$BI7,'Inputs summary'!$D$1:$D$106)+SUMIF('Inputs summary'!$E$1:$E$106,$BI7,'Inputs summary'!$C$1:$C$106)</f>
        <v>3</v>
      </c>
      <c r="BP7" s="457">
        <f t="shared" si="12"/>
        <v>5.0030340999999998</v>
      </c>
    </row>
    <row r="8" spans="1:71" ht="14.25" customHeight="1" x14ac:dyDescent="0.25">
      <c r="G8" s="379">
        <v>5</v>
      </c>
      <c r="H8" s="379" t="str">
        <f>+'Groups Stage'!O12</f>
        <v>Canada</v>
      </c>
      <c r="I8" s="436">
        <f t="shared" ref="I8:O8" ca="1" si="18">+IF(COUNTIF(AC:AC,$H8)&gt;0,I$2,0)</f>
        <v>0</v>
      </c>
      <c r="J8" s="436">
        <f t="shared" ca="1" si="18"/>
        <v>0</v>
      </c>
      <c r="K8" s="436">
        <f t="shared" ca="1" si="18"/>
        <v>0</v>
      </c>
      <c r="L8" s="436">
        <f t="shared" ca="1" si="18"/>
        <v>0</v>
      </c>
      <c r="M8" s="436">
        <f t="shared" ca="1" si="18"/>
        <v>0</v>
      </c>
      <c r="N8" s="436">
        <f t="shared" ca="1" si="18"/>
        <v>0</v>
      </c>
      <c r="O8" s="436">
        <f t="shared" ca="1" si="18"/>
        <v>0</v>
      </c>
      <c r="P8" s="436">
        <f t="shared" ca="1" si="1"/>
        <v>0</v>
      </c>
      <c r="Q8" s="436">
        <f ca="1">+COUNTIFS('Inputs summary'!I:I,$H8)</f>
        <v>0</v>
      </c>
      <c r="R8" s="436">
        <f ca="1">+COUNTIFS('Inputs summary'!J:K,$H8)</f>
        <v>1</v>
      </c>
      <c r="S8" s="436">
        <f ca="1">+COUNTIFS('Inputs summary'!L:L,$H8)</f>
        <v>2</v>
      </c>
      <c r="T8" s="436">
        <f t="shared" ca="1" si="2"/>
        <v>-3</v>
      </c>
      <c r="U8" s="436">
        <f ca="1">+SUMIF('Inputs summary'!B:B,H8,'Inputs summary'!C:C)+SUMIF('Inputs summary'!E:E,H8,'Inputs summary'!D:D)</f>
        <v>0</v>
      </c>
      <c r="V8" s="436">
        <f ca="1">+SUMIF('Inputs summary'!B:B,H8,'Inputs summary'!D:D)+SUMIF('Inputs summary'!E:E,H8,'Inputs summary'!C:C)</f>
        <v>3</v>
      </c>
      <c r="W8" s="454">
        <f t="shared" ca="1" si="3"/>
        <v>0.97000000033333333</v>
      </c>
      <c r="X8" s="455">
        <f t="shared" ca="1" si="4"/>
        <v>0</v>
      </c>
      <c r="Y8" s="456">
        <f t="shared" si="5"/>
        <v>3</v>
      </c>
      <c r="Z8" s="455">
        <f t="shared" ca="1" si="6"/>
        <v>0.97000033366666671</v>
      </c>
      <c r="AA8" s="455">
        <f>+_xlfn.XLOOKUP(H8,'Ranking FIFA'!B:B,'Ranking FIFA'!A:A,"--",0)</f>
        <v>30</v>
      </c>
      <c r="AG8" s="379" t="str">
        <f ca="1">+'Quarter, Semis &amp; Final'!H5</f>
        <v>Brasil</v>
      </c>
      <c r="AH8" s="379" t="str">
        <f ca="1">+'Round of 32 &amp; Round of 16'!P21</f>
        <v>Brasil</v>
      </c>
      <c r="AI8" s="379" t="str">
        <f ca="1">+'Round of 32 &amp; Round of 16'!B13</f>
        <v>Paises Bajos</v>
      </c>
      <c r="AP8" s="451">
        <f>+_xlfn.XLOOKUP(AQ8,'Ranking FIFA'!B:B,'Ranking FIFA'!A:A,"--",0)</f>
        <v>5</v>
      </c>
      <c r="AQ8" s="379" t="s">
        <v>52</v>
      </c>
      <c r="AR8" s="436">
        <v>1</v>
      </c>
      <c r="AS8" s="436">
        <v>1</v>
      </c>
      <c r="AT8" s="450">
        <f t="shared" ca="1" si="7"/>
        <v>111</v>
      </c>
      <c r="AU8" s="457">
        <f t="shared" ca="1" si="8"/>
        <v>313.061300002</v>
      </c>
      <c r="BH8" s="379">
        <v>5</v>
      </c>
      <c r="BI8" s="379" t="str">
        <f t="shared" si="10"/>
        <v>Canada</v>
      </c>
      <c r="BJ8" s="436">
        <f>+COUNTIFS('Inputs summary'!I$2:I$106,BI8)</f>
        <v>0</v>
      </c>
      <c r="BK8" s="436">
        <f>+COUNTIFS('Inputs summary'!J$2:K$106,BI8)</f>
        <v>1</v>
      </c>
      <c r="BL8" s="436">
        <f>+COUNTIFS('Inputs summary'!L$2:L$106,BI8)</f>
        <v>2</v>
      </c>
      <c r="BM8" s="436">
        <f t="shared" si="11"/>
        <v>-3</v>
      </c>
      <c r="BN8" s="436">
        <f>+SUMIF('Inputs summary'!$B$1:$B$106,$BI8,'Inputs summary'!$C$1:$C$106)+SUMIF('Inputs summary'!$E$1:$E$106,$BI8,'Inputs summary'!$D$1:$D$106)</f>
        <v>0</v>
      </c>
      <c r="BO8" s="436">
        <f>+SUMIF('Inputs summary'!$B$1:$B$106,$BI8,'Inputs summary'!$D$1:$D$106)+SUMIF('Inputs summary'!$E$1:$E$106,$BI8,'Inputs summary'!$C$1:$C$106)</f>
        <v>3</v>
      </c>
      <c r="BP8" s="457">
        <f t="shared" si="12"/>
        <v>1.9700329999999999</v>
      </c>
    </row>
    <row r="9" spans="1:71" ht="14.25" customHeight="1" x14ac:dyDescent="0.25">
      <c r="G9" s="379">
        <v>6</v>
      </c>
      <c r="H9" s="379" t="str">
        <f>+'Groups Stage'!O13</f>
        <v>Bosnia</v>
      </c>
      <c r="I9" s="436">
        <f t="shared" ref="I9:O9" ca="1" si="19">+IF(COUNTIF(AC:AC,$H9)&gt;0,I$2,0)</f>
        <v>0</v>
      </c>
      <c r="J9" s="436">
        <f t="shared" ca="1" si="19"/>
        <v>0</v>
      </c>
      <c r="K9" s="436">
        <f t="shared" ca="1" si="19"/>
        <v>0</v>
      </c>
      <c r="L9" s="436">
        <f t="shared" ca="1" si="19"/>
        <v>0</v>
      </c>
      <c r="M9" s="436">
        <f t="shared" ca="1" si="19"/>
        <v>0</v>
      </c>
      <c r="N9" s="436">
        <f t="shared" ca="1" si="19"/>
        <v>0</v>
      </c>
      <c r="O9" s="436">
        <f t="shared" ca="1" si="19"/>
        <v>1</v>
      </c>
      <c r="P9" s="436">
        <f t="shared" ca="1" si="1"/>
        <v>1</v>
      </c>
      <c r="Q9" s="436">
        <f ca="1">+COUNTIFS('Inputs summary'!I:I,$H9)</f>
        <v>2</v>
      </c>
      <c r="R9" s="436">
        <f ca="1">+COUNTIFS('Inputs summary'!J:K,$H9)</f>
        <v>2</v>
      </c>
      <c r="S9" s="436">
        <f ca="1">+COUNTIFS('Inputs summary'!L:L,$H9)</f>
        <v>0</v>
      </c>
      <c r="T9" s="436">
        <f t="shared" ca="1" si="2"/>
        <v>3</v>
      </c>
      <c r="U9" s="436">
        <f ca="1">+SUMIF('Inputs summary'!B:B,H9,'Inputs summary'!C:C)+SUMIF('Inputs summary'!E:E,H9,'Inputs summary'!D:D)</f>
        <v>6</v>
      </c>
      <c r="V9" s="436">
        <f ca="1">+SUMIF('Inputs summary'!B:B,H9,'Inputs summary'!D:D)+SUMIF('Inputs summary'!E:E,H9,'Inputs summary'!C:C)</f>
        <v>3</v>
      </c>
      <c r="W9" s="454">
        <f t="shared" ca="1" si="3"/>
        <v>108.03060000015385</v>
      </c>
      <c r="X9" s="455">
        <f t="shared" ca="1" si="4"/>
        <v>1</v>
      </c>
      <c r="Y9" s="456">
        <f t="shared" si="5"/>
        <v>3</v>
      </c>
      <c r="Z9" s="455">
        <f t="shared" ca="1" si="6"/>
        <v>108.03060033348719</v>
      </c>
      <c r="AA9" s="455">
        <f>+_xlfn.XLOOKUP(H9,'Ranking FIFA'!B:B,'Ranking FIFA'!A:A,"--",0)</f>
        <v>65</v>
      </c>
      <c r="AG9" s="379" t="str">
        <f ca="1">+'Quarter, Semis &amp; Final'!K5</f>
        <v>Inglaterra</v>
      </c>
      <c r="AH9" s="379" t="str">
        <f ca="1">+'Round of 32 &amp; Round of 16'!S21</f>
        <v>Noruega</v>
      </c>
      <c r="AI9" s="379" t="str">
        <f ca="1">+'Round of 32 &amp; Round of 16'!E13</f>
        <v>Marruecos</v>
      </c>
      <c r="AP9" s="451">
        <f>+_xlfn.XLOOKUP(AQ9,'Ranking FIFA'!B:B,'Ranking FIFA'!A:A,"--",0)</f>
        <v>6</v>
      </c>
      <c r="AQ9" s="379" t="s">
        <v>53</v>
      </c>
      <c r="AR9" s="436">
        <v>1</v>
      </c>
      <c r="AS9" s="436">
        <v>1</v>
      </c>
      <c r="AT9" s="450">
        <f t="shared" ca="1" si="7"/>
        <v>1111</v>
      </c>
      <c r="AU9" s="457">
        <f t="shared" ca="1" si="8"/>
        <v>418.08170000166666</v>
      </c>
      <c r="AW9" s="379" t="s">
        <v>851</v>
      </c>
      <c r="AX9" s="379" t="str">
        <f ca="1">+_xlfn.XLOOKUP(AX10,AU:AU,AQ:AQ,"-",0)</f>
        <v>Alemania</v>
      </c>
      <c r="BH9" s="379">
        <v>6</v>
      </c>
      <c r="BI9" s="379" t="str">
        <f t="shared" si="10"/>
        <v>Bosnia</v>
      </c>
      <c r="BJ9" s="436">
        <f>+COUNTIFS('Inputs summary'!I$2:I$106,BI9)</f>
        <v>2</v>
      </c>
      <c r="BK9" s="436">
        <f>+COUNTIFS('Inputs summary'!J$2:K$106,BI9)</f>
        <v>1</v>
      </c>
      <c r="BL9" s="436">
        <f>+COUNTIFS('Inputs summary'!L$2:L$106,BI9)</f>
        <v>0</v>
      </c>
      <c r="BM9" s="436">
        <f t="shared" si="11"/>
        <v>3</v>
      </c>
      <c r="BN9" s="436">
        <f>+SUMIF('Inputs summary'!$B$1:$B$106,$BI9,'Inputs summary'!$C$1:$C$106)+SUMIF('Inputs summary'!$E$1:$E$106,$BI9,'Inputs summary'!$D$1:$D$106)</f>
        <v>4</v>
      </c>
      <c r="BO9" s="436">
        <f>+SUMIF('Inputs summary'!$B$1:$B$106,$BI9,'Inputs summary'!$D$1:$D$106)+SUMIF('Inputs summary'!$E$1:$E$106,$BI9,'Inputs summary'!$C$1:$C$106)</f>
        <v>1</v>
      </c>
      <c r="BP9" s="457">
        <f t="shared" si="12"/>
        <v>8.0340364999999991</v>
      </c>
    </row>
    <row r="10" spans="1:71" ht="14.25" customHeight="1" x14ac:dyDescent="0.25">
      <c r="G10" s="379">
        <v>7</v>
      </c>
      <c r="H10" s="379" t="str">
        <f>+'Groups Stage'!O14</f>
        <v>Qatar</v>
      </c>
      <c r="I10" s="436">
        <f t="shared" ref="I10:O10" ca="1" si="20">+IF(COUNTIF(AC:AC,$H10)&gt;0,I$2,0)</f>
        <v>0</v>
      </c>
      <c r="J10" s="436">
        <f t="shared" ca="1" si="20"/>
        <v>0</v>
      </c>
      <c r="K10" s="436">
        <f t="shared" ca="1" si="20"/>
        <v>0</v>
      </c>
      <c r="L10" s="436">
        <f t="shared" ca="1" si="20"/>
        <v>0</v>
      </c>
      <c r="M10" s="436">
        <f t="shared" ca="1" si="20"/>
        <v>0</v>
      </c>
      <c r="N10" s="436">
        <f t="shared" ca="1" si="20"/>
        <v>0</v>
      </c>
      <c r="O10" s="436">
        <f t="shared" ca="1" si="20"/>
        <v>0</v>
      </c>
      <c r="P10" s="436">
        <f t="shared" ca="1" si="1"/>
        <v>0</v>
      </c>
      <c r="Q10" s="436">
        <f ca="1">+COUNTIFS('Inputs summary'!I:I,$H10)</f>
        <v>0</v>
      </c>
      <c r="R10" s="436">
        <f ca="1">+COUNTIFS('Inputs summary'!J:K,$H10)</f>
        <v>1</v>
      </c>
      <c r="S10" s="436">
        <f ca="1">+COUNTIFS('Inputs summary'!L:L,$H10)</f>
        <v>2</v>
      </c>
      <c r="T10" s="436">
        <f t="shared" ca="1" si="2"/>
        <v>-4</v>
      </c>
      <c r="U10" s="436">
        <f ca="1">+SUMIF('Inputs summary'!B:B,H10,'Inputs summary'!C:C)+SUMIF('Inputs summary'!E:E,H10,'Inputs summary'!D:D)</f>
        <v>0</v>
      </c>
      <c r="V10" s="436">
        <f ca="1">+SUMIF('Inputs summary'!B:B,H10,'Inputs summary'!D:D)+SUMIF('Inputs summary'!E:E,H10,'Inputs summary'!C:C)</f>
        <v>4</v>
      </c>
      <c r="W10" s="454">
        <f t="shared" ca="1" si="3"/>
        <v>0.96000000018181819</v>
      </c>
      <c r="X10" s="455">
        <f t="shared" ca="1" si="4"/>
        <v>0</v>
      </c>
      <c r="Y10" s="456">
        <f t="shared" si="5"/>
        <v>4</v>
      </c>
      <c r="Z10" s="455">
        <f t="shared" ca="1" si="6"/>
        <v>0.96000025018181823</v>
      </c>
      <c r="AA10" s="455">
        <f>+_xlfn.XLOOKUP(H10,'Ranking FIFA'!B:B,'Ranking FIFA'!A:A,"--",0)</f>
        <v>55</v>
      </c>
      <c r="AG10" s="379" t="str">
        <f ca="1">+'Quarter, Semis &amp; Final'!H9</f>
        <v>Argentina</v>
      </c>
      <c r="AH10" s="379" t="str">
        <f ca="1">+'Round of 32 &amp; Round of 16'!P29</f>
        <v>Mexico</v>
      </c>
      <c r="AI10" s="379" t="str">
        <f ca="1">+'Round of 32 &amp; Round of 16'!B17</f>
        <v>Brasil</v>
      </c>
      <c r="AP10" s="451">
        <f>+_xlfn.XLOOKUP(AQ10,'Ranking FIFA'!B:B,'Ranking FIFA'!A:A,"--",0)</f>
        <v>7</v>
      </c>
      <c r="AQ10" s="379" t="s">
        <v>54</v>
      </c>
      <c r="AR10" s="436">
        <v>1</v>
      </c>
      <c r="AS10" s="436">
        <v>1</v>
      </c>
      <c r="AT10" s="450">
        <f t="shared" ca="1" si="7"/>
        <v>111</v>
      </c>
      <c r="AU10" s="457">
        <f t="shared" ca="1" si="8"/>
        <v>313.0611000014286</v>
      </c>
      <c r="AW10" s="379" t="s">
        <v>292</v>
      </c>
      <c r="AX10" s="463">
        <f ca="1">+_xlfn.MINIFS(AU:AU,AS:AS,1)</f>
        <v>212.08120000100001</v>
      </c>
      <c r="BH10" s="379">
        <v>7</v>
      </c>
      <c r="BI10" s="379" t="str">
        <f t="shared" si="10"/>
        <v>Qatar</v>
      </c>
      <c r="BJ10" s="436">
        <f>+COUNTIFS('Inputs summary'!I$2:I$106,BI10)</f>
        <v>0</v>
      </c>
      <c r="BK10" s="436">
        <f>+COUNTIFS('Inputs summary'!J$2:K$106,BI10)</f>
        <v>1</v>
      </c>
      <c r="BL10" s="436">
        <f>+COUNTIFS('Inputs summary'!L$2:L$106,BI10)</f>
        <v>2</v>
      </c>
      <c r="BM10" s="436">
        <f t="shared" si="11"/>
        <v>-4</v>
      </c>
      <c r="BN10" s="436">
        <f>+SUMIF('Inputs summary'!$B$1:$B$106,$BI10,'Inputs summary'!$C$1:$C$106)+SUMIF('Inputs summary'!$E$1:$E$106,$BI10,'Inputs summary'!$D$1:$D$106)</f>
        <v>0</v>
      </c>
      <c r="BO10" s="436">
        <f>+SUMIF('Inputs summary'!$B$1:$B$106,$BI10,'Inputs summary'!$D$1:$D$106)+SUMIF('Inputs summary'!$E$1:$E$106,$BI10,'Inputs summary'!$C$1:$C$106)</f>
        <v>4</v>
      </c>
      <c r="BP10" s="457">
        <f t="shared" si="12"/>
        <v>1.9600455000000001</v>
      </c>
    </row>
    <row r="11" spans="1:71" ht="14.25" customHeight="1" x14ac:dyDescent="0.25">
      <c r="G11" s="379">
        <v>8</v>
      </c>
      <c r="H11" s="379" t="str">
        <f>+'Groups Stage'!O15</f>
        <v>Suiza</v>
      </c>
      <c r="I11" s="436">
        <f t="shared" ref="I11:O11" ca="1" si="21">+IF(COUNTIF(AC:AC,$H11)&gt;0,I$2,0)</f>
        <v>0</v>
      </c>
      <c r="J11" s="436">
        <f t="shared" ca="1" si="21"/>
        <v>0</v>
      </c>
      <c r="K11" s="436">
        <f t="shared" ca="1" si="21"/>
        <v>0</v>
      </c>
      <c r="L11" s="436">
        <f t="shared" ca="1" si="21"/>
        <v>0</v>
      </c>
      <c r="M11" s="436">
        <f t="shared" ca="1" si="21"/>
        <v>0</v>
      </c>
      <c r="N11" s="436">
        <f t="shared" ca="1" si="21"/>
        <v>1</v>
      </c>
      <c r="O11" s="436">
        <f t="shared" ca="1" si="21"/>
        <v>1</v>
      </c>
      <c r="P11" s="436">
        <f t="shared" ca="1" si="1"/>
        <v>2</v>
      </c>
      <c r="Q11" s="436">
        <f ca="1">+COUNTIFS('Inputs summary'!I:I,$H11)</f>
        <v>3</v>
      </c>
      <c r="R11" s="436">
        <f ca="1">+COUNTIFS('Inputs summary'!J:K,$H11)</f>
        <v>1</v>
      </c>
      <c r="S11" s="436">
        <f ca="1">+COUNTIFS('Inputs summary'!L:L,$H11)</f>
        <v>1</v>
      </c>
      <c r="T11" s="436">
        <f t="shared" ca="1" si="2"/>
        <v>5</v>
      </c>
      <c r="U11" s="436">
        <f ca="1">+SUMIF('Inputs summary'!B:B,H11,'Inputs summary'!C:C)+SUMIF('Inputs summary'!E:E,H11,'Inputs summary'!D:D)</f>
        <v>8</v>
      </c>
      <c r="V11" s="436">
        <f ca="1">+SUMIF('Inputs summary'!B:B,H11,'Inputs summary'!D:D)+SUMIF('Inputs summary'!E:E,H11,'Inputs summary'!C:C)</f>
        <v>3</v>
      </c>
      <c r="W11" s="454">
        <f t="shared" ca="1" si="3"/>
        <v>210.05080000052632</v>
      </c>
      <c r="X11" s="455">
        <f t="shared" ca="1" si="4"/>
        <v>11</v>
      </c>
      <c r="Y11" s="456">
        <f t="shared" si="5"/>
        <v>2</v>
      </c>
      <c r="Z11" s="455">
        <f t="shared" ca="1" si="6"/>
        <v>210.05080050052632</v>
      </c>
      <c r="AA11" s="455">
        <f>+_xlfn.XLOOKUP(H11,'Ranking FIFA'!B:B,'Ranking FIFA'!A:A,"--",0)</f>
        <v>19</v>
      </c>
      <c r="AG11" s="379" t="str">
        <f ca="1">+'Quarter, Semis &amp; Final'!K9</f>
        <v>Portugal</v>
      </c>
      <c r="AH11" s="379" t="str">
        <f ca="1">+'Round of 32 &amp; Round of 16'!S29</f>
        <v>Inglaterra</v>
      </c>
      <c r="AI11" s="379" t="str">
        <f ca="1">+'Round of 32 &amp; Round of 16'!E17</f>
        <v>Japon</v>
      </c>
      <c r="AP11" s="451">
        <f>+_xlfn.XLOOKUP(AQ11,'Ranking FIFA'!B:B,'Ranking FIFA'!A:A,"--",0)</f>
        <v>9</v>
      </c>
      <c r="AQ11" s="379" t="s">
        <v>55</v>
      </c>
      <c r="AR11" s="436">
        <v>1</v>
      </c>
      <c r="AS11" s="436">
        <v>2</v>
      </c>
      <c r="AT11" s="450">
        <f t="shared" ca="1" si="7"/>
        <v>111</v>
      </c>
      <c r="AU11" s="457">
        <f t="shared" ca="1" si="8"/>
        <v>315.08130000111112</v>
      </c>
      <c r="AW11" s="379" t="s">
        <v>852</v>
      </c>
      <c r="AX11" s="463">
        <f ca="1">+_xlfn.XLOOKUP(AX10,AU:AU,AT:AT,"-",0)</f>
        <v>11</v>
      </c>
      <c r="AY11" s="458" t="str">
        <f ca="1">+IF(AX11&gt;=AY2,"-",AX9)</f>
        <v>Alemania</v>
      </c>
      <c r="BH11" s="379">
        <v>8</v>
      </c>
      <c r="BI11" s="379" t="str">
        <f t="shared" si="10"/>
        <v>Suiza</v>
      </c>
      <c r="BJ11" s="436">
        <f>+COUNTIFS('Inputs summary'!I$2:I$106,BI11)</f>
        <v>2</v>
      </c>
      <c r="BK11" s="436">
        <f>+COUNTIFS('Inputs summary'!J$2:K$106,BI11)</f>
        <v>1</v>
      </c>
      <c r="BL11" s="436">
        <f>+COUNTIFS('Inputs summary'!L$2:L$106,BI11)</f>
        <v>0</v>
      </c>
      <c r="BM11" s="436">
        <f t="shared" si="11"/>
        <v>4</v>
      </c>
      <c r="BN11" s="436">
        <f>+SUMIF('Inputs summary'!$B$1:$B$106,$BI11,'Inputs summary'!$C$1:$C$106)+SUMIF('Inputs summary'!$E$1:$E$106,$BI11,'Inputs summary'!$D$1:$D$106)</f>
        <v>5</v>
      </c>
      <c r="BO11" s="436">
        <f>+SUMIF('Inputs summary'!$B$1:$B$106,$BI11,'Inputs summary'!$D$1:$D$106)+SUMIF('Inputs summary'!$E$1:$E$106,$BI11,'Inputs summary'!$C$1:$C$106)</f>
        <v>1</v>
      </c>
      <c r="BP11" s="457">
        <f t="shared" si="12"/>
        <v>8.0450219000000001</v>
      </c>
    </row>
    <row r="12" spans="1:71" ht="14.25" customHeight="1" x14ac:dyDescent="0.25">
      <c r="G12" s="379">
        <v>9</v>
      </c>
      <c r="H12" s="379" t="str">
        <f>+'Groups Stage'!O21</f>
        <v>Brasil</v>
      </c>
      <c r="I12" s="436">
        <f t="shared" ref="I12:O12" ca="1" si="22">+IF(COUNTIF(AC:AC,$H12)&gt;0,I$2,0)</f>
        <v>0</v>
      </c>
      <c r="J12" s="436">
        <f t="shared" ca="1" si="22"/>
        <v>0</v>
      </c>
      <c r="K12" s="436">
        <f t="shared" ca="1" si="22"/>
        <v>0</v>
      </c>
      <c r="L12" s="436">
        <f t="shared" ca="1" si="22"/>
        <v>1</v>
      </c>
      <c r="M12" s="436">
        <f t="shared" ca="1" si="22"/>
        <v>1</v>
      </c>
      <c r="N12" s="436">
        <f t="shared" ca="1" si="22"/>
        <v>1</v>
      </c>
      <c r="O12" s="436">
        <f t="shared" ca="1" si="22"/>
        <v>1</v>
      </c>
      <c r="P12" s="436">
        <f t="shared" ca="1" si="1"/>
        <v>4</v>
      </c>
      <c r="Q12" s="436">
        <f ca="1">+COUNTIFS('Inputs summary'!I:I,$H12)</f>
        <v>5</v>
      </c>
      <c r="R12" s="436">
        <f ca="1">+COUNTIFS('Inputs summary'!J:K,$H12)</f>
        <v>3</v>
      </c>
      <c r="S12" s="436">
        <f ca="1">+COUNTIFS('Inputs summary'!L:L,$H12)</f>
        <v>0</v>
      </c>
      <c r="T12" s="436">
        <f t="shared" ca="1" si="2"/>
        <v>8</v>
      </c>
      <c r="U12" s="436">
        <f ca="1">+SUMIF('Inputs summary'!B:B,H12,'Inputs summary'!C:C)+SUMIF('Inputs summary'!E:E,H12,'Inputs summary'!D:D)</f>
        <v>17</v>
      </c>
      <c r="V12" s="436">
        <f ca="1">+SUMIF('Inputs summary'!B:B,H12,'Inputs summary'!D:D)+SUMIF('Inputs summary'!E:E,H12,'Inputs summary'!C:C)</f>
        <v>9</v>
      </c>
      <c r="W12" s="454">
        <f t="shared" ca="1" si="3"/>
        <v>418.08170000166666</v>
      </c>
      <c r="X12" s="455">
        <f t="shared" ca="1" si="4"/>
        <v>1111</v>
      </c>
      <c r="Y12" s="456">
        <f t="shared" si="5"/>
        <v>1</v>
      </c>
      <c r="Z12" s="455">
        <f t="shared" ca="1" si="6"/>
        <v>418.08170100166666</v>
      </c>
      <c r="AA12" s="455">
        <f>+_xlfn.XLOOKUP(H12,'Ranking FIFA'!B:B,'Ranking FIFA'!A:A,"--",0)</f>
        <v>6</v>
      </c>
      <c r="AH12" s="379" t="str">
        <f ca="1">+'Round of 32 &amp; Round of 16'!V5</f>
        <v>Croacia</v>
      </c>
      <c r="AI12" s="379" t="str">
        <f ca="1">+'Round of 32 &amp; Round of 16'!B21</f>
        <v>Francia</v>
      </c>
      <c r="AP12" s="451">
        <f>+_xlfn.XLOOKUP(AQ12,'Ranking FIFA'!B:B,'Ranking FIFA'!A:A,"--",0)</f>
        <v>10</v>
      </c>
      <c r="AQ12" s="379" t="s">
        <v>56</v>
      </c>
      <c r="AR12" s="436">
        <v>1</v>
      </c>
      <c r="AS12" s="436">
        <v>1</v>
      </c>
      <c r="AT12" s="450">
        <f t="shared" ca="1" si="7"/>
        <v>11</v>
      </c>
      <c r="AU12" s="457">
        <f t="shared" ca="1" si="8"/>
        <v>212.08120000100001</v>
      </c>
      <c r="BH12" s="379">
        <v>9</v>
      </c>
      <c r="BI12" s="379" t="str">
        <f t="shared" si="10"/>
        <v>Brasil</v>
      </c>
      <c r="BJ12" s="436">
        <f>+COUNTIFS('Inputs summary'!I$2:I$106,BI12)</f>
        <v>3</v>
      </c>
      <c r="BK12" s="436">
        <f>+COUNTIFS('Inputs summary'!J$2:K$106,BI12)</f>
        <v>0</v>
      </c>
      <c r="BL12" s="436">
        <f>+COUNTIFS('Inputs summary'!L$2:L$106,BI12)</f>
        <v>0</v>
      </c>
      <c r="BM12" s="436">
        <f t="shared" si="11"/>
        <v>6</v>
      </c>
      <c r="BN12" s="436">
        <f>+SUMIF('Inputs summary'!$B$1:$B$106,$BI12,'Inputs summary'!$C$1:$C$106)+SUMIF('Inputs summary'!$E$1:$E$106,$BI12,'Inputs summary'!$D$1:$D$106)</f>
        <v>7</v>
      </c>
      <c r="BO12" s="436">
        <f>+SUMIF('Inputs summary'!$B$1:$B$106,$BI12,'Inputs summary'!$D$1:$D$106)+SUMIF('Inputs summary'!$E$1:$E$106,$BI12,'Inputs summary'!$C$1:$C$106)</f>
        <v>1</v>
      </c>
      <c r="BP12" s="457">
        <f t="shared" si="12"/>
        <v>9.0670105999999997</v>
      </c>
    </row>
    <row r="13" spans="1:71" ht="14.25" customHeight="1" x14ac:dyDescent="0.25">
      <c r="G13" s="379">
        <v>10</v>
      </c>
      <c r="H13" s="379" t="str">
        <f>+'Groups Stage'!O22</f>
        <v>Marruecos</v>
      </c>
      <c r="I13" s="436">
        <f t="shared" ref="I13:O13" ca="1" si="23">+IF(COUNTIF(AC:AC,$H13)&gt;0,I$2,0)</f>
        <v>0</v>
      </c>
      <c r="J13" s="436">
        <f t="shared" ca="1" si="23"/>
        <v>0</v>
      </c>
      <c r="K13" s="436">
        <f t="shared" ca="1" si="23"/>
        <v>0</v>
      </c>
      <c r="L13" s="436">
        <f t="shared" ca="1" si="23"/>
        <v>0</v>
      </c>
      <c r="M13" s="436">
        <f t="shared" ca="1" si="23"/>
        <v>0</v>
      </c>
      <c r="N13" s="436">
        <f t="shared" ca="1" si="23"/>
        <v>0</v>
      </c>
      <c r="O13" s="436">
        <f t="shared" ca="1" si="23"/>
        <v>1</v>
      </c>
      <c r="P13" s="436">
        <f t="shared" ca="1" si="1"/>
        <v>1</v>
      </c>
      <c r="Q13" s="436">
        <f ca="1">+COUNTIFS('Inputs summary'!I:I,$H13)</f>
        <v>2</v>
      </c>
      <c r="R13" s="436">
        <f ca="1">+COUNTIFS('Inputs summary'!J:K,$H13)</f>
        <v>0</v>
      </c>
      <c r="S13" s="436">
        <f ca="1">+COUNTIFS('Inputs summary'!L:L,$H13)</f>
        <v>2</v>
      </c>
      <c r="T13" s="436">
        <f t="shared" ca="1" si="2"/>
        <v>1</v>
      </c>
      <c r="U13" s="436">
        <f ca="1">+SUMIF('Inputs summary'!B:B,H13,'Inputs summary'!C:C)+SUMIF('Inputs summary'!E:E,H13,'Inputs summary'!D:D)</f>
        <v>6</v>
      </c>
      <c r="V13" s="436">
        <f ca="1">+SUMIF('Inputs summary'!B:B,H13,'Inputs summary'!D:D)+SUMIF('Inputs summary'!E:E,H13,'Inputs summary'!C:C)</f>
        <v>5</v>
      </c>
      <c r="W13" s="454">
        <f t="shared" ca="1" si="3"/>
        <v>106.01060000125001</v>
      </c>
      <c r="X13" s="455">
        <f t="shared" ca="1" si="4"/>
        <v>1</v>
      </c>
      <c r="Y13" s="456">
        <f t="shared" si="5"/>
        <v>2</v>
      </c>
      <c r="Z13" s="455">
        <f t="shared" ca="1" si="6"/>
        <v>106.01060050125001</v>
      </c>
      <c r="AA13" s="455">
        <f>+_xlfn.XLOOKUP(H13,'Ranking FIFA'!B:B,'Ranking FIFA'!A:A,"--",0)</f>
        <v>8</v>
      </c>
      <c r="AH13" s="379" t="str">
        <f ca="1">+'Round of 32 &amp; Round of 16'!Y5</f>
        <v>España</v>
      </c>
      <c r="AI13" s="379" t="str">
        <f ca="1">+'Round of 32 &amp; Round of 16'!E21</f>
        <v>Estados Unidos</v>
      </c>
      <c r="AP13" s="451">
        <f>+_xlfn.XLOOKUP(AQ13,'Ranking FIFA'!B:B,'Ranking FIFA'!A:A,"--",0)</f>
        <v>11</v>
      </c>
      <c r="AQ13" s="379" t="s">
        <v>57</v>
      </c>
      <c r="AR13" s="436">
        <v>1</v>
      </c>
      <c r="AS13" s="436">
        <v>2</v>
      </c>
      <c r="AT13" s="450">
        <f t="shared" ca="1" si="7"/>
        <v>11</v>
      </c>
      <c r="AU13" s="457">
        <f t="shared" ca="1" si="8"/>
        <v>209.02100000090911</v>
      </c>
      <c r="AW13" s="379" t="s">
        <v>853</v>
      </c>
      <c r="AX13" s="379" t="str">
        <f ca="1">+_xlfn.XLOOKUP(AX14,AU:AU,AQ:AQ,"-",0)</f>
        <v>Uruguay</v>
      </c>
      <c r="BH13" s="379">
        <v>10</v>
      </c>
      <c r="BI13" s="379" t="str">
        <f t="shared" si="10"/>
        <v>Marruecos</v>
      </c>
      <c r="BJ13" s="436">
        <f>+COUNTIFS('Inputs summary'!I$2:I$106,BI13)</f>
        <v>2</v>
      </c>
      <c r="BK13" s="436">
        <f>+COUNTIFS('Inputs summary'!J$2:K$106,BI13)</f>
        <v>0</v>
      </c>
      <c r="BL13" s="436">
        <f>+COUNTIFS('Inputs summary'!L$2:L$106,BI13)</f>
        <v>1</v>
      </c>
      <c r="BM13" s="436">
        <f t="shared" si="11"/>
        <v>2</v>
      </c>
      <c r="BN13" s="436">
        <f>+SUMIF('Inputs summary'!$B$1:$B$106,$BI13,'Inputs summary'!$C$1:$C$106)+SUMIF('Inputs summary'!$E$1:$E$106,$BI13,'Inputs summary'!$D$1:$D$106)</f>
        <v>5</v>
      </c>
      <c r="BO13" s="436">
        <f>+SUMIF('Inputs summary'!$B$1:$B$106,$BI13,'Inputs summary'!$D$1:$D$106)+SUMIF('Inputs summary'!$E$1:$E$106,$BI13,'Inputs summary'!$C$1:$C$106)</f>
        <v>3</v>
      </c>
      <c r="BP13" s="457">
        <f t="shared" si="12"/>
        <v>6.0250207999999992</v>
      </c>
    </row>
    <row r="14" spans="1:71" ht="14.25" customHeight="1" x14ac:dyDescent="0.25">
      <c r="G14" s="379">
        <v>11</v>
      </c>
      <c r="H14" s="379" t="str">
        <f>+'Groups Stage'!O23</f>
        <v>Haiti</v>
      </c>
      <c r="I14" s="436">
        <f t="shared" ref="I14:O14" ca="1" si="24">+IF(COUNTIF(AC:AC,$H14)&gt;0,I$2,0)</f>
        <v>0</v>
      </c>
      <c r="J14" s="436">
        <f t="shared" ca="1" si="24"/>
        <v>0</v>
      </c>
      <c r="K14" s="436">
        <f t="shared" ca="1" si="24"/>
        <v>0</v>
      </c>
      <c r="L14" s="436">
        <f t="shared" ca="1" si="24"/>
        <v>0</v>
      </c>
      <c r="M14" s="436">
        <f t="shared" ca="1" si="24"/>
        <v>0</v>
      </c>
      <c r="N14" s="436">
        <f t="shared" ca="1" si="24"/>
        <v>0</v>
      </c>
      <c r="O14" s="436">
        <f t="shared" ca="1" si="24"/>
        <v>0</v>
      </c>
      <c r="P14" s="436">
        <f t="shared" ca="1" si="1"/>
        <v>0</v>
      </c>
      <c r="Q14" s="436">
        <f ca="1">+COUNTIFS('Inputs summary'!I:I,$H14)</f>
        <v>0</v>
      </c>
      <c r="R14" s="436">
        <f ca="1">+COUNTIFS('Inputs summary'!J:K,$H14)</f>
        <v>0</v>
      </c>
      <c r="S14" s="436">
        <f ca="1">+COUNTIFS('Inputs summary'!L:L,$H14)</f>
        <v>3</v>
      </c>
      <c r="T14" s="436">
        <f t="shared" ca="1" si="2"/>
        <v>-7</v>
      </c>
      <c r="U14" s="436">
        <f ca="1">+SUMIF('Inputs summary'!B:B,H14,'Inputs summary'!C:C)+SUMIF('Inputs summary'!E:E,H14,'Inputs summary'!D:D)</f>
        <v>0</v>
      </c>
      <c r="V14" s="436">
        <f ca="1">+SUMIF('Inputs summary'!B:B,H14,'Inputs summary'!D:D)+SUMIF('Inputs summary'!E:E,H14,'Inputs summary'!C:C)</f>
        <v>7</v>
      </c>
      <c r="W14" s="454">
        <f t="shared" ca="1" si="3"/>
        <v>-6.9999999879518077E-2</v>
      </c>
      <c r="X14" s="455">
        <f t="shared" ca="1" si="4"/>
        <v>0</v>
      </c>
      <c r="Y14" s="456">
        <f t="shared" si="5"/>
        <v>4</v>
      </c>
      <c r="Z14" s="455">
        <f t="shared" ca="1" si="6"/>
        <v>-6.9999749879518083E-2</v>
      </c>
      <c r="AA14" s="455">
        <f>+_xlfn.XLOOKUP(H14,'Ranking FIFA'!B:B,'Ranking FIFA'!A:A,"--",0)</f>
        <v>83</v>
      </c>
      <c r="AH14" s="379" t="str">
        <f ca="1">+'Round of 32 &amp; Round of 16'!V13</f>
        <v>Turquia</v>
      </c>
      <c r="AI14" s="379" t="str">
        <f ca="1">+'Round of 32 &amp; Round of 16'!B25</f>
        <v>Ecuador</v>
      </c>
      <c r="AP14" s="451">
        <f>+_xlfn.XLOOKUP(AQ14,'Ranking FIFA'!B:B,'Ranking FIFA'!A:A,"--",0)</f>
        <v>17</v>
      </c>
      <c r="AQ14" s="379" t="s">
        <v>58</v>
      </c>
      <c r="AR14" s="436">
        <v>1</v>
      </c>
      <c r="AS14" s="436">
        <v>2</v>
      </c>
      <c r="AT14" s="450">
        <f t="shared" ca="1" si="7"/>
        <v>1</v>
      </c>
      <c r="AU14" s="457">
        <f t="shared" ca="1" si="8"/>
        <v>106.01050000058824</v>
      </c>
      <c r="AW14" s="379" t="s">
        <v>292</v>
      </c>
      <c r="AX14" s="463">
        <f ca="1">_xlfn.MINIFS(AU:AU,AS:AS,2)</f>
        <v>106.01050000058824</v>
      </c>
      <c r="BH14" s="379">
        <v>11</v>
      </c>
      <c r="BI14" s="379" t="str">
        <f t="shared" si="10"/>
        <v>Haiti</v>
      </c>
      <c r="BJ14" s="436">
        <f>+COUNTIFS('Inputs summary'!I$2:I$106,BI14)</f>
        <v>0</v>
      </c>
      <c r="BK14" s="436">
        <f>+COUNTIFS('Inputs summary'!J$2:K$106,BI14)</f>
        <v>0</v>
      </c>
      <c r="BL14" s="436">
        <f>+COUNTIFS('Inputs summary'!L$2:L$106,BI14)</f>
        <v>3</v>
      </c>
      <c r="BM14" s="436">
        <f t="shared" si="11"/>
        <v>-7</v>
      </c>
      <c r="BN14" s="436">
        <f>+SUMIF('Inputs summary'!$B$1:$B$106,$BI14,'Inputs summary'!$C$1:$C$106)+SUMIF('Inputs summary'!$E$1:$E$106,$BI14,'Inputs summary'!$D$1:$D$106)</f>
        <v>0</v>
      </c>
      <c r="BO14" s="436">
        <f>+SUMIF('Inputs summary'!$B$1:$B$106,$BI14,'Inputs summary'!$D$1:$D$106)+SUMIF('Inputs summary'!$E$1:$E$106,$BI14,'Inputs summary'!$C$1:$C$106)</f>
        <v>7</v>
      </c>
      <c r="BP14" s="457">
        <f t="shared" si="12"/>
        <v>-6.9951700000000006E-2</v>
      </c>
    </row>
    <row r="15" spans="1:71" ht="14.25" customHeight="1" x14ac:dyDescent="0.25">
      <c r="G15" s="379">
        <v>12</v>
      </c>
      <c r="H15" s="379" t="str">
        <f>+'Groups Stage'!O24</f>
        <v>Escocia</v>
      </c>
      <c r="I15" s="436">
        <f t="shared" ref="I15:O15" ca="1" si="25">+IF(COUNTIF(AC:AC,$H15)&gt;0,I$2,0)</f>
        <v>0</v>
      </c>
      <c r="J15" s="436">
        <f t="shared" ca="1" si="25"/>
        <v>0</v>
      </c>
      <c r="K15" s="436">
        <f t="shared" ca="1" si="25"/>
        <v>0</v>
      </c>
      <c r="L15" s="436">
        <f t="shared" ca="1" si="25"/>
        <v>0</v>
      </c>
      <c r="M15" s="436">
        <f t="shared" ca="1" si="25"/>
        <v>0</v>
      </c>
      <c r="N15" s="436">
        <f t="shared" ca="1" si="25"/>
        <v>0</v>
      </c>
      <c r="O15" s="436">
        <f t="shared" ca="1" si="25"/>
        <v>1</v>
      </c>
      <c r="P15" s="436">
        <f t="shared" ca="1" si="1"/>
        <v>1</v>
      </c>
      <c r="Q15" s="436">
        <f ca="1">+COUNTIFS('Inputs summary'!I:I,$H15)</f>
        <v>1</v>
      </c>
      <c r="R15" s="436">
        <f ca="1">+COUNTIFS('Inputs summary'!J:K,$H15)</f>
        <v>0</v>
      </c>
      <c r="S15" s="436">
        <f ca="1">+COUNTIFS('Inputs summary'!L:L,$H15)</f>
        <v>3</v>
      </c>
      <c r="T15" s="436">
        <f t="shared" ca="1" si="2"/>
        <v>-3</v>
      </c>
      <c r="U15" s="436">
        <f ca="1">+SUMIF('Inputs summary'!B:B,H15,'Inputs summary'!C:C)+SUMIF('Inputs summary'!E:E,H15,'Inputs summary'!D:D)</f>
        <v>4</v>
      </c>
      <c r="V15" s="436">
        <f ca="1">+SUMIF('Inputs summary'!B:B,H15,'Inputs summary'!D:D)+SUMIF('Inputs summary'!E:E,H15,'Inputs summary'!C:C)</f>
        <v>7</v>
      </c>
      <c r="W15" s="454">
        <f t="shared" ca="1" si="3"/>
        <v>102.97040000023256</v>
      </c>
      <c r="X15" s="455">
        <f t="shared" ca="1" si="4"/>
        <v>1</v>
      </c>
      <c r="Y15" s="456">
        <f t="shared" si="5"/>
        <v>3</v>
      </c>
      <c r="Z15" s="455">
        <f t="shared" ca="1" si="6"/>
        <v>102.97040033356589</v>
      </c>
      <c r="AA15" s="455">
        <f>+_xlfn.XLOOKUP(H15,'Ranking FIFA'!B:B,'Ranking FIFA'!A:A,"--",0)</f>
        <v>43</v>
      </c>
      <c r="AH15" s="379" t="str">
        <f ca="1">+'Round of 32 &amp; Round of 16'!Y13</f>
        <v>Belgica</v>
      </c>
      <c r="AI15" s="379" t="str">
        <f ca="1">+'Round of 32 &amp; Round of 16'!E25</f>
        <v>Noruega</v>
      </c>
      <c r="AP15" s="451">
        <f>+_xlfn.XLOOKUP(AQ15,'Ranking FIFA'!B:B,'Ranking FIFA'!A:A,"--",0)</f>
        <v>8</v>
      </c>
      <c r="AQ15" s="379" t="s">
        <v>59</v>
      </c>
      <c r="AR15" s="436">
        <v>2</v>
      </c>
      <c r="AS15" s="436"/>
      <c r="AT15" s="450">
        <f t="shared" ca="1" si="7"/>
        <v>1</v>
      </c>
      <c r="AU15" s="457">
        <f t="shared" ca="1" si="8"/>
        <v>106.01060000125001</v>
      </c>
      <c r="AW15" s="379" t="s">
        <v>852</v>
      </c>
      <c r="AX15" s="463">
        <f ca="1">+_xlfn.XLOOKUP(AX14,AU:AU,AT:AT,"-",0)</f>
        <v>1</v>
      </c>
      <c r="AY15" s="458" t="str">
        <f ca="1">+IF(AX15&gt;=AY2,"-",AX13)</f>
        <v>Uruguay</v>
      </c>
      <c r="BH15" s="379">
        <v>12</v>
      </c>
      <c r="BI15" s="379" t="str">
        <f t="shared" si="10"/>
        <v>Escocia</v>
      </c>
      <c r="BJ15" s="436">
        <f>+COUNTIFS('Inputs summary'!I$2:I$106,BI15)</f>
        <v>1</v>
      </c>
      <c r="BK15" s="436">
        <f>+COUNTIFS('Inputs summary'!J$2:K$106,BI15)</f>
        <v>0</v>
      </c>
      <c r="BL15" s="436">
        <f>+COUNTIFS('Inputs summary'!L$2:L$106,BI15)</f>
        <v>2</v>
      </c>
      <c r="BM15" s="436">
        <f t="shared" si="11"/>
        <v>-1</v>
      </c>
      <c r="BN15" s="436">
        <f>+SUMIF('Inputs summary'!$B$1:$B$106,$BI15,'Inputs summary'!$C$1:$C$106)+SUMIF('Inputs summary'!$E$1:$E$106,$BI15,'Inputs summary'!$D$1:$D$106)</f>
        <v>3</v>
      </c>
      <c r="BO15" s="436">
        <f>+SUMIF('Inputs summary'!$B$1:$B$106,$BI15,'Inputs summary'!$D$1:$D$106)+SUMIF('Inputs summary'!$E$1:$E$106,$BI15,'Inputs summary'!$C$1:$C$106)</f>
        <v>4</v>
      </c>
      <c r="BP15" s="457">
        <f t="shared" si="12"/>
        <v>2.9930343000000006</v>
      </c>
    </row>
    <row r="16" spans="1:71" ht="14.25" customHeight="1" x14ac:dyDescent="0.25">
      <c r="G16" s="379">
        <v>13</v>
      </c>
      <c r="H16" s="379" t="str">
        <f>+'Groups Stage'!O30</f>
        <v>Estados Unidos</v>
      </c>
      <c r="I16" s="436">
        <f t="shared" ref="I16:O16" ca="1" si="26">+IF(COUNTIF(AC:AC,$H16)&gt;0,I$2,0)</f>
        <v>0</v>
      </c>
      <c r="J16" s="436">
        <f t="shared" ca="1" si="26"/>
        <v>0</v>
      </c>
      <c r="K16" s="436">
        <f t="shared" ca="1" si="26"/>
        <v>0</v>
      </c>
      <c r="L16" s="436">
        <f t="shared" ca="1" si="26"/>
        <v>0</v>
      </c>
      <c r="M16" s="436">
        <f t="shared" ca="1" si="26"/>
        <v>0</v>
      </c>
      <c r="N16" s="436">
        <f t="shared" ca="1" si="26"/>
        <v>0</v>
      </c>
      <c r="O16" s="436">
        <f t="shared" ca="1" si="26"/>
        <v>1</v>
      </c>
      <c r="P16" s="436">
        <f t="shared" ca="1" si="1"/>
        <v>1</v>
      </c>
      <c r="Q16" s="436">
        <f ca="1">+COUNTIFS('Inputs summary'!I:I,$H16)</f>
        <v>1</v>
      </c>
      <c r="R16" s="436">
        <f ca="1">+COUNTIFS('Inputs summary'!J:K,$H16)</f>
        <v>1</v>
      </c>
      <c r="S16" s="436">
        <f ca="1">+COUNTIFS('Inputs summary'!L:L,$H16)</f>
        <v>2</v>
      </c>
      <c r="T16" s="436">
        <f t="shared" ca="1" si="2"/>
        <v>-4</v>
      </c>
      <c r="U16" s="436">
        <f ca="1">+SUMIF('Inputs summary'!B:B,H16,'Inputs summary'!C:C)+SUMIF('Inputs summary'!E:E,H16,'Inputs summary'!D:D)</f>
        <v>2</v>
      </c>
      <c r="V16" s="436">
        <f ca="1">+SUMIF('Inputs summary'!B:B,H16,'Inputs summary'!D:D)+SUMIF('Inputs summary'!E:E,H16,'Inputs summary'!C:C)</f>
        <v>6</v>
      </c>
      <c r="W16" s="454">
        <f t="shared" ca="1" si="3"/>
        <v>103.96020000062499</v>
      </c>
      <c r="X16" s="455">
        <f t="shared" ca="1" si="4"/>
        <v>1</v>
      </c>
      <c r="Y16" s="456">
        <f t="shared" si="5"/>
        <v>2</v>
      </c>
      <c r="Z16" s="455">
        <f t="shared" ca="1" si="6"/>
        <v>103.96020050062499</v>
      </c>
      <c r="AA16" s="455">
        <f>+_xlfn.XLOOKUP(H16,'Ranking FIFA'!B:B,'Ranking FIFA'!A:A,"--",0)</f>
        <v>16</v>
      </c>
      <c r="AH16" s="379" t="str">
        <f ca="1">+'Round of 32 &amp; Round of 16'!V21</f>
        <v>Argentina</v>
      </c>
      <c r="AI16" s="379" t="str">
        <f ca="1">+'Round of 32 &amp; Round of 16'!B29</f>
        <v>Mexico</v>
      </c>
      <c r="AP16" s="451">
        <f>+_xlfn.XLOOKUP(AQ16,'Ranking FIFA'!B:B,'Ranking FIFA'!A:A,"--",0)</f>
        <v>13</v>
      </c>
      <c r="AQ16" s="379" t="s">
        <v>60</v>
      </c>
      <c r="AR16" s="436">
        <v>2</v>
      </c>
      <c r="AS16" s="436"/>
      <c r="AT16" s="450">
        <f t="shared" ca="1" si="7"/>
        <v>1</v>
      </c>
      <c r="AU16" s="457">
        <f t="shared" ca="1" si="8"/>
        <v>107.03070000076923</v>
      </c>
      <c r="BH16" s="379">
        <v>13</v>
      </c>
      <c r="BI16" s="379" t="str">
        <f t="shared" si="10"/>
        <v>Estados Unidos</v>
      </c>
      <c r="BJ16" s="436">
        <f>+COUNTIFS('Inputs summary'!I$2:I$106,BI16)</f>
        <v>1</v>
      </c>
      <c r="BK16" s="436">
        <f>+COUNTIFS('Inputs summary'!J$2:K$106,BI16)</f>
        <v>1</v>
      </c>
      <c r="BL16" s="436">
        <f>+COUNTIFS('Inputs summary'!L$2:L$106,BI16)</f>
        <v>1</v>
      </c>
      <c r="BM16" s="436">
        <f t="shared" si="11"/>
        <v>-1</v>
      </c>
      <c r="BN16" s="436">
        <f>+SUMIF('Inputs summary'!$B$1:$B$106,$BI16,'Inputs summary'!$C$1:$C$106)+SUMIF('Inputs summary'!$E$1:$E$106,$BI16,'Inputs summary'!$D$1:$D$106)</f>
        <v>2</v>
      </c>
      <c r="BO16" s="436">
        <f>+SUMIF('Inputs summary'!$B$1:$B$106,$BI16,'Inputs summary'!$D$1:$D$106)+SUMIF('Inputs summary'!$E$1:$E$106,$BI16,'Inputs summary'!$C$1:$C$106)</f>
        <v>3</v>
      </c>
      <c r="BP16" s="457">
        <f t="shared" si="12"/>
        <v>4.9920216000000002</v>
      </c>
    </row>
    <row r="17" spans="7:68" ht="14.25" customHeight="1" x14ac:dyDescent="0.25">
      <c r="G17" s="379">
        <v>14</v>
      </c>
      <c r="H17" s="379" t="str">
        <f>+'Groups Stage'!O31</f>
        <v>Paraguay</v>
      </c>
      <c r="I17" s="436">
        <f t="shared" ref="I17:O17" ca="1" si="27">+IF(COUNTIF(AC:AC,$H17)&gt;0,I$2,0)</f>
        <v>0</v>
      </c>
      <c r="J17" s="436">
        <f t="shared" ca="1" si="27"/>
        <v>0</v>
      </c>
      <c r="K17" s="436">
        <f t="shared" ca="1" si="27"/>
        <v>0</v>
      </c>
      <c r="L17" s="436">
        <f t="shared" ca="1" si="27"/>
        <v>0</v>
      </c>
      <c r="M17" s="436">
        <f t="shared" ca="1" si="27"/>
        <v>0</v>
      </c>
      <c r="N17" s="436">
        <f t="shared" ca="1" si="27"/>
        <v>0</v>
      </c>
      <c r="O17" s="436">
        <f t="shared" ca="1" si="27"/>
        <v>1</v>
      </c>
      <c r="P17" s="436">
        <f t="shared" ca="1" si="1"/>
        <v>1</v>
      </c>
      <c r="Q17" s="436">
        <f ca="1">+COUNTIFS('Inputs summary'!I:I,$H17)</f>
        <v>1</v>
      </c>
      <c r="R17" s="436">
        <f ca="1">+COUNTIFS('Inputs summary'!J:K,$H17)</f>
        <v>1</v>
      </c>
      <c r="S17" s="436">
        <f ca="1">+COUNTIFS('Inputs summary'!L:L,$H17)</f>
        <v>2</v>
      </c>
      <c r="T17" s="436">
        <f t="shared" ca="1" si="2"/>
        <v>0</v>
      </c>
      <c r="U17" s="436">
        <f ca="1">+SUMIF('Inputs summary'!B:B,H17,'Inputs summary'!C:C)+SUMIF('Inputs summary'!E:E,H17,'Inputs summary'!D:D)</f>
        <v>5</v>
      </c>
      <c r="V17" s="436">
        <f ca="1">+SUMIF('Inputs summary'!B:B,H17,'Inputs summary'!D:D)+SUMIF('Inputs summary'!E:E,H17,'Inputs summary'!C:C)</f>
        <v>5</v>
      </c>
      <c r="W17" s="454">
        <f t="shared" ca="1" si="3"/>
        <v>104.00050000025</v>
      </c>
      <c r="X17" s="455">
        <f t="shared" ca="1" si="4"/>
        <v>1</v>
      </c>
      <c r="Y17" s="456">
        <f t="shared" si="5"/>
        <v>2</v>
      </c>
      <c r="Z17" s="455">
        <f t="shared" ca="1" si="6"/>
        <v>104.00050050025</v>
      </c>
      <c r="AA17" s="455">
        <f>+_xlfn.XLOOKUP(H17,'Ranking FIFA'!B:B,'Ranking FIFA'!A:A,"--",0)</f>
        <v>40</v>
      </c>
      <c r="AH17" s="379" t="str">
        <f ca="1">+'Round of 32 &amp; Round of 16'!Y21</f>
        <v>Iran</v>
      </c>
      <c r="AI17" s="379" t="str">
        <f ca="1">+'Round of 32 &amp; Round of 16'!E29</f>
        <v>Arabia Saudita</v>
      </c>
      <c r="AP17" s="451">
        <f>+_xlfn.XLOOKUP(AQ17,'Ranking FIFA'!B:B,'Ranking FIFA'!A:A,"--",0)</f>
        <v>14</v>
      </c>
      <c r="AQ17" s="379" t="s">
        <v>61</v>
      </c>
      <c r="AR17" s="436">
        <v>2</v>
      </c>
      <c r="AS17" s="436"/>
      <c r="AT17" s="450">
        <f t="shared" ca="1" si="7"/>
        <v>1</v>
      </c>
      <c r="AU17" s="457">
        <f t="shared" ca="1" si="8"/>
        <v>102.97040000071428</v>
      </c>
      <c r="AY17" s="458" t="str">
        <f ca="1">+IF(AY11="-",IF(AY15="-","-",AY15),IF(AY15="-",AY11,IF(AX11&lt;=AX15,AY11,AY15)))</f>
        <v>Uruguay</v>
      </c>
      <c r="BH17" s="379">
        <v>14</v>
      </c>
      <c r="BI17" s="379" t="str">
        <f t="shared" si="10"/>
        <v>Paraguay</v>
      </c>
      <c r="BJ17" s="436">
        <f>+COUNTIFS('Inputs summary'!I$2:I$106,BI17)</f>
        <v>1</v>
      </c>
      <c r="BK17" s="436">
        <f>+COUNTIFS('Inputs summary'!J$2:K$106,BI17)</f>
        <v>1</v>
      </c>
      <c r="BL17" s="436">
        <f>+COUNTIFS('Inputs summary'!L$2:L$106,BI17)</f>
        <v>1</v>
      </c>
      <c r="BM17" s="436">
        <f t="shared" si="11"/>
        <v>1</v>
      </c>
      <c r="BN17" s="436">
        <f>+SUMIF('Inputs summary'!$B$1:$B$106,$BI17,'Inputs summary'!$C$1:$C$106)+SUMIF('Inputs summary'!$E$1:$E$106,$BI17,'Inputs summary'!$D$1:$D$106)</f>
        <v>4</v>
      </c>
      <c r="BO17" s="436">
        <f>+SUMIF('Inputs summary'!$B$1:$B$106,$BI17,'Inputs summary'!$D$1:$D$106)+SUMIF('Inputs summary'!$E$1:$E$106,$BI17,'Inputs summary'!$C$1:$C$106)</f>
        <v>3</v>
      </c>
      <c r="BP17" s="457">
        <f t="shared" si="12"/>
        <v>5.0140239999999991</v>
      </c>
    </row>
    <row r="18" spans="7:68" ht="14.25" customHeight="1" x14ac:dyDescent="0.25">
      <c r="G18" s="379">
        <v>15</v>
      </c>
      <c r="H18" s="379" t="str">
        <f>+'Groups Stage'!O32</f>
        <v>Australia</v>
      </c>
      <c r="I18" s="436">
        <f t="shared" ref="I18:O18" ca="1" si="28">+IF(COUNTIF(AC:AC,$H18)&gt;0,I$2,0)</f>
        <v>0</v>
      </c>
      <c r="J18" s="436">
        <f t="shared" ca="1" si="28"/>
        <v>0</v>
      </c>
      <c r="K18" s="436">
        <f t="shared" ca="1" si="28"/>
        <v>0</v>
      </c>
      <c r="L18" s="436">
        <f t="shared" ca="1" si="28"/>
        <v>0</v>
      </c>
      <c r="M18" s="436">
        <f t="shared" ca="1" si="28"/>
        <v>0</v>
      </c>
      <c r="N18" s="436">
        <f t="shared" ca="1" si="28"/>
        <v>0</v>
      </c>
      <c r="O18" s="436">
        <f t="shared" ca="1" si="28"/>
        <v>0</v>
      </c>
      <c r="P18" s="436">
        <f t="shared" ca="1" si="1"/>
        <v>0</v>
      </c>
      <c r="Q18" s="436">
        <f ca="1">+COUNTIFS('Inputs summary'!I:I,$H18)</f>
        <v>0</v>
      </c>
      <c r="R18" s="436">
        <f ca="1">+COUNTIFS('Inputs summary'!J:K,$H18)</f>
        <v>0</v>
      </c>
      <c r="S18" s="436">
        <f ca="1">+COUNTIFS('Inputs summary'!L:L,$H18)</f>
        <v>3</v>
      </c>
      <c r="T18" s="436">
        <f t="shared" ca="1" si="2"/>
        <v>-4</v>
      </c>
      <c r="U18" s="436">
        <f ca="1">+SUMIF('Inputs summary'!B:B,H18,'Inputs summary'!C:C)+SUMIF('Inputs summary'!E:E,H18,'Inputs summary'!D:D)</f>
        <v>1</v>
      </c>
      <c r="V18" s="436">
        <f ca="1">+SUMIF('Inputs summary'!B:B,H18,'Inputs summary'!D:D)+SUMIF('Inputs summary'!E:E,H18,'Inputs summary'!C:C)</f>
        <v>5</v>
      </c>
      <c r="W18" s="454">
        <f t="shared" ca="1" si="3"/>
        <v>-3.9899999629629625E-2</v>
      </c>
      <c r="X18" s="455">
        <f t="shared" ca="1" si="4"/>
        <v>0</v>
      </c>
      <c r="Y18" s="456">
        <f t="shared" si="5"/>
        <v>3</v>
      </c>
      <c r="Z18" s="455">
        <f t="shared" ca="1" si="6"/>
        <v>-3.9899666296296293E-2</v>
      </c>
      <c r="AA18" s="455">
        <f>+_xlfn.XLOOKUP(H18,'Ranking FIFA'!B:B,'Ranking FIFA'!A:A,"--",0)</f>
        <v>27</v>
      </c>
      <c r="AH18" s="379" t="str">
        <f ca="1">+'Round of 32 &amp; Round of 16'!V29</f>
        <v>Suiza</v>
      </c>
      <c r="AI18" s="379" t="str">
        <f ca="1">+'Round of 32 &amp; Round of 16'!B33</f>
        <v>Inglaterra</v>
      </c>
      <c r="AP18" s="451">
        <f>+_xlfn.XLOOKUP(AQ18,'Ranking FIFA'!B:B,'Ranking FIFA'!A:A,"--",0)</f>
        <v>15</v>
      </c>
      <c r="AQ18" s="379" t="s">
        <v>62</v>
      </c>
      <c r="AR18" s="436">
        <v>2</v>
      </c>
      <c r="AS18" s="436"/>
      <c r="AT18" s="450">
        <f t="shared" ca="1" si="7"/>
        <v>11</v>
      </c>
      <c r="AU18" s="457">
        <f t="shared" ca="1" si="8"/>
        <v>210.03080000066666</v>
      </c>
      <c r="BH18" s="379">
        <v>15</v>
      </c>
      <c r="BI18" s="379" t="str">
        <f t="shared" si="10"/>
        <v>Australia</v>
      </c>
      <c r="BJ18" s="436">
        <f>+COUNTIFS('Inputs summary'!I$2:I$106,BI18)</f>
        <v>0</v>
      </c>
      <c r="BK18" s="436">
        <f>+COUNTIFS('Inputs summary'!J$2:K$106,BI18)</f>
        <v>0</v>
      </c>
      <c r="BL18" s="436">
        <f>+COUNTIFS('Inputs summary'!L$2:L$106,BI18)</f>
        <v>3</v>
      </c>
      <c r="BM18" s="436">
        <f t="shared" si="11"/>
        <v>-4</v>
      </c>
      <c r="BN18" s="436">
        <f>+SUMIF('Inputs summary'!$B$1:$B$106,$BI18,'Inputs summary'!$C$1:$C$106)+SUMIF('Inputs summary'!$E$1:$E$106,$BI18,'Inputs summary'!$D$1:$D$106)</f>
        <v>1</v>
      </c>
      <c r="BO18" s="436">
        <f>+SUMIF('Inputs summary'!$B$1:$B$106,$BI18,'Inputs summary'!$D$1:$D$106)+SUMIF('Inputs summary'!$E$1:$E$106,$BI18,'Inputs summary'!$C$1:$C$106)</f>
        <v>5</v>
      </c>
      <c r="BP18" s="457">
        <f t="shared" si="12"/>
        <v>-3.8967299999999996E-2</v>
      </c>
    </row>
    <row r="19" spans="7:68" ht="14.25" customHeight="1" x14ac:dyDescent="0.25">
      <c r="G19" s="379">
        <v>16</v>
      </c>
      <c r="H19" s="379" t="str">
        <f>+'Groups Stage'!O33</f>
        <v>Turquia</v>
      </c>
      <c r="I19" s="436">
        <f t="shared" ref="I19:O19" ca="1" si="29">+IF(COUNTIF(AC:AC,$H19)&gt;0,I$2,0)</f>
        <v>0</v>
      </c>
      <c r="J19" s="436">
        <f t="shared" ca="1" si="29"/>
        <v>0</v>
      </c>
      <c r="K19" s="436">
        <f t="shared" ca="1" si="29"/>
        <v>0</v>
      </c>
      <c r="L19" s="436">
        <f t="shared" ca="1" si="29"/>
        <v>0</v>
      </c>
      <c r="M19" s="436">
        <f t="shared" ca="1" si="29"/>
        <v>0</v>
      </c>
      <c r="N19" s="436">
        <f t="shared" ca="1" si="29"/>
        <v>1</v>
      </c>
      <c r="O19" s="436">
        <f t="shared" ca="1" si="29"/>
        <v>1</v>
      </c>
      <c r="P19" s="436">
        <f t="shared" ca="1" si="1"/>
        <v>2</v>
      </c>
      <c r="Q19" s="436">
        <f ca="1">+COUNTIFS('Inputs summary'!I:I,$H19)</f>
        <v>3</v>
      </c>
      <c r="R19" s="436">
        <f ca="1">+COUNTIFS('Inputs summary'!J:K,$H19)</f>
        <v>1</v>
      </c>
      <c r="S19" s="436">
        <f ca="1">+COUNTIFS('Inputs summary'!L:L,$H19)</f>
        <v>1</v>
      </c>
      <c r="T19" s="436">
        <f t="shared" ca="1" si="2"/>
        <v>3</v>
      </c>
      <c r="U19" s="436">
        <f ca="1">+SUMIF('Inputs summary'!B:B,H19,'Inputs summary'!C:C)+SUMIF('Inputs summary'!E:E,H19,'Inputs summary'!D:D)</f>
        <v>9</v>
      </c>
      <c r="V19" s="436">
        <f ca="1">+SUMIF('Inputs summary'!B:B,H19,'Inputs summary'!D:D)+SUMIF('Inputs summary'!E:E,H19,'Inputs summary'!C:C)</f>
        <v>6</v>
      </c>
      <c r="W19" s="454">
        <f t="shared" ca="1" si="3"/>
        <v>210.03090000045455</v>
      </c>
      <c r="X19" s="455">
        <f t="shared" ca="1" si="4"/>
        <v>11</v>
      </c>
      <c r="Y19" s="456">
        <f t="shared" si="5"/>
        <v>2</v>
      </c>
      <c r="Z19" s="455">
        <f t="shared" ca="1" si="6"/>
        <v>210.03090050045455</v>
      </c>
      <c r="AA19" s="455">
        <f>+_xlfn.XLOOKUP(H19,'Ranking FIFA'!B:B,'Ranking FIFA'!A:A,"--",0)</f>
        <v>22</v>
      </c>
      <c r="AH19" s="379" t="str">
        <f ca="1">+'Round of 32 &amp; Round of 16'!Y29</f>
        <v>Portugal</v>
      </c>
      <c r="AI19" s="379" t="str">
        <f ca="1">+'Round of 32 &amp; Round of 16'!E33</f>
        <v>Senegal</v>
      </c>
      <c r="AP19" s="451">
        <f>+_xlfn.XLOOKUP(AQ19,'Ranking FIFA'!B:B,'Ranking FIFA'!A:A,"--",0)</f>
        <v>16</v>
      </c>
      <c r="AQ19" s="379" t="s">
        <v>63</v>
      </c>
      <c r="AR19" s="436">
        <v>2</v>
      </c>
      <c r="AS19" s="436"/>
      <c r="AT19" s="450">
        <f t="shared" ca="1" si="7"/>
        <v>1</v>
      </c>
      <c r="AU19" s="457">
        <f t="shared" ca="1" si="8"/>
        <v>103.96020000062499</v>
      </c>
      <c r="BH19" s="379">
        <v>16</v>
      </c>
      <c r="BI19" s="379" t="str">
        <f t="shared" si="10"/>
        <v>Turquia</v>
      </c>
      <c r="BJ19" s="436">
        <f>+COUNTIFS('Inputs summary'!I$2:I$106,BI19)</f>
        <v>3</v>
      </c>
      <c r="BK19" s="436">
        <f>+COUNTIFS('Inputs summary'!J$2:K$106,BI19)</f>
        <v>0</v>
      </c>
      <c r="BL19" s="436">
        <f>+COUNTIFS('Inputs summary'!L$2:L$106,BI19)</f>
        <v>0</v>
      </c>
      <c r="BM19" s="436">
        <f t="shared" si="11"/>
        <v>4</v>
      </c>
      <c r="BN19" s="436">
        <f>+SUMIF('Inputs summary'!$B$1:$B$106,$BI19,'Inputs summary'!$C$1:$C$106)+SUMIF('Inputs summary'!$E$1:$E$106,$BI19,'Inputs summary'!$D$1:$D$106)</f>
        <v>6</v>
      </c>
      <c r="BO19" s="436">
        <f>+SUMIF('Inputs summary'!$B$1:$B$106,$BI19,'Inputs summary'!$D$1:$D$106)+SUMIF('Inputs summary'!$E$1:$E$106,$BI19,'Inputs summary'!$C$1:$C$106)</f>
        <v>2</v>
      </c>
      <c r="BP19" s="457">
        <f t="shared" si="12"/>
        <v>9.0460221999999995</v>
      </c>
    </row>
    <row r="20" spans="7:68" ht="14.25" customHeight="1" x14ac:dyDescent="0.25">
      <c r="G20" s="379">
        <v>17</v>
      </c>
      <c r="H20" s="379" t="str">
        <f>+'Groups Stage'!O39</f>
        <v>Alemania</v>
      </c>
      <c r="I20" s="436">
        <f t="shared" ref="I20:O20" ca="1" si="30">+IF(COUNTIF(AC:AC,$H20)&gt;0,I$2,0)</f>
        <v>0</v>
      </c>
      <c r="J20" s="436">
        <f t="shared" ca="1" si="30"/>
        <v>0</v>
      </c>
      <c r="K20" s="436">
        <f t="shared" ca="1" si="30"/>
        <v>0</v>
      </c>
      <c r="L20" s="436">
        <f t="shared" ca="1" si="30"/>
        <v>0</v>
      </c>
      <c r="M20" s="436">
        <f t="shared" ca="1" si="30"/>
        <v>0</v>
      </c>
      <c r="N20" s="436">
        <f t="shared" ca="1" si="30"/>
        <v>1</v>
      </c>
      <c r="O20" s="436">
        <f t="shared" ca="1" si="30"/>
        <v>1</v>
      </c>
      <c r="P20" s="436">
        <f t="shared" ca="1" si="1"/>
        <v>2</v>
      </c>
      <c r="Q20" s="436">
        <f ca="1">+COUNTIFS('Inputs summary'!I:I,$H20)</f>
        <v>4</v>
      </c>
      <c r="R20" s="436">
        <f ca="1">+COUNTIFS('Inputs summary'!J:K,$H20)</f>
        <v>0</v>
      </c>
      <c r="S20" s="436">
        <f ca="1">+COUNTIFS('Inputs summary'!L:L,$H20)</f>
        <v>1</v>
      </c>
      <c r="T20" s="436">
        <f t="shared" ca="1" si="2"/>
        <v>8</v>
      </c>
      <c r="U20" s="436">
        <f ca="1">+SUMIF('Inputs summary'!B:B,H20,'Inputs summary'!C:C)+SUMIF('Inputs summary'!E:E,H20,'Inputs summary'!D:D)</f>
        <v>12</v>
      </c>
      <c r="V20" s="436">
        <f ca="1">+SUMIF('Inputs summary'!B:B,H20,'Inputs summary'!D:D)+SUMIF('Inputs summary'!E:E,H20,'Inputs summary'!C:C)</f>
        <v>4</v>
      </c>
      <c r="W20" s="454">
        <f t="shared" ca="1" si="3"/>
        <v>212.08120000100001</v>
      </c>
      <c r="X20" s="455">
        <f t="shared" ca="1" si="4"/>
        <v>11</v>
      </c>
      <c r="Y20" s="456">
        <f t="shared" si="5"/>
        <v>1</v>
      </c>
      <c r="Z20" s="455">
        <f t="shared" ca="1" si="6"/>
        <v>212.08120100100001</v>
      </c>
      <c r="AA20" s="455">
        <f>+_xlfn.XLOOKUP(H20,'Ranking FIFA'!B:B,'Ranking FIFA'!A:A,"--",0)</f>
        <v>10</v>
      </c>
      <c r="AI20" s="379" t="str">
        <f ca="1">+'Round of 32 &amp; Round of 16'!H5</f>
        <v>Turquia</v>
      </c>
      <c r="AP20" s="451">
        <f>+_xlfn.XLOOKUP(AQ20,'Ranking FIFA'!B:B,'Ranking FIFA'!A:A,"--",0)</f>
        <v>18</v>
      </c>
      <c r="AQ20" s="379" t="s">
        <v>64</v>
      </c>
      <c r="AR20" s="436">
        <v>2</v>
      </c>
      <c r="AS20" s="436"/>
      <c r="AT20" s="450">
        <f t="shared" ca="1" si="7"/>
        <v>1</v>
      </c>
      <c r="AU20" s="457">
        <f t="shared" ca="1" si="8"/>
        <v>107.02060000055556</v>
      </c>
      <c r="BH20" s="379">
        <v>17</v>
      </c>
      <c r="BI20" s="379" t="str">
        <f t="shared" si="10"/>
        <v>Alemania</v>
      </c>
      <c r="BJ20" s="436">
        <f>+COUNTIFS('Inputs summary'!I$2:I$106,BI20)</f>
        <v>3</v>
      </c>
      <c r="BK20" s="436">
        <f>+COUNTIFS('Inputs summary'!J$2:K$106,BI20)</f>
        <v>0</v>
      </c>
      <c r="BL20" s="436">
        <f>+COUNTIFS('Inputs summary'!L$2:L$106,BI20)</f>
        <v>0</v>
      </c>
      <c r="BM20" s="436">
        <f t="shared" si="11"/>
        <v>7</v>
      </c>
      <c r="BN20" s="436">
        <f>+SUMIF('Inputs summary'!$B$1:$B$106,$BI20,'Inputs summary'!$C$1:$C$106)+SUMIF('Inputs summary'!$E$1:$E$106,$BI20,'Inputs summary'!$D$1:$D$106)</f>
        <v>7</v>
      </c>
      <c r="BO20" s="436">
        <f>+SUMIF('Inputs summary'!$B$1:$B$106,$BI20,'Inputs summary'!$D$1:$D$106)+SUMIF('Inputs summary'!$E$1:$E$106,$BI20,'Inputs summary'!$C$1:$C$106)</f>
        <v>0</v>
      </c>
      <c r="BP20" s="457">
        <f t="shared" si="12"/>
        <v>9.0770109999999988</v>
      </c>
    </row>
    <row r="21" spans="7:68" ht="14.25" customHeight="1" x14ac:dyDescent="0.25">
      <c r="G21" s="379">
        <v>18</v>
      </c>
      <c r="H21" s="379" t="str">
        <f>+'Groups Stage'!O40</f>
        <v>Curazao</v>
      </c>
      <c r="I21" s="436">
        <f t="shared" ref="I21:O21" ca="1" si="31">+IF(COUNTIF(AC:AC,$H21)&gt;0,I$2,0)</f>
        <v>0</v>
      </c>
      <c r="J21" s="436">
        <f t="shared" ca="1" si="31"/>
        <v>0</v>
      </c>
      <c r="K21" s="436">
        <f t="shared" ca="1" si="31"/>
        <v>0</v>
      </c>
      <c r="L21" s="436">
        <f t="shared" ca="1" si="31"/>
        <v>0</v>
      </c>
      <c r="M21" s="436">
        <f t="shared" ca="1" si="31"/>
        <v>0</v>
      </c>
      <c r="N21" s="436">
        <f t="shared" ca="1" si="31"/>
        <v>0</v>
      </c>
      <c r="O21" s="436">
        <f t="shared" ca="1" si="31"/>
        <v>0</v>
      </c>
      <c r="P21" s="436">
        <f t="shared" ca="1" si="1"/>
        <v>0</v>
      </c>
      <c r="Q21" s="436">
        <f ca="1">+COUNTIFS('Inputs summary'!I:I,$H21)</f>
        <v>0</v>
      </c>
      <c r="R21" s="436">
        <f ca="1">+COUNTIFS('Inputs summary'!J:K,$H21)</f>
        <v>0</v>
      </c>
      <c r="S21" s="436">
        <f ca="1">+COUNTIFS('Inputs summary'!L:L,$H21)</f>
        <v>3</v>
      </c>
      <c r="T21" s="436">
        <f t="shared" ca="1" si="2"/>
        <v>-6</v>
      </c>
      <c r="U21" s="436">
        <f ca="1">+SUMIF('Inputs summary'!B:B,H21,'Inputs summary'!C:C)+SUMIF('Inputs summary'!E:E,H21,'Inputs summary'!D:D)</f>
        <v>0</v>
      </c>
      <c r="V21" s="436">
        <f ca="1">+SUMIF('Inputs summary'!B:B,H21,'Inputs summary'!D:D)+SUMIF('Inputs summary'!E:E,H21,'Inputs summary'!C:C)</f>
        <v>6</v>
      </c>
      <c r="W21" s="454">
        <f t="shared" ca="1" si="3"/>
        <v>-5.9999999878048778E-2</v>
      </c>
      <c r="X21" s="455">
        <f t="shared" ca="1" si="4"/>
        <v>0</v>
      </c>
      <c r="Y21" s="456">
        <f t="shared" si="5"/>
        <v>4</v>
      </c>
      <c r="Z21" s="455">
        <f t="shared" ca="1" si="6"/>
        <v>-5.9999749878048778E-2</v>
      </c>
      <c r="AA21" s="455">
        <f>+_xlfn.XLOOKUP(H21,'Ranking FIFA'!B:B,'Ranking FIFA'!A:A,"--",0)</f>
        <v>82</v>
      </c>
      <c r="AI21" s="379" t="str">
        <f ca="1">+'Round of 32 &amp; Round of 16'!K5</f>
        <v>Suecia</v>
      </c>
      <c r="AP21" s="451">
        <f>+_xlfn.XLOOKUP(AQ21,'Ranking FIFA'!B:B,'Ranking FIFA'!A:A,"--",0)</f>
        <v>19</v>
      </c>
      <c r="AQ21" s="379" t="s">
        <v>65</v>
      </c>
      <c r="AR21" s="436">
        <v>2</v>
      </c>
      <c r="AS21" s="436"/>
      <c r="AT21" s="450">
        <f t="shared" ca="1" si="7"/>
        <v>11</v>
      </c>
      <c r="AU21" s="457">
        <f t="shared" ca="1" si="8"/>
        <v>210.05080000052632</v>
      </c>
      <c r="AW21" s="379" t="s">
        <v>32</v>
      </c>
      <c r="BH21" s="379">
        <v>18</v>
      </c>
      <c r="BI21" s="379" t="str">
        <f t="shared" si="10"/>
        <v>Curazao</v>
      </c>
      <c r="BJ21" s="436">
        <f>+COUNTIFS('Inputs summary'!I$2:I$106,BI21)</f>
        <v>0</v>
      </c>
      <c r="BK21" s="436">
        <f>+COUNTIFS('Inputs summary'!J$2:K$106,BI21)</f>
        <v>0</v>
      </c>
      <c r="BL21" s="436">
        <f>+COUNTIFS('Inputs summary'!L$2:L$106,BI21)</f>
        <v>3</v>
      </c>
      <c r="BM21" s="436">
        <f t="shared" si="11"/>
        <v>-6</v>
      </c>
      <c r="BN21" s="436">
        <f>+SUMIF('Inputs summary'!$B$1:$B$106,$BI21,'Inputs summary'!$C$1:$C$106)+SUMIF('Inputs summary'!$E$1:$E$106,$BI21,'Inputs summary'!$D$1:$D$106)</f>
        <v>0</v>
      </c>
      <c r="BO21" s="436">
        <f>+SUMIF('Inputs summary'!$B$1:$B$106,$BI21,'Inputs summary'!$D$1:$D$106)+SUMIF('Inputs summary'!$E$1:$E$106,$BI21,'Inputs summary'!$C$1:$C$106)</f>
        <v>6</v>
      </c>
      <c r="BP21" s="457">
        <f t="shared" si="12"/>
        <v>-5.99518E-2</v>
      </c>
    </row>
    <row r="22" spans="7:68" ht="14.25" customHeight="1" x14ac:dyDescent="0.25">
      <c r="G22" s="379">
        <v>19</v>
      </c>
      <c r="H22" s="379" t="str">
        <f>+'Groups Stage'!O41</f>
        <v>Costa de Marfil</v>
      </c>
      <c r="I22" s="436">
        <f t="shared" ref="I22:O22" ca="1" si="32">+IF(COUNTIF(AC:AC,$H22)&gt;0,I$2,0)</f>
        <v>0</v>
      </c>
      <c r="J22" s="436">
        <f t="shared" ca="1" si="32"/>
        <v>0</v>
      </c>
      <c r="K22" s="436">
        <f t="shared" ca="1" si="32"/>
        <v>0</v>
      </c>
      <c r="L22" s="436">
        <f t="shared" ca="1" si="32"/>
        <v>0</v>
      </c>
      <c r="M22" s="436">
        <f t="shared" ca="1" si="32"/>
        <v>0</v>
      </c>
      <c r="N22" s="436">
        <f t="shared" ca="1" si="32"/>
        <v>0</v>
      </c>
      <c r="O22" s="436">
        <f t="shared" ca="1" si="32"/>
        <v>0</v>
      </c>
      <c r="P22" s="436">
        <f t="shared" ca="1" si="1"/>
        <v>0</v>
      </c>
      <c r="Q22" s="436">
        <f ca="1">+COUNTIFS('Inputs summary'!I:I,$H22)</f>
        <v>1</v>
      </c>
      <c r="R22" s="436">
        <f ca="1">+COUNTIFS('Inputs summary'!J:K,$H22)</f>
        <v>0</v>
      </c>
      <c r="S22" s="436">
        <f ca="1">+COUNTIFS('Inputs summary'!L:L,$H22)</f>
        <v>2</v>
      </c>
      <c r="T22" s="436">
        <f t="shared" ca="1" si="2"/>
        <v>-3</v>
      </c>
      <c r="U22" s="436">
        <f ca="1">+SUMIF('Inputs summary'!B:B,H22,'Inputs summary'!C:C)+SUMIF('Inputs summary'!E:E,H22,'Inputs summary'!D:D)</f>
        <v>1</v>
      </c>
      <c r="V22" s="436">
        <f ca="1">+SUMIF('Inputs summary'!B:B,H22,'Inputs summary'!D:D)+SUMIF('Inputs summary'!E:E,H22,'Inputs summary'!C:C)</f>
        <v>4</v>
      </c>
      <c r="W22" s="454">
        <f t="shared" ca="1" si="3"/>
        <v>2.970100000294118</v>
      </c>
      <c r="X22" s="455">
        <f t="shared" ca="1" si="4"/>
        <v>0</v>
      </c>
      <c r="Y22" s="456">
        <f t="shared" si="5"/>
        <v>3</v>
      </c>
      <c r="Z22" s="455">
        <f t="shared" ca="1" si="6"/>
        <v>2.9701003336274514</v>
      </c>
      <c r="AA22" s="455">
        <f>+_xlfn.XLOOKUP(H22,'Ranking FIFA'!B:B,'Ranking FIFA'!A:A,"--",0)</f>
        <v>34</v>
      </c>
      <c r="AI22" s="379" t="str">
        <f ca="1">+'Round of 32 &amp; Round of 16'!H9</f>
        <v>Belgica</v>
      </c>
      <c r="AP22" s="451">
        <f>+_xlfn.XLOOKUP(AQ22,'Ranking FIFA'!B:B,'Ranking FIFA'!A:A,"--",0)</f>
        <v>22</v>
      </c>
      <c r="AQ22" s="464" t="s">
        <v>66</v>
      </c>
      <c r="AR22" s="436">
        <v>2</v>
      </c>
      <c r="AS22" s="436"/>
      <c r="AT22" s="450">
        <f t="shared" ca="1" si="7"/>
        <v>11</v>
      </c>
      <c r="AU22" s="457">
        <f t="shared" ca="1" si="8"/>
        <v>210.03090000045455</v>
      </c>
      <c r="AW22" s="379">
        <f ca="1">+SMALL($Z$3:$Z$51,1)</f>
        <v>-8.9999749824561409E-2</v>
      </c>
      <c r="AX22" s="379" t="str">
        <f ca="1">+_xlfn.XLOOKUP(AW22,Z:Z,H:H,"-",0)</f>
        <v>Irak</v>
      </c>
      <c r="BH22" s="379">
        <v>19</v>
      </c>
      <c r="BI22" s="379" t="str">
        <f t="shared" si="10"/>
        <v>Costa de Marfil</v>
      </c>
      <c r="BJ22" s="436">
        <f>+COUNTIFS('Inputs summary'!I$2:I$106,BI22)</f>
        <v>1</v>
      </c>
      <c r="BK22" s="436">
        <f>+COUNTIFS('Inputs summary'!J$2:K$106,BI22)</f>
        <v>0</v>
      </c>
      <c r="BL22" s="436">
        <f>+COUNTIFS('Inputs summary'!L$2:L$106,BI22)</f>
        <v>2</v>
      </c>
      <c r="BM22" s="436">
        <f t="shared" si="11"/>
        <v>-3</v>
      </c>
      <c r="BN22" s="436">
        <f>+SUMIF('Inputs summary'!$B$1:$B$106,$BI22,'Inputs summary'!$C$1:$C$106)+SUMIF('Inputs summary'!$E$1:$E$106,$BI22,'Inputs summary'!$D$1:$D$106)</f>
        <v>1</v>
      </c>
      <c r="BO22" s="436">
        <f>+SUMIF('Inputs summary'!$B$1:$B$106,$BI22,'Inputs summary'!$D$1:$D$106)+SUMIF('Inputs summary'!$E$1:$E$106,$BI22,'Inputs summary'!$C$1:$C$106)</f>
        <v>4</v>
      </c>
      <c r="BP22" s="457">
        <f t="shared" si="12"/>
        <v>2.9710334000000005</v>
      </c>
    </row>
    <row r="23" spans="7:68" ht="14.25" customHeight="1" x14ac:dyDescent="0.25">
      <c r="G23" s="379">
        <v>20</v>
      </c>
      <c r="H23" s="379" t="str">
        <f>+'Groups Stage'!O42</f>
        <v>Ecuador</v>
      </c>
      <c r="I23" s="436">
        <f t="shared" ref="I23:O23" ca="1" si="33">+IF(COUNTIF(AC:AC,$H23)&gt;0,I$2,0)</f>
        <v>0</v>
      </c>
      <c r="J23" s="436">
        <f t="shared" ca="1" si="33"/>
        <v>0</v>
      </c>
      <c r="K23" s="436">
        <f t="shared" ca="1" si="33"/>
        <v>0</v>
      </c>
      <c r="L23" s="436">
        <f t="shared" ca="1" si="33"/>
        <v>0</v>
      </c>
      <c r="M23" s="436">
        <f t="shared" ca="1" si="33"/>
        <v>0</v>
      </c>
      <c r="N23" s="436">
        <f t="shared" ca="1" si="33"/>
        <v>0</v>
      </c>
      <c r="O23" s="436">
        <f t="shared" ca="1" si="33"/>
        <v>1</v>
      </c>
      <c r="P23" s="436">
        <f t="shared" ca="1" si="1"/>
        <v>1</v>
      </c>
      <c r="Q23" s="436">
        <f ca="1">+COUNTIFS('Inputs summary'!I:I,$H23)</f>
        <v>2</v>
      </c>
      <c r="R23" s="436">
        <f ca="1">+COUNTIFS('Inputs summary'!J:K,$H23)</f>
        <v>0</v>
      </c>
      <c r="S23" s="436">
        <f ca="1">+COUNTIFS('Inputs summary'!L:L,$H23)</f>
        <v>2</v>
      </c>
      <c r="T23" s="436">
        <f t="shared" ca="1" si="2"/>
        <v>1</v>
      </c>
      <c r="U23" s="436">
        <f ca="1">+SUMIF('Inputs summary'!B:B,H23,'Inputs summary'!C:C)+SUMIF('Inputs summary'!E:E,H23,'Inputs summary'!D:D)</f>
        <v>5</v>
      </c>
      <c r="V23" s="436">
        <f ca="1">+SUMIF('Inputs summary'!B:B,H23,'Inputs summary'!D:D)+SUMIF('Inputs summary'!E:E,H23,'Inputs summary'!C:C)</f>
        <v>4</v>
      </c>
      <c r="W23" s="454">
        <f t="shared" ca="1" si="3"/>
        <v>106.01050000043479</v>
      </c>
      <c r="X23" s="455">
        <f t="shared" ca="1" si="4"/>
        <v>1</v>
      </c>
      <c r="Y23" s="456">
        <f t="shared" si="5"/>
        <v>2</v>
      </c>
      <c r="Z23" s="455">
        <f t="shared" ca="1" si="6"/>
        <v>106.01050050043479</v>
      </c>
      <c r="AA23" s="455">
        <f>+_xlfn.XLOOKUP(H23,'Ranking FIFA'!B:B,'Ranking FIFA'!A:A,"--",0)</f>
        <v>23</v>
      </c>
      <c r="AI23" s="379" t="str">
        <f ca="1">+'Round of 32 &amp; Round of 16'!K9</f>
        <v>Repubilca Checa</v>
      </c>
      <c r="AP23" s="451">
        <f>+_xlfn.XLOOKUP(AQ23,'Ranking FIFA'!B:B,'Ranking FIFA'!A:A,"--",0)</f>
        <v>23</v>
      </c>
      <c r="AQ23" s="379" t="s">
        <v>67</v>
      </c>
      <c r="AR23" s="436">
        <v>2</v>
      </c>
      <c r="AS23" s="436"/>
      <c r="AT23" s="450">
        <f t="shared" ca="1" si="7"/>
        <v>1</v>
      </c>
      <c r="AU23" s="457">
        <f t="shared" ca="1" si="8"/>
        <v>106.01050000043479</v>
      </c>
      <c r="BH23" s="379">
        <v>20</v>
      </c>
      <c r="BI23" s="379" t="str">
        <f t="shared" si="10"/>
        <v>Ecuador</v>
      </c>
      <c r="BJ23" s="436">
        <f>+COUNTIFS('Inputs summary'!I$2:I$106,BI23)</f>
        <v>2</v>
      </c>
      <c r="BK23" s="436">
        <f>+COUNTIFS('Inputs summary'!J$2:K$106,BI23)</f>
        <v>0</v>
      </c>
      <c r="BL23" s="436">
        <f>+COUNTIFS('Inputs summary'!L$2:L$106,BI23)</f>
        <v>1</v>
      </c>
      <c r="BM23" s="436">
        <f t="shared" si="11"/>
        <v>2</v>
      </c>
      <c r="BN23" s="436">
        <f>+SUMIF('Inputs summary'!$B$1:$B$106,$BI23,'Inputs summary'!$C$1:$C$106)+SUMIF('Inputs summary'!$E$1:$E$106,$BI23,'Inputs summary'!$D$1:$D$106)</f>
        <v>4</v>
      </c>
      <c r="BO23" s="436">
        <f>+SUMIF('Inputs summary'!$B$1:$B$106,$BI23,'Inputs summary'!$D$1:$D$106)+SUMIF('Inputs summary'!$E$1:$E$106,$BI23,'Inputs summary'!$C$1:$C$106)</f>
        <v>2</v>
      </c>
      <c r="BP23" s="457">
        <f t="shared" si="12"/>
        <v>6.0240222999999995</v>
      </c>
    </row>
    <row r="24" spans="7:68" ht="14.25" customHeight="1" x14ac:dyDescent="0.25">
      <c r="G24" s="379">
        <v>21</v>
      </c>
      <c r="H24" s="379" t="str">
        <f>+'Groups Stage'!O48</f>
        <v>Paises Bajos</v>
      </c>
      <c r="I24" s="436">
        <f t="shared" ref="I24:O24" ca="1" si="34">+IF(COUNTIF(AC:AC,$H24)&gt;0,I$2,0)</f>
        <v>0</v>
      </c>
      <c r="J24" s="436">
        <f t="shared" ca="1" si="34"/>
        <v>0</v>
      </c>
      <c r="K24" s="436">
        <f t="shared" ca="1" si="34"/>
        <v>0</v>
      </c>
      <c r="L24" s="436">
        <f t="shared" ca="1" si="34"/>
        <v>0</v>
      </c>
      <c r="M24" s="436">
        <f t="shared" ca="1" si="34"/>
        <v>1</v>
      </c>
      <c r="N24" s="436">
        <f t="shared" ca="1" si="34"/>
        <v>1</v>
      </c>
      <c r="O24" s="436">
        <f t="shared" ca="1" si="34"/>
        <v>1</v>
      </c>
      <c r="P24" s="436">
        <f t="shared" ca="1" si="1"/>
        <v>3</v>
      </c>
      <c r="Q24" s="436">
        <f ca="1">+COUNTIFS('Inputs summary'!I:I,$H24)</f>
        <v>4</v>
      </c>
      <c r="R24" s="436">
        <f ca="1">+COUNTIFS('Inputs summary'!J:K,$H24)</f>
        <v>1</v>
      </c>
      <c r="S24" s="436">
        <f ca="1">+COUNTIFS('Inputs summary'!L:L,$H24)</f>
        <v>1</v>
      </c>
      <c r="T24" s="436">
        <f t="shared" ca="1" si="2"/>
        <v>6</v>
      </c>
      <c r="U24" s="436">
        <f ca="1">+SUMIF('Inputs summary'!B:B,H24,'Inputs summary'!C:C)+SUMIF('Inputs summary'!E:E,H24,'Inputs summary'!D:D)</f>
        <v>11</v>
      </c>
      <c r="V24" s="436">
        <f ca="1">+SUMIF('Inputs summary'!B:B,H24,'Inputs summary'!D:D)+SUMIF('Inputs summary'!E:E,H24,'Inputs summary'!C:C)</f>
        <v>5</v>
      </c>
      <c r="W24" s="454">
        <f t="shared" ca="1" si="3"/>
        <v>313.0611000014286</v>
      </c>
      <c r="X24" s="455">
        <f t="shared" ca="1" si="4"/>
        <v>111</v>
      </c>
      <c r="Y24" s="456">
        <f t="shared" si="5"/>
        <v>1</v>
      </c>
      <c r="Z24" s="455">
        <f t="shared" ca="1" si="6"/>
        <v>313.0611010014286</v>
      </c>
      <c r="AA24" s="455">
        <f>+_xlfn.XLOOKUP(H24,'Ranking FIFA'!B:B,'Ranking FIFA'!A:A,"--",0)</f>
        <v>7</v>
      </c>
      <c r="AI24" s="379" t="str">
        <f ca="1">+'Round of 32 &amp; Round of 16'!H13</f>
        <v>Colombia</v>
      </c>
      <c r="AP24" s="451">
        <f>+_xlfn.XLOOKUP(AQ24,'Ranking FIFA'!B:B,'Ranking FIFA'!A:A,"--",0)</f>
        <v>25</v>
      </c>
      <c r="AQ24" s="379" t="s">
        <v>68</v>
      </c>
      <c r="AR24" s="436">
        <v>2</v>
      </c>
      <c r="AS24" s="436"/>
      <c r="AT24" s="450">
        <f t="shared" ca="1" si="7"/>
        <v>11</v>
      </c>
      <c r="AU24" s="457">
        <f t="shared" ca="1" si="8"/>
        <v>206.99060000040001</v>
      </c>
      <c r="BH24" s="379">
        <v>21</v>
      </c>
      <c r="BI24" s="379" t="str">
        <f t="shared" si="10"/>
        <v>Paises Bajos</v>
      </c>
      <c r="BJ24" s="436">
        <f>+COUNTIFS('Inputs summary'!I$2:I$106,BI24)</f>
        <v>2</v>
      </c>
      <c r="BK24" s="436">
        <f>+COUNTIFS('Inputs summary'!J$2:K$106,BI24)</f>
        <v>1</v>
      </c>
      <c r="BL24" s="436">
        <f>+COUNTIFS('Inputs summary'!L$2:L$106,BI24)</f>
        <v>0</v>
      </c>
      <c r="BM24" s="436">
        <f t="shared" si="11"/>
        <v>4</v>
      </c>
      <c r="BN24" s="436">
        <f>+SUMIF('Inputs summary'!$B$1:$B$106,$BI24,'Inputs summary'!$C$1:$C$106)+SUMIF('Inputs summary'!$E$1:$E$106,$BI24,'Inputs summary'!$D$1:$D$106)</f>
        <v>6</v>
      </c>
      <c r="BO24" s="436">
        <f>+SUMIF('Inputs summary'!$B$1:$B$106,$BI24,'Inputs summary'!$D$1:$D$106)+SUMIF('Inputs summary'!$E$1:$E$106,$BI24,'Inputs summary'!$C$1:$C$106)</f>
        <v>2</v>
      </c>
      <c r="BP24" s="457">
        <f t="shared" si="12"/>
        <v>8.0460106999999983</v>
      </c>
    </row>
    <row r="25" spans="7:68" ht="14.25" customHeight="1" x14ac:dyDescent="0.25">
      <c r="G25" s="379">
        <v>22</v>
      </c>
      <c r="H25" s="379" t="str">
        <f>+'Groups Stage'!O49</f>
        <v>Japon</v>
      </c>
      <c r="I25" s="436">
        <f t="shared" ref="I25:O25" ca="1" si="35">+IF(COUNTIF(AC:AC,$H25)&gt;0,I$2,0)</f>
        <v>0</v>
      </c>
      <c r="J25" s="436">
        <f t="shared" ca="1" si="35"/>
        <v>0</v>
      </c>
      <c r="K25" s="436">
        <f t="shared" ca="1" si="35"/>
        <v>0</v>
      </c>
      <c r="L25" s="436">
        <f t="shared" ca="1" si="35"/>
        <v>0</v>
      </c>
      <c r="M25" s="436">
        <f t="shared" ca="1" si="35"/>
        <v>0</v>
      </c>
      <c r="N25" s="436">
        <f t="shared" ca="1" si="35"/>
        <v>0</v>
      </c>
      <c r="O25" s="436">
        <f t="shared" ca="1" si="35"/>
        <v>1</v>
      </c>
      <c r="P25" s="436">
        <f t="shared" ca="1" si="1"/>
        <v>1</v>
      </c>
      <c r="Q25" s="436">
        <f ca="1">+COUNTIFS('Inputs summary'!I:I,$H25)</f>
        <v>2</v>
      </c>
      <c r="R25" s="436">
        <f ca="1">+COUNTIFS('Inputs summary'!J:K,$H25)</f>
        <v>1</v>
      </c>
      <c r="S25" s="436">
        <f ca="1">+COUNTIFS('Inputs summary'!L:L,$H25)</f>
        <v>1</v>
      </c>
      <c r="T25" s="436">
        <f t="shared" ca="1" si="2"/>
        <v>2</v>
      </c>
      <c r="U25" s="436">
        <f ca="1">+SUMIF('Inputs summary'!B:B,H25,'Inputs summary'!C:C)+SUMIF('Inputs summary'!E:E,H25,'Inputs summary'!D:D)</f>
        <v>6</v>
      </c>
      <c r="V25" s="436">
        <f ca="1">+SUMIF('Inputs summary'!B:B,H25,'Inputs summary'!D:D)+SUMIF('Inputs summary'!E:E,H25,'Inputs summary'!C:C)</f>
        <v>4</v>
      </c>
      <c r="W25" s="454">
        <f t="shared" ca="1" si="3"/>
        <v>107.02060000055556</v>
      </c>
      <c r="X25" s="455">
        <f t="shared" ca="1" si="4"/>
        <v>1</v>
      </c>
      <c r="Y25" s="456">
        <f t="shared" si="5"/>
        <v>2</v>
      </c>
      <c r="Z25" s="455">
        <f t="shared" ca="1" si="6"/>
        <v>107.02060050055556</v>
      </c>
      <c r="AA25" s="455">
        <f>+_xlfn.XLOOKUP(H25,'Ranking FIFA'!B:B,'Ranking FIFA'!A:A,"--",0)</f>
        <v>18</v>
      </c>
      <c r="AI25" s="379" t="str">
        <f ca="1">+'Round of 32 &amp; Round of 16'!K13</f>
        <v>Croacia</v>
      </c>
      <c r="AP25" s="451">
        <f>+_xlfn.XLOOKUP(AQ25,'Ranking FIFA'!B:B,'Ranking FIFA'!A:A,"--",0)</f>
        <v>31</v>
      </c>
      <c r="AQ25" s="379" t="s">
        <v>69</v>
      </c>
      <c r="AR25" s="436">
        <v>2</v>
      </c>
      <c r="AS25" s="436"/>
      <c r="AT25" s="450">
        <f t="shared" ca="1" si="7"/>
        <v>11</v>
      </c>
      <c r="AU25" s="457">
        <f t="shared" ca="1" si="8"/>
        <v>209.03080000032259</v>
      </c>
      <c r="BH25" s="379">
        <v>22</v>
      </c>
      <c r="BI25" s="379" t="str">
        <f t="shared" si="10"/>
        <v>Japon</v>
      </c>
      <c r="BJ25" s="436">
        <f>+COUNTIFS('Inputs summary'!I$2:I$106,BI25)</f>
        <v>2</v>
      </c>
      <c r="BK25" s="436">
        <f>+COUNTIFS('Inputs summary'!J$2:K$106,BI25)</f>
        <v>1</v>
      </c>
      <c r="BL25" s="436">
        <f>+COUNTIFS('Inputs summary'!L$2:L$106,BI25)</f>
        <v>0</v>
      </c>
      <c r="BM25" s="436">
        <f t="shared" si="11"/>
        <v>3</v>
      </c>
      <c r="BN25" s="436">
        <f>+SUMIF('Inputs summary'!$B$1:$B$106,$BI25,'Inputs summary'!$C$1:$C$106)+SUMIF('Inputs summary'!$E$1:$E$106,$BI25,'Inputs summary'!$D$1:$D$106)</f>
        <v>5</v>
      </c>
      <c r="BO25" s="436">
        <f>+SUMIF('Inputs summary'!$B$1:$B$106,$BI25,'Inputs summary'!$D$1:$D$106)+SUMIF('Inputs summary'!$E$1:$E$106,$BI25,'Inputs summary'!$C$1:$C$106)</f>
        <v>2</v>
      </c>
      <c r="BP25" s="457">
        <f t="shared" si="12"/>
        <v>8.0350217999999991</v>
      </c>
    </row>
    <row r="26" spans="7:68" ht="14.25" customHeight="1" x14ac:dyDescent="0.25">
      <c r="G26" s="379">
        <v>23</v>
      </c>
      <c r="H26" s="379" t="str">
        <f>+'Groups Stage'!O50</f>
        <v>Suecia</v>
      </c>
      <c r="I26" s="436">
        <f t="shared" ref="I26:O26" ca="1" si="36">+IF(COUNTIF(AC:AC,$H26)&gt;0,I$2,0)</f>
        <v>0</v>
      </c>
      <c r="J26" s="436">
        <f t="shared" ca="1" si="36"/>
        <v>0</v>
      </c>
      <c r="K26" s="436">
        <f t="shared" ca="1" si="36"/>
        <v>0</v>
      </c>
      <c r="L26" s="436">
        <f t="shared" ca="1" si="36"/>
        <v>0</v>
      </c>
      <c r="M26" s="436">
        <f t="shared" ca="1" si="36"/>
        <v>0</v>
      </c>
      <c r="N26" s="436">
        <f t="shared" ca="1" si="36"/>
        <v>0</v>
      </c>
      <c r="O26" s="436">
        <f t="shared" ca="1" si="36"/>
        <v>1</v>
      </c>
      <c r="P26" s="436">
        <f t="shared" ca="1" si="1"/>
        <v>1</v>
      </c>
      <c r="Q26" s="436">
        <f ca="1">+COUNTIFS('Inputs summary'!I:I,$H26)</f>
        <v>1</v>
      </c>
      <c r="R26" s="436">
        <f ca="1">+COUNTIFS('Inputs summary'!J:K,$H26)</f>
        <v>1</v>
      </c>
      <c r="S26" s="436">
        <f ca="1">+COUNTIFS('Inputs summary'!L:L,$H26)</f>
        <v>2</v>
      </c>
      <c r="T26" s="436">
        <f t="shared" ca="1" si="2"/>
        <v>-1</v>
      </c>
      <c r="U26" s="436">
        <f ca="1">+SUMIF('Inputs summary'!B:B,H26,'Inputs summary'!C:C)+SUMIF('Inputs summary'!E:E,H26,'Inputs summary'!D:D)</f>
        <v>5</v>
      </c>
      <c r="V26" s="436">
        <f ca="1">+SUMIF('Inputs summary'!B:B,H26,'Inputs summary'!D:D)+SUMIF('Inputs summary'!E:E,H26,'Inputs summary'!C:C)</f>
        <v>6</v>
      </c>
      <c r="W26" s="454">
        <f t="shared" ca="1" si="3"/>
        <v>103.99050000026315</v>
      </c>
      <c r="X26" s="455">
        <f t="shared" ca="1" si="4"/>
        <v>1</v>
      </c>
      <c r="Y26" s="456">
        <f t="shared" si="5"/>
        <v>2</v>
      </c>
      <c r="Z26" s="455">
        <f t="shared" ca="1" si="6"/>
        <v>103.99050050026315</v>
      </c>
      <c r="AA26" s="455">
        <f>+_xlfn.XLOOKUP(H26,'Ranking FIFA'!B:B,'Ranking FIFA'!A:A,"--",0)</f>
        <v>38</v>
      </c>
      <c r="AI26" s="379" t="str">
        <f ca="1">+'Round of 32 &amp; Round of 16'!H17</f>
        <v>España</v>
      </c>
      <c r="AP26" s="451">
        <f>+_xlfn.XLOOKUP(AQ26,'Ranking FIFA'!B:B,'Ranking FIFA'!A:A,"--",0)</f>
        <v>38</v>
      </c>
      <c r="AQ26" s="464" t="s">
        <v>70</v>
      </c>
      <c r="AR26" s="436">
        <v>2</v>
      </c>
      <c r="AS26" s="436"/>
      <c r="AT26" s="450">
        <f t="shared" ca="1" si="7"/>
        <v>1</v>
      </c>
      <c r="AU26" s="457">
        <f t="shared" ca="1" si="8"/>
        <v>103.99050000026315</v>
      </c>
      <c r="BH26" s="379">
        <v>23</v>
      </c>
      <c r="BI26" s="379" t="str">
        <f t="shared" si="10"/>
        <v>Suecia</v>
      </c>
      <c r="BJ26" s="436">
        <f>+COUNTIFS('Inputs summary'!I$2:I$106,BI26)</f>
        <v>1</v>
      </c>
      <c r="BK26" s="436">
        <f>+COUNTIFS('Inputs summary'!J$2:K$106,BI26)</f>
        <v>0</v>
      </c>
      <c r="BL26" s="436">
        <f>+COUNTIFS('Inputs summary'!L$2:L$106,BI26)</f>
        <v>2</v>
      </c>
      <c r="BM26" s="436">
        <f t="shared" si="11"/>
        <v>-1</v>
      </c>
      <c r="BN26" s="436">
        <f>+SUMIF('Inputs summary'!$B$1:$B$106,$BI26,'Inputs summary'!$C$1:$C$106)+SUMIF('Inputs summary'!$E$1:$E$106,$BI26,'Inputs summary'!$D$1:$D$106)</f>
        <v>3</v>
      </c>
      <c r="BO26" s="436">
        <f>+SUMIF('Inputs summary'!$B$1:$B$106,$BI26,'Inputs summary'!$D$1:$D$106)+SUMIF('Inputs summary'!$E$1:$E$106,$BI26,'Inputs summary'!$C$1:$C$106)</f>
        <v>4</v>
      </c>
      <c r="BP26" s="457">
        <f t="shared" si="12"/>
        <v>2.9930238000000005</v>
      </c>
    </row>
    <row r="27" spans="7:68" ht="14.25" customHeight="1" x14ac:dyDescent="0.25">
      <c r="G27" s="379">
        <v>24</v>
      </c>
      <c r="H27" s="379" t="str">
        <f>+'Groups Stage'!O51</f>
        <v>Tunez</v>
      </c>
      <c r="I27" s="436">
        <f t="shared" ref="I27:O27" ca="1" si="37">+IF(COUNTIF(AC:AC,$H27)&gt;0,I$2,0)</f>
        <v>0</v>
      </c>
      <c r="J27" s="436">
        <f t="shared" ca="1" si="37"/>
        <v>0</v>
      </c>
      <c r="K27" s="436">
        <f t="shared" ca="1" si="37"/>
        <v>0</v>
      </c>
      <c r="L27" s="436">
        <f t="shared" ca="1" si="37"/>
        <v>0</v>
      </c>
      <c r="M27" s="436">
        <f t="shared" ca="1" si="37"/>
        <v>0</v>
      </c>
      <c r="N27" s="436">
        <f t="shared" ca="1" si="37"/>
        <v>0</v>
      </c>
      <c r="O27" s="436">
        <f t="shared" ca="1" si="37"/>
        <v>0</v>
      </c>
      <c r="P27" s="436">
        <f t="shared" ca="1" si="1"/>
        <v>0</v>
      </c>
      <c r="Q27" s="436">
        <f ca="1">+COUNTIFS('Inputs summary'!I:I,$H27)</f>
        <v>0</v>
      </c>
      <c r="R27" s="436">
        <f ca="1">+COUNTIFS('Inputs summary'!J:K,$H27)</f>
        <v>0</v>
      </c>
      <c r="S27" s="436">
        <f ca="1">+COUNTIFS('Inputs summary'!L:L,$H27)</f>
        <v>3</v>
      </c>
      <c r="T27" s="436">
        <f t="shared" ca="1" si="2"/>
        <v>-6</v>
      </c>
      <c r="U27" s="436">
        <f ca="1">+SUMIF('Inputs summary'!B:B,H27,'Inputs summary'!C:C)+SUMIF('Inputs summary'!E:E,H27,'Inputs summary'!D:D)</f>
        <v>1</v>
      </c>
      <c r="V27" s="436">
        <f ca="1">+SUMIF('Inputs summary'!B:B,H27,'Inputs summary'!D:D)+SUMIF('Inputs summary'!E:E,H27,'Inputs summary'!C:C)</f>
        <v>7</v>
      </c>
      <c r="W27" s="454">
        <f t="shared" ca="1" si="3"/>
        <v>-5.9899999772727267E-2</v>
      </c>
      <c r="X27" s="455">
        <f t="shared" ca="1" si="4"/>
        <v>0</v>
      </c>
      <c r="Y27" s="456">
        <f t="shared" si="5"/>
        <v>3</v>
      </c>
      <c r="Z27" s="455">
        <f t="shared" ca="1" si="6"/>
        <v>-5.9899666439393935E-2</v>
      </c>
      <c r="AA27" s="455">
        <f>+_xlfn.XLOOKUP(H27,'Ranking FIFA'!B:B,'Ranking FIFA'!A:A,"--",0)</f>
        <v>44</v>
      </c>
      <c r="AI27" s="379" t="str">
        <f ca="1">+'Round of 32 &amp; Round of 16'!K17</f>
        <v>Austria</v>
      </c>
      <c r="AP27" s="451">
        <f>+_xlfn.XLOOKUP(AQ27,'Ranking FIFA'!B:B,'Ranking FIFA'!A:A,"--",0)</f>
        <v>40</v>
      </c>
      <c r="AQ27" s="379" t="s">
        <v>71</v>
      </c>
      <c r="AR27" s="436">
        <v>2</v>
      </c>
      <c r="AS27" s="436"/>
      <c r="AT27" s="450">
        <f t="shared" ca="1" si="7"/>
        <v>1</v>
      </c>
      <c r="AU27" s="457">
        <f t="shared" ca="1" si="8"/>
        <v>104.00050000025</v>
      </c>
      <c r="BH27" s="379">
        <v>24</v>
      </c>
      <c r="BI27" s="379" t="str">
        <f t="shared" si="10"/>
        <v>Tunez</v>
      </c>
      <c r="BJ27" s="436">
        <f>+COUNTIFS('Inputs summary'!I$2:I$106,BI27)</f>
        <v>0</v>
      </c>
      <c r="BK27" s="436">
        <f>+COUNTIFS('Inputs summary'!J$2:K$106,BI27)</f>
        <v>0</v>
      </c>
      <c r="BL27" s="436">
        <f>+COUNTIFS('Inputs summary'!L$2:L$106,BI27)</f>
        <v>3</v>
      </c>
      <c r="BM27" s="436">
        <f t="shared" si="11"/>
        <v>-6</v>
      </c>
      <c r="BN27" s="436">
        <f>+SUMIF('Inputs summary'!$B$1:$B$106,$BI27,'Inputs summary'!$C$1:$C$106)+SUMIF('Inputs summary'!$E$1:$E$106,$BI27,'Inputs summary'!$D$1:$D$106)</f>
        <v>1</v>
      </c>
      <c r="BO27" s="436">
        <f>+SUMIF('Inputs summary'!$B$1:$B$106,$BI27,'Inputs summary'!$D$1:$D$106)+SUMIF('Inputs summary'!$E$1:$E$106,$BI27,'Inputs summary'!$C$1:$C$106)</f>
        <v>7</v>
      </c>
      <c r="BP27" s="457">
        <f t="shared" si="12"/>
        <v>-5.8965599999999993E-2</v>
      </c>
    </row>
    <row r="28" spans="7:68" ht="14.25" customHeight="1" x14ac:dyDescent="0.25">
      <c r="G28" s="379">
        <v>25</v>
      </c>
      <c r="H28" s="379" t="str">
        <f>+'Groups Stage'!O57</f>
        <v>Iran</v>
      </c>
      <c r="I28" s="436">
        <f t="shared" ref="I28:O28" ca="1" si="38">+IF(COUNTIF(AC:AC,$H28)&gt;0,I$2,0)</f>
        <v>0</v>
      </c>
      <c r="J28" s="436">
        <f t="shared" ca="1" si="38"/>
        <v>0</v>
      </c>
      <c r="K28" s="436">
        <f t="shared" ca="1" si="38"/>
        <v>0</v>
      </c>
      <c r="L28" s="436">
        <f t="shared" ca="1" si="38"/>
        <v>0</v>
      </c>
      <c r="M28" s="436">
        <f t="shared" ca="1" si="38"/>
        <v>0</v>
      </c>
      <c r="N28" s="436">
        <f t="shared" ca="1" si="38"/>
        <v>1</v>
      </c>
      <c r="O28" s="436">
        <f t="shared" ca="1" si="38"/>
        <v>1</v>
      </c>
      <c r="P28" s="436">
        <f t="shared" ca="1" si="1"/>
        <v>2</v>
      </c>
      <c r="Q28" s="436">
        <f ca="1">+COUNTIFS('Inputs summary'!I:I,$H28)</f>
        <v>3</v>
      </c>
      <c r="R28" s="436">
        <f ca="1">+COUNTIFS('Inputs summary'!J:K,$H28)</f>
        <v>0</v>
      </c>
      <c r="S28" s="436">
        <f ca="1">+COUNTIFS('Inputs summary'!L:L,$H28)</f>
        <v>2</v>
      </c>
      <c r="T28" s="436">
        <f t="shared" ca="1" si="2"/>
        <v>2</v>
      </c>
      <c r="U28" s="436">
        <f ca="1">+SUMIF('Inputs summary'!B:B,H28,'Inputs summary'!C:C)+SUMIF('Inputs summary'!E:E,H28,'Inputs summary'!D:D)</f>
        <v>7</v>
      </c>
      <c r="V28" s="436">
        <f ca="1">+SUMIF('Inputs summary'!B:B,H28,'Inputs summary'!D:D)+SUMIF('Inputs summary'!E:E,H28,'Inputs summary'!C:C)</f>
        <v>5</v>
      </c>
      <c r="W28" s="454">
        <f t="shared" ca="1" si="3"/>
        <v>209.02070000047618</v>
      </c>
      <c r="X28" s="455">
        <f t="shared" ca="1" si="4"/>
        <v>11</v>
      </c>
      <c r="Y28" s="456">
        <f t="shared" si="5"/>
        <v>3</v>
      </c>
      <c r="Z28" s="455">
        <f t="shared" ca="1" si="6"/>
        <v>209.02070033380951</v>
      </c>
      <c r="AA28" s="455">
        <f>+_xlfn.XLOOKUP(H28,'Ranking FIFA'!B:B,'Ranking FIFA'!A:A,"--",0)</f>
        <v>21</v>
      </c>
      <c r="AI28" s="379" t="str">
        <f ca="1">+'Round of 32 &amp; Round of 16'!H21</f>
        <v>Suiza</v>
      </c>
      <c r="AP28" s="451">
        <f>+_xlfn.XLOOKUP(AQ28,'Ranking FIFA'!B:B,'Ranking FIFA'!A:A,"--",0)</f>
        <v>24</v>
      </c>
      <c r="AQ28" s="379" t="s">
        <v>72</v>
      </c>
      <c r="AR28" s="436">
        <v>3</v>
      </c>
      <c r="AS28" s="436"/>
      <c r="AT28" s="450">
        <f t="shared" ca="1" si="7"/>
        <v>1</v>
      </c>
      <c r="AU28" s="457">
        <f t="shared" ca="1" si="8"/>
        <v>106.00050000041666</v>
      </c>
      <c r="BH28" s="379">
        <v>25</v>
      </c>
      <c r="BI28" s="379" t="str">
        <f t="shared" si="10"/>
        <v>Iran</v>
      </c>
      <c r="BJ28" s="436">
        <f>+COUNTIFS('Inputs summary'!I$2:I$106,BI28)</f>
        <v>2</v>
      </c>
      <c r="BK28" s="436">
        <f>+COUNTIFS('Inputs summary'!J$2:K$106,BI28)</f>
        <v>0</v>
      </c>
      <c r="BL28" s="436">
        <f>+COUNTIFS('Inputs summary'!L$2:L$106,BI28)</f>
        <v>1</v>
      </c>
      <c r="BM28" s="436">
        <f t="shared" si="11"/>
        <v>2</v>
      </c>
      <c r="BN28" s="436">
        <f>+SUMIF('Inputs summary'!$B$1:$B$106,$BI28,'Inputs summary'!$C$1:$C$106)+SUMIF('Inputs summary'!$E$1:$E$106,$BI28,'Inputs summary'!$D$1:$D$106)</f>
        <v>4</v>
      </c>
      <c r="BO28" s="436">
        <f>+SUMIF('Inputs summary'!$B$1:$B$106,$BI28,'Inputs summary'!$D$1:$D$106)+SUMIF('Inputs summary'!$E$1:$E$106,$BI28,'Inputs summary'!$C$1:$C$106)</f>
        <v>2</v>
      </c>
      <c r="BP28" s="457">
        <f t="shared" si="12"/>
        <v>6.0240320999999986</v>
      </c>
    </row>
    <row r="29" spans="7:68" ht="14.25" customHeight="1" x14ac:dyDescent="0.25">
      <c r="G29" s="379">
        <v>26</v>
      </c>
      <c r="H29" s="379" t="str">
        <f>+'Groups Stage'!O58</f>
        <v>Nueva Zelanda</v>
      </c>
      <c r="I29" s="436">
        <f t="shared" ref="I29:O29" ca="1" si="39">+IF(COUNTIF(AC:AC,$H29)&gt;0,I$2,0)</f>
        <v>0</v>
      </c>
      <c r="J29" s="436">
        <f t="shared" ca="1" si="39"/>
        <v>0</v>
      </c>
      <c r="K29" s="436">
        <f t="shared" ca="1" si="39"/>
        <v>0</v>
      </c>
      <c r="L29" s="436">
        <f t="shared" ca="1" si="39"/>
        <v>0</v>
      </c>
      <c r="M29" s="436">
        <f t="shared" ca="1" si="39"/>
        <v>0</v>
      </c>
      <c r="N29" s="436">
        <f t="shared" ca="1" si="39"/>
        <v>0</v>
      </c>
      <c r="O29" s="436">
        <f t="shared" ca="1" si="39"/>
        <v>1</v>
      </c>
      <c r="P29" s="436">
        <f t="shared" ca="1" si="1"/>
        <v>1</v>
      </c>
      <c r="Q29" s="436">
        <f ca="1">+COUNTIFS('Inputs summary'!I:I,$H29)</f>
        <v>1</v>
      </c>
      <c r="R29" s="436">
        <f ca="1">+COUNTIFS('Inputs summary'!J:K,$H29)</f>
        <v>0</v>
      </c>
      <c r="S29" s="436">
        <f ca="1">+COUNTIFS('Inputs summary'!L:L,$H29)</f>
        <v>3</v>
      </c>
      <c r="T29" s="436">
        <f t="shared" ca="1" si="2"/>
        <v>-4</v>
      </c>
      <c r="U29" s="436">
        <f ca="1">+SUMIF('Inputs summary'!B:B,H29,'Inputs summary'!C:C)+SUMIF('Inputs summary'!E:E,H29,'Inputs summary'!D:D)</f>
        <v>1</v>
      </c>
      <c r="V29" s="436">
        <f ca="1">+SUMIF('Inputs summary'!B:B,H29,'Inputs summary'!D:D)+SUMIF('Inputs summary'!E:E,H29,'Inputs summary'!C:C)</f>
        <v>5</v>
      </c>
      <c r="W29" s="454">
        <f t="shared" ca="1" si="3"/>
        <v>102.96010000011765</v>
      </c>
      <c r="X29" s="455">
        <f t="shared" ca="1" si="4"/>
        <v>1</v>
      </c>
      <c r="Y29" s="456">
        <f t="shared" si="5"/>
        <v>4</v>
      </c>
      <c r="Z29" s="455">
        <f t="shared" ca="1" si="6"/>
        <v>102.96010025011765</v>
      </c>
      <c r="AA29" s="455">
        <f>+_xlfn.XLOOKUP(H29,'Ranking FIFA'!B:B,'Ranking FIFA'!A:A,"--",0)</f>
        <v>85</v>
      </c>
      <c r="AI29" s="379" t="str">
        <f ca="1">+'Round of 32 &amp; Round of 16'!K21</f>
        <v>Nueva Zelanda</v>
      </c>
      <c r="AP29" s="451">
        <f>+_xlfn.XLOOKUP(AQ29,'Ranking FIFA'!B:B,'Ranking FIFA'!A:A,"--",0)</f>
        <v>27</v>
      </c>
      <c r="AQ29" s="379" t="s">
        <v>73</v>
      </c>
      <c r="AR29" s="436">
        <v>3</v>
      </c>
      <c r="AS29" s="436"/>
      <c r="AT29" s="450">
        <f t="shared" ca="1" si="7"/>
        <v>0</v>
      </c>
      <c r="AU29" s="457">
        <f t="shared" ca="1" si="8"/>
        <v>-3.9899999629629625E-2</v>
      </c>
      <c r="BH29" s="379">
        <v>26</v>
      </c>
      <c r="BI29" s="379" t="str">
        <f t="shared" si="10"/>
        <v>Nueva Zelanda</v>
      </c>
      <c r="BJ29" s="436">
        <f>+COUNTIFS('Inputs summary'!I$2:I$106,BI29)</f>
        <v>1</v>
      </c>
      <c r="BK29" s="436">
        <f>+COUNTIFS('Inputs summary'!J$2:K$106,BI29)</f>
        <v>0</v>
      </c>
      <c r="BL29" s="436">
        <f>+COUNTIFS('Inputs summary'!L$2:L$106,BI29)</f>
        <v>2</v>
      </c>
      <c r="BM29" s="436">
        <f t="shared" si="11"/>
        <v>-2</v>
      </c>
      <c r="BN29" s="436">
        <f>+SUMIF('Inputs summary'!$B$1:$B$106,$BI29,'Inputs summary'!$C$1:$C$106)+SUMIF('Inputs summary'!$E$1:$E$106,$BI29,'Inputs summary'!$D$1:$D$106)</f>
        <v>1</v>
      </c>
      <c r="BO29" s="436">
        <f>+SUMIF('Inputs summary'!$B$1:$B$106,$BI29,'Inputs summary'!$D$1:$D$106)+SUMIF('Inputs summary'!$E$1:$E$106,$BI29,'Inputs summary'!$C$1:$C$106)</f>
        <v>3</v>
      </c>
      <c r="BP29" s="457">
        <f t="shared" si="12"/>
        <v>2.9810484999999995</v>
      </c>
    </row>
    <row r="30" spans="7:68" ht="14.25" customHeight="1" x14ac:dyDescent="0.25">
      <c r="G30" s="379">
        <v>27</v>
      </c>
      <c r="H30" s="379" t="str">
        <f>+'Groups Stage'!O59</f>
        <v>Belgica</v>
      </c>
      <c r="I30" s="436">
        <f t="shared" ref="I30:O30" ca="1" si="40">+IF(COUNTIF(AC:AC,$H30)&gt;0,I$2,0)</f>
        <v>0</v>
      </c>
      <c r="J30" s="436">
        <f t="shared" ca="1" si="40"/>
        <v>0</v>
      </c>
      <c r="K30" s="436">
        <f t="shared" ca="1" si="40"/>
        <v>0</v>
      </c>
      <c r="L30" s="436">
        <f t="shared" ca="1" si="40"/>
        <v>0</v>
      </c>
      <c r="M30" s="436">
        <f t="shared" ca="1" si="40"/>
        <v>1</v>
      </c>
      <c r="N30" s="436">
        <f t="shared" ca="1" si="40"/>
        <v>1</v>
      </c>
      <c r="O30" s="436">
        <f t="shared" ca="1" si="40"/>
        <v>1</v>
      </c>
      <c r="P30" s="436">
        <f t="shared" ca="1" si="1"/>
        <v>3</v>
      </c>
      <c r="Q30" s="436">
        <f ca="1">+COUNTIFS('Inputs summary'!I:I,$H30)</f>
        <v>5</v>
      </c>
      <c r="R30" s="436">
        <f ca="1">+COUNTIFS('Inputs summary'!J:K,$H30)</f>
        <v>0</v>
      </c>
      <c r="S30" s="436">
        <f ca="1">+COUNTIFS('Inputs summary'!L:L,$H30)</f>
        <v>1</v>
      </c>
      <c r="T30" s="436">
        <f t="shared" ca="1" si="2"/>
        <v>8</v>
      </c>
      <c r="U30" s="436">
        <f ca="1">+SUMIF('Inputs summary'!B:B,H30,'Inputs summary'!C:C)+SUMIF('Inputs summary'!E:E,H30,'Inputs summary'!D:D)</f>
        <v>13</v>
      </c>
      <c r="V30" s="436">
        <f ca="1">+SUMIF('Inputs summary'!B:B,H30,'Inputs summary'!D:D)+SUMIF('Inputs summary'!E:E,H30,'Inputs summary'!C:C)</f>
        <v>5</v>
      </c>
      <c r="W30" s="454">
        <f t="shared" ca="1" si="3"/>
        <v>315.08130000111112</v>
      </c>
      <c r="X30" s="455">
        <f t="shared" ca="1" si="4"/>
        <v>111</v>
      </c>
      <c r="Y30" s="456">
        <f t="shared" si="5"/>
        <v>1</v>
      </c>
      <c r="Z30" s="455">
        <f t="shared" ca="1" si="6"/>
        <v>315.08130100111111</v>
      </c>
      <c r="AA30" s="455">
        <f>+_xlfn.XLOOKUP(H30,'Ranking FIFA'!B:B,'Ranking FIFA'!A:A,"--",0)</f>
        <v>9</v>
      </c>
      <c r="AI30" s="379" t="str">
        <f ca="1">+'Round of 32 &amp; Round of 16'!H25</f>
        <v>Argentina</v>
      </c>
      <c r="AP30" s="451">
        <f>+_xlfn.XLOOKUP(AQ30,'Ranking FIFA'!B:B,'Ranking FIFA'!A:A,"--",0)</f>
        <v>28</v>
      </c>
      <c r="AQ30" s="379" t="s">
        <v>74</v>
      </c>
      <c r="AR30" s="436">
        <v>3</v>
      </c>
      <c r="AS30" s="436"/>
      <c r="AT30" s="450">
        <f t="shared" ca="1" si="7"/>
        <v>0</v>
      </c>
      <c r="AU30" s="457">
        <f t="shared" ca="1" si="8"/>
        <v>2.9701000003571432</v>
      </c>
      <c r="BH30" s="379">
        <v>27</v>
      </c>
      <c r="BI30" s="379" t="str">
        <f t="shared" si="10"/>
        <v>Belgica</v>
      </c>
      <c r="BJ30" s="436">
        <f>+COUNTIFS('Inputs summary'!I$2:I$106,BI30)</f>
        <v>3</v>
      </c>
      <c r="BK30" s="436">
        <f>+COUNTIFS('Inputs summary'!J$2:K$106,BI30)</f>
        <v>0</v>
      </c>
      <c r="BL30" s="436">
        <f>+COUNTIFS('Inputs summary'!L$2:L$106,BI30)</f>
        <v>0</v>
      </c>
      <c r="BM30" s="436">
        <f t="shared" si="11"/>
        <v>6</v>
      </c>
      <c r="BN30" s="436">
        <f>+SUMIF('Inputs summary'!$B$1:$B$106,$BI30,'Inputs summary'!$C$1:$C$106)+SUMIF('Inputs summary'!$E$1:$E$106,$BI30,'Inputs summary'!$D$1:$D$106)</f>
        <v>7</v>
      </c>
      <c r="BO30" s="436">
        <f>+SUMIF('Inputs summary'!$B$1:$B$106,$BI30,'Inputs summary'!$D$1:$D$106)+SUMIF('Inputs summary'!$E$1:$E$106,$BI30,'Inputs summary'!$C$1:$C$106)</f>
        <v>1</v>
      </c>
      <c r="BP30" s="457">
        <f t="shared" si="12"/>
        <v>9.0670108999999997</v>
      </c>
    </row>
    <row r="31" spans="7:68" ht="14.25" customHeight="1" x14ac:dyDescent="0.25">
      <c r="G31" s="379">
        <v>28</v>
      </c>
      <c r="H31" s="379" t="str">
        <f>+'Groups Stage'!O60</f>
        <v>Egipto</v>
      </c>
      <c r="I31" s="436">
        <f t="shared" ref="I31:O31" ca="1" si="41">+IF(COUNTIF(AC:AC,$H31)&gt;0,I$2,0)</f>
        <v>0</v>
      </c>
      <c r="J31" s="436">
        <f t="shared" ca="1" si="41"/>
        <v>0</v>
      </c>
      <c r="K31" s="436">
        <f t="shared" ca="1" si="41"/>
        <v>0</v>
      </c>
      <c r="L31" s="436">
        <f t="shared" ca="1" si="41"/>
        <v>0</v>
      </c>
      <c r="M31" s="436">
        <f t="shared" ca="1" si="41"/>
        <v>0</v>
      </c>
      <c r="N31" s="436">
        <f t="shared" ca="1" si="41"/>
        <v>0</v>
      </c>
      <c r="O31" s="436">
        <f t="shared" ca="1" si="41"/>
        <v>0</v>
      </c>
      <c r="P31" s="436">
        <f t="shared" ca="1" si="1"/>
        <v>0</v>
      </c>
      <c r="Q31" s="436">
        <f ca="1">+COUNTIFS('Inputs summary'!I:I,$H31)</f>
        <v>0</v>
      </c>
      <c r="R31" s="436">
        <f ca="1">+COUNTIFS('Inputs summary'!J:K,$H31)</f>
        <v>0</v>
      </c>
      <c r="S31" s="436">
        <f ca="1">+COUNTIFS('Inputs summary'!L:L,$H31)</f>
        <v>3</v>
      </c>
      <c r="T31" s="436">
        <f t="shared" ca="1" si="2"/>
        <v>-6</v>
      </c>
      <c r="U31" s="436">
        <f ca="1">+SUMIF('Inputs summary'!B:B,H31,'Inputs summary'!C:C)+SUMIF('Inputs summary'!E:E,H31,'Inputs summary'!D:D)</f>
        <v>0</v>
      </c>
      <c r="V31" s="436">
        <f ca="1">+SUMIF('Inputs summary'!B:B,H31,'Inputs summary'!D:D)+SUMIF('Inputs summary'!E:E,H31,'Inputs summary'!C:C)</f>
        <v>6</v>
      </c>
      <c r="W31" s="454">
        <f t="shared" ca="1" si="3"/>
        <v>-5.9999999655172415E-2</v>
      </c>
      <c r="X31" s="455">
        <f t="shared" ca="1" si="4"/>
        <v>0</v>
      </c>
      <c r="Y31" s="456">
        <f t="shared" si="5"/>
        <v>3</v>
      </c>
      <c r="Z31" s="455">
        <f t="shared" ca="1" si="6"/>
        <v>-5.9999666321839083E-2</v>
      </c>
      <c r="AA31" s="455">
        <f>+_xlfn.XLOOKUP(H31,'Ranking FIFA'!B:B,'Ranking FIFA'!A:A,"--",0)</f>
        <v>29</v>
      </c>
      <c r="AI31" s="379" t="str">
        <f ca="1">+'Round of 32 &amp; Round of 16'!K25</f>
        <v>Uruguay</v>
      </c>
      <c r="AP31" s="451">
        <f>+_xlfn.XLOOKUP(AQ31,'Ranking FIFA'!B:B,'Ranking FIFA'!A:A,"--",0)</f>
        <v>29</v>
      </c>
      <c r="AQ31" s="379" t="s">
        <v>75</v>
      </c>
      <c r="AR31" s="436">
        <v>3</v>
      </c>
      <c r="AS31" s="436"/>
      <c r="AT31" s="450">
        <f t="shared" ca="1" si="7"/>
        <v>0</v>
      </c>
      <c r="AU31" s="457">
        <f t="shared" ca="1" si="8"/>
        <v>-5.9999999655172415E-2</v>
      </c>
      <c r="BH31" s="379">
        <v>28</v>
      </c>
      <c r="BI31" s="379" t="str">
        <f t="shared" si="10"/>
        <v>Egipto</v>
      </c>
      <c r="BJ31" s="436">
        <f>+COUNTIFS('Inputs summary'!I$2:I$106,BI31)</f>
        <v>0</v>
      </c>
      <c r="BK31" s="436">
        <f>+COUNTIFS('Inputs summary'!J$2:K$106,BI31)</f>
        <v>0</v>
      </c>
      <c r="BL31" s="436">
        <f>+COUNTIFS('Inputs summary'!L$2:L$106,BI31)</f>
        <v>3</v>
      </c>
      <c r="BM31" s="436">
        <f t="shared" si="11"/>
        <v>-6</v>
      </c>
      <c r="BN31" s="436">
        <f>+SUMIF('Inputs summary'!$B$1:$B$106,$BI31,'Inputs summary'!$C$1:$C$106)+SUMIF('Inputs summary'!$E$1:$E$106,$BI31,'Inputs summary'!$D$1:$D$106)</f>
        <v>0</v>
      </c>
      <c r="BO31" s="436">
        <f>+SUMIF('Inputs summary'!$B$1:$B$106,$BI31,'Inputs summary'!$D$1:$D$106)+SUMIF('Inputs summary'!$E$1:$E$106,$BI31,'Inputs summary'!$C$1:$C$106)</f>
        <v>6</v>
      </c>
      <c r="BP31" s="457">
        <f t="shared" si="12"/>
        <v>-5.9967099999999995E-2</v>
      </c>
    </row>
    <row r="32" spans="7:68" ht="14.25" customHeight="1" x14ac:dyDescent="0.25">
      <c r="G32" s="379">
        <v>29</v>
      </c>
      <c r="H32" s="379" t="str">
        <f>+'Groups Stage'!O66</f>
        <v>España</v>
      </c>
      <c r="I32" s="436">
        <f t="shared" ref="I32:O32" ca="1" si="42">+IF(COUNTIF(AC:AC,$H32)&gt;0,I$2,0)</f>
        <v>0</v>
      </c>
      <c r="J32" s="436">
        <f t="shared" ca="1" si="42"/>
        <v>0</v>
      </c>
      <c r="K32" s="436">
        <f t="shared" ca="1" si="42"/>
        <v>1</v>
      </c>
      <c r="L32" s="436">
        <f t="shared" ca="1" si="42"/>
        <v>1</v>
      </c>
      <c r="M32" s="436">
        <f t="shared" ca="1" si="42"/>
        <v>1</v>
      </c>
      <c r="N32" s="436">
        <f t="shared" ca="1" si="42"/>
        <v>1</v>
      </c>
      <c r="O32" s="436">
        <f t="shared" ca="1" si="42"/>
        <v>1</v>
      </c>
      <c r="P32" s="436">
        <f t="shared" ca="1" si="1"/>
        <v>5</v>
      </c>
      <c r="Q32" s="436">
        <f ca="1">+COUNTIFS('Inputs summary'!I:I,$H32)</f>
        <v>6</v>
      </c>
      <c r="R32" s="436">
        <f ca="1">+COUNTIFS('Inputs summary'!J:K,$H32)</f>
        <v>1</v>
      </c>
      <c r="S32" s="436">
        <f ca="1">+COUNTIFS('Inputs summary'!L:L,$H32)</f>
        <v>1</v>
      </c>
      <c r="T32" s="436">
        <f t="shared" ca="1" si="2"/>
        <v>9</v>
      </c>
      <c r="U32" s="436">
        <f ca="1">+SUMIF('Inputs summary'!B:B,H32,'Inputs summary'!C:C)+SUMIF('Inputs summary'!E:E,H32,'Inputs summary'!D:D)</f>
        <v>18</v>
      </c>
      <c r="V32" s="436">
        <f ca="1">+SUMIF('Inputs summary'!B:B,H32,'Inputs summary'!D:D)+SUMIF('Inputs summary'!E:E,H32,'Inputs summary'!C:C)</f>
        <v>9</v>
      </c>
      <c r="W32" s="454">
        <f t="shared" ca="1" si="3"/>
        <v>519.09180000499998</v>
      </c>
      <c r="X32" s="455">
        <f t="shared" ca="1" si="4"/>
        <v>11111</v>
      </c>
      <c r="Y32" s="456">
        <f t="shared" si="5"/>
        <v>1</v>
      </c>
      <c r="Z32" s="455">
        <f t="shared" ca="1" si="6"/>
        <v>519.09180100499998</v>
      </c>
      <c r="AA32" s="455">
        <f>+_xlfn.XLOOKUP(H32,'Ranking FIFA'!B:B,'Ranking FIFA'!A:A,"--",0)</f>
        <v>2</v>
      </c>
      <c r="AI32" s="379" t="str">
        <f ca="1">+'Round of 32 &amp; Round of 16'!H29</f>
        <v>Portugal</v>
      </c>
      <c r="AP32" s="451">
        <f>+_xlfn.XLOOKUP(AQ32,'Ranking FIFA'!B:B,'Ranking FIFA'!A:A,"--",0)</f>
        <v>30</v>
      </c>
      <c r="AQ32" s="379" t="s">
        <v>76</v>
      </c>
      <c r="AR32" s="436">
        <v>3</v>
      </c>
      <c r="AS32" s="436"/>
      <c r="AT32" s="450">
        <f t="shared" ca="1" si="7"/>
        <v>0</v>
      </c>
      <c r="AU32" s="457">
        <f t="shared" ca="1" si="8"/>
        <v>0.97000000033333333</v>
      </c>
      <c r="BH32" s="379">
        <v>29</v>
      </c>
      <c r="BI32" s="379" t="str">
        <f t="shared" si="10"/>
        <v>España</v>
      </c>
      <c r="BJ32" s="436">
        <f>+COUNTIFS('Inputs summary'!I$2:I$106,BI32)</f>
        <v>3</v>
      </c>
      <c r="BK32" s="436">
        <f>+COUNTIFS('Inputs summary'!J$2:K$106,BI32)</f>
        <v>0</v>
      </c>
      <c r="BL32" s="436">
        <f>+COUNTIFS('Inputs summary'!L$2:L$106,BI32)</f>
        <v>0</v>
      </c>
      <c r="BM32" s="436">
        <f t="shared" si="11"/>
        <v>6</v>
      </c>
      <c r="BN32" s="436">
        <f>+SUMIF('Inputs summary'!$B$1:$B$106,$BI32,'Inputs summary'!$C$1:$C$106)+SUMIF('Inputs summary'!$E$1:$E$106,$BI32,'Inputs summary'!$D$1:$D$106)</f>
        <v>6</v>
      </c>
      <c r="BO32" s="436">
        <f>+SUMIF('Inputs summary'!$B$1:$B$106,$BI32,'Inputs summary'!$D$1:$D$106)+SUMIF('Inputs summary'!$E$1:$E$106,$BI32,'Inputs summary'!$C$1:$C$106)</f>
        <v>0</v>
      </c>
      <c r="BP32" s="457">
        <f t="shared" si="12"/>
        <v>9.0660102000000009</v>
      </c>
    </row>
    <row r="33" spans="7:68" ht="14.25" customHeight="1" x14ac:dyDescent="0.25">
      <c r="G33" s="379">
        <v>30</v>
      </c>
      <c r="H33" s="379" t="str">
        <f>+'Groups Stage'!O67</f>
        <v>Cabo Verde</v>
      </c>
      <c r="I33" s="436">
        <f t="shared" ref="I33:O33" ca="1" si="43">+IF(COUNTIF(AC:AC,$H33)&gt;0,I$2,0)</f>
        <v>0</v>
      </c>
      <c r="J33" s="436">
        <f t="shared" ca="1" si="43"/>
        <v>0</v>
      </c>
      <c r="K33" s="436">
        <f t="shared" ca="1" si="43"/>
        <v>0</v>
      </c>
      <c r="L33" s="436">
        <f t="shared" ca="1" si="43"/>
        <v>0</v>
      </c>
      <c r="M33" s="436">
        <f t="shared" ca="1" si="43"/>
        <v>0</v>
      </c>
      <c r="N33" s="436">
        <f t="shared" ca="1" si="43"/>
        <v>0</v>
      </c>
      <c r="O33" s="436">
        <f t="shared" ca="1" si="43"/>
        <v>0</v>
      </c>
      <c r="P33" s="436">
        <f t="shared" ca="1" si="1"/>
        <v>0</v>
      </c>
      <c r="Q33" s="436">
        <f ca="1">+COUNTIFS('Inputs summary'!I:I,$H33)</f>
        <v>0</v>
      </c>
      <c r="R33" s="436">
        <f ca="1">+COUNTIFS('Inputs summary'!J:K,$H33)</f>
        <v>0</v>
      </c>
      <c r="S33" s="436">
        <f ca="1">+COUNTIFS('Inputs summary'!L:L,$H33)</f>
        <v>3</v>
      </c>
      <c r="T33" s="436">
        <f t="shared" ca="1" si="2"/>
        <v>-6</v>
      </c>
      <c r="U33" s="436">
        <f ca="1">+SUMIF('Inputs summary'!B:B,H33,'Inputs summary'!C:C)+SUMIF('Inputs summary'!E:E,H33,'Inputs summary'!D:D)</f>
        <v>0</v>
      </c>
      <c r="V33" s="436">
        <f ca="1">+SUMIF('Inputs summary'!B:B,H33,'Inputs summary'!D:D)+SUMIF('Inputs summary'!E:E,H33,'Inputs summary'!C:C)</f>
        <v>6</v>
      </c>
      <c r="W33" s="454">
        <f t="shared" ca="1" si="3"/>
        <v>-5.9999999855072463E-2</v>
      </c>
      <c r="X33" s="455">
        <f t="shared" ca="1" si="4"/>
        <v>0</v>
      </c>
      <c r="Y33" s="456">
        <f t="shared" si="5"/>
        <v>4</v>
      </c>
      <c r="Z33" s="455">
        <f t="shared" ca="1" si="6"/>
        <v>-5.9999749855072462E-2</v>
      </c>
      <c r="AA33" s="455">
        <f>+_xlfn.XLOOKUP(H33,'Ranking FIFA'!B:B,'Ranking FIFA'!A:A,"--",0)</f>
        <v>69</v>
      </c>
      <c r="AI33" s="379" t="str">
        <f ca="1">+'Round of 32 &amp; Round of 16'!K29</f>
        <v>Ghana</v>
      </c>
      <c r="AP33" s="451">
        <f>+_xlfn.XLOOKUP(AQ33,'Ranking FIFA'!B:B,'Ranking FIFA'!A:A,"--",0)</f>
        <v>33</v>
      </c>
      <c r="AQ33" s="379" t="s">
        <v>77</v>
      </c>
      <c r="AR33" s="436">
        <v>3</v>
      </c>
      <c r="AS33" s="436"/>
      <c r="AT33" s="450">
        <f t="shared" ca="1" si="7"/>
        <v>0</v>
      </c>
      <c r="AU33" s="457">
        <f t="shared" ca="1" si="8"/>
        <v>-4.9999999696969701E-2</v>
      </c>
      <c r="BH33" s="379">
        <v>30</v>
      </c>
      <c r="BI33" s="379" t="str">
        <f t="shared" si="10"/>
        <v>Cabo Verde</v>
      </c>
      <c r="BJ33" s="436">
        <f>+COUNTIFS('Inputs summary'!I$2:I$106,BI33)</f>
        <v>0</v>
      </c>
      <c r="BK33" s="436">
        <f>+COUNTIFS('Inputs summary'!J$2:K$106,BI33)</f>
        <v>0</v>
      </c>
      <c r="BL33" s="436">
        <f>+COUNTIFS('Inputs summary'!L$2:L$106,BI33)</f>
        <v>3</v>
      </c>
      <c r="BM33" s="436">
        <f t="shared" si="11"/>
        <v>-6</v>
      </c>
      <c r="BN33" s="436">
        <f>+SUMIF('Inputs summary'!$B$1:$B$106,$BI33,'Inputs summary'!$C$1:$C$106)+SUMIF('Inputs summary'!$E$1:$E$106,$BI33,'Inputs summary'!$D$1:$D$106)</f>
        <v>0</v>
      </c>
      <c r="BO33" s="436">
        <f>+SUMIF('Inputs summary'!$B$1:$B$106,$BI33,'Inputs summary'!$D$1:$D$106)+SUMIF('Inputs summary'!$E$1:$E$106,$BI33,'Inputs summary'!$C$1:$C$106)</f>
        <v>6</v>
      </c>
      <c r="BP33" s="457">
        <f t="shared" si="12"/>
        <v>-5.9953100000000002E-2</v>
      </c>
    </row>
    <row r="34" spans="7:68" ht="14.25" customHeight="1" x14ac:dyDescent="0.25">
      <c r="G34" s="379">
        <v>31</v>
      </c>
      <c r="H34" s="379" t="str">
        <f>+'Groups Stage'!O68</f>
        <v>Arabia Saudita</v>
      </c>
      <c r="I34" s="436">
        <f t="shared" ref="I34:O34" ca="1" si="44">+IF(COUNTIF(AC:AC,$H34)&gt;0,I$2,0)</f>
        <v>0</v>
      </c>
      <c r="J34" s="436">
        <f t="shared" ca="1" si="44"/>
        <v>0</v>
      </c>
      <c r="K34" s="436">
        <f t="shared" ca="1" si="44"/>
        <v>0</v>
      </c>
      <c r="L34" s="436">
        <f t="shared" ca="1" si="44"/>
        <v>0</v>
      </c>
      <c r="M34" s="436">
        <f t="shared" ca="1" si="44"/>
        <v>0</v>
      </c>
      <c r="N34" s="436">
        <f t="shared" ca="1" si="44"/>
        <v>0</v>
      </c>
      <c r="O34" s="436">
        <f t="shared" ca="1" si="44"/>
        <v>1</v>
      </c>
      <c r="P34" s="436">
        <f t="shared" ca="1" si="1"/>
        <v>1</v>
      </c>
      <c r="Q34" s="436">
        <f ca="1">+COUNTIFS('Inputs summary'!I:I,$H34)</f>
        <v>1</v>
      </c>
      <c r="R34" s="436">
        <f ca="1">+COUNTIFS('Inputs summary'!J:K,$H34)</f>
        <v>0</v>
      </c>
      <c r="S34" s="436">
        <f ca="1">+COUNTIFS('Inputs summary'!L:L,$H34)</f>
        <v>3</v>
      </c>
      <c r="T34" s="436">
        <f t="shared" ca="1" si="2"/>
        <v>-3</v>
      </c>
      <c r="U34" s="436">
        <f ca="1">+SUMIF('Inputs summary'!B:B,H34,'Inputs summary'!C:C)+SUMIF('Inputs summary'!E:E,H34,'Inputs summary'!D:D)</f>
        <v>3</v>
      </c>
      <c r="V34" s="436">
        <f ca="1">+SUMIF('Inputs summary'!B:B,H34,'Inputs summary'!D:D)+SUMIF('Inputs summary'!E:E,H34,'Inputs summary'!C:C)</f>
        <v>6</v>
      </c>
      <c r="W34" s="454">
        <f t="shared" ca="1" si="3"/>
        <v>102.97030000016393</v>
      </c>
      <c r="X34" s="455">
        <f t="shared" ca="1" si="4"/>
        <v>1</v>
      </c>
      <c r="Y34" s="456">
        <f t="shared" si="5"/>
        <v>3</v>
      </c>
      <c r="Z34" s="455">
        <f t="shared" ca="1" si="6"/>
        <v>102.97030033349726</v>
      </c>
      <c r="AA34" s="455">
        <f>+_xlfn.XLOOKUP(H34,'Ranking FIFA'!B:B,'Ranking FIFA'!A:A,"--",0)</f>
        <v>61</v>
      </c>
      <c r="AI34" s="379" t="str">
        <f ca="1">+'Round of 32 &amp; Round of 16'!H33</f>
        <v>Paraguay</v>
      </c>
      <c r="AP34" s="451">
        <f>+_xlfn.XLOOKUP(AQ34,'Ranking FIFA'!B:B,'Ranking FIFA'!A:A,"--",0)</f>
        <v>34</v>
      </c>
      <c r="AQ34" s="379" t="s">
        <v>78</v>
      </c>
      <c r="AR34" s="436">
        <v>3</v>
      </c>
      <c r="AS34" s="436"/>
      <c r="AT34" s="450">
        <f t="shared" ca="1" si="7"/>
        <v>0</v>
      </c>
      <c r="AU34" s="457">
        <f t="shared" ca="1" si="8"/>
        <v>2.970100000294118</v>
      </c>
      <c r="BH34" s="379">
        <v>31</v>
      </c>
      <c r="BI34" s="379" t="str">
        <f t="shared" si="10"/>
        <v>Arabia Saudita</v>
      </c>
      <c r="BJ34" s="436">
        <f>+COUNTIFS('Inputs summary'!I$2:I$106,BI34)</f>
        <v>1</v>
      </c>
      <c r="BK34" s="436">
        <f>+COUNTIFS('Inputs summary'!J$2:K$106,BI34)</f>
        <v>0</v>
      </c>
      <c r="BL34" s="436">
        <f>+COUNTIFS('Inputs summary'!L$2:L$106,BI34)</f>
        <v>2</v>
      </c>
      <c r="BM34" s="436">
        <f t="shared" si="11"/>
        <v>-2</v>
      </c>
      <c r="BN34" s="436">
        <f>+SUMIF('Inputs summary'!$B$1:$B$106,$BI34,'Inputs summary'!$C$1:$C$106)+SUMIF('Inputs summary'!$E$1:$E$106,$BI34,'Inputs summary'!$D$1:$D$106)</f>
        <v>2</v>
      </c>
      <c r="BO34" s="436">
        <f>+SUMIF('Inputs summary'!$B$1:$B$106,$BI34,'Inputs summary'!$D$1:$D$106)+SUMIF('Inputs summary'!$E$1:$E$106,$BI34,'Inputs summary'!$C$1:$C$106)</f>
        <v>4</v>
      </c>
      <c r="BP34" s="457">
        <f t="shared" si="12"/>
        <v>2.9820360999999997</v>
      </c>
    </row>
    <row r="35" spans="7:68" ht="14.25" customHeight="1" x14ac:dyDescent="0.25">
      <c r="G35" s="379">
        <v>32</v>
      </c>
      <c r="H35" s="379" t="str">
        <f>+'Groups Stage'!O69</f>
        <v>Uruguay</v>
      </c>
      <c r="I35" s="436">
        <f t="shared" ref="I35:O35" ca="1" si="45">+IF(COUNTIF(AC:AC,$H35)&gt;0,I$2,0)</f>
        <v>0</v>
      </c>
      <c r="J35" s="436">
        <f t="shared" ca="1" si="45"/>
        <v>0</v>
      </c>
      <c r="K35" s="436">
        <f t="shared" ca="1" si="45"/>
        <v>0</v>
      </c>
      <c r="L35" s="436">
        <f t="shared" ca="1" si="45"/>
        <v>0</v>
      </c>
      <c r="M35" s="436">
        <f t="shared" ca="1" si="45"/>
        <v>0</v>
      </c>
      <c r="N35" s="436">
        <f t="shared" ca="1" si="45"/>
        <v>0</v>
      </c>
      <c r="O35" s="436">
        <f t="shared" ca="1" si="45"/>
        <v>1</v>
      </c>
      <c r="P35" s="436">
        <f t="shared" ca="1" si="1"/>
        <v>1</v>
      </c>
      <c r="Q35" s="436">
        <f ca="1">+COUNTIFS('Inputs summary'!I:I,$H35)</f>
        <v>2</v>
      </c>
      <c r="R35" s="436">
        <f ca="1">+COUNTIFS('Inputs summary'!J:K,$H35)</f>
        <v>0</v>
      </c>
      <c r="S35" s="436">
        <f ca="1">+COUNTIFS('Inputs summary'!L:L,$H35)</f>
        <v>2</v>
      </c>
      <c r="T35" s="436">
        <f t="shared" ca="1" si="2"/>
        <v>1</v>
      </c>
      <c r="U35" s="436">
        <f ca="1">+SUMIF('Inputs summary'!B:B,H35,'Inputs summary'!C:C)+SUMIF('Inputs summary'!E:E,H35,'Inputs summary'!D:D)</f>
        <v>5</v>
      </c>
      <c r="V35" s="436">
        <f ca="1">+SUMIF('Inputs summary'!B:B,H35,'Inputs summary'!D:D)+SUMIF('Inputs summary'!E:E,H35,'Inputs summary'!C:C)</f>
        <v>4</v>
      </c>
      <c r="W35" s="454">
        <f t="shared" ca="1" si="3"/>
        <v>106.01050000058824</v>
      </c>
      <c r="X35" s="455">
        <f t="shared" ca="1" si="4"/>
        <v>1</v>
      </c>
      <c r="Y35" s="456">
        <f t="shared" si="5"/>
        <v>1</v>
      </c>
      <c r="Z35" s="455">
        <f t="shared" ca="1" si="6"/>
        <v>106.01050100058823</v>
      </c>
      <c r="AA35" s="455">
        <f>+_xlfn.XLOOKUP(H35,'Ranking FIFA'!B:B,'Ranking FIFA'!A:A,"--",0)</f>
        <v>17</v>
      </c>
      <c r="AI35" s="379" t="str">
        <f ca="1">+'Round of 32 &amp; Round of 16'!K33</f>
        <v>Iran</v>
      </c>
      <c r="AP35" s="451">
        <f>+_xlfn.XLOOKUP(AQ35,'Ranking FIFA'!B:B,'Ranking FIFA'!A:A,"--",0)</f>
        <v>41</v>
      </c>
      <c r="AQ35" s="464" t="s">
        <v>79</v>
      </c>
      <c r="AR35" s="436">
        <v>3</v>
      </c>
      <c r="AS35" s="436"/>
      <c r="AT35" s="450">
        <f t="shared" ca="1" si="7"/>
        <v>1</v>
      </c>
      <c r="AU35" s="457">
        <f t="shared" ca="1" si="8"/>
        <v>103.9804000002439</v>
      </c>
      <c r="BH35" s="379">
        <v>32</v>
      </c>
      <c r="BI35" s="379" t="str">
        <f t="shared" si="10"/>
        <v>Uruguay</v>
      </c>
      <c r="BJ35" s="436">
        <f>+COUNTIFS('Inputs summary'!I$2:I$106,BI35)</f>
        <v>2</v>
      </c>
      <c r="BK35" s="436">
        <f>+COUNTIFS('Inputs summary'!J$2:K$106,BI35)</f>
        <v>0</v>
      </c>
      <c r="BL35" s="436">
        <f>+COUNTIFS('Inputs summary'!L$2:L$106,BI35)</f>
        <v>1</v>
      </c>
      <c r="BM35" s="436">
        <f t="shared" si="11"/>
        <v>2</v>
      </c>
      <c r="BN35" s="436">
        <f>+SUMIF('Inputs summary'!$B$1:$B$106,$BI35,'Inputs summary'!$C$1:$C$106)+SUMIF('Inputs summary'!$E$1:$E$106,$BI35,'Inputs summary'!$D$1:$D$106)</f>
        <v>4</v>
      </c>
      <c r="BO35" s="436">
        <f>+SUMIF('Inputs summary'!$B$1:$B$106,$BI35,'Inputs summary'!$D$1:$D$106)+SUMIF('Inputs summary'!$E$1:$E$106,$BI35,'Inputs summary'!$C$1:$C$106)</f>
        <v>2</v>
      </c>
      <c r="BP35" s="457">
        <f t="shared" si="12"/>
        <v>6.0240116999999991</v>
      </c>
    </row>
    <row r="36" spans="7:68" ht="14.25" customHeight="1" x14ac:dyDescent="0.25">
      <c r="G36" s="379">
        <v>33</v>
      </c>
      <c r="H36" s="379" t="str">
        <f>+'Groups Stage'!O75</f>
        <v>Francia</v>
      </c>
      <c r="I36" s="436">
        <f t="shared" ref="I36:O36" ca="1" si="46">+IF(COUNTIF(AC:AC,$H36)&gt;0,I$2,0)</f>
        <v>0</v>
      </c>
      <c r="J36" s="436">
        <f t="shared" ca="1" si="46"/>
        <v>2</v>
      </c>
      <c r="K36" s="436">
        <f t="shared" ca="1" si="46"/>
        <v>0</v>
      </c>
      <c r="L36" s="436">
        <f t="shared" ca="1" si="46"/>
        <v>1</v>
      </c>
      <c r="M36" s="436">
        <f t="shared" ca="1" si="46"/>
        <v>1</v>
      </c>
      <c r="N36" s="436">
        <f t="shared" ca="1" si="46"/>
        <v>1</v>
      </c>
      <c r="O36" s="436">
        <f t="shared" ca="1" si="46"/>
        <v>1</v>
      </c>
      <c r="P36" s="436">
        <f t="shared" ca="1" si="1"/>
        <v>6</v>
      </c>
      <c r="Q36" s="436">
        <f ca="1">+COUNTIFS('Inputs summary'!I:I,$H36)</f>
        <v>7</v>
      </c>
      <c r="R36" s="436">
        <f ca="1">+COUNTIFS('Inputs summary'!J:K,$H36)</f>
        <v>0</v>
      </c>
      <c r="S36" s="436">
        <f ca="1">+COUNTIFS('Inputs summary'!L:L,$H36)</f>
        <v>1</v>
      </c>
      <c r="T36" s="436">
        <f t="shared" ca="1" si="2"/>
        <v>12</v>
      </c>
      <c r="U36" s="436">
        <f ca="1">+SUMIF('Inputs summary'!B:B,H36,'Inputs summary'!C:C)+SUMIF('Inputs summary'!E:E,H36,'Inputs summary'!D:D)</f>
        <v>20</v>
      </c>
      <c r="V36" s="436">
        <f ca="1">+SUMIF('Inputs summary'!B:B,H36,'Inputs summary'!D:D)+SUMIF('Inputs summary'!E:E,H36,'Inputs summary'!C:C)</f>
        <v>8</v>
      </c>
      <c r="W36" s="454">
        <f t="shared" ca="1" si="3"/>
        <v>621.12200000999997</v>
      </c>
      <c r="X36" s="455">
        <f t="shared" ca="1" si="4"/>
        <v>201111</v>
      </c>
      <c r="Y36" s="456">
        <f t="shared" si="5"/>
        <v>1</v>
      </c>
      <c r="Z36" s="455">
        <f t="shared" ca="1" si="6"/>
        <v>621.12200100999996</v>
      </c>
      <c r="AA36" s="455">
        <f>+_xlfn.XLOOKUP(H36,'Ranking FIFA'!B:B,'Ranking FIFA'!A:A,"--",0)</f>
        <v>1</v>
      </c>
      <c r="AP36" s="451">
        <f>+_xlfn.XLOOKUP(AQ36,'Ranking FIFA'!B:B,'Ranking FIFA'!A:A,"--",0)</f>
        <v>43</v>
      </c>
      <c r="AQ36" s="379" t="s">
        <v>80</v>
      </c>
      <c r="AR36" s="436">
        <v>3</v>
      </c>
      <c r="AS36" s="436"/>
      <c r="AT36" s="450">
        <f t="shared" ca="1" si="7"/>
        <v>1</v>
      </c>
      <c r="AU36" s="457">
        <f t="shared" ca="1" si="8"/>
        <v>102.97040000023256</v>
      </c>
      <c r="BH36" s="379">
        <v>33</v>
      </c>
      <c r="BI36" s="379" t="str">
        <f t="shared" si="10"/>
        <v>Francia</v>
      </c>
      <c r="BJ36" s="436">
        <f>+COUNTIFS('Inputs summary'!I$2:I$106,BI36)</f>
        <v>3</v>
      </c>
      <c r="BK36" s="436">
        <f>+COUNTIFS('Inputs summary'!J$2:K$106,BI36)</f>
        <v>0</v>
      </c>
      <c r="BL36" s="436">
        <f>+COUNTIFS('Inputs summary'!L$2:L$106,BI36)</f>
        <v>0</v>
      </c>
      <c r="BM36" s="436">
        <f t="shared" si="11"/>
        <v>7</v>
      </c>
      <c r="BN36" s="436">
        <f>+SUMIF('Inputs summary'!$B$1:$B$106,$BI36,'Inputs summary'!$C$1:$C$106)+SUMIF('Inputs summary'!$E$1:$E$106,$BI36,'Inputs summary'!$D$1:$D$106)</f>
        <v>7</v>
      </c>
      <c r="BO36" s="436">
        <f>+SUMIF('Inputs summary'!$B$1:$B$106,$BI36,'Inputs summary'!$D$1:$D$106)+SUMIF('Inputs summary'!$E$1:$E$106,$BI36,'Inputs summary'!$C$1:$C$106)</f>
        <v>0</v>
      </c>
      <c r="BP36" s="457">
        <f t="shared" si="12"/>
        <v>9.077010099999999</v>
      </c>
    </row>
    <row r="37" spans="7:68" ht="14.25" customHeight="1" x14ac:dyDescent="0.25">
      <c r="G37" s="379">
        <v>34</v>
      </c>
      <c r="H37" s="379" t="str">
        <f>+'Groups Stage'!O76</f>
        <v>Senegal</v>
      </c>
      <c r="I37" s="436">
        <f t="shared" ref="I37:O37" ca="1" si="47">+IF(COUNTIF(AC:AC,$H37)&gt;0,I$2,0)</f>
        <v>0</v>
      </c>
      <c r="J37" s="436">
        <f t="shared" ca="1" si="47"/>
        <v>0</v>
      </c>
      <c r="K37" s="436">
        <f t="shared" ca="1" si="47"/>
        <v>0</v>
      </c>
      <c r="L37" s="436">
        <f t="shared" ca="1" si="47"/>
        <v>0</v>
      </c>
      <c r="M37" s="436">
        <f t="shared" ca="1" si="47"/>
        <v>0</v>
      </c>
      <c r="N37" s="436">
        <f t="shared" ca="1" si="47"/>
        <v>0</v>
      </c>
      <c r="O37" s="436">
        <f t="shared" ca="1" si="47"/>
        <v>1</v>
      </c>
      <c r="P37" s="436">
        <f t="shared" ca="1" si="1"/>
        <v>1</v>
      </c>
      <c r="Q37" s="436">
        <f ca="1">+COUNTIFS('Inputs summary'!I:I,$H37)</f>
        <v>1</v>
      </c>
      <c r="R37" s="436">
        <f ca="1">+COUNTIFS('Inputs summary'!J:K,$H37)</f>
        <v>0</v>
      </c>
      <c r="S37" s="436">
        <f ca="1">+COUNTIFS('Inputs summary'!L:L,$H37)</f>
        <v>3</v>
      </c>
      <c r="T37" s="436">
        <f t="shared" ca="1" si="2"/>
        <v>-3</v>
      </c>
      <c r="U37" s="436">
        <f ca="1">+SUMIF('Inputs summary'!B:B,H37,'Inputs summary'!C:C)+SUMIF('Inputs summary'!E:E,H37,'Inputs summary'!D:D)</f>
        <v>4</v>
      </c>
      <c r="V37" s="436">
        <f ca="1">+SUMIF('Inputs summary'!B:B,H37,'Inputs summary'!D:D)+SUMIF('Inputs summary'!E:E,H37,'Inputs summary'!C:C)</f>
        <v>7</v>
      </c>
      <c r="W37" s="454">
        <f t="shared" ca="1" si="3"/>
        <v>102.97040000071428</v>
      </c>
      <c r="X37" s="455">
        <f t="shared" ca="1" si="4"/>
        <v>1</v>
      </c>
      <c r="Y37" s="456">
        <f t="shared" si="5"/>
        <v>2</v>
      </c>
      <c r="Z37" s="455">
        <f t="shared" ca="1" si="6"/>
        <v>102.97040050071428</v>
      </c>
      <c r="AA37" s="455">
        <f>+_xlfn.XLOOKUP(H37,'Ranking FIFA'!B:B,'Ranking FIFA'!A:A,"--",0)</f>
        <v>14</v>
      </c>
      <c r="AP37" s="451">
        <f>+_xlfn.XLOOKUP(AQ37,'Ranking FIFA'!B:B,'Ranking FIFA'!A:A,"--",0)</f>
        <v>44</v>
      </c>
      <c r="AQ37" s="379" t="s">
        <v>81</v>
      </c>
      <c r="AR37" s="436">
        <v>3</v>
      </c>
      <c r="AS37" s="436"/>
      <c r="AT37" s="450">
        <f t="shared" ca="1" si="7"/>
        <v>0</v>
      </c>
      <c r="AU37" s="457">
        <f t="shared" ca="1" si="8"/>
        <v>-5.9899999772727267E-2</v>
      </c>
      <c r="BH37" s="379">
        <v>34</v>
      </c>
      <c r="BI37" s="379" t="str">
        <f t="shared" si="10"/>
        <v>Senegal</v>
      </c>
      <c r="BJ37" s="436">
        <f>+COUNTIFS('Inputs summary'!I$2:I$106,BI37)</f>
        <v>1</v>
      </c>
      <c r="BK37" s="436">
        <f>+COUNTIFS('Inputs summary'!J$2:K$106,BI37)</f>
        <v>0</v>
      </c>
      <c r="BL37" s="436">
        <f>+COUNTIFS('Inputs summary'!L$2:L$106,BI37)</f>
        <v>2</v>
      </c>
      <c r="BM37" s="436">
        <f t="shared" si="11"/>
        <v>-1</v>
      </c>
      <c r="BN37" s="436">
        <f>+SUMIF('Inputs summary'!$B$1:$B$106,$BI37,'Inputs summary'!$C$1:$C$106)+SUMIF('Inputs summary'!$E$1:$E$106,$BI37,'Inputs summary'!$D$1:$D$106)</f>
        <v>3</v>
      </c>
      <c r="BO37" s="436">
        <f>+SUMIF('Inputs summary'!$B$1:$B$106,$BI37,'Inputs summary'!$D$1:$D$106)+SUMIF('Inputs summary'!$E$1:$E$106,$BI37,'Inputs summary'!$C$1:$C$106)</f>
        <v>4</v>
      </c>
      <c r="BP37" s="457">
        <f t="shared" si="12"/>
        <v>2.9930214000000004</v>
      </c>
    </row>
    <row r="38" spans="7:68" ht="14.25" customHeight="1" x14ac:dyDescent="0.25">
      <c r="G38" s="379">
        <v>35</v>
      </c>
      <c r="H38" s="379" t="str">
        <f>+'Groups Stage'!O77</f>
        <v>Irak</v>
      </c>
      <c r="I38" s="436">
        <f t="shared" ref="I38:O38" ca="1" si="48">+IF(COUNTIF(AC:AC,$H38)&gt;0,I$2,0)</f>
        <v>0</v>
      </c>
      <c r="J38" s="436">
        <f t="shared" ca="1" si="48"/>
        <v>0</v>
      </c>
      <c r="K38" s="436">
        <f t="shared" ca="1" si="48"/>
        <v>0</v>
      </c>
      <c r="L38" s="436">
        <f t="shared" ca="1" si="48"/>
        <v>0</v>
      </c>
      <c r="M38" s="436">
        <f t="shared" ca="1" si="48"/>
        <v>0</v>
      </c>
      <c r="N38" s="436">
        <f t="shared" ca="1" si="48"/>
        <v>0</v>
      </c>
      <c r="O38" s="436">
        <f t="shared" ca="1" si="48"/>
        <v>0</v>
      </c>
      <c r="P38" s="436">
        <f t="shared" ca="1" si="1"/>
        <v>0</v>
      </c>
      <c r="Q38" s="436">
        <f ca="1">+COUNTIFS('Inputs summary'!I:I,$H38)</f>
        <v>0</v>
      </c>
      <c r="R38" s="436">
        <f ca="1">+COUNTIFS('Inputs summary'!J:K,$H38)</f>
        <v>0</v>
      </c>
      <c r="S38" s="436">
        <f ca="1">+COUNTIFS('Inputs summary'!L:L,$H38)</f>
        <v>3</v>
      </c>
      <c r="T38" s="436">
        <f t="shared" ca="1" si="2"/>
        <v>-9</v>
      </c>
      <c r="U38" s="436">
        <f ca="1">+SUMIF('Inputs summary'!B:B,H38,'Inputs summary'!C:C)+SUMIF('Inputs summary'!E:E,H38,'Inputs summary'!D:D)</f>
        <v>0</v>
      </c>
      <c r="V38" s="436">
        <f ca="1">+SUMIF('Inputs summary'!B:B,H38,'Inputs summary'!D:D)+SUMIF('Inputs summary'!E:E,H38,'Inputs summary'!C:C)</f>
        <v>9</v>
      </c>
      <c r="W38" s="454">
        <f t="shared" ca="1" si="3"/>
        <v>-8.9999999824561402E-2</v>
      </c>
      <c r="X38" s="455">
        <f t="shared" ca="1" si="4"/>
        <v>0</v>
      </c>
      <c r="Y38" s="456">
        <f t="shared" si="5"/>
        <v>4</v>
      </c>
      <c r="Z38" s="455">
        <f t="shared" ca="1" si="6"/>
        <v>-8.9999749824561409E-2</v>
      </c>
      <c r="AA38" s="455">
        <f>+_xlfn.XLOOKUP(H38,'Ranking FIFA'!B:B,'Ranking FIFA'!A:A,"--",0)</f>
        <v>57</v>
      </c>
      <c r="AP38" s="451">
        <f>+_xlfn.XLOOKUP(AQ38,'Ranking FIFA'!B:B,'Ranking FIFA'!A:A,"--",0)</f>
        <v>60</v>
      </c>
      <c r="AQ38" s="379" t="s">
        <v>82</v>
      </c>
      <c r="AR38" s="436">
        <v>3</v>
      </c>
      <c r="AS38" s="436"/>
      <c r="AT38" s="450">
        <f t="shared" ca="1" si="7"/>
        <v>0</v>
      </c>
      <c r="AU38" s="457">
        <f t="shared" ca="1" si="8"/>
        <v>-3.9999999833333334E-2</v>
      </c>
      <c r="BH38" s="379">
        <v>35</v>
      </c>
      <c r="BI38" s="379" t="str">
        <f t="shared" si="10"/>
        <v>Irak</v>
      </c>
      <c r="BJ38" s="436">
        <f>+COUNTIFS('Inputs summary'!I$2:I$106,BI38)</f>
        <v>0</v>
      </c>
      <c r="BK38" s="436">
        <f>+COUNTIFS('Inputs summary'!J$2:K$106,BI38)</f>
        <v>0</v>
      </c>
      <c r="BL38" s="436">
        <f>+COUNTIFS('Inputs summary'!L$2:L$106,BI38)</f>
        <v>3</v>
      </c>
      <c r="BM38" s="436">
        <f t="shared" si="11"/>
        <v>-9</v>
      </c>
      <c r="BN38" s="436">
        <f>+SUMIF('Inputs summary'!$B$1:$B$106,$BI38,'Inputs summary'!$C$1:$C$106)+SUMIF('Inputs summary'!$E$1:$E$106,$BI38,'Inputs summary'!$D$1:$D$106)</f>
        <v>0</v>
      </c>
      <c r="BO38" s="436">
        <f>+SUMIF('Inputs summary'!$B$1:$B$106,$BI38,'Inputs summary'!$D$1:$D$106)+SUMIF('Inputs summary'!$E$1:$E$106,$BI38,'Inputs summary'!$C$1:$C$106)</f>
        <v>9</v>
      </c>
      <c r="BP38" s="457">
        <f t="shared" si="12"/>
        <v>-8.9954300000000001E-2</v>
      </c>
    </row>
    <row r="39" spans="7:68" ht="14.25" customHeight="1" x14ac:dyDescent="0.25">
      <c r="G39" s="379">
        <v>36</v>
      </c>
      <c r="H39" s="379" t="str">
        <f>+'Groups Stage'!O78</f>
        <v>Noruega</v>
      </c>
      <c r="I39" s="436">
        <f t="shared" ref="I39:O39" ca="1" si="49">+IF(COUNTIF(AC:AC,$H39)&gt;0,I$2,0)</f>
        <v>0</v>
      </c>
      <c r="J39" s="436">
        <f t="shared" ca="1" si="49"/>
        <v>0</v>
      </c>
      <c r="K39" s="436">
        <f t="shared" ca="1" si="49"/>
        <v>0</v>
      </c>
      <c r="L39" s="436">
        <f t="shared" ca="1" si="49"/>
        <v>0</v>
      </c>
      <c r="M39" s="436">
        <f t="shared" ca="1" si="49"/>
        <v>0</v>
      </c>
      <c r="N39" s="436">
        <f t="shared" ca="1" si="49"/>
        <v>1</v>
      </c>
      <c r="O39" s="436">
        <f t="shared" ca="1" si="49"/>
        <v>1</v>
      </c>
      <c r="P39" s="436">
        <f t="shared" ca="1" si="1"/>
        <v>2</v>
      </c>
      <c r="Q39" s="436">
        <f ca="1">+COUNTIFS('Inputs summary'!I:I,$H39)</f>
        <v>3</v>
      </c>
      <c r="R39" s="436">
        <f ca="1">+COUNTIFS('Inputs summary'!J:K,$H39)</f>
        <v>0</v>
      </c>
      <c r="S39" s="436">
        <f ca="1">+COUNTIFS('Inputs summary'!L:L,$H39)</f>
        <v>2</v>
      </c>
      <c r="T39" s="436">
        <f t="shared" ca="1" si="2"/>
        <v>3</v>
      </c>
      <c r="U39" s="436">
        <f ca="1">+SUMIF('Inputs summary'!B:B,H39,'Inputs summary'!C:C)+SUMIF('Inputs summary'!E:E,H39,'Inputs summary'!D:D)</f>
        <v>8</v>
      </c>
      <c r="V39" s="436">
        <f ca="1">+SUMIF('Inputs summary'!B:B,H39,'Inputs summary'!D:D)+SUMIF('Inputs summary'!E:E,H39,'Inputs summary'!C:C)</f>
        <v>5</v>
      </c>
      <c r="W39" s="454">
        <f t="shared" ca="1" si="3"/>
        <v>209.03080000032259</v>
      </c>
      <c r="X39" s="455">
        <f t="shared" ca="1" si="4"/>
        <v>11</v>
      </c>
      <c r="Y39" s="456">
        <f t="shared" si="5"/>
        <v>2</v>
      </c>
      <c r="Z39" s="455">
        <f t="shared" ca="1" si="6"/>
        <v>209.03080050032258</v>
      </c>
      <c r="AA39" s="455">
        <f>+_xlfn.XLOOKUP(H39,'Ranking FIFA'!B:B,'Ranking FIFA'!A:A,"--",0)</f>
        <v>31</v>
      </c>
      <c r="AP39" s="451">
        <f>+_xlfn.XLOOKUP(AQ39,'Ranking FIFA'!B:B,'Ranking FIFA'!A:A,"--",0)</f>
        <v>61</v>
      </c>
      <c r="AQ39" s="379" t="s">
        <v>83</v>
      </c>
      <c r="AR39" s="436">
        <v>3</v>
      </c>
      <c r="AS39" s="436"/>
      <c r="AT39" s="450">
        <f t="shared" ca="1" si="7"/>
        <v>1</v>
      </c>
      <c r="AU39" s="457">
        <f t="shared" ca="1" si="8"/>
        <v>102.97030000016393</v>
      </c>
      <c r="BH39" s="379">
        <v>36</v>
      </c>
      <c r="BI39" s="379" t="str">
        <f t="shared" si="10"/>
        <v>Noruega</v>
      </c>
      <c r="BJ39" s="436">
        <f>+COUNTIFS('Inputs summary'!I$2:I$106,BI39)</f>
        <v>2</v>
      </c>
      <c r="BK39" s="436">
        <f>+COUNTIFS('Inputs summary'!J$2:K$106,BI39)</f>
        <v>0</v>
      </c>
      <c r="BL39" s="436">
        <f>+COUNTIFS('Inputs summary'!L$2:L$106,BI39)</f>
        <v>1</v>
      </c>
      <c r="BM39" s="436">
        <f t="shared" si="11"/>
        <v>3</v>
      </c>
      <c r="BN39" s="436">
        <f>+SUMIF('Inputs summary'!$B$1:$B$106,$BI39,'Inputs summary'!$C$1:$C$106)+SUMIF('Inputs summary'!$E$1:$E$106,$BI39,'Inputs summary'!$D$1:$D$106)</f>
        <v>5</v>
      </c>
      <c r="BO39" s="436">
        <f>+SUMIF('Inputs summary'!$B$1:$B$106,$BI39,'Inputs summary'!$D$1:$D$106)+SUMIF('Inputs summary'!$E$1:$E$106,$BI39,'Inputs summary'!$C$1:$C$106)</f>
        <v>2</v>
      </c>
      <c r="BP39" s="457">
        <f t="shared" si="12"/>
        <v>6.0350231000000001</v>
      </c>
    </row>
    <row r="40" spans="7:68" ht="14.25" customHeight="1" x14ac:dyDescent="0.25">
      <c r="G40" s="379">
        <v>37</v>
      </c>
      <c r="H40" s="379" t="str">
        <f>+'Groups Stage'!O84</f>
        <v>Argentina</v>
      </c>
      <c r="I40" s="436">
        <f t="shared" ref="I40:O40" ca="1" si="50">+IF(COUNTIF(AC:AC,$H40)&gt;0,I$2,0)</f>
        <v>2</v>
      </c>
      <c r="J40" s="436">
        <f t="shared" ca="1" si="50"/>
        <v>2</v>
      </c>
      <c r="K40" s="436">
        <f t="shared" ca="1" si="50"/>
        <v>0</v>
      </c>
      <c r="L40" s="436">
        <f t="shared" ca="1" si="50"/>
        <v>1</v>
      </c>
      <c r="M40" s="436">
        <f t="shared" ca="1" si="50"/>
        <v>1</v>
      </c>
      <c r="N40" s="436">
        <f t="shared" ca="1" si="50"/>
        <v>1</v>
      </c>
      <c r="O40" s="436">
        <f t="shared" ca="1" si="50"/>
        <v>1</v>
      </c>
      <c r="P40" s="436">
        <f t="shared" ca="1" si="1"/>
        <v>8</v>
      </c>
      <c r="Q40" s="436">
        <f ca="1">+COUNTIFS('Inputs summary'!I:I,$H40)</f>
        <v>7</v>
      </c>
      <c r="R40" s="436">
        <f ca="1">+COUNTIFS('Inputs summary'!J:K,$H40)</f>
        <v>1</v>
      </c>
      <c r="S40" s="436">
        <f ca="1">+COUNTIFS('Inputs summary'!L:L,$H40)</f>
        <v>0</v>
      </c>
      <c r="T40" s="436">
        <f t="shared" ca="1" si="2"/>
        <v>10</v>
      </c>
      <c r="U40" s="436">
        <f ca="1">+SUMIF('Inputs summary'!B:B,H40,'Inputs summary'!C:C)+SUMIF('Inputs summary'!E:E,H40,'Inputs summary'!D:D)</f>
        <v>19</v>
      </c>
      <c r="V40" s="436">
        <f ca="1">+SUMIF('Inputs summary'!B:B,H40,'Inputs summary'!D:D)+SUMIF('Inputs summary'!E:E,H40,'Inputs summary'!C:C)</f>
        <v>9</v>
      </c>
      <c r="W40" s="454">
        <f t="shared" ca="1" si="3"/>
        <v>822.1019000033333</v>
      </c>
      <c r="X40" s="455">
        <f t="shared" ca="1" si="4"/>
        <v>2201111</v>
      </c>
      <c r="Y40" s="456">
        <f t="shared" si="5"/>
        <v>1</v>
      </c>
      <c r="Z40" s="455">
        <f t="shared" ca="1" si="6"/>
        <v>822.1019010033333</v>
      </c>
      <c r="AA40" s="455">
        <f>+_xlfn.XLOOKUP(H40,'Ranking FIFA'!B:B,'Ranking FIFA'!A:A,"--",0)</f>
        <v>3</v>
      </c>
      <c r="AP40" s="451">
        <f>+_xlfn.XLOOKUP(AQ40,'Ranking FIFA'!B:B,'Ranking FIFA'!A:A,"--",0)</f>
        <v>65</v>
      </c>
      <c r="AQ40" s="464" t="s">
        <v>84</v>
      </c>
      <c r="AR40" s="436">
        <v>3</v>
      </c>
      <c r="AS40" s="436"/>
      <c r="AT40" s="450">
        <f t="shared" ca="1" si="7"/>
        <v>1</v>
      </c>
      <c r="AU40" s="457">
        <f t="shared" ca="1" si="8"/>
        <v>108.03060000015385</v>
      </c>
      <c r="BH40" s="379">
        <v>37</v>
      </c>
      <c r="BI40" s="379" t="str">
        <f t="shared" si="10"/>
        <v>Argentina</v>
      </c>
      <c r="BJ40" s="436">
        <f>+COUNTIFS('Inputs summary'!I$2:I$106,BI40)</f>
        <v>3</v>
      </c>
      <c r="BK40" s="436">
        <f>+COUNTIFS('Inputs summary'!J$2:K$106,BI40)</f>
        <v>0</v>
      </c>
      <c r="BL40" s="436">
        <f>+COUNTIFS('Inputs summary'!L$2:L$106,BI40)</f>
        <v>0</v>
      </c>
      <c r="BM40" s="436">
        <f t="shared" si="11"/>
        <v>6</v>
      </c>
      <c r="BN40" s="436">
        <f>+SUMIF('Inputs summary'!$B$1:$B$106,$BI40,'Inputs summary'!$C$1:$C$106)+SUMIF('Inputs summary'!$E$1:$E$106,$BI40,'Inputs summary'!$D$1:$D$106)</f>
        <v>7</v>
      </c>
      <c r="BO40" s="436">
        <f>+SUMIF('Inputs summary'!$B$1:$B$106,$BI40,'Inputs summary'!$D$1:$D$106)+SUMIF('Inputs summary'!$E$1:$E$106,$BI40,'Inputs summary'!$C$1:$C$106)</f>
        <v>1</v>
      </c>
      <c r="BP40" s="457">
        <f t="shared" si="12"/>
        <v>9.0670102999999997</v>
      </c>
    </row>
    <row r="41" spans="7:68" ht="14.25" customHeight="1" x14ac:dyDescent="0.25">
      <c r="G41" s="379">
        <v>38</v>
      </c>
      <c r="H41" s="379" t="str">
        <f>+'Groups Stage'!O85</f>
        <v>Argelia</v>
      </c>
      <c r="I41" s="436">
        <f t="shared" ref="I41:O41" ca="1" si="51">+IF(COUNTIF(AC:AC,$H41)&gt;0,I$2,0)</f>
        <v>0</v>
      </c>
      <c r="J41" s="436">
        <f t="shared" ca="1" si="51"/>
        <v>0</v>
      </c>
      <c r="K41" s="436">
        <f t="shared" ca="1" si="51"/>
        <v>0</v>
      </c>
      <c r="L41" s="436">
        <f t="shared" ca="1" si="51"/>
        <v>0</v>
      </c>
      <c r="M41" s="436">
        <f t="shared" ca="1" si="51"/>
        <v>0</v>
      </c>
      <c r="N41" s="436">
        <f t="shared" ca="1" si="51"/>
        <v>0</v>
      </c>
      <c r="O41" s="436">
        <f t="shared" ca="1" si="51"/>
        <v>0</v>
      </c>
      <c r="P41" s="436">
        <f t="shared" ca="1" si="1"/>
        <v>0</v>
      </c>
      <c r="Q41" s="436">
        <f ca="1">+COUNTIFS('Inputs summary'!I:I,$H41)</f>
        <v>1</v>
      </c>
      <c r="R41" s="436">
        <f ca="1">+COUNTIFS('Inputs summary'!J:K,$H41)</f>
        <v>0</v>
      </c>
      <c r="S41" s="436">
        <f ca="1">+COUNTIFS('Inputs summary'!L:L,$H41)</f>
        <v>2</v>
      </c>
      <c r="T41" s="436">
        <f t="shared" ca="1" si="2"/>
        <v>-3</v>
      </c>
      <c r="U41" s="436">
        <f ca="1">+SUMIF('Inputs summary'!B:B,H41,'Inputs summary'!C:C)+SUMIF('Inputs summary'!E:E,H41,'Inputs summary'!D:D)</f>
        <v>1</v>
      </c>
      <c r="V41" s="436">
        <f ca="1">+SUMIF('Inputs summary'!B:B,H41,'Inputs summary'!D:D)+SUMIF('Inputs summary'!E:E,H41,'Inputs summary'!C:C)</f>
        <v>4</v>
      </c>
      <c r="W41" s="454">
        <f t="shared" ca="1" si="3"/>
        <v>2.9701000003571432</v>
      </c>
      <c r="X41" s="455">
        <f t="shared" ca="1" si="4"/>
        <v>0</v>
      </c>
      <c r="Y41" s="456">
        <f t="shared" si="5"/>
        <v>3</v>
      </c>
      <c r="Z41" s="455">
        <f t="shared" ca="1" si="6"/>
        <v>2.9701003336904765</v>
      </c>
      <c r="AA41" s="455">
        <f>+_xlfn.XLOOKUP(H41,'Ranking FIFA'!B:B,'Ranking FIFA'!A:A,"--",0)</f>
        <v>28</v>
      </c>
      <c r="AP41" s="451">
        <f>+_xlfn.XLOOKUP(AQ41,'Ranking FIFA'!B:B,'Ranking FIFA'!A:A,"--",0)</f>
        <v>74</v>
      </c>
      <c r="AQ41" s="379" t="s">
        <v>85</v>
      </c>
      <c r="AR41" s="436">
        <v>3</v>
      </c>
      <c r="AS41" s="436"/>
      <c r="AT41" s="450">
        <f t="shared" ca="1" si="7"/>
        <v>1</v>
      </c>
      <c r="AU41" s="457">
        <f t="shared" ca="1" si="8"/>
        <v>102.97040000013513</v>
      </c>
      <c r="BH41" s="379">
        <v>38</v>
      </c>
      <c r="BI41" s="379" t="str">
        <f t="shared" si="10"/>
        <v>Argelia</v>
      </c>
      <c r="BJ41" s="436">
        <f>+COUNTIFS('Inputs summary'!I$2:I$106,BI41)</f>
        <v>1</v>
      </c>
      <c r="BK41" s="436">
        <f>+COUNTIFS('Inputs summary'!J$2:K$106,BI41)</f>
        <v>0</v>
      </c>
      <c r="BL41" s="436">
        <f>+COUNTIFS('Inputs summary'!L$2:L$106,BI41)</f>
        <v>2</v>
      </c>
      <c r="BM41" s="436">
        <f t="shared" si="11"/>
        <v>-3</v>
      </c>
      <c r="BN41" s="436">
        <f>+SUMIF('Inputs summary'!$B$1:$B$106,$BI41,'Inputs summary'!$C$1:$C$106)+SUMIF('Inputs summary'!$E$1:$E$106,$BI41,'Inputs summary'!$D$1:$D$106)</f>
        <v>1</v>
      </c>
      <c r="BO41" s="436">
        <f>+SUMIF('Inputs summary'!$B$1:$B$106,$BI41,'Inputs summary'!$D$1:$D$106)+SUMIF('Inputs summary'!$E$1:$E$106,$BI41,'Inputs summary'!$C$1:$C$106)</f>
        <v>4</v>
      </c>
      <c r="BP41" s="457">
        <f t="shared" si="12"/>
        <v>2.9710328000000001</v>
      </c>
    </row>
    <row r="42" spans="7:68" ht="14.25" customHeight="1" x14ac:dyDescent="0.25">
      <c r="G42" s="379">
        <v>39</v>
      </c>
      <c r="H42" s="379" t="str">
        <f>+'Groups Stage'!O86</f>
        <v>Austria</v>
      </c>
      <c r="I42" s="436">
        <f t="shared" ref="I42:O42" ca="1" si="52">+IF(COUNTIF(AC:AC,$H42)&gt;0,I$2,0)</f>
        <v>0</v>
      </c>
      <c r="J42" s="436">
        <f t="shared" ca="1" si="52"/>
        <v>0</v>
      </c>
      <c r="K42" s="436">
        <f t="shared" ca="1" si="52"/>
        <v>0</v>
      </c>
      <c r="L42" s="436">
        <f t="shared" ca="1" si="52"/>
        <v>0</v>
      </c>
      <c r="M42" s="436">
        <f t="shared" ca="1" si="52"/>
        <v>0</v>
      </c>
      <c r="N42" s="436">
        <f t="shared" ca="1" si="52"/>
        <v>0</v>
      </c>
      <c r="O42" s="436">
        <f t="shared" ca="1" si="52"/>
        <v>1</v>
      </c>
      <c r="P42" s="436">
        <f t="shared" ca="1" si="1"/>
        <v>1</v>
      </c>
      <c r="Q42" s="436">
        <f ca="1">+COUNTIFS('Inputs summary'!I:I,$H42)</f>
        <v>2</v>
      </c>
      <c r="R42" s="436">
        <f ca="1">+COUNTIFS('Inputs summary'!J:K,$H42)</f>
        <v>0</v>
      </c>
      <c r="S42" s="436">
        <f ca="1">+COUNTIFS('Inputs summary'!L:L,$H42)</f>
        <v>2</v>
      </c>
      <c r="T42" s="436">
        <f t="shared" ca="1" si="2"/>
        <v>0</v>
      </c>
      <c r="U42" s="436">
        <f ca="1">+SUMIF('Inputs summary'!B:B,H42,'Inputs summary'!C:C)+SUMIF('Inputs summary'!E:E,H42,'Inputs summary'!D:D)</f>
        <v>5</v>
      </c>
      <c r="V42" s="436">
        <f ca="1">+SUMIF('Inputs summary'!B:B,H42,'Inputs summary'!D:D)+SUMIF('Inputs summary'!E:E,H42,'Inputs summary'!C:C)</f>
        <v>5</v>
      </c>
      <c r="W42" s="454">
        <f t="shared" ca="1" si="3"/>
        <v>106.00050000041666</v>
      </c>
      <c r="X42" s="455">
        <f t="shared" ca="1" si="4"/>
        <v>1</v>
      </c>
      <c r="Y42" s="456">
        <f t="shared" si="5"/>
        <v>3</v>
      </c>
      <c r="Z42" s="455">
        <f t="shared" ca="1" si="6"/>
        <v>106.00050033375</v>
      </c>
      <c r="AA42" s="455">
        <f>+_xlfn.XLOOKUP(H42,'Ranking FIFA'!B:B,'Ranking FIFA'!A:A,"--",0)</f>
        <v>24</v>
      </c>
      <c r="AP42" s="451">
        <f>+_xlfn.XLOOKUP(AQ42,'Ranking FIFA'!B:B,'Ranking FIFA'!A:A,"--",0)</f>
        <v>21</v>
      </c>
      <c r="AQ42" s="379" t="s">
        <v>86</v>
      </c>
      <c r="AR42" s="436">
        <v>3</v>
      </c>
      <c r="AS42" s="436"/>
      <c r="AT42" s="450">
        <f t="shared" ca="1" si="7"/>
        <v>11</v>
      </c>
      <c r="AU42" s="457">
        <f t="shared" ca="1" si="8"/>
        <v>209.02070000047618</v>
      </c>
      <c r="BH42" s="379">
        <v>39</v>
      </c>
      <c r="BI42" s="379" t="str">
        <f t="shared" si="10"/>
        <v>Austria</v>
      </c>
      <c r="BJ42" s="436">
        <f>+COUNTIFS('Inputs summary'!I$2:I$106,BI42)</f>
        <v>2</v>
      </c>
      <c r="BK42" s="436">
        <f>+COUNTIFS('Inputs summary'!J$2:K$106,BI42)</f>
        <v>0</v>
      </c>
      <c r="BL42" s="436">
        <f>+COUNTIFS('Inputs summary'!L$2:L$106,BI42)</f>
        <v>1</v>
      </c>
      <c r="BM42" s="436">
        <f t="shared" si="11"/>
        <v>2</v>
      </c>
      <c r="BN42" s="436">
        <f>+SUMIF('Inputs summary'!$B$1:$B$106,$BI42,'Inputs summary'!$C$1:$C$106)+SUMIF('Inputs summary'!$E$1:$E$106,$BI42,'Inputs summary'!$D$1:$D$106)</f>
        <v>4</v>
      </c>
      <c r="BO42" s="436">
        <f>+SUMIF('Inputs summary'!$B$1:$B$106,$BI42,'Inputs summary'!$D$1:$D$106)+SUMIF('Inputs summary'!$E$1:$E$106,$BI42,'Inputs summary'!$C$1:$C$106)</f>
        <v>2</v>
      </c>
      <c r="BP42" s="457">
        <f t="shared" si="12"/>
        <v>6.0240323999999985</v>
      </c>
    </row>
    <row r="43" spans="7:68" ht="14.25" customHeight="1" x14ac:dyDescent="0.25">
      <c r="G43" s="379">
        <v>40</v>
      </c>
      <c r="H43" s="379" t="str">
        <f>+'Groups Stage'!O87</f>
        <v>Jordania</v>
      </c>
      <c r="I43" s="436">
        <f t="shared" ref="I43:O43" ca="1" si="53">+IF(COUNTIF(AC:AC,$H43)&gt;0,I$2,0)</f>
        <v>0</v>
      </c>
      <c r="J43" s="436">
        <f t="shared" ca="1" si="53"/>
        <v>0</v>
      </c>
      <c r="K43" s="436">
        <f t="shared" ca="1" si="53"/>
        <v>0</v>
      </c>
      <c r="L43" s="436">
        <f t="shared" ca="1" si="53"/>
        <v>0</v>
      </c>
      <c r="M43" s="436">
        <f t="shared" ca="1" si="53"/>
        <v>0</v>
      </c>
      <c r="N43" s="436">
        <f t="shared" ca="1" si="53"/>
        <v>0</v>
      </c>
      <c r="O43" s="436">
        <f t="shared" ca="1" si="53"/>
        <v>0</v>
      </c>
      <c r="P43" s="436">
        <f t="shared" ca="1" si="1"/>
        <v>0</v>
      </c>
      <c r="Q43" s="436">
        <f ca="1">+COUNTIFS('Inputs summary'!I:I,$H43)</f>
        <v>0</v>
      </c>
      <c r="R43" s="436">
        <f ca="1">+COUNTIFS('Inputs summary'!J:K,$H43)</f>
        <v>0</v>
      </c>
      <c r="S43" s="436">
        <f ca="1">+COUNTIFS('Inputs summary'!L:L,$H43)</f>
        <v>3</v>
      </c>
      <c r="T43" s="436">
        <f t="shared" ca="1" si="2"/>
        <v>-5</v>
      </c>
      <c r="U43" s="436">
        <f ca="1">+SUMIF('Inputs summary'!B:B,H43,'Inputs summary'!C:C)+SUMIF('Inputs summary'!E:E,H43,'Inputs summary'!D:D)</f>
        <v>0</v>
      </c>
      <c r="V43" s="436">
        <f ca="1">+SUMIF('Inputs summary'!B:B,H43,'Inputs summary'!D:D)+SUMIF('Inputs summary'!E:E,H43,'Inputs summary'!C:C)</f>
        <v>5</v>
      </c>
      <c r="W43" s="454">
        <f t="shared" ca="1" si="3"/>
        <v>-4.9999999841269842E-2</v>
      </c>
      <c r="X43" s="455">
        <f t="shared" ca="1" si="4"/>
        <v>0</v>
      </c>
      <c r="Y43" s="456">
        <f t="shared" si="5"/>
        <v>4</v>
      </c>
      <c r="Z43" s="455">
        <f t="shared" ca="1" si="6"/>
        <v>-4.9999749841269842E-2</v>
      </c>
      <c r="AA43" s="455">
        <f>+_xlfn.XLOOKUP(H43,'Ranking FIFA'!B:B,'Ranking FIFA'!A:A,"--",0)</f>
        <v>63</v>
      </c>
      <c r="AP43" s="451">
        <f>+_xlfn.XLOOKUP(AQ43,'Ranking FIFA'!B:B,'Ranking FIFA'!A:A,"--",0)</f>
        <v>46</v>
      </c>
      <c r="AQ43" s="464" t="s">
        <v>87</v>
      </c>
      <c r="AR43" s="436">
        <v>4</v>
      </c>
      <c r="AS43" s="436"/>
      <c r="AT43" s="450">
        <f t="shared" ca="1" si="7"/>
        <v>0</v>
      </c>
      <c r="AU43" s="457">
        <f t="shared" ca="1" si="8"/>
        <v>-5.9999999782608691E-2</v>
      </c>
      <c r="BH43" s="379">
        <v>40</v>
      </c>
      <c r="BI43" s="379" t="str">
        <f t="shared" si="10"/>
        <v>Jordania</v>
      </c>
      <c r="BJ43" s="436">
        <f>+COUNTIFS('Inputs summary'!I$2:I$106,BI43)</f>
        <v>0</v>
      </c>
      <c r="BK43" s="436">
        <f>+COUNTIFS('Inputs summary'!J$2:K$106,BI43)</f>
        <v>0</v>
      </c>
      <c r="BL43" s="436">
        <f>+COUNTIFS('Inputs summary'!L$2:L$106,BI43)</f>
        <v>3</v>
      </c>
      <c r="BM43" s="436">
        <f t="shared" si="11"/>
        <v>-5</v>
      </c>
      <c r="BN43" s="436">
        <f>+SUMIF('Inputs summary'!$B$1:$B$106,$BI43,'Inputs summary'!$C$1:$C$106)+SUMIF('Inputs summary'!$E$1:$E$106,$BI43,'Inputs summary'!$D$1:$D$106)</f>
        <v>0</v>
      </c>
      <c r="BO43" s="436">
        <f>+SUMIF('Inputs summary'!$B$1:$B$106,$BI43,'Inputs summary'!$D$1:$D$106)+SUMIF('Inputs summary'!$E$1:$E$106,$BI43,'Inputs summary'!$C$1:$C$106)</f>
        <v>5</v>
      </c>
      <c r="BP43" s="457">
        <f t="shared" si="12"/>
        <v>-4.9953700000000004E-2</v>
      </c>
    </row>
    <row r="44" spans="7:68" ht="14.25" customHeight="1" x14ac:dyDescent="0.25">
      <c r="G44" s="379">
        <v>41</v>
      </c>
      <c r="H44" s="379" t="str">
        <f>+'Groups Stage'!O93</f>
        <v>Portugal</v>
      </c>
      <c r="I44" s="436">
        <f t="shared" ref="I44:O44" ca="1" si="54">+IF(COUNTIF(AC:AC,$H44)&gt;0,I$2,0)</f>
        <v>0</v>
      </c>
      <c r="J44" s="436">
        <f t="shared" ca="1" si="54"/>
        <v>0</v>
      </c>
      <c r="K44" s="436">
        <f t="shared" ca="1" si="54"/>
        <v>0</v>
      </c>
      <c r="L44" s="436">
        <f t="shared" ca="1" si="54"/>
        <v>0</v>
      </c>
      <c r="M44" s="436">
        <f t="shared" ca="1" si="54"/>
        <v>1</v>
      </c>
      <c r="N44" s="436">
        <f t="shared" ca="1" si="54"/>
        <v>1</v>
      </c>
      <c r="O44" s="436">
        <f t="shared" ca="1" si="54"/>
        <v>1</v>
      </c>
      <c r="P44" s="436">
        <f t="shared" ca="1" si="1"/>
        <v>3</v>
      </c>
      <c r="Q44" s="436">
        <f ca="1">+COUNTIFS('Inputs summary'!I:I,$H44)</f>
        <v>4</v>
      </c>
      <c r="R44" s="436">
        <f ca="1">+COUNTIFS('Inputs summary'!J:K,$H44)</f>
        <v>1</v>
      </c>
      <c r="S44" s="436">
        <f ca="1">+COUNTIFS('Inputs summary'!L:L,$H44)</f>
        <v>1</v>
      </c>
      <c r="T44" s="436">
        <f t="shared" ca="1" si="2"/>
        <v>6</v>
      </c>
      <c r="U44" s="436">
        <f ca="1">+SUMIF('Inputs summary'!B:B,H44,'Inputs summary'!C:C)+SUMIF('Inputs summary'!E:E,H44,'Inputs summary'!D:D)</f>
        <v>13</v>
      </c>
      <c r="V44" s="436">
        <f ca="1">+SUMIF('Inputs summary'!B:B,H44,'Inputs summary'!D:D)+SUMIF('Inputs summary'!E:E,H44,'Inputs summary'!C:C)</f>
        <v>7</v>
      </c>
      <c r="W44" s="454">
        <f t="shared" ca="1" si="3"/>
        <v>313.061300002</v>
      </c>
      <c r="X44" s="455">
        <f t="shared" ca="1" si="4"/>
        <v>111</v>
      </c>
      <c r="Y44" s="456">
        <f t="shared" si="5"/>
        <v>1</v>
      </c>
      <c r="Z44" s="455">
        <f t="shared" ca="1" si="6"/>
        <v>313.06130100199999</v>
      </c>
      <c r="AA44" s="455">
        <f>+_xlfn.XLOOKUP(H44,'Ranking FIFA'!B:B,'Ranking FIFA'!A:A,"--",0)</f>
        <v>5</v>
      </c>
      <c r="AP44" s="451">
        <f>+_xlfn.XLOOKUP(AQ44,'Ranking FIFA'!B:B,'Ranking FIFA'!A:A,"--",0)</f>
        <v>50</v>
      </c>
      <c r="AQ44" s="379" t="s">
        <v>88</v>
      </c>
      <c r="AR44" s="436">
        <v>4</v>
      </c>
      <c r="AS44" s="436"/>
      <c r="AT44" s="450">
        <f t="shared" ca="1" si="7"/>
        <v>0</v>
      </c>
      <c r="AU44" s="457">
        <f t="shared" ca="1" si="8"/>
        <v>2.9701000002000004</v>
      </c>
      <c r="BH44" s="379">
        <v>41</v>
      </c>
      <c r="BI44" s="379" t="str">
        <f t="shared" si="10"/>
        <v>Portugal</v>
      </c>
      <c r="BJ44" s="436">
        <f>+COUNTIFS('Inputs summary'!I$2:I$106,BI44)</f>
        <v>2</v>
      </c>
      <c r="BK44" s="436">
        <f>+COUNTIFS('Inputs summary'!J$2:K$106,BI44)</f>
        <v>1</v>
      </c>
      <c r="BL44" s="436">
        <f>+COUNTIFS('Inputs summary'!L$2:L$106,BI44)</f>
        <v>0</v>
      </c>
      <c r="BM44" s="436">
        <f t="shared" si="11"/>
        <v>5</v>
      </c>
      <c r="BN44" s="436">
        <f>+SUMIF('Inputs summary'!$B$1:$B$106,$BI44,'Inputs summary'!$C$1:$C$106)+SUMIF('Inputs summary'!$E$1:$E$106,$BI44,'Inputs summary'!$D$1:$D$106)</f>
        <v>7</v>
      </c>
      <c r="BO44" s="436">
        <f>+SUMIF('Inputs summary'!$B$1:$B$106,$BI44,'Inputs summary'!$D$1:$D$106)+SUMIF('Inputs summary'!$E$1:$E$106,$BI44,'Inputs summary'!$C$1:$C$106)</f>
        <v>2</v>
      </c>
      <c r="BP44" s="457">
        <f t="shared" si="12"/>
        <v>8.0570105000000005</v>
      </c>
    </row>
    <row r="45" spans="7:68" ht="14.25" customHeight="1" x14ac:dyDescent="0.25">
      <c r="G45" s="379">
        <v>42</v>
      </c>
      <c r="H45" s="379" t="str">
        <f>+'Groups Stage'!O94</f>
        <v>Congo</v>
      </c>
      <c r="I45" s="436">
        <f t="shared" ref="I45:O45" ca="1" si="55">+IF(COUNTIF(AC:AC,$H45)&gt;0,I$2,0)</f>
        <v>0</v>
      </c>
      <c r="J45" s="436">
        <f t="shared" ca="1" si="55"/>
        <v>0</v>
      </c>
      <c r="K45" s="436">
        <f t="shared" ca="1" si="55"/>
        <v>0</v>
      </c>
      <c r="L45" s="436">
        <f t="shared" ca="1" si="55"/>
        <v>0</v>
      </c>
      <c r="M45" s="436">
        <f t="shared" ca="1" si="55"/>
        <v>0</v>
      </c>
      <c r="N45" s="436">
        <f t="shared" ca="1" si="55"/>
        <v>0</v>
      </c>
      <c r="O45" s="436">
        <f t="shared" ca="1" si="55"/>
        <v>0</v>
      </c>
      <c r="P45" s="436">
        <f t="shared" ca="1" si="1"/>
        <v>0</v>
      </c>
      <c r="Q45" s="436">
        <f ca="1">+COUNTIFS('Inputs summary'!I:I,$H45)</f>
        <v>0</v>
      </c>
      <c r="R45" s="436">
        <f ca="1">+COUNTIFS('Inputs summary'!J:K,$H45)</f>
        <v>0</v>
      </c>
      <c r="S45" s="436">
        <f ca="1">+COUNTIFS('Inputs summary'!L:L,$H45)</f>
        <v>3</v>
      </c>
      <c r="T45" s="436">
        <f t="shared" ca="1" si="2"/>
        <v>-6</v>
      </c>
      <c r="U45" s="436">
        <f ca="1">+SUMIF('Inputs summary'!B:B,H45,'Inputs summary'!C:C)+SUMIF('Inputs summary'!E:E,H45,'Inputs summary'!D:D)</f>
        <v>0</v>
      </c>
      <c r="V45" s="436">
        <f ca="1">+SUMIF('Inputs summary'!B:B,H45,'Inputs summary'!D:D)+SUMIF('Inputs summary'!E:E,H45,'Inputs summary'!C:C)</f>
        <v>6</v>
      </c>
      <c r="W45" s="454">
        <f t="shared" ca="1" si="3"/>
        <v>-5.9999999782608691E-2</v>
      </c>
      <c r="X45" s="455">
        <f t="shared" ca="1" si="4"/>
        <v>0</v>
      </c>
      <c r="Y45" s="456">
        <f t="shared" si="5"/>
        <v>4</v>
      </c>
      <c r="Z45" s="455">
        <f t="shared" ca="1" si="6"/>
        <v>-5.9999749782608691E-2</v>
      </c>
      <c r="AA45" s="455">
        <f>+_xlfn.XLOOKUP(H45,'Ranking FIFA'!B:B,'Ranking FIFA'!A:A,"--",0)</f>
        <v>46</v>
      </c>
      <c r="AP45" s="451">
        <f>+_xlfn.XLOOKUP(AQ45,'Ranking FIFA'!B:B,'Ranking FIFA'!A:A,"--",0)</f>
        <v>55</v>
      </c>
      <c r="AQ45" s="379" t="s">
        <v>89</v>
      </c>
      <c r="AR45" s="436">
        <v>4</v>
      </c>
      <c r="AS45" s="436"/>
      <c r="AT45" s="450">
        <f t="shared" ca="1" si="7"/>
        <v>0</v>
      </c>
      <c r="AU45" s="457">
        <f t="shared" ca="1" si="8"/>
        <v>0.96000000018181819</v>
      </c>
      <c r="BH45" s="379">
        <v>42</v>
      </c>
      <c r="BI45" s="379" t="str">
        <f t="shared" si="10"/>
        <v>Congo</v>
      </c>
      <c r="BJ45" s="436">
        <f>+COUNTIFS('Inputs summary'!I$2:I$106,BI45)</f>
        <v>0</v>
      </c>
      <c r="BK45" s="436">
        <f>+COUNTIFS('Inputs summary'!J$2:K$106,BI45)</f>
        <v>0</v>
      </c>
      <c r="BL45" s="436">
        <f>+COUNTIFS('Inputs summary'!L$2:L$106,BI45)</f>
        <v>3</v>
      </c>
      <c r="BM45" s="436">
        <f t="shared" si="11"/>
        <v>-6</v>
      </c>
      <c r="BN45" s="436">
        <f>+SUMIF('Inputs summary'!$B$1:$B$106,$BI45,'Inputs summary'!$C$1:$C$106)+SUMIF('Inputs summary'!$E$1:$E$106,$BI45,'Inputs summary'!$D$1:$D$106)</f>
        <v>0</v>
      </c>
      <c r="BO45" s="436">
        <f>+SUMIF('Inputs summary'!$B$1:$B$106,$BI45,'Inputs summary'!$D$1:$D$106)+SUMIF('Inputs summary'!$E$1:$E$106,$BI45,'Inputs summary'!$C$1:$C$106)</f>
        <v>6</v>
      </c>
      <c r="BP45" s="457">
        <f t="shared" si="12"/>
        <v>-5.9955399999999999E-2</v>
      </c>
    </row>
    <row r="46" spans="7:68" ht="14.25" customHeight="1" x14ac:dyDescent="0.25">
      <c r="G46" s="379">
        <v>43</v>
      </c>
      <c r="H46" s="379" t="str">
        <f>+'Groups Stage'!O95</f>
        <v>Uzbekistan</v>
      </c>
      <c r="I46" s="436">
        <f t="shared" ref="I46:O46" ca="1" si="56">+IF(COUNTIF(AC:AC,$H46)&gt;0,I$2,0)</f>
        <v>0</v>
      </c>
      <c r="J46" s="436">
        <f t="shared" ca="1" si="56"/>
        <v>0</v>
      </c>
      <c r="K46" s="436">
        <f t="shared" ca="1" si="56"/>
        <v>0</v>
      </c>
      <c r="L46" s="436">
        <f t="shared" ca="1" si="56"/>
        <v>0</v>
      </c>
      <c r="M46" s="436">
        <f t="shared" ca="1" si="56"/>
        <v>0</v>
      </c>
      <c r="N46" s="436">
        <f t="shared" ca="1" si="56"/>
        <v>0</v>
      </c>
      <c r="O46" s="436">
        <f t="shared" ca="1" si="56"/>
        <v>0</v>
      </c>
      <c r="P46" s="436">
        <f t="shared" ca="1" si="1"/>
        <v>0</v>
      </c>
      <c r="Q46" s="436">
        <f ca="1">+COUNTIFS('Inputs summary'!I:I,$H46)</f>
        <v>1</v>
      </c>
      <c r="R46" s="436">
        <f ca="1">+COUNTIFS('Inputs summary'!J:K,$H46)</f>
        <v>0</v>
      </c>
      <c r="S46" s="436">
        <f ca="1">+COUNTIFS('Inputs summary'!L:L,$H46)</f>
        <v>2</v>
      </c>
      <c r="T46" s="436">
        <f t="shared" ca="1" si="2"/>
        <v>-3</v>
      </c>
      <c r="U46" s="436">
        <f ca="1">+SUMIF('Inputs summary'!B:B,H46,'Inputs summary'!C:C)+SUMIF('Inputs summary'!E:E,H46,'Inputs summary'!D:D)</f>
        <v>1</v>
      </c>
      <c r="V46" s="436">
        <f ca="1">+SUMIF('Inputs summary'!B:B,H46,'Inputs summary'!D:D)+SUMIF('Inputs summary'!E:E,H46,'Inputs summary'!C:C)</f>
        <v>4</v>
      </c>
      <c r="W46" s="454">
        <f t="shared" ca="1" si="3"/>
        <v>2.9701000002000004</v>
      </c>
      <c r="X46" s="455">
        <f t="shared" ca="1" si="4"/>
        <v>0</v>
      </c>
      <c r="Y46" s="456">
        <f t="shared" si="5"/>
        <v>4</v>
      </c>
      <c r="Z46" s="455">
        <f t="shared" ca="1" si="6"/>
        <v>2.9701002502000002</v>
      </c>
      <c r="AA46" s="455">
        <f>+_xlfn.XLOOKUP(H46,'Ranking FIFA'!B:B,'Ranking FIFA'!A:A,"--",0)</f>
        <v>50</v>
      </c>
      <c r="AP46" s="451">
        <f>+_xlfn.XLOOKUP(AQ46,'Ranking FIFA'!B:B,'Ranking FIFA'!A:A,"--",0)</f>
        <v>57</v>
      </c>
      <c r="AQ46" s="464" t="s">
        <v>90</v>
      </c>
      <c r="AR46" s="436">
        <v>4</v>
      </c>
      <c r="AS46" s="436"/>
      <c r="AT46" s="450">
        <f t="shared" ca="1" si="7"/>
        <v>0</v>
      </c>
      <c r="AU46" s="457">
        <f t="shared" ca="1" si="8"/>
        <v>-8.9999999824561402E-2</v>
      </c>
      <c r="BH46" s="379">
        <v>43</v>
      </c>
      <c r="BI46" s="379" t="str">
        <f t="shared" si="10"/>
        <v>Uzbekistan</v>
      </c>
      <c r="BJ46" s="436">
        <f>+COUNTIFS('Inputs summary'!I$2:I$106,BI46)</f>
        <v>1</v>
      </c>
      <c r="BK46" s="436">
        <f>+COUNTIFS('Inputs summary'!J$2:K$106,BI46)</f>
        <v>0</v>
      </c>
      <c r="BL46" s="436">
        <f>+COUNTIFS('Inputs summary'!L$2:L$106,BI46)</f>
        <v>2</v>
      </c>
      <c r="BM46" s="436">
        <f t="shared" si="11"/>
        <v>-3</v>
      </c>
      <c r="BN46" s="436">
        <f>+SUMIF('Inputs summary'!$B$1:$B$106,$BI46,'Inputs summary'!$C$1:$C$106)+SUMIF('Inputs summary'!$E$1:$E$106,$BI46,'Inputs summary'!$D$1:$D$106)</f>
        <v>1</v>
      </c>
      <c r="BO46" s="436">
        <f>+SUMIF('Inputs summary'!$B$1:$B$106,$BI46,'Inputs summary'!$D$1:$D$106)+SUMIF('Inputs summary'!$E$1:$E$106,$BI46,'Inputs summary'!$C$1:$C$106)</f>
        <v>4</v>
      </c>
      <c r="BP46" s="457">
        <f t="shared" si="12"/>
        <v>2.9710449999999997</v>
      </c>
    </row>
    <row r="47" spans="7:68" ht="14.25" customHeight="1" x14ac:dyDescent="0.25">
      <c r="G47" s="379">
        <v>44</v>
      </c>
      <c r="H47" s="379" t="str">
        <f>+'Groups Stage'!O96</f>
        <v>Colombia</v>
      </c>
      <c r="I47" s="436">
        <f t="shared" ref="I47:O47" ca="1" si="57">+IF(COUNTIF(AC:AC,$H47)&gt;0,I$2,0)</f>
        <v>0</v>
      </c>
      <c r="J47" s="436">
        <f t="shared" ca="1" si="57"/>
        <v>0</v>
      </c>
      <c r="K47" s="436">
        <f t="shared" ca="1" si="57"/>
        <v>0</v>
      </c>
      <c r="L47" s="436">
        <f t="shared" ca="1" si="57"/>
        <v>0</v>
      </c>
      <c r="M47" s="436">
        <f t="shared" ca="1" si="57"/>
        <v>0</v>
      </c>
      <c r="N47" s="436">
        <f t="shared" ca="1" si="57"/>
        <v>0</v>
      </c>
      <c r="O47" s="436">
        <f t="shared" ca="1" si="57"/>
        <v>1</v>
      </c>
      <c r="P47" s="436">
        <f t="shared" ca="1" si="1"/>
        <v>1</v>
      </c>
      <c r="Q47" s="436">
        <f ca="1">+COUNTIFS('Inputs summary'!I:I,$H47)</f>
        <v>2</v>
      </c>
      <c r="R47" s="436">
        <f ca="1">+COUNTIFS('Inputs summary'!J:K,$H47)</f>
        <v>1</v>
      </c>
      <c r="S47" s="436">
        <f ca="1">+COUNTIFS('Inputs summary'!L:L,$H47)</f>
        <v>1</v>
      </c>
      <c r="T47" s="436">
        <f t="shared" ca="1" si="2"/>
        <v>3</v>
      </c>
      <c r="U47" s="436">
        <f ca="1">+SUMIF('Inputs summary'!B:B,H47,'Inputs summary'!C:C)+SUMIF('Inputs summary'!E:E,H47,'Inputs summary'!D:D)</f>
        <v>7</v>
      </c>
      <c r="V47" s="436">
        <f ca="1">+SUMIF('Inputs summary'!B:B,H47,'Inputs summary'!D:D)+SUMIF('Inputs summary'!E:E,H47,'Inputs summary'!C:C)</f>
        <v>4</v>
      </c>
      <c r="W47" s="454">
        <f t="shared" ca="1" si="3"/>
        <v>107.03070000076923</v>
      </c>
      <c r="X47" s="455">
        <f t="shared" ca="1" si="4"/>
        <v>1</v>
      </c>
      <c r="Y47" s="456">
        <f t="shared" si="5"/>
        <v>2</v>
      </c>
      <c r="Z47" s="455">
        <f t="shared" ca="1" si="6"/>
        <v>107.03070050076923</v>
      </c>
      <c r="AA47" s="455">
        <f>+_xlfn.XLOOKUP(H47,'Ranking FIFA'!B:B,'Ranking FIFA'!A:A,"--",0)</f>
        <v>13</v>
      </c>
      <c r="AP47" s="451">
        <f>+_xlfn.XLOOKUP(AQ47,'Ranking FIFA'!B:B,'Ranking FIFA'!A:A,"--",0)</f>
        <v>63</v>
      </c>
      <c r="AQ47" s="379" t="s">
        <v>91</v>
      </c>
      <c r="AR47" s="436">
        <v>4</v>
      </c>
      <c r="AS47" s="436"/>
      <c r="AT47" s="450">
        <f t="shared" ca="1" si="7"/>
        <v>0</v>
      </c>
      <c r="AU47" s="457">
        <f t="shared" ca="1" si="8"/>
        <v>-4.9999999841269842E-2</v>
      </c>
      <c r="BH47" s="379">
        <v>44</v>
      </c>
      <c r="BI47" s="379" t="str">
        <f t="shared" si="10"/>
        <v>Colombia</v>
      </c>
      <c r="BJ47" s="436">
        <f>+COUNTIFS('Inputs summary'!I$2:I$106,BI47)</f>
        <v>2</v>
      </c>
      <c r="BK47" s="436">
        <f>+COUNTIFS('Inputs summary'!J$2:K$106,BI47)</f>
        <v>1</v>
      </c>
      <c r="BL47" s="436">
        <f>+COUNTIFS('Inputs summary'!L$2:L$106,BI47)</f>
        <v>0</v>
      </c>
      <c r="BM47" s="436">
        <f t="shared" si="11"/>
        <v>4</v>
      </c>
      <c r="BN47" s="436">
        <f>+SUMIF('Inputs summary'!$B$1:$B$106,$BI47,'Inputs summary'!$C$1:$C$106)+SUMIF('Inputs summary'!$E$1:$E$106,$BI47,'Inputs summary'!$D$1:$D$106)</f>
        <v>6</v>
      </c>
      <c r="BO47" s="436">
        <f>+SUMIF('Inputs summary'!$B$1:$B$106,$BI47,'Inputs summary'!$D$1:$D$106)+SUMIF('Inputs summary'!$E$1:$E$106,$BI47,'Inputs summary'!$C$1:$C$106)</f>
        <v>2</v>
      </c>
      <c r="BP47" s="457">
        <f t="shared" si="12"/>
        <v>8.0460212999999978</v>
      </c>
    </row>
    <row r="48" spans="7:68" ht="14.25" customHeight="1" x14ac:dyDescent="0.25">
      <c r="G48" s="379">
        <v>45</v>
      </c>
      <c r="H48" s="379" t="str">
        <f>+'Groups Stage'!O102</f>
        <v>Inglaterra</v>
      </c>
      <c r="I48" s="436">
        <f t="shared" ref="I48:O48" ca="1" si="58">+IF(COUNTIF(AC:AC,$H48)&gt;0,I$2,0)</f>
        <v>0</v>
      </c>
      <c r="J48" s="436">
        <f t="shared" ca="1" si="58"/>
        <v>0</v>
      </c>
      <c r="K48" s="436">
        <f t="shared" ca="1" si="58"/>
        <v>0</v>
      </c>
      <c r="L48" s="436">
        <f t="shared" ca="1" si="58"/>
        <v>0</v>
      </c>
      <c r="M48" s="436">
        <f t="shared" ca="1" si="58"/>
        <v>1</v>
      </c>
      <c r="N48" s="436">
        <f t="shared" ca="1" si="58"/>
        <v>1</v>
      </c>
      <c r="O48" s="436">
        <f t="shared" ca="1" si="58"/>
        <v>1</v>
      </c>
      <c r="P48" s="436">
        <f t="shared" ca="1" si="1"/>
        <v>3</v>
      </c>
      <c r="Q48" s="436">
        <f ca="1">+COUNTIFS('Inputs summary'!I:I,$H48)</f>
        <v>5</v>
      </c>
      <c r="R48" s="436">
        <f ca="1">+COUNTIFS('Inputs summary'!J:K,$H48)</f>
        <v>1</v>
      </c>
      <c r="S48" s="436">
        <f ca="1">+COUNTIFS('Inputs summary'!L:L,$H48)</f>
        <v>0</v>
      </c>
      <c r="T48" s="436">
        <f t="shared" ca="1" si="2"/>
        <v>8</v>
      </c>
      <c r="U48" s="436">
        <f ca="1">+SUMIF('Inputs summary'!B:B,H48,'Inputs summary'!C:C)+SUMIF('Inputs summary'!E:E,H48,'Inputs summary'!D:D)</f>
        <v>15</v>
      </c>
      <c r="V48" s="436">
        <f ca="1">+SUMIF('Inputs summary'!B:B,H48,'Inputs summary'!D:D)+SUMIF('Inputs summary'!E:E,H48,'Inputs summary'!C:C)</f>
        <v>7</v>
      </c>
      <c r="W48" s="454">
        <f t="shared" ca="1" si="3"/>
        <v>316.08150000249998</v>
      </c>
      <c r="X48" s="455">
        <f t="shared" ca="1" si="4"/>
        <v>111</v>
      </c>
      <c r="Y48" s="456">
        <f t="shared" si="5"/>
        <v>1</v>
      </c>
      <c r="Z48" s="455">
        <f t="shared" ca="1" si="6"/>
        <v>316.08150100249998</v>
      </c>
      <c r="AA48" s="455">
        <f>+_xlfn.XLOOKUP(H48,'Ranking FIFA'!B:B,'Ranking FIFA'!A:A,"--",0)</f>
        <v>4</v>
      </c>
      <c r="AP48" s="451">
        <f>+_xlfn.XLOOKUP(AQ48,'Ranking FIFA'!B:B,'Ranking FIFA'!A:A,"--",0)</f>
        <v>69</v>
      </c>
      <c r="AQ48" s="379" t="s">
        <v>92</v>
      </c>
      <c r="AR48" s="436">
        <v>4</v>
      </c>
      <c r="AS48" s="436"/>
      <c r="AT48" s="450">
        <f t="shared" ca="1" si="7"/>
        <v>0</v>
      </c>
      <c r="AU48" s="457">
        <f t="shared" ca="1" si="8"/>
        <v>-5.9999999855072463E-2</v>
      </c>
      <c r="BH48" s="379">
        <v>45</v>
      </c>
      <c r="BI48" s="379" t="str">
        <f t="shared" si="10"/>
        <v>Inglaterra</v>
      </c>
      <c r="BJ48" s="436">
        <f>+COUNTIFS('Inputs summary'!I$2:I$106,BI48)</f>
        <v>3</v>
      </c>
      <c r="BK48" s="436">
        <f>+COUNTIFS('Inputs summary'!J$2:K$106,BI48)</f>
        <v>0</v>
      </c>
      <c r="BL48" s="436">
        <f>+COUNTIFS('Inputs summary'!L$2:L$106,BI48)</f>
        <v>0</v>
      </c>
      <c r="BM48" s="436">
        <f t="shared" si="11"/>
        <v>5</v>
      </c>
      <c r="BN48" s="436">
        <f>+SUMIF('Inputs summary'!$B$1:$B$106,$BI48,'Inputs summary'!$C$1:$C$106)+SUMIF('Inputs summary'!$E$1:$E$106,$BI48,'Inputs summary'!$D$1:$D$106)</f>
        <v>8</v>
      </c>
      <c r="BO48" s="436">
        <f>+SUMIF('Inputs summary'!$B$1:$B$106,$BI48,'Inputs summary'!$D$1:$D$106)+SUMIF('Inputs summary'!$E$1:$E$106,$BI48,'Inputs summary'!$C$1:$C$106)</f>
        <v>3</v>
      </c>
      <c r="BP48" s="457">
        <f t="shared" si="12"/>
        <v>9.0580103999999988</v>
      </c>
    </row>
    <row r="49" spans="7:68" ht="14.25" customHeight="1" x14ac:dyDescent="0.25">
      <c r="G49" s="379">
        <v>46</v>
      </c>
      <c r="H49" s="379" t="str">
        <f>+'Groups Stage'!O103</f>
        <v>Croacia</v>
      </c>
      <c r="I49" s="436">
        <f t="shared" ref="I49:O49" ca="1" si="59">+IF(COUNTIF(AC:AC,$H49)&gt;0,I$2,0)</f>
        <v>0</v>
      </c>
      <c r="J49" s="436">
        <f t="shared" ca="1" si="59"/>
        <v>0</v>
      </c>
      <c r="K49" s="436">
        <f t="shared" ca="1" si="59"/>
        <v>0</v>
      </c>
      <c r="L49" s="436">
        <f t="shared" ca="1" si="59"/>
        <v>0</v>
      </c>
      <c r="M49" s="436">
        <f t="shared" ca="1" si="59"/>
        <v>0</v>
      </c>
      <c r="N49" s="436">
        <f t="shared" ca="1" si="59"/>
        <v>1</v>
      </c>
      <c r="O49" s="436">
        <f t="shared" ca="1" si="59"/>
        <v>1</v>
      </c>
      <c r="P49" s="436">
        <f t="shared" ca="1" si="1"/>
        <v>2</v>
      </c>
      <c r="Q49" s="436">
        <f ca="1">+COUNTIFS('Inputs summary'!I:I,$H49)</f>
        <v>3</v>
      </c>
      <c r="R49" s="436">
        <f ca="1">+COUNTIFS('Inputs summary'!J:K,$H49)</f>
        <v>0</v>
      </c>
      <c r="S49" s="436">
        <f ca="1">+COUNTIFS('Inputs summary'!L:L,$H49)</f>
        <v>2</v>
      </c>
      <c r="T49" s="436">
        <f t="shared" ca="1" si="2"/>
        <v>2</v>
      </c>
      <c r="U49" s="436">
        <f ca="1">+SUMIF('Inputs summary'!B:B,H49,'Inputs summary'!C:C)+SUMIF('Inputs summary'!E:E,H49,'Inputs summary'!D:D)</f>
        <v>10</v>
      </c>
      <c r="V49" s="436">
        <f ca="1">+SUMIF('Inputs summary'!B:B,H49,'Inputs summary'!D:D)+SUMIF('Inputs summary'!E:E,H49,'Inputs summary'!C:C)</f>
        <v>8</v>
      </c>
      <c r="W49" s="454">
        <f t="shared" ca="1" si="3"/>
        <v>209.02100000090911</v>
      </c>
      <c r="X49" s="455">
        <f t="shared" ca="1" si="4"/>
        <v>11</v>
      </c>
      <c r="Y49" s="456">
        <f t="shared" si="5"/>
        <v>1</v>
      </c>
      <c r="Z49" s="455">
        <f t="shared" ca="1" si="6"/>
        <v>209.02100100090911</v>
      </c>
      <c r="AA49" s="455">
        <f>+_xlfn.XLOOKUP(H49,'Ranking FIFA'!B:B,'Ranking FIFA'!A:A,"--",0)</f>
        <v>11</v>
      </c>
      <c r="AP49" s="451">
        <f>+_xlfn.XLOOKUP(AQ49,'Ranking FIFA'!B:B,'Ranking FIFA'!A:A,"--",0)</f>
        <v>82</v>
      </c>
      <c r="AQ49" s="379" t="s">
        <v>93</v>
      </c>
      <c r="AR49" s="436">
        <v>4</v>
      </c>
      <c r="AS49" s="436"/>
      <c r="AT49" s="450">
        <f t="shared" ca="1" si="7"/>
        <v>0</v>
      </c>
      <c r="AU49" s="457">
        <f t="shared" ca="1" si="8"/>
        <v>-5.9999999878048778E-2</v>
      </c>
      <c r="BH49" s="379">
        <v>46</v>
      </c>
      <c r="BI49" s="379" t="str">
        <f t="shared" si="10"/>
        <v>Croacia</v>
      </c>
      <c r="BJ49" s="436">
        <f>+COUNTIFS('Inputs summary'!I$2:I$106,BI49)</f>
        <v>2</v>
      </c>
      <c r="BK49" s="436">
        <f>+COUNTIFS('Inputs summary'!J$2:K$106,BI49)</f>
        <v>0</v>
      </c>
      <c r="BL49" s="436">
        <f>+COUNTIFS('Inputs summary'!L$2:L$106,BI49)</f>
        <v>1</v>
      </c>
      <c r="BM49" s="436">
        <f t="shared" si="11"/>
        <v>2</v>
      </c>
      <c r="BN49" s="436">
        <f>+SUMIF('Inputs summary'!$B$1:$B$106,$BI49,'Inputs summary'!$C$1:$C$106)+SUMIF('Inputs summary'!$E$1:$E$106,$BI49,'Inputs summary'!$D$1:$D$106)</f>
        <v>6</v>
      </c>
      <c r="BO49" s="436">
        <f>+SUMIF('Inputs summary'!$B$1:$B$106,$BI49,'Inputs summary'!$D$1:$D$106)+SUMIF('Inputs summary'!$E$1:$E$106,$BI49,'Inputs summary'!$C$1:$C$106)</f>
        <v>4</v>
      </c>
      <c r="BP49" s="457">
        <f t="shared" si="12"/>
        <v>6.0260110999999998</v>
      </c>
    </row>
    <row r="50" spans="7:68" ht="14.25" customHeight="1" x14ac:dyDescent="0.25">
      <c r="G50" s="379">
        <v>47</v>
      </c>
      <c r="H50" s="379" t="str">
        <f>+'Groups Stage'!O104</f>
        <v>Ghana</v>
      </c>
      <c r="I50" s="436">
        <f t="shared" ref="I50:O50" ca="1" si="60">+IF(COUNTIF(AC:AC,$H50)&gt;0,I$2,0)</f>
        <v>0</v>
      </c>
      <c r="J50" s="436">
        <f t="shared" ca="1" si="60"/>
        <v>0</v>
      </c>
      <c r="K50" s="436">
        <f t="shared" ca="1" si="60"/>
        <v>0</v>
      </c>
      <c r="L50" s="436">
        <f t="shared" ca="1" si="60"/>
        <v>0</v>
      </c>
      <c r="M50" s="436">
        <f t="shared" ca="1" si="60"/>
        <v>0</v>
      </c>
      <c r="N50" s="436">
        <f t="shared" ca="1" si="60"/>
        <v>0</v>
      </c>
      <c r="O50" s="436">
        <f t="shared" ca="1" si="60"/>
        <v>1</v>
      </c>
      <c r="P50" s="436">
        <f t="shared" ca="1" si="1"/>
        <v>1</v>
      </c>
      <c r="Q50" s="436">
        <f ca="1">+COUNTIFS('Inputs summary'!I:I,$H50)</f>
        <v>1</v>
      </c>
      <c r="R50" s="436">
        <f ca="1">+COUNTIFS('Inputs summary'!J:K,$H50)</f>
        <v>0</v>
      </c>
      <c r="S50" s="436">
        <f ca="1">+COUNTIFS('Inputs summary'!L:L,$H50)</f>
        <v>3</v>
      </c>
      <c r="T50" s="436">
        <f t="shared" ca="1" si="2"/>
        <v>-3</v>
      </c>
      <c r="U50" s="436">
        <f ca="1">+SUMIF('Inputs summary'!B:B,H50,'Inputs summary'!C:C)+SUMIF('Inputs summary'!E:E,H50,'Inputs summary'!D:D)</f>
        <v>4</v>
      </c>
      <c r="V50" s="436">
        <f ca="1">+SUMIF('Inputs summary'!B:B,H50,'Inputs summary'!D:D)+SUMIF('Inputs summary'!E:E,H50,'Inputs summary'!C:C)</f>
        <v>7</v>
      </c>
      <c r="W50" s="454">
        <f t="shared" ca="1" si="3"/>
        <v>102.97040000013513</v>
      </c>
      <c r="X50" s="455">
        <f t="shared" ca="1" si="4"/>
        <v>1</v>
      </c>
      <c r="Y50" s="456">
        <f t="shared" si="5"/>
        <v>3</v>
      </c>
      <c r="Z50" s="455">
        <f t="shared" ca="1" si="6"/>
        <v>102.97040033346846</v>
      </c>
      <c r="AA50" s="455">
        <f>+_xlfn.XLOOKUP(H50,'Ranking FIFA'!B:B,'Ranking FIFA'!A:A,"--",0)</f>
        <v>74</v>
      </c>
      <c r="AP50" s="451">
        <f>+_xlfn.XLOOKUP(AQ50,'Ranking FIFA'!B:B,'Ranking FIFA'!A:A,"--",0)</f>
        <v>83</v>
      </c>
      <c r="AQ50" s="379" t="s">
        <v>94</v>
      </c>
      <c r="AR50" s="436">
        <v>4</v>
      </c>
      <c r="AS50" s="436"/>
      <c r="AT50" s="450">
        <f t="shared" ca="1" si="7"/>
        <v>0</v>
      </c>
      <c r="AU50" s="457">
        <f t="shared" ca="1" si="8"/>
        <v>-6.9999999879518077E-2</v>
      </c>
      <c r="BH50" s="379">
        <v>47</v>
      </c>
      <c r="BI50" s="379" t="str">
        <f t="shared" si="10"/>
        <v>Ghana</v>
      </c>
      <c r="BJ50" s="436">
        <f>+COUNTIFS('Inputs summary'!I$2:I$106,BI50)</f>
        <v>1</v>
      </c>
      <c r="BK50" s="436">
        <f>+COUNTIFS('Inputs summary'!J$2:K$106,BI50)</f>
        <v>0</v>
      </c>
      <c r="BL50" s="436">
        <f>+COUNTIFS('Inputs summary'!L$2:L$106,BI50)</f>
        <v>2</v>
      </c>
      <c r="BM50" s="436">
        <f t="shared" si="11"/>
        <v>-2</v>
      </c>
      <c r="BN50" s="436">
        <f>+SUMIF('Inputs summary'!$B$1:$B$106,$BI50,'Inputs summary'!$C$1:$C$106)+SUMIF('Inputs summary'!$E$1:$E$106,$BI50,'Inputs summary'!$D$1:$D$106)</f>
        <v>3</v>
      </c>
      <c r="BO50" s="436">
        <f>+SUMIF('Inputs summary'!$B$1:$B$106,$BI50,'Inputs summary'!$D$1:$D$106)+SUMIF('Inputs summary'!$E$1:$E$106,$BI50,'Inputs summary'!$C$1:$C$106)</f>
        <v>5</v>
      </c>
      <c r="BP50" s="457">
        <f t="shared" si="12"/>
        <v>2.9830374000000002</v>
      </c>
    </row>
    <row r="51" spans="7:68" ht="14.25" customHeight="1" x14ac:dyDescent="0.25">
      <c r="G51" s="379">
        <v>48</v>
      </c>
      <c r="H51" s="379" t="str">
        <f>+'Groups Stage'!O105</f>
        <v>Panama</v>
      </c>
      <c r="I51" s="436">
        <f t="shared" ref="I51:O51" ca="1" si="61">+IF(COUNTIF(AC:AC,$H51)&gt;0,I$2,0)</f>
        <v>0</v>
      </c>
      <c r="J51" s="436">
        <f t="shared" ca="1" si="61"/>
        <v>0</v>
      </c>
      <c r="K51" s="436">
        <f t="shared" ca="1" si="61"/>
        <v>0</v>
      </c>
      <c r="L51" s="436">
        <f t="shared" ca="1" si="61"/>
        <v>0</v>
      </c>
      <c r="M51" s="436">
        <f t="shared" ca="1" si="61"/>
        <v>0</v>
      </c>
      <c r="N51" s="436">
        <f t="shared" ca="1" si="61"/>
        <v>0</v>
      </c>
      <c r="O51" s="436">
        <f t="shared" ca="1" si="61"/>
        <v>0</v>
      </c>
      <c r="P51" s="436">
        <f t="shared" ca="1" si="1"/>
        <v>0</v>
      </c>
      <c r="Q51" s="436">
        <f ca="1">+COUNTIFS('Inputs summary'!I:I,$H51)</f>
        <v>0</v>
      </c>
      <c r="R51" s="436">
        <f ca="1">+COUNTIFS('Inputs summary'!J:K,$H51)</f>
        <v>0</v>
      </c>
      <c r="S51" s="436">
        <f ca="1">+COUNTIFS('Inputs summary'!L:L,$H51)</f>
        <v>3</v>
      </c>
      <c r="T51" s="436">
        <f t="shared" ca="1" si="2"/>
        <v>-5</v>
      </c>
      <c r="U51" s="436">
        <f ca="1">+SUMIF('Inputs summary'!B:B,H51,'Inputs summary'!C:C)+SUMIF('Inputs summary'!E:E,H51,'Inputs summary'!D:D)</f>
        <v>0</v>
      </c>
      <c r="V51" s="436">
        <f ca="1">+SUMIF('Inputs summary'!B:B,H51,'Inputs summary'!D:D)+SUMIF('Inputs summary'!E:E,H51,'Inputs summary'!C:C)</f>
        <v>5</v>
      </c>
      <c r="W51" s="454">
        <f t="shared" ca="1" si="3"/>
        <v>-4.9999999696969701E-2</v>
      </c>
      <c r="X51" s="455">
        <f t="shared" ca="1" si="4"/>
        <v>0</v>
      </c>
      <c r="Y51" s="456">
        <f t="shared" si="5"/>
        <v>3</v>
      </c>
      <c r="Z51" s="455">
        <f t="shared" ca="1" si="6"/>
        <v>-4.9999666363636369E-2</v>
      </c>
      <c r="AA51" s="455">
        <f>+_xlfn.XLOOKUP(H51,'Ranking FIFA'!B:B,'Ranking FIFA'!A:A,"--",0)</f>
        <v>33</v>
      </c>
      <c r="AP51" s="451">
        <f>+_xlfn.XLOOKUP(AQ51,'Ranking FIFA'!B:B,'Ranking FIFA'!A:A,"--",0)</f>
        <v>85</v>
      </c>
      <c r="AQ51" s="379" t="s">
        <v>95</v>
      </c>
      <c r="AR51" s="436">
        <v>4</v>
      </c>
      <c r="AS51" s="436"/>
      <c r="AT51" s="450">
        <f t="shared" ca="1" si="7"/>
        <v>1</v>
      </c>
      <c r="AU51" s="457">
        <f t="shared" ca="1" si="8"/>
        <v>102.96010000011765</v>
      </c>
      <c r="BH51" s="379">
        <v>48</v>
      </c>
      <c r="BI51" s="379" t="str">
        <f t="shared" si="10"/>
        <v>Panama</v>
      </c>
      <c r="BJ51" s="436">
        <f>+COUNTIFS('Inputs summary'!I$2:I$106,BI51)</f>
        <v>0</v>
      </c>
      <c r="BK51" s="436">
        <f>+COUNTIFS('Inputs summary'!J$2:K$106,BI51)</f>
        <v>0</v>
      </c>
      <c r="BL51" s="436">
        <f>+COUNTIFS('Inputs summary'!L$2:L$106,BI51)</f>
        <v>3</v>
      </c>
      <c r="BM51" s="436">
        <f t="shared" si="11"/>
        <v>-5</v>
      </c>
      <c r="BN51" s="436">
        <f>+SUMIF('Inputs summary'!$B$1:$B$106,$BI51,'Inputs summary'!$C$1:$C$106)+SUMIF('Inputs summary'!$E$1:$E$106,$BI51,'Inputs summary'!$D$1:$D$106)</f>
        <v>0</v>
      </c>
      <c r="BO51" s="436">
        <f>+SUMIF('Inputs summary'!$B$1:$B$106,$BI51,'Inputs summary'!$D$1:$D$106)+SUMIF('Inputs summary'!$E$1:$E$106,$BI51,'Inputs summary'!$C$1:$C$106)</f>
        <v>5</v>
      </c>
      <c r="BP51" s="457">
        <f t="shared" si="12"/>
        <v>-4.9966700000000003E-2</v>
      </c>
    </row>
  </sheetData>
  <autoFilter ref="V3:Y51" xr:uid="{00000000-0009-0000-0000-000008000000}"/>
  <conditionalFormatting sqref="I4:P51">
    <cfRule type="cellIs" dxfId="0" priority="1" operator="greaterThan">
      <formula>0</formula>
    </cfRule>
  </conditionalFormatting>
  <conditionalFormatting sqref="P4:P51">
    <cfRule type="colorScale" priority="2">
      <colorScale>
        <cfvo type="min"/>
        <cfvo type="percentile" val="50"/>
        <cfvo type="max"/>
        <color rgb="FFF8696B"/>
        <color rgb="FFFFEB84"/>
        <color rgb="FF63BE7B"/>
      </colorScale>
    </cfRule>
  </conditionalFormatting>
  <conditionalFormatting sqref="AR4:AR14 AR15:AS51">
    <cfRule type="colorScale" priority="3">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2"/>
  <sheetViews>
    <sheetView workbookViewId="0"/>
  </sheetViews>
  <sheetFormatPr defaultColWidth="12.59765625" defaultRowHeight="15" customHeight="1" x14ac:dyDescent="0.25"/>
  <cols>
    <col min="1" max="1" width="13.59765625" customWidth="1"/>
    <col min="2" max="2" width="88.69921875" customWidth="1"/>
    <col min="3" max="26" width="8.59765625" customWidth="1"/>
  </cols>
  <sheetData>
    <row r="1" spans="1:2" ht="14.25" customHeight="1" x14ac:dyDescent="0.25">
      <c r="A1" s="465" t="s">
        <v>53</v>
      </c>
      <c r="B1" s="466" t="s">
        <v>854</v>
      </c>
    </row>
    <row r="2" spans="1:2" ht="14.25" customHeight="1" x14ac:dyDescent="0.25">
      <c r="A2" s="465" t="s">
        <v>56</v>
      </c>
      <c r="B2" s="466" t="s">
        <v>855</v>
      </c>
    </row>
    <row r="3" spans="1:2" ht="14.25" customHeight="1" x14ac:dyDescent="0.25">
      <c r="A3" s="465" t="s">
        <v>54</v>
      </c>
      <c r="B3" s="466" t="s">
        <v>856</v>
      </c>
    </row>
    <row r="4" spans="1:2" ht="14.25" customHeight="1" x14ac:dyDescent="0.25">
      <c r="A4" s="465" t="s">
        <v>55</v>
      </c>
      <c r="B4" s="466" t="s">
        <v>857</v>
      </c>
    </row>
    <row r="5" spans="1:2" ht="14.25" customHeight="1" x14ac:dyDescent="0.25">
      <c r="A5" s="465" t="s">
        <v>49</v>
      </c>
      <c r="B5" s="466" t="s">
        <v>858</v>
      </c>
    </row>
    <row r="6" spans="1:2" ht="14.25" customHeight="1" x14ac:dyDescent="0.25">
      <c r="A6" s="465" t="s">
        <v>58</v>
      </c>
      <c r="B6" s="466" t="s">
        <v>859</v>
      </c>
    </row>
    <row r="7" spans="1:2" ht="14.25" customHeight="1" x14ac:dyDescent="0.25">
      <c r="A7" s="465" t="s">
        <v>48</v>
      </c>
      <c r="B7" s="466" t="s">
        <v>860</v>
      </c>
    </row>
    <row r="8" spans="1:2" ht="14.25" customHeight="1" x14ac:dyDescent="0.25">
      <c r="A8" s="465" t="s">
        <v>50</v>
      </c>
      <c r="B8" s="466" t="s">
        <v>861</v>
      </c>
    </row>
    <row r="9" spans="1:2" ht="14.25" customHeight="1" x14ac:dyDescent="0.25">
      <c r="A9" s="465" t="s">
        <v>52</v>
      </c>
      <c r="B9" s="466" t="s">
        <v>862</v>
      </c>
    </row>
    <row r="10" spans="1:2" ht="14.25" customHeight="1" x14ac:dyDescent="0.25">
      <c r="A10" s="465" t="s">
        <v>51</v>
      </c>
      <c r="B10" s="466" t="s">
        <v>863</v>
      </c>
    </row>
    <row r="11" spans="1:2" ht="14.25" customHeight="1" x14ac:dyDescent="0.25">
      <c r="A11" s="465" t="s">
        <v>57</v>
      </c>
      <c r="B11" s="466" t="s">
        <v>864</v>
      </c>
    </row>
    <row r="12" spans="1:2" ht="14.25" customHeight="1" x14ac:dyDescent="0.25">
      <c r="A12" s="465"/>
      <c r="B12" s="466" t="str">
        <f ca="1">"Felicitaciones. Usted a elegido a " &amp; 'Total Results'!D2 &amp; " como campeón. Desconocemos si lo hace a conciencia, si lo hace para destacarse, o si simplemente lo hace para joder. Sea como sea lo felicitamos; LA ESPERANZA ES LO ÚLTIMO QUE SE PIERDE. Celebramos su elección y le deseamos mucha suerte."</f>
        <v>Felicitaciones. Usted a elegido a Argentina como campeón. Desconocemos si lo hace a conciencia, si lo hace para destacarse, o si simplemente lo hace para joder. Sea como sea lo felicitamos; LA ESPERANZA ES LO ÚLTIMO QUE SE PIERDE. Celebramos su elección y le deseamos mucha suerte.</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8"/>
  <sheetViews>
    <sheetView workbookViewId="0"/>
  </sheetViews>
  <sheetFormatPr defaultColWidth="12.59765625" defaultRowHeight="15" customHeight="1" x14ac:dyDescent="0.25"/>
  <cols>
    <col min="1" max="1" width="8.09765625" customWidth="1"/>
    <col min="2" max="2" width="20.5" customWidth="1"/>
    <col min="3" max="3" width="15.3984375" customWidth="1"/>
    <col min="4" max="4" width="10.19921875" customWidth="1"/>
    <col min="5" max="5" width="16.09765625" customWidth="1"/>
    <col min="6" max="26" width="8.59765625" customWidth="1"/>
  </cols>
  <sheetData>
    <row r="1" spans="1:6" ht="14.25" customHeight="1" x14ac:dyDescent="0.25">
      <c r="A1" s="379">
        <v>1</v>
      </c>
      <c r="B1" s="379" t="str">
        <f t="shared" ref="B1:B48" si="0">+_xlfn.XLOOKUP(A1,F:F,E:E,"--",0)</f>
        <v>Francia</v>
      </c>
      <c r="E1" s="379" t="s">
        <v>56</v>
      </c>
      <c r="F1" s="379">
        <v>10</v>
      </c>
    </row>
    <row r="2" spans="1:6" ht="14.25" customHeight="1" x14ac:dyDescent="0.25">
      <c r="A2" s="379">
        <v>2</v>
      </c>
      <c r="B2" s="379" t="str">
        <f t="shared" si="0"/>
        <v>España</v>
      </c>
      <c r="E2" s="379" t="s">
        <v>83</v>
      </c>
      <c r="F2" s="379">
        <v>61</v>
      </c>
    </row>
    <row r="3" spans="1:6" ht="14.25" customHeight="1" x14ac:dyDescent="0.25">
      <c r="A3" s="379">
        <v>3</v>
      </c>
      <c r="B3" s="379" t="str">
        <f t="shared" si="0"/>
        <v>Argentina</v>
      </c>
      <c r="C3" s="467"/>
      <c r="D3" s="452"/>
      <c r="E3" s="379" t="s">
        <v>74</v>
      </c>
      <c r="F3" s="379">
        <v>28</v>
      </c>
    </row>
    <row r="4" spans="1:6" ht="14.25" customHeight="1" x14ac:dyDescent="0.25">
      <c r="A4" s="379">
        <v>4</v>
      </c>
      <c r="B4" s="379" t="str">
        <f t="shared" si="0"/>
        <v>Inglaterra</v>
      </c>
      <c r="C4" s="467"/>
      <c r="D4" s="452"/>
      <c r="E4" s="379" t="s">
        <v>50</v>
      </c>
      <c r="F4" s="379">
        <v>3</v>
      </c>
    </row>
    <row r="5" spans="1:6" ht="14.25" customHeight="1" x14ac:dyDescent="0.25">
      <c r="A5" s="379">
        <v>5</v>
      </c>
      <c r="B5" s="379" t="str">
        <f t="shared" si="0"/>
        <v>Portugal</v>
      </c>
      <c r="C5" s="467"/>
      <c r="D5" s="452"/>
      <c r="E5" s="379" t="s">
        <v>73</v>
      </c>
      <c r="F5" s="379">
        <v>27</v>
      </c>
    </row>
    <row r="6" spans="1:6" ht="14.25" customHeight="1" x14ac:dyDescent="0.25">
      <c r="A6" s="379">
        <v>6</v>
      </c>
      <c r="B6" s="379" t="str">
        <f t="shared" si="0"/>
        <v>Brasil</v>
      </c>
      <c r="C6" s="467"/>
      <c r="D6" s="452"/>
      <c r="E6" s="379" t="s">
        <v>72</v>
      </c>
      <c r="F6" s="379">
        <v>24</v>
      </c>
    </row>
    <row r="7" spans="1:6" ht="14.25" customHeight="1" x14ac:dyDescent="0.25">
      <c r="A7" s="379">
        <v>7</v>
      </c>
      <c r="B7" s="379" t="str">
        <f t="shared" si="0"/>
        <v>Paises Bajos</v>
      </c>
      <c r="C7" s="467"/>
      <c r="D7" s="452"/>
      <c r="E7" s="379" t="s">
        <v>55</v>
      </c>
      <c r="F7" s="379">
        <v>9</v>
      </c>
    </row>
    <row r="8" spans="1:6" ht="14.25" customHeight="1" x14ac:dyDescent="0.25">
      <c r="A8" s="379">
        <v>8</v>
      </c>
      <c r="B8" s="379" t="str">
        <f t="shared" si="0"/>
        <v>Marruecos</v>
      </c>
      <c r="C8" s="467"/>
      <c r="D8" s="452"/>
      <c r="E8" s="379" t="s">
        <v>84</v>
      </c>
      <c r="F8" s="379">
        <v>65</v>
      </c>
    </row>
    <row r="9" spans="1:6" ht="14.25" customHeight="1" x14ac:dyDescent="0.25">
      <c r="A9" s="379">
        <v>9</v>
      </c>
      <c r="B9" s="379" t="str">
        <f t="shared" si="0"/>
        <v>Belgica</v>
      </c>
      <c r="C9" s="467"/>
      <c r="D9" s="452"/>
      <c r="E9" s="379" t="s">
        <v>53</v>
      </c>
      <c r="F9" s="379">
        <v>6</v>
      </c>
    </row>
    <row r="10" spans="1:6" ht="14.25" customHeight="1" x14ac:dyDescent="0.25">
      <c r="A10" s="379">
        <v>10</v>
      </c>
      <c r="B10" s="379" t="str">
        <f t="shared" si="0"/>
        <v>Alemania</v>
      </c>
      <c r="D10" s="452"/>
      <c r="E10" s="379" t="s">
        <v>92</v>
      </c>
      <c r="F10" s="379">
        <v>69</v>
      </c>
    </row>
    <row r="11" spans="1:6" ht="14.25" customHeight="1" x14ac:dyDescent="0.25">
      <c r="A11" s="379">
        <v>11</v>
      </c>
      <c r="B11" s="379" t="str">
        <f t="shared" si="0"/>
        <v>Croacia</v>
      </c>
      <c r="C11" s="467"/>
      <c r="D11" s="452"/>
      <c r="E11" s="379" t="s">
        <v>76</v>
      </c>
      <c r="F11" s="379">
        <v>30</v>
      </c>
    </row>
    <row r="12" spans="1:6" ht="14.25" customHeight="1" x14ac:dyDescent="0.25">
      <c r="A12" s="379">
        <v>13</v>
      </c>
      <c r="B12" s="379" t="str">
        <f t="shared" si="0"/>
        <v>Colombia</v>
      </c>
      <c r="C12" s="467"/>
      <c r="D12" s="452"/>
      <c r="E12" s="379" t="s">
        <v>60</v>
      </c>
      <c r="F12" s="379">
        <v>13</v>
      </c>
    </row>
    <row r="13" spans="1:6" ht="14.25" customHeight="1" x14ac:dyDescent="0.25">
      <c r="A13" s="379">
        <v>14</v>
      </c>
      <c r="B13" s="379" t="str">
        <f t="shared" si="0"/>
        <v>Senegal</v>
      </c>
      <c r="C13" s="467"/>
      <c r="D13" s="452"/>
      <c r="E13" s="379" t="s">
        <v>87</v>
      </c>
      <c r="F13" s="379">
        <v>46</v>
      </c>
    </row>
    <row r="14" spans="1:6" ht="14.25" customHeight="1" x14ac:dyDescent="0.25">
      <c r="A14" s="379">
        <v>15</v>
      </c>
      <c r="B14" s="379" t="str">
        <f t="shared" si="0"/>
        <v>Mexico</v>
      </c>
      <c r="C14" s="467"/>
      <c r="D14" s="452"/>
      <c r="E14" s="379" t="s">
        <v>68</v>
      </c>
      <c r="F14" s="379">
        <v>25</v>
      </c>
    </row>
    <row r="15" spans="1:6" ht="14.25" customHeight="1" x14ac:dyDescent="0.25">
      <c r="A15" s="379">
        <v>16</v>
      </c>
      <c r="B15" s="379" t="str">
        <f t="shared" si="0"/>
        <v>Estados Unidos</v>
      </c>
      <c r="C15" s="467"/>
      <c r="D15" s="452"/>
      <c r="E15" s="379" t="s">
        <v>78</v>
      </c>
      <c r="F15" s="379">
        <v>34</v>
      </c>
    </row>
    <row r="16" spans="1:6" ht="14.25" customHeight="1" x14ac:dyDescent="0.25">
      <c r="A16" s="379">
        <v>17</v>
      </c>
      <c r="B16" s="379" t="str">
        <f t="shared" si="0"/>
        <v>Uruguay</v>
      </c>
      <c r="D16" s="452"/>
      <c r="E16" s="379" t="s">
        <v>57</v>
      </c>
      <c r="F16" s="379">
        <v>11</v>
      </c>
    </row>
    <row r="17" spans="1:6" ht="14.25" customHeight="1" x14ac:dyDescent="0.25">
      <c r="A17" s="379">
        <v>18</v>
      </c>
      <c r="B17" s="379" t="str">
        <f t="shared" si="0"/>
        <v>Japon</v>
      </c>
      <c r="C17" s="467"/>
      <c r="D17" s="452"/>
      <c r="E17" s="379" t="s">
        <v>93</v>
      </c>
      <c r="F17" s="379">
        <v>82</v>
      </c>
    </row>
    <row r="18" spans="1:6" ht="14.25" customHeight="1" x14ac:dyDescent="0.25">
      <c r="A18" s="379">
        <v>19</v>
      </c>
      <c r="B18" s="379" t="str">
        <f t="shared" si="0"/>
        <v>Suiza</v>
      </c>
      <c r="C18" s="467"/>
      <c r="D18" s="452"/>
      <c r="E18" s="379" t="s">
        <v>67</v>
      </c>
      <c r="F18" s="379">
        <v>23</v>
      </c>
    </row>
    <row r="19" spans="1:6" ht="14.25" customHeight="1" x14ac:dyDescent="0.25">
      <c r="A19" s="379">
        <v>21</v>
      </c>
      <c r="B19" s="379" t="str">
        <f t="shared" si="0"/>
        <v>Iran</v>
      </c>
      <c r="C19" s="467"/>
      <c r="D19" s="452"/>
      <c r="E19" s="379" t="s">
        <v>75</v>
      </c>
      <c r="F19" s="379">
        <v>29</v>
      </c>
    </row>
    <row r="20" spans="1:6" ht="14.25" customHeight="1" x14ac:dyDescent="0.25">
      <c r="A20" s="379">
        <v>22</v>
      </c>
      <c r="B20" s="379" t="str">
        <f t="shared" si="0"/>
        <v>Turquia</v>
      </c>
      <c r="C20" s="467"/>
      <c r="D20" s="452"/>
      <c r="E20" s="379" t="s">
        <v>80</v>
      </c>
      <c r="F20" s="379">
        <v>43</v>
      </c>
    </row>
    <row r="21" spans="1:6" ht="14.25" customHeight="1" x14ac:dyDescent="0.25">
      <c r="A21" s="379">
        <v>23</v>
      </c>
      <c r="B21" s="379" t="str">
        <f t="shared" si="0"/>
        <v>Ecuador</v>
      </c>
      <c r="C21" s="467"/>
      <c r="D21" s="452"/>
      <c r="E21" s="379" t="s">
        <v>49</v>
      </c>
      <c r="F21" s="379">
        <v>2</v>
      </c>
    </row>
    <row r="22" spans="1:6" ht="14.25" customHeight="1" x14ac:dyDescent="0.25">
      <c r="A22" s="379">
        <v>24</v>
      </c>
      <c r="B22" s="379" t="str">
        <f t="shared" si="0"/>
        <v>Austria</v>
      </c>
      <c r="C22" s="467"/>
      <c r="D22" s="452"/>
      <c r="E22" s="379" t="s">
        <v>63</v>
      </c>
      <c r="F22" s="379">
        <v>16</v>
      </c>
    </row>
    <row r="23" spans="1:6" ht="14.25" customHeight="1" x14ac:dyDescent="0.25">
      <c r="A23" s="379">
        <v>25</v>
      </c>
      <c r="B23" s="379" t="str">
        <f t="shared" si="0"/>
        <v>Corea del Sur</v>
      </c>
      <c r="C23" s="467"/>
      <c r="D23" s="452"/>
      <c r="E23" s="379" t="s">
        <v>48</v>
      </c>
      <c r="F23" s="379">
        <v>1</v>
      </c>
    </row>
    <row r="24" spans="1:6" ht="14.25" customHeight="1" x14ac:dyDescent="0.25">
      <c r="A24" s="379">
        <v>27</v>
      </c>
      <c r="B24" s="379" t="str">
        <f t="shared" si="0"/>
        <v>Australia</v>
      </c>
      <c r="C24" s="467"/>
      <c r="D24" s="452"/>
      <c r="E24" s="379" t="s">
        <v>85</v>
      </c>
      <c r="F24" s="379">
        <v>74</v>
      </c>
    </row>
    <row r="25" spans="1:6" ht="14.25" customHeight="1" x14ac:dyDescent="0.25">
      <c r="A25" s="379">
        <v>28</v>
      </c>
      <c r="B25" s="379" t="str">
        <f t="shared" si="0"/>
        <v>Argelia</v>
      </c>
      <c r="C25" s="467"/>
      <c r="D25" s="452"/>
      <c r="E25" s="379" t="s">
        <v>94</v>
      </c>
      <c r="F25" s="379">
        <v>83</v>
      </c>
    </row>
    <row r="26" spans="1:6" ht="14.25" customHeight="1" x14ac:dyDescent="0.25">
      <c r="A26" s="379">
        <v>29</v>
      </c>
      <c r="B26" s="379" t="str">
        <f t="shared" si="0"/>
        <v>Egipto</v>
      </c>
      <c r="C26" s="467"/>
      <c r="D26" s="452"/>
      <c r="E26" s="379" t="s">
        <v>51</v>
      </c>
      <c r="F26" s="379">
        <v>4</v>
      </c>
    </row>
    <row r="27" spans="1:6" ht="14.25" customHeight="1" x14ac:dyDescent="0.25">
      <c r="A27" s="379">
        <v>30</v>
      </c>
      <c r="B27" s="379" t="str">
        <f t="shared" si="0"/>
        <v>Canada</v>
      </c>
      <c r="C27" s="467"/>
      <c r="D27" s="452"/>
      <c r="E27" s="379" t="s">
        <v>90</v>
      </c>
      <c r="F27" s="379">
        <v>57</v>
      </c>
    </row>
    <row r="28" spans="1:6" ht="14.25" customHeight="1" x14ac:dyDescent="0.25">
      <c r="A28" s="379">
        <v>31</v>
      </c>
      <c r="B28" s="379" t="str">
        <f t="shared" si="0"/>
        <v>Noruega</v>
      </c>
      <c r="C28" s="467"/>
      <c r="D28" s="452"/>
      <c r="E28" s="379" t="s">
        <v>86</v>
      </c>
      <c r="F28" s="379">
        <v>21</v>
      </c>
    </row>
    <row r="29" spans="1:6" ht="14.25" customHeight="1" x14ac:dyDescent="0.25">
      <c r="A29" s="379">
        <v>33</v>
      </c>
      <c r="B29" s="379" t="str">
        <f t="shared" si="0"/>
        <v>Panama</v>
      </c>
      <c r="D29" s="452"/>
      <c r="E29" s="379" t="s">
        <v>64</v>
      </c>
      <c r="F29" s="379">
        <v>18</v>
      </c>
    </row>
    <row r="30" spans="1:6" ht="14.25" customHeight="1" x14ac:dyDescent="0.25">
      <c r="A30" s="379">
        <v>34</v>
      </c>
      <c r="B30" s="379" t="str">
        <f t="shared" si="0"/>
        <v>Costa de Marfil</v>
      </c>
      <c r="D30" s="452"/>
      <c r="E30" s="379" t="s">
        <v>91</v>
      </c>
      <c r="F30" s="379">
        <v>63</v>
      </c>
    </row>
    <row r="31" spans="1:6" ht="14.25" customHeight="1" x14ac:dyDescent="0.25">
      <c r="A31" s="379">
        <v>38</v>
      </c>
      <c r="B31" s="379" t="str">
        <f t="shared" si="0"/>
        <v>Suecia</v>
      </c>
      <c r="C31" s="467"/>
      <c r="D31" s="452"/>
      <c r="E31" s="379" t="s">
        <v>59</v>
      </c>
      <c r="F31" s="379">
        <v>8</v>
      </c>
    </row>
    <row r="32" spans="1:6" ht="14.25" customHeight="1" x14ac:dyDescent="0.25">
      <c r="A32" s="379">
        <v>40</v>
      </c>
      <c r="B32" s="379" t="str">
        <f t="shared" si="0"/>
        <v>Paraguay</v>
      </c>
      <c r="C32" s="467"/>
      <c r="D32" s="452"/>
      <c r="E32" s="379" t="s">
        <v>62</v>
      </c>
      <c r="F32" s="379">
        <v>15</v>
      </c>
    </row>
    <row r="33" spans="1:6" ht="14.25" customHeight="1" x14ac:dyDescent="0.25">
      <c r="A33" s="379">
        <v>41</v>
      </c>
      <c r="B33" s="379" t="str">
        <f t="shared" si="0"/>
        <v>Repubilca Checa</v>
      </c>
      <c r="D33" s="452"/>
      <c r="E33" s="379" t="s">
        <v>69</v>
      </c>
      <c r="F33" s="379">
        <v>31</v>
      </c>
    </row>
    <row r="34" spans="1:6" ht="14.25" customHeight="1" x14ac:dyDescent="0.25">
      <c r="A34" s="379">
        <v>43</v>
      </c>
      <c r="B34" s="379" t="str">
        <f t="shared" si="0"/>
        <v>Escocia</v>
      </c>
      <c r="C34" s="467"/>
      <c r="D34" s="452"/>
      <c r="E34" s="379" t="s">
        <v>95</v>
      </c>
      <c r="F34" s="379">
        <v>85</v>
      </c>
    </row>
    <row r="35" spans="1:6" ht="14.25" customHeight="1" x14ac:dyDescent="0.25">
      <c r="A35" s="379">
        <v>44</v>
      </c>
      <c r="B35" s="379" t="str">
        <f t="shared" si="0"/>
        <v>Tunez</v>
      </c>
      <c r="C35" s="467"/>
      <c r="D35" s="452"/>
      <c r="E35" s="379" t="s">
        <v>54</v>
      </c>
      <c r="F35" s="379">
        <v>7</v>
      </c>
    </row>
    <row r="36" spans="1:6" ht="14.25" customHeight="1" x14ac:dyDescent="0.25">
      <c r="A36" s="379">
        <v>46</v>
      </c>
      <c r="B36" s="379" t="str">
        <f t="shared" si="0"/>
        <v>Congo</v>
      </c>
      <c r="C36" s="467"/>
      <c r="D36" s="452"/>
      <c r="E36" s="379" t="s">
        <v>77</v>
      </c>
      <c r="F36" s="379">
        <v>33</v>
      </c>
    </row>
    <row r="37" spans="1:6" ht="14.25" customHeight="1" x14ac:dyDescent="0.25">
      <c r="A37" s="379">
        <v>50</v>
      </c>
      <c r="B37" s="379" t="str">
        <f t="shared" si="0"/>
        <v>Uzbekistan</v>
      </c>
      <c r="C37" s="467"/>
      <c r="D37" s="452"/>
      <c r="E37" s="379" t="s">
        <v>71</v>
      </c>
      <c r="F37" s="379">
        <v>40</v>
      </c>
    </row>
    <row r="38" spans="1:6" ht="14.25" customHeight="1" x14ac:dyDescent="0.25">
      <c r="A38" s="379">
        <v>55</v>
      </c>
      <c r="B38" s="379" t="str">
        <f t="shared" si="0"/>
        <v>Qatar</v>
      </c>
      <c r="C38" s="467"/>
      <c r="D38" s="452"/>
      <c r="E38" s="379" t="s">
        <v>52</v>
      </c>
      <c r="F38" s="379">
        <v>5</v>
      </c>
    </row>
    <row r="39" spans="1:6" ht="14.25" customHeight="1" x14ac:dyDescent="0.25">
      <c r="A39" s="379">
        <v>57</v>
      </c>
      <c r="B39" s="379" t="str">
        <f t="shared" si="0"/>
        <v>Irak</v>
      </c>
      <c r="D39" s="452"/>
      <c r="E39" s="379" t="s">
        <v>89</v>
      </c>
      <c r="F39" s="379">
        <v>55</v>
      </c>
    </row>
    <row r="40" spans="1:6" ht="14.25" customHeight="1" x14ac:dyDescent="0.25">
      <c r="A40" s="379">
        <v>60</v>
      </c>
      <c r="B40" s="379" t="str">
        <f t="shared" si="0"/>
        <v>Sudafrica</v>
      </c>
      <c r="C40" s="467"/>
      <c r="D40" s="452"/>
      <c r="E40" s="379" t="s">
        <v>79</v>
      </c>
      <c r="F40" s="379">
        <v>41</v>
      </c>
    </row>
    <row r="41" spans="1:6" ht="14.25" customHeight="1" x14ac:dyDescent="0.25">
      <c r="A41" s="379">
        <v>61</v>
      </c>
      <c r="B41" s="379" t="str">
        <f t="shared" si="0"/>
        <v>Arabia Saudita</v>
      </c>
      <c r="C41" s="467"/>
      <c r="D41" s="452"/>
      <c r="E41" s="379" t="s">
        <v>61</v>
      </c>
      <c r="F41" s="379">
        <v>14</v>
      </c>
    </row>
    <row r="42" spans="1:6" ht="14.25" customHeight="1" x14ac:dyDescent="0.25">
      <c r="A42" s="379">
        <v>63</v>
      </c>
      <c r="B42" s="379" t="str">
        <f t="shared" si="0"/>
        <v>Jordania</v>
      </c>
      <c r="C42" s="467"/>
      <c r="D42" s="452"/>
      <c r="E42" s="379" t="s">
        <v>82</v>
      </c>
      <c r="F42" s="379">
        <v>60</v>
      </c>
    </row>
    <row r="43" spans="1:6" ht="14.25" customHeight="1" x14ac:dyDescent="0.25">
      <c r="A43" s="379">
        <v>65</v>
      </c>
      <c r="B43" s="379" t="str">
        <f t="shared" si="0"/>
        <v>Bosnia</v>
      </c>
      <c r="C43" s="467"/>
      <c r="D43" s="452"/>
      <c r="E43" s="379" t="s">
        <v>70</v>
      </c>
      <c r="F43" s="379">
        <v>38</v>
      </c>
    </row>
    <row r="44" spans="1:6" ht="14.25" customHeight="1" x14ac:dyDescent="0.25">
      <c r="A44" s="379">
        <v>69</v>
      </c>
      <c r="B44" s="379" t="str">
        <f t="shared" si="0"/>
        <v>Cabo Verde</v>
      </c>
      <c r="C44" s="467"/>
      <c r="D44" s="452"/>
      <c r="E44" s="379" t="s">
        <v>65</v>
      </c>
      <c r="F44" s="379">
        <v>19</v>
      </c>
    </row>
    <row r="45" spans="1:6" ht="14.25" customHeight="1" x14ac:dyDescent="0.25">
      <c r="A45" s="379">
        <v>74</v>
      </c>
      <c r="B45" s="379" t="str">
        <f t="shared" si="0"/>
        <v>Ghana</v>
      </c>
      <c r="C45" s="467"/>
      <c r="D45" s="452"/>
      <c r="E45" s="379" t="s">
        <v>81</v>
      </c>
      <c r="F45" s="379">
        <v>44</v>
      </c>
    </row>
    <row r="46" spans="1:6" ht="14.25" customHeight="1" x14ac:dyDescent="0.25">
      <c r="A46" s="379">
        <v>82</v>
      </c>
      <c r="B46" s="379" t="str">
        <f t="shared" si="0"/>
        <v>Curazao</v>
      </c>
      <c r="C46" s="467"/>
      <c r="D46" s="452"/>
      <c r="E46" s="379" t="s">
        <v>66</v>
      </c>
      <c r="F46" s="379">
        <v>22</v>
      </c>
    </row>
    <row r="47" spans="1:6" ht="14.25" customHeight="1" x14ac:dyDescent="0.25">
      <c r="A47" s="379">
        <v>83</v>
      </c>
      <c r="B47" s="379" t="str">
        <f t="shared" si="0"/>
        <v>Haiti</v>
      </c>
      <c r="D47" s="452"/>
      <c r="E47" s="379" t="s">
        <v>58</v>
      </c>
      <c r="F47" s="379">
        <v>17</v>
      </c>
    </row>
    <row r="48" spans="1:6" ht="14.25" customHeight="1" x14ac:dyDescent="0.25">
      <c r="A48" s="379">
        <v>85</v>
      </c>
      <c r="B48" s="379" t="str">
        <f t="shared" si="0"/>
        <v>Nueva Zelanda</v>
      </c>
      <c r="C48" s="467"/>
      <c r="D48" s="452"/>
      <c r="E48" s="379" t="s">
        <v>88</v>
      </c>
      <c r="F48" s="379">
        <v>50</v>
      </c>
    </row>
  </sheetData>
  <pageMargins left="0.7" right="0.7" top="0.75" bottom="0.75" header="0" footer="0"/>
  <pageSetup orientation="landscape"/>
</worksheet>
</file>

<file path=docMetadata/LabelInfo.xml><?xml version="1.0" encoding="utf-8"?>
<clbl:labelList xmlns:clbl="http://schemas.microsoft.com/office/2020/mipLabelMetadata">
  <clbl:label id="{70200e91-ea75-4401-b787-00d11b2eaa27}" enabled="0" method="" siteId="{70200e91-ea75-4401-b787-00d11b2eaa27}"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REGLAS - PUNTOS</vt:lpstr>
      <vt:lpstr>Groups Stage</vt:lpstr>
      <vt:lpstr>Round of 32 &amp; Round of 16</vt:lpstr>
      <vt:lpstr>Quarter, Semis &amp; Final</vt:lpstr>
      <vt:lpstr>Total Results</vt:lpstr>
      <vt:lpstr>Inputs summary</vt:lpstr>
      <vt:lpstr>Playoffs</vt:lpstr>
      <vt:lpstr>Mejores 3eros</vt:lpstr>
      <vt:lpstr>Aux</vt:lpstr>
      <vt:lpstr>Comentarios</vt:lpstr>
      <vt:lpstr>Ranking FIFA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Agustin Cravino [AGCR]</cp:lastModifiedBy>
  <dcterms:created xsi:type="dcterms:W3CDTF">2026-06-08T11:17:44Z</dcterms:created>
  <dcterms:modified xsi:type="dcterms:W3CDTF">2026-06-09T11:56:20Z</dcterms:modified>
</cp:coreProperties>
</file>